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rulings" sheetId="3" state="visible" r:id="rId3"/>
    <sheet name="capture-list" sheetId="4" state="visible" r:id="rId4"/>
    <sheet name="multiple_screens" sheetId="5" state="visible" r:id="rId5"/>
    <sheet name="home" sheetId="6" state="visible" r:id="rId6"/>
    <sheet name="networth" sheetId="7" state="visible" r:id="rId7"/>
    <sheet name="performance" sheetId="8" state="visible" r:id="rId8"/>
    <sheet name="plan" sheetId="9" state="visible" r:id="rId9"/>
    <sheet name="cashflow" sheetId="10" state="visible" r:id="rId10"/>
    <sheet name="menu" sheetId="11" state="visible" r:id="rId11"/>
    <sheet name="inputs" sheetId="12" state="visible" r:id="rId12"/>
    <sheet name="database" sheetId="13" state="visible" r:id="rId13"/>
    <sheet name="core_screens" sheetId="14" state="visible" r:id="rId14"/>
    <sheet name="reconciliation" sheetId="15" state="visible" r:id="rId15"/>
    <sheet name="engines-old-tab" sheetId="16" state="visible" r:id="rId16"/>
    <sheet name="functions_from_code" sheetId="17" state="visible" r:id="rId17"/>
    <sheet name="functions_summary" sheetId="18" state="visible" r:id="rId18"/>
    <sheet name="functions_per_metric" sheetId="19" state="visible" r:id="rId19"/>
  </sheets>
  <definedNames>
    <definedName name="_xlnm._FilterDatabase" localSheetId="2" hidden="1">'rulings'!$A$2:$K$144</definedName>
    <definedName name="_xlnm._FilterDatabase" localSheetId="3" hidden="1">'capture-list'!$A$1:$F$72</definedName>
    <definedName name="_xlnm._FilterDatabase" localSheetId="4" hidden="1">'multiple_screens'!$A$1:$AN$8</definedName>
    <definedName name="_xlnm._FilterDatabase" localSheetId="5" hidden="1">'home'!$A$1:$AN$10</definedName>
    <definedName name="_xlnm._FilterDatabase" localSheetId="6" hidden="1">'networth'!$A$1:$AN$46</definedName>
    <definedName name="_xlnm._FilterDatabase" localSheetId="7" hidden="1">'performance'!$A$1:$AN$13</definedName>
    <definedName name="_xlnm._FilterDatabase" localSheetId="8" hidden="1">'plan'!$A$1:$AN$40</definedName>
    <definedName name="_xlnm._FilterDatabase" localSheetId="9" hidden="1">'cashflow'!$A$1:$AN$58</definedName>
    <definedName name="_xlnm._FilterDatabase" localSheetId="10" hidden="1">'menu'!$A$1:$AN$38</definedName>
    <definedName name="_xlnm._FilterDatabase" localSheetId="11" hidden="1">'inputs'!$A$1:$J$66</definedName>
    <definedName name="_xlnm._FilterDatabase" localSheetId="16" hidden="1">'functions_from_code'!$A$1:$Y$622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font>
    <font>
      <b val="1"/>
      <color rgb="001F3864"/>
    </font>
    <font>
      <b val="1"/>
      <color rgb="009C0006"/>
    </font>
    <font>
      <name val="Menlo"/>
      <sz val="10"/>
    </font>
    <font>
      <b val="1"/>
    </font>
  </fonts>
  <fills count="7">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
      <patternFill patternType="solid">
        <fgColor rgb="00DDEBF7"/>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5" fillId="4" borderId="0" pivotButton="0" quotePrefix="0" xfId="0"/>
    <xf numFmtId="0" fontId="0" fillId="0" borderId="0" applyAlignment="1" pivotButton="0" quotePrefix="0" xfId="0">
      <alignment vertical="top" wrapText="1"/>
    </xf>
    <xf numFmtId="0" fontId="5" fillId="0" borderId="0" pivotButton="0" quotePrefix="0" xfId="0"/>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xf numFmtId="0" fontId="0" fillId="4"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42 questions · 0 input lists · 25 answers.</t>
        </is>
      </c>
    </row>
    <row r="3">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c r="A4" s="4" t="inlineStr">
        <is>
          <t>Date file created</t>
        </is>
      </c>
      <c r="B4" s="3" t="inlineStr">
        <is>
          <t>2026-09-26</t>
        </is>
      </c>
    </row>
    <row r="5">
      <c r="A5" s="4" t="inlineStr">
        <is>
          <t>Date file last modified</t>
        </is>
      </c>
      <c r="B5" s="3" t="inlineStr">
        <is>
          <t>2026-09-26  (stamped by the build, not typed; unchanged when the file is only read)</t>
        </is>
      </c>
    </row>
    <row r="6">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c r="A7" s="4" t="inlineStr"/>
      <c r="B7" s="3" t="inlineStr"/>
    </row>
    <row r="8">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c r="A9" s="4" t="inlineStr">
        <is>
          <t>TAB — Reference</t>
        </is>
      </c>
      <c r="B9" s="3" t="inlineStr">
        <is>
          <t>This tab. What the file is, what each tab holds, what each column means, and what it must comply with.</t>
        </is>
      </c>
    </row>
    <row r="10">
      <c r="A10" s="4" t="inlineStr">
        <is>
          <t>TAB — multiple_screens</t>
        </is>
      </c>
      <c r="B10" s="3" t="inlineStr">
        <is>
          <t>Figures shown on more than one parent screen. A figure lives here ONCE, with every screen and every label it wears listed, so the same figure can never have two definitions.</t>
        </is>
      </c>
    </row>
    <row r="11">
      <c r="A11" s="4" t="inlineStr">
        <is>
          <t>TAB — home</t>
        </is>
      </c>
      <c r="B11" s="3" t="inlineStr">
        <is>
          <t>Figures shown only on Home and the screens reached from it.</t>
        </is>
      </c>
    </row>
    <row r="12">
      <c r="A12" s="4" t="inlineStr">
        <is>
          <t>TAB — networth</t>
        </is>
      </c>
      <c r="B12" s="3" t="inlineStr">
        <is>
          <t>Figures shown only on Net worth and the screens reached from it.</t>
        </is>
      </c>
    </row>
    <row r="13">
      <c r="A13" s="4" t="inlineStr">
        <is>
          <t>TAB — performance</t>
        </is>
      </c>
      <c r="B13" s="3" t="inlineStr">
        <is>
          <t>Figures shown only on Performance and the screens reached from it.</t>
        </is>
      </c>
    </row>
    <row r="14">
      <c r="A14" s="4" t="inlineStr">
        <is>
          <t>TAB — plan</t>
        </is>
      </c>
      <c r="B14" s="3" t="inlineStr">
        <is>
          <t>Figures shown only on Plan and the screens reached from it.</t>
        </is>
      </c>
    </row>
    <row r="15">
      <c r="A15" s="4" t="inlineStr">
        <is>
          <t>TAB — cashflow</t>
        </is>
      </c>
      <c r="B15" s="3" t="inlineStr">
        <is>
          <t>Figures shown only on Cash flow and the screens reached from it.</t>
        </is>
      </c>
    </row>
    <row r="16">
      <c r="A16" s="4" t="inlineStr">
        <is>
          <t>TAB — menu</t>
        </is>
      </c>
      <c r="B16" s="3" t="inlineStr">
        <is>
          <t>Screens reachable only from the menu, and the figures on them.</t>
        </is>
      </c>
    </row>
    <row r="17">
      <c r="A17" s="4" t="inlineStr">
        <is>
          <t>TAB — engines-old-tab</t>
        </is>
      </c>
      <c r="B17" s="3" t="inlineStr">
        <is>
          <t>One row per function identifier — the definitive list every dependency and every figure points at. Carries where the function is implemented, what it answers, and which figures reach it.</t>
        </is>
      </c>
    </row>
    <row r="18">
      <c r="A18" s="4" t="inlineStr">
        <is>
          <t>TAB — functions_per_metric</t>
        </is>
      </c>
      <c r="B18" s="3" t="inlineStr">
        <is>
          <t>By parent screen: how many figures it shows, and how many functions stand behind each one — a single function, two to five, more than five, or none on record.</t>
        </is>
      </c>
    </row>
    <row r="19">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c r="A23" s="4" t="inlineStr">
        <is>
          <t>TAB — database</t>
        </is>
      </c>
      <c r="B23" s="3" t="inlineStr">
        <is>
          <t>What the app saves in the cloud: where each thing is stored, what it holds, which figures depend on it, how often it is written and at what grain. Also names what is deliberately NOT saved.</t>
        </is>
      </c>
    </row>
    <row r="24">
      <c r="A24" s="4" t="inlineStr">
        <is>
          <t>TAB — inputs</t>
        </is>
      </c>
      <c r="B24" s="3" t="inlineStr">
        <is>
          <t>The raw values the functions need before any calculation happens.</t>
        </is>
      </c>
    </row>
    <row r="25">
      <c r="A25" s="4" t="inlineStr"/>
      <c r="B25" s="3" t="inlineStr"/>
    </row>
    <row r="26">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c r="A27" s="4" t="inlineStr">
        <is>
          <t>COLUMN — Function ID</t>
        </is>
      </c>
      <c r="B27" s="3" t="inlineStr">
        <is>
          <t>That function's identifier, MK-[family]-F-[number], from the functions_from_code tab.</t>
        </is>
      </c>
    </row>
    <row r="28">
      <c r="A28" s="4" t="inlineStr">
        <is>
          <t>COLUMN — Category / File / Line</t>
        </is>
      </c>
      <c r="B28" s="3" t="inlineStr">
        <is>
          <t>On the functions tab: which of the four categories the function falls in, and where it lives in the code.</t>
        </is>
      </c>
    </row>
    <row r="29">
      <c r="A29" s="4" t="inlineStr">
        <is>
          <t>COLUMN — Objective — what this function is for</t>
        </is>
      </c>
      <c r="B29" s="3" t="inlineStr">
        <is>
          <t>Its purpose in one sentence, in the author's own words from the note above it in the code, or from the old inventory. NOT DETERMINED where neither exists.</t>
        </is>
      </c>
    </row>
    <row r="30">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c r="A33" s="4" t="inlineStr">
        <is>
          <t>COLUMN — What it gives back (its output)</t>
        </is>
      </c>
      <c r="B33" s="3" t="inlineStr">
        <is>
          <t>What the function returns. NOT DECLARED means the code does not say, so nothing can check it returns the right kind of thing.</t>
        </is>
      </c>
    </row>
    <row r="34">
      <c r="A34" s="4" t="inlineStr">
        <is>
          <t>COLUMN — Can its answer reach a screen?</t>
        </is>
      </c>
      <c r="B34" s="3" t="inlineStr">
        <is>
          <t>The question that decides whether a function can put a wrong number in front of a person.</t>
        </is>
      </c>
    </row>
    <row r="35">
      <c r="A35" s="4" t="inlineStr">
        <is>
          <t>COLUMN — Figures that name it</t>
        </is>
      </c>
      <c r="B35" s="3" t="inlineStr">
        <is>
          <t>Which metric identifiers reach this function. It travels through the old inventory to get there, so it is only as good as that record.</t>
        </is>
      </c>
    </row>
    <row r="36">
      <c r="A36" s="4" t="inlineStr">
        <is>
          <t>COLUMN — Name in the old inventory</t>
        </is>
      </c>
      <c r="B36" s="3" t="inlineStr">
        <is>
          <t>What the old master called this function, kept only so the link to the earlier file is not lost. The word function is retired.</t>
        </is>
      </c>
    </row>
    <row r="37">
      <c r="A37" s="4" t="inlineStr">
        <is>
          <t>COLUMN — Metric ID</t>
        </is>
      </c>
      <c r="B37" s="3" t="inlineStr">
        <is>
          <t>The identifier of the figure, per moneykeel_naming_spec_unique-identifier_v01.md. Given once, never changed, never reused.</t>
        </is>
      </c>
    </row>
    <row r="38">
      <c r="A38" s="4" t="inlineStr">
        <is>
          <t>COLUMN — Parent Screen Name</t>
        </is>
      </c>
      <c r="B38" s="3" t="inlineStr">
        <is>
          <t>One of: Home, Networth, Performance, Cashflow, Plan, Menu. Menu means reachable only from the menu.</t>
        </is>
      </c>
    </row>
    <row r="39">
      <c r="A39" s="4" t="inlineStr">
        <is>
          <t>COLUMN — Secondary Screen Name</t>
        </is>
      </c>
      <c r="B39" s="3" t="inlineStr">
        <is>
          <t>The screen reached from the parent, or NA when the figure is on the parent screen itself.</t>
        </is>
      </c>
    </row>
    <row r="40">
      <c r="A40" s="4" t="inlineStr">
        <is>
          <t>COLUMN — Name on Screen</t>
        </is>
      </c>
      <c r="B40" s="3" t="inlineStr">
        <is>
          <t>The label copied exactly as it is worded on screen, including capitals. Where a figure wears different labels on different screens, all are listed.</t>
        </is>
      </c>
    </row>
    <row r="41">
      <c r="A41" s="4" t="inlineStr">
        <is>
          <t>COLUMN — Name of Underlying Metric</t>
        </is>
      </c>
      <c r="B41" s="3" t="inlineStr">
        <is>
          <t>The metric's name in the code.</t>
        </is>
      </c>
    </row>
    <row r="42">
      <c r="A42" s="4" t="inlineStr">
        <is>
          <t>COLUMN — Name of Underlying Function</t>
        </is>
      </c>
      <c r="B42" s="3" t="inlineStr">
        <is>
          <t>The function that produces the figure. NOT IN OLD MASTER means the function exists in the code but has no row in the old master file.</t>
        </is>
      </c>
    </row>
    <row r="43">
      <c r="A43" s="4" t="inlineStr">
        <is>
          <t>COLUMN — Inputs it needs (S02)</t>
        </is>
      </c>
      <c r="B43" s="3" t="inlineStr">
        <is>
          <t>Every input the function reads, named. Carried from the old master where it has a row there.</t>
        </is>
      </c>
    </row>
    <row r="44">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c r="A45" s="4" t="inlineStr">
        <is>
          <t>COLUMN — What it says when it cannot be computed (S05)</t>
        </is>
      </c>
      <c r="B45" s="3" t="inlineStr">
        <is>
          <t>The refusal. Written where the function has been read; NOT DETERMINED where it has not, rather than guessed.</t>
        </is>
      </c>
    </row>
    <row r="46">
      <c r="A46" s="4" t="inlineStr">
        <is>
          <t>COLUMN — Grain (S06)</t>
        </is>
      </c>
      <c r="B46" s="3" t="inlineStr">
        <is>
          <t>One figure per what: holding, account, debt, goal, category, month, or person.</t>
        </is>
      </c>
    </row>
    <row r="47">
      <c r="A47" s="4" t="inlineStr">
        <is>
          <t>COLUMN — Period (S07)</t>
        </is>
      </c>
      <c r="B47" s="3" t="inlineStr">
        <is>
          <t>As of when, and over what window.</t>
        </is>
      </c>
    </row>
    <row r="48">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c r="A50" s="4" t="inlineStr">
        <is>
          <t>COLUMN — Function ID</t>
        </is>
      </c>
      <c r="B50" s="3" t="inlineStr">
        <is>
          <t>Every function in the code carries one, MK-[family]-F-[number]. The family comes from the folder the code sits in.</t>
        </is>
      </c>
    </row>
    <row r="5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c r="A57" s="4" t="inlineStr">
        <is>
          <t>COLUMN — The chain of functions behind it</t>
        </is>
      </c>
      <c r="B57" s="3" t="inlineStr">
        <is>
          <t>The chain that ends in the function producing this figure, read left to right, taken from the functions tab.</t>
        </is>
      </c>
    </row>
    <row r="58">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c r="A61" s="4" t="inlineStr">
        <is>
          <t>COLUMN — YOUR ANSWER — use the same number</t>
        </is>
      </c>
      <c r="B61" s="3" t="inlineStr">
        <is>
          <t>Answer here, starting each answer with the question number. Nothing else in the file needs to line up.</t>
        </is>
      </c>
    </row>
    <row r="62">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c r="A69" s="4" t="inlineStr">
        <is>
          <t>COLUMN — Errors or findings to address</t>
        </is>
      </c>
      <c r="B69" s="3" t="inlineStr">
        <is>
          <t>What is known to be wrong or unproved about this figure, in plain English. Blank means nothing is on record yet — not that nothing is wrong.</t>
        </is>
      </c>
    </row>
    <row r="70">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c r="A71" s="4" t="inlineStr">
        <is>
          <t>COLUMN — Formula (mathematical)</t>
        </is>
      </c>
      <c r="B71" s="3" t="inlineStr">
        <is>
          <t>The rule written as arithmetic, so it can be followed symbol by symbol and checked against the code.</t>
        </is>
      </c>
    </row>
    <row r="72">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c r="A73" s="4" t="inlineStr">
        <is>
          <t>COLUMN — Function ID</t>
        </is>
      </c>
      <c r="B73" s="3" t="inlineStr">
        <is>
          <t>The identifier of that function. Blank where the figure is worked out on the screen itself rather than by an function — which is itself a finding.</t>
        </is>
      </c>
    </row>
    <row r="74">
      <c r="A74" s="4" t="inlineStr">
        <is>
          <t>COLUMN — Your name for it (72-metric file)</t>
        </is>
      </c>
      <c r="B74" s="3" t="inlineStr">
        <is>
          <t>The founder's own name for the same figure, from METRICS-DELIVERABLE-ANSWERED-2026-08-20.xlsx. This column is the bridge between his vocabulary and the code's.</t>
        </is>
      </c>
    </row>
    <row r="75">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c r="A76" s="4" t="inlineStr">
        <is>
          <t>COLUMN — Row status</t>
        </is>
      </c>
      <c r="B76" s="3" t="inlineStr">
        <is>
          <t>VERIFIED with its date means a person read the screen and confirmed the chain. NOT STARTED means the screen has not been read yet. Nothing in between is claimed.</t>
        </is>
      </c>
    </row>
    <row r="77">
      <c r="A77" s="4" t="inlineStr"/>
      <c r="B77" s="3" t="inlineStr"/>
    </row>
    <row r="78">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c r="A80" s="4" t="inlineStr">
        <is>
          <t>COLUMN — Figures it reaches</t>
        </is>
      </c>
      <c r="B80" s="3" t="inlineStr">
        <is>
          <t>The figures served by the functions above. NONE ON RECORD means those functions are named by no figure in this file — an S21 gap, not proof the input reaches nobody.</t>
        </is>
      </c>
    </row>
    <row r="81">
      <c r="A81" s="4" t="inlineStr">
        <is>
          <t>COLUMN — Input ID</t>
        </is>
      </c>
      <c r="B81" s="3" t="inlineStr">
        <is>
          <t>The identifier of a raw input, per the same standard.</t>
        </is>
      </c>
    </row>
    <row r="82">
      <c r="A82" s="4" t="inlineStr">
        <is>
          <t>COLUMN — Variable name</t>
        </is>
      </c>
      <c r="B82" s="3" t="inlineStr">
        <is>
          <t>What the raw value is called.</t>
        </is>
      </c>
    </row>
    <row r="83">
      <c r="A83" s="4" t="inlineStr">
        <is>
          <t>COLUMN — Source</t>
        </is>
      </c>
      <c r="B83" s="3" t="inlineStr">
        <is>
          <t>Where the value comes from: the person typed it, an institution download, a connected provider, or another function computed it.</t>
        </is>
      </c>
    </row>
    <row r="84">
      <c r="A84" s="4" t="inlineStr"/>
      <c r="B84" s="3" t="inlineStr"/>
    </row>
    <row r="85">
      <c r="A85" s="4" t="inlineStr">
        <is>
          <t>Complies with — naming</t>
        </is>
      </c>
      <c r="B85" s="3" t="inlineStr">
        <is>
          <t>MoneyKeel/documents/standards/moneykeel_naming_spec_file-and-folder-naming_v01.md</t>
        </is>
      </c>
    </row>
    <row r="86">
      <c r="A86" s="4" t="inlineStr">
        <is>
          <t>Complies with — identifiers</t>
        </is>
      </c>
      <c r="B86" s="3" t="inlineStr">
        <is>
          <t>MoneyKeel/documents/standards/moneykeel_naming_spec_unique-identifier_v01.md</t>
        </is>
      </c>
    </row>
    <row r="87">
      <c r="A87" s="4" t="inlineStr">
        <is>
          <t>Complies with — objectives</t>
        </is>
      </c>
      <c r="B87" s="3" t="inlineStr">
        <is>
          <t>MoneyKeel/documents/standards/moneykeel_calc_spec_objectives-and-verification_v01.md</t>
        </is>
      </c>
    </row>
    <row r="88">
      <c r="A88" s="4" t="inlineStr"/>
      <c r="B88" s="3" t="inlineStr"/>
    </row>
    <row r="89">
      <c r="A89" s="4" t="inlineStr">
        <is>
          <t>COVERAGE — screens read so far</t>
        </is>
      </c>
      <c r="B89" s="3" t="inlineStr">
        <is>
          <t>49 of 49. Every screen in the app has been read: the five parent screens, every secondary screen and every menu screen. Twelve screens carry no calculated figure and say so.</t>
        </is>
      </c>
    </row>
    <row r="90">
      <c r="A90" s="4" t="inlineStr">
        <is>
          <t>COVERAGE — what that means</t>
        </is>
      </c>
      <c r="B90" s="3" t="inlineStr">
        <is>
          <t>Every screen in the app is listed on its tab. Only Home carries figures so far; the rest are marked NOT STARTED. A rising count is not completeness while screens remain unread.</t>
        </is>
      </c>
    </row>
    <row r="91">
      <c r="A91" s="4" t="inlineStr">
        <is>
          <t> </t>
        </is>
      </c>
      <c r="B91" s="3" t="inlineStr">
        <is>
          <t> </t>
        </is>
      </c>
    </row>
    <row r="92">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c r="A97" s="4" t="inlineStr">
        <is>
          <t>AUDIT A04</t>
        </is>
      </c>
      <c r="B97" s="3" t="inlineStr">
        <is>
          <t>This tab describes two columns that no longer exist — Name of Underlying Function, Function ID — and names others with (S02), (S04), (S11) suffixes the headers do not carry.</t>
        </is>
      </c>
    </row>
    <row r="98">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c r="A99" s="4" t="inlineStr">
        <is>
          <t>AUDIT A05</t>
        </is>
      </c>
      <c r="B99" s="3" t="inlineStr">
        <is>
          <t>The Specification runs S01-S15, S18-S21, then S16 and S17. On a tab whose stated purpose is that a piece of work can be named by its number, the numbers are out of order.</t>
        </is>
      </c>
    </row>
    <row r="100">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c r="A109" s="4" t="inlineStr">
        <is>
          <t>AUDIT A17</t>
        </is>
      </c>
      <c r="B109" s="3" t="inlineStr">
        <is>
          <t>"Uses a built-in i of 0", on 11 functions, is the loop counter — let i = 0.</t>
        </is>
      </c>
    </row>
    <row r="110">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c r="A117" s="4" t="inlineStr"/>
      <c r="B117" s="3" t="inlineStr"/>
    </row>
    <row r="118">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c r="A121" s="4" t="inlineStr">
        <is>
          <t>PUBLISHED SOURCE — STANDARD_DEDUCTION</t>
        </is>
      </c>
      <c r="B121" s="3" t="inlineStr">
        <is>
          <t xml:space="preserve">Standard deduction, single · IRS Rev. Proc. 2025-32 §2.15 · valid through 2026 · checked 2026-09-01 · src/domain/income/tax.ts · </t>
        </is>
      </c>
    </row>
    <row r="122">
      <c r="A122" s="4" t="inlineStr">
        <is>
          <t>PUBLISHED SOURCE — SENIOR_DEDUCTION</t>
        </is>
      </c>
      <c r="B122" s="3" t="inlineStr">
        <is>
          <t>$6,000 per person 65+, phased out 6% above $75,000 / $150,000 · P.L. 119-21 §70103 (IRC §151(d)(5)) · valid through 2028 · checked 2026-09-08 · src/domain/income/tax.ts · lapses after tax year 2028</t>
        </is>
      </c>
    </row>
    <row r="123">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c r="A134" s="4" t="inlineStr"/>
      <c r="B134" s="3" t="inlineStr"/>
    </row>
    <row r="135">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c r="A136" s="4" t="inlineStr">
        <is>
          <t>BENCHMARK — Checking</t>
        </is>
      </c>
      <c r="B136" s="3" t="inlineStr">
        <is>
          <t>0.5% a year · Interest checking, ~0% · current · ESTIMATE</t>
        </is>
      </c>
    </row>
    <row r="137">
      <c r="A137" s="4" t="inlineStr">
        <is>
          <t>BENCHMARK — Savings</t>
        </is>
      </c>
      <c r="B137" s="3" t="inlineStr">
        <is>
          <t>2.4% a year · 3-mo Treasury bill (cash) · 30-yr</t>
        </is>
      </c>
    </row>
    <row r="138">
      <c r="A138" s="4" t="inlineStr">
        <is>
          <t>BENCHMARK — High-yield savings</t>
        </is>
      </c>
      <c r="B138" s="3" t="inlineStr">
        <is>
          <t>4.2% a year · no benchmark named in the code · — · ESTIMATE</t>
        </is>
      </c>
    </row>
    <row r="139">
      <c r="A139" s="4" t="inlineStr">
        <is>
          <t>BENCHMARK — Money market</t>
        </is>
      </c>
      <c r="B139" s="3" t="inlineStr">
        <is>
          <t>4.5% a year · no benchmark named in the code · — · ESTIMATE</t>
        </is>
      </c>
    </row>
    <row r="140">
      <c r="A140" s="4" t="inlineStr">
        <is>
          <t>BENCHMARK — CD</t>
        </is>
      </c>
      <c r="B140" s="3" t="inlineStr">
        <is>
          <t>4.2% a year · no benchmark named in the code · — · ESTIMATE</t>
        </is>
      </c>
    </row>
    <row r="141">
      <c r="A141" s="4" t="inlineStr">
        <is>
          <t>BENCHMARK — Cash management</t>
        </is>
      </c>
      <c r="B141" s="3" t="inlineStr">
        <is>
          <t>3.5% a year · no benchmark named in the code · — · ESTIMATE</t>
        </is>
      </c>
    </row>
    <row r="142">
      <c r="A142" s="4" t="inlineStr">
        <is>
          <t>BENCHMARK — Foreign currency</t>
        </is>
      </c>
      <c r="B142" s="3" t="inlineStr">
        <is>
          <t>0.0% a year · no benchmark named in the code · — · ESTIMATE</t>
        </is>
      </c>
    </row>
    <row r="143">
      <c r="A143" s="4" t="inlineStr">
        <is>
          <t>BENCHMARK — Brokerage</t>
        </is>
      </c>
      <c r="B143" s="3" t="inlineStr">
        <is>
          <t>8.0% a year · Blended taxable portfolio · 30-yr · ESTIMATE</t>
        </is>
      </c>
    </row>
    <row r="144">
      <c r="A144" s="4" t="inlineStr">
        <is>
          <t>BENCHMARK — Stocks / Funds</t>
        </is>
      </c>
      <c r="B144" s="3" t="inlineStr">
        <is>
          <t>10.4% a year · S&amp;P 500 total return · 30-yr</t>
        </is>
      </c>
    </row>
    <row r="145">
      <c r="A145" s="4" t="inlineStr">
        <is>
          <t>BENCHMARK — Fixed income</t>
        </is>
      </c>
      <c r="B145" s="3" t="inlineStr">
        <is>
          <t>4.2% a year · US Aggregate Bond index · 30-yr</t>
        </is>
      </c>
    </row>
    <row r="146">
      <c r="A146" s="4" t="inlineStr">
        <is>
          <t>BENCHMARK — Crypto</t>
        </is>
      </c>
      <c r="B146" s="3" t="inlineStr">
        <is>
          <t>8.0% a year · No long-run benchmark — set your own · — · ESTIMATE</t>
        </is>
      </c>
    </row>
    <row r="147">
      <c r="A147" s="4" t="inlineStr">
        <is>
          <t>BENCHMARK — Private equity</t>
        </is>
      </c>
      <c r="B147" s="3" t="inlineStr">
        <is>
          <t>13.0% a year · Cambridge Associates US PE · ~25-yr · ESTIMATE</t>
        </is>
      </c>
    </row>
    <row r="148">
      <c r="A148" s="4" t="inlineStr">
        <is>
          <t>BENCHMARK — Hedge funds</t>
        </is>
      </c>
      <c r="B148" s="3" t="inlineStr">
        <is>
          <t>6.0% a year · HFRI Fund Weighted Composite · ~10-yr · ESTIMATE</t>
        </is>
      </c>
    </row>
    <row r="149">
      <c r="A149" s="4" t="inlineStr">
        <is>
          <t>BENCHMARK — Gold / commodities</t>
        </is>
      </c>
      <c r="B149" s="3" t="inlineStr">
        <is>
          <t>8.2% a year · Gold (SPDR GLD) · 30-yr</t>
        </is>
      </c>
    </row>
    <row r="150">
      <c r="A150" s="4" t="inlineStr">
        <is>
          <t>BENCHMARK — Options</t>
        </is>
      </c>
      <c r="B150" s="3" t="inlineStr">
        <is>
          <t>5.0% a year · no benchmark named in the code · — · ESTIMATE</t>
        </is>
      </c>
    </row>
    <row r="151">
      <c r="A151" s="4" t="inlineStr">
        <is>
          <t>BENCHMARK — Annuities</t>
        </is>
      </c>
      <c r="B151" s="3" t="inlineStr">
        <is>
          <t>4.5% a year · Typical fixed-annuity rate · current · ESTIMATE</t>
        </is>
      </c>
    </row>
    <row r="152">
      <c r="A152" s="4" t="inlineStr">
        <is>
          <t>BENCHMARK — 529 / College</t>
        </is>
      </c>
      <c r="B152" s="3" t="inlineStr">
        <is>
          <t>7.0% a year · Age-based 529 blend · assumed · ESTIMATE</t>
        </is>
      </c>
    </row>
    <row r="153">
      <c r="A153" s="4" t="inlineStr">
        <is>
          <t>BENCHMARK — Other</t>
        </is>
      </c>
      <c r="B153" s="3" t="inlineStr">
        <is>
          <t>5.0% a year · Generic blended estimate · — · ESTIMATE</t>
        </is>
      </c>
    </row>
    <row r="154">
      <c r="A154" s="4" t="inlineStr">
        <is>
          <t>BENCHMARK — 401(k)</t>
        </is>
      </c>
      <c r="B154" s="3" t="inlineStr">
        <is>
          <t>7.9% a year · no benchmark named in the code · — · ESTIMATE</t>
        </is>
      </c>
    </row>
    <row r="155">
      <c r="A155" s="4" t="inlineStr">
        <is>
          <t>BENCHMARK — Traditional IRA</t>
        </is>
      </c>
      <c r="B155" s="3" t="inlineStr">
        <is>
          <t>7.9% a year · Assumed 60/40 mix · 30-yr · ESTIMATE</t>
        </is>
      </c>
    </row>
    <row r="156">
      <c r="A156" s="4" t="inlineStr">
        <is>
          <t>BENCHMARK — Roth IRA</t>
        </is>
      </c>
      <c r="B156" s="3" t="inlineStr">
        <is>
          <t>7.9% a year · Assumed 60/40 mix · 30-yr · ESTIMATE</t>
        </is>
      </c>
    </row>
    <row r="157">
      <c r="A157" s="4" t="inlineStr">
        <is>
          <t>BENCHMARK — HSA</t>
        </is>
      </c>
      <c r="B157" s="3" t="inlineStr">
        <is>
          <t>7.9% a year · Invested HSA, assumed 60/40 · 30-yr · ESTIMATE</t>
        </is>
      </c>
    </row>
    <row r="158">
      <c r="A158" s="4" t="inlineStr">
        <is>
          <t>BENCHMARK — Home</t>
        </is>
      </c>
      <c r="B158" s="3" t="inlineStr">
        <is>
          <t>4.5% a year · Case-Shiller US home price (nominal) · 30-yr</t>
        </is>
      </c>
    </row>
    <row r="159">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c r="A1" s="1" t="inlineStr">
        <is>
          <t>No.</t>
        </is>
      </c>
      <c r="B1" s="1" t="inlineStr">
        <is>
          <t>What is needed</t>
        </is>
      </c>
      <c r="C1" s="1" t="inlineStr">
        <is>
          <t>Why it is needed</t>
        </is>
      </c>
      <c r="D1" s="1" t="inlineStr">
        <is>
          <t>Where it stands in this file today</t>
        </is>
      </c>
    </row>
    <row r="2">
      <c r="A2" t="inlineStr"/>
      <c r="B2" s="5"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175 of 175 active figures carry both forms.</t>
        </is>
      </c>
    </row>
    <row r="4">
      <c r="A4"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c r="A8"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c r="A9" t="inlineStr">
        <is>
          <t>S07</t>
        </is>
      </c>
      <c r="B9" s="3" t="inlineStr">
        <is>
          <t>The period</t>
        </is>
      </c>
      <c r="C9" s="3" t="inlineStr">
        <is>
          <t>As of when, and over what window.</t>
        </is>
      </c>
      <c r="D9" s="3" t="inlineStr">
        <is>
          <t>PARTIAL — derived by rule on every figure and marked as derived; not read from the function (G33).</t>
        </is>
      </c>
    </row>
    <row r="10">
      <c r="A10" t="inlineStr"/>
      <c r="B10" s="5" t="inlineStr">
        <is>
          <t>SECTION — WHAT PROVES IT</t>
        </is>
      </c>
      <c r="C10" s="3" t="inlineStr"/>
      <c r="D10" s="3" t="inlineStr"/>
    </row>
    <row r="11">
      <c r="A11"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c r="A14" t="inlineStr"/>
      <c r="B14" s="5" t="inlineStr">
        <is>
          <t>SECTION — WHAT CONNECTS IT</t>
        </is>
      </c>
      <c r="C14" s="3" t="inlineStr"/>
      <c r="D14" s="3" t="inlineStr"/>
    </row>
    <row r="15">
      <c r="A15"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c r="A16"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620, read from the code on this build. PARTIAL for figures: 56 of 175 active figures name no function.</t>
        </is>
      </c>
    </row>
    <row r="17">
      <c r="A17" t="inlineStr"/>
      <c r="B17" s="5"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BUILT 2026-09-09 as the rulings tab (from moneykeel_rulings.json): 142 rulings — CODED 10 · RULED 31 · TESTED 101. VERIFIED is his stage alone; the approval columns on the screen tabs (YOUR ANSWER, Inputs — approved list) are where a row gets his verdict.</t>
        </is>
      </c>
    </row>
    <row r="19">
      <c r="A19" t="inlineStr">
        <is>
          <t>S14</t>
        </is>
      </c>
      <c r="B19" s="3" t="inlineStr">
        <is>
          <t>Lifecycle</t>
        </is>
      </c>
      <c r="C19" s="3" t="inlineStr">
        <is>
          <t>Live, cut, or superseded by another identifier.</t>
        </is>
      </c>
      <c r="D19" s="3" t="inlineStr">
        <is>
          <t>NOT STARTED.</t>
        </is>
      </c>
    </row>
    <row r="20">
      <c r="A20" t="inlineStr"/>
      <c r="B20" s="5"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c r="A24"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56 of 175 active figures name no function; counted per screen on the functions_per_metric tab.</t>
        </is>
      </c>
    </row>
    <row r="25">
      <c r="A25"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c r="A26"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c r="A27"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c r="A28"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620 functions carry both forms on this build: 23 no arithmetic · 2 not read · 301 partly read · 90 read by hand 2026-08-26 · 204 read from the code.</t>
        </is>
      </c>
    </row>
    <row r="29">
      <c r="A29"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c r="A30"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s>
  <sheetData>
    <row r="1">
      <c r="A1" s="1" t="inlineStr">
        <is>
          <t>Ruling</t>
        </is>
      </c>
      <c r="B1" s="1" t="inlineStr">
        <is>
          <t>Date ruled</t>
        </is>
      </c>
      <c r="C1" s="1" t="inlineStr">
        <is>
          <t>Where he said it</t>
        </is>
      </c>
      <c r="D1" s="1" t="inlineStr">
        <is>
          <t>His ruling, in his words</t>
        </is>
      </c>
      <c r="E1" s="1" t="inlineStr">
        <is>
          <t>Rows and functions it touches</t>
        </is>
      </c>
      <c r="F1" s="1" t="inlineStr">
        <is>
          <t>STATUS — RULED · CODED · TESTED · VERIFIED</t>
        </is>
      </c>
      <c r="G1" s="1" t="inlineStr">
        <is>
          <t>What was changed (code and file)</t>
        </is>
      </c>
      <c r="H1" s="1" t="inlineStr">
        <is>
          <t>Proof — the test that fails if it comes back</t>
        </is>
      </c>
      <c r="I1" s="1" t="inlineStr">
        <is>
          <t>Date coded</t>
        </is>
      </c>
      <c r="J1" s="1" t="inlineStr">
        <is>
          <t>Verified by the founder — date and how</t>
        </is>
      </c>
      <c r="K1" s="1" t="inlineStr">
        <is>
          <t>Notes</t>
        </is>
      </c>
    </row>
    <row r="2">
      <c r="A2" s="5" t="inlineStr">
        <is>
          <t>Four stages, never skipped: RULED — his words recorded, nothing built · CODED — code and file both carry it and agree (the last stage for a file-only ruling) · TESTED — a named test pins it · VERIFIED — he confirmed it, on the device or by approving the row. A ruling that is RULED but not CODED is a promise; CODED but not TESTED is a claim.</t>
        </is>
      </c>
      <c r="B2" s="3" t="inlineStr"/>
      <c r="C2" s="3" t="inlineStr"/>
      <c r="D2" s="3" t="inlineStr"/>
      <c r="E2" s="3" t="inlineStr"/>
      <c r="F2" s="3" t="inlineStr"/>
      <c r="G2" s="3" t="inlineStr"/>
      <c r="H2" s="3" t="inlineStr"/>
      <c r="I2" s="3" t="inlineStr"/>
      <c r="J2" s="3" t="inlineStr"/>
      <c r="K2" s="3" t="inlineStr"/>
    </row>
    <row r="3">
      <c r="A3" s="3" t="inlineStr">
        <is>
          <t>G3</t>
        </is>
      </c>
      <c r="B3" s="3" t="inlineStr">
        <is>
          <t>2026-09-08</t>
        </is>
      </c>
      <c r="C3" s="3" t="inlineStr">
        <is>
          <t>his -jj copy of the second-verification assessment (column I)</t>
        </is>
      </c>
      <c r="D3" s="3" t="inlineStr">
        <is>
          <t>agree — add the $6,000 senior deduction (65+, 2025–2028)</t>
        </is>
      </c>
      <c r="E3" s="3" t="inlineStr">
        <is>
          <t>MK-MN-M-027 · MK-MN-M-028 · every tax figure through MK-CF-F-099</t>
        </is>
      </c>
      <c r="F3" s="6" t="inlineStr">
        <is>
          <t>TESTED</t>
        </is>
      </c>
      <c r="G3" s="3" t="inlineStr">
        <is>
          <t>MK-CF-F-187 seniorDeductionFor (new) · MK-CF-F-099 deductionFor · MK-CF-F-100 taxableIncomeFor</t>
        </is>
      </c>
      <c r="H3" s="3" t="inlineStr">
        <is>
          <t>src/__tests__/statutory_constants.test.ts (published figures + worked examples: 66-year-old single on $60,000 → $4,054)</t>
        </is>
      </c>
      <c r="I3" s="3" t="inlineStr">
        <is>
          <t>2026-09-08</t>
        </is>
      </c>
      <c r="J3" s="3" t="inlineStr"/>
      <c r="K3" s="3" t="inlineStr"/>
    </row>
    <row r="4">
      <c r="A4" s="3" t="inlineStr">
        <is>
          <t>G6</t>
        </is>
      </c>
      <c r="B4" s="3" t="inlineStr">
        <is>
          <t>2026-09-08</t>
        </is>
      </c>
      <c r="C4" s="3" t="inlineStr">
        <is>
          <t>his -jj copy of the second-verification assessment (column I)</t>
        </is>
      </c>
      <c r="D4" s="3" t="inlineStr">
        <is>
          <t>agree — no built-in tax rates on the draw-order comparison; the person's own rates, or no number with the reason</t>
        </is>
      </c>
      <c r="E4" s="3" t="inlineStr">
        <is>
          <t>the draw-order steer sheet (no metric row yet — S21)</t>
        </is>
      </c>
      <c r="F4" s="6" t="inlineStr">
        <is>
          <t>TESTED</t>
        </is>
      </c>
      <c r="G4" s="3" t="inlineStr">
        <is>
          <t>MK-PL-F-010 drawOrderOutcome · MK-PL-F-081 taxableGainShare (new) · DrawSteerSheet</t>
        </is>
      </c>
      <c r="H4" s="3" t="inlineStr">
        <is>
          <t>src/screens/__tests__/draw_steer_fcc.test.tsx</t>
        </is>
      </c>
      <c r="I4" s="3" t="inlineStr">
        <is>
          <t>2026-09-08</t>
        </is>
      </c>
      <c r="J4" s="3" t="inlineStr"/>
      <c r="K4" s="3" t="inlineStr"/>
    </row>
    <row r="5">
      <c r="A5" s="3" t="inlineStr">
        <is>
          <t>G8</t>
        </is>
      </c>
      <c r="B5" s="3" t="inlineStr">
        <is>
          <t>2026-09-08</t>
        </is>
      </c>
      <c r="C5" s="3" t="inlineStr">
        <is>
          <t>his -jj copy of the second-verification assessment (column I)</t>
        </is>
      </c>
      <c r="D5" s="3" t="inlineStr">
        <is>
          <t>revise the message: 'Based on today's balance. Provide last Dec 31st balance …'</t>
        </is>
      </c>
      <c r="E5" s="3" t="inlineStr">
        <is>
          <t>MK-PL-M-013 · MK-PL-M-015</t>
        </is>
      </c>
      <c r="F5" s="6" t="inlineStr">
        <is>
          <t>TESTED</t>
        </is>
      </c>
      <c r="G5" s="3" t="inlineStr">
        <is>
          <t>MK-PL-F-080 rmdRequiredThisYear (new) · MK-XS-I-061 (new input) · RequiredWithdrawalsScreen · Plan hub</t>
        </is>
      </c>
      <c r="H5" s="3" t="inlineStr">
        <is>
          <t>src/domain/decumulation/decumulation.test.ts · src/screens/__tests__/plan_fcc.test.tsx</t>
        </is>
      </c>
      <c r="I5" s="3" t="inlineStr">
        <is>
          <t>2026-09-08</t>
        </is>
      </c>
      <c r="J5" s="3" t="inlineStr"/>
      <c r="K5" s="3" t="inlineStr"/>
    </row>
    <row r="6">
      <c r="A6" s="3" t="inlineStr">
        <is>
          <t>G10</t>
        </is>
      </c>
      <c r="B6" s="3" t="inlineStr">
        <is>
          <t>2026-09-08</t>
        </is>
      </c>
      <c r="C6" s="3" t="inlineStr">
        <is>
          <t>his -jj copy of the second-verification assessment (column I)</t>
        </is>
      </c>
      <c r="D6" s="3" t="inlineStr">
        <is>
          <t>show the HSA limit at 65+ only with 'If you are not enrolled in Medicare …' and a place to update it</t>
        </is>
      </c>
      <c r="E6" s="3" t="inlineStr">
        <is>
          <t>MK-MN-M-003 · MK-MN-M-004 · MK-MN-M-005</t>
        </is>
      </c>
      <c r="F6" s="6" t="inlineStr">
        <is>
          <t>TESTED</t>
        </is>
      </c>
      <c r="G6" s="3" t="inlineStr">
        <is>
          <t>MK-CF-F-055 annualHsaLimit · MK-XS-I-062 (new input) · ContributionRoomScreen</t>
        </is>
      </c>
      <c r="H6" s="3" t="inlineStr">
        <is>
          <t>src/domain/income/limits.test.ts · src/screens/__tests__/contribution_room_medicare.test.tsx</t>
        </is>
      </c>
      <c r="I6" s="3" t="inlineStr">
        <is>
          <t>2026-09-08</t>
        </is>
      </c>
      <c r="J6" s="3" t="inlineStr"/>
      <c r="K6" s="3" t="inlineStr">
        <is>
          <t>He asked for a link to an existing page; none captures Medicare, so the question sits on the HSA card. Placement is his to confirm.</t>
        </is>
      </c>
    </row>
    <row r="7">
      <c r="A7" s="3" t="inlineStr">
        <is>
          <t>G13</t>
        </is>
      </c>
      <c r="B7" s="3" t="inlineStr">
        <is>
          <t>2026-09-08</t>
        </is>
      </c>
      <c r="C7" s="3" t="inlineStr">
        <is>
          <t>his -jj copy of the second-verification assessment (column I)</t>
        </is>
      </c>
      <c r="D7" s="3" t="inlineStr">
        <is>
          <t>ok — the paycheck's guaranteed line = the four outside sources</t>
        </is>
      </c>
      <c r="E7" s="3" t="inlineStr">
        <is>
          <t>MK-CF-M-023</t>
        </is>
      </c>
      <c r="F7" s="6" t="inlineStr">
        <is>
          <t>TESTED</t>
        </is>
      </c>
      <c r="G7" s="3" t="inlineStr">
        <is>
          <t>CashFlowScreen (future paycheck card) → MK-CF-F-076 guaranteedOutsideStreams</t>
        </is>
      </c>
      <c r="H7" s="3" t="inlineStr">
        <is>
          <t>src/screens/__tests__/cashflow_fcc.test.tsx</t>
        </is>
      </c>
      <c r="I7" s="3" t="inlineStr">
        <is>
          <t>2026-09-08</t>
        </is>
      </c>
      <c r="J7" s="3" t="inlineStr"/>
      <c r="K7" s="3" t="inlineStr">
        <is>
          <t>Was code as well as file: the card summed the six-source function beside its own savings draw.</t>
        </is>
      </c>
    </row>
    <row r="8">
      <c r="A8" s="3" t="inlineStr">
        <is>
          <t>G14</t>
        </is>
      </c>
      <c r="B8" s="3" t="inlineStr">
        <is>
          <t>2026-09-08</t>
        </is>
      </c>
      <c r="C8" s="3" t="inlineStr">
        <is>
          <t>his -jj copy of the second-verification assessment (column I)</t>
        </is>
      </c>
      <c r="D8" s="3" t="inlineStr">
        <is>
          <t>question answered: yes, the row named the wrong function; the screen was right</t>
        </is>
      </c>
      <c r="E8" s="3" t="inlineStr">
        <is>
          <t>MK-CF-M-022</t>
        </is>
      </c>
      <c r="F8" s="6" t="inlineStr">
        <is>
          <t>TESTED</t>
        </is>
      </c>
      <c r="G8" s="3" t="inlineStr">
        <is>
          <t>file only — the row names MK-CF-F-107 · MK-CF-F-076 · MK-PL-F-050 and states the draw rule</t>
        </is>
      </c>
      <c r="H8" s="3" t="inlineStr">
        <is>
          <t>the formula-agreement gate · check-rulings-in-file.py (fails if the row loses this)</t>
        </is>
      </c>
      <c r="I8" s="3" t="inlineStr">
        <is>
          <t>2026-09-08</t>
        </is>
      </c>
      <c r="J8" s="3" t="inlineStr"/>
      <c r="K8" s="3" t="inlineStr">
        <is>
          <t>File-only ruling: CODED is its last stage before your VERIFIED mark (objectives standard, "How a ruling is tracked"). TESTED 2026-09-12: the row's expected text is checked against the built file on every build.</t>
        </is>
      </c>
    </row>
    <row r="9">
      <c r="A9" s="3" t="inlineStr">
        <is>
          <t>G16</t>
        </is>
      </c>
      <c r="B9" s="3" t="inlineStr">
        <is>
          <t>2026-09-08</t>
        </is>
      </c>
      <c r="C9" s="3" t="inlineStr">
        <is>
          <t>his -jj copy of the second-verification assessment (column I)</t>
        </is>
      </c>
      <c r="D9" s="3" t="inlineStr">
        <is>
          <t>question answered: the legacy-target words on MK-PL-M-008; now match MK-PL-F-067 and brief Q-41 (2026-08-20)</t>
        </is>
      </c>
      <c r="E9" s="3" t="inlineStr">
        <is>
          <t>MK-PL-M-008</t>
        </is>
      </c>
      <c r="F9" s="6" t="inlineStr">
        <is>
          <t>TESTED</t>
        </is>
      </c>
      <c r="G9" s="3" t="inlineStr">
        <is>
          <t>file only</t>
        </is>
      </c>
      <c r="H9" s="3" t="inlineStr">
        <is>
          <t>the formula-agreement gate · check-rulings-in-file.py (fails if the row loses this)</t>
        </is>
      </c>
      <c r="I9" s="3" t="inlineStr">
        <is>
          <t>2026-09-08</t>
        </is>
      </c>
      <c r="J9" s="3" t="inlineStr"/>
      <c r="K9" s="3" t="inlineStr">
        <is>
          <t>File-only ruling: CODED is its last stage before your VERIFIED mark (objectives standard, "How a ruling is tracked"). TESTED 2026-09-12: the row's expected text is checked against the built file on every build.</t>
        </is>
      </c>
    </row>
    <row r="10">
      <c r="A10" s="3" t="inlineStr">
        <is>
          <t>G17</t>
        </is>
      </c>
      <c r="B10" s="3" t="inlineStr">
        <is>
          <t>2026-09-08</t>
        </is>
      </c>
      <c r="C10" s="3" t="inlineStr">
        <is>
          <t>his -jj copy of the second-verification assessment (column I)</t>
        </is>
      </c>
      <c r="D10" s="3" t="inlineStr">
        <is>
          <t>1000 everywhere</t>
        </is>
      </c>
      <c r="E10" s="3" t="inlineStr">
        <is>
          <t>MK-XS-M-002 · MK-CF-M-022 · every surface that runs the odds</t>
        </is>
      </c>
      <c r="F10" s="6" t="inlineStr">
        <is>
          <t>TESTED</t>
        </is>
      </c>
      <c r="G10" s="3" t="inlineStr">
        <is>
          <t>MK-PL-F-050 simulate default · snapshot · paycheck · cockpit scenarios</t>
        </is>
      </c>
      <c r="H10" s="3" t="inlineStr">
        <is>
          <t>src/__tests__/simulation_paths.test.ts (fails on any other count)</t>
        </is>
      </c>
      <c r="I10" s="3" t="inlineStr">
        <is>
          <t>2026-09-08</t>
        </is>
      </c>
      <c r="J10" s="3" t="inlineStr"/>
      <c r="K10" s="3" t="inlineStr"/>
    </row>
    <row r="11">
      <c r="A11" s="3" t="inlineStr">
        <is>
          <t>G18</t>
        </is>
      </c>
      <c r="B11" s="3" t="inlineStr">
        <is>
          <t>2026-09-08</t>
        </is>
      </c>
      <c r="C11" s="3" t="inlineStr">
        <is>
          <t>his -jj copy of the second-verification assessment (column I)</t>
        </is>
      </c>
      <c r="D11" s="3" t="inlineStr">
        <is>
          <t>ok — the math column is the value-weighted average</t>
        </is>
      </c>
      <c r="E11" s="3" t="inlineStr">
        <is>
          <t>MK-XS-M-004</t>
        </is>
      </c>
      <c r="F11" s="6" t="inlineStr">
        <is>
          <t>TESTED</t>
        </is>
      </c>
      <c r="G11" s="3" t="inlineStr">
        <is>
          <t>file + MK-PF-F-019 header</t>
        </is>
      </c>
      <c r="H11" s="3" t="inlineStr">
        <is>
          <t>the formula-agreement gate · check-rulings-in-file.py (fails if the row loses this)</t>
        </is>
      </c>
      <c r="I11" s="3" t="inlineStr">
        <is>
          <t>2026-09-08</t>
        </is>
      </c>
      <c r="J11" s="3" t="inlineStr"/>
      <c r="K11" s="3" t="inlineStr">
        <is>
          <t>File-only ruling: CODED is its last stage before your VERIFIED mark (objectives standard, "How a ruling is tracked"). TESTED 2026-09-12: the row's expected text is checked against the built file on every build.</t>
        </is>
      </c>
    </row>
    <row r="12">
      <c r="A12" s="3" t="inlineStr">
        <is>
          <t>G19</t>
        </is>
      </c>
      <c r="B12" s="3" t="inlineStr">
        <is>
          <t>2026-09-08</t>
        </is>
      </c>
      <c r="C12" s="3" t="inlineStr">
        <is>
          <t>his -jj copy of the second-verification assessment (column I)</t>
        </is>
      </c>
      <c r="D12" s="3" t="inlineStr">
        <is>
          <t>ok — one payment rule in both columns</t>
        </is>
      </c>
      <c r="E12" s="3" t="inlineStr">
        <is>
          <t>MK-NW-M-011</t>
        </is>
      </c>
      <c r="F12" s="6" t="inlineStr">
        <is>
          <t>TESTED</t>
        </is>
      </c>
      <c r="G12" s="3" t="inlineStr">
        <is>
          <t>file only</t>
        </is>
      </c>
      <c r="H12" s="3" t="inlineStr">
        <is>
          <t>the formula-agreement gate · check-rulings-in-file.py (fails if the row loses this)</t>
        </is>
      </c>
      <c r="I12" s="3" t="inlineStr">
        <is>
          <t>2026-09-08</t>
        </is>
      </c>
      <c r="J12" s="3" t="inlineStr"/>
      <c r="K12" s="3" t="inlineStr">
        <is>
          <t>File-only ruling: CODED is its last stage before your VERIFIED mark (objectives standard, "How a ruling is tracked"). TESTED 2026-09-12: the row's expected text is checked against the built file on every build.</t>
        </is>
      </c>
    </row>
    <row r="13">
      <c r="A13" s="3" t="inlineStr">
        <is>
          <t>G20</t>
        </is>
      </c>
      <c r="B13" s="3" t="inlineStr">
        <is>
          <t>2026-09-08</t>
        </is>
      </c>
      <c r="C13" s="3" t="inlineStr">
        <is>
          <t>his -jj copy of the second-verification assessment (column I)</t>
        </is>
      </c>
      <c r="D13" s="3" t="inlineStr">
        <is>
          <t>question answered: 'value' = the bond's current value as entered; the approximation stated in both columns</t>
        </is>
      </c>
      <c r="E13" s="3" t="inlineStr">
        <is>
          <t>MK-NW-M-026</t>
        </is>
      </c>
      <c r="F13" s="6" t="inlineStr">
        <is>
          <t>TESTED</t>
        </is>
      </c>
      <c r="G13" s="3" t="inlineStr">
        <is>
          <t>file + MK-NW-F-060 header</t>
        </is>
      </c>
      <c r="H13" s="3" t="inlineStr">
        <is>
          <t>the formula-agreement gate · check-rulings-in-file.py (fails if the row loses this)</t>
        </is>
      </c>
      <c r="I13" s="3" t="inlineStr">
        <is>
          <t>2026-09-08</t>
        </is>
      </c>
      <c r="J13" s="3" t="inlineStr"/>
      <c r="K13" s="3" t="inlineStr">
        <is>
          <t>File-only ruling: CODED is its last stage before your VERIFIED mark (objectives standard, "How a ruling is tracked"). TESTED 2026-09-12: the row's expected text is checked against the built file on every build.</t>
        </is>
      </c>
    </row>
    <row r="14">
      <c r="A14" s="3" t="inlineStr">
        <is>
          <t>G21 / Q47</t>
        </is>
      </c>
      <c r="B14" s="3" t="inlineStr">
        <is>
          <t>2026-09-08</t>
        </is>
      </c>
      <c r="C14" s="3" t="inlineStr">
        <is>
          <t>his -jj copy of the second-verification assessment (column I) · chat 2026-09-08 (Q47)</t>
        </is>
      </c>
      <c r="D14" s="3" t="inlineStr">
        <is>
          <t>ok — one producer for essentials per brief Q-21 (2026-08-20); fewer than 12 months logged → the average for the logged months, labelled 'N month average'</t>
        </is>
      </c>
      <c r="E14" s="3" t="inlineStr">
        <is>
          <t>MK-NW-M-013 · MK-NW-M-014 · MK-MN-M-020 · MK-MN-M-021 · MK-MN-M-024 · MK-MN-M-025 · MK-MN-M-026</t>
        </is>
      </c>
      <c r="F14" s="6" t="inlineStr">
        <is>
          <t>TESTED</t>
        </is>
      </c>
      <c r="G14" s="3" t="inlineStr">
        <is>
          <t>MK-CF-F-189 essentialsFromLoggedSpending (new) · MK-CF-F-190 essentialsMonthly (new) · four screens · MK-CF-F-010 emergencyTest</t>
        </is>
      </c>
      <c r="H14" s="3" t="inlineStr">
        <is>
          <t>src/__tests__/g21_essentials.test.ts · src/screens/__tests__/g21_essentials_screens.test.tsx</t>
        </is>
      </c>
      <c r="I14" s="3" t="inlineStr">
        <is>
          <t>2026-09-08</t>
        </is>
      </c>
      <c r="J14" s="3" t="inlineStr"/>
      <c r="K14" s="3" t="inlineStr">
        <is>
          <t>One assumption of mine awaits his word: the unfinished current month is left out unless it is the only month.</t>
        </is>
      </c>
    </row>
    <row r="15">
      <c r="A15" s="3" t="inlineStr">
        <is>
          <t>G22 / Q46</t>
        </is>
      </c>
      <c r="B15" s="3" t="inlineStr">
        <is>
          <t>2026-09-08</t>
        </is>
      </c>
      <c r="C15" s="3" t="inlineStr">
        <is>
          <t>his -jj copy of the second-verification assessment (column I) · chat 2026-09-08 (Q46)</t>
        </is>
      </c>
      <c r="D15" s="3" t="inlineStr">
        <is>
          <t>the tax organizer shows gross income, 401(k) contribution, standard deduction and taxable income</t>
        </is>
      </c>
      <c r="E15" s="3" t="inlineStr">
        <is>
          <t>MK-MN-M-027 · MK-MN-M-028</t>
        </is>
      </c>
      <c r="F15" s="6" t="inlineStr">
        <is>
          <t>TESTED</t>
        </is>
      </c>
      <c r="G15" s="3" t="inlineStr">
        <is>
          <t>MK-PL-F-082 taxableIncomeSteps (new) · MK-CF-F-188 householdPreTaxContributionsAnnual (new) · TaxOrganizerScreen + export</t>
        </is>
      </c>
      <c r="H15" s="3" t="inlineStr">
        <is>
          <t>src/domain/planning/planning.test.ts · src/screens/__tests__/tax_organizer_q46.test.tsx</t>
        </is>
      </c>
      <c r="I15" s="3" t="inlineStr">
        <is>
          <t>2026-09-08</t>
        </is>
      </c>
      <c r="J15" s="3" t="inlineStr"/>
      <c r="K15" s="3" t="inlineStr">
        <is>
          <t>JJ-5 opened: the income grid may take off only the first earner's 401(k) — to verify.</t>
        </is>
      </c>
    </row>
    <row r="16">
      <c r="A16" s="3" t="inlineStr">
        <is>
          <t>G23</t>
        </is>
      </c>
      <c r="B16" s="3" t="inlineStr">
        <is>
          <t>2026-09-08</t>
        </is>
      </c>
      <c r="C16" s="3" t="inlineStr">
        <is>
          <t>his -jj copy of the second-verification assessment (column I)</t>
        </is>
      </c>
      <c r="D16" s="3" t="inlineStr">
        <is>
          <t>ok — the bracket loops written by hand; the statutory tables in the file</t>
        </is>
      </c>
      <c r="E16" s="3" t="inlineStr">
        <is>
          <t>MK-CF-F-101 · MK-CF-F-103 · Reference tab</t>
        </is>
      </c>
      <c r="F16" s="6" t="inlineStr">
        <is>
          <t>TESTED</t>
        </is>
      </c>
      <c r="G16" s="3" t="inlineStr">
        <is>
          <t>hand-read formulas in moneykeel_code_formula.py; the extractor marks any loop it cannot render</t>
        </is>
      </c>
      <c r="H16" s="3" t="inlineStr">
        <is>
          <t>the header guard + the formula-agreement gate · check-rulings-in-file.py (fails if the row loses this)</t>
        </is>
      </c>
      <c r="I16" s="3" t="inlineStr">
        <is>
          <t>2026-09-08</t>
        </is>
      </c>
      <c r="J16" s="3" t="inlineStr"/>
      <c r="K16" s="3" t="inlineStr">
        <is>
          <t>File-only ruling: CODED is its last stage before your VERIFIED mark (objectives standard, "How a ruling is tracked"). TESTED 2026-09-12: the row's expected text is checked against the built file on every build.</t>
        </is>
      </c>
    </row>
    <row r="17">
      <c r="A17" s="3" t="inlineStr">
        <is>
          <t>G25</t>
        </is>
      </c>
      <c r="B17" s="3" t="inlineStr">
        <is>
          <t>2026-09-08</t>
        </is>
      </c>
      <c r="C17" s="3" t="inlineStr">
        <is>
          <t>his -jj copy of the second-verification assessment (column I)</t>
        </is>
      </c>
      <c r="D17" s="3" t="inlineStr">
        <is>
          <t>ok — the statement amount cites MK-XS-I-020 (and I-021 for the claim age)</t>
        </is>
      </c>
      <c r="E17" s="3" t="inlineStr">
        <is>
          <t>MK-PL-M-017 · MK-PL-M-019</t>
        </is>
      </c>
      <c r="F17" s="6" t="inlineStr">
        <is>
          <t>TESTED</t>
        </is>
      </c>
      <c r="G17" s="3" t="inlineStr">
        <is>
          <t>file only</t>
        </is>
      </c>
      <c r="H17" s="3" t="inlineStr">
        <is>
          <t>the formula-agreement gate · check-rulings-in-file.py (fails if the row loses this)</t>
        </is>
      </c>
      <c r="I17" s="3" t="inlineStr">
        <is>
          <t>2026-09-09</t>
        </is>
      </c>
      <c r="J17" s="3" t="inlineStr"/>
      <c r="K17" s="3" t="inlineStr">
        <is>
          <t>File-only ruling: CODED is its last stage before your VERIFIED mark (objectives standard, "How a ruling is tracked"). TESTED 2026-09-12: the row's expected text is checked against the built file on every build.</t>
        </is>
      </c>
    </row>
    <row r="18">
      <c r="A18" s="3" t="inlineStr">
        <is>
          <t>G26</t>
        </is>
      </c>
      <c r="B18" s="3" t="inlineStr">
        <is>
          <t>2026-09-08</t>
        </is>
      </c>
      <c r="C18" s="3" t="inlineStr">
        <is>
          <t>his -jj copy of the second-verification assessment (column I)</t>
        </is>
      </c>
      <c r="D18" s="3" t="inlineStr">
        <is>
          <t>ok — the dependency column from the live function registry; a check that no row cites a retired identifier</t>
        </is>
      </c>
      <c r="E18" s="3" t="inlineStr">
        <is>
          <t>every active figure</t>
        </is>
      </c>
      <c r="F18" s="6" t="inlineStr">
        <is>
          <t>TESTED</t>
        </is>
      </c>
      <c r="G18" s="3" t="inlineStr">
        <is>
          <t>the builder (dep_from_functions) + a build guard</t>
        </is>
      </c>
      <c r="H18" s="3" t="inlineStr">
        <is>
          <t>the build stops on a retired identifier · check-rulings-in-file.py (fails if the row loses this)</t>
        </is>
      </c>
      <c r="I18" s="3" t="inlineStr">
        <is>
          <t>2026-09-08</t>
        </is>
      </c>
      <c r="J18" s="3" t="inlineStr"/>
      <c r="K18" s="3" t="inlineStr">
        <is>
          <t>File-only ruling: CODED is its last stage before your VERIFIED mark (objectives standard, "How a ruling is tracked"). TESTED 2026-09-12: the row's expected text is checked against the built file on every build.</t>
        </is>
      </c>
    </row>
    <row r="19">
      <c r="A19" s="3" t="inlineStr">
        <is>
          <t>G27</t>
        </is>
      </c>
      <c r="B19" s="3" t="inlineStr">
        <is>
          <t>2026-09-08</t>
        </is>
      </c>
      <c r="C19" s="3" t="inlineStr">
        <is>
          <t>his -jj copy of the second-verification assessment (column I)</t>
        </is>
      </c>
      <c r="D19" s="3" t="inlineStr">
        <is>
          <t>ok — 'Figures that name it' from the screen tabs' Function ID column</t>
        </is>
      </c>
      <c r="E19" s="3" t="inlineStr">
        <is>
          <t>every function row</t>
        </is>
      </c>
      <c r="F19" s="6" t="inlineStr">
        <is>
          <t>TESTED</t>
        </is>
      </c>
      <c r="G19" s="3" t="inlineStr">
        <is>
          <t>the builder</t>
        </is>
      </c>
      <c r="H19" s="3" t="inlineStr">
        <is>
          <t>the build · check-rulings-in-file.py (fails if the row loses this)</t>
        </is>
      </c>
      <c r="I19" s="3" t="inlineStr">
        <is>
          <t>2026-09-08</t>
        </is>
      </c>
      <c r="J19" s="3" t="inlineStr"/>
      <c r="K19" s="3" t="inlineStr">
        <is>
          <t>File-only ruling: CODED is its last stage before your VERIFIED mark (objectives standard, "How a ruling is tracked"). TESTED 2026-09-12: the row's expected text is checked against the built file on every build.</t>
        </is>
      </c>
    </row>
    <row r="20">
      <c r="A20" s="3" t="inlineStr">
        <is>
          <t>G28</t>
        </is>
      </c>
      <c r="B20" s="3" t="inlineStr">
        <is>
          <t>2026-09-08</t>
        </is>
      </c>
      <c r="C20" s="3" t="inlineStr">
        <is>
          <t>his -jj copy of the second-verification assessment (column I) · chat 2026-09-09 (the hybrid approach)</t>
        </is>
      </c>
      <c r="D20" s="3" t="inlineStr">
        <is>
          <t>ok — inputs' reach and the reconciliation by identifier, all inputs; then: the code's record beside each row's claim, he approves rows in batches, the gate compares approved against the code</t>
        </is>
      </c>
      <c r="E20" s="3" t="inlineStr">
        <is>
          <t>every active figure (150) · 62 inputs</t>
        </is>
      </c>
      <c r="F20" s="7" t="inlineStr">
        <is>
          <t>CODED — awaiting his approval of rows</t>
        </is>
      </c>
      <c r="G20" s="3" t="inlineStr">
        <is>
          <t>the sweep (field names, run-time keys, callbacks) · the builder (code record, approval column, reporting gate)</t>
        </is>
      </c>
      <c r="H20" s="3" t="inlineStr">
        <is>
          <t>the build reports approved-vs-code differences; becomes build-stopping once the record is trusted</t>
        </is>
      </c>
      <c r="I20" s="3" t="inlineStr">
        <is>
          <t>2026-09-09</t>
        </is>
      </c>
      <c r="J20" s="3" t="inlineStr"/>
      <c r="K20" s="3" t="inlineStr">
        <is>
          <t>I called this DONE on 2026-09-08 when only the check had been rebuilt — corrected 2026-09-09. Batch 1 (10 rows) awaits his ruling.</t>
        </is>
      </c>
    </row>
    <row r="21">
      <c r="A21" s="3" t="inlineStr">
        <is>
          <t>G29</t>
        </is>
      </c>
      <c r="B21" s="3" t="inlineStr">
        <is>
          <t>2026-09-08</t>
        </is>
      </c>
      <c r="C21" s="3" t="inlineStr">
        <is>
          <t>his -jj copy of the second-verification assessment (column I)</t>
        </is>
      </c>
      <c r="D21" s="3" t="inlineStr">
        <is>
          <t>ok — Specification counts from the build; MK-NW-M-006 carries its formula</t>
        </is>
      </c>
      <c r="E21" s="3" t="inlineStr">
        <is>
          <t>Specification · MK-NW-M-006</t>
        </is>
      </c>
      <c r="F21" s="6" t="inlineStr">
        <is>
          <t>TESTED</t>
        </is>
      </c>
      <c r="G21" s="3" t="inlineStr">
        <is>
          <t>the builder + moneykeel_formulas.py</t>
        </is>
      </c>
      <c r="H21" s="3" t="inlineStr">
        <is>
          <t>the build · check-rulings-in-file.py (fails if the row loses this)</t>
        </is>
      </c>
      <c r="I21" s="3" t="inlineStr">
        <is>
          <t>2026-09-08</t>
        </is>
      </c>
      <c r="J21" s="3" t="inlineStr"/>
      <c r="K21" s="3" t="inlineStr">
        <is>
          <t>File-only ruling: CODED is its last stage before your VERIFIED mark (objectives standard, "How a ruling is tracked"). TESTED 2026-09-12: the row's expected text is checked against the built file on every build.</t>
        </is>
      </c>
    </row>
    <row r="22">
      <c r="A22" s="3" t="inlineStr">
        <is>
          <t>G30</t>
        </is>
      </c>
      <c r="B22" s="3" t="inlineStr">
        <is>
          <t>2026-09-08</t>
        </is>
      </c>
      <c r="C22" s="3" t="inlineStr">
        <is>
          <t>his -jj copy of the second-verification assessment (column I)</t>
        </is>
      </c>
      <c r="D22" s="3" t="inlineStr">
        <is>
          <t>ok — brief Q-50 (2026-08-20): inflation defaults to the dated 30-year average, adjustable; no feed</t>
        </is>
      </c>
      <c r="E22" s="3" t="inlineStr">
        <is>
          <t>MK-XS-I-029 · the odds, the snapshot, the cockpit</t>
        </is>
      </c>
      <c r="F22" s="6" t="inlineStr">
        <is>
          <t>TESTED</t>
        </is>
      </c>
      <c r="G22" s="3" t="inlineStr">
        <is>
          <t>MK-PL-F-083 inflationRateInForce (new) · willItLast · snapshot · RetirementCockpit</t>
        </is>
      </c>
      <c r="H22" s="3" t="inlineStr">
        <is>
          <t>src/__tests__/inflation_default.test.ts</t>
        </is>
      </c>
      <c r="I22" s="3" t="inlineStr">
        <is>
          <t>2026-09-08</t>
        </is>
      </c>
      <c r="J22" s="3" t="inlineStr"/>
      <c r="K22" s="3" t="inlineStr"/>
    </row>
    <row r="23">
      <c r="A23" s="3" t="inlineStr">
        <is>
          <t>G32 / Q48</t>
        </is>
      </c>
      <c r="B23" s="3" t="inlineStr">
        <is>
          <t>2026-09-09</t>
        </is>
      </c>
      <c r="C23" s="3" t="inlineStr">
        <is>
          <t>chat</t>
        </is>
      </c>
      <c r="D23" s="3" t="inlineStr">
        <is>
          <t>the screen shows $0 with a sentence explaining nothing is entered, and the door; the sentence approved; one mock of the pattern on one screen</t>
        </is>
      </c>
      <c r="E23" s="3" t="inlineStr">
        <is>
          <t>49 figures on 17 screens + 21 rows with the false division text</t>
        </is>
      </c>
      <c r="F23" s="6" t="inlineStr">
        <is>
          <t>TESTED</t>
        </is>
      </c>
      <c r="G23" s="3" t="inlineStr">
        <is>
          <t>Mock approved 2026-09-12 (moneykeel_pres_mock_empty-state-pattern_v01.html). One component, EmptyNote (src/components/UI.tsx): '$0' stays, then 'Nothing entered yet.' and the door; one wording per thing in EMPTY_DOORS (src/constants/doors.ts). Built on 46 of the 58 rows: Net worth (hero, Cash, Investments, Debts, the identity line) · Home (investments, the Income cell) · Cash flow (sources, received, the month card, the categories, the this-month inflow and outflow rows, the planned rows, the big-ticket radar) · Performance (day one) · Plan (the paycheck lines) · Roth (from your pre-tax) · Big costs · Goals (the non-monthly budget) · Income summary (both bands, $0 never a dash) · Other investments · Stress test (cash, essentials) · Bonds. A real zero that was entered shows a plain $0 (an account at $0 gets no line). The 58 file cells say what the mock says.</t>
        </is>
      </c>
      <c r="H23" s="3" t="inlineStr">
        <is>
          <t>src/screens/__tests__/empty_state_q48.test.tsx (the mock's screen, frame 1 and frame 2) · empty_state_q48_screens.test.tsx (the other screens)</t>
        </is>
      </c>
      <c r="I23" s="3" t="inlineStr">
        <is>
          <t>2026-09-12</t>
        </is>
      </c>
      <c r="J23" s="3" t="inlineStr"/>
      <c r="K23" s="3" t="inlineStr">
        <is>
          <t>Not applicable (4 of 58): MK-NW-M-031/032/033/034 — a holding page exists only once a holding was entered, so its $0 means sold, and the screen says so. Not built (8 of 58): MK-NW-M-019/020/021 (Account detail — the classes and income inside one account), MK-CF-M-004 (a past month that predates tracking keeps its own sentence), MK-CF-M-021 (a goal row appears only when a goal is committed), MK-PL-M-023 (the Roth 'Extra tax' row reads '—' until a plan is adopted), MK-MN-M-021 (Job safety asks for the figure in place). Open question: 'Debts' cannot tell an entered none from nothing entered — no 'I have no debts' answer exists; add one (a new input) or accept the line?</t>
        </is>
      </c>
    </row>
    <row r="24">
      <c r="A24" s="3" t="inlineStr">
        <is>
          <t>G33</t>
        </is>
      </c>
      <c r="B24" s="3" t="inlineStr">
        <is>
          <t>2026-09-08</t>
        </is>
      </c>
      <c r="C24" s="3" t="inlineStr">
        <is>
          <t>his -jj copy of the second-verification assessment (column I)</t>
        </is>
      </c>
      <c r="D24" s="3" t="inlineStr">
        <is>
          <t>ok — units derived by rule say so; S04/S06/S07 read PARTIAL</t>
        </is>
      </c>
      <c r="E24" s="3" t="inlineStr">
        <is>
          <t>Specification · every figure's unit column</t>
        </is>
      </c>
      <c r="F24" s="6" t="inlineStr">
        <is>
          <t>TESTED</t>
        </is>
      </c>
      <c r="G24" s="3" t="inlineStr">
        <is>
          <t>the builder</t>
        </is>
      </c>
      <c r="H24" s="3" t="inlineStr">
        <is>
          <t>the build · check-rulings-in-file.py (fails if the row loses this)</t>
        </is>
      </c>
      <c r="I24" s="3" t="inlineStr">
        <is>
          <t>2026-09-08</t>
        </is>
      </c>
      <c r="J24" s="3" t="inlineStr"/>
      <c r="K24" s="3" t="inlineStr">
        <is>
          <t>Reading units from the function's return is open work. TESTED 2026-09-12: the row's expected text is checked against the built file on every build.</t>
        </is>
      </c>
    </row>
    <row r="25">
      <c r="A25" s="3" t="inlineStr">
        <is>
          <t>G34</t>
        </is>
      </c>
      <c r="B25" s="3" t="inlineStr">
        <is>
          <t>2026-09-08</t>
        </is>
      </c>
      <c r="C25" s="3" t="inlineStr">
        <is>
          <t>his -jj copy of the second-verification assessment (column I)</t>
        </is>
      </c>
      <c r="D25" s="3" t="inlineStr">
        <is>
          <t>ok — one word per concept in the master's words; the screen labels to match; a build check</t>
        </is>
      </c>
      <c r="E25" s="3" t="inlineStr">
        <is>
          <t>the master's words columns · 'Take-home / month' · 'TAKE-HOME / YEAR' · '(calculated)' · 'check'</t>
        </is>
      </c>
      <c r="F25" s="6" t="inlineStr">
        <is>
          <t>TESTED</t>
        </is>
      </c>
      <c r="G25" s="3" t="inlineStr">
        <is>
          <t>the builder's canon + BANNED guard · moneykeel_formulas.py · three screens</t>
        </is>
      </c>
      <c r="H25" s="3" t="inlineStr">
        <is>
          <t>src/__tests__/one_term_per_concept.test.ts + the build guard</t>
        </is>
      </c>
      <c r="I25" s="3" t="inlineStr">
        <is>
          <t>2026-09-08</t>
        </is>
      </c>
      <c r="J25" s="3" t="inlineStr"/>
      <c r="K25" s="3" t="inlineStr"/>
    </row>
    <row r="26">
      <c r="A26" s="3" t="inlineStr">
        <is>
          <t>G35</t>
        </is>
      </c>
      <c r="B26" s="3" t="inlineStr">
        <is>
          <t>2026-09-08</t>
        </is>
      </c>
      <c r="C26" s="3" t="inlineStr">
        <is>
          <t>his -jj copy of the second-verification assessment (column I)</t>
        </is>
      </c>
      <c r="D26" s="3" t="inlineStr">
        <is>
          <t>explained and fixed in the file: the four mis-rendered functions written by hand; caps declared</t>
        </is>
      </c>
      <c r="E26" s="3" t="inlineStr">
        <is>
          <t>MK-CF-F-057 · MK-CF-F-097 · MK-CF-F-087 · MK-CF-F-101</t>
        </is>
      </c>
      <c r="F26" s="6" t="inlineStr">
        <is>
          <t>TESTED</t>
        </is>
      </c>
      <c r="G26" s="3" t="inlineStr">
        <is>
          <t>hand-read formulas + assumptions in moneykeel_code_formula.py</t>
        </is>
      </c>
      <c r="H26" s="3" t="inlineStr">
        <is>
          <t>the header guard + the formula-agreement gate · check-rulings-in-file.py (fails if the row loses this)</t>
        </is>
      </c>
      <c r="I26" s="3" t="inlineStr">
        <is>
          <t>2026-09-08</t>
        </is>
      </c>
      <c r="J26" s="3" t="inlineStr"/>
      <c r="K26" s="3" t="inlineStr">
        <is>
          <t>File-only ruling: CODED is its last stage before your VERIFIED mark (objectives standard, "How a ruling is tracked"). TESTED 2026-09-12: the row's expected text is checked against the built file on every build.</t>
        </is>
      </c>
    </row>
    <row r="27">
      <c r="A27" s="3" t="inlineStr">
        <is>
          <t>G37 / Q49</t>
        </is>
      </c>
      <c r="B27" s="3" t="inlineStr">
        <is>
          <t>2026-09-09</t>
        </is>
      </c>
      <c r="C27" s="3" t="inlineStr">
        <is>
          <t>chat</t>
        </is>
      </c>
      <c r="D27" s="3" t="inlineStr">
        <is>
          <t>full precision for calculation; display two decimals unless stated (whole dollars for totals, balances, projections; eight for coin quantities); fix the code in one pass</t>
        </is>
      </c>
      <c r="E27" s="3" t="inlineStr">
        <is>
          <t>every calculation (307 + 10 rounding sites) · Reference standing decision · the display formatters</t>
        </is>
      </c>
      <c r="F27" s="6" t="inlineStr">
        <is>
          <t>TESTED</t>
        </is>
      </c>
      <c r="G27" s="3" t="inlineStr">
        <is>
          <t>34 calculation files · useMoney.ts (maskedPrice, coinQuantity) · HoldingDetailScreen · the standard moneykeel_calc_spec_precision-and-display_v01.md</t>
        </is>
      </c>
      <c r="H27" s="3" t="inlineStr">
        <is>
          <t>src/__tests__/precision_guard.test.ts · golden.test.ts and 12 other suites re-pinned to the cent</t>
        </is>
      </c>
      <c r="I27" s="3" t="inlineStr">
        <is>
          <t>2026-09-09</t>
        </is>
      </c>
      <c r="J27" s="3" t="inlineStr"/>
      <c r="K27" s="3" t="inlineStr"/>
    </row>
    <row r="28">
      <c r="A28" s="3" t="inlineStr">
        <is>
          <t>C2</t>
        </is>
      </c>
      <c r="B28" s="3" t="inlineStr">
        <is>
          <t>2026-09-08</t>
        </is>
      </c>
      <c r="C28" s="3" t="inlineStr">
        <is>
          <t>his -jj copy of the second-verification assessment (column I)</t>
        </is>
      </c>
      <c r="D28" s="3" t="inlineStr">
        <is>
          <t>ok — the odds row's words: no band, 1,000 futures, nearest 5</t>
        </is>
      </c>
      <c r="E28" s="3" t="inlineStr">
        <is>
          <t>MK-XS-M-002</t>
        </is>
      </c>
      <c r="F28" s="6" t="inlineStr">
        <is>
          <t>TESTED</t>
        </is>
      </c>
      <c r="G28" s="3" t="inlineStr">
        <is>
          <t>file only</t>
        </is>
      </c>
      <c r="H28" s="3" t="inlineStr">
        <is>
          <t>the formula-agreement gate · check-rulings-in-file.py (fails if the row loses this)</t>
        </is>
      </c>
      <c r="I28" s="3" t="inlineStr">
        <is>
          <t>2026-09-09</t>
        </is>
      </c>
      <c r="J28" s="3" t="inlineStr"/>
      <c r="K28" s="3" t="inlineStr">
        <is>
          <t>File-only ruling: CODED is its last stage before your VERIFIED mark (objectives standard, "How a ruling is tracked"). TESTED 2026-09-12: the row's expected text is checked against the built file on every build. SUPERSEDED IN PART 2026-09-14: the nearest-5 rounding is replaced by "Odds — exact, no rounding"; the 1,000 futures and the removed band stand.</t>
        </is>
      </c>
    </row>
    <row r="29">
      <c r="A29" s="3" t="inlineStr">
        <is>
          <t>C4</t>
        </is>
      </c>
      <c r="B29" s="3" t="inlineStr">
        <is>
          <t>2026-09-08</t>
        </is>
      </c>
      <c r="C29" s="3" t="inlineStr">
        <is>
          <t>his -jj copy of the second-verification assessment (column I)</t>
        </is>
      </c>
      <c r="D29" s="3" t="inlineStr">
        <is>
          <t>ok — round2 is two decimals; reclassified</t>
        </is>
      </c>
      <c r="E29" s="3" t="inlineStr">
        <is>
          <t>MK-ST-F-055 and every chain that reaches it</t>
        </is>
      </c>
      <c r="F29" s="7" t="inlineStr">
        <is>
          <t>CODED</t>
        </is>
      </c>
      <c r="G29" s="3" t="inlineStr">
        <is>
          <t>the extractor (rounding idioms) + CATEGORY_OVERRIDES</t>
        </is>
      </c>
      <c r="H29" s="3" t="inlineStr">
        <is>
          <t>the header guard</t>
        </is>
      </c>
      <c r="I29" s="3" t="inlineStr">
        <is>
          <t>2026-09-08</t>
        </is>
      </c>
      <c r="J29" s="3" t="inlineStr"/>
      <c r="K29" s="3" t="inlineStr">
        <is>
          <t>After Q49 the function is called by no calculation; it serves the display layer.</t>
        </is>
      </c>
    </row>
    <row r="30">
      <c r="A30" s="3" t="inlineStr">
        <is>
          <t>Synonym cluster #1</t>
        </is>
      </c>
      <c r="B30" s="3" t="inlineStr">
        <is>
          <t>2026-09-03</t>
        </is>
      </c>
      <c r="C30" s="3" t="inlineStr">
        <is>
          <t>moneykeel_audit_decisions_synonym-clusters_v01-jj.xlsx</t>
        </is>
      </c>
      <c r="D30" s="3" t="inlineStr">
        <is>
          <t>the money left after everything out → Surplus</t>
        </is>
      </c>
      <c r="E30" s="3" t="inlineStr">
        <is>
          <t>app copy, every screen carrying the concept</t>
        </is>
      </c>
      <c r="F30" s="6" t="inlineStr">
        <is>
          <t>TESTED</t>
        </is>
      </c>
      <c r="G30" s="3" t="inlineStr">
        <is>
          <t>Applied 2026-09-11 — LEFT OVER / Left to spend / Free to spend / what’s left / Available → Surplus across src + MoneyKeel/functions; by hand: Cash-flow pace line ('Spent $X of $Y surplus this month'), the hero's spoken label ('surplus after your budget'), Tips summary 'Budget remaining', Bill-calendar sub-line ('and the surplus'), Retirement cockpit 'Assumed return on your remaining nest egg'.</t>
        </is>
      </c>
      <c r="H30" s="3" t="inlineStr">
        <is>
          <t>src/__tests__/one_term_per_concept.test.ts (reads the canon table, row 1) + the repinned screen tests</t>
        </is>
      </c>
      <c r="I30" s="3" t="inlineStr">
        <is>
          <t>2026-09-11</t>
        </is>
      </c>
      <c r="J30" s="3" t="inlineStr"/>
      <c r="K30" s="3" t="inlineStr"/>
    </row>
    <row r="31">
      <c r="A31" s="3" t="inlineStr">
        <is>
          <t>Synonym cluster #2</t>
        </is>
      </c>
      <c r="B31" s="3" t="inlineStr">
        <is>
          <t>2026-09-03</t>
        </is>
      </c>
      <c r="C31" s="3" t="inlineStr">
        <is>
          <t>moneykeel_audit_decisions_synonym-clusters_v01-jj.xlsx</t>
        </is>
      </c>
      <c r="D31" s="3" t="inlineStr">
        <is>
          <t>the retirement success percentage → odds, explained as 'In 78 out of 100 simulated futures, your money lasts to age 90'</t>
        </is>
      </c>
      <c r="E31" s="3" t="inlineStr">
        <is>
          <t>app copy, every screen carrying the concept</t>
        </is>
      </c>
      <c r="F31" s="6" t="inlineStr">
        <is>
          <t>TESTED</t>
        </is>
      </c>
      <c r="G31" s="3" t="inlineStr">
        <is>
          <t>Applied — spendMore.ts: 'Lasts in about N out of 100 simulated futures. In the other M, it runs out before AGE.'; Will-it-last screen: 'In N out of 100 simulated futures, your money lasts to AGE.'; Mortgage compare likewise; 'future simulation(s)' → 'simulated future(s)' everywhere; '% of scenarios' / 'of every 100 futures' retired. Tests repinned: spendMore, SpendMoreControl, MortgageRateCompare, build_audit_decisions D7.</t>
        </is>
      </c>
      <c r="H31" s="3" t="inlineStr">
        <is>
          <t>src/__tests__/one_term_per_concept.test.ts (reads the canon table, row 2) + the repinned screen tests</t>
        </is>
      </c>
      <c r="I31" s="3" t="inlineStr">
        <is>
          <t>2026-09-11</t>
        </is>
      </c>
      <c r="J31" s="3" t="inlineStr"/>
      <c r="K31" s="3" t="inlineStr"/>
    </row>
    <row r="32">
      <c r="A32" s="3" t="inlineStr">
        <is>
          <t>Synonym cluster #3</t>
        </is>
      </c>
      <c r="B32" s="3" t="inlineStr">
        <is>
          <t>2026-09-03</t>
        </is>
      </c>
      <c r="C32" s="3" t="inlineStr">
        <is>
          <t>moneykeel_audit_decisions_synonym-clusters_v01-jj.xlsx</t>
        </is>
      </c>
      <c r="D32" s="3" t="inlineStr">
        <is>
          <t>money going out in a month → Expenses (planned / actual / recurring by context); 'Outflow (expenses + debt)' for money leaving; evaluate context, never replace blindly · his answer 2026-09-12: replace with expenses in prose too. Again keep in mind context per my prior response</t>
        </is>
      </c>
      <c r="E32" s="3" t="inlineStr">
        <is>
          <t>app copy, every screen carrying the concept</t>
        </is>
      </c>
      <c r="F32" s="6" t="inlineStr">
        <is>
          <t>TESTED</t>
        </is>
      </c>
      <c r="G32" s="3" t="inlineStr">
        <is>
          <t>Applied in context, not blindly — 'Spent so far' → 'Actual expenses so far'; 'Out (bills + debt)' → 'Outflow (bills + debt)'; 'Actual spend' → 'Actual expenses' (Budget strip, Tips); 'outgo' → 'expenses'; the Cash-flow tab 'Spending' → 'Expenses'; onboarding recap and legend 'Spending' → 'Expenses'; 'essential / must-pay bills' → 'essential expenses'. OPEN FOR YOU: the word 'spending' in running prose — 173 places (e.g. 'Monthly expenses in retirement', 'Stay on top of income and spending', 'GET YOUR EXPENSES IN', 'your logged spending'). Replace with 'expenses' in prose too, or only where it is a label? Say the rule and I list them row by row.</t>
        </is>
      </c>
      <c r="H32" s="3" t="inlineStr">
        <is>
          <t>src/__tests__/one_term_per_concept.test.ts (reads the canon table, row 3) + the repinned screen tests</t>
        </is>
      </c>
      <c r="I32" s="3" t="inlineStr">
        <is>
          <t>2026-09-12</t>
        </is>
      </c>
      <c r="J32" s="3" t="inlineStr"/>
      <c r="K32" s="3" t="inlineStr">
        <is>
          <t>Your answer 2026-09-12 applied the same day: 'spending' → 'expenses' in every copy string, screen text and comment (191 places, 55 files), verbs kept ('spend down', 'before you spend anything'); grammar fixed where the swap needed it ('What are your average monthly expenses?', 'expenses use your planned amounts', 'your expenses are more than you keep'). Retired in the canon table: expenses, Expenses, EXPENSES.</t>
        </is>
      </c>
    </row>
    <row r="33">
      <c r="A33" s="3" t="inlineStr">
        <is>
          <t>Synonym cluster #4</t>
        </is>
      </c>
      <c r="B33" s="3" t="inlineStr">
        <is>
          <t>2026-09-03</t>
        </is>
      </c>
      <c r="C33" s="3" t="inlineStr">
        <is>
          <t>moneykeel_audit_decisions_synonym-clusters_v01-jj.xlsx</t>
        </is>
      </c>
      <c r="D33" s="3" t="inlineStr">
        <is>
          <t>a figure the person gave us → 'you entered'</t>
        </is>
      </c>
      <c r="E33" s="3" t="inlineStr">
        <is>
          <t>app copy, every screen carrying the concept</t>
        </is>
      </c>
      <c r="F33" s="6" t="inlineStr">
        <is>
          <t>TESTED</t>
        </is>
      </c>
      <c r="G33" s="3" t="inlineStr">
        <is>
          <t>Applied — you told us / you entered / set by you / you typed / captured → you entered ('No guaranteed income entered yet', Roth tax-rate spoken label, Filing status 'On the $X you entered', account-income 'the accounts you entered'); comments too.</t>
        </is>
      </c>
      <c r="H33" s="3" t="inlineStr">
        <is>
          <t>src/__tests__/one_term_per_concept.test.ts (reads the canon table, row 4) + the repinned screen tests</t>
        </is>
      </c>
      <c r="I33" s="3" t="inlineStr">
        <is>
          <t>2026-09-11</t>
        </is>
      </c>
      <c r="J33" s="3" t="inlineStr"/>
      <c r="K33" s="3" t="inlineStr"/>
    </row>
    <row r="34">
      <c r="A34" s="3" t="inlineStr">
        <is>
          <t>Synonym cluster #5</t>
        </is>
      </c>
      <c r="B34" s="3" t="inlineStr">
        <is>
          <t>2026-09-03</t>
        </is>
      </c>
      <c r="C34" s="3" t="inlineStr">
        <is>
          <t>moneykeel_audit_decisions_synonym-clusters_v01-jj.xlsx</t>
        </is>
      </c>
      <c r="D34" s="3" t="inlineStr">
        <is>
          <t>money arriving in a month → take-home; 'Base salary (take-home)', 'Income (take-home)'; cash flow always 'Inflow (income (take-home) + rent)' / Outflow</t>
        </is>
      </c>
      <c r="E34" s="3" t="inlineStr">
        <is>
          <t>app copy, every screen carrying the concept</t>
        </is>
      </c>
      <c r="F34" s="6" t="inlineStr">
        <is>
          <t>TESTED</t>
        </is>
      </c>
      <c r="G34" s="3" t="inlineStr">
        <is>
          <t>Applied — new function MK-CF-F-192 inflowLabel (with MK-CF-F-193 inflowSourceWord) (MoneyKeel/functions/cashflow/this-month.ts) builds 'Inflow (income (take-home) + rent)' from the month's actual sources; used by plannedMonthFlow, actualMonthFlow, the Cash-flow This-month card and the Paycheck-months card ('Inflow (Social Security + pension)'); 'Money in (one-time income)' → 'Inflow (one-time income)'; 'MONEY IN' → 'INFLOW'; 'Expected in' → 'Planned inflow'; 'In (received)' → 'Actual inflow'. Test: inflow-label.test.ts — your own example is the test.</t>
        </is>
      </c>
      <c r="H34" s="3" t="inlineStr">
        <is>
          <t>src/__tests__/one_term_per_concept.test.ts (reads the canon table, row 5) + the repinned screen tests</t>
        </is>
      </c>
      <c r="I34" s="3" t="inlineStr">
        <is>
          <t>2026-09-11</t>
        </is>
      </c>
      <c r="J34" s="3" t="inlineStr"/>
      <c r="K34" s="3" t="inlineStr"/>
    </row>
    <row r="35">
      <c r="A35" s="3" t="inlineStr">
        <is>
          <t>Synonym cluster #6</t>
        </is>
      </c>
      <c r="B35" s="3" t="inlineStr">
        <is>
          <t>2026-09-03</t>
        </is>
      </c>
      <c r="C35" s="3" t="inlineStr">
        <is>
          <t>moneykeel_audit_decisions_synonym-clusters_v01-jj.xlsx</t>
        </is>
      </c>
      <c r="D35" s="3" t="inlineStr">
        <is>
          <t>cash saved for emergencies → Emergency fund</t>
        </is>
      </c>
      <c r="E35" s="3" t="inlineStr">
        <is>
          <t>app copy, every screen carrying the concept</t>
        </is>
      </c>
      <c r="F35" s="6" t="inlineStr">
        <is>
          <t>TESTED</t>
        </is>
      </c>
      <c r="G35" s="3" t="inlineStr">
        <is>
          <t>Applied — cushion → emergency fund everywhere, including the rewards badge and the Net-worth spoken label.</t>
        </is>
      </c>
      <c r="H35" s="3" t="inlineStr">
        <is>
          <t>src/__tests__/one_term_per_concept.test.ts (reads the canon table, row 6) + the repinned screen tests</t>
        </is>
      </c>
      <c r="I35" s="3" t="inlineStr">
        <is>
          <t>2026-09-11</t>
        </is>
      </c>
      <c r="J35" s="3" t="inlineStr"/>
      <c r="K35" s="3" t="inlineStr"/>
    </row>
    <row r="36">
      <c r="A36" s="3" t="inlineStr">
        <is>
          <t>Synonym cluster #7</t>
        </is>
      </c>
      <c r="B36" s="3" t="inlineStr">
        <is>
          <t>2026-09-03</t>
        </is>
      </c>
      <c r="C36" s="3" t="inlineStr">
        <is>
          <t>moneykeel_audit_decisions_synonym-clusters_v01-jj.xlsx</t>
        </is>
      </c>
      <c r="D36" s="3" t="inlineStr">
        <is>
          <t>the per-category monthly plan → Budget; review context before replacing</t>
        </is>
      </c>
      <c r="E36" s="3" t="inlineStr">
        <is>
          <t>app copy, every screen carrying the concept</t>
        </is>
      </c>
      <c r="F36" s="6" t="inlineStr">
        <is>
          <t>TESTED</t>
        </is>
      </c>
      <c r="G36" s="3" t="inlineStr">
        <is>
          <t>Applied in context — 'Your monthly plan' → 'Your budget'; 'your expense plan' → 'your expense budget'; 'Set limits' → 'Set your budget'; 'spending plan' → 'budget'; 'category limits' → 'Edit your budget — each category, with the live surplus math'.</t>
        </is>
      </c>
      <c r="H36" s="3" t="inlineStr">
        <is>
          <t>src/__tests__/one_term_per_concept.test.ts (reads the canon table, row 7) + the repinned screen tests</t>
        </is>
      </c>
      <c r="I36" s="3" t="inlineStr">
        <is>
          <t>2026-09-11</t>
        </is>
      </c>
      <c r="J36" s="3" t="inlineStr"/>
      <c r="K36" s="3" t="inlineStr"/>
    </row>
    <row r="37">
      <c r="A37" s="3" t="inlineStr">
        <is>
          <t>Q06</t>
        </is>
      </c>
      <c r="B37" s="3" t="inlineStr">
        <is>
          <t>2026-08-26</t>
        </is>
      </c>
      <c r="C37" s="3" t="inlineStr">
        <is>
          <t>his -jj master (column W)</t>
        </is>
      </c>
      <c r="D37" s="3" t="inlineStr">
        <is>
          <t>options: value = contracts × 100 × price unless the broker or the person states otherwise</t>
        </is>
      </c>
      <c r="E37" s="3" t="inlineStr">
        <is>
          <t>MK-NW-M-030 · MK-XS-I-034</t>
        </is>
      </c>
      <c r="F37" s="6" t="inlineStr">
        <is>
          <t>TESTED</t>
        </is>
      </c>
      <c r="G37" s="3" t="inlineStr">
        <is>
          <t>src/domain/performance/index.ts — MK-PF-F-031 contractMultiplier: 100 for kind 'options' unless Position.multiplier (MK-XS-I-063) is set; applied in MK-PF-F-004 marketValue and MK-PF-F-002 costBasis so the gain scales with them</t>
        </is>
      </c>
      <c r="H37" s="3" t="inlineStr">
        <is>
          <t>src/domain/performance/q06_q09_contracts_and_units.test.ts</t>
        </is>
      </c>
      <c r="I37" s="3" t="inlineStr">
        <is>
          <t>2026-09-11</t>
        </is>
      </c>
      <c r="J37" s="3" t="inlineStr"/>
      <c r="K37" s="3" t="inlineStr">
        <is>
          <t>Broker-itemised option_holdings keep the broker's own value (the broker 'states otherwise'). A person-typed multiplier on the holding editor: Q42.</t>
        </is>
      </c>
    </row>
    <row r="38">
      <c r="A38" s="3" t="inlineStr">
        <is>
          <t>Q07</t>
        </is>
      </c>
      <c r="B38" s="3" t="inlineStr">
        <is>
          <t>2026-08-26</t>
        </is>
      </c>
      <c r="C38" s="3" t="inlineStr">
        <is>
          <t>his -jj master (column W)</t>
        </is>
      </c>
      <c r="D38" s="3" t="inlineStr">
        <is>
          <t>crypto quantities to 8 decimals</t>
        </is>
      </c>
      <c r="E38" s="3" t="inlineStr">
        <is>
          <t>MK-NW-M-031</t>
        </is>
      </c>
      <c r="F38" s="6" t="inlineStr">
        <is>
          <t>TESTED</t>
        </is>
      </c>
      <c r="G38" s="3" t="inlineStr">
        <is>
          <t>display: coinQuantity (8 dp) on holding detail (2026-09-09, with Q49); storage precision unchanged (floats)</t>
        </is>
      </c>
      <c r="H38" s="3" t="inlineStr">
        <is>
          <t>precision_guard + holding detail tests</t>
        </is>
      </c>
      <c r="I38" s="3" t="inlineStr">
        <is>
          <t>2026-09-09</t>
        </is>
      </c>
      <c r="J38" s="3" t="inlineStr"/>
      <c r="K38" s="3" t="inlineStr">
        <is>
          <t>Moved to TESTED 2026-09-12: precision_guard.test.ts and holding_detail_fcc.test.tsx already pin the 8-decimal display.</t>
        </is>
      </c>
    </row>
    <row r="39">
      <c r="A39" s="3" t="inlineStr">
        <is>
          <t>Q08</t>
        </is>
      </c>
      <c r="B39" s="3" t="inlineStr">
        <is>
          <t>2026-08-26</t>
        </is>
      </c>
      <c r="C39" s="3" t="inlineStr">
        <is>
          <t>his -jj master (column W)</t>
        </is>
      </c>
      <c r="D39" s="3" t="inlineStr">
        <is>
          <t>a foreign currency is cash held in that currency; no interest or dividend</t>
        </is>
      </c>
      <c r="E39" s="3" t="inlineStr">
        <is>
          <t>MK-NW-M-030</t>
        </is>
      </c>
      <c r="F39" s="6" t="inlineStr">
        <is>
          <t>TESTED</t>
        </is>
      </c>
      <c r="G39" s="3" t="inlineStr">
        <is>
          <t>src/domain/assets/index.ts — new kind 'foreign_currency' (Cash section, CASH bucket, return 0, class cash); income/from-accounts.ts skips it (no interest, not 'missing'); Net-worth cash picker offers it</t>
        </is>
      </c>
      <c r="H39" s="3" t="inlineStr">
        <is>
          <t>src/domain/assets/q08_foreign_currency.test.ts · selectors.test.ts</t>
        </is>
      </c>
      <c r="I39" s="3" t="inlineStr">
        <is>
          <t>2026-09-11</t>
        </is>
      </c>
      <c r="J39" s="3" t="inlineStr"/>
      <c r="K39" s="3" t="inlineStr">
        <is>
          <t>Entered as what it is worth in dollars today — no exchange-rate feed exists (display currency: Q43).</t>
        </is>
      </c>
    </row>
    <row r="40">
      <c r="A40" s="3" t="inlineStr">
        <is>
          <t>Q09</t>
        </is>
      </c>
      <c r="B40" s="3" t="inlineStr">
        <is>
          <t>2026-08-26</t>
        </is>
      </c>
      <c r="C40" s="3" t="inlineStr">
        <is>
          <t>his -jj master (column W)</t>
        </is>
      </c>
      <c r="D40" s="3" t="inlineStr">
        <is>
          <t>always capture the unit beside a quantity</t>
        </is>
      </c>
      <c r="E40" s="3" t="inlineStr">
        <is>
          <t>MK-NW-M-031</t>
        </is>
      </c>
      <c r="F40" s="6" t="inlineStr">
        <is>
          <t>TESTED</t>
        </is>
      </c>
      <c r="G40" s="3" t="inlineStr">
        <is>
          <t>src/domain/performance/index.ts — MK-PF-F-032 quantityUnit / MK-PF-F-033 quantityWithUnit; Position.unit (MK-XS-I-064); the Holding-detail Quantity row prints '3 shares', '0.50000000 coins', '2 contracts', '1 ounce'</t>
        </is>
      </c>
      <c r="H40" s="3" t="inlineStr">
        <is>
          <t>src/domain/performance/q06_q09_contracts_and_units.test.ts</t>
        </is>
      </c>
      <c r="I40" s="3" t="inlineStr">
        <is>
          <t>2026-09-11</t>
        </is>
      </c>
      <c r="J40" s="3" t="inlineStr"/>
      <c r="K40" s="3" t="inlineStr">
        <is>
          <t>The unit the kind implies stands until a typed unit field is added to the holding editor.</t>
        </is>
      </c>
    </row>
    <row r="41">
      <c r="A41" s="3" t="inlineStr">
        <is>
          <t>A15</t>
        </is>
      </c>
      <c r="B41" s="3" t="inlineStr">
        <is>
          <t>2026-08-26</t>
        </is>
      </c>
      <c r="C41" s="3" t="inlineStr">
        <is>
          <t>his -jj master (column W)</t>
        </is>
      </c>
      <c r="D41" s="3" t="inlineStr">
        <is>
          <t>if round2 rounds to two decimals, fix the file</t>
        </is>
      </c>
      <c r="E41" s="3" t="inlineStr">
        <is>
          <t>MK-ST-F-055</t>
        </is>
      </c>
      <c r="F41" s="6" t="inlineStr">
        <is>
          <t>TESTED</t>
        </is>
      </c>
      <c r="G41" s="3" t="inlineStr">
        <is>
          <t>file/extractor (see C4)</t>
        </is>
      </c>
      <c r="H41" s="3" t="inlineStr">
        <is>
          <t>the header guard · check-rulings-in-file.py (fails if the row loses this)</t>
        </is>
      </c>
      <c r="I41" s="3" t="inlineStr">
        <is>
          <t>2026-09-08</t>
        </is>
      </c>
      <c r="J41" s="3" t="inlineStr"/>
      <c r="K41" s="3" t="inlineStr">
        <is>
          <t>File-only ruling: CODED is its last stage before your VERIFIED mark (objectives standard, "How a ruling is tracked"). TESTED 2026-09-12: the row's expected text is checked against the built file on every build.</t>
        </is>
      </c>
    </row>
    <row r="42">
      <c r="A42" s="3" t="inlineStr">
        <is>
          <t>A46</t>
        </is>
      </c>
      <c r="B42" s="3" t="inlineStr">
        <is>
          <t>2026-08-26</t>
        </is>
      </c>
      <c r="C42" s="3" t="inlineStr">
        <is>
          <t>his -jj master (column W)</t>
        </is>
      </c>
      <c r="D42" s="3" t="inlineStr">
        <is>
          <t>if the coupon rate is not available use 0</t>
        </is>
      </c>
      <c r="E42" s="3" t="inlineStr">
        <is>
          <t>MK-NW-F-063 · the paycheck income lines</t>
        </is>
      </c>
      <c r="F42" s="6" t="inlineStr">
        <is>
          <t>TESTED</t>
        </is>
      </c>
      <c r="G42" s="3" t="inlineStr">
        <is>
          <t>src/domain/bonds/index.ts MK-NW-F-063 interestIncomeAnnual + src/domain/income/from-accounts.ts MK-CF-F-184: no coupon rate → $0, the line reads 'no coupon rate entered — counted as $0 on $X until one is'; the 4.2% constant deleted in both</t>
        </is>
      </c>
      <c r="H42" s="3" t="inlineStr">
        <is>
          <t>src/domain/bonds/a46_a47_coupon_and_accrued.test.ts · bonds/income.test.ts · income/from-accounts.test.ts</t>
        </is>
      </c>
      <c r="I42" s="3" t="inlineStr">
        <is>
          <t>2026-09-11</t>
        </is>
      </c>
      <c r="J42" s="3" t="inlineStr"/>
      <c r="K42" s="3" t="inlineStr">
        <is>
          <t>Strict reading: an assumed return (MK-XS-I-028) is not a coupon, so it no longer stands in for one. The 4.2% on the hysa / cd / fixed-income kinds is a benchmark return (Q44), untouched.</t>
        </is>
      </c>
    </row>
    <row r="43">
      <c r="A43" s="3" t="inlineStr">
        <is>
          <t>A47</t>
        </is>
      </c>
      <c r="B43" s="3" t="inlineStr">
        <is>
          <t>2026-08-26</t>
        </is>
      </c>
      <c r="C43" s="3" t="inlineStr">
        <is>
          <t>his -jj master (column W)</t>
        </is>
      </c>
      <c r="D43" s="3" t="inlineStr">
        <is>
          <t>subtract accrued interest when known; say so when not</t>
        </is>
      </c>
      <c r="E43" s="3" t="inlineStr">
        <is>
          <t>MK-NW-F-059 · MK-NW-M-044</t>
        </is>
      </c>
      <c r="F43" s="6" t="inlineStr">
        <is>
          <t>TESTED</t>
        </is>
      </c>
      <c r="G43" s="3" t="inlineStr">
        <is>
          <t>AssetAccount.accrued_interest (MK-XS-I-065) → BondInfo.accruedInterest; MK-NW-F-059 currentYield divides by price − accrued when known; MK-NW-F-070 accruedInterestCaveat: 'accrued interest not entered — the yield uses the price as you entered it'; Bonds screen: optional field + the caveat under the yield (MK-NW-M-044)</t>
        </is>
      </c>
      <c r="H43" s="3" t="inlineStr">
        <is>
          <t>src/domain/bonds/a46_a47_coupon_and_accrued.test.ts</t>
        </is>
      </c>
      <c r="I43" s="3" t="inlineStr">
        <is>
          <t>2026-09-11</t>
        </is>
      </c>
      <c r="J43" s="3" t="inlineStr"/>
      <c r="K43" s="3" t="inlineStr">
        <is>
          <t>Applied to MK-NW-F-059 as ruled; MK-NW-F-060 approxYTM still uses the price as entered — say if it should follow.</t>
        </is>
      </c>
    </row>
    <row r="44">
      <c r="A44" s="3" t="inlineStr">
        <is>
          <t>Bond display rule</t>
        </is>
      </c>
      <c r="B44" s="3" t="inlineStr">
        <is>
          <t>2026-08-26</t>
        </is>
      </c>
      <c r="C44" s="3" t="inlineStr">
        <is>
          <t>his -jj master (threaded comment on MK-NW-M-041/042/045)</t>
        </is>
      </c>
      <c r="D44" s="3" t="inlineStr">
        <is>
          <t>nine facts on a bond; value = current, else cost, else face; else 'need more information'</t>
        </is>
      </c>
      <c r="E44" s="3" t="inlineStr">
        <is>
          <t>MK-NW-M-041 · MK-NW-M-042 · MK-NW-M-045</t>
        </is>
      </c>
      <c r="F44" s="8" t="inlineStr">
        <is>
          <t>RULED</t>
        </is>
      </c>
      <c r="G44" s="3" t="inlineStr">
        <is>
          <t>not coded — five of the nine facts have no field; mock first</t>
        </is>
      </c>
      <c r="H44" s="3" t="inlineStr">
        <is>
          <t>—</t>
        </is>
      </c>
      <c r="I44" s="3" t="inlineStr"/>
      <c r="J44" s="3" t="inlineStr"/>
      <c r="K44" s="3" t="inlineStr">
        <is>
          <t>Three specifics to settle: Q38.</t>
        </is>
      </c>
    </row>
    <row r="45">
      <c r="A45" s="3" t="inlineStr">
        <is>
          <t>TZ-1</t>
        </is>
      </c>
      <c r="B45" s="3" t="inlineStr">
        <is>
          <t>2026-09-08</t>
        </is>
      </c>
      <c r="C45" s="3" t="inlineStr">
        <is>
          <t>found while running the gate</t>
        </is>
      </c>
      <c r="D45" s="3" t="inlineStr">
        <is>
          <t>the look-back window must be a local calendar date</t>
        </is>
      </c>
      <c r="E45" s="3" t="inlineStr">
        <is>
          <t>MK-PF-F-022 factorOverMonths</t>
        </is>
      </c>
      <c r="F45" s="6" t="inlineStr">
        <is>
          <t>TESTED</t>
        </is>
      </c>
      <c r="G45" s="3" t="inlineStr">
        <is>
          <t>src/domain/performance/lookBack.ts</t>
        </is>
      </c>
      <c r="H45" s="3" t="inlineStr">
        <is>
          <t>Calculation Module code/probes/performance-portfolio.probe.test.ts (passes in every timezone)</t>
        </is>
      </c>
      <c r="I45" s="3" t="inlineStr">
        <is>
          <t>2026-09-08</t>
        </is>
      </c>
      <c r="J45" s="3" t="inlineStr"/>
      <c r="K45" s="3" t="inlineStr"/>
    </row>
    <row r="46">
      <c r="A46" s="3" t="inlineStr">
        <is>
          <t>Synonym cluster #8</t>
        </is>
      </c>
      <c r="B46" s="3" t="inlineStr">
        <is>
          <t>2026-09-10</t>
        </is>
      </c>
      <c r="C46" s="3" t="inlineStr">
        <is>
          <t>moneykeel_audit_decisions_synonym-clusters_v02.xlsx (YOUR RULING)</t>
        </is>
      </c>
      <c r="D46" s="3" t="inlineStr">
        <is>
          <t>Gross should be before any deductions. For example Income before tax is not same as gross as Income Before Tax = Gross Income - 401K - any other deductions such as medical premium.</t>
        </is>
      </c>
      <c r="E46" s="3" t="inlineStr">
        <is>
          <t>app copy, every screen carrying the concept</t>
        </is>
      </c>
      <c r="F46" s="6" t="inlineStr">
        <is>
          <t>TESTED</t>
        </is>
      </c>
      <c r="G46" s="3" t="inlineStr">
        <is>
          <t>Applied — 'Gross (before tax)' → 'Gross (before any deductions)'; the onboarding cash-flow toggle now reads Gross · Net · Take-home (was 'Available').</t>
        </is>
      </c>
      <c r="H46" s="3" t="inlineStr">
        <is>
          <t>src/__tests__/one_term_per_concept.test.ts (reads the canon table, row 8) + the repinned screen tests</t>
        </is>
      </c>
      <c r="I46" s="3" t="inlineStr">
        <is>
          <t>2026-09-11</t>
        </is>
      </c>
      <c r="J46" s="3" t="inlineStr"/>
      <c r="K46" s="3" t="inlineStr"/>
    </row>
    <row r="47">
      <c r="A47" s="3" t="inlineStr">
        <is>
          <t>Synonym cluster #9</t>
        </is>
      </c>
      <c r="B47" s="3" t="inlineStr">
        <is>
          <t>2026-09-10</t>
        </is>
      </c>
      <c r="C47" s="3" t="inlineStr">
        <is>
          <t>moneykeel_audit_decisions_synonym-clusters_v02.xlsx (YOUR RULING)</t>
        </is>
      </c>
      <c r="D47" s="3" t="inlineStr">
        <is>
          <t>Performance, and Net worth</t>
        </is>
      </c>
      <c r="E47" s="3" t="inlineStr">
        <is>
          <t>app copy, every screen carrying the concept</t>
        </is>
      </c>
      <c r="F47" s="6" t="inlineStr">
        <is>
          <t>TESTED</t>
        </is>
      </c>
      <c r="G47" s="3" t="inlineStr">
        <is>
          <t>Applied — 'open Net Worth or Investments' → 'open Net worth or Performance'; 'from Portfolio' → 'from Performance'.</t>
        </is>
      </c>
      <c r="H47" s="3" t="inlineStr">
        <is>
          <t>src/__tests__/one_term_per_concept.test.ts (reads the canon table, row 9) + the repinned screen tests</t>
        </is>
      </c>
      <c r="I47" s="3" t="inlineStr">
        <is>
          <t>2026-09-11</t>
        </is>
      </c>
      <c r="J47" s="3" t="inlineStr"/>
      <c r="K47" s="3" t="inlineStr"/>
    </row>
    <row r="48">
      <c r="A48" s="3" t="inlineStr">
        <is>
          <t>Synonym cluster #10</t>
        </is>
      </c>
      <c r="B48" s="3" t="inlineStr">
        <is>
          <t>2026-09-10</t>
        </is>
      </c>
      <c r="C48" s="3" t="inlineStr">
        <is>
          <t>moneykeel_audit_decisions_synonym-clusters_v02.xlsx (YOUR RULING)</t>
        </is>
      </c>
      <c r="D48" s="3" t="inlineStr">
        <is>
          <t>debt and keep debt types. Explain in info dot Debt is amount you owe.</t>
        </is>
      </c>
      <c r="E48" s="3" t="inlineStr">
        <is>
          <t>app copy, every screen carrying the concept</t>
        </is>
      </c>
      <c r="F48" s="6" t="inlineStr">
        <is>
          <t>TESTED</t>
        </is>
      </c>
      <c r="G48" s="3" t="inlineStr">
        <is>
          <t>Applied — 'WHAT YOU OWE' → 'DEBTS'; 'Amount you owe' / 'Still owed on it' → 'Debt balance'; info dot on the DEBTS band (Net worth): 'Debt is the amount you owe — the balance still to be paid on a mortgage, loan or card, not the monthly payment.' Debt types untouched.</t>
        </is>
      </c>
      <c r="H48" s="3" t="inlineStr">
        <is>
          <t>src/__tests__/one_term_per_concept.test.ts (reads the canon table, row 10) + the repinned screen tests</t>
        </is>
      </c>
      <c r="I48" s="3" t="inlineStr">
        <is>
          <t>2026-09-11</t>
        </is>
      </c>
      <c r="J48" s="3" t="inlineStr"/>
      <c r="K48" s="3" t="inlineStr"/>
    </row>
    <row r="49">
      <c r="A49" s="3" t="inlineStr">
        <is>
          <t>Synonym cluster #11</t>
        </is>
      </c>
      <c r="B49" s="3" t="inlineStr">
        <is>
          <t>2026-09-10</t>
        </is>
      </c>
      <c r="C49" s="3" t="inlineStr">
        <is>
          <t>moneykeel_audit_decisions_synonym-clusters_v02.xlsx (YOUR RULING)</t>
        </is>
      </c>
      <c r="D49" s="3" t="inlineStr">
        <is>
          <t>Stock/fund. Holding but do not just replace position with holding.  Notification, alert message should say - holding liquidated - all shares sold. · his answer 2026-09-12: "Sell all" for selling all bonds or "Sell" for partial sale.</t>
        </is>
      </c>
      <c r="E49" s="3" t="inlineStr">
        <is>
          <t>app copy, every screen carrying the concept</t>
        </is>
      </c>
      <c r="F49" s="6" t="inlineStr">
        <is>
          <t>TESTED</t>
        </is>
      </c>
      <c r="G49" s="3" t="inlineStr">
        <is>
          <t>Applied — 'Position closed — all shares sold' → 'Holding liquidated — all shares sold'; 'Stocks &amp; funds' / 'Shares and funds' → 'Stocks / Funds'; 'position' NOT swept blindly (its 148 code uses are layout, not copy). OPEN FOR YOU: the Bonds sale sheet's button reads 'Close position' — keep, or 'Sell all'?</t>
        </is>
      </c>
      <c r="H49" s="3" t="inlineStr">
        <is>
          <t>src/__tests__/one_term_per_concept.test.ts (reads the canon table, row 11) + the repinned screen tests</t>
        </is>
      </c>
      <c r="I49" s="3" t="inlineStr">
        <is>
          <t>2026-09-12</t>
        </is>
      </c>
      <c r="J49" s="3" t="inlineStr"/>
      <c r="K49" s="3" t="inlineStr">
        <is>
          <t>Your answer 2026-09-12 applied: the sale sheet on Bonds and Other investments — 'Sell all' when everything goes, 'Sell' for part; the sheet title '🔻 Sell'; the Account-detail door 'Buy more / Sell ›'; the confirm asks 'Sell all of this bond?' / 'Sell part of this bond?'. Retired: Close position, Record sale, Record a sale.</t>
        </is>
      </c>
    </row>
    <row r="50">
      <c r="A50" s="3" t="inlineStr">
        <is>
          <t>Synonym cluster #12</t>
        </is>
      </c>
      <c r="B50" s="3" t="inlineStr">
        <is>
          <t>2026-09-10</t>
        </is>
      </c>
      <c r="C50" s="3" t="inlineStr">
        <is>
          <t>moneykeel_audit_decisions_synonym-clusters_v02.xlsx (YOUR RULING)</t>
        </is>
      </c>
      <c r="D50" s="3" t="inlineStr">
        <is>
          <t>activity</t>
        </is>
      </c>
      <c r="E50" s="3" t="inlineStr">
        <is>
          <t>app copy, every screen carrying the concept</t>
        </is>
      </c>
      <c r="F50" s="6" t="inlineStr">
        <is>
          <t>TESTED</t>
        </is>
      </c>
      <c r="G50" s="3" t="inlineStr">
        <is>
          <t>Applied — 'month’s transactions ›' → 'month’s activity ›'; 'Check your transactions.' → 'Check your activity.'; 'Records a Debt payment in Activity' → 'Adds a debt payment to Activity'; import sheet 'your transactions' → 'your bank activity'; spoken 'See that month’s activity on the Expenses tab'.</t>
        </is>
      </c>
      <c r="H50" s="3" t="inlineStr">
        <is>
          <t>src/__tests__/one_term_per_concept.test.ts (reads the canon table, row 12) + the repinned screen tests</t>
        </is>
      </c>
      <c r="I50" s="3" t="inlineStr">
        <is>
          <t>2026-09-11</t>
        </is>
      </c>
      <c r="J50" s="3" t="inlineStr"/>
      <c r="K50" s="3" t="inlineStr"/>
    </row>
    <row r="51">
      <c r="A51" s="3" t="inlineStr">
        <is>
          <t>Synonym cluster #13</t>
        </is>
      </c>
      <c r="B51" s="3" t="inlineStr">
        <is>
          <t>2026-09-10</t>
        </is>
      </c>
      <c r="C51" s="3" t="inlineStr">
        <is>
          <t>moneykeel_audit_decisions_synonym-clusters_v02.xlsx (YOUR RULING)</t>
        </is>
      </c>
      <c r="D51" s="3" t="inlineStr">
        <is>
          <t>one-time. Lump-sum does not always mean one-time. What's the intent behind "plan for the lump sum" before you change it to one-time? · his answer 2026-09-12: No monthly payment — the full balance is due on that date.</t>
        </is>
      </c>
      <c r="E51" s="3" t="inlineStr">
        <is>
          <t>app copy, every screen carrying the concept</t>
        </is>
      </c>
      <c r="F51" s="6" t="inlineStr">
        <is>
          <t>TESTED</t>
        </is>
      </c>
      <c r="G51" s="3" t="inlineStr">
        <is>
          <t>Applied — one-off → one-time everywhere (Base-pay note: 'One-time events like a Roth conversion'). 'Lump sum' left as is, per your question. ANSWER FOR YOU: 'plan for the lump sum' is the spoken (VoiceOver) label on the Bill calendar for a debt with NO monthly payment that is due in full on one date — a balloon, or a bill paid at once. It means 'set the whole balance aside for that date', not a one-time income. If you want it changed: 'No monthly payment — the full balance is due on that date.'</t>
        </is>
      </c>
      <c r="H51" s="3" t="inlineStr">
        <is>
          <t>src/__tests__/one_term_per_concept.test.ts (reads the canon table, row 13) + the repinned screen tests</t>
        </is>
      </c>
      <c r="I51" s="3" t="inlineStr">
        <is>
          <t>2026-09-12</t>
        </is>
      </c>
      <c r="J51" s="3" t="inlineStr"/>
      <c r="K51" s="3" t="inlineStr">
        <is>
          <t>Your answer 2026-09-12 applied: the Bill-calendar spoken label now reads 'No monthly payment — the full balance is due on that date.' Retired: plan for the lump sum.</t>
        </is>
      </c>
    </row>
    <row r="52">
      <c r="A52" s="3" t="inlineStr">
        <is>
          <t>Synonym cluster #14</t>
        </is>
      </c>
      <c r="B52" s="3" t="inlineStr">
        <is>
          <t>2026-09-10</t>
        </is>
      </c>
      <c r="C52" s="3" t="inlineStr">
        <is>
          <t>moneykeel_audit_decisions_synonym-clusters_v02.xlsx (YOUR RULING)</t>
        </is>
      </c>
      <c r="D52" s="3" t="inlineStr">
        <is>
          <t>/month, /year · his answer 2026-09-12: /quarter, /week, /2 weeks</t>
        </is>
      </c>
      <c r="E52" s="3" t="inlineStr">
        <is>
          <t>app copy, every screen carrying the concept</t>
        </is>
      </c>
      <c r="F52" s="6" t="inlineStr">
        <is>
          <t>TESTED</t>
        </is>
      </c>
      <c r="G52" s="3" t="inlineStr">
        <is>
          <t>Applied — /mo → /month, /yr → /year, '$X a month' → '$X/month', 'Gross a year' → 'Gross /year' in visible copy. Spoken (VoiceOver) labels keep 'a month' / 'a year' because '/month' is read aloud as 'slash month'. OPEN FOR YOU: the Income-detail frequency labels also carry '/qtr', '/wk', '/2wk' — write them '/quarter', '/week', '/2 weeks'?</t>
        </is>
      </c>
      <c r="H52" s="3" t="inlineStr">
        <is>
          <t>src/__tests__/one_term_per_concept.test.ts (reads the canon table, row 14) + the repinned screen tests</t>
        </is>
      </c>
      <c r="I52" s="3" t="inlineStr">
        <is>
          <t>2026-09-12</t>
        </is>
      </c>
      <c r="J52" s="3" t="inlineStr"/>
      <c r="K52" s="3" t="inlineStr">
        <is>
          <t>Your answer 2026-09-12 applied: the Income-detail frequency labels read /quarter, /week, /2 weeks. Retired: /qtr, /wk, /2wk.</t>
        </is>
      </c>
    </row>
    <row r="53">
      <c r="A53" s="3" t="inlineStr">
        <is>
          <t>Synonym cluster #15</t>
        </is>
      </c>
      <c r="B53" s="3" t="inlineStr">
        <is>
          <t>2026-09-10</t>
        </is>
      </c>
      <c r="C53" s="3" t="inlineStr">
        <is>
          <t>moneykeel_audit_decisions_synonym-clusters_v02.xlsx (YOUR RULING)</t>
        </is>
      </c>
      <c r="D53" s="3" t="inlineStr">
        <is>
          <t>Will my money last</t>
        </is>
      </c>
      <c r="E53" s="3" t="inlineStr">
        <is>
          <t>app copy, every screen carrying the concept</t>
        </is>
      </c>
      <c r="F53" s="6" t="inlineStr">
        <is>
          <t>TESTED</t>
        </is>
      </c>
      <c r="G53" s="3" t="inlineStr">
        <is>
          <t>Applied — 'IS MY MONEY LASTING?' (retired lens) and 'YOUR MONEY-LASTS ODDS' (Roth) → 'WILL MY MONEY LAST?'; the spoken label likewise.</t>
        </is>
      </c>
      <c r="H53" s="3" t="inlineStr">
        <is>
          <t>src/__tests__/one_term_per_concept.test.ts (reads the canon table, row 15) + the repinned screen tests</t>
        </is>
      </c>
      <c r="I53" s="3" t="inlineStr">
        <is>
          <t>2026-09-11</t>
        </is>
      </c>
      <c r="J53" s="3" t="inlineStr"/>
      <c r="K53" s="3" t="inlineStr"/>
    </row>
    <row r="54">
      <c r="A54" s="3" t="inlineStr">
        <is>
          <t>Synonym cluster #16</t>
        </is>
      </c>
      <c r="B54" s="3" t="inlineStr">
        <is>
          <t>2026-09-10</t>
        </is>
      </c>
      <c r="C54" s="3" t="inlineStr">
        <is>
          <t>moneykeel_audit_decisions_synonym-clusters_v02.xlsx (YOUR RULING)</t>
        </is>
      </c>
      <c r="D54" s="3" t="inlineStr">
        <is>
          <t>spouse</t>
        </is>
      </c>
      <c r="E54" s="3" t="inlineStr">
        <is>
          <t>app copy, every screen carrying the concept</t>
        </is>
      </c>
      <c r="F54" s="6" t="inlineStr">
        <is>
          <t>TESTED</t>
        </is>
      </c>
      <c r="G54" s="3" t="inlineStr">
        <is>
          <t>Applied — spouse → spouse in copy and comments: 'Do you manage money with a spouse?', 'Spouse’s name (optional)', the invite screen, Filing status, Cash-flow earner names, the sign-in message. Code values (the 'partner' track id, the partnerName field) unchanged — they are not copy.</t>
        </is>
      </c>
      <c r="H54" s="3" t="inlineStr">
        <is>
          <t>src/__tests__/one_term_per_concept.test.ts (reads the canon table, row 16) + the repinned screen tests</t>
        </is>
      </c>
      <c r="I54" s="3" t="inlineStr">
        <is>
          <t>2026-09-11</t>
        </is>
      </c>
      <c r="J54" s="3" t="inlineStr"/>
      <c r="K54" s="3" t="inlineStr"/>
    </row>
    <row r="55">
      <c r="A55" s="3" t="inlineStr">
        <is>
          <t>Cash-flow worked example</t>
        </is>
      </c>
      <c r="B55" s="3" t="inlineStr">
        <is>
          <t>2026-08-27</t>
        </is>
      </c>
      <c r="C55" s="3" t="inlineStr">
        <is>
          <t>cashflow-thismonth+spending-screen-jj.xlsx</t>
        </is>
      </c>
      <c r="D55" s="3" t="inlineStr">
        <is>
          <t>This-month screen, Planned: In (take-home) 5,000 · mortgage 2,000 · car 250 · expenses 2,000 · HELOC from the big-ticket radar 200 · credit-card payment entered by hand 200 · surplus 750. Actual: 5,000 · mortgage paid 2,000 · car paid 0 · expenses entered 500 · expenses imported from the card 1,200 · HELOC 200 · card payment 200 · surplus 1,300. Spending: recurring (mortgage 2,000, car 250), planned expenses (gas 200, grocery 900, utilities 200, other 700 = 2,000), radar: card payment 1,200 NOT counted as an expense, HELOC 200 counted, card payment entered by hand 200 counted.</t>
        </is>
      </c>
      <c r="E55" s="3" t="inlineStr">
        <is>
          <t>MK-CF-M-002 · MK-CF-M-004 · MK-CF-M-015 · MK-CF-M-019 · MK-CF-O-003 thisMonth · MK-CF-O-002 spending</t>
        </is>
      </c>
      <c r="F55" s="7" t="inlineStr">
        <is>
          <t>CODED</t>
        </is>
      </c>
      <c r="G55" s="3" t="inlineStr">
        <is>
          <t>the This-month + Expenses mock v06 (2026-08-27) and the radar rule in MoneyKeel/functions/cashflow/spending.ts ('a credit-card or HELOC payment is always a radar item; recurring debt never') were built from it; the master's rows carried none of it until 2026-09-10</t>
        </is>
      </c>
      <c r="H55" s="3" t="inlineStr">
        <is>
          <t>src/screens/__tests__/cashflow_fcc.test.tsx (the This-month arithmetic)</t>
        </is>
      </c>
      <c r="I55" s="3" t="inlineStr">
        <is>
          <t>2026-08-27</t>
        </is>
      </c>
      <c r="J55" s="3" t="inlineStr"/>
      <c r="K55" s="3" t="inlineStr">
        <is>
          <t>One question back (master Q50): your planned surplus 750 = 5,000 − 2,000 − 250 − 2,000, and your actual 1,300 = 5,000 − 2,000 − 0 − 500 − 1,200 — neither subtracts the HELOC 200 or the card payment 200 that the expenses section says are counted as expenses. Which is right: in the surplus, or not?</t>
        </is>
      </c>
    </row>
    <row r="56">
      <c r="A56" s="3" t="inlineStr">
        <is>
          <t>Net-worth flow diagram</t>
        </is>
      </c>
      <c r="B56" s="3" t="inlineStr">
        <is>
          <t>2026-08-26</t>
        </is>
      </c>
      <c r="C56" s="3" t="inlineStr">
        <is>
          <t>NW-sankey-diagram-jj.jpeg</t>
        </is>
      </c>
      <c r="D56" s="3" t="inlineStr">
        <is>
          <t>Sources (Chase checking/savings, Vanguard IRA/brokerage, Fidelity 401k, Wise EUR account, Zillow home estimate, mortgage servicer, manual collectibles) → categories (cash &amp; liquid $15k, investments $354k, real estate &amp; assets $452k, mortgage debt $412k, revolving debt $6k) → total assets $821,000 and total liabilities $418,000 → the net-worth engine → net worth $395,152; provenance badges on figures (imported · calculated · assumed 7% equity return · grand-prob); an FX rate 1.0925 on the EUR account.</t>
        </is>
      </c>
      <c r="E56" s="3" t="inlineStr">
        <is>
          <t>MK-XS-M-001 · MK-NW-M-004 · MK-NW-M-005 · MK-NW-M-007 · MK-NW-M-009 · MK-NW-M-017</t>
        </is>
      </c>
      <c r="F56" s="7" t="inlineStr">
        <is>
          <t>CODED — in part</t>
        </is>
      </c>
      <c r="G56" s="3" t="inlineStr">
        <is>
          <t>The category split and the assets − debts = net worth line are the Net worth screen (mock v06). Provenance per account exists (connected · imported · manual) and the canon words 'you entered' / 'calculated'; a per-figure badge on the Net worth screen and the exchange-rate conversion for a foreign-currency account are NOT built (Q43).</t>
        </is>
      </c>
      <c r="H56" s="3" t="inlineStr">
        <is>
          <t>src/screens/__tests__/NetWorthScreen.test.tsx (the split and the math line)</t>
        </is>
      </c>
      <c r="I56" s="3" t="inlineStr">
        <is>
          <t>2026-08-04</t>
        </is>
      </c>
      <c r="J56" s="3" t="inlineStr"/>
      <c r="K56" s="3" t="inlineStr">
        <is>
          <t>Recorded 2026-09-10; it had never been written into the file.</t>
        </is>
      </c>
    </row>
    <row r="57">
      <c r="A57" s="3" t="inlineStr">
        <is>
          <t>Onboarding notes, build 53</t>
        </is>
      </c>
      <c r="B57" s="3" t="inlineStr">
        <is>
          <t>2026-08</t>
        </is>
      </c>
      <c r="C57" s="3" t="inlineStr">
        <is>
          <t>MoneyKeel/documents/other/jj/onboarding screens-build53.xlsx</t>
        </is>
      </c>
      <c r="D57" s="3" t="inlineStr">
        <is>
          <t>Twelve notes on the onboarding screens: the tagline card ('Your finance command center', four bullets on what the app does), 'Customize your command center' (primary goals, where are you these days), 'Let's get your numbers in' (connect your first account).</t>
        </is>
      </c>
      <c r="E57" s="3" t="inlineStr">
        <is>
          <t>the onboarding flow (moneykeel_pres_spec_onboarding-flow_v03.html)</t>
        </is>
      </c>
      <c r="F57" s="6" t="inlineStr">
        <is>
          <t>TESTED</t>
        </is>
      </c>
      <c r="G57" s="3" t="inlineStr">
        <is>
          <t>All twelve notes checked against the code 2026-09-12: 'Your finance command center' + four bullets (tagline card) · 'Customize your command center' (primary goals, where are you these days) · 'Let's get your real numbers in.' (Home with no money data, HomeScreen.tsx) · the three doors in one wording everywhere (src/constants/doors.ts: 'Connect your bank ›', 'Import a file from your brokerage ›', 'Add something by hand ›') · 'Or answer guided setup questions ›' · 'Pick up where you left off →'. Two notes differ from the code: your note says 'connect your first account' where the door says 'Connect your bank'; and 'circular loop' — two words, no screen named.</t>
        </is>
      </c>
      <c r="H57" s="3" t="inlineStr">
        <is>
          <t>src/screens/__tests__/first_run_lens.test.tsx (Home's connect door equals the one list of ways in) · src/navigation/__tests__/routeGuard.test.ts (the guided-setup door stays open — the loop cannot come back)</t>
        </is>
      </c>
      <c r="I57" s="3" t="inlineStr">
        <is>
          <t>2026-09-12</t>
        </is>
      </c>
      <c r="J57" s="3" t="inlineStr"/>
      <c r="K57" s="3" t="inlineStr">
        <is>
          <t>Both questions closed 2026-09-14. (1) His answer: "Connect your bank" — Home was the one screen still saying 'Connect your first account ›'; it now takes the words from src/constants/doors.ts, the onboarding spec is v02, and canon row 17 retires the old words. (2) 'circular loop' needed no answer from him: it is Home's first-run block, where 'Or answer guided setup questions ›' and 'Pick up where you left off →' both bounced straight back to Home, so the guided setup could never be reached. The route guard was fixed on 2026-08-28 and shipped in Build 54 (commit 6e360fb), and routeGuard.test.ts holds it. The question should not have been asked: the answer was already written in the code.</t>
        </is>
      </c>
    </row>
    <row r="58">
      <c r="A58" s="3" t="inlineStr">
        <is>
          <t>Brief R1</t>
        </is>
      </c>
      <c r="B58" s="3" t="inlineStr">
        <is>
          <t>2026-08-20</t>
        </is>
      </c>
      <c r="C58" s="3" t="inlineStr">
        <is>
          <t>Brief — decisions on the 56 open questions (2026-08-20), tallied against the code 2026-09-12</t>
        </is>
      </c>
      <c r="D58" s="3" t="inlineStr">
        <is>
          <t>never the word "safe" — kills "safe to spend" and "safe withdrawal rate"</t>
        </is>
      </c>
      <c r="E58" s="3" t="inlineStr">
        <is>
          <t>every screen</t>
        </is>
      </c>
      <c r="F58" s="6" t="inlineStr">
        <is>
          <t>TESTED</t>
        </is>
      </c>
      <c r="G58" s="3" t="inlineStr">
        <is>
          <t>PlanHubScreen rateWords (no "safe"); "safe to spend" cut with the metric; the builder's BANNED-word guard</t>
        </is>
      </c>
      <c r="H58" s="3" t="inlineStr">
        <is>
          <t>build guard (BANNED words) + one_term_per_concept.test.ts</t>
        </is>
      </c>
      <c r="I58" s="3" t="inlineStr">
        <is>
          <t>2026-09-12 (tallied)</t>
        </is>
      </c>
      <c r="J58" s="3" t="inlineStr"/>
      <c r="K58" s="3" t="inlineStr"/>
    </row>
    <row r="59">
      <c r="A59" s="3" t="inlineStr">
        <is>
          <t>Brief R2</t>
        </is>
      </c>
      <c r="B59" s="3" t="inlineStr">
        <is>
          <t>2026-08-20</t>
        </is>
      </c>
      <c r="C59" s="3" t="inlineStr">
        <is>
          <t>Brief — decisions on the 56 open questions (2026-08-20), tallied against the code 2026-09-12</t>
        </is>
      </c>
      <c r="D59" s="3" t="inlineStr">
        <is>
          <t>an unknown input produces no number and a reason — never a default</t>
        </is>
      </c>
      <c r="E59" s="3" t="inlineStr">
        <is>
          <t>every figure</t>
        </is>
      </c>
      <c r="F59" s="7" t="inlineStr">
        <is>
          <t>CODED</t>
        </is>
      </c>
      <c r="G59" s="3" t="inlineStr">
        <is>
          <t>A46 (no coupon → $0, named); Q48 empty state ($0 — nothing entered yet, mock pending); the 4.2% defaults deleted</t>
        </is>
      </c>
      <c r="H59" s="3" t="inlineStr">
        <is>
          <t>A46 tests</t>
        </is>
      </c>
      <c r="I59" s="3" t="inlineStr">
        <is>
          <t>2026-09-12 (tallied)</t>
        </is>
      </c>
      <c r="J59" s="3" t="inlineStr"/>
      <c r="K59" s="3" t="inlineStr">
        <is>
          <t>Still open: the kind-level benchmark returns (ASSET_KINDS ret) act as assumed growth — Q44.</t>
        </is>
      </c>
    </row>
    <row r="60">
      <c r="A60" s="3" t="inlineStr">
        <is>
          <t>Brief R3</t>
        </is>
      </c>
      <c r="B60" s="3" t="inlineStr">
        <is>
          <t>2026-08-20</t>
        </is>
      </c>
      <c r="C60" s="3" t="inlineStr">
        <is>
          <t>Brief — decisions on the 56 open questions (2026-08-20), tallied against the code 2026-09-12</t>
        </is>
      </c>
      <c r="D60" s="3" t="inlineStr">
        <is>
          <t>show the fact, not the verdict — no grading</t>
        </is>
      </c>
      <c r="E60" s="3" t="inlineStr">
        <is>
          <t>ratios and figures</t>
        </is>
      </c>
      <c r="F60" s="7" t="inlineStr">
        <is>
          <t>CODED — in part</t>
        </is>
      </c>
      <c r="G60" s="3" t="inlineStr">
        <is>
          <t>odds shown without a verdict band; Tips "Overspent by" is a fact</t>
        </is>
      </c>
      <c r="H60" s="3" t="inlineStr">
        <is>
          <t>—</t>
        </is>
      </c>
      <c r="I60" s="3" t="inlineStr">
        <is>
          <t>2026-09-12 (tallied)</t>
        </is>
      </c>
      <c r="J60" s="3" t="inlineStr"/>
      <c r="K60" s="3" t="inlineStr">
        <is>
          <t>Still graded: Goals debt-to-income colours good / caution / red (GoalsScreen dti.status). Your call: cut the grading?</t>
        </is>
      </c>
    </row>
    <row r="61">
      <c r="A61" s="3" t="inlineStr">
        <is>
          <t>Brief R4</t>
        </is>
      </c>
      <c r="B61" s="3" t="inlineStr">
        <is>
          <t>2026-08-20</t>
        </is>
      </c>
      <c r="C61" s="3" t="inlineStr">
        <is>
          <t>Brief — decisions on the 56 open questions (2026-08-20), tallied against the code 2026-09-12</t>
        </is>
      </c>
      <c r="D61" s="3" t="inlineStr">
        <is>
          <t>a tax figure requires a YEAR — net worth shows no tax</t>
        </is>
      </c>
      <c r="E61" s="3" t="inlineStr">
        <is>
          <t>MK-NW-M-036 area</t>
        </is>
      </c>
      <c r="F61" s="6" t="inlineStr">
        <is>
          <t>TESTED</t>
        </is>
      </c>
      <c r="G61" s="3" t="inlineStr">
        <is>
          <t>HoldingDetailScreen: the estimated-tax line cut (brief §C Q12)</t>
        </is>
      </c>
      <c r="H61" s="3" t="inlineStr">
        <is>
          <t>src/screens/__tests__/holding_detail_fcc.test.tsx</t>
        </is>
      </c>
      <c r="I61" s="3" t="inlineStr">
        <is>
          <t>2026-09-12 (tallied)</t>
        </is>
      </c>
      <c r="J61" s="3" t="inlineStr"/>
      <c r="K61" s="3" t="inlineStr"/>
    </row>
    <row r="62">
      <c r="A62" s="3" t="inlineStr">
        <is>
          <t>Brief R5</t>
        </is>
      </c>
      <c r="B62" s="3" t="inlineStr">
        <is>
          <t>2026-08-20</t>
        </is>
      </c>
      <c r="C62" s="3" t="inlineStr">
        <is>
          <t>Brief — decisions on the 56 open questions (2026-08-20), tallied against the code 2026-09-12</t>
        </is>
      </c>
      <c r="D62" s="3" t="inlineStr">
        <is>
          <t>class and liquidity are separate fields</t>
        </is>
      </c>
      <c r="E62" s="3" t="inlineStr">
        <is>
          <t>asset records</t>
        </is>
      </c>
      <c r="F62" s="8" t="inlineStr">
        <is>
          <t>RULED</t>
        </is>
      </c>
      <c r="G62" s="3" t="inlineStr">
        <is>
          <t>not built — no liquidity field exists (see Brief D1)</t>
        </is>
      </c>
      <c r="H62" s="3" t="inlineStr">
        <is>
          <t>—</t>
        </is>
      </c>
      <c r="I62" s="3" t="inlineStr"/>
      <c r="J62" s="3" t="inlineStr"/>
      <c r="K62" s="3" t="inlineStr"/>
    </row>
    <row r="63">
      <c r="A63" s="3" t="inlineStr">
        <is>
          <t>Brief R6</t>
        </is>
      </c>
      <c r="B63" s="3" t="inlineStr">
        <is>
          <t>2026-08-20</t>
        </is>
      </c>
      <c r="C63" s="3" t="inlineStr">
        <is>
          <t>Brief — decisions on the 56 open questions (2026-08-20), tallied against the code 2026-09-12</t>
        </is>
      </c>
      <c r="D63" s="3" t="inlineStr">
        <is>
          <t>full precision throughout, round once at display</t>
        </is>
      </c>
      <c r="E63" s="3" t="inlineStr">
        <is>
          <t>every function</t>
        </is>
      </c>
      <c r="F63" s="6" t="inlineStr">
        <is>
          <t>TESTED</t>
        </is>
      </c>
      <c r="G63" s="3" t="inlineStr">
        <is>
          <t>executed as Q49 / G37 on 2026-09-09</t>
        </is>
      </c>
      <c r="H63" s="3" t="inlineStr">
        <is>
          <t>src/__tests__/precision_guard.test.ts</t>
        </is>
      </c>
      <c r="I63" s="3" t="inlineStr">
        <is>
          <t>2026-09-12 (tallied)</t>
        </is>
      </c>
      <c r="J63" s="3" t="inlineStr"/>
      <c r="K63" s="3" t="inlineStr"/>
    </row>
    <row r="64">
      <c r="A64" s="3" t="inlineStr">
        <is>
          <t>Brief R7</t>
        </is>
      </c>
      <c r="B64" s="3" t="inlineStr">
        <is>
          <t>2026-08-20</t>
        </is>
      </c>
      <c r="C64" s="3" t="inlineStr">
        <is>
          <t>Brief — decisions on the 56 open questions (2026-08-20), tallied against the code 2026-09-12</t>
        </is>
      </c>
      <c r="D64" s="3" t="inlineStr">
        <is>
          <t>source always, date only when stale</t>
        </is>
      </c>
      <c r="E64" s="3" t="inlineStr">
        <is>
          <t>every published figure</t>
        </is>
      </c>
      <c r="F64" s="7" t="inlineStr">
        <is>
          <t>CODED — in part</t>
        </is>
      </c>
      <c r="G64" s="3" t="inlineStr">
        <is>
          <t>valueFreshness dates on balances; inflation default carries source + checked date</t>
        </is>
      </c>
      <c r="H64" s="3" t="inlineStr">
        <is>
          <t>—</t>
        </is>
      </c>
      <c r="I64" s="3" t="inlineStr">
        <is>
          <t>2026-09-12 (tallied)</t>
        </is>
      </c>
      <c r="J64" s="3" t="inlineStr"/>
      <c r="K64" s="3" t="inlineStr">
        <is>
          <t>Kind-A figures (tax bands, deduction, SS factors, RMD table) name no source in the FILE — finding A41 open.</t>
        </is>
      </c>
    </row>
    <row r="65">
      <c r="A65" s="3" t="inlineStr">
        <is>
          <t>Brief R8</t>
        </is>
      </c>
      <c r="B65" s="3" t="inlineStr">
        <is>
          <t>2026-08-20</t>
        </is>
      </c>
      <c r="C65" s="3" t="inlineStr">
        <is>
          <t>Brief — decisions on the 56 open questions (2026-08-20), tallied against the code 2026-09-12</t>
        </is>
      </c>
      <c r="D65" s="3" t="inlineStr">
        <is>
          <t>one mechanism per shape: amount + start year + end year + growth rate</t>
        </is>
      </c>
      <c r="E65" s="3" t="inlineStr">
        <is>
          <t>loan payments, part-time income, health premiums</t>
        </is>
      </c>
      <c r="F65" s="8" t="inlineStr">
        <is>
          <t>RULED</t>
        </is>
      </c>
      <c r="G65" s="3" t="inlineStr">
        <is>
          <t>not built — see Brief D7 (part-time, health premiums)</t>
        </is>
      </c>
      <c r="H65" s="3" t="inlineStr">
        <is>
          <t>—</t>
        </is>
      </c>
      <c r="I65" s="3" t="inlineStr"/>
      <c r="J65" s="3" t="inlineStr"/>
      <c r="K65" s="3" t="inlineStr"/>
    </row>
    <row r="66">
      <c r="A66" s="3" t="inlineStr">
        <is>
          <t>Brief B1</t>
        </is>
      </c>
      <c r="B66" s="3" t="inlineStr">
        <is>
          <t>2026-08-20</t>
        </is>
      </c>
      <c r="C66" s="3" t="inlineStr">
        <is>
          <t>Brief — decisions on the 56 open questions (2026-08-20), tallied against the code 2026-09-12</t>
        </is>
      </c>
      <c r="D66" s="3" t="inlineStr">
        <is>
          <t>flat pensions are being inflated — a fixed-versus-inflating flag per stream; Social Security inflates, pensions and annuities flat</t>
        </is>
      </c>
      <c r="E66" s="3" t="inlineStr">
        <is>
          <t>MK-PL-M-… will-it-last inputs</t>
        </is>
      </c>
      <c r="F66" s="6" t="inlineStr">
        <is>
          <t>TESTED</t>
        </is>
      </c>
      <c r="G66" s="3" t="inlineStr">
        <is>
          <t>RetirementCockpit.tsx:130 — streams carry inflates; Social Security true, pension/annuity flat</t>
        </is>
      </c>
      <c r="H66" s="3" t="inlineStr">
        <is>
          <t>src/domain/invariants.test.ts</t>
        </is>
      </c>
      <c r="I66" s="3" t="inlineStr">
        <is>
          <t>2026-09-12 (tallied)</t>
        </is>
      </c>
      <c r="J66" s="3" t="inlineStr"/>
      <c r="K66" s="3" t="inlineStr"/>
    </row>
    <row r="67">
      <c r="A67" s="3" t="inlineStr">
        <is>
          <t>Brief B2</t>
        </is>
      </c>
      <c r="B67" s="3" t="inlineStr">
        <is>
          <t>2026-08-20</t>
        </is>
      </c>
      <c r="C67" s="3" t="inlineStr">
        <is>
          <t>Brief — decisions on the 56 open questions (2026-08-20), tallied against the code 2026-09-12</t>
        </is>
      </c>
      <c r="D67" s="3" t="inlineStr">
        <is>
          <t>Social Security factors anchored at 67 — full-retirement-age table by birth year; the input is the statement (FRA) amount</t>
        </is>
      </c>
      <c r="E67" s="3" t="inlineStr">
        <is>
          <t>MK-PL-… ssTiming</t>
        </is>
      </c>
      <c r="F67" s="6" t="inlineStr">
        <is>
          <t>TESTED</t>
        </is>
      </c>
      <c r="G67" s="3" t="inlineStr">
        <is>
          <t>src/domain/retirement/ssTiming.ts fullRetirementAge + FULL_RETIREMENT_AGE; RetirementCockpit:98 ssMonthly = statement amount at FRA</t>
        </is>
      </c>
      <c r="H67" s="3" t="inlineStr">
        <is>
          <t>src/__tests__/ray_numbers_probe.test.ts· src/__tests__/statutory_constants.test.ts· src/domain/retirement/ssTiming.test.ts</t>
        </is>
      </c>
      <c r="I67" s="3" t="inlineStr">
        <is>
          <t>2026-09-12 (tallied)</t>
        </is>
      </c>
      <c r="J67" s="3" t="inlineStr"/>
      <c r="K67" s="3" t="inlineStr"/>
    </row>
    <row r="68">
      <c r="A68" s="3" t="inlineStr">
        <is>
          <t>Brief B3</t>
        </is>
      </c>
      <c r="B68" s="3" t="inlineStr">
        <is>
          <t>2026-08-20</t>
        </is>
      </c>
      <c r="C68" s="3" t="inlineStr">
        <is>
          <t>Brief — decisions on the 56 open questions (2026-08-20), tallied against the code 2026-09-12</t>
        </is>
      </c>
      <c r="D68" s="3" t="inlineStr">
        <is>
          <t>the legacy target comes off the pot while working too, not only once retired</t>
        </is>
      </c>
      <c r="E68" s="3" t="inlineStr">
        <is>
          <t>will-it-last inputs</t>
        </is>
      </c>
      <c r="F68" s="6" t="inlineStr">
        <is>
          <t>TESTED</t>
        </is>
      </c>
      <c r="G68" s="3" t="inlineStr">
        <is>
          <t>RetirementCockpit.tsx:68 spendableEgg = nestEgg − bequest, unconditional (B3 comment at :123)</t>
        </is>
      </c>
      <c r="H68" s="3" t="inlineStr">
        <is>
          <t>src/__tests__/edge_extremes.test.ts· src/__tests__/golden.test.ts· src/domain/retirement/col.test.ts</t>
        </is>
      </c>
      <c r="I68" s="3" t="inlineStr">
        <is>
          <t>2026-09-12 (tallied)</t>
        </is>
      </c>
      <c r="J68" s="3" t="inlineStr"/>
      <c r="K68" s="3" t="inlineStr"/>
    </row>
    <row r="69">
      <c r="A69" s="3" t="inlineStr">
        <is>
          <t>Brief B4</t>
        </is>
      </c>
      <c r="B69" s="3" t="inlineStr">
        <is>
          <t>2026-08-20</t>
        </is>
      </c>
      <c r="C69" s="3" t="inlineStr">
        <is>
          <t>Brief — decisions on the 56 open questions (2026-08-20), tallied against the code 2026-09-12</t>
        </is>
      </c>
      <c r="D69" s="3" t="inlineStr">
        <is>
          <t>RMD start age by birth-year rule, one dated table, Roth 401(k) exempt, no duplicate literal</t>
        </is>
      </c>
      <c r="E69" s="3" t="inlineStr">
        <is>
          <t>MK-PL-F-… decumulation</t>
        </is>
      </c>
      <c r="F69" s="6" t="inlineStr">
        <is>
          <t>TESTED</t>
        </is>
      </c>
      <c r="G69" s="3" t="inlineStr">
        <is>
          <t>src/domain/decumulation rmdStartAgeFor (birth-year rule) — the one place</t>
        </is>
      </c>
      <c r="H69" s="3" t="inlineStr">
        <is>
          <t>src/__tests__/state_contract.test.ts· src/domain/decumulation/decumulation.test.ts</t>
        </is>
      </c>
      <c r="I69" s="3" t="inlineStr">
        <is>
          <t>2026-09-12 (tallied)</t>
        </is>
      </c>
      <c r="J69" s="3" t="inlineStr"/>
      <c r="K69" s="3" t="inlineStr"/>
    </row>
    <row r="70">
      <c r="A70" s="3" t="inlineStr">
        <is>
          <t>Brief B5</t>
        </is>
      </c>
      <c r="B70" s="3" t="inlineStr">
        <is>
          <t>2026-08-20</t>
        </is>
      </c>
      <c r="C70" s="3" t="inlineStr">
        <is>
          <t>Brief — decisions on the 56 open questions (2026-08-20), tallied against the code 2026-09-12</t>
        </is>
      </c>
      <c r="D70" s="3" t="inlineStr">
        <is>
          <t>withdrawals and RMDs are not guaranteed income — paycheck lists each line; the plan input is outside money only</t>
        </is>
      </c>
      <c r="E70" s="3" t="inlineStr">
        <is>
          <t>MK-CF-M-… paycheck · will-it-last</t>
        </is>
      </c>
      <c r="F70" s="6" t="inlineStr">
        <is>
          <t>TESTED</t>
        </is>
      </c>
      <c r="G70" s="3" t="inlineStr">
        <is>
          <t>guaranteedOutsideStreams (G13, 2026-09-08); the paycheck lists Social Security, pension, withdrawal, RMD separately</t>
        </is>
      </c>
      <c r="H70" s="3" t="inlineStr">
        <is>
          <t>src/screens/__tests__/build43_feedback.test.tsx</t>
        </is>
      </c>
      <c r="I70" s="3" t="inlineStr">
        <is>
          <t>2026-09-12 (tallied)</t>
        </is>
      </c>
      <c r="J70" s="3" t="inlineStr"/>
      <c r="K70" s="3" t="inlineStr"/>
    </row>
    <row r="71">
      <c r="A71" s="3" t="inlineStr">
        <is>
          <t>Brief B6</t>
        </is>
      </c>
      <c r="B71" s="3" t="inlineStr">
        <is>
          <t>2026-08-20</t>
        </is>
      </c>
      <c r="C71" s="3" t="inlineStr">
        <is>
          <t>Brief — decisions on the 56 open questions (2026-08-20), tallied against the code 2026-09-12</t>
        </is>
      </c>
      <c r="D71" s="3" t="inlineStr">
        <is>
          <t>odds: more than 400 paths, nearest 5, no best-to-worst band</t>
        </is>
      </c>
      <c r="E71" s="3" t="inlineStr">
        <is>
          <t>MK-PL-M-… odds</t>
        </is>
      </c>
      <c r="F71" s="6" t="inlineStr">
        <is>
          <t>TESTED</t>
        </is>
      </c>
      <c r="G71" s="3" t="inlineStr">
        <is>
          <t>1,000 paths (seed 42); rounded to 5 (C2); the band removed</t>
        </is>
      </c>
      <c r="H71" s="3" t="inlineStr">
        <is>
          <t>src/screens/__tests__/cashflow_fcc.test.tsx· src/screens/__tests__/will_it_last_detail.test.tsx</t>
        </is>
      </c>
      <c r="I71" s="3" t="inlineStr">
        <is>
          <t>2026-09-12 (tallied)</t>
        </is>
      </c>
      <c r="J71" s="3" t="inlineStr"/>
      <c r="K71" s="3" t="inlineStr">
        <is>
          <t>SUPERSEDED IN PART 2026-09-14: nearest 5 replaced by "Odds — exact, no rounding".</t>
        </is>
      </c>
    </row>
    <row r="72">
      <c r="A72" s="3" t="inlineStr">
        <is>
          <t>Brief B7</t>
        </is>
      </c>
      <c r="B72" s="3" t="inlineStr">
        <is>
          <t>2026-08-20</t>
        </is>
      </c>
      <c r="C72" s="3" t="inlineStr">
        <is>
          <t>Brief — decisions on the 56 open questions (2026-08-20), tallied against the code 2026-09-12</t>
        </is>
      </c>
      <c r="D72" s="3" t="inlineStr">
        <is>
          <t>money-market: name-first classification on every road, broker tag as fallback; a class change between syncs is kept and flagged</t>
        </is>
      </c>
      <c r="E72" s="3" t="inlineStr">
        <is>
          <t>MK-NW-… classes</t>
        </is>
      </c>
      <c r="F72" s="6" t="inlineStr">
        <is>
          <t>TESTED</t>
        </is>
      </c>
      <c r="G72" s="3" t="inlineStr">
        <is>
          <t>assetClassOf → incomeBearingClassOf(label) first; class_flag on Position; class_source user wins</t>
        </is>
      </c>
      <c r="H72" s="3" t="inlineStr">
        <is>
          <t>src/__tests__/e2e_walk_2026_08_11.test.tsx· src/__tests__/founder_2026_08_11.test.tsx· src/domain/assets/reclassify.test.ts</t>
        </is>
      </c>
      <c r="I72" s="3" t="inlineStr">
        <is>
          <t>2026-09-12 (tallied)</t>
        </is>
      </c>
      <c r="J72" s="3" t="inlineStr"/>
      <c r="K72" s="3" t="inlineStr"/>
    </row>
    <row r="73">
      <c r="A73" s="3" t="inlineStr">
        <is>
          <t>Brief B8</t>
        </is>
      </c>
      <c r="B73" s="3" t="inlineStr">
        <is>
          <t>2026-08-20</t>
        </is>
      </c>
      <c r="C73" s="3" t="inlineStr">
        <is>
          <t>Brief — decisions on the 56 open questions (2026-08-20), tallied against the code 2026-09-12</t>
        </is>
      </c>
      <c r="D73" s="3" t="inlineStr">
        <is>
          <t>decimal arithmetic — full precision, round once</t>
        </is>
      </c>
      <c r="E73" s="3" t="inlineStr">
        <is>
          <t>every function</t>
        </is>
      </c>
      <c r="F73" s="6" t="inlineStr">
        <is>
          <t>TESTED</t>
        </is>
      </c>
      <c r="G73" s="3" t="inlineStr">
        <is>
          <t>executed as Q49 (2026-09-09): full-precision JavaScript numbers, rounding once at display</t>
        </is>
      </c>
      <c r="H73" s="3" t="inlineStr">
        <is>
          <t>src/__tests__/precision_guard.test.ts</t>
        </is>
      </c>
      <c r="I73" s="3" t="inlineStr">
        <is>
          <t>2026-09-12 (tallied)</t>
        </is>
      </c>
      <c r="J73" s="3" t="inlineStr"/>
      <c r="K73" s="3" t="inlineStr">
        <is>
          <t>Corrected 2026-09-12: the ledger and money functions (Calculation Module code/engines/money.ts, decimal.ts) have run on an exact decimal type since 2026-08-20 (Track 0); the app's domain code keeps JavaScript numbers at full precision and rounds once (Q49). Say if the domain should move to the decimal type too — a separate build.</t>
        </is>
      </c>
    </row>
    <row r="74">
      <c r="A74" s="3" t="inlineStr">
        <is>
          <t>Brief C</t>
        </is>
      </c>
      <c r="B74" s="3" t="inlineStr">
        <is>
          <t>2026-08-20</t>
        </is>
      </c>
      <c r="C74" s="3" t="inlineStr">
        <is>
          <t>Brief — decisions on the 56 open questions (2026-08-20), tallied against the code 2026-09-12</t>
        </is>
      </c>
      <c r="D74" s="3" t="inlineStr">
        <is>
          <t>14 metrics cut: tax-loss harvesting, cash drag, age of money, savings rate, safe to spend, personal inflation, sequence buffer, drift, funded ratio, risk measures, look-through, fund fees, embedded tax, employer-stock flag</t>
        </is>
      </c>
      <c r="E74" s="3" t="inlineStr">
        <is>
          <t>the 14 metric rows</t>
        </is>
      </c>
      <c r="F74" s="6" t="inlineStr">
        <is>
          <t>TESTED</t>
        </is>
      </c>
      <c r="G74" s="3" t="inlineStr">
        <is>
          <t>none of the 14 is on a screen; cash drag and embedded tax carry a dated CUT comment; the savings-rate function remains for the budget only</t>
        </is>
      </c>
      <c r="H74" s="3" t="inlineStr">
        <is>
          <t>src/screens/__tests__/insights_screen.test.tsx · holding_detail_fcc.test.tsx</t>
        </is>
      </c>
      <c r="I74" s="3" t="inlineStr">
        <is>
          <t>2026-09-12 (tallied)</t>
        </is>
      </c>
      <c r="J74" s="3" t="inlineStr"/>
      <c r="K74" s="3" t="inlineStr"/>
    </row>
    <row r="75">
      <c r="A75" s="3" t="inlineStr">
        <is>
          <t>Brief C — deferred</t>
        </is>
      </c>
      <c r="B75" s="3" t="inlineStr">
        <is>
          <t>2026-08-20</t>
        </is>
      </c>
      <c r="C75" s="3" t="inlineStr">
        <is>
          <t>Brief — decisions on the 56 open questions (2026-08-20), tallied against the code 2026-09-12</t>
        </is>
      </c>
      <c r="D75" s="3" t="inlineStr">
        <is>
          <t>deferred, not dropped: forward income (Q18), budget rollover (Q28), non-USD holdings (Q25 — store the currency field now)</t>
        </is>
      </c>
      <c r="E75" s="3" t="inlineStr">
        <is>
          <t>—</t>
        </is>
      </c>
      <c r="F75" s="8" t="inlineStr">
        <is>
          <t>RULED</t>
        </is>
      </c>
      <c r="G75" s="3" t="inlineStr">
        <is>
          <t>not built; the currency field is not stored (Q08 gave foreign currency a cash kind valued in dollars; the code is Q43)</t>
        </is>
      </c>
      <c r="H75" s="3" t="inlineStr">
        <is>
          <t>—</t>
        </is>
      </c>
      <c r="I75" s="3" t="inlineStr"/>
      <c r="J75" s="3" t="inlineStr"/>
      <c r="K75" s="3" t="inlineStr"/>
    </row>
    <row r="76">
      <c r="A76" s="3" t="inlineStr">
        <is>
          <t>Brief D1</t>
        </is>
      </c>
      <c r="B76" s="3" t="inlineStr">
        <is>
          <t>2026-08-20</t>
        </is>
      </c>
      <c r="C76" s="3" t="inlineStr">
        <is>
          <t>Brief — decisions on the 56 open questions (2026-08-20), tallied against the code 2026-09-12</t>
        </is>
      </c>
      <c r="D76" s="3" t="inlineStr">
        <is>
          <t>liquidity tiers — Liquid / Sellable / Locked / Not spendable; liquid net worth = first tier; retirement tagged by age</t>
        </is>
      </c>
      <c r="E76" s="3" t="inlineStr">
        <is>
          <t>net-worth figures</t>
        </is>
      </c>
      <c r="F76" s="8" t="inlineStr">
        <is>
          <t>RULED</t>
        </is>
      </c>
      <c r="G76" s="3" t="inlineStr">
        <is>
          <t>not built</t>
        </is>
      </c>
      <c r="H76" s="3" t="inlineStr">
        <is>
          <t>—</t>
        </is>
      </c>
      <c r="I76" s="3" t="inlineStr"/>
      <c r="J76" s="3" t="inlineStr"/>
      <c r="K76" s="3" t="inlineStr"/>
    </row>
    <row r="77">
      <c r="A77" s="3" t="inlineStr">
        <is>
          <t>Brief D2</t>
        </is>
      </c>
      <c r="B77" s="3" t="inlineStr">
        <is>
          <t>2026-08-20</t>
        </is>
      </c>
      <c r="C77" s="3" t="inlineStr">
        <is>
          <t>Brief — decisions on the 56 open questions (2026-08-20), tallied against the code 2026-09-12</t>
        </is>
      </c>
      <c r="D77" s="3" t="inlineStr">
        <is>
          <t>hand-entered revaluations marked; market-priced entries spread evenly across the gap; house/car booked on the day</t>
        </is>
      </c>
      <c r="E77" s="3" t="inlineStr">
        <is>
          <t>change walk · returns</t>
        </is>
      </c>
      <c r="F77" s="8" t="inlineStr">
        <is>
          <t>RULED</t>
        </is>
      </c>
      <c r="G77" s="3" t="inlineStr">
        <is>
          <t>not built</t>
        </is>
      </c>
      <c r="H77" s="3" t="inlineStr">
        <is>
          <t>—</t>
        </is>
      </c>
      <c r="I77" s="3" t="inlineStr"/>
      <c r="J77" s="3" t="inlineStr"/>
      <c r="K77" s="3" t="inlineStr"/>
    </row>
    <row r="78">
      <c r="A78" s="3" t="inlineStr">
        <is>
          <t>Brief D3</t>
        </is>
      </c>
      <c r="B78" s="3" t="inlineStr">
        <is>
          <t>2026-08-20</t>
        </is>
      </c>
      <c r="C78" s="3" t="inlineStr">
        <is>
          <t>Brief — decisions on the 56 open questions (2026-08-20), tallied against the code 2026-09-12</t>
        </is>
      </c>
      <c r="D78" s="3" t="inlineStr">
        <is>
          <t>both boundary days inside; beginning value = close of the day before the start; Dietz weights over the inclusive count</t>
        </is>
      </c>
      <c r="E78" s="3" t="inlineStr">
        <is>
          <t>MK-PF-… window returns</t>
        </is>
      </c>
      <c r="F78" s="6" t="inlineStr">
        <is>
          <t>TESTED</t>
        </is>
      </c>
      <c r="G78" s="3" t="inlineStr">
        <is>
          <t>Calculation Module code/engines/window-return.ts — beginningAsOf = the day before the start</t>
        </is>
      </c>
      <c r="H78" s="3" t="inlineStr">
        <is>
          <t>src/screens/__tests__/coverage_line.test.tsx</t>
        </is>
      </c>
      <c r="I78" s="3" t="inlineStr">
        <is>
          <t>2026-09-12 (tallied)</t>
        </is>
      </c>
      <c r="J78" s="3" t="inlineStr"/>
      <c r="K78" s="3" t="inlineStr"/>
    </row>
    <row r="79">
      <c r="A79" s="3" t="inlineStr">
        <is>
          <t>Brief D4</t>
        </is>
      </c>
      <c r="B79" s="3" t="inlineStr">
        <is>
          <t>2026-08-20</t>
        </is>
      </c>
      <c r="C79" s="3" t="inlineStr">
        <is>
          <t>Brief — decisions on the 56 open questions (2026-08-20), tallied against the code 2026-09-12</t>
        </is>
      </c>
      <c r="D79" s="3" t="inlineStr">
        <is>
          <t>return stays money-weighted; thresholds in one module; timing-sensitivity band replaces the 10% gate; refuse when the denominator ≤ 0</t>
        </is>
      </c>
      <c r="E79" s="3" t="inlineStr">
        <is>
          <t>MK-PF-… return</t>
        </is>
      </c>
      <c r="F79" s="6" t="inlineStr">
        <is>
          <t>TESTED</t>
        </is>
      </c>
      <c r="G79" s="3" t="inlineStr">
        <is>
          <t>window-return.ts dateless-flow share threshold; PerformanceScreen:342 the band refusal shows the dollar walk</t>
        </is>
      </c>
      <c r="H79" s="3" t="inlineStr">
        <is>
          <t>src/screens/__tests__/coverage_line.test.tsx</t>
        </is>
      </c>
      <c r="I79" s="3" t="inlineStr">
        <is>
          <t>2026-09-12 (tallied)</t>
        </is>
      </c>
      <c r="J79" s="3" t="inlineStr"/>
      <c r="K79" s="3" t="inlineStr"/>
    </row>
    <row r="80">
      <c r="A80" s="3" t="inlineStr">
        <is>
          <t>Brief D5</t>
        </is>
      </c>
      <c r="B80" s="3" t="inlineStr">
        <is>
          <t>2026-08-20</t>
        </is>
      </c>
      <c r="C80" s="3" t="inlineStr">
        <is>
          <t>Brief — decisions on the 56 open questions (2026-08-20), tallied against the code 2026-09-12</t>
        </is>
      </c>
      <c r="D80" s="3" t="inlineStr">
        <is>
          <t>the Plaid overlap — both versions side by side, the person chooses per transaction; stable pair identity; unmatched rows kept and flagged</t>
        </is>
      </c>
      <c r="E80" s="3" t="inlineStr">
        <is>
          <t>imports</t>
        </is>
      </c>
      <c r="F80" s="8" t="inlineStr">
        <is>
          <t>RULED</t>
        </is>
      </c>
      <c r="G80" s="3" t="inlineStr">
        <is>
          <t>not built as a choice — the sync dedupes on a stable row identity (snaptrade.ts) so re-ingesting never doubles money; no side-by-side screen</t>
        </is>
      </c>
      <c r="H80" s="3" t="inlineStr">
        <is>
          <t>—</t>
        </is>
      </c>
      <c r="I80" s="3" t="inlineStr"/>
      <c r="J80" s="3" t="inlineStr"/>
      <c r="K80" s="3" t="inlineStr"/>
    </row>
    <row r="81">
      <c r="A81" s="3" t="inlineStr">
        <is>
          <t>Brief D6</t>
        </is>
      </c>
      <c r="B81" s="3" t="inlineStr">
        <is>
          <t>2026-08-20</t>
        </is>
      </c>
      <c r="C81" s="3" t="inlineStr">
        <is>
          <t>Brief — decisions on the 56 open questions (2026-08-20), tallied against the code 2026-09-12</t>
        </is>
      </c>
      <c r="D81" s="3" t="inlineStr">
        <is>
          <t>affordability replaces safe-to-spend: recurring cost with an end date; one-off purchase against liquid assets and months of cover</t>
        </is>
      </c>
      <c r="E81" s="3" t="inlineStr">
        <is>
          <t>cash flow</t>
        </is>
      </c>
      <c r="F81" s="8" t="inlineStr">
        <is>
          <t>RULED</t>
        </is>
      </c>
      <c r="G81" s="3" t="inlineStr">
        <is>
          <t>not built</t>
        </is>
      </c>
      <c r="H81" s="3" t="inlineStr">
        <is>
          <t>—</t>
        </is>
      </c>
      <c r="I81" s="3" t="inlineStr"/>
      <c r="J81" s="3" t="inlineStr"/>
      <c r="K81" s="3" t="inlineStr"/>
    </row>
    <row r="82">
      <c r="A82" s="3" t="inlineStr">
        <is>
          <t>Brief D7 — inflation lever</t>
        </is>
      </c>
      <c r="B82" s="3" t="inlineStr">
        <is>
          <t>2026-08-20</t>
        </is>
      </c>
      <c r="C82" s="3" t="inlineStr">
        <is>
          <t>Brief — decisions on the 56 open questions (2026-08-20), tallied against the code 2026-09-12</t>
        </is>
      </c>
      <c r="D82" s="3" t="inlineStr">
        <is>
          <t>default to the dated 30-year average, editable</t>
        </is>
      </c>
      <c r="E82" s="3" t="inlineStr">
        <is>
          <t>MK-PL-F-083</t>
        </is>
      </c>
      <c r="F82" s="6" t="inlineStr">
        <is>
          <t>TESTED</t>
        </is>
      </c>
      <c r="G82" s="3" t="inlineStr">
        <is>
          <t>executed as G30 (2026-09-08)</t>
        </is>
      </c>
      <c r="H82" s="3" t="inlineStr">
        <is>
          <t>src/domain/retirement/inflation</t>
        </is>
      </c>
      <c r="I82" s="3" t="inlineStr">
        <is>
          <t>2026-09-12 (tallied)</t>
        </is>
      </c>
      <c r="J82" s="3" t="inlineStr"/>
      <c r="K82" s="3" t="inlineStr"/>
    </row>
    <row r="83">
      <c r="A83" s="3" t="inlineStr">
        <is>
          <t>Brief D7 — the rest</t>
        </is>
      </c>
      <c r="B83" s="3" t="inlineStr">
        <is>
          <t>2026-08-20</t>
        </is>
      </c>
      <c r="C83" s="3" t="inlineStr">
        <is>
          <t>Brief — decisions on the 56 open questions (2026-08-20), tallied against the code 2026-09-12</t>
        </is>
      </c>
      <c r="D83" s="3" t="inlineStr">
        <is>
          <t>property sale/purchase as two events · stepped part-time income · pre-65 health premiums as a spread · owner tag you/spouse/joint with a full-value joint column · survivor inputs · insurance labels (SIPC clause) · amber box sorted by money · expense-to-income ratio (TTM) · pacing method stated · debt-to-asset · debt-payments-to-income denominator stated</t>
        </is>
      </c>
      <c r="E83" s="3" t="inlineStr">
        <is>
          <t>—</t>
        </is>
      </c>
      <c r="F83" s="8" t="inlineStr">
        <is>
          <t>RULED</t>
        </is>
      </c>
      <c r="G83" s="3" t="inlineStr">
        <is>
          <t>not built: property events, part-time steps, health premiums, owner tag, survivor inputs, insurance labels, expense-to-income ratio, debt-to-asset. Partly there: the unclassified section (amber), the pace card (method not stated on screen), debt-to-income on Goals (graded — see R3)</t>
        </is>
      </c>
      <c r="H83" s="3" t="inlineStr">
        <is>
          <t>—</t>
        </is>
      </c>
      <c r="I83" s="3" t="inlineStr"/>
      <c r="J83" s="3" t="inlineStr"/>
      <c r="K83" s="3" t="inlineStr"/>
    </row>
    <row r="84">
      <c r="A84" s="3" t="inlineStr">
        <is>
          <t>Brief E1</t>
        </is>
      </c>
      <c r="B84" s="3" t="inlineStr">
        <is>
          <t>2026-08-20</t>
        </is>
      </c>
      <c r="C84" s="3" t="inlineStr">
        <is>
          <t>Brief — decisions on the 56 open questions (2026-08-20), tallied against the code 2026-09-12</t>
        </is>
      </c>
      <c r="D84" s="3" t="inlineStr">
        <is>
          <t>state tax in the capital-gains figure — one tab said missing, one said included</t>
        </is>
      </c>
      <c r="E84" s="3" t="inlineStr">
        <is>
          <t>MK-NW-M-036/037</t>
        </is>
      </c>
      <c r="F84" s="8" t="inlineStr">
        <is>
          <t>RULED</t>
        </is>
      </c>
      <c r="G84" s="3" t="inlineStr">
        <is>
          <t>the code applies NO state tax to capital gains (capGains, performance/index.ts); the file must say "federal only"</t>
        </is>
      </c>
      <c r="H84" s="3" t="inlineStr">
        <is>
          <t>—</t>
        </is>
      </c>
      <c r="I84" s="3" t="inlineStr"/>
      <c r="J84" s="3" t="inlineStr"/>
      <c r="K84" s="3" t="inlineStr">
        <is>
          <t>File fix: the master row to state federal only.</t>
        </is>
      </c>
    </row>
    <row r="85">
      <c r="A85" s="3" t="inlineStr">
        <is>
          <t>Brief E2 · E4 · E5 · E6 · E12</t>
        </is>
      </c>
      <c r="B85" s="3" t="inlineStr">
        <is>
          <t>2026-08-20</t>
        </is>
      </c>
      <c r="C85" s="3" t="inlineStr">
        <is>
          <t>Brief — decisions on the 56 open questions (2026-08-20), tallied against the code 2026-09-12</t>
        </is>
      </c>
      <c r="D85" s="3" t="inlineStr">
        <is>
          <t>status disagreements, work-list generation, engine counts, tab references, the PINNED word — all in the old metrics deliverable</t>
        </is>
      </c>
      <c r="E85" s="3" t="inlineStr">
        <is>
          <t>the old METRICS-DELIVERABLE file</t>
        </is>
      </c>
      <c r="F85" s="7" t="inlineStr">
        <is>
          <t>CODED — superseded</t>
        </is>
      </c>
      <c r="G85" s="3" t="inlineStr">
        <is>
          <t>the master is built from the code since 2026-08-26 (identifiers, headers, formula agreement); the old file and its statuses are retired</t>
        </is>
      </c>
      <c r="H85" s="3" t="inlineStr">
        <is>
          <t>build-moneykeel-master.py · check-formula-agreement.py</t>
        </is>
      </c>
      <c r="I85" s="3" t="inlineStr">
        <is>
          <t>2026-09-12 (tallied)</t>
        </is>
      </c>
      <c r="J85" s="3" t="inlineStr"/>
      <c r="K85" s="3" t="inlineStr"/>
    </row>
    <row r="86">
      <c r="A86" s="3" t="inlineStr">
        <is>
          <t>Brief E3</t>
        </is>
      </c>
      <c r="B86" s="3" t="inlineStr">
        <is>
          <t>2026-08-20</t>
        </is>
      </c>
      <c r="C86" s="3" t="inlineStr">
        <is>
          <t>Brief — decisions on the 56 open questions (2026-08-20), tallied against the code 2026-09-12</t>
        </is>
      </c>
      <c r="D86" s="3" t="inlineStr">
        <is>
          <t>"money-weighted" names two things — rename PORTFOLIO_RETURN to value-weighted; reserve money-weighted for the IRR</t>
        </is>
      </c>
      <c r="E86" s="3" t="inlineStr">
        <is>
          <t>MK-PF-M-… return</t>
        </is>
      </c>
      <c r="F86" s="8" t="inlineStr">
        <is>
          <t>RULED</t>
        </is>
      </c>
      <c r="G86" s="3" t="inlineStr">
        <is>
          <t>not done: moneyWeightedReturn (bisection IRR) and the value-weighted average both still read "money-weighted" (findings A12, B06)</t>
        </is>
      </c>
      <c r="H86" s="3" t="inlineStr">
        <is>
          <t>—</t>
        </is>
      </c>
      <c r="I86" s="3" t="inlineStr"/>
      <c r="J86" s="3" t="inlineStr"/>
      <c r="K86" s="3" t="inlineStr">
        <is>
          <t>Needs your decision with A12/B06: which method is THE return.</t>
        </is>
      </c>
    </row>
    <row r="87">
      <c r="A87" s="3" t="inlineStr">
        <is>
          <t>Brief E7</t>
        </is>
      </c>
      <c r="B87" s="3" t="inlineStr">
        <is>
          <t>2026-08-20</t>
        </is>
      </c>
      <c r="C87" s="3" t="inlineStr">
        <is>
          <t>Brief — decisions on the 56 open questions (2026-08-20), tallied against the code 2026-09-12</t>
        </is>
      </c>
      <c r="D87" s="3" t="inlineStr">
        <is>
          <t>the long-term rule is "more than one year", not twelve whole months</t>
        </is>
      </c>
      <c r="E87" s="3" t="inlineStr">
        <is>
          <t>MK-NW-M-036</t>
        </is>
      </c>
      <c r="F87" s="6" t="inlineStr">
        <is>
          <t>TESTED</t>
        </is>
      </c>
      <c r="G87" s="3" t="inlineStr">
        <is>
          <t>capGains: long-term begins the day after the first anniversary (performance/index.ts:325) — the code is right; the file wording (B10) still says ≥ 365 whole days</t>
        </is>
      </c>
      <c r="H87" s="3" t="inlineStr">
        <is>
          <t>src/domain/performance/performance.test.ts· src/domain/scenarios.test.ts· src/screens/__tests__/draw_steer_fcc.test.tsx</t>
        </is>
      </c>
      <c r="I87" s="3" t="inlineStr">
        <is>
          <t>2026-09-12 (tallied)</t>
        </is>
      </c>
      <c r="J87" s="3" t="inlineStr"/>
      <c r="K87" s="3" t="inlineStr">
        <is>
          <t>File fix pending (B10).</t>
        </is>
      </c>
    </row>
    <row r="88">
      <c r="A88" s="3" t="inlineStr">
        <is>
          <t>Brief E8</t>
        </is>
      </c>
      <c r="B88" s="3" t="inlineStr">
        <is>
          <t>2026-08-20</t>
        </is>
      </c>
      <c r="C88" s="3" t="inlineStr">
        <is>
          <t>Brief — decisions on the 56 open questions (2026-08-20), tallied against the code 2026-09-12</t>
        </is>
      </c>
      <c r="D88" s="3" t="inlineStr">
        <is>
          <t>over-65 additional standard deduction</t>
        </is>
      </c>
      <c r="E88" s="3" t="inlineStr">
        <is>
          <t>MK-CF-F-187</t>
        </is>
      </c>
      <c r="F88" s="6" t="inlineStr">
        <is>
          <t>TESTED</t>
        </is>
      </c>
      <c r="G88" s="3" t="inlineStr">
        <is>
          <t>executed as G3 (2026-09-08)</t>
        </is>
      </c>
      <c r="H88" s="3" t="inlineStr">
        <is>
          <t>src/domain/income/tax tests</t>
        </is>
      </c>
      <c r="I88" s="3" t="inlineStr">
        <is>
          <t>2026-09-12 (tallied)</t>
        </is>
      </c>
      <c r="J88" s="3" t="inlineStr"/>
      <c r="K88" s="3" t="inlineStr"/>
    </row>
    <row r="89">
      <c r="A89" s="3" t="inlineStr">
        <is>
          <t>Brief E9</t>
        </is>
      </c>
      <c r="B89" s="3" t="inlineStr">
        <is>
          <t>2026-08-20</t>
        </is>
      </c>
      <c r="C89" s="3" t="inlineStr">
        <is>
          <t>Brief — decisions on the 56 open questions (2026-08-20), tallied against the code 2026-09-12</t>
        </is>
      </c>
      <c r="D89" s="3" t="inlineStr">
        <is>
          <t>married bands are not double the single ones at the top</t>
        </is>
      </c>
      <c r="E89" s="3" t="inlineStr">
        <is>
          <t>MK-CF-F-… tax</t>
        </is>
      </c>
      <c r="F89" s="6" t="inlineStr">
        <is>
          <t>TESTED</t>
        </is>
      </c>
      <c r="G89" s="3" t="inlineStr">
        <is>
          <t>tax.ts TAX_TABLES: the married table is explicit (37% threshold $768,700), never derived by doubling</t>
        </is>
      </c>
      <c r="H89" s="3" t="inlineStr">
        <is>
          <t>MoneyKeel/functions/cashflow/base-pay.test.ts· src/__tests__/adversarial_pass.test.tsx· src/__tests__/state_contract.test.ts</t>
        </is>
      </c>
      <c r="I89" s="3" t="inlineStr">
        <is>
          <t>2026-09-12 (tallied)</t>
        </is>
      </c>
      <c r="J89" s="3" t="inlineStr"/>
      <c r="K89" s="3" t="inlineStr"/>
    </row>
    <row r="90">
      <c r="A90" s="3" t="inlineStr">
        <is>
          <t>Brief E10</t>
        </is>
      </c>
      <c r="B90" s="3" t="inlineStr">
        <is>
          <t>2026-08-20</t>
        </is>
      </c>
      <c r="C90" s="3" t="inlineStr">
        <is>
          <t>Brief — decisions on the 56 open questions (2026-08-20), tallied against the code 2026-09-12</t>
        </is>
      </c>
      <c r="D90" s="3" t="inlineStr">
        <is>
          <t>state tax applies to taxable income, never gross</t>
        </is>
      </c>
      <c r="E90" s="3" t="inlineStr">
        <is>
          <t>MK-CF-F-… tax</t>
        </is>
      </c>
      <c r="F90" s="7" t="inlineStr">
        <is>
          <t>CODED</t>
        </is>
      </c>
      <c r="G90" s="3" t="inlineStr">
        <is>
          <t>tax.ts:104 and :338 — the state rate multiplies taxable income</t>
        </is>
      </c>
      <c r="H90" s="3" t="inlineStr">
        <is>
          <t>—</t>
        </is>
      </c>
      <c r="I90" s="3" t="inlineStr">
        <is>
          <t>2026-09-12 (tallied)</t>
        </is>
      </c>
      <c r="J90" s="3" t="inlineStr"/>
      <c r="K90" s="3" t="inlineStr"/>
    </row>
    <row r="91">
      <c r="A91" s="3" t="inlineStr">
        <is>
          <t>Brief E11</t>
        </is>
      </c>
      <c r="B91" s="3" t="inlineStr">
        <is>
          <t>2026-08-20</t>
        </is>
      </c>
      <c r="C91" s="3" t="inlineStr">
        <is>
          <t>Brief — decisions on the 56 open questions (2026-08-20), tallied against the code 2026-09-12</t>
        </is>
      </c>
      <c r="D91" s="3" t="inlineStr">
        <is>
          <t>both ledger reconciliation assertions (holdings + cash = the broker total; re-ingest never doubles money)</t>
        </is>
      </c>
      <c r="E91" s="3" t="inlineStr">
        <is>
          <t>sync</t>
        </is>
      </c>
      <c r="F91" s="6" t="inlineStr">
        <is>
          <t>TESTED</t>
        </is>
      </c>
      <c r="G91" s="3" t="inlineStr">
        <is>
          <t>snaptrade.ts stable row identity; the sync dedupe registry</t>
        </is>
      </c>
      <c r="H91" s="3" t="inlineStr">
        <is>
          <t>Calculation Module code/probes/reconciliation-golden.probe.test.ts (both assertions, golden files) · the sync dedupe tests</t>
        </is>
      </c>
      <c r="I91" s="3" t="inlineStr">
        <is>
          <t>2026-09-12 (tallied)</t>
        </is>
      </c>
      <c r="J91" s="3" t="inlineStr"/>
      <c r="K91" s="3" t="inlineStr">
        <is>
          <t>Corrected 2026-09-12: both assertions were built and golden-tested on 2026-08-20 (Track 1 step 5).</t>
        </is>
      </c>
    </row>
    <row r="92">
      <c r="A92" s="3" t="inlineStr">
        <is>
          <t>G2</t>
        </is>
      </c>
      <c r="B92" s="3" t="inlineStr">
        <is>
          <t>2026-09-12</t>
        </is>
      </c>
      <c r="C92" s="3" t="inlineStr">
        <is>
          <t>his -jj copy of the second-verification assessment (column I), 2026-09-12</t>
        </is>
      </c>
      <c r="D92" s="3" t="inlineStr">
        <is>
          <t>agree — long-term means MORE than one year; exactly one year is short-term</t>
        </is>
      </c>
      <c r="E92" s="3" t="inlineStr">
        <is>
          <t>MK-NW-M-036 · MK-NW-M-037 · MK-PF-F-006</t>
        </is>
      </c>
      <c r="F92" s="6" t="inlineStr">
        <is>
          <t>TESTED</t>
        </is>
      </c>
      <c r="G92" s="3" t="inlineStr">
        <is>
          <t>the code was right (capGains tests the day after the first anniversary); both formula columns on the two rows corrected 2026-09-12</t>
        </is>
      </c>
      <c r="H92" s="3" t="inlineStr">
        <is>
          <t>src/domain/performance/performance.test.ts · check-rulings-in-file.py</t>
        </is>
      </c>
      <c r="I92" s="3" t="inlineStr">
        <is>
          <t>2026-09-12</t>
        </is>
      </c>
      <c r="J92" s="3" t="inlineStr"/>
      <c r="K92" s="3" t="inlineStr"/>
    </row>
    <row r="93">
      <c r="A93" s="3" t="inlineStr">
        <is>
          <t>G5</t>
        </is>
      </c>
      <c r="B93" s="3" t="inlineStr">
        <is>
          <t>2026-09-12</t>
        </is>
      </c>
      <c r="C93" s="3" t="inlineStr">
        <is>
          <t>his -jj copy of the second-verification assessment (column I), 2026-09-12</t>
        </is>
      </c>
      <c r="D93" s="3" t="inlineStr">
        <is>
          <t>agree — the file must say 2.5% is divided by 100 before use</t>
        </is>
      </c>
      <c r="E93" s="3" t="inlineStr">
        <is>
          <t>MK-PL-F-067 willItLastInputs</t>
        </is>
      </c>
      <c r="F93" s="6" t="inlineStr">
        <is>
          <t>TESTED</t>
        </is>
      </c>
      <c r="G93" s="3" t="inlineStr">
        <is>
          <t>the code was consistent ((inflationRate ?? 2.5) / 100); the assumption now says so on the function row</t>
        </is>
      </c>
      <c r="H93" s="3" t="inlineStr">
        <is>
          <t>src/domain/retirement/inflation tests · check-rulings-in-file.py</t>
        </is>
      </c>
      <c r="I93" s="3" t="inlineStr">
        <is>
          <t>2026-09-12</t>
        </is>
      </c>
      <c r="J93" s="3" t="inlineStr"/>
      <c r="K93" s="3" t="inlineStr"/>
    </row>
    <row r="94">
      <c r="A94" s="3" t="inlineStr">
        <is>
          <t>G7</t>
        </is>
      </c>
      <c r="B94" s="3" t="inlineStr">
        <is>
          <t>2026-09-12</t>
        </is>
      </c>
      <c r="C94" s="3" t="inlineStr">
        <is>
          <t>his -jj copy of the second-verification assessment (column I), 2026-09-12</t>
        </is>
      </c>
      <c r="D94" s="3" t="inlineStr">
        <is>
          <t>agree — no flat 22% inside the odds; every caller passes its own effective rate. His question: what if a caller has no rate to pass?</t>
        </is>
      </c>
      <c r="E94" s="3" t="inlineStr">
        <is>
          <t>MK-PL-F-050 simulate · MK-PL-F-067</t>
        </is>
      </c>
      <c r="F94" s="6" t="inlineStr">
        <is>
          <t>TESTED</t>
        </is>
      </c>
      <c r="G94" s="3" t="inlineStr">
        <is>
          <t>the 0.22 default deleted (retirement/index.ts): no rate → no tax applied, and the row says so; the one real caller (willItLastInputs) always passes the person's own rate; the 10%–60% clamp and the 60% cap declared</t>
        </is>
      </c>
      <c r="H94" s="3" t="inlineStr">
        <is>
          <t>src/domain/retirement/g7_no_default_tax_rate.test.ts</t>
        </is>
      </c>
      <c r="I94" s="3" t="inlineStr">
        <is>
          <t>2026-09-12</t>
        </is>
      </c>
      <c r="J94" s="3" t="inlineStr"/>
      <c r="K94" s="3" t="inlineStr">
        <is>
          <t>ANSWER: a caller with no rate gets NO tax on withdrawals — not a guess — and the assumption on the row says so. In practice the rate is always computable from filing status and income, which the odds path already does.</t>
        </is>
      </c>
    </row>
    <row r="95">
      <c r="A95" s="3" t="inlineStr">
        <is>
          <t>G11</t>
        </is>
      </c>
      <c r="B95" s="3" t="inlineStr">
        <is>
          <t>2026-09-12</t>
        </is>
      </c>
      <c r="C95" s="3" t="inlineStr">
        <is>
          <t>his -jj copy of the second-verification assessment (column I), 2026-09-12</t>
        </is>
      </c>
      <c r="D95" s="3" t="inlineStr">
        <is>
          <t>agree — a missing maturity date is unknown, not "due now"</t>
        </is>
      </c>
      <c r="E95" s="3" t="inlineStr">
        <is>
          <t>MK-NW-M-025 · MK-NW-M-026 · MK-NW-F-058 · MK-NW-F-060 · MK-NW-F-064</t>
        </is>
      </c>
      <c r="F95" s="6" t="inlineStr">
        <is>
          <t>TESTED</t>
        </is>
      </c>
      <c r="G95" s="3" t="inlineStr">
        <is>
          <t>yearsToMaturity → nothing when the date is missing or unreadable; approxYTM, bondRateSensitivity and priceAtYield refuse in turn; the two rows say so</t>
        </is>
      </c>
      <c r="H95" s="3" t="inlineStr">
        <is>
          <t>src/domain/bonds/g11_no_maturity.test.ts · check-rulings-in-file.py</t>
        </is>
      </c>
      <c r="I95" s="3" t="inlineStr">
        <is>
          <t>2026-09-12</t>
        </is>
      </c>
      <c r="J95" s="3" t="inlineStr"/>
      <c r="K95" s="3" t="inlineStr"/>
    </row>
    <row r="96">
      <c r="A96" s="3" t="inlineStr">
        <is>
          <t>G12</t>
        </is>
      </c>
      <c r="B96" s="3" t="inlineStr">
        <is>
          <t>2026-09-12</t>
        </is>
      </c>
      <c r="C96" s="3" t="inlineStr">
        <is>
          <t>his -jj copy of the second-verification assessment (column I), 2026-09-12</t>
        </is>
      </c>
      <c r="D96" s="3" t="inlineStr">
        <is>
          <t>agree; ensure compliance with the synonym ruling</t>
        </is>
      </c>
      <c r="E96" s="3" t="inlineStr">
        <is>
          <t>MK-CF-M-004 · MK-CF-M-019 · MK-XS-M-007</t>
        </is>
      </c>
      <c r="F96" s="6" t="inlineStr">
        <is>
          <t>TESTED</t>
        </is>
      </c>
      <c r="G96" s="3" t="inlineStr">
        <is>
          <t>the month's outflow (expenses + debt paid) now comes from ONE function, MK-CF-F-194 monthOutflow (MoneyKeel/functions/cashflow/this-month.ts), not from the screen; the labels read 'Outflow (expenses + debt)' and 'Outflow (expenses)' per cluster #3</t>
        </is>
      </c>
      <c r="H96" s="3" t="inlineStr">
        <is>
          <t>MoneyKeel/functions/cashflow/month-outflow.test.ts · cashflow_fcc.test.tsx</t>
        </is>
      </c>
      <c r="I96" s="3" t="inlineStr">
        <is>
          <t>2026-09-12</t>
        </is>
      </c>
      <c r="J96" s="3" t="inlineStr"/>
      <c r="K96" s="3" t="inlineStr">
        <is>
          <t>MK-CF-M-004 names MK-CF-F-194 from 2026-09-12.</t>
        </is>
      </c>
    </row>
    <row r="97">
      <c r="A97" s="3" t="inlineStr">
        <is>
          <t>G15</t>
        </is>
      </c>
      <c r="B97" s="3" t="inlineStr">
        <is>
          <t>2026-09-12</t>
        </is>
      </c>
      <c r="C97" s="3" t="inlineStr">
        <is>
          <t>his -jj copy of the second-verification assessment (column I), 2026-09-12</t>
        </is>
      </c>
      <c r="D97" s="3" t="inlineStr">
        <is>
          <t>agree — the words must say the statement amount is at the person's OWN full retirement age</t>
        </is>
      </c>
      <c r="E97" s="3" t="inlineStr">
        <is>
          <t>MK-PL-M-008 · MK-PL-M-011 · MK-PL-M-029</t>
        </is>
      </c>
      <c r="F97" s="6" t="inlineStr">
        <is>
          <t>TESTED</t>
        </is>
      </c>
      <c r="G97" s="3" t="inlineStr">
        <is>
          <t>the code was right; the three rows' words now state the schedule (66 to 67 by birth year) and the SSA reduction and credit formula</t>
        </is>
      </c>
      <c r="H97" s="3" t="inlineStr">
        <is>
          <t>src/domain/retirement/ssTiming.test.ts · check-rulings-in-file.py</t>
        </is>
      </c>
      <c r="I97" s="3" t="inlineStr">
        <is>
          <t>2026-09-12</t>
        </is>
      </c>
      <c r="J97" s="3" t="inlineStr"/>
      <c r="K97" s="3" t="inlineStr"/>
    </row>
    <row r="98">
      <c r="A98" s="3" t="inlineStr">
        <is>
          <t>G24</t>
        </is>
      </c>
      <c r="B98" s="3" t="inlineStr">
        <is>
          <t>2026-09-12</t>
        </is>
      </c>
      <c r="C98" s="3" t="inlineStr">
        <is>
          <t>his -jj copy of the second-verification assessment (column I), 2026-09-12</t>
        </is>
      </c>
      <c r="D98" s="3" t="inlineStr">
        <is>
          <t>ok — the per-class benchmark table (value, source, period) on the Reference tab; the generator fixed</t>
        </is>
      </c>
      <c r="E98" s="3" t="inlineStr">
        <is>
          <t>Reference tab · MK-NW-F-035 · MK-NW-F-037</t>
        </is>
      </c>
      <c r="F98" s="6" t="inlineStr">
        <is>
          <t>TESTED</t>
        </is>
      </c>
      <c r="G98" s="3" t="inlineStr">
        <is>
          <t>the Reference tab prints BENCHMARK — &lt;kind&gt;: return · source · period · ESTIMATE, read from ASSET_KINDS and BENCHMARK_META on every build; the rounding and ×100 phrases fixed 2026-09-08 (C4)</t>
        </is>
      </c>
      <c r="H98" s="3" t="inlineStr">
        <is>
          <t>check-rulings-in-file.py</t>
        </is>
      </c>
      <c r="I98" s="3" t="inlineStr">
        <is>
          <t>2026-09-12</t>
        </is>
      </c>
      <c r="J98" s="3" t="inlineStr"/>
      <c r="K98" s="3" t="inlineStr"/>
    </row>
    <row r="99">
      <c r="A99" s="3" t="inlineStr">
        <is>
          <t>G36</t>
        </is>
      </c>
      <c r="B99" s="3" t="inlineStr">
        <is>
          <t>2026-09-12</t>
        </is>
      </c>
      <c r="C99" s="3" t="inlineStr">
        <is>
          <t>his -jj copy of the second-verification assessment (column I), 2026-09-12</t>
        </is>
      </c>
      <c r="D99" s="3" t="inlineStr">
        <is>
          <t>ok — state the months-left convention; move the division off the screen</t>
        </is>
      </c>
      <c r="E99" s="3" t="inlineStr">
        <is>
          <t>MK-MN-M-003 · MK-MN-M-004 · MK-MN-M-005 · MK-MN-M-029</t>
        </is>
      </c>
      <c r="F99" s="6" t="inlineStr">
        <is>
          <t>TESTED</t>
        </is>
      </c>
      <c r="G99" s="3" t="inlineStr">
        <is>
          <t>MK-CF-F-195 monthsLeftInYear and MK-CF-F-196 perMonthToFill in src/domain/income/limits.ts (the current month counts; December → 1); the Contribution-room screen calls them; the four rows say so</t>
        </is>
      </c>
      <c r="H99" s="3" t="inlineStr">
        <is>
          <t>src/domain/income/g36_months_left.test.ts · check-rulings-in-file.py</t>
        </is>
      </c>
      <c r="I99" s="3" t="inlineStr">
        <is>
          <t>2026-09-12</t>
        </is>
      </c>
      <c r="J99" s="3" t="inlineStr"/>
      <c r="K99" s="3" t="inlineStr"/>
    </row>
    <row r="100">
      <c r="A100" s="3" t="inlineStr">
        <is>
          <t>C1</t>
        </is>
      </c>
      <c r="B100" s="3" t="inlineStr">
        <is>
          <t>2026-09-12</t>
        </is>
      </c>
      <c r="C100" s="3" t="inlineStr">
        <is>
          <t>his -jj copy of the second-verification assessment (column I), 2026-09-12</t>
        </is>
      </c>
      <c r="D100" s="3" t="inlineStr">
        <is>
          <t>ok — keep both engines (money-weighted and window return are different figures); fix the file row</t>
        </is>
      </c>
      <c r="E100" s="3" t="inlineStr">
        <is>
          <t>MK-XS-M-004 · MK-PF-F-019</t>
        </is>
      </c>
      <c r="F100" s="6" t="inlineStr">
        <is>
          <t>TESTED</t>
        </is>
      </c>
      <c r="G100" s="3" t="inlineStr">
        <is>
          <t>the row corrected under G18; both functions stay, each row describing its own figure</t>
        </is>
      </c>
      <c r="H100" s="3" t="inlineStr">
        <is>
          <t>check-rulings-in-file.py (G18)</t>
        </is>
      </c>
      <c r="I100" s="3" t="inlineStr">
        <is>
          <t>2026-09-12</t>
        </is>
      </c>
      <c r="J100" s="3" t="inlineStr"/>
      <c r="K100" s="3" t="inlineStr">
        <is>
          <t>Which method is THE return on the Performance screen stays your decision (A12 / E3).</t>
        </is>
      </c>
    </row>
    <row r="101">
      <c r="A101" s="3" t="inlineStr">
        <is>
          <t>C3</t>
        </is>
      </c>
      <c r="B101" s="3" t="inlineStr">
        <is>
          <t>2026-09-12</t>
        </is>
      </c>
      <c r="C101" s="3" t="inlineStr">
        <is>
          <t>his -jj copy of the second-verification assessment (column I), 2026-09-12</t>
        </is>
      </c>
      <c r="D101" s="3" t="inlineStr">
        <is>
          <t>ok — the file names the real classes; Unclassified counts as investments</t>
        </is>
      </c>
      <c r="E101" s="3" t="inlineStr">
        <is>
          <t>MK-XS-M-003 · MK-NW-F-021</t>
        </is>
      </c>
      <c r="F101" s="6" t="inlineStr">
        <is>
          <t>TESTED</t>
        </is>
      </c>
      <c r="G101" s="3" t="inlineStr">
        <is>
          <t>no silent drop (the code includes the mixed class); the row's maths now lists Stocks / Funds, Bonds &amp; CDs, Alternatives, Unclassified</t>
        </is>
      </c>
      <c r="H101" s="3" t="inlineStr">
        <is>
          <t>check-rulings-in-file.py</t>
        </is>
      </c>
      <c r="I101" s="3" t="inlineStr">
        <is>
          <t>2026-09-12</t>
        </is>
      </c>
      <c r="J101" s="3" t="inlineStr"/>
      <c r="K101" s="3" t="inlineStr"/>
    </row>
    <row r="102">
      <c r="A102" s="3" t="inlineStr">
        <is>
          <t>G1</t>
        </is>
      </c>
      <c r="B102" s="3" t="inlineStr">
        <is>
          <t>2026-09-12</t>
        </is>
      </c>
      <c r="C102" s="3" t="inlineStr">
        <is>
          <t>his -jj copy of the second-verification assessment (column I), 2026-09-12</t>
        </is>
      </c>
      <c r="D102" s="3" t="inlineStr">
        <is>
          <t>agree — every contribution limit uses the age attained in the calendar year (this year − birth year), the IRS test</t>
        </is>
      </c>
      <c r="E102" s="3" t="inlineStr">
        <is>
          <t>MK-CF-F-053 · MK-CF-F-054 · MK-CF-F-055 · the onboarding 401(k) step · the Contribution-room screen</t>
        </is>
      </c>
      <c r="F102" s="6" t="inlineStr">
        <is>
          <t>TESTED</t>
        </is>
      </c>
      <c r="G102" s="3" t="inlineStr">
        <is>
          <t>ageAttainedInYear in src/domain/income/limits.ts; the onboarding 401(k) step and the Contribution-room screen both use it (the onboarding step used the birthday-aware age and offered $8,000 where the law gives $11,250); the convention stated on the three limit rows; the rule in the published-sources register</t>
        </is>
      </c>
      <c r="H102" s="3" t="inlineStr">
        <is>
          <t>src/domain/income/g1_age_attained_in_year.test.ts · guard_d4_published_sources.test.ts · check-rulings-in-file.py</t>
        </is>
      </c>
      <c r="I102" s="3" t="inlineStr">
        <is>
          <t>2026-09-12</t>
        </is>
      </c>
      <c r="J102" s="3" t="inlineStr"/>
      <c r="K102" s="3" t="inlineStr">
        <is>
          <t>ANSWER to his question: the three limit functions are the 401(k), IRA and HSA limits by age — MK-CF-F-053, -054, -055.</t>
        </is>
      </c>
    </row>
    <row r="103">
      <c r="A103" s="3" t="inlineStr">
        <is>
          <t>G4</t>
        </is>
      </c>
      <c r="B103" s="3" t="inlineStr">
        <is>
          <t>2026-09-12</t>
        </is>
      </c>
      <c r="C103" s="3" t="inlineStr">
        <is>
          <t>his -jj copy of the second-verification assessment (column I) and chat, 2026-09-12</t>
        </is>
      </c>
      <c r="D103" s="3" t="inlineStr">
        <is>
          <t>the caveat under the federal-only take-home must name its subject and use the real withholding: 6.2% up to the wage base, 1.45% on all, 0.9% more above $200,000 — "Let's not assume that reader knows what statement is referring to. Always be explicit."</t>
        </is>
      </c>
      <c r="E103" s="3" t="inlineStr">
        <is>
          <t>MK-CF-O-001 basePay (shortBy) · the Base-pay screen · mock income-end-to-end v07</t>
        </is>
      </c>
      <c r="F103" s="6" t="inlineStr">
        <is>
          <t>TESTED</t>
        </is>
      </c>
      <c r="G103" s="3" t="inlineStr">
        <is>
          <t>payrollTaxWithheld in MoneyKeel/functions/cashflow/base-pay.ts (SS_WAGE_BASE $184,500, MEDICARE_ADDITIONAL_THRESHOLD $200,000), summed per earner for shortBy; the sentence on the Base-pay screen and in the mock now opens "The take-home above is higher than it will really be, by roughly $X a month."; the mock's $1,460 (which did not follow from its own $138,000) is $880; the mock's household band now equals the card's take-home</t>
        </is>
      </c>
      <c r="H103" s="3" t="inlineStr">
        <is>
          <t>MoneyKeel/functions/cashflow/payroll-tax.test.ts · guard_d4_published_sources.test.ts</t>
        </is>
      </c>
      <c r="I103" s="3" t="inlineStr">
        <is>
          <t>2026-09-12</t>
        </is>
      </c>
      <c r="J103" s="3" t="inlineStr"/>
      <c r="K103" s="3" t="inlineStr">
        <is>
          <t>The flat 7.65% was never deducted from take-home (Gemini's claim was false); only the caveat's figure was overstated above the wage base.</t>
        </is>
      </c>
    </row>
    <row r="104">
      <c r="A104" s="3" t="inlineStr">
        <is>
          <t>G9</t>
        </is>
      </c>
      <c r="B104" s="3" t="inlineStr">
        <is>
          <t>2026-09-12</t>
        </is>
      </c>
      <c r="C104" s="3" t="inlineStr">
        <is>
          <t>chat, 2026-09-12 ("ask for it")</t>
        </is>
      </c>
      <c r="D104" s="3" t="inlineStr">
        <is>
          <t>ask for the birth month (already asked, required); one age convention PER PURPOSE — every rule and projection runs on the age attained in the calendar year; what a person reads about themselves and Social Security timing use the birthday-aware age; no stand-in month</t>
        </is>
      </c>
      <c r="E104" s="3" t="inlineStr">
        <is>
          <t>MK-XS-F-017 currentAge · MK-PL-F-067 willItLastInputs · the Retirement cockpit · the onboarding age helper</t>
        </is>
      </c>
      <c r="F104" s="6" t="inlineStr">
        <is>
          <t>TESTED</t>
        </is>
      </c>
      <c r="G104" s="3" t="inlineStr">
        <is>
          <t>the onboarding asks month + year (both required). Two helpers, each named for its purpose: ageFromProfile / ageAttainedInYear (year-attained) for every rule, limit, withdrawal start and the plan's calendar-year stepping; ageToday / ageTodayFromProfile (birthday-aware with the month, year-attained without, nothing without a year) for what the person reads and for Social Security timing (SsTimingScreen). The June stand-in is gone.</t>
        </is>
      </c>
      <c r="H104" s="3" t="inlineStr">
        <is>
          <t>src/domain/profile/g9_age_convention.test.ts</t>
        </is>
      </c>
      <c r="I104" s="3" t="inlineStr">
        <is>
          <t>2026-09-12</t>
        </is>
      </c>
      <c r="J104" s="3" t="inlineStr"/>
      <c r="K104" s="3" t="inlineStr">
        <is>
          <t>Stand-ins remain where the birth year is MISSING: the cockpit assumes 45, Insights 45, the cash-flow model and the draw steer 68, the onboarding helper 35/65 — an open R2 item on the workplan for your call.</t>
        </is>
      </c>
    </row>
    <row r="105">
      <c r="A105" s="3" t="inlineStr">
        <is>
          <t>Orchestrator rule 1</t>
        </is>
      </c>
      <c r="B105" s="3" t="inlineStr">
        <is>
          <t>2026-09-13</t>
        </is>
      </c>
      <c r="C105" s="3" t="inlineStr">
        <is>
          <t>chat, 2026-09-13 ("I like your recommendations. Let's create a plan.")</t>
        </is>
      </c>
      <c r="D105" s="3" t="inlineStr">
        <is>
          <t>one question, one orchestrator — orchestrators are grouped by the question a screen asks (what am I worth · will my money last · what did my pay come to this month), never by data type; an orchestrator composes dependent functions and hands out figures, and does no arithmetic of its own; the same question asked on different screens is answered by the same orchestrator — a screen never gets its own copy (founder, 2026-09-13: "same question on different screen — same orchestrator")</t>
        </is>
      </c>
      <c r="E105" s="3" t="inlineStr">
        <is>
          <t>moneykeel_calc_spec_one-door-per-question_v01.md § The design rules · the orchestrator map (to be built) · every MK-XX-O-NNN row</t>
        </is>
      </c>
      <c r="F105" s="8" t="inlineStr">
        <is>
          <t>RULED</t>
        </is>
      </c>
      <c r="G105" s="3" t="inlineStr"/>
      <c r="H105" s="3" t="inlineStr"/>
      <c r="I105" s="3" t="inlineStr"/>
      <c r="J105" s="3" t="inlineStr"/>
      <c r="K105" s="3" t="inlineStr">
        <is>
          <t>Becomes a guard when the loop is built (spec § Closing the loop, steps 1–3 and 5) — until then it is a rule on paper.</t>
        </is>
      </c>
    </row>
    <row r="106">
      <c r="A106" s="3" t="inlineStr">
        <is>
          <t>Orchestrator rule 2</t>
        </is>
      </c>
      <c r="B106" s="3" t="inlineStr">
        <is>
          <t>2026-09-13</t>
        </is>
      </c>
      <c r="C106" s="3" t="inlineStr">
        <is>
          <t>chat, 2026-09-13 ("I like your recommendations. Let's create a plan.")</t>
        </is>
      </c>
      <c r="D106" s="3" t="inlineStr">
        <is>
          <t>one concept, one function — a concept is computed by exactly one dependent function, called over whatever set it is asked about (total assets over all accounts, and over one institution's accounts, is the same function); a total and the sum of its parts are pinned by an invariant test, never assumed</t>
        </is>
      </c>
      <c r="E106" s="3" t="inlineStr">
        <is>
          <t>moneykeel_calc_spec_one-door-per-question_v01.md § The design rules · the orchestrator map (to be built) · every MK-XX-O-NNN row</t>
        </is>
      </c>
      <c r="F106" s="8" t="inlineStr">
        <is>
          <t>RULED</t>
        </is>
      </c>
      <c r="G106" s="3" t="inlineStr"/>
      <c r="H106" s="3" t="inlineStr"/>
      <c r="I106" s="3" t="inlineStr"/>
      <c r="J106" s="3" t="inlineStr"/>
      <c r="K106" s="3" t="inlineStr">
        <is>
          <t>Becomes a guard when the loop is built (spec § Closing the loop, steps 1–3 and 5) — until then it is a rule on paper.</t>
        </is>
      </c>
    </row>
    <row r="107">
      <c r="A107" s="3" t="inlineStr">
        <is>
          <t>Orchestrator rule 3</t>
        </is>
      </c>
      <c r="B107" s="3" t="inlineStr">
        <is>
          <t>2026-09-13</t>
        </is>
      </c>
      <c r="C107" s="3" t="inlineStr">
        <is>
          <t>chat, 2026-09-13 ("I like your recommendations. Let's create a plan.")</t>
        </is>
      </c>
      <c r="D107" s="3" t="inlineStr">
        <is>
          <t>orchestrators do not call orchestrators — a figure two questions need is a dependent function both call; a screen that needs two questions answered calls two orchestrators</t>
        </is>
      </c>
      <c r="E107" s="3" t="inlineStr">
        <is>
          <t>moneykeel_calc_spec_one-door-per-question_v01.md § The design rules · the orchestrator map (to be built) · every MK-XX-O-NNN row</t>
        </is>
      </c>
      <c r="F107" s="8" t="inlineStr">
        <is>
          <t>RULED</t>
        </is>
      </c>
      <c r="G107" s="3" t="inlineStr"/>
      <c r="H107" s="3" t="inlineStr"/>
      <c r="I107" s="3" t="inlineStr"/>
      <c r="J107" s="3" t="inlineStr"/>
      <c r="K107" s="3" t="inlineStr">
        <is>
          <t>Becomes a guard when the loop is built (spec § Closing the loop, steps 1–3 and 5) — until then it is a rule on paper.</t>
        </is>
      </c>
    </row>
    <row r="108">
      <c r="A108" s="3" t="inlineStr">
        <is>
          <t>Orchestrator rule 4</t>
        </is>
      </c>
      <c r="B108" s="3" t="inlineStr">
        <is>
          <t>2026-09-13</t>
        </is>
      </c>
      <c r="C108" s="3" t="inlineStr">
        <is>
          <t>chat, 2026-09-13 ("I like your recommendations. Let's create a plan.")</t>
        </is>
      </c>
      <c r="D108" s="3" t="inlineStr">
        <is>
          <t>inputs assembled once per family — one function builds the person's state for a family and every orchestrator in that family reads it; no orchestrator and no screen assembles its own</t>
        </is>
      </c>
      <c r="E108" s="3" t="inlineStr">
        <is>
          <t>moneykeel_calc_spec_one-door-per-question_v01.md § The design rules · the orchestrator map (to be built) · every MK-XX-O-NNN row</t>
        </is>
      </c>
      <c r="F108" s="8" t="inlineStr">
        <is>
          <t>RULED</t>
        </is>
      </c>
      <c r="G108" s="3" t="inlineStr"/>
      <c r="H108" s="3" t="inlineStr"/>
      <c r="I108" s="3" t="inlineStr"/>
      <c r="J108" s="3" t="inlineStr"/>
      <c r="K108" s="3" t="inlineStr">
        <is>
          <t>Becomes a guard when the loop is built (spec § Closing the loop, steps 1–3 and 5) — until then it is a rule on paper.</t>
        </is>
      </c>
    </row>
    <row r="109">
      <c r="A109" s="3" t="inlineStr">
        <is>
          <t>Orchestrator rule 5</t>
        </is>
      </c>
      <c r="B109" s="3" t="inlineStr">
        <is>
          <t>2026-09-13</t>
        </is>
      </c>
      <c r="C109" s="3" t="inlineStr">
        <is>
          <t>chat, 2026-09-13 ("I like your recommendations. Let's create a plan.")</t>
        </is>
      </c>
      <c r="D109" s="3" t="inlineStr">
        <is>
          <t>screens compute nothing — a figure derived on screen from two others (a share, a difference, a percentage) is a function with a row, however small</t>
        </is>
      </c>
      <c r="E109" s="3" t="inlineStr">
        <is>
          <t>moneykeel_calc_spec_one-door-per-question_v01.md § The design rules · the orchestrator map (to be built) · every MK-XX-O-NNN row</t>
        </is>
      </c>
      <c r="F109" s="8" t="inlineStr">
        <is>
          <t>RULED</t>
        </is>
      </c>
      <c r="G109" s="3" t="inlineStr"/>
      <c r="H109" s="3" t="inlineStr"/>
      <c r="I109" s="3" t="inlineStr"/>
      <c r="J109" s="3" t="inlineStr"/>
      <c r="K109" s="3" t="inlineStr">
        <is>
          <t>Becomes a guard when the loop is built (spec § Closing the loop, steps 1–3 and 5) — until then it is a rule on paper.</t>
        </is>
      </c>
    </row>
    <row r="110">
      <c r="A110" s="3" t="inlineStr">
        <is>
          <t>Orchestrator rule 6</t>
        </is>
      </c>
      <c r="B110" s="3" t="inlineStr">
        <is>
          <t>2026-09-13</t>
        </is>
      </c>
      <c r="C110" s="3" t="inlineStr">
        <is>
          <t>chat, 2026-09-13 ("I like your recommendations. Let's create a plan.")</t>
        </is>
      </c>
      <c r="D110" s="3" t="inlineStr">
        <is>
          <t>shared dependent functions are allowed and are recorded on every orchestrator row whose closure holds them; the closure is generated from the code, never typed</t>
        </is>
      </c>
      <c r="E110" s="3" t="inlineStr">
        <is>
          <t>moneykeel_calc_spec_one-door-per-question_v01.md § The design rules · the orchestrator map (to be built) · every MK-XX-O-NNN row</t>
        </is>
      </c>
      <c r="F110" s="8" t="inlineStr">
        <is>
          <t>RULED</t>
        </is>
      </c>
      <c r="G110" s="3" t="inlineStr"/>
      <c r="H110" s="3" t="inlineStr"/>
      <c r="I110" s="3" t="inlineStr"/>
      <c r="J110" s="3" t="inlineStr"/>
      <c r="K110" s="3" t="inlineStr">
        <is>
          <t>Becomes a guard when the loop is built (spec § Closing the loop, steps 1–3 and 5) — until then it is a rule on paper.</t>
        </is>
      </c>
    </row>
    <row r="111">
      <c r="A111" s="3" t="inlineStr">
        <is>
          <t>Orchestrator rule 7</t>
        </is>
      </c>
      <c r="B111" s="3" t="inlineStr">
        <is>
          <t>2026-09-13</t>
        </is>
      </c>
      <c r="C111" s="3" t="inlineStr">
        <is>
          <t>chat, 2026-09-13 ("I like your recommendations. Let's create a plan.")</t>
        </is>
      </c>
      <c r="D111" s="3" t="inlineStr">
        <is>
          <t>a door hands out figures and the walk behind them; it is named MK-&lt;family&gt;-O-NNN plus a verb-noun, the form the four cash-flow doors already use</t>
        </is>
      </c>
      <c r="E111" s="3" t="inlineStr">
        <is>
          <t>moneykeel_calc_spec_one-door-per-question_v01.md § The design rules · the orchestrator map (to be built) · every MK-XX-O-NNN row</t>
        </is>
      </c>
      <c r="F111" s="8" t="inlineStr">
        <is>
          <t>RULED</t>
        </is>
      </c>
      <c r="G111" s="3" t="inlineStr"/>
      <c r="H111" s="3" t="inlineStr"/>
      <c r="I111" s="3" t="inlineStr"/>
      <c r="J111" s="3" t="inlineStr"/>
      <c r="K111" s="3" t="inlineStr">
        <is>
          <t>Becomes a guard when the loop is built (spec § Closing the loop, steps 1–3 and 5) — until then it is a rule on paper.</t>
        </is>
      </c>
    </row>
    <row r="112">
      <c r="A112" s="3" t="inlineStr">
        <is>
          <t>Orchestrator rule 8</t>
        </is>
      </c>
      <c r="B112" s="3" t="inlineStr">
        <is>
          <t>2026-09-13</t>
        </is>
      </c>
      <c r="C112" s="3" t="inlineStr">
        <is>
          <t>chat, 2026-09-13 ("I like your recommendations. Let's create a plan.")</t>
        </is>
      </c>
      <c r="D112" s="3" t="inlineStr">
        <is>
          <t>action functions and bring-data-in functions sit outside every orchestrator, and each is listed as such so the closure check has nothing unexplained</t>
        </is>
      </c>
      <c r="E112" s="3" t="inlineStr">
        <is>
          <t>moneykeel_calc_spec_one-door-per-question_v01.md § The design rules · the orchestrator map (to be built) · every MK-XX-O-NNN row</t>
        </is>
      </c>
      <c r="F112" s="8" t="inlineStr">
        <is>
          <t>RULED</t>
        </is>
      </c>
      <c r="G112" s="3" t="inlineStr"/>
      <c r="H112" s="3" t="inlineStr"/>
      <c r="I112" s="3" t="inlineStr"/>
      <c r="J112" s="3" t="inlineStr"/>
      <c r="K112" s="3" t="inlineStr">
        <is>
          <t>Becomes a guard when the loop is built (spec § Closing the loop, steps 1–3 and 5) — until then it is a rule on paper.</t>
        </is>
      </c>
    </row>
    <row r="113">
      <c r="A113" s="3" t="inlineStr">
        <is>
          <t>Orchestrator rule 9</t>
        </is>
      </c>
      <c r="B113" s="3" t="inlineStr">
        <is>
          <t>2026-09-13</t>
        </is>
      </c>
      <c r="C113" s="3" t="inlineStr">
        <is>
          <t>chat, 2026-09-13 ("I like your recommendations. Let's create a plan.")</t>
        </is>
      </c>
      <c r="D113" s="3" t="inlineStr">
        <is>
          <t>completeness is proven three ways before a question is closed — every figure rendered on a screen is claimed by one row (figure census from the rendered screens, not from reading); every displayed or dependent function is inside at least one orchestrator's closure; every orchestrator is named by at least one row and imported by at least one screen file</t>
        </is>
      </c>
      <c r="E113" s="3" t="inlineStr">
        <is>
          <t>moneykeel_calc_spec_one-door-per-question_v01.md § The design rules · the orchestrator map (to be built) · every MK-XX-O-NNN row</t>
        </is>
      </c>
      <c r="F113" s="8" t="inlineStr">
        <is>
          <t>RULED</t>
        </is>
      </c>
      <c r="G113" s="3" t="inlineStr"/>
      <c r="H113" s="3" t="inlineStr"/>
      <c r="I113" s="3" t="inlineStr"/>
      <c r="J113" s="3" t="inlineStr"/>
      <c r="K113" s="3" t="inlineStr">
        <is>
          <t>Becomes a guard when the loop is built (spec § Closing the loop, steps 1–3 and 5) — until then it is a rule on paper.</t>
        </is>
      </c>
    </row>
    <row r="114">
      <c r="A114" s="3" t="inlineStr">
        <is>
          <t>Orchestrator rule 10</t>
        </is>
      </c>
      <c r="B114" s="3" t="inlineStr">
        <is>
          <t>2026-09-13</t>
        </is>
      </c>
      <c r="C114" s="3" t="inlineStr">
        <is>
          <t>chat, 2026-09-13 ("I like your recommendations. Let's create a plan.")</t>
        </is>
      </c>
      <c r="D114" s="3" t="inlineStr">
        <is>
          <t>the map before the code — no orchestrator is built before its row on the orchestrator map is approved by the founder; grouping conflicts go to him one row each, by identifier, with a recommendation</t>
        </is>
      </c>
      <c r="E114" s="3" t="inlineStr">
        <is>
          <t>moneykeel_calc_spec_one-door-per-question_v01.md § The design rules · the orchestrator map (to be built) · every MK-XX-O-NNN row</t>
        </is>
      </c>
      <c r="F114" s="8" t="inlineStr">
        <is>
          <t>RULED</t>
        </is>
      </c>
      <c r="G114" s="3" t="inlineStr"/>
      <c r="H114" s="3" t="inlineStr"/>
      <c r="I114" s="3" t="inlineStr"/>
      <c r="J114" s="3" t="inlineStr"/>
      <c r="K114" s="3" t="inlineStr">
        <is>
          <t>Becomes a guard when the loop is built (spec § Closing the loop, steps 1–3 and 5) — until then it is a rule on paper.</t>
        </is>
      </c>
    </row>
    <row r="115">
      <c r="A115" s="3" t="inlineStr">
        <is>
          <t>Orchestrator rule 11</t>
        </is>
      </c>
      <c r="B115" s="3" t="inlineStr">
        <is>
          <t>2026-09-14</t>
        </is>
      </c>
      <c r="C115" s="3" t="inlineStr">
        <is>
          <t>chat, 2026-09-14 ("go ahead and execute on step 1, 2, 3")</t>
        </is>
      </c>
      <c r="D115" s="3" t="inlineStr">
        <is>
          <t>a door DECLARES each figure it hands out beside the code that computes it (identifier, the words on screen, unit, formula in plain English, inputs, decisions, refusal); a screen prints a figure ONLY by its identifier; and the master file's figure rows are PRINTED from those declarations rather than typed, so the file and the code cannot disagree</t>
        </is>
      </c>
      <c r="E115" s="3" t="inlineStr">
        <is>
          <t>MK-CF-M-030…046 · moneykeel_calc_spec_one-door-per-question_v01.md § Rule 11</t>
        </is>
      </c>
      <c r="F115" s="6" t="inlineStr">
        <is>
          <t>TESTED</t>
        </is>
      </c>
      <c r="G115" s="3" t="inlineStr">
        <is>
          <t>MoneyKeel/functions/_figure-spec.ts · MoneyKeel/functions/figures.ts · src/components/figure.ts · build-moneykeel-master.py (declared_for · declared_row)</t>
        </is>
      </c>
      <c r="H115" s="3" t="inlineStr">
        <is>
          <t>src/__tests__/figure_register_export.test.ts (every declaration complete, register written) · src/__tests__/guard_figures_declared.test.ts (the ratchet) · src/__tests__/photograph_figures.test.tsx (byte-identical: no figure changed)</t>
        </is>
      </c>
      <c r="I115" s="3" t="inlineStr">
        <is>
          <t>2026-09-14</t>
        </is>
      </c>
      <c r="J115" s="3" t="inlineStr"/>
      <c r="K115" s="3" t="inlineStr">
        <is>
          <t>17 figures declared on the two income doors; the other 164 rows stay in the builder's hand-typed lists and only fall from here.</t>
        </is>
      </c>
    </row>
    <row r="116">
      <c r="A116" s="3" t="inlineStr">
        <is>
          <t>Door wording — Connect your bank</t>
        </is>
      </c>
      <c r="B116" s="3" t="inlineStr">
        <is>
          <t>2026-09-14</t>
        </is>
      </c>
      <c r="C116" s="3" t="inlineStr">
        <is>
          <t>chat, 2026-09-14 ("connect your bank")</t>
        </is>
      </c>
      <c r="D116" s="3" t="inlineStr">
        <is>
          <t>connect your bank</t>
        </is>
      </c>
      <c r="E116" s="3" t="inlineStr">
        <is>
          <t>src/constants/doors.ts (the one list of ways in) · Home first-run block · Sharpen your plan · What counts toward retirement · moneykeel_pres_spec_onboarding-flow_v03.html</t>
        </is>
      </c>
      <c r="F116" s="6" t="inlineStr">
        <is>
          <t>TESTED</t>
        </is>
      </c>
      <c r="G116" s="3" t="inlineStr">
        <is>
          <t>HomeScreen.tsx reads its connect door from DOORS instead of typing 'Connect your first account ›'; canon row 17 retires the old words across the app</t>
        </is>
      </c>
      <c r="H116" s="3" t="inlineStr">
        <is>
          <t>src/screens/__tests__/first_run_lens.test.tsx · src/__tests__/one_term_per_concept.test.ts (canon row 17)</t>
        </is>
      </c>
      <c r="I116" s="3" t="inlineStr">
        <is>
          <t>2026-09-14</t>
        </is>
      </c>
      <c r="J116" s="3" t="inlineStr"/>
      <c r="K116" s="3" t="inlineStr">
        <is>
          <t>From his build-53 onboarding note, which said 'connect your first account' where the door already said 'Connect your bank ›'. Superseded the same day by 'One door, one term — the ways to add an account': the connect door becomes 'Link it (read-only)' once that mock is approved and built.</t>
        </is>
      </c>
    </row>
    <row r="117">
      <c r="A117" s="3" t="inlineStr">
        <is>
          <t>Door — Add something by hand</t>
        </is>
      </c>
      <c r="B117" s="3" t="inlineStr">
        <is>
          <t>2026-09-14</t>
        </is>
      </c>
      <c r="C117" s="3" t="inlineStr">
        <is>
          <t>chat, 2026-09-14 ("love it. do it.")</t>
        </is>
      </c>
      <c r="D117" s="3" t="inlineStr">
        <is>
          <t>love it. do it.</t>
        </is>
      </c>
      <c r="E117" s="3" t="inlineStr">
        <is>
          <t>src/constants/doors.ts · Home first-run block · Sharpen your plan · What counts toward retirement · Add account · moneykeel_pres_spec_onboarding-flow_v03.html</t>
        </is>
      </c>
      <c r="F117" s="6" t="inlineStr">
        <is>
          <t>TESTED</t>
        </is>
      </c>
      <c r="G117" s="3" t="inlineStr">
        <is>
          <t>One destination: the door opens the Add account form in one tap on all three screens (Home took it to the Net worth tab). One wording: the line under it is the shared list's, 'Your home, savings, or an account with no login.' Nothing lost from setup: the first account saved by hand also creates the rows for accounts named during setup, which until now only the Net worth tab did.</t>
        </is>
      </c>
      <c r="H117" s="3" t="inlineStr">
        <is>
          <t>src/__tests__/guard_one_list_of_doors.test.ts (no screen types a door itself) · src/screens/__tests__/first_run_lens.test.tsx (Home's door opens /add-account) · src/screens/__tests__/add_by_hand_prefill.test.tsx (setup rows appear once, from any door)</t>
        </is>
      </c>
      <c r="I117" s="3" t="inlineStr">
        <is>
          <t>2026-09-14</t>
        </is>
      </c>
      <c r="J117" s="3" t="inlineStr"/>
      <c r="K117" s="3" t="inlineStr">
        <is>
          <t>The recommendation he approved: one destination, one wording, nothing lost from setup.</t>
        </is>
      </c>
    </row>
    <row r="118">
      <c r="A118" s="3" t="inlineStr">
        <is>
          <t>One door, one term — the ways to add an account</t>
        </is>
      </c>
      <c r="B118" s="3" t="inlineStr">
        <is>
          <t>2026-09-14</t>
        </is>
      </c>
      <c r="C118" s="3" t="inlineStr">
        <is>
          <t>chat, 2026-09-14 ("one door one term rule - so change on all.")</t>
        </is>
      </c>
      <c r="D118" s="3" t="inlineStr">
        <is>
          <t>one door one term rule - so change on all.</t>
        </is>
      </c>
      <c r="E118" s="3" t="inlineStr">
        <is>
          <t>src/constants/doors.ts · Home first-run block · Sharpen your plan · Plan tab, What counts toward retirement · Net worth first day · Net worth add sheet · Connect an account screen · Performance · MoneyKeel/documents/home-screen/moneykeel_pres_mock_ways-to-add-an-account_v10.html</t>
        </is>
      </c>
      <c r="F118" s="7" t="inlineStr">
        <is>
          <t>CODED</t>
        </is>
      </c>
      <c r="G118" s="3" t="inlineStr">
        <is>
          <t>Net worth built (v08): ADD_ACCOUNT_DOORS + ADD_ACCOUNT_QUESTION in src/constants/doors.ts, the first day, the add sheet's title, '＋ Add an account'. Home, Sharpen your plan and the Plan tab still read DOORS; the Link an account screen and Performance are owed (guard_add_account_doors)</t>
        </is>
      </c>
      <c r="H118" s="3" t="inlineStr">
        <is>
          <t>src/__tests__/guard_add_account_doors.test.ts · src/screens/__tests__/networth_v08.test.tsx</t>
        </is>
      </c>
      <c r="I118" s="3" t="inlineStr">
        <is>
          <t>2026-09-14</t>
        </is>
      </c>
      <c r="J118" s="3" t="inlineStr"/>
      <c r="K118" s="3" t="inlineStr">
        <is>
          <t>The three doors read "Link it (read-only)", "Add by hand" and "Import from a file" on every screen, under the heading "How do you want to add an account?" — the words he chose from the Net worth add sheet, and the heading he asked for because "it" named nothing. Supersedes the same morning's "Connect your bank". A screen change, so the mock comes first (standing order 2026-07-19): MoneyKeel/documents/home-screen/moneykeel_pres_mock_ways-to-add-an-account_v10.html. Nothing is built until he approves it.</t>
        </is>
      </c>
    </row>
    <row r="119">
      <c r="A119" s="3" t="inlineStr">
        <is>
          <t>Screen title size — 20 points</t>
        </is>
      </c>
      <c r="B119" s="3" t="inlineStr">
        <is>
          <t>2026-09-14</t>
        </is>
      </c>
      <c r="C119" s="3" t="inlineStr">
        <is>
          <t>chat, 2026-09-14</t>
        </is>
      </c>
      <c r="D119" s="3" t="inlineStr">
        <is>
          <t>standard size 20</t>
        </is>
      </c>
      <c r="E119" s="3" t="inlineStr">
        <is>
          <t>every screen's title text (the h1 and every style that plays that part)</t>
        </is>
      </c>
      <c r="F119" s="6" t="inlineStr">
        <is>
          <t>TESTED</t>
        </is>
      </c>
      <c r="G119" s="3" t="inlineStr">
        <is>
          <t>src/screens/*.tsx — h1 on 32 screens (CashFlowScreen 30→20, the 24s→20), PerformanceScreen investTitle, NetWorthScreen introTitle and wizTitle, OnboardingScreen heading, FirstRunScreen introH1, AuthScreen cardTitle: 38 styles set to 20</t>
        </is>
      </c>
      <c r="H119" s="3" t="inlineStr">
        <is>
          <t>src/__tests__/guard_screen_title_size.test.ts — fails if any screen title is not 20 points; seen failing when GoalsScreen h1 was put back to 24</t>
        </is>
      </c>
      <c r="I119" s="3" t="inlineStr">
        <is>
          <t>2026-09-14</t>
        </is>
      </c>
      <c r="J119" s="3" t="inlineStr"/>
      <c r="K119" s="3" t="inlineStr">
        <is>
          <t>Every screen title is 20 points (Typography lg). Today 31 screens use 24, Cash flow 30, Will it last and Look back 20. Coded the same day with a guard test. Figures that look like titles stay as they are: Will it last headline (the odds), Month detail headline, Required withdrawals bigLine, Home heroBig.</t>
        </is>
      </c>
    </row>
    <row r="120">
      <c r="A120" s="3" t="inlineStr">
        <is>
          <t>Screen titles — not required on every screen</t>
        </is>
      </c>
      <c r="B120" s="3" t="inlineStr">
        <is>
          <t>2026-09-14</t>
        </is>
      </c>
      <c r="C120" s="3" t="inlineStr">
        <is>
          <t>chat, 2026-09-14</t>
        </is>
      </c>
      <c r="D120" s="3" t="inlineStr">
        <is>
          <t>I take back title not need for every screen.</t>
        </is>
      </c>
      <c r="E120" s="3" t="inlineStr">
        <is>
          <t>all screens</t>
        </is>
      </c>
      <c r="F120" s="6" t="inlineStr">
        <is>
          <t>TESTED</t>
        </is>
      </c>
      <c r="G120" s="3" t="inlineStr"/>
      <c r="H120" s="3" t="inlineStr"/>
      <c r="I120" s="3" t="inlineStr"/>
      <c r="J120" s="3" t="inlineStr"/>
      <c r="K120" s="3" t="inlineStr">
        <is>
          <t>Withdraws the same day's "we cannot have screen without title". The Net worth tab keeps no title. Nothing to code.</t>
        </is>
      </c>
    </row>
    <row r="121">
      <c r="A121" s="3" t="inlineStr">
        <is>
          <t>MoneyKeel at the top of every screen</t>
        </is>
      </c>
      <c r="B121" s="3" t="inlineStr">
        <is>
          <t>2026-09-14</t>
        </is>
      </c>
      <c r="C121" s="3" t="inlineStr">
        <is>
          <t>chat, 2026-09-14</t>
        </is>
      </c>
      <c r="D121" s="3" t="inlineStr">
        <is>
          <t>Your Import from a file screen did not look similar to Net worth because you did not have "MoneyKeel" at the top which every other screen has.</t>
        </is>
      </c>
      <c r="E121" s="3" t="inlineStr">
        <is>
          <t>the pushed screens: Import from File, Add by hand, Link an account, the step before signing in, Sharpen your plan and every other screen without the top bar</t>
        </is>
      </c>
      <c r="F121" s="8" t="inlineStr">
        <is>
          <t>RULED</t>
        </is>
      </c>
      <c r="G121" s="3" t="inlineStr"/>
      <c r="H121" s="3" t="inlineStr"/>
      <c r="I121" s="3" t="inlineStr"/>
      <c r="J121" s="3" t="inlineStr"/>
      <c r="K121" s="3" t="inlineStr">
        <is>
          <t>In the app today only the five tab screens (and sign-in and first-run) show MoneyKeel at the top; every pushed screen has a native bar or none. Drawn on every pushed screen in mock v10, with ‹ Back in place of Menu, for approval before it is built.</t>
        </is>
      </c>
    </row>
    <row r="122">
      <c r="A122" s="3" t="inlineStr">
        <is>
          <t>Odds — exact, no rounding</t>
        </is>
      </c>
      <c r="B122" s="3" t="inlineStr">
        <is>
          <t>2026-09-14</t>
        </is>
      </c>
      <c r="C122" s="3" t="inlineStr">
        <is>
          <t>chat, 2026-09-14 (on Net worth mock v07)</t>
        </is>
      </c>
      <c r="D122" s="3" t="inlineStr">
        <is>
          <t>per the latest ruling use exact everywhere no rounding for odds</t>
        </is>
      </c>
      <c r="E122" s="3" t="inlineStr">
        <is>
          <t>every surface that shows the odds · MK-XS-M-002 · MK-PL-F-025 displayOdds · the precision standard (its 'nearest 5' line)</t>
        </is>
      </c>
      <c r="F122" s="6" t="inlineStr">
        <is>
          <t>TESTED</t>
        </is>
      </c>
      <c r="G122" s="3" t="inlineStr">
        <is>
          <t>simulate (MK-PL-F-050) returns the exact share of futures; displayOdds (MK-PL-F-025) removes only floating-point noise; the suggested target and required saving walk down to the smallest amount that holds 80%; spend-more's losing count adds to 100</t>
        </is>
      </c>
      <c r="H122" s="3" t="inlineStr">
        <is>
          <t>src/domain/retirement/odds_exact.test.ts · src/__tests__/brief_figures_guard.test.ts · june_numbers_probe · ray_numbers_probe · spendMore.test · target_rounding.test</t>
        </is>
      </c>
      <c r="I122" s="3" t="inlineStr">
        <is>
          <t>2026-09-14</t>
        </is>
      </c>
      <c r="J122" s="3" t="inlineStr"/>
      <c r="K122" s="3" t="inlineStr">
        <is>
          <t>Supersedes Brief B6 (2026-08-20) and C2 (2026-09-08), which both said nearest 5. Drawn in Net worth mock v08; the app and the file change together once v08 is approved. CONSEQUENCES, measured 2026-09-14: amounts found by holding 80% moved (June's draw $4,155 → $4,140); Ray's claim at 70 reads 79.5%, under the line; the Retirement cockpit shows 13.3% where Home and Plan show 13.9% for the working household, and 87.8 where they show 93.2 for the retired one — the rounding had hidden that disagreement (workplan).</t>
        </is>
      </c>
    </row>
    <row r="123">
      <c r="A123" s="3" t="inlineStr">
        <is>
          <t>Return on cash + investments — two decimals</t>
        </is>
      </c>
      <c r="B123" s="3" t="inlineStr">
        <is>
          <t>2026-09-14</t>
        </is>
      </c>
      <c r="C123" s="3" t="inlineStr">
        <is>
          <t>chat, 2026-09-14 (on Net worth mock v07)</t>
        </is>
      </c>
      <c r="D123" s="3" t="inlineStr">
        <is>
          <t>Return on cash - use 2 decimals</t>
        </is>
      </c>
      <c r="E123" s="3" t="inlineStr">
        <is>
          <t>MK-NW-M-002 · the Net worth change line</t>
        </is>
      </c>
      <c r="F123" s="6" t="inlineStr">
        <is>
          <t>TESTED</t>
        </is>
      </c>
      <c r="G123" s="3" t="inlineStr">
        <is>
          <t>investableChangePct (src/domain/history.ts) keeps full precision — it had rounded to one decimal inside the function; NetWorthScreen prints two decimals; master MK-NW-M-002 unit says two decimals</t>
        </is>
      </c>
      <c r="H123" s="3" t="inlineStr">
        <is>
          <t>src/screens/__tests__/networth_v08.test.tsx · src/__tests__/mock_match_dump.test.tsx · src/domain/history.test.ts</t>
        </is>
      </c>
      <c r="I123" s="3" t="inlineStr">
        <is>
          <t>2026-09-14</t>
        </is>
      </c>
      <c r="J123" s="3" t="inlineStr"/>
      <c r="K123" s="3" t="inlineStr">
        <is>
          <t>The precision standard (Q49) already says two decimals for returns; the master row and the app said one. Drawn in v08.</t>
        </is>
      </c>
    </row>
    <row r="124">
      <c r="A124" s="3" t="inlineStr">
        <is>
          <t>Tight ⚠ beside the emergency fund — kept</t>
        </is>
      </c>
      <c r="B124" s="3" t="inlineStr">
        <is>
          <t>2026-09-14</t>
        </is>
      </c>
      <c r="C124" s="3" t="inlineStr">
        <is>
          <t>chat, 2026-09-14 (on Net worth mock v07)</t>
        </is>
      </c>
      <c r="D124" s="3" t="inlineStr">
        <is>
          <t>tight besides emergency funds - keep it</t>
        </is>
      </c>
      <c r="E124" s="3" t="inlineStr">
        <is>
          <t>MK-NW-M-013 · the Emergency fund card</t>
        </is>
      </c>
      <c r="F124" s="6" t="inlineStr">
        <is>
          <t>TESTED</t>
        </is>
      </c>
      <c r="G124" s="3" t="inlineStr">
        <is>
          <t>no change — the word stays</t>
        </is>
      </c>
      <c r="H124" s="3" t="inlineStr">
        <is>
          <t>src/__tests__/mock_match_dump.test.tsx ('Tight ⚠')</t>
        </is>
      </c>
      <c r="I124" s="3" t="inlineStr">
        <is>
          <t>2026-09-14</t>
        </is>
      </c>
      <c r="J124" s="3" t="inlineStr"/>
      <c r="K124" s="3" t="inlineStr">
        <is>
          <t>A named exception to Brief R3 (show the fact, not the verdict).</t>
        </is>
      </c>
    </row>
    <row r="125">
      <c r="A125" s="3" t="inlineStr">
        <is>
          <t>Source chip — Linked, date only when stale</t>
        </is>
      </c>
      <c r="B125" s="3" t="inlineStr">
        <is>
          <t>2026-09-14</t>
        </is>
      </c>
      <c r="C125" s="3" t="inlineStr">
        <is>
          <t>chat, 2026-09-14 (on Net worth mock v07)</t>
        </is>
      </c>
      <c r="D125" s="3" t="inlineStr">
        <is>
          <t>connected only unless stale</t>
        </is>
      </c>
      <c r="E125" s="3" t="inlineStr">
        <is>
          <t>src/components/SourceChip.tsx · every account row</t>
        </is>
      </c>
      <c r="F125" s="6" t="inlineStr">
        <is>
          <t>TESTED</t>
        </is>
      </c>
      <c r="G125" s="3" t="inlineStr">
        <is>
          <t>src/components/SourceChip.tsx: '🔗 Linked', and '🔗 Linked · N days old' only when stale</t>
        </is>
      </c>
      <c r="H125" s="3" t="inlineStr">
        <is>
          <t>src/screens/__tests__/networth_v08.test.tsx · src/screens/__tests__/build47_walk.test.tsx</t>
        </is>
      </c>
      <c r="I125" s="3" t="inlineStr">
        <is>
          <t>2026-09-14</t>
        </is>
      </c>
      <c r="J125" s="3" t="inlineStr"/>
      <c r="K125" s="3" t="inlineStr">
        <is>
          <t>Applies Brief R7 (source always, date only when stale) to the chip.</t>
        </is>
      </c>
    </row>
    <row r="126">
      <c r="A126" s="3" t="inlineStr">
        <is>
          <t>Linked / Link again</t>
        </is>
      </c>
      <c r="B126" s="3" t="inlineStr">
        <is>
          <t>2026-09-14</t>
        </is>
      </c>
      <c r="C126" s="3" t="inlineStr">
        <is>
          <t>chat, 2026-09-14 (on Net worth mock v07)</t>
        </is>
      </c>
      <c r="D126" s="3" t="inlineStr">
        <is>
          <t>connected / reconnected - change to linked / link again</t>
        </is>
      </c>
      <c r="E126" s="3" t="inlineStr">
        <is>
          <t>every screen: the source chip, the fix sheet's Reconnect button, and the words for an account that is linked</t>
        </is>
      </c>
      <c r="F126" s="6" t="inlineStr">
        <is>
          <t>TESTED</t>
        </is>
      </c>
      <c r="G126" s="3" t="inlineStr">
        <is>
          <t>SourceChip, the missing-data rows and fix sheet (src/domain/gaps, DataGapsBanner), Settings 'Linked accounts', Home's broken-link line, the broker notes, sourceWording; canon row 18 retires Connected · / Reconnect / Connection paused / Connected accounts / re-login / re-linking</t>
        </is>
      </c>
      <c r="H126" s="3" t="inlineStr">
        <is>
          <t>src/__tests__/one_term_per_concept.test.ts (canon row 18) · founder_2026_08_11.test.tsx · build47_walk.test.tsx · user_walk_2026_07_18.test.tsx · snaptrade_connect_fcc.test.tsx</t>
        </is>
      </c>
      <c r="I126" s="3" t="inlineStr">
        <is>
          <t>2026-09-14</t>
        </is>
      </c>
      <c r="J126" s="3" t="inlineStr"/>
      <c r="K126" s="3" t="inlineStr">
        <is>
          <t>One term per concept: the door says 'Link it (read-only)', so an account that went through it is 'Linked' and the repair is 'Link again'. A canon row is added when it is built. Not changed: 'Disconnect' in Settings (not ruled) — to the founder.</t>
        </is>
      </c>
    </row>
    <row r="127">
      <c r="A127" s="3" t="inlineStr">
        <is>
          <t>Headings — dark bars and light-green bars</t>
        </is>
      </c>
      <c r="B127" s="3" t="inlineStr">
        <is>
          <t>2026-09-14</t>
        </is>
      </c>
      <c r="C127" s="3" t="inlineStr">
        <is>
          <t>chat, 2026-09-14 (on Net worth mock v07)</t>
        </is>
      </c>
      <c r="D127" s="3" t="inlineStr">
        <is>
          <t>full green bars - dark bars for section headings and light green for sub-headings</t>
        </is>
      </c>
      <c r="E127" s="3" t="inlineStr">
        <is>
          <t>Net worth · the screen standard §2.3</t>
        </is>
      </c>
      <c r="F127" s="8" t="inlineStr">
        <is>
          <t>RULED</t>
        </is>
      </c>
      <c r="G127" s="3" t="inlineStr"/>
      <c r="H127" s="3" t="inlineStr"/>
      <c r="I127" s="3" t="inlineStr"/>
      <c r="J127" s="3" t="inlineStr"/>
      <c r="K127" s="3" t="inlineStr">
        <is>
          <t>Said about Net worth's five bars. Open: whether it also replaces the quiet section labels on the Plan tab (2026-08-13 rule).</t>
        </is>
      </c>
    </row>
    <row r="128">
      <c r="A128" s="3" t="inlineStr">
        <is>
          <t>Net worth first day — no duplicated doors</t>
        </is>
      </c>
      <c r="B128" s="3" t="inlineStr">
        <is>
          <t>2026-09-14</t>
        </is>
      </c>
      <c r="C128" s="3" t="inlineStr">
        <is>
          <t>chat, 2026-09-14 (on Net worth mock v07)</t>
        </is>
      </c>
      <c r="D128" s="3" t="inlineStr">
        <is>
          <t>State C - what you own section has 'add account three times, + how you want to add an account - too much duplication</t>
        </is>
      </c>
      <c r="E128" s="3" t="inlineStr">
        <is>
          <t>Net worth first day (state C)</t>
        </is>
      </c>
      <c r="F128" s="6" t="inlineStr">
        <is>
          <t>TESTED</t>
        </is>
      </c>
      <c r="G128" s="3" t="inlineStr">
        <is>
          <t>NetWorthScreen first day: one line 'Nothing entered yet. How do you want to add an account?' and ADD_ACCOUNT_DOORS once; Debts the same one line</t>
        </is>
      </c>
      <c r="H128" s="3" t="inlineStr">
        <is>
          <t>src/screens/__tests__/networth_v08.test.tsx</t>
        </is>
      </c>
      <c r="I128" s="3" t="inlineStr">
        <is>
          <t>2026-09-14</t>
        </is>
      </c>
      <c r="J128" s="3" t="inlineStr"/>
      <c r="K128" s="3" t="inlineStr">
        <is>
          <t>Drawn in v08: one line and one set of doors under What you own; the same fix applied to Debts.</t>
        </is>
      </c>
    </row>
    <row r="129">
      <c r="A129" s="3" t="inlineStr">
        <is>
          <t>Performance — day one rebuilt from the broker's own records</t>
        </is>
      </c>
      <c r="B129" s="3" t="inlineStr">
        <is>
          <t>2026-09-25</t>
        </is>
      </c>
      <c r="C129" s="3" t="inlineStr">
        <is>
          <t>chat, 2026-09-25 (on Performance mock v11)</t>
        </is>
      </c>
      <c r="D129" s="3" t="inlineStr">
        <is>
          <t>Yes rebuild - day one history</t>
        </is>
      </c>
      <c r="E129" s="3" t="inlineStr">
        <is>
          <t>Performance day one · the value line · the beginning value</t>
        </is>
      </c>
      <c r="F129" s="6" t="inlineStr">
        <is>
          <t>TESTED</t>
        </is>
      </c>
      <c r="G129" s="3" t="inlineStr">
        <is>
          <t>Calculation Module code/engines/rebuild-history.ts (rebuildDays, rebuildableFrom) + store action rebuildLinkedHistory: a LINKED account's holdings are walked back through its own transactions and priced at each day's close, back to its first record; hand-entered accounts and cash keep their honest start; a day we cannot price is left empty; rebuilt days are marked origin 'reconstructed' and never replace an observed day</t>
        </is>
      </c>
      <c r="H129" s="3" t="inlineStr">
        <is>
          <t>Calculation Module code/engines/__tests__/rebuild-history.test.ts (14 tests)</t>
        </is>
      </c>
      <c r="I129" s="3" t="inlineStr">
        <is>
          <t>2026-09-25</t>
        </is>
      </c>
      <c r="J129" s="3" t="inlineStr"/>
      <c r="K129" s="3" t="inlineStr">
        <is>
          <t>His words: “Why day 1 we are not able to import historic data on account and show past records? Currently, what app will show will not match the account, and confuse user.”</t>
        </is>
      </c>
    </row>
    <row r="130">
      <c r="A130" s="3" t="inlineStr">
        <is>
          <t>Performance — one meaning of return</t>
        </is>
      </c>
      <c r="B130" s="3" t="inlineStr">
        <is>
          <t>2026-09-25</t>
        </is>
      </c>
      <c r="C130" s="3" t="inlineStr">
        <is>
          <t>chat, 2026-09-25 (his question about the E*TRADE account header)</t>
        </is>
      </c>
      <c r="D130" s="3" t="inlineStr">
        <is>
          <t>why income when % is calculated using wealth generated?</t>
        </is>
      </c>
      <c r="E130" s="3" t="inlineStr">
        <is>
          <t>Performance summary · account header · window selector</t>
        </is>
      </c>
      <c r="F130" s="6" t="inlineStr">
        <is>
          <t>TESTED</t>
        </is>
      </c>
      <c r="G130" s="3" t="inlineStr">
        <is>
          <t>figuresFor() in PerformanceScreen: every window's return is wealth generated ÷ the money working (Modified Dietz), the same figure the selector, the summary and the walk all read. The price-only, holding-weighted figure is gone; a window with nothing behind it shows —, never +0.00%</t>
        </is>
      </c>
      <c r="H130" s="3" t="inlineStr">
        <is>
          <t>src/screens/__tests__/invest_fcc.test.tsx</t>
        </is>
      </c>
      <c r="I130" s="3" t="inlineStr">
        <is>
          <t>2026-09-25</t>
        </is>
      </c>
      <c r="J130" s="3" t="inlineStr"/>
      <c r="K130" s="3" t="inlineStr">
        <is>
          <t>The old summary Return counted price change only while Wealth generated beside it counted dividends and interest.</t>
        </is>
      </c>
    </row>
    <row r="131">
      <c r="A131" s="3" t="inlineStr">
        <is>
          <t>Performance — the window selector is one control</t>
        </is>
      </c>
      <c r="B131" s="3" t="inlineStr">
        <is>
          <t>2026-09-25</t>
        </is>
      </c>
      <c r="C131" s="3" t="inlineStr">
        <is>
          <t>chat, 2026-09-25</t>
        </is>
      </c>
      <c r="D131" s="3" t="inlineStr">
        <is>
          <t>Can it be done like one row with dividers for different periods? … cannot see since when? and what %?</t>
        </is>
      </c>
      <c r="E131" s="3" t="inlineStr">
        <is>
          <t>Performance window selector</t>
        </is>
      </c>
      <c r="F131" s="6" t="inlineStr">
        <is>
          <t>TESTED</t>
        </is>
      </c>
      <c r="G131" s="3" t="inlineStr">
        <is>
          <t>WindowSelector in PerformanceScreen: one tray, the chosen window on a white card, hairline dividers between the resting windows, 42-point segments, two lines each (the window with its date above its own return). Five windows: Since · 1M · This year · 1Y · 2Y — 3M, 6M and the initialism YTD are gone</t>
        </is>
      </c>
      <c r="H131" s="3" t="inlineStr">
        <is>
          <t>src/screens/__tests__/invest_fcc.test.tsx · src/screens/__tests__/performance_window_chips.test.tsx</t>
        </is>
      </c>
      <c r="I131" s="3" t="inlineStr">
        <is>
          <t>2026-09-25</t>
        </is>
      </c>
      <c r="J131" s="3" t="inlineStr"/>
      <c r="K131" s="3" t="inlineStr">
        <is>
          <t>A 12-point radius on a 26-point-tall chip draws a semicircle; the app's radio buttons are 42 tall. Five windows carrying returns need 434-492 points against the 362 a phone gives, so the return sits on a second line.</t>
        </is>
      </c>
    </row>
    <row r="132">
      <c r="A132" s="3" t="inlineStr">
        <is>
          <t>Performance — the screen is the approved design and nothing else</t>
        </is>
      </c>
      <c r="B132" s="3" t="inlineStr">
        <is>
          <t>2026-09-25</t>
        </is>
      </c>
      <c r="C132" s="3" t="inlineStr">
        <is>
          <t>chat, 2026-09-25 (approval of mock v14)</t>
        </is>
      </c>
      <c r="D132" s="3" t="inlineStr">
        <is>
          <t>approved. save and built it</t>
        </is>
      </c>
      <c r="E132" s="3" t="inlineStr">
        <is>
          <t>Performance main</t>
        </is>
      </c>
      <c r="F132" s="6" t="inlineStr">
        <is>
          <t>TESTED</t>
        </is>
      </c>
      <c r="G132" s="3" t="inlineStr">
        <is>
          <t>The older Invest sections are removed: Your return, Honest comparison, Winners &amp; laggards, Look ahead / Look back, Your investments, and Add investment / Import / Record / Activity. Walks are titled by ACCOUNT and cover investment accounts only (a home no longer gets one). The value line has a Y axis and is drawn only from days the record holds.</t>
        </is>
      </c>
      <c r="H132" s="3" t="inlineStr">
        <is>
          <t>src/screens/__tests__/invest_fcc.test.tsx</t>
        </is>
      </c>
      <c r="I132" s="3" t="inlineStr">
        <is>
          <t>2026-09-25</t>
        </is>
      </c>
      <c r="J132" s="3" t="inlineStr"/>
      <c r="K132" s="3" t="inlineStr">
        <is>
          <t>Build 53 opened on the past year and back-solved beginnings (−$448,028 on his 2026-08-17 screenshot); it also gave his home its own walk.</t>
        </is>
      </c>
    </row>
    <row r="133">
      <c r="A133" s="3" t="inlineStr">
        <is>
          <t>A return over a window longer than a year is a yearly rate, and says so</t>
        </is>
      </c>
      <c r="B133" s="3" t="inlineStr">
        <is>
          <t>2026-09-25</t>
        </is>
      </c>
      <c r="C133" s="3" t="inlineStr">
        <is>
          <t>chat, 2026-09-25</t>
        </is>
      </c>
      <c r="D133" s="3" t="inlineStr">
        <is>
          <t>2Y - should not be annualized - it should be return over two years. I trust that's the standard. double check what financial insititutions do. → (after the check) Your recommendation approved. Add it to standards.</t>
        </is>
      </c>
      <c r="E133" s="3" t="inlineStr">
        <is>
          <t>Performance window selector · summary · category earnings</t>
        </is>
      </c>
      <c r="F133" s="6" t="inlineStr">
        <is>
          <t>TESTED</t>
        </is>
      </c>
      <c r="G133" s="3" t="inlineStr">
        <is>
          <t>figuresFor() returns the window total AND the yearly rate (compound, over the window's own length). The segment shows the yearly rate with “a year” under it; the summary states both: “+15.10% over the two years, which is +7.30% a year”. A window of a year or less is never annualised.</t>
        </is>
      </c>
      <c r="H133" s="3" t="inlineStr">
        <is>
          <t>src/screens/__tests__/invest_fcc.test.tsx</t>
        </is>
      </c>
      <c r="I133" s="3" t="inlineStr">
        <is>
          <t>2026-09-25</t>
        </is>
      </c>
      <c r="J133" s="3" t="inlineStr"/>
      <c r="K133" s="3" t="inlineStr">
        <is>
          <t>Checked first: GIPS forbids annualising under a year and annualises above it; brokerage statements match; Fidelity warns cumulative returns of different lengths must not be compared. Standard: moneykeel_calc_spec_precision-and-display_v01.md § A return over a window longer than one year.</t>
        </is>
      </c>
    </row>
    <row r="134">
      <c r="A134" s="3" t="inlineStr">
        <is>
          <t>Plan Q1 — extra saving is the eighth glance row</t>
        </is>
      </c>
      <c r="B134" s="3" t="inlineStr">
        <is>
          <t>2026-09-26</t>
        </is>
      </c>
      <c r="C134" s="3" t="inlineStr">
        <is>
          <t>chat, 2026-09-26: “Plan - Q1 - 8 - your recommendation approved”</t>
        </is>
      </c>
      <c r="D134" s="3" t="inlineStr">
        <is>
          <t>Q1 — Should extra saving each month be an eighth row in “Your plan at a glance”? → yes</t>
        </is>
      </c>
      <c r="E134" s="3" t="inlineStr">
        <is>
          <t>Plan · Retire</t>
        </is>
      </c>
      <c r="F134" s="8" t="inlineStr">
        <is>
          <t>RULED</t>
        </is>
      </c>
      <c r="G134" s="3" t="inlineStr">
        <is>
          <t>Your plan at a glance carries “What do you save each month?”, both frames</t>
        </is>
      </c>
      <c r="H134" s="3" t="inlineStr">
        <is>
          <t>MoneyKeel/documents/plan/moneykeel_pres_mock_plan_v06.html</t>
        </is>
      </c>
      <c r="I134" s="3" t="inlineStr"/>
      <c r="J134" s="3" t="inlineStr"/>
      <c r="K134" s="3" t="inlineStr">
        <is>
          <t>Drawn in v06 on 2026-09-26; not built — the Plan tab’s code waits on its doors.</t>
        </is>
      </c>
    </row>
    <row r="135">
      <c r="A135" s="3" t="inlineStr">
        <is>
          <t>Plan Q2 — the seven facts save as you type</t>
        </is>
      </c>
      <c r="B135" s="3" t="inlineStr">
        <is>
          <t>2026-09-26</t>
        </is>
      </c>
      <c r="C135" s="3" t="inlineStr">
        <is>
          <t>chat, 2026-09-26: “Plan - Q1 - 8 - your recommendation approved”</t>
        </is>
      </c>
      <c r="D135" s="3" t="inlineStr">
        <is>
          <t>Q2 — save as you type, or drafts you confirm? → save as you type</t>
        </is>
      </c>
      <c r="E135" s="3" t="inlineStr">
        <is>
          <t>Plan · Retire</t>
        </is>
      </c>
      <c r="F135" s="8" t="inlineStr">
        <is>
          <t>RULED</t>
        </is>
      </c>
      <c r="G135" s="3" t="inlineStr">
        <is>
          <t>Unchanged from v4; the line under the decisions says so</t>
        </is>
      </c>
      <c r="H135" s="3" t="inlineStr">
        <is>
          <t>MoneyKeel/documents/plan/moneykeel_pres_mock_plan_v06.html</t>
        </is>
      </c>
      <c r="I135" s="3" t="inlineStr"/>
      <c r="J135" s="3" t="inlineStr"/>
      <c r="K135" s="3" t="inlineStr">
        <is>
          <t>Drawn in v06 on 2026-09-26; not built — the Plan tab’s code waits on its doors.</t>
        </is>
      </c>
    </row>
    <row r="136">
      <c r="A136" s="3" t="inlineStr">
        <is>
          <t>Plan Q3 — past target the dial caps at 100%</t>
        </is>
      </c>
      <c r="B136" s="3" t="inlineStr">
        <is>
          <t>2026-09-26</t>
        </is>
      </c>
      <c r="C136" s="3" t="inlineStr">
        <is>
          <t>chat, 2026-09-26: “Plan - Q1 - 8 - your recommendation approved”</t>
        </is>
      </c>
      <c r="D136" s="3" t="inlineStr">
        <is>
          <t>Q3 — cap or overfill past the target? → cap, numeral still reads the true 114%</t>
        </is>
      </c>
      <c r="E136" s="3" t="inlineStr">
        <is>
          <t>Plan · Retire</t>
        </is>
      </c>
      <c r="F136" s="8" t="inlineStr">
        <is>
          <t>RULED</t>
        </is>
      </c>
      <c r="G136" s="3" t="inlineStr">
        <is>
          <t>State 6, past-target card</t>
        </is>
      </c>
      <c r="H136" s="3" t="inlineStr">
        <is>
          <t>MoneyKeel/documents/plan/moneykeel_pres_mock_plan_v06.html</t>
        </is>
      </c>
      <c r="I136" s="3" t="inlineStr"/>
      <c r="J136" s="3" t="inlineStr"/>
      <c r="K136" s="3" t="inlineStr">
        <is>
          <t>Drawn in v06 on 2026-09-26; not built — the Plan tab’s code waits on its doors.</t>
        </is>
      </c>
    </row>
    <row r="137">
      <c r="A137" s="3" t="inlineStr">
        <is>
          <t>Plan Q4 — day one offers our target and says whose it is</t>
        </is>
      </c>
      <c r="B137" s="3" t="inlineStr">
        <is>
          <t>2026-09-26</t>
        </is>
      </c>
      <c r="C137" s="3" t="inlineStr">
        <is>
          <t>chat, 2026-09-26: “Plan - Q1 - 8 - your recommendation approved”</t>
        </is>
      </c>
      <c r="D137" s="3" t="inlineStr">
        <is>
          <t>Q4 — where does the suggested target sit? → on day one’s target row too, in the same words</t>
        </is>
      </c>
      <c r="E137" s="3" t="inlineStr">
        <is>
          <t>Plan · Retire</t>
        </is>
      </c>
      <c r="F137" s="8" t="inlineStr">
        <is>
          <t>RULED</t>
        </is>
      </c>
      <c r="G137" s="3" t="inlineStr">
        <is>
          <t>Day one target row: $1,400,000 · ours (the pot that reaches 80% odds at 1,000 futures; the 2026-08-14 ruling’s $1,250,000 came from 400 runs)</t>
        </is>
      </c>
      <c r="H137" s="3" t="inlineStr">
        <is>
          <t>MoneyKeel/documents/plan/moneykeel_pres_mock_plan_v06.html</t>
        </is>
      </c>
      <c r="I137" s="3" t="inlineStr"/>
      <c r="J137" s="3" t="inlineStr"/>
      <c r="K137" s="3" t="inlineStr">
        <is>
          <t>Drawn in v06 on 2026-09-26; not built — the Plan tab’s code waits on its doors.</t>
        </is>
      </c>
    </row>
    <row r="138">
      <c r="A138" s="3" t="inlineStr">
        <is>
          <t>Plan Q5 — the mortgage row says what it cannot answer</t>
        </is>
      </c>
      <c r="B138" s="3" t="inlineStr">
        <is>
          <t>2026-09-26</t>
        </is>
      </c>
      <c r="C138" s="3" t="inlineStr">
        <is>
          <t>chat, 2026-09-26: “Plan - Q1 - 8 - your recommendation approved”</t>
        </is>
      </c>
      <c r="D138" s="3" t="inlineStr">
        <is>
          <t>Q5 — the mortgage odds placeholder → build the second simulation first; until then the row states today’s odds and stops</t>
        </is>
      </c>
      <c r="E138" s="3" t="inlineStr">
        <is>
          <t>Plan · Retire</t>
        </is>
      </c>
      <c r="F138" s="8" t="inlineStr">
        <is>
          <t>RULED</t>
        </is>
      </c>
      <c r="G138" s="3" t="inlineStr">
        <is>
          <t>Cash flow · Debt frames; the placeholder subtraction is gone</t>
        </is>
      </c>
      <c r="H138" s="3" t="inlineStr">
        <is>
          <t>MoneyKeel/documents/plan/moneykeel_pres_mock_plan_v06.html</t>
        </is>
      </c>
      <c r="I138" s="3" t="inlineStr"/>
      <c r="J138" s="3" t="inlineStr"/>
      <c r="K138" s="3" t="inlineStr">
        <is>
          <t>Drawn in v06 on 2026-09-26; not built — the Plan tab’s code waits on its doors.</t>
        </is>
      </c>
    </row>
    <row r="139">
      <c r="A139" s="3" t="inlineStr">
        <is>
          <t>Plan Q6 — what the hero says about money and tax</t>
        </is>
      </c>
      <c r="B139" s="3" t="inlineStr">
        <is>
          <t>2026-09-26</t>
        </is>
      </c>
      <c r="C139" s="3" t="inlineStr">
        <is>
          <t>chat, 2026-09-26: “Plan - Q1 - 8 - your recommendation approved”</t>
        </is>
      </c>
      <c r="D139" s="3" t="inlineStr">
        <is>
          <t>Q6 — future dollars and tax. FIRST ANSWER (mine, and wrong): “today’s money, after tax”. HIS CORRECTION, 2026-09-26: “does this even make sense to you? … I thought I already made decision in the past … to keep retirement number pre-tax, as we cannot determine tax accurately. The lengthly explanation is horrible.”</t>
        </is>
      </c>
      <c r="E139" s="3" t="inlineStr">
        <is>
          <t>Plan · Retire</t>
        </is>
      </c>
      <c r="F139" s="8" t="inlineStr">
        <is>
          <t>RULED</t>
        </is>
      </c>
      <c r="G139" s="3" t="inlineStr">
        <is>
          <t>The hero stays EXACTLY as Build 53 shipped it and v4 drew it — “$909,152 of your $2,000,000 target nest egg — short $1,090,848”. Nothing about tax is printed: per G6 (2026-09-08) and G7 (2026-09-12) the plan’s figures are BEFORE tax except the required withdrawal at his own rate. The present-value question (the subtraction crosses two years’ money, as the shipped code does) stays open as one line, off the screen.</t>
        </is>
      </c>
      <c r="H139" s="3" t="inlineStr">
        <is>
          <t>MoneyKeel/documents/plan/moneykeel_pres_mock_plan_v06.html</t>
        </is>
      </c>
      <c r="I139" s="3" t="inlineStr"/>
      <c r="J139" s="3" t="inlineStr"/>
      <c r="K139" s="3" t="inlineStr">
        <is>
          <t>Superseded my own first answer the same day. The ledger is not a place to leave a claim he has contradicted.</t>
        </is>
      </c>
    </row>
    <row r="140">
      <c r="A140" s="3" t="inlineStr">
        <is>
          <t>Plan Q7 — one odds number everywhere</t>
        </is>
      </c>
      <c r="B140" s="3" t="inlineStr">
        <is>
          <t>2026-09-26</t>
        </is>
      </c>
      <c r="C140" s="3" t="inlineStr">
        <is>
          <t>chat, 2026-09-26: “Plan - Q1 - 8 - your recommendation approved”</t>
        </is>
      </c>
      <c r="D140" s="3" t="inlineStr">
        <is>
          <t>Q7 — the cockpit disagrees with Home and Plan → one number, computed once, read everywhere</t>
        </is>
      </c>
      <c r="E140" s="3" t="inlineStr">
        <is>
          <t>Plan · Retire</t>
        </is>
      </c>
      <c r="F140" s="8" t="inlineStr">
        <is>
          <t>RULED</t>
        </is>
      </c>
      <c r="G140" s="3" t="inlineStr">
        <is>
          <t>Code fix in the Plan build; nothing to draw</t>
        </is>
      </c>
      <c r="H140" s="3" t="inlineStr">
        <is>
          <t>MoneyKeel/documents/plan/moneykeel_pres_mock_plan_v06.html</t>
        </is>
      </c>
      <c r="I140" s="3" t="inlineStr"/>
      <c r="J140" s="3" t="inlineStr"/>
      <c r="K140" s="3" t="inlineStr">
        <is>
          <t>Drawn in v06 on 2026-09-26; not built — the Plan tab’s code waits on its doors.</t>
        </is>
      </c>
    </row>
    <row r="141">
      <c r="A141" s="3" t="inlineStr">
        <is>
          <t>Plan Q8 — Ray stops treating 80% as crossed</t>
        </is>
      </c>
      <c r="B141" s="3" t="inlineStr">
        <is>
          <t>2026-09-26</t>
        </is>
      </c>
      <c r="C141" s="3" t="inlineStr">
        <is>
          <t>chat, 2026-09-26: “Plan - Q1 - 8 - your recommendation approved”</t>
        </is>
      </c>
      <c r="D141" s="3" t="inlineStr">
        <is>
          <t>Q8 — Ray at 79.5% (78.9% at 1,000 futures) → the copy stops treating 80% as a line he crosses</t>
        </is>
      </c>
      <c r="E141" s="3" t="inlineStr">
        <is>
          <t>Plan · Retire</t>
        </is>
      </c>
      <c r="F141" s="8" t="inlineStr">
        <is>
          <t>RULED</t>
        </is>
      </c>
      <c r="G141" s="3" t="inlineStr">
        <is>
          <t>His hero and his claim row: about 70 → about 79 out of 100, better and still short</t>
        </is>
      </c>
      <c r="H141" s="3" t="inlineStr">
        <is>
          <t>MoneyKeel/documents/plan/moneykeel_pres_mock_plan_v06.html</t>
        </is>
      </c>
      <c r="I141" s="3" t="inlineStr"/>
      <c r="J141" s="3" t="inlineStr"/>
      <c r="K141" s="3" t="inlineStr">
        <is>
          <t>Drawn in v06 on 2026-09-26; not built — the Plan tab’s code waits on its doors.</t>
        </is>
      </c>
    </row>
    <row r="142">
      <c r="A142" s="3" t="inlineStr">
        <is>
          <t>A rate in a sentence carries /year, not “a year”</t>
        </is>
      </c>
      <c r="B142" s="3" t="inlineStr">
        <is>
          <t>2026-09-26</t>
        </is>
      </c>
      <c r="C142" s="3" t="inlineStr">
        <is>
          <t>chat, 2026-09-26</t>
        </is>
      </c>
      <c r="D142" s="3" t="inlineStr">
        <is>
          <t>go with (a) the sentence becomes “+7.30%/year” — canon-literal</t>
        </is>
      </c>
      <c r="E142" s="3" t="inlineStr">
        <is>
          <t>Performance summary · canon row 14</t>
        </is>
      </c>
      <c r="F142" s="6" t="inlineStr">
        <is>
          <t>TESTED</t>
        </is>
      </c>
      <c r="G142" s="3" t="inlineStr">
        <is>
          <t>The summary reads “+15.10% over the two years, which is +7.30%/year” and the segment carries “/year”. A spoken label still says “a year”, which the canon keeps.</t>
        </is>
      </c>
      <c r="H142" s="3" t="inlineStr">
        <is>
          <t>src/screens/__tests__/invest_fcc.test.tsx</t>
        </is>
      </c>
      <c r="I142" s="3" t="inlineStr">
        <is>
          <t>2026-09-26</t>
        </is>
      </c>
      <c r="J142" s="3" t="inlineStr"/>
      <c r="K142" s="3" t="inlineStr"/>
    </row>
    <row r="143">
      <c r="A143" s="3" t="inlineStr">
        <is>
          <t>The canon guard reads copy as it renders</t>
        </is>
      </c>
      <c r="B143" s="3" t="inlineStr">
        <is>
          <t>2026-09-26</t>
        </is>
      </c>
      <c r="C143" s="3" t="inlineStr">
        <is>
          <t>chat, 2026-09-26: “fix canon guard”</t>
        </is>
      </c>
      <c r="D143" s="3" t="inlineStr">
        <is>
          <t>fix canon guard</t>
        </is>
      </c>
      <c r="E143" s="3" t="inlineStr">
        <is>
          <t>one_term_per_concept</t>
        </is>
      </c>
      <c r="F143" s="6" t="inlineStr">
        <is>
          <t>TESTED</t>
        </is>
      </c>
      <c r="G143" s="3" t="inlineStr">
        <is>
          <t>The guard also reads JSX children joined with their expression boundaries and templates reduced to head + “}” + literals, so an entry written with punctuation (row 14’s “} a year”) can match; identifiers inside expressions cannot raise a false alarm and spoken labels are exempt. Turning it on found 26 real violations across 14 files, all fixed.</t>
        </is>
      </c>
      <c r="H143" s="3" t="inlineStr">
        <is>
          <t>src/__tests__/one_term_per_concept.test.ts</t>
        </is>
      </c>
      <c r="I143" s="3" t="inlineStr">
        <is>
          <t>2026-09-26</t>
        </is>
      </c>
      <c r="J143" s="3" t="inlineStr"/>
      <c r="K143" s="3" t="inlineStr">
        <is>
          <t>The guard had reported the app clean on a pattern it structurally could not see.</t>
        </is>
      </c>
    </row>
    <row r="144">
      <c r="A144" s="3" t="inlineStr">
        <is>
          <t>Net worth and Home print percentages to two decimals</t>
        </is>
      </c>
      <c r="B144" s="3" t="inlineStr">
        <is>
          <t>2026-09-26</t>
        </is>
      </c>
      <c r="C144" s="3" t="inlineStr">
        <is>
          <t>chat, 2026-09-26: “fix decimel error on NW screens”</t>
        </is>
      </c>
      <c r="D144" s="3" t="inlineStr">
        <is>
          <t>fix decimal error on NW screens</t>
        </is>
      </c>
      <c r="E144" s="3" t="inlineStr">
        <is>
          <t>Net worth debt APR · the cushion · Home hero return</t>
        </is>
      </c>
      <c r="F144" s="6" t="inlineStr">
        <is>
          <t>TESTED</t>
        </is>
      </c>
      <c r="G144" s="3" t="inlineStr">
        <is>
          <t>The debt APR shows two decimals (6.35%, not 6.4%). The cushion keeps one decimal and says why in the code, as Q49 requires of a stated exception. Home’s hero return also moved to two decimals. The 48 remaining one-decimal percentages are held by a ratchet.</t>
        </is>
      </c>
      <c r="H144" s="3" t="inlineStr">
        <is>
          <t>src/__tests__/one_decimal_percent_ratchet.test.ts</t>
        </is>
      </c>
      <c r="I144" s="3" t="inlineStr">
        <is>
          <t>2026-09-26</t>
        </is>
      </c>
      <c r="J144" s="3" t="inlineStr"/>
      <c r="K144" s="3" t="inlineStr"/>
    </row>
  </sheetData>
  <autoFilter ref="A2:K14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c r="A2" s="3" t="inlineStr">
        <is>
          <t>Fixed income</t>
        </is>
      </c>
      <c r="B2" s="3" t="inlineStr">
        <is>
          <t>Holding Institution</t>
        </is>
      </c>
      <c r="C2" s="3" t="inlineStr">
        <is>
          <t>MK-XS-I-003 institution name</t>
        </is>
      </c>
      <c r="D2" s="6" t="inlineStr">
        <is>
          <t>CAPTURED</t>
        </is>
      </c>
      <c r="E2" s="3" t="inlineStr"/>
      <c r="F2" s="3" t="inlineStr"/>
    </row>
    <row r="3">
      <c r="A3" s="3" t="inlineStr">
        <is>
          <t>Fixed income</t>
        </is>
      </c>
      <c r="B3" s="3" t="inlineStr">
        <is>
          <t>Holding Account Number</t>
        </is>
      </c>
      <c r="C3" s="3" t="inlineStr">
        <is>
          <t>—</t>
        </is>
      </c>
      <c r="D3" s="8" t="inlineStr">
        <is>
          <t>NOT CAPTURED</t>
        </is>
      </c>
      <c r="E3" s="3" t="inlineStr">
        <is>
          <t>new</t>
        </is>
      </c>
      <c r="F3" s="3" t="inlineStr">
        <is>
          <t>A connected account keeps the last four digits (the mask); nothing stores the number for a typed account.</t>
        </is>
      </c>
    </row>
    <row r="4">
      <c r="A4" s="3" t="inlineStr">
        <is>
          <t>Fixed income</t>
        </is>
      </c>
      <c r="B4" s="3" t="inlineStr">
        <is>
          <t>Issuer</t>
        </is>
      </c>
      <c r="C4" s="3" t="inlineStr">
        <is>
          <t>—</t>
        </is>
      </c>
      <c r="D4" s="8" t="inlineStr">
        <is>
          <t>NOT CAPTURED</t>
        </is>
      </c>
      <c r="E4" s="3" t="inlineStr">
        <is>
          <t>Q38 (2026-09-08)</t>
        </is>
      </c>
      <c r="F4" s="3" t="inlineStr">
        <is>
          <t>The institution field stands in for the issuer today.</t>
        </is>
      </c>
    </row>
    <row r="5">
      <c r="A5" s="3" t="inlineStr">
        <is>
          <t>Fixed income</t>
        </is>
      </c>
      <c r="B5" s="3" t="inlineStr">
        <is>
          <t>CUSIP / ISIN / Ticker</t>
        </is>
      </c>
      <c r="C5" s="3" t="inlineStr">
        <is>
          <t>—</t>
        </is>
      </c>
      <c r="D5" s="8" t="inlineStr">
        <is>
          <t>NOT CAPTURED</t>
        </is>
      </c>
      <c r="E5" s="3" t="inlineStr">
        <is>
          <t>Q38 (2026-09-08)</t>
        </is>
      </c>
      <c r="F5" s="3" t="inlineStr">
        <is>
          <t>Stocks carry a ticker; a bond record carries none.</t>
        </is>
      </c>
    </row>
    <row r="6">
      <c r="A6" s="3" t="inlineStr">
        <is>
          <t>Fixed income</t>
        </is>
      </c>
      <c r="B6" s="3" t="inlineStr">
        <is>
          <t>Face Value</t>
        </is>
      </c>
      <c r="C6" s="3" t="inlineStr">
        <is>
          <t>MK-XS-I-011 bond face value</t>
        </is>
      </c>
      <c r="D6" s="6" t="inlineStr">
        <is>
          <t>CAPTURED</t>
        </is>
      </c>
      <c r="E6" s="3" t="inlineStr"/>
      <c r="F6" s="3" t="inlineStr"/>
    </row>
    <row r="7">
      <c r="A7" s="3" t="inlineStr">
        <is>
          <t>Fixed income</t>
        </is>
      </c>
      <c r="B7" s="3" t="inlineStr">
        <is>
          <t>Quantity</t>
        </is>
      </c>
      <c r="C7" s="3" t="inlineStr">
        <is>
          <t>—</t>
        </is>
      </c>
      <c r="D7" s="8" t="inlineStr">
        <is>
          <t>NOT CAPTURED</t>
        </is>
      </c>
      <c r="E7" s="3" t="inlineStr">
        <is>
          <t>Q38 (1) (2026-09-08)</t>
        </is>
      </c>
      <c r="F7" s="3" t="inlineStr">
        <is>
          <t>Number of bonds versus total face — your answer decides the field.</t>
        </is>
      </c>
    </row>
    <row r="8">
      <c r="A8" s="3" t="inlineStr">
        <is>
          <t>Fixed income</t>
        </is>
      </c>
      <c r="B8" s="3" t="inlineStr">
        <is>
          <t>Cost Price</t>
        </is>
      </c>
      <c r="C8" s="3" t="inlineStr">
        <is>
          <t>—</t>
        </is>
      </c>
      <c r="D8" s="8" t="inlineStr">
        <is>
          <t>NOT CAPTURED</t>
        </is>
      </c>
      <c r="E8" s="3" t="inlineStr">
        <is>
          <t>Q38 (2026-09-08)</t>
        </is>
      </c>
      <c r="F8" s="3" t="inlineStr"/>
    </row>
    <row r="9">
      <c r="A9" s="3" t="inlineStr">
        <is>
          <t>Fixed income</t>
        </is>
      </c>
      <c r="B9" s="3" t="inlineStr">
        <is>
          <t>Current Price</t>
        </is>
      </c>
      <c r="C9" s="3" t="inlineStr">
        <is>
          <t>—</t>
        </is>
      </c>
      <c r="D9" s="8" t="inlineStr">
        <is>
          <t>NOT CAPTURED</t>
        </is>
      </c>
      <c r="E9" s="3" t="inlineStr">
        <is>
          <t>Q38 (3) (2026-09-08)</t>
        </is>
      </c>
      <c r="F9" s="3" t="inlineStr"/>
    </row>
    <row r="10">
      <c r="A10" s="3" t="inlineStr">
        <is>
          <t>Fixed income</t>
        </is>
      </c>
      <c r="B10" s="3" t="inlineStr">
        <is>
          <t>Current Value</t>
        </is>
      </c>
      <c r="C10" s="3" t="inlineStr">
        <is>
          <t>MK-XS-I-001 / MK-XS-I-049 (the balance entered)</t>
        </is>
      </c>
      <c r="D10" s="6" t="inlineStr">
        <is>
          <t>CAPTURED</t>
        </is>
      </c>
      <c r="E10" s="3" t="inlineStr"/>
      <c r="F10" s="3" t="inlineStr"/>
    </row>
    <row r="11">
      <c r="A11" s="3" t="inlineStr">
        <is>
          <t>Fixed income</t>
        </is>
      </c>
      <c r="B11" s="3" t="inlineStr">
        <is>
          <t>Total Cost</t>
        </is>
      </c>
      <c r="C11" s="3" t="inlineStr">
        <is>
          <t>derived — quantity × cost, once both exist</t>
        </is>
      </c>
      <c r="D11" s="9" t="inlineStr">
        <is>
          <t>DERIVED — blocked</t>
        </is>
      </c>
      <c r="E11" s="3" t="inlineStr">
        <is>
          <t>Q38 (2026-09-08)</t>
        </is>
      </c>
      <c r="F11" s="3" t="inlineStr"/>
    </row>
    <row r="12">
      <c r="A12" s="3" t="inlineStr">
        <is>
          <t>Fixed income</t>
        </is>
      </c>
      <c r="B12" s="3" t="inlineStr">
        <is>
          <t>Unrealized Gain/Loss</t>
        </is>
      </c>
      <c r="C12" s="3" t="inlineStr">
        <is>
          <t>derived — current value − total cost</t>
        </is>
      </c>
      <c r="D12" s="9" t="inlineStr">
        <is>
          <t>DERIVED — blocked</t>
        </is>
      </c>
      <c r="E12" s="3" t="inlineStr">
        <is>
          <t>Q38 (2026-09-08)</t>
        </is>
      </c>
      <c r="F12" s="3" t="inlineStr"/>
    </row>
    <row r="13">
      <c r="A13" s="3" t="inlineStr">
        <is>
          <t>Fixed income</t>
        </is>
      </c>
      <c r="B13" s="3" t="inlineStr">
        <is>
          <t>Purchase Date</t>
        </is>
      </c>
      <c r="C13" s="3" t="inlineStr">
        <is>
          <t>—</t>
        </is>
      </c>
      <c r="D13" s="8" t="inlineStr">
        <is>
          <t>NOT CAPTURED</t>
        </is>
      </c>
      <c r="E13" s="3" t="inlineStr">
        <is>
          <t>Q38 (2026-09-08)</t>
        </is>
      </c>
      <c r="F13" s="3" t="inlineStr">
        <is>
          <t>Stocks keep a purchase date per lot (MK-XS-I-007); bonds do not.</t>
        </is>
      </c>
    </row>
    <row r="14">
      <c r="A14" s="3" t="inlineStr">
        <is>
          <t>Fixed income</t>
        </is>
      </c>
      <c r="B14" s="3" t="inlineStr">
        <is>
          <t>Maturity Date</t>
        </is>
      </c>
      <c r="C14" s="3" t="inlineStr">
        <is>
          <t>MK-XS-I-013 bond maturity date</t>
        </is>
      </c>
      <c r="D14" s="6" t="inlineStr">
        <is>
          <t>CAPTURED</t>
        </is>
      </c>
      <c r="E14" s="3" t="inlineStr"/>
      <c r="F14" s="3" t="inlineStr"/>
    </row>
    <row r="15">
      <c r="A15" s="3" t="inlineStr">
        <is>
          <t>Fixed income</t>
        </is>
      </c>
      <c r="B15" s="3" t="inlineStr">
        <is>
          <t>Coupon</t>
        </is>
      </c>
      <c r="C15" s="3" t="inlineStr">
        <is>
          <t>MK-XS-I-012 bond coupon rate</t>
        </is>
      </c>
      <c r="D15" s="6" t="inlineStr">
        <is>
          <t>CAPTURED</t>
        </is>
      </c>
      <c r="E15" s="3" t="inlineStr"/>
      <c r="F15" s="3" t="inlineStr"/>
    </row>
    <row r="16">
      <c r="A16" s="3" t="inlineStr">
        <is>
          <t>Fixed income</t>
        </is>
      </c>
      <c r="B16" s="3" t="inlineStr">
        <is>
          <t>Frequency of Interest</t>
        </is>
      </c>
      <c r="C16" s="3" t="inlineStr">
        <is>
          <t>—</t>
        </is>
      </c>
      <c r="D16" s="8" t="inlineStr">
        <is>
          <t>NOT CAPTURED</t>
        </is>
      </c>
      <c r="E16" s="3" t="inlineStr">
        <is>
          <t>new</t>
        </is>
      </c>
      <c r="F16" s="3" t="inlineStr">
        <is>
          <t>Needed for accrued interest and the paid-interest calendar.</t>
        </is>
      </c>
    </row>
    <row r="17">
      <c r="A17" s="3" t="inlineStr">
        <is>
          <t>Fixed income</t>
        </is>
      </c>
      <c r="B17" s="3" t="inlineStr">
        <is>
          <t>Annual Income</t>
        </is>
      </c>
      <c r="C17" s="3" t="inlineStr">
        <is>
          <t>derived — MK-NW-F-057 annualCoupon (face × rate; matured bonds to be excluded, JJ-3)</t>
        </is>
      </c>
      <c r="D17" s="9" t="inlineStr">
        <is>
          <t>DERIVED</t>
        </is>
      </c>
      <c r="E17" s="3" t="inlineStr"/>
      <c r="F17" s="3" t="inlineStr"/>
    </row>
    <row r="18">
      <c r="A18" s="3" t="inlineStr">
        <is>
          <t>Fixed income</t>
        </is>
      </c>
      <c r="B18" s="3" t="inlineStr">
        <is>
          <t>Paid Interest</t>
        </is>
      </c>
      <c r="C18" s="3" t="inlineStr">
        <is>
          <t>derived — the ledger's INTEREST rows for the bond</t>
        </is>
      </c>
      <c r="D18" s="9" t="inlineStr">
        <is>
          <t>DERIVED — blocked</t>
        </is>
      </c>
      <c r="E18" s="3" t="inlineStr">
        <is>
          <t>Q38 (2) (2026-09-08)</t>
        </is>
      </c>
      <c r="F18" s="3" t="inlineStr">
        <is>
          <t>'earned interest' in your bond rule.</t>
        </is>
      </c>
    </row>
    <row r="19">
      <c r="A19" s="3" t="inlineStr">
        <is>
          <t>Fixed income</t>
        </is>
      </c>
      <c r="B19" s="3" t="inlineStr">
        <is>
          <t>Accrued Interest</t>
        </is>
      </c>
      <c r="C19" s="3" t="inlineStr">
        <is>
          <t>—</t>
        </is>
      </c>
      <c r="D19" s="8" t="inlineStr">
        <is>
          <t>NOT CAPTURED</t>
        </is>
      </c>
      <c r="E19" s="3" t="inlineStr">
        <is>
          <t>A47 (2026-08-26)</t>
        </is>
      </c>
      <c r="F19" s="3" t="inlineStr"/>
    </row>
    <row r="20">
      <c r="A20" s="3" t="inlineStr">
        <is>
          <t>Stocks / funds</t>
        </is>
      </c>
      <c r="B20" s="3" t="inlineStr">
        <is>
          <t>Holding Institution</t>
        </is>
      </c>
      <c r="C20" s="3" t="inlineStr">
        <is>
          <t>MK-XS-I-003 institution name</t>
        </is>
      </c>
      <c r="D20" s="6" t="inlineStr">
        <is>
          <t>CAPTURED</t>
        </is>
      </c>
      <c r="E20" s="3" t="inlineStr"/>
      <c r="F20" s="3" t="inlineStr"/>
    </row>
    <row r="21">
      <c r="A21" s="3" t="inlineStr">
        <is>
          <t>Stocks / funds</t>
        </is>
      </c>
      <c r="B21" s="3" t="inlineStr">
        <is>
          <t>Holding Account Number</t>
        </is>
      </c>
      <c r="C21" s="3" t="inlineStr">
        <is>
          <t>—</t>
        </is>
      </c>
      <c r="D21" s="8" t="inlineStr">
        <is>
          <t>NOT CAPTURED</t>
        </is>
      </c>
      <c r="E21" s="3" t="inlineStr">
        <is>
          <t>new</t>
        </is>
      </c>
      <c r="F21" s="3" t="inlineStr"/>
    </row>
    <row r="22">
      <c r="A22" s="3" t="inlineStr">
        <is>
          <t>Stocks / funds</t>
        </is>
      </c>
      <c r="B22" s="3" t="inlineStr">
        <is>
          <t>Ticker</t>
        </is>
      </c>
      <c r="C22" s="3" t="inlineStr">
        <is>
          <t>the holding's own ticker — its identity, not an input row</t>
        </is>
      </c>
      <c r="D22" s="6" t="inlineStr">
        <is>
          <t>CAPTURED</t>
        </is>
      </c>
      <c r="E22" s="3" t="inlineStr"/>
      <c r="F22" s="3" t="inlineStr"/>
    </row>
    <row r="23">
      <c r="A23" s="3" t="inlineStr">
        <is>
          <t>Stocks / funds</t>
        </is>
      </c>
      <c r="B23" s="3" t="inlineStr">
        <is>
          <t>Quantity</t>
        </is>
      </c>
      <c r="C23" s="3" t="inlineStr">
        <is>
          <t>MK-XS-I-004 holding quantity</t>
        </is>
      </c>
      <c r="D23" s="6" t="inlineStr">
        <is>
          <t>CAPTURED</t>
        </is>
      </c>
      <c r="E23" s="3" t="inlineStr"/>
      <c r="F23" s="3" t="inlineStr"/>
    </row>
    <row r="24">
      <c r="A24" s="3" t="inlineStr">
        <is>
          <t>Stocks / funds</t>
        </is>
      </c>
      <c r="B24" s="3" t="inlineStr">
        <is>
          <t>Cost Price</t>
        </is>
      </c>
      <c r="C24" s="3" t="inlineStr">
        <is>
          <t>MK-XS-I-007 purchase price per lot</t>
        </is>
      </c>
      <c r="D24" s="6" t="inlineStr">
        <is>
          <t>CAPTURED</t>
        </is>
      </c>
      <c r="E24" s="3" t="inlineStr"/>
      <c r="F24" s="3" t="inlineStr"/>
    </row>
    <row r="25">
      <c r="A25" s="3" t="inlineStr">
        <is>
          <t>Stocks / funds</t>
        </is>
      </c>
      <c r="B25" s="3" t="inlineStr">
        <is>
          <t>Current Price</t>
        </is>
      </c>
      <c r="C25" s="3" t="inlineStr">
        <is>
          <t>MK-XS-I-005 holding price</t>
        </is>
      </c>
      <c r="D25" s="6" t="inlineStr">
        <is>
          <t>CAPTURED</t>
        </is>
      </c>
      <c r="E25" s="3" t="inlineStr"/>
      <c r="F25" s="3" t="inlineStr"/>
    </row>
    <row r="26">
      <c r="A26" s="3" t="inlineStr">
        <is>
          <t>Stocks / funds</t>
        </is>
      </c>
      <c r="B26" s="3" t="inlineStr">
        <is>
          <t>Current Value</t>
        </is>
      </c>
      <c r="C26" s="3" t="inlineStr">
        <is>
          <t>derived — MK-PF-F-004 marketValue</t>
        </is>
      </c>
      <c r="D26" s="9" t="inlineStr">
        <is>
          <t>DERIVED</t>
        </is>
      </c>
      <c r="E26" s="3" t="inlineStr"/>
      <c r="F26" s="3" t="inlineStr"/>
    </row>
    <row r="27">
      <c r="A27" s="3" t="inlineStr">
        <is>
          <t>Stocks / funds</t>
        </is>
      </c>
      <c r="B27" s="3" t="inlineStr">
        <is>
          <t>Total Cost</t>
        </is>
      </c>
      <c r="C27" s="3" t="inlineStr">
        <is>
          <t>derived — MK-PF-F-002 costBasis</t>
        </is>
      </c>
      <c r="D27" s="9" t="inlineStr">
        <is>
          <t>DERIVED</t>
        </is>
      </c>
      <c r="E27" s="3" t="inlineStr"/>
      <c r="F27" s="3" t="inlineStr"/>
    </row>
    <row r="28">
      <c r="A28" s="3" t="inlineStr">
        <is>
          <t>Stocks / funds</t>
        </is>
      </c>
      <c r="B28" s="3" t="inlineStr">
        <is>
          <t>Unrealized Gain/Loss</t>
        </is>
      </c>
      <c r="C28" s="3" t="inlineStr">
        <is>
          <t>derived — MK-PF-F-005 unrealizedGain</t>
        </is>
      </c>
      <c r="D28" s="9" t="inlineStr">
        <is>
          <t>DERIVED</t>
        </is>
      </c>
      <c r="E28" s="3" t="inlineStr"/>
      <c r="F28" s="3" t="inlineStr"/>
    </row>
    <row r="29">
      <c r="A29" s="3" t="inlineStr">
        <is>
          <t>Stocks / funds</t>
        </is>
      </c>
      <c r="B29" s="3" t="inlineStr">
        <is>
          <t>Purchase Date</t>
        </is>
      </c>
      <c r="C29" s="3" t="inlineStr">
        <is>
          <t>MK-XS-I-007 purchase date per lot</t>
        </is>
      </c>
      <c r="D29" s="6" t="inlineStr">
        <is>
          <t>CAPTURED</t>
        </is>
      </c>
      <c r="E29" s="3" t="inlineStr"/>
      <c r="F29" s="3" t="inlineStr"/>
    </row>
    <row r="30">
      <c r="A30" s="3" t="inlineStr">
        <is>
          <t>Stocks / funds</t>
        </is>
      </c>
      <c r="B30" s="3" t="inlineStr">
        <is>
          <t>Dividend</t>
        </is>
      </c>
      <c r="C30" s="3" t="inlineStr">
        <is>
          <t>the ledger's DIVIDEND rows (MK-XS-I-008 · MK-XS-I-009) → MK-NW-M-034</t>
        </is>
      </c>
      <c r="D30" s="6" t="inlineStr">
        <is>
          <t>CAPTURED</t>
        </is>
      </c>
      <c r="E30" s="3" t="inlineStr"/>
      <c r="F30" s="3" t="inlineStr"/>
    </row>
    <row r="31">
      <c r="A31" s="3" t="inlineStr">
        <is>
          <t>Stocks / funds</t>
        </is>
      </c>
      <c r="B31" s="3" t="inlineStr">
        <is>
          <t>Divident Frequency</t>
        </is>
      </c>
      <c r="C31" s="3" t="inlineStr">
        <is>
          <t>—</t>
        </is>
      </c>
      <c r="D31" s="8" t="inlineStr">
        <is>
          <t>NOT CAPTURED</t>
        </is>
      </c>
      <c r="E31" s="3" t="inlineStr">
        <is>
          <t>new</t>
        </is>
      </c>
      <c r="F31" s="3" t="inlineStr"/>
    </row>
    <row r="32">
      <c r="A32" s="3" t="inlineStr">
        <is>
          <t>Stocks / funds</t>
        </is>
      </c>
      <c r="B32" s="3" t="inlineStr">
        <is>
          <t>Annual Income</t>
        </is>
      </c>
      <c r="C32" s="3" t="inlineStr">
        <is>
          <t>derived — the dividend and interest income functions</t>
        </is>
      </c>
      <c r="D32" s="9" t="inlineStr">
        <is>
          <t>DERIVED</t>
        </is>
      </c>
      <c r="E32" s="3" t="inlineStr"/>
      <c r="F32" s="3" t="inlineStr"/>
    </row>
    <row r="33">
      <c r="A33" s="3" t="inlineStr">
        <is>
          <t>Currencies</t>
        </is>
      </c>
      <c r="B33" s="3" t="inlineStr">
        <is>
          <t>Holding Institution</t>
        </is>
      </c>
      <c r="C33" s="3" t="inlineStr">
        <is>
          <t>MK-XS-I-003 institution name</t>
        </is>
      </c>
      <c r="D33" s="6" t="inlineStr">
        <is>
          <t>CAPTURED</t>
        </is>
      </c>
      <c r="E33" s="3" t="inlineStr"/>
      <c r="F33" s="3" t="inlineStr"/>
    </row>
    <row r="34">
      <c r="A34" s="3" t="inlineStr">
        <is>
          <t>Currencies</t>
        </is>
      </c>
      <c r="B34" s="3" t="inlineStr">
        <is>
          <t>Holding Account Number</t>
        </is>
      </c>
      <c r="C34" s="3" t="inlineStr">
        <is>
          <t>—</t>
        </is>
      </c>
      <c r="D34" s="8" t="inlineStr">
        <is>
          <t>NOT CAPTURED</t>
        </is>
      </c>
      <c r="E34" s="3" t="inlineStr">
        <is>
          <t>new</t>
        </is>
      </c>
      <c r="F34" s="3" t="inlineStr"/>
    </row>
    <row r="35">
      <c r="A35" s="3" t="inlineStr">
        <is>
          <t>Currencies</t>
        </is>
      </c>
      <c r="B35" s="3" t="inlineStr">
        <is>
          <t>Currency Code</t>
        </is>
      </c>
      <c r="C35" s="3" t="inlineStr">
        <is>
          <t>—</t>
        </is>
      </c>
      <c r="D35" s="8" t="inlineStr">
        <is>
          <t>NOT CAPTURED</t>
        </is>
      </c>
      <c r="E35" s="3" t="inlineStr">
        <is>
          <t>Q43 · Q09 (2026-09-08)</t>
        </is>
      </c>
      <c r="F35" s="3" t="inlineStr">
        <is>
          <t>No unit on the quantity today (finding S32).</t>
        </is>
      </c>
    </row>
    <row r="36">
      <c r="A36" s="3" t="inlineStr">
        <is>
          <t>Currencies</t>
        </is>
      </c>
      <c r="B36" s="3" t="inlineStr">
        <is>
          <t>Quantity</t>
        </is>
      </c>
      <c r="C36" s="3" t="inlineStr">
        <is>
          <t>MK-XS-I-004 (no unit)</t>
        </is>
      </c>
      <c r="D36" s="6" t="inlineStr">
        <is>
          <t>CAPTURED — no unit</t>
        </is>
      </c>
      <c r="E36" s="3" t="inlineStr">
        <is>
          <t>Q09 (2026-09-08)</t>
        </is>
      </c>
      <c r="F36" s="3" t="inlineStr"/>
    </row>
    <row r="37">
      <c r="A37" s="3" t="inlineStr">
        <is>
          <t>Currencies</t>
        </is>
      </c>
      <c r="B37" s="3" t="inlineStr">
        <is>
          <t>Cost Price</t>
        </is>
      </c>
      <c r="C37" s="3" t="inlineStr">
        <is>
          <t>MK-XS-I-007</t>
        </is>
      </c>
      <c r="D37" s="6" t="inlineStr">
        <is>
          <t>CAPTURED</t>
        </is>
      </c>
      <c r="E37" s="3" t="inlineStr"/>
      <c r="F37" s="3" t="inlineStr"/>
    </row>
    <row r="38">
      <c r="A38" s="3" t="inlineStr">
        <is>
          <t>Currencies</t>
        </is>
      </c>
      <c r="B38" s="3" t="inlineStr">
        <is>
          <t>Current Price</t>
        </is>
      </c>
      <c r="C38" s="3" t="inlineStr">
        <is>
          <t>MK-XS-I-005 — no exchange rate</t>
        </is>
      </c>
      <c r="D38" s="6" t="inlineStr">
        <is>
          <t>CAPTURED — no rate</t>
        </is>
      </c>
      <c r="E38" s="3" t="inlineStr">
        <is>
          <t>Q43 (2026-09-08)</t>
        </is>
      </c>
      <c r="F38" s="3" t="inlineStr"/>
    </row>
    <row r="39">
      <c r="A39" s="3" t="inlineStr">
        <is>
          <t>Currencies</t>
        </is>
      </c>
      <c r="B39" s="3" t="inlineStr">
        <is>
          <t>Current Value</t>
        </is>
      </c>
      <c r="C39" s="3" t="inlineStr">
        <is>
          <t>derived — not converted to dollars today</t>
        </is>
      </c>
      <c r="D39" s="9" t="inlineStr">
        <is>
          <t>DERIVED — blocked</t>
        </is>
      </c>
      <c r="E39" s="3" t="inlineStr">
        <is>
          <t>Q43 (2026-09-08)</t>
        </is>
      </c>
      <c r="F39" s="3" t="inlineStr"/>
    </row>
    <row r="40">
      <c r="A40" s="3" t="inlineStr">
        <is>
          <t>Currencies</t>
        </is>
      </c>
      <c r="B40" s="3" t="inlineStr">
        <is>
          <t>Total Cost</t>
        </is>
      </c>
      <c r="C40" s="3" t="inlineStr">
        <is>
          <t>derived</t>
        </is>
      </c>
      <c r="D40" s="9" t="inlineStr">
        <is>
          <t>DERIVED</t>
        </is>
      </c>
      <c r="E40" s="3" t="inlineStr"/>
      <c r="F40" s="3" t="inlineStr"/>
    </row>
    <row r="41">
      <c r="A41" s="3" t="inlineStr">
        <is>
          <t>Currencies</t>
        </is>
      </c>
      <c r="B41" s="3" t="inlineStr">
        <is>
          <t>Unrealized Gain/Loss</t>
        </is>
      </c>
      <c r="C41" s="3" t="inlineStr">
        <is>
          <t>derived</t>
        </is>
      </c>
      <c r="D41" s="9" t="inlineStr">
        <is>
          <t>DERIVED</t>
        </is>
      </c>
      <c r="E41" s="3" t="inlineStr"/>
      <c r="F41" s="3" t="inlineStr"/>
    </row>
    <row r="42">
      <c r="A42" s="3" t="inlineStr">
        <is>
          <t>Currencies</t>
        </is>
      </c>
      <c r="B42" s="3" t="inlineStr">
        <is>
          <t>Purchase Date</t>
        </is>
      </c>
      <c r="C42" s="3" t="inlineStr">
        <is>
          <t>MK-XS-I-007</t>
        </is>
      </c>
      <c r="D42" s="6" t="inlineStr">
        <is>
          <t>CAPTURED</t>
        </is>
      </c>
      <c r="E42" s="3" t="inlineStr"/>
      <c r="F42" s="3" t="inlineStr"/>
    </row>
    <row r="43">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c r="A46" s="3" t="inlineStr">
        <is>
          <t>Crypto</t>
        </is>
      </c>
      <c r="B46" s="3" t="inlineStr">
        <is>
          <t>Holding Institution</t>
        </is>
      </c>
      <c r="C46" s="3" t="inlineStr">
        <is>
          <t>MK-XS-I-003 institution name</t>
        </is>
      </c>
      <c r="D46" s="6" t="inlineStr">
        <is>
          <t>CAPTURED</t>
        </is>
      </c>
      <c r="E46" s="3" t="inlineStr"/>
      <c r="F46" s="3" t="inlineStr"/>
    </row>
    <row r="47">
      <c r="A47" s="3" t="inlineStr">
        <is>
          <t>Crypto</t>
        </is>
      </c>
      <c r="B47" s="3" t="inlineStr">
        <is>
          <t>Holding Account Number</t>
        </is>
      </c>
      <c r="C47" s="3" t="inlineStr">
        <is>
          <t>—</t>
        </is>
      </c>
      <c r="D47" s="8" t="inlineStr">
        <is>
          <t>NOT CAPTURED</t>
        </is>
      </c>
      <c r="E47" s="3" t="inlineStr">
        <is>
          <t>new</t>
        </is>
      </c>
      <c r="F47" s="3" t="inlineStr"/>
    </row>
    <row r="48">
      <c r="A48" s="3" t="inlineStr">
        <is>
          <t>Crypto</t>
        </is>
      </c>
      <c r="B48" s="3" t="inlineStr">
        <is>
          <t>Crypto Symbol</t>
        </is>
      </c>
      <c r="C48" s="3" t="inlineStr">
        <is>
          <t>the holding's own ticker (BTC, ETH mapped to the feed's pairs)</t>
        </is>
      </c>
      <c r="D48" s="6" t="inlineStr">
        <is>
          <t>CAPTURED</t>
        </is>
      </c>
      <c r="E48" s="3" t="inlineStr"/>
      <c r="F48" s="3" t="inlineStr"/>
    </row>
    <row r="49">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c r="A50" s="3" t="inlineStr">
        <is>
          <t>Crypto</t>
        </is>
      </c>
      <c r="B50" s="3" t="inlineStr">
        <is>
          <t>Cost Price</t>
        </is>
      </c>
      <c r="C50" s="3" t="inlineStr">
        <is>
          <t>MK-XS-I-007</t>
        </is>
      </c>
      <c r="D50" s="6" t="inlineStr">
        <is>
          <t>CAPTURED</t>
        </is>
      </c>
      <c r="E50" s="3" t="inlineStr"/>
      <c r="F50" s="3" t="inlineStr"/>
    </row>
    <row r="51">
      <c r="A51" s="3" t="inlineStr">
        <is>
          <t>Crypto</t>
        </is>
      </c>
      <c r="B51" s="3" t="inlineStr">
        <is>
          <t>Current Price</t>
        </is>
      </c>
      <c r="C51" s="3" t="inlineStr">
        <is>
          <t>MK-XS-I-005</t>
        </is>
      </c>
      <c r="D51" s="6" t="inlineStr">
        <is>
          <t>CAPTURED</t>
        </is>
      </c>
      <c r="E51" s="3" t="inlineStr"/>
      <c r="F51" s="3" t="inlineStr"/>
    </row>
    <row r="52">
      <c r="A52" s="3" t="inlineStr">
        <is>
          <t>Crypto</t>
        </is>
      </c>
      <c r="B52" s="3" t="inlineStr">
        <is>
          <t>Current Value</t>
        </is>
      </c>
      <c r="C52" s="3" t="inlineStr">
        <is>
          <t>derived — MK-PF-F-004</t>
        </is>
      </c>
      <c r="D52" s="9" t="inlineStr">
        <is>
          <t>DERIVED</t>
        </is>
      </c>
      <c r="E52" s="3" t="inlineStr"/>
      <c r="F52" s="3" t="inlineStr"/>
    </row>
    <row r="53">
      <c r="A53" s="3" t="inlineStr">
        <is>
          <t>Crypto</t>
        </is>
      </c>
      <c r="B53" s="3" t="inlineStr">
        <is>
          <t>Total Cost</t>
        </is>
      </c>
      <c r="C53" s="3" t="inlineStr">
        <is>
          <t>derived — MK-PF-F-002</t>
        </is>
      </c>
      <c r="D53" s="9" t="inlineStr">
        <is>
          <t>DERIVED</t>
        </is>
      </c>
      <c r="E53" s="3" t="inlineStr"/>
      <c r="F53" s="3" t="inlineStr"/>
    </row>
    <row r="54">
      <c r="A54" s="3" t="inlineStr">
        <is>
          <t>Crypto</t>
        </is>
      </c>
      <c r="B54" s="3" t="inlineStr">
        <is>
          <t>Unrealized Gain/Loss</t>
        </is>
      </c>
      <c r="C54" s="3" t="inlineStr">
        <is>
          <t>derived — MK-PF-F-005</t>
        </is>
      </c>
      <c r="D54" s="9" t="inlineStr">
        <is>
          <t>DERIVED</t>
        </is>
      </c>
      <c r="E54" s="3" t="inlineStr"/>
      <c r="F54" s="3" t="inlineStr"/>
    </row>
    <row r="55">
      <c r="A55" s="3" t="inlineStr">
        <is>
          <t>Crypto</t>
        </is>
      </c>
      <c r="B55" s="3" t="inlineStr">
        <is>
          <t>Purchase Date</t>
        </is>
      </c>
      <c r="C55" s="3" t="inlineStr">
        <is>
          <t>MK-XS-I-007</t>
        </is>
      </c>
      <c r="D55" s="6" t="inlineStr">
        <is>
          <t>CAPTURED</t>
        </is>
      </c>
      <c r="E55" s="3" t="inlineStr"/>
      <c r="F55" s="3" t="inlineStr"/>
    </row>
    <row r="56">
      <c r="A56" s="3" t="inlineStr">
        <is>
          <t>Crypto</t>
        </is>
      </c>
      <c r="B56" s="3" t="inlineStr">
        <is>
          <t>Dividend</t>
        </is>
      </c>
      <c r="C56" s="3" t="inlineStr">
        <is>
          <t>n/a for a coin</t>
        </is>
      </c>
      <c r="D56" s="3" t="inlineStr">
        <is>
          <t>N/A</t>
        </is>
      </c>
      <c r="E56" s="3" t="inlineStr"/>
      <c r="F56" s="3" t="inlineStr"/>
    </row>
    <row r="57">
      <c r="A57" s="3" t="inlineStr">
        <is>
          <t>Crypto</t>
        </is>
      </c>
      <c r="B57" s="3" t="inlineStr">
        <is>
          <t>Divident Frequency</t>
        </is>
      </c>
      <c r="C57" s="3" t="inlineStr">
        <is>
          <t>n/a</t>
        </is>
      </c>
      <c r="D57" s="3" t="inlineStr">
        <is>
          <t>N/A</t>
        </is>
      </c>
      <c r="E57" s="3" t="inlineStr"/>
      <c r="F57" s="3" t="inlineStr"/>
    </row>
    <row r="58">
      <c r="A58" s="3" t="inlineStr">
        <is>
          <t>Crypto</t>
        </is>
      </c>
      <c r="B58" s="3" t="inlineStr">
        <is>
          <t>Annual Income</t>
        </is>
      </c>
      <c r="C58" s="3" t="inlineStr">
        <is>
          <t>n/a</t>
        </is>
      </c>
      <c r="D58" s="3" t="inlineStr">
        <is>
          <t>N/A</t>
        </is>
      </c>
      <c r="E58" s="3" t="inlineStr"/>
      <c r="F58" s="3" t="inlineStr"/>
    </row>
    <row r="59">
      <c r="A59" s="3" t="inlineStr">
        <is>
          <t>Options</t>
        </is>
      </c>
      <c r="B59" s="3" t="inlineStr">
        <is>
          <t>Holding Institution</t>
        </is>
      </c>
      <c r="C59" s="3" t="inlineStr">
        <is>
          <t>MK-XS-I-003</t>
        </is>
      </c>
      <c r="D59" s="6" t="inlineStr">
        <is>
          <t>CAPTURED</t>
        </is>
      </c>
      <c r="E59" s="3" t="inlineStr"/>
      <c r="F59" s="3" t="inlineStr"/>
    </row>
    <row r="60">
      <c r="A60" s="3" t="inlineStr">
        <is>
          <t>Options</t>
        </is>
      </c>
      <c r="B60" s="3" t="inlineStr">
        <is>
          <t>Holding Account Number</t>
        </is>
      </c>
      <c r="C60" s="3" t="inlineStr">
        <is>
          <t>—</t>
        </is>
      </c>
      <c r="D60" s="8" t="inlineStr">
        <is>
          <t>NOT CAPTURED</t>
        </is>
      </c>
      <c r="E60" s="3" t="inlineStr">
        <is>
          <t>new</t>
        </is>
      </c>
      <c r="F60" s="3" t="inlineStr"/>
    </row>
    <row r="61">
      <c r="A61" s="3" t="inlineStr">
        <is>
          <t>Options</t>
        </is>
      </c>
      <c r="B61" s="3" t="inlineStr">
        <is>
          <t>Underlying Stock</t>
        </is>
      </c>
      <c r="C61" s="3" t="inlineStr">
        <is>
          <t>MK-XS-I-034 option positions</t>
        </is>
      </c>
      <c r="D61" s="6" t="inlineStr">
        <is>
          <t>CAPTURED</t>
        </is>
      </c>
      <c r="E61" s="3" t="inlineStr"/>
      <c r="F61" s="3" t="inlineStr"/>
    </row>
    <row r="62">
      <c r="A62" s="3" t="inlineStr">
        <is>
          <t>Options</t>
        </is>
      </c>
      <c r="B62" s="3" t="inlineStr">
        <is>
          <t>Strike Price</t>
        </is>
      </c>
      <c r="C62" s="3" t="inlineStr">
        <is>
          <t>MK-XS-I-034</t>
        </is>
      </c>
      <c r="D62" s="6" t="inlineStr">
        <is>
          <t>CAPTURED</t>
        </is>
      </c>
      <c r="E62" s="3" t="inlineStr"/>
      <c r="F62" s="3" t="inlineStr"/>
    </row>
    <row r="63">
      <c r="A63" s="3" t="inlineStr">
        <is>
          <t>Options</t>
        </is>
      </c>
      <c r="B63" s="3" t="inlineStr">
        <is>
          <t>Expiration Date</t>
        </is>
      </c>
      <c r="C63" s="3" t="inlineStr">
        <is>
          <t>MK-XS-I-034</t>
        </is>
      </c>
      <c r="D63" s="6" t="inlineStr">
        <is>
          <t>CAPTURED</t>
        </is>
      </c>
      <c r="E63" s="3" t="inlineStr"/>
      <c r="F63" s="3" t="inlineStr"/>
    </row>
    <row r="64">
      <c r="A64" s="3" t="inlineStr">
        <is>
          <t>Options</t>
        </is>
      </c>
      <c r="B64" s="3" t="inlineStr">
        <is>
          <t>Option Type</t>
        </is>
      </c>
      <c r="C64" s="3" t="inlineStr">
        <is>
          <t>MK-XS-I-034 (put or call)</t>
        </is>
      </c>
      <c r="D64" s="6" t="inlineStr">
        <is>
          <t>CAPTURED</t>
        </is>
      </c>
      <c r="E64" s="3" t="inlineStr"/>
      <c r="F64" s="3" t="inlineStr"/>
    </row>
    <row r="65">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c r="A66" s="3" t="inlineStr">
        <is>
          <t>Options</t>
        </is>
      </c>
      <c r="B66" s="3" t="inlineStr">
        <is>
          <t>Cost Price</t>
        </is>
      </c>
      <c r="C66" s="3" t="inlineStr">
        <is>
          <t>MK-XS-I-007</t>
        </is>
      </c>
      <c r="D66" s="6" t="inlineStr">
        <is>
          <t>CAPTURED</t>
        </is>
      </c>
      <c r="E66" s="3" t="inlineStr"/>
      <c r="F66" s="3" t="inlineStr"/>
    </row>
    <row r="67">
      <c r="A67" s="3" t="inlineStr">
        <is>
          <t>Options</t>
        </is>
      </c>
      <c r="B67" s="3" t="inlineStr">
        <is>
          <t>Current Price</t>
        </is>
      </c>
      <c r="C67" s="3" t="inlineStr">
        <is>
          <t>MK-XS-I-005</t>
        </is>
      </c>
      <c r="D67" s="6" t="inlineStr">
        <is>
          <t>CAPTURED</t>
        </is>
      </c>
      <c r="E67" s="3" t="inlineStr"/>
      <c r="F67" s="3" t="inlineStr"/>
    </row>
    <row r="68">
      <c r="A68" s="3" t="inlineStr">
        <is>
          <t>Options</t>
        </is>
      </c>
      <c r="B68" s="3" t="inlineStr">
        <is>
          <t>Current Value</t>
        </is>
      </c>
      <c r="C68" s="3" t="inlineStr">
        <is>
          <t>derived — MK-PF-F-004, no contract multiplier today</t>
        </is>
      </c>
      <c r="D68" s="9" t="inlineStr">
        <is>
          <t>DERIVED — wrong until Q42</t>
        </is>
      </c>
      <c r="E68" s="3" t="inlineStr">
        <is>
          <t>Q42 (2026-09-08)</t>
        </is>
      </c>
      <c r="F68" s="3" t="inlineStr"/>
    </row>
    <row r="69">
      <c r="A69" s="3" t="inlineStr">
        <is>
          <t>Options</t>
        </is>
      </c>
      <c r="B69" s="3" t="inlineStr">
        <is>
          <t>Total Cost</t>
        </is>
      </c>
      <c r="C69" s="3" t="inlineStr">
        <is>
          <t>derived</t>
        </is>
      </c>
      <c r="D69" s="9" t="inlineStr">
        <is>
          <t>DERIVED</t>
        </is>
      </c>
      <c r="E69" s="3" t="inlineStr"/>
      <c r="F69" s="3" t="inlineStr"/>
    </row>
    <row r="70">
      <c r="A70" s="3" t="inlineStr">
        <is>
          <t>Options</t>
        </is>
      </c>
      <c r="B70" s="3" t="inlineStr">
        <is>
          <t>Unrealized Gain/Loss</t>
        </is>
      </c>
      <c r="C70" s="3" t="inlineStr">
        <is>
          <t>derived</t>
        </is>
      </c>
      <c r="D70" s="9" t="inlineStr">
        <is>
          <t>DERIVED</t>
        </is>
      </c>
      <c r="E70" s="3" t="inlineStr"/>
      <c r="F70" s="3" t="inlineStr"/>
    </row>
    <row r="71">
      <c r="A71" s="3" t="inlineStr">
        <is>
          <t>Options</t>
        </is>
      </c>
      <c r="B71" s="3" t="inlineStr">
        <is>
          <t>Purchase Date</t>
        </is>
      </c>
      <c r="C71" s="3" t="inlineStr">
        <is>
          <t>MK-XS-I-007</t>
        </is>
      </c>
      <c r="D71" s="6" t="inlineStr">
        <is>
          <t>CAPTURED</t>
        </is>
      </c>
      <c r="E71" s="3" t="inlineStr"/>
      <c r="F71" s="3" t="inlineStr"/>
    </row>
    <row r="72">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N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MK-XS-M-001</t>
        </is>
      </c>
      <c r="B2" t="inlineStr">
        <is>
          <t>Home · Networth</t>
        </is>
      </c>
      <c r="C2" t="inlineStr">
        <is>
          <t>NA</t>
        </is>
      </c>
      <c r="D2" t="inlineStr">
        <is>
          <t>Net worth · YOUR NET WORTH</t>
        </is>
      </c>
      <c r="E2" t="inlineStr">
        <is>
          <t>nw.net_worth</t>
        </is>
      </c>
      <c r="F2" t="inlineStr">
        <is>
          <t>buildNetWorth</t>
        </is>
      </c>
      <c r="G2" t="inlineStr">
        <is>
          <t>MK-NW-F-065</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1. everything owned → grossAssets  [MK-XS-I-001]
2. everything owed → grossDebt  [MK-XS-I-014]</t>
        </is>
      </c>
      <c r="K2" t="inlineStr">
        <is>
          <t>US dollars · held to the cent · shown as whole dollars  [derived by rule — confirm]</t>
        </is>
      </c>
      <c r="L2" s="3" t="inlineStr">
        <is>
          <t>$0, and under it the one line "Nothing entered yet. Add your accounts ›" (mock approved 2026-09-12). A real zero that was entered shows a plain $0 with no line.</t>
        </is>
      </c>
      <c r="M2" t="inlineStr">
        <is>
          <t>One figure per person — or per household when two people share one record  [derived by rule — confirm]</t>
        </is>
      </c>
      <c r="N2" t="inlineStr">
        <is>
          <t>As of today, from the latest figures held  [derived by rule — confirm]</t>
        </is>
      </c>
      <c r="O2" t="inlineStr">
        <is>
          <t>MK-XS-F-175 (uid) → NOT DECLARED — the code does not say what it gives back</t>
        </is>
      </c>
      <c r="P2"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Q2"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25 more, on the functions tab</t>
        </is>
      </c>
      <c r="R2" t="inlineStr"/>
      <c r="S2" t="inlineStr"/>
      <c r="T2" t="inlineStr">
        <is>
          <t>[Founder] Assets minus debts, computed each time and never stored as a third number that could disagree with its own halves. A genuine negative is shown, never floored at zero.</t>
        </is>
      </c>
      <c r="U2" t="inlineStr">
        <is>
          <t>THE SURVIVING IDENTIFIER for this figure. Folded in: MK-NW-M-016. Net worth. "Net worth so far" during setup is the same figure as the headline, mid-way through entry.</t>
        </is>
      </c>
      <c r="V2"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2"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2" t="inlineStr"/>
      <c r="Y2" t="inlineStr">
        <is>
          <t>NOT DETERMINED</t>
        </is>
      </c>
      <c r="Z2" t="inlineStr">
        <is>
          <t>VERIFIED 2026-08-22</t>
        </is>
      </c>
      <c r="AA2" t="inlineStr">
        <is>
          <t>1. A23 — MK-ST-F-055 (round2) is filed under "1 · ACTION — does something and displays nothing; it cannot put a wrong number in front of a person", while it rounds net worth.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s="3" t="inlineStr">
        <is>
          <t>A23 — FIXED 2026-09-08
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2" t="inlineStr">
        <is>
          <t>ACTIVE</t>
        </is>
      </c>
      <c r="AG2" t="inlineStr">
        <is>
          <t>2026-08-27</t>
        </is>
      </c>
      <c r="AJ2"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MK-ST-F-073,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2" s="3" t="inlineStr">
        <is>
          <t>(the claim now stands in 'Inputs it needs' until the row is approved)</t>
        </is>
      </c>
      <c r="AL2" t="inlineStr">
        <is>
          <t>Not sure what you want me to approve?</t>
        </is>
      </c>
      <c r="AN2" s="7" t="inlineStr">
        <is>
          <t>CODED, NOT TESTED (Net-worth flow diagram)</t>
        </is>
      </c>
    </row>
    <row r="3">
      <c r="A3" t="inlineStr">
        <is>
          <t>MK-XS-M-002</t>
        </is>
      </c>
      <c r="B3" t="inlineStr">
        <is>
          <t>Home · Plan · Cashflow</t>
        </is>
      </c>
      <c r="C3" t="inlineStr">
        <is>
          <t>NA</t>
        </is>
      </c>
      <c r="D3" t="inlineStr">
        <is>
          <t>Will my money last / Is my money lasting (odds)</t>
        </is>
      </c>
      <c r="E3" t="inlineStr">
        <is>
          <t>wil.chance</t>
        </is>
      </c>
      <c r="F3" t="inlineStr">
        <is>
          <t>selectWillItLast</t>
        </is>
      </c>
      <c r="G3" s="3" t="inlineStr">
        <is>
          <t>1. MK-PL-F-068
2. MK-PL-F-050</t>
        </is>
      </c>
      <c r="H3" t="inlineStr">
        <is>
          <t>run 1,000 futures; in each year: balance ← balance × (1 + random return) − (expenses − guaranteed income);  odds = futures that never run out ÷ 1,000</t>
        </is>
      </c>
      <c r="I3"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3" t="inlineStr">
        <is>
          <t>1. everything → WILL_IT_LAST_INPUTS  [NOT AN INPUT — another function’s answer; see the dependency column]
2. is a range wanted → withBand  [NOT AN INPUT — a setting or a filter, not data anyone supplies]</t>
        </is>
      </c>
      <c r="K3" t="inlineStr">
        <is>
          <t>Percent · exact, no rounding — 1,000 futures give it to a tenth (founder, 2026-09-14)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MK-CF-F-132 (map) → NOT DECLARED — the code does not say what it gives back
8. MK-PL-F-074 (median) → number
9. MK-PL-F-072 (mulberry32) → NOT DECLARED — the code does not say what it gives back
10. MK-XS-F-122 (n) → number
11. MK-PL-F-073 (normal) → number
12. MK-PL-F-075 (pctOfSorted) → number
13. MK-ST-F-025 (rmdStartAgeFromAge) → number</t>
        </is>
      </c>
      <c r="P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Q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41 more, on the functions tab</t>
        </is>
      </c>
      <c r="R3" t="inlineStr"/>
      <c r="S3" t="inlineStr">
        <is>
          <t>The odds shown on Home, Plan and Cash flow are rounded to the nearest 5, while the compare tables still show them exact. One figure, two precisions — founder's open question.</t>
        </is>
      </c>
      <c r="T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 t="inlineStr"/>
      <c r="V3" s="11" t="inlineStr">
        <is>
          <t>Q19 — The odds are rounded to the nearest 5 on screen but shown exact in the compare tables. Round everywhere, or show exact everywhere?</t>
        </is>
      </c>
      <c r="W3" s="11" t="inlineStr">
        <is>
          <t>show exact everywhere</t>
        </is>
      </c>
      <c r="X3" t="inlineStr"/>
      <c r="Y3" t="inlineStr">
        <is>
          <t>NOT DETERMINED</t>
        </is>
      </c>
      <c r="Z3" t="inlineStr">
        <is>
          <t>VERIFIED 2026-08-22</t>
        </is>
      </c>
      <c r="AA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 t="inlineStr">
        <is>
          <t>HAS A FUNCTION — traceable from the screen to the code.</t>
        </is>
      </c>
      <c r="AD3" t="inlineStr"/>
      <c r="AE3"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3" t="inlineStr">
        <is>
          <t>ACTIVE</t>
        </is>
      </c>
      <c r="AG3" t="inlineStr">
        <is>
          <t>2026-09-14</t>
        </is>
      </c>
      <c r="AJ3"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MK-PL-F-068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WAITING ON YOU — question Q19 · TESTED, NOT VERIFIED (C2, G17, Odds — exact, no rounding)</t>
        </is>
      </c>
    </row>
    <row r="4">
      <c r="A4" t="inlineStr">
        <is>
          <t>MK-XS-M-003</t>
        </is>
      </c>
      <c r="B4" t="inlineStr">
        <is>
          <t>Home · Performance · Networth</t>
        </is>
      </c>
      <c r="C4" t="inlineStr">
        <is>
          <t>NA</t>
        </is>
      </c>
      <c r="D4" t="inlineStr">
        <is>
          <t>YOUR INVESTMENTS · 📈 INVESTMENTS</t>
        </is>
      </c>
      <c r="E4" t="inlineStr">
        <is>
          <t>investTotal</t>
        </is>
      </c>
      <c r="F4" t="inlineStr">
        <is>
          <t>investmentsTotal</t>
        </is>
      </c>
      <c r="G4" t="inlineStr">
        <is>
          <t>MK-NW-F-021</t>
        </is>
      </c>
      <c r="H4" s="3" t="inlineStr">
        <is>
          <t>investments = Σ(balance of each account whose class ∈ {Stocks / Funds, Bonds &amp; CDs, Alternatives, Unclassified})</t>
        </is>
      </c>
      <c r="I4" t="inlineStr">
        <is>
          <t>Add up the balances of every account whose class is Stocks / Funds, Bonds &amp; CDs, Alternatives or Unclassified. Excludes cash, the house and the car.</t>
        </is>
      </c>
      <c r="J4" t="inlineStr">
        <is>
          <t>1. each account's class → assetClassOf  [MK-XS-I-048]
2. each account's money → balance  [MK-XS-I-001]</t>
        </is>
      </c>
      <c r="K4" t="inlineStr">
        <is>
          <t>US dollars · held to the cent · shown as whole dollars  [derived by rule — confirm]</t>
        </is>
      </c>
      <c r="L4" s="3" t="inlineStr">
        <is>
          <t>$0, and under it the one line "Nothing entered yet. Add your accounts ›" (mock approved 2026-09-12). A real zero that was entered shows a plain $0 with no line.</t>
        </is>
      </c>
      <c r="M4" t="inlineStr">
        <is>
          <t>One figure per person — or per household when two people share one record  [derived by rule — confirm]</t>
        </is>
      </c>
      <c r="N4" t="inlineStr">
        <is>
          <t>As of today, from the latest figures held  [derived by rule — confirm]</t>
        </is>
      </c>
      <c r="O4" t="inlineStr">
        <is>
          <t>1. MK-NW-F-011 (assetClassOf) → AssetClass
2. MK-NW-F-066 (sumWhere) → number</t>
        </is>
      </c>
      <c r="P4"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Q4" t="inlineStr">
        <is>
          <t>MK-NW-F-066 — If balance is missing it counts as zero, so nothing recorded and a real zero look the same.</t>
        </is>
      </c>
      <c r="R4" t="inlineStr"/>
      <c r="S4" t="inlineStr"/>
      <c r="T4" t="inlineStr">
        <is>
          <t>[The person] The retirement age in their plan.</t>
        </is>
      </c>
      <c r="U4" t="inlineStr"/>
      <c r="V4" t="inlineStr"/>
      <c r="W4" t="inlineStr"/>
      <c r="X4" t="inlineStr"/>
      <c r="Y4" t="inlineStr">
        <is>
          <t>NOT DETERMINED</t>
        </is>
      </c>
      <c r="Z4" t="inlineStr">
        <is>
          <t>VERIFIED 2026-08-22</t>
        </is>
      </c>
      <c r="AA4" t="inlineStr">
        <is>
          <t>1. A29 — The maths names the classes {brokerage, retirement, other investments}. The words name Stocks / Funds, Bonds &amp; CDs, Alternatives and Unclassified. Different lists, and Unclassified appearing in one of them decides whether an unclassified account is counted as an investment.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B07 [CLASH] — Three different lists of what counts as an investment for one figure. The arithmetic says {brokerage, retirement, other investments}. The code (investmentsTotal) says {stocks_etf, bonds, alternatives, MIXED}. The plain-English column says {Stocks / Funds, Bonds &amp; CDs, Alternatives, UNCLASSIFIED}. Whether an unclassified account is counted as an investment depends on which of the three a person reads. Also finding A29.</t>
        </is>
      </c>
      <c r="AC4" t="inlineStr">
        <is>
          <t>HAS A FUNCTION — traceable from the screen to the code.</t>
        </is>
      </c>
      <c r="AD4" t="inlineStr"/>
      <c r="AE4" s="3" t="inlineStr">
        <is>
          <t>A29 — FIXED 2026-09-12
B07 — FIXED 2026-09-12
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4" t="inlineStr">
        <is>
          <t>ACTIVE</t>
        </is>
      </c>
      <c r="AG4" t="inlineStr">
        <is>
          <t>2026-08-27</t>
        </is>
      </c>
      <c r="AJ4" s="3" t="inlineStr">
        <is>
          <t>1. MK-XS-I-001 account balance — read by MK-NW-F-066,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MK-XS-I-048 the person’s own asset-class answer — read by MK-NW-F-011, MK-ST-F-027
8. MK-XS-I-055 the wrapper an account sits in — ISA, 401(k), IRA and the rest — read by MK-NW-F-011
[the code's record, this build — evidence for the ruling, not the row's statement: it cannot see inputs handed in as arguments, and it counts every branch below the producer]</t>
        </is>
      </c>
      <c r="AK4" s="3" t="inlineStr">
        <is>
          <t>(the claim now stands in 'Inputs it needs' until the row is approved)</t>
        </is>
      </c>
      <c r="AN4" s="6" t="inlineStr">
        <is>
          <t>TESTED, NOT VERIFIED (C3)</t>
        </is>
      </c>
    </row>
    <row r="5">
      <c r="A5" t="inlineStr">
        <is>
          <t>MK-XS-M-004</t>
        </is>
      </c>
      <c r="B5" t="inlineStr">
        <is>
          <t>Home · Performance</t>
        </is>
      </c>
      <c r="C5" t="inlineStr">
        <is>
          <t>NA</t>
        </is>
      </c>
      <c r="D5" t="inlineStr">
        <is>
          <t>▲ up/▼ down $X (Y%) this month · Return · YOUR RETURN</t>
        </is>
      </c>
      <c r="E5" t="inlineStr">
        <is>
          <t>youReturn / shownReturn</t>
        </is>
      </c>
      <c r="F5" t="inlineStr">
        <is>
          <t>portfolioPeriodReturn</t>
        </is>
      </c>
      <c r="G5" t="inlineStr">
        <is>
          <t>MK-PF-F-019</t>
        </is>
      </c>
      <c r="H5" s="3" t="inlineStr">
        <is>
          <t>return = Σ over usable holdings of (period return × market value) ÷ Σ over usable holdings of (market value)   — usable = holdings with a period return and a market value &gt; 0; rounded to 4 decimal places; nothing when the usable total is 0</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1. each holding's return → rows[].periodReturn  [NOT AN INPUT — another function’s answer; see the dependency column]
2. its value → rows[].marketValue  [NOT AN INPUT — another function’s answer; see the dependency column]</t>
        </is>
      </c>
      <c r="K5" t="inlineStr">
        <is>
          <t>Percent · one decimal shown  [derived by rule — confirm]</t>
        </is>
      </c>
      <c r="L5" s="3" t="inlineStr">
        <is>
          <t>No usable return (no price history, or no holding with a value) → the return line is not shown; never 0%. A real 0% return shows 0%.</t>
        </is>
      </c>
      <c r="M5" t="inlineStr">
        <is>
          <t>One figure per month  [derived by rule — confirm]</t>
        </is>
      </c>
      <c r="N5" t="inlineStr">
        <is>
          <t>This calendar month, to today  [derived by rule — confirm]</t>
        </is>
      </c>
      <c r="O5" t="inlineStr">
        <is>
          <t>MK-PF-F-004 (marketValue) → number</t>
        </is>
      </c>
      <c r="P5" t="inlineStr">
        <is>
          <t>1. MK-PF-F-031 contractMultiplier → MK-PF-F-004 marketValue → MK-PF-F-019 portfolioPeriodReturn
2. MK-PF-F-001 totalShares → MK-PF-F-004 marketValue → MK-PF-F-019 portfolioPeriodReturn</t>
        </is>
      </c>
      <c r="Q5" t="inlineStr">
        <is>
          <t>1. MK-PF-F-019 — Second verification G18, 2026-09-08: this is the value-weighted average of holding returns, not a Dietz return.
2. MK-PF-F-001 — If shares is missing it counts as zero, so nothing recorded and a real zero look the same.</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A27 — The maths column states Modified Dietz — (ending - beginning - net money in) over (beginning + flows weighted by when they arrived). The words column states something else entirely — Sum(return x value) / Sum(value), a value-weighted average of holding returns. Two different formulas for one figure, and the second is not a money-weighted return whatever the words call it.
2. A14 — This file states three different formulas for what it calls a return: Sum(return x value) / Sum(value), Modified Dietz, and earned / average value held. Three methods give three answers. One of them has to be the definition.
3.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B06 [CLASH] — Two different return methods. The file states Modified Dietz — (ending − beginning − net money in) ÷ (beginning + flows weighted by when they arrived). The code (portfolioPeriodReturn) is Σ(each holding's return × its value) ÷ Σ(value), a value-weighted AVERAGE of holding returns. Different methods give different answers, and neither is what the other says. Also finding A27.</t>
        </is>
      </c>
      <c r="AC5" t="inlineStr">
        <is>
          <t>HAS A FUNCTION — traceable from the screen to the code.</t>
        </is>
      </c>
      <c r="AD5" t="inlineStr"/>
      <c r="AE5" s="3" t="inlineStr">
        <is>
          <t>A27 — FIXED 2026-09-08
A14 — OPEN — YOUR DECISION 2026-09-12
A12 — OPEN — YOUR DECISION 2026-09-12
B06 — OPEN — YOUR DECISION 2026-09-12
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5" t="inlineStr">
        <is>
          <t>ACTIVE</t>
        </is>
      </c>
      <c r="AG5" t="inlineStr">
        <is>
          <t>2026-08-27</t>
        </is>
      </c>
      <c r="AJ5"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5" s="3" t="inlineStr">
        <is>
          <t>(the claim now stands in 'Inputs it needs' until the row is approved)</t>
        </is>
      </c>
      <c r="AN5" s="6" t="inlineStr">
        <is>
          <t>TESTED, NOT VERIFIED (C1, G18) · OPEN FINDING A12, A14, B06</t>
        </is>
      </c>
    </row>
    <row r="6">
      <c r="A6" t="inlineStr">
        <is>
          <t>MK-XS-M-005</t>
        </is>
      </c>
      <c r="B6" t="inlineStr">
        <is>
          <t>Home · Cashflow</t>
        </is>
      </c>
      <c r="C6" t="inlineStr">
        <is>
          <t>NA</t>
        </is>
      </c>
      <c r="D6" t="inlineStr">
        <is>
          <t>Spent so far · Spent $X of $Y left to spend this month</t>
        </is>
      </c>
      <c r="E6" t="inlineStr">
        <is>
          <t>bva.spent_total</t>
        </is>
      </c>
      <c r="F6" t="inlineStr">
        <is>
          <t>budgetVsActual</t>
        </is>
      </c>
      <c r="G6" t="inlineStr">
        <is>
          <t>MK-CF-F-014</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function</t>
        </is>
      </c>
      <c r="K6" t="inlineStr">
        <is>
          <t>US dollars · held to the cent · shown as whole dollars  [derived by rule — confirm]</t>
        </is>
      </c>
      <c r="L6" s="3" t="inlineStr">
        <is>
          <t>$0, and under it the one line "Nothing entered yet. Log your expenses ›" (mock approved 2026-09-12). A real zero that was entered shows a plain $0 with no line.</t>
        </is>
      </c>
      <c r="M6" t="inlineStr">
        <is>
          <t>One figure per month  [derived by rule — confirm]</t>
        </is>
      </c>
      <c r="N6" t="inlineStr">
        <is>
          <t>This calendar month, to today  [derived by rule — confirm]</t>
        </is>
      </c>
      <c r="O6" t="inlineStr">
        <is>
          <t>1. MK-CF-F-132 (map) → NOT DECLARED — the code does not say what it gives back
2. MK-CF-F-004 (spendBuckets) → NOT DECLARED — the code does not say what it gives back
3. MK-ST-F-052 (toNum) → number
4. MK-CF-F-191 (ym) → NOT DECLARED — the code does not say what it gives back</t>
        </is>
      </c>
      <c r="P6"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Q6"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17 more, on the functions tab</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6" t="inlineStr">
        <is>
          <t>HAS A FUNCTION — traceable from the screen to the code.</t>
        </is>
      </c>
      <c r="AD6" t="inlineStr">
        <is>
          <t>B26 — This month · Expenses — the pace bar measures against nothing when no categories are set</t>
        </is>
      </c>
      <c r="AE6"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6" t="inlineStr">
        <is>
          <t>ACTIVE</t>
        </is>
      </c>
      <c r="AG6" t="inlineStr">
        <is>
          <t>2026-08-27</t>
        </is>
      </c>
      <c r="AJ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MK-CF-F-014,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MK-CF-F-014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 s="3" t="inlineStr">
        <is>
          <t>(the claim now stands in 'Inputs it needs' until the row is approved)</t>
        </is>
      </c>
      <c r="AN6" s="8" t="inlineStr">
        <is>
          <t>OPEN FINDING B26</t>
        </is>
      </c>
    </row>
    <row r="7">
      <c r="A7" t="inlineStr">
        <is>
          <t>MK-XS-M-006</t>
        </is>
      </c>
      <c r="B7" t="inlineStr">
        <is>
          <t>Home · Cashflow</t>
        </is>
      </c>
      <c r="C7" t="inlineStr">
        <is>
          <t>NA</t>
        </is>
      </c>
      <c r="D7" t="inlineStr">
        <is>
          <t>Income · In (received) · In (take-home)</t>
        </is>
      </c>
      <c r="E7" t="inlineStr">
        <is>
          <t>thisMonthNet</t>
        </is>
      </c>
      <c r="F7" t="inlineStr">
        <is>
          <t>incomeMonthlyGrid</t>
        </is>
      </c>
      <c r="G7" t="inlineStr">
        <is>
          <t>MK-CF-F-092</t>
        </is>
      </c>
      <c r="H7" s="3" t="inlineStr">
        <is>
          <t>money in month m = salary(m) + tips(m) + self-employment(m) + rental after costs(m) + investment income(m) + other income(m) + bonus(m) + signing bonus(m) + equity vesting(m) + benefits(m) + family support(m)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function</t>
        </is>
      </c>
      <c r="K7" t="inlineStr">
        <is>
          <t>US dollars · held to the cent · shown as whole dollars  [derived by rule — confirm]</t>
        </is>
      </c>
      <c r="L7" s="3" t="inlineStr">
        <is>
          <t>$0, and under it the one line "Nothing entered yet. Add your income ›" (mock approved 2026-09-12). A real zero that was entered shows a plain $0 with no line.</t>
        </is>
      </c>
      <c r="M7" t="inlineStr">
        <is>
          <t>One figure per person — or per household when two people share one record  [derived by rule — confirm]</t>
        </is>
      </c>
      <c r="N7" t="inlineStr">
        <is>
          <t>This calendar month, to today  [derived by rule — confirm]</t>
        </is>
      </c>
      <c r="O7"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MK-CF-F-132 (map) → NOT DECLARED — the code does not say what it gives back
7. MK-CF-F-087 (monthlyTaxRates) → number[]
8. MK-CF-F-073 (otherIncomeMonth) → number
9. MK-CF-F-181 (rateInForce) → RateInForce
10. MK-CF-F-068 (rentalNetAnnual) → number
11. MK-CF-F-066 (rsuAnnual) → number
12. MK-CF-F-060 (salaryGrossByMonth) → number[]
13. MK-CF-F-077 (scholarshipByCalendarMonth) → number[]
14. MK-CF-F-088 (taxableByCalendarMonth) → number[]
15. MK-ST-F-052 (toNum) → number
16. MK-PL-F-012 (waterfall) → NOT DECLARED — the code does not say what it gives back</t>
        </is>
      </c>
      <c r="P7"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MK-CF-F-089 — Uses today's date from the device clock, so the answer changes by itself overnight.
15. MK-CF-F-098 — Never lets g fall below 0.
16. MK-CF-F-098 — Never lets state rate fall below 0.
17. MK-CF-F-180 — Uses a built-in total of 0.
18. MK-CF-F-082 — Uses today's date from the device clock, so the answer changes by itself overnight.
19. MK-CF-F-084 — Turns a monthly figure into a year by multiplying by twelve.
20. MK-CF-F-084 — Uses today's date from the device clock, so the answer changes by itself overnight.
21. MK-CF-F-063 — Uses today's date from the device clock, so the answer changes by itself overnight.
22. MK-CF-F-176 — If r[i] is missing it counts as zero, so nothing recorded and a real zero look the same.
23. MK-CF-F-177 — Uses today's date from the device clock, so the answer changes by itself overnight.
24. MK-CF-F-101 — Never lets state rate fall below 0.
25. MK-CF-F-101 — The 2026 bands per filing status are the Reference tab's statutory table (IRS Rev. Proc. 2025-32 §4.01), checked by statutory_constants.test.ts.
… and 13 more, on the functions tab</t>
        </is>
      </c>
      <c r="R7" t="inlineStr"/>
      <c r="S7" t="inlineStr"/>
      <c r="T7" t="inlineStr">
        <is>
          <t>NOT DETERMINED — no assumption recorded for this figure yet.</t>
        </is>
      </c>
      <c r="U7" t="inlineStr">
        <is>
          <t>THE SURVIVING IDENTIFIER for this figure. Folded in: MK-CF-M-018. Money in this month. "In (take-home)" on Cash flow is the same figure as "Income" on Home.</t>
        </is>
      </c>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7" t="inlineStr">
        <is>
          <t>HAS A FUNCTION — traceable from the screen to the code.</t>
        </is>
      </c>
      <c r="AD7" t="inlineStr">
        <is>
          <t>B27 — Base salary · This month — take-home shown up to $1,600/mo adrift from what was typed
B34 — This month · Expenses — dividends counted as spendable, so surplus reads $250/mo too high</t>
        </is>
      </c>
      <c r="AE7"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7" t="inlineStr">
        <is>
          <t>ACTIVE</t>
        </is>
      </c>
      <c r="AG7" t="inlineStr">
        <is>
          <t>2026-08-27</t>
        </is>
      </c>
      <c r="AJ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MK-CF-F-088, MK-CF-F-092, MK-CF-F-181
18. MK-XS-I-055 the wrapper an account sits in — ISA, 401(k), IRA and the rest — read by MK-CF-F-075
19. MK-XS-I-059 the month a bonus lands — read by MK-CF-F-088, MK-CF-F-092
20. MK-XS-I-060 how a person is paid — weekly, fortnightly, monthly — read by MK-CF-F-130
[the code's record, this build — evidence for the ruling, not the row's statement: it cannot see inputs handed in as arguments, and it counts every branch below the producer]</t>
        </is>
      </c>
      <c r="AK7" s="3" t="inlineStr">
        <is>
          <t>(the claim now stands in 'Inputs it needs' until the row is approved)</t>
        </is>
      </c>
      <c r="AN7" s="8" t="inlineStr">
        <is>
          <t>OPEN FINDING B34 · CODED, NOT TESTED (finding B25, B27 names no test)</t>
        </is>
      </c>
    </row>
    <row r="8">
      <c r="A8" t="inlineStr">
        <is>
          <t>MK-XS-M-007</t>
        </is>
      </c>
      <c r="B8" t="inlineStr">
        <is>
          <t>Home · Cashflow</t>
        </is>
      </c>
      <c r="C8" t="inlineStr">
        <is>
          <t>NA</t>
        </is>
      </c>
      <c r="D8" t="inlineStr">
        <is>
          <t>Left / Over · left to spend this month</t>
        </is>
      </c>
      <c r="E8" t="inlineStr">
        <is>
          <t>left</t>
        </is>
      </c>
      <c r="F8" t="inlineStr">
        <is>
          <t>Worked out on the screen itself — no function behind it</t>
        </is>
      </c>
      <c r="G8" t="inlineStr"/>
      <c r="H8" t="inlineStr">
        <is>
          <t>left to spend = money in this month − spent so far</t>
        </is>
      </c>
      <c r="I8" t="inlineStr">
        <is>
          <t>Worked out on the screen itself, with no function behind it — a place a second definition can appear.</t>
        </is>
      </c>
      <c r="J8" t="inlineStr">
        <is>
          <t>NOT DETERMINED — no input list on record for this function</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 function on record — nothing to chain</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8" t="inlineStr"/>
      <c r="AE8" t="inlineStr">
        <is>
          <t>No finding on this row. That is not a statement that the row is right — only that nothing has been written against it.</t>
        </is>
      </c>
      <c r="AF8" t="inlineStr">
        <is>
          <t>ACTIVE</t>
        </is>
      </c>
      <c r="AG8" t="inlineStr">
        <is>
          <t>2026-08-27</t>
        </is>
      </c>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N8" s="6" t="inlineStr">
        <is>
          <t>TESTED, NOT VERIFIED (G12)</t>
        </is>
      </c>
    </row>
  </sheetData>
  <autoFilter ref="A1:AN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N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MK-HM-M-001</t>
        </is>
      </c>
      <c r="B2" t="inlineStr">
        <is>
          <t>Home</t>
        </is>
      </c>
      <c r="C2" t="inlineStr">
        <is>
          <t>NA</t>
        </is>
      </c>
      <c r="D2" t="inlineStr">
        <is>
          <t>prices updated &lt;when&gt;</t>
        </is>
      </c>
      <c r="E2" t="inlineStr">
        <is>
          <t>freshness</t>
        </is>
      </c>
      <c r="F2" t="inlineStr">
        <is>
          <t>priceFreshness</t>
        </is>
      </c>
      <c r="G2" t="inlineStr">
        <is>
          <t>MK-XS-F-082</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1. when it was fetched → fetchedAt  [MK-XS-I-006]
2.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None — it reads its inputs and answers</t>
        </is>
      </c>
      <c r="P2" t="inlineStr">
        <is>
          <t>No dependent function — it reads its inputs and answers</t>
        </is>
      </c>
      <c r="Q2" t="inlineStr">
        <is>
          <t>None found anywhere in this chain</t>
        </is>
      </c>
      <c r="R2" t="inlineStr">
        <is>
          <t>DECIDES the moment a price stops being current.</t>
        </is>
      </c>
      <c r="S2" t="inlineStr">
        <is>
          <t>Prices are never synced, so freshness is per device. Two devices can legitimately disagree about how current a value is.</t>
        </is>
      </c>
      <c r="T2" t="inlineStr">
        <is>
          <t>NOT DETERMINED — no assumption recorded for this figure yet.</t>
        </is>
      </c>
      <c r="U2" t="inlineStr"/>
      <c r="V2" s="11" t="inlineStr">
        <is>
          <t>Q22 — How old is too old for a price before the screen warns? Today it is a fixed limit in the code; you have never set it.</t>
        </is>
      </c>
      <c r="W2" s="11"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WAITING ON YOU — question Q22</t>
        </is>
      </c>
    </row>
    <row r="3">
      <c r="A3" t="inlineStr">
        <is>
          <t>MK-HM-M-002</t>
        </is>
      </c>
      <c r="B3" t="inlineStr">
        <is>
          <t>Home</t>
        </is>
      </c>
      <c r="C3" t="inlineStr">
        <is>
          <t>NA</t>
        </is>
      </c>
      <c r="D3" t="inlineStr">
        <is>
          <t>Your net worth just crossed X</t>
        </is>
      </c>
      <c r="E3" t="inlineStr">
        <is>
          <t>milestone</t>
        </is>
      </c>
      <c r="F3" t="inlineStr">
        <is>
          <t>milestoneCrossed</t>
        </is>
      </c>
      <c r="G3" t="inlineStr">
        <is>
          <t>MK-HM-F-004</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function</t>
        </is>
      </c>
      <c r="K3" t="inlineStr">
        <is>
          <t>US dollars · held to the cent · shown as whole dollars  [derived by rule — confirm]</t>
        </is>
      </c>
      <c r="L3" t="inlineStr">
        <is>
          <t>NOT DETERMINED — this function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MK-HM-F-003 (milestoneFloor) → number</t>
        </is>
      </c>
      <c r="P3" t="inlineStr">
        <is>
          <t>MK-HM-F-003 milestoneFloor → MK-HM-F-004 milestoneCrossed</t>
        </is>
      </c>
      <c r="Q3" t="inlineStr">
        <is>
          <t>MK-HM-F-003 — Uses a built-in floor of 0.</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2026-08-27</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MK-HM-M-003</t>
        </is>
      </c>
      <c r="B4" t="inlineStr">
        <is>
          <t>Home</t>
        </is>
      </c>
      <c r="C4" t="inlineStr">
        <is>
          <t>NA</t>
        </is>
      </c>
      <c r="D4" t="inlineStr">
        <is>
          <t>Needs your attention (1, 2, 3)</t>
        </is>
      </c>
      <c r="E4" t="inlineStr">
        <is>
          <t>topInsights</t>
        </is>
      </c>
      <c r="F4" t="inlineStr">
        <is>
          <t>NOT ON RECORD — no function is recorded for this figure</t>
        </is>
      </c>
      <c r="G4" t="inlineStr"/>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function</t>
        </is>
      </c>
      <c r="K4" t="inlineStr">
        <is>
          <t>US dollars · held to the cent · shown as whole dollars  [derived by rule — confirm]</t>
        </is>
      </c>
      <c r="L4" t="inlineStr">
        <is>
          <t>NOT DETERMINED — this function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is>
          <t>THE SAME FIGURE AS MK-MN-M-015 — The insights list. Home shows the top three of the same list the Insights screen shows in full.</t>
        </is>
      </c>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t="inlineStr">
        <is>
          <t>No finding on this row. That is not a statement that the row is right — only that nothing has been written against it.</t>
        </is>
      </c>
      <c r="AF4" t="inlineStr">
        <is>
          <t>SUPERSEDED BY MK-MN-M-015 — the same figure under another identifier. This number is retired and is never handed to anything else.</t>
        </is>
      </c>
      <c r="AG4" t="inlineStr">
        <is>
          <t>2026-08-27</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3" t="inlineStr">
        <is>
          <t>NOTHING OPEN</t>
        </is>
      </c>
    </row>
    <row r="5">
      <c r="A5" t="inlineStr">
        <is>
          <t>MK-HM-M-004</t>
        </is>
      </c>
      <c r="B5" t="inlineStr">
        <is>
          <t>Home</t>
        </is>
      </c>
      <c r="C5" t="inlineStr">
        <is>
          <t>NA</t>
        </is>
      </c>
      <c r="D5" t="inlineStr">
        <is>
          <t>&lt;n&gt;% spent · day n of m</t>
        </is>
      </c>
      <c r="E5" t="inlineStr">
        <is>
          <t>pctSpent</t>
        </is>
      </c>
      <c r="F5" t="inlineStr">
        <is>
          <t>Worked out on the screen itself — no function behind it</t>
        </is>
      </c>
      <c r="G5" t="inlineStr"/>
      <c r="H5" t="inlineStr">
        <is>
          <t>share spent = spent so far ÷ money in this month</t>
        </is>
      </c>
      <c r="I5" t="inlineStr">
        <is>
          <t>Worked out on the screen itself, with no function behind it — a place a second definition can appear.</t>
        </is>
      </c>
      <c r="J5" t="inlineStr">
        <is>
          <t>NOT DETERMINED — no input list on record for this function</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 function on record — nothing to chain</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t="inlineStr"/>
      <c r="AE5" t="inlineStr">
        <is>
          <t>No finding on this row. That is not a statement that the row is right — only that nothing has been written against it.</t>
        </is>
      </c>
      <c r="AF5" t="inlineStr">
        <is>
          <t>ACTIVE</t>
        </is>
      </c>
      <c r="AG5" t="inlineStr">
        <is>
          <t>2026-08-27</t>
        </is>
      </c>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N5" s="3" t="inlineStr">
        <is>
          <t>NOTHING OPEN</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c r="X6" t="inlineStr">
        <is>
          <t>NOT DETERMINED</t>
        </is>
      </c>
      <c r="Y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c r="X7" t="inlineStr">
        <is>
          <t>NOT DETERMINED</t>
        </is>
      </c>
      <c r="Y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c r="X8" t="inlineStr">
        <is>
          <t>NOT DETERMINED</t>
        </is>
      </c>
      <c r="Y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c r="X9" t="inlineStr">
        <is>
          <t>NOT DETERMINED</t>
        </is>
      </c>
      <c r="Y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c r="X10" t="inlineStr">
        <is>
          <t>NOT DETERMINED</t>
        </is>
      </c>
      <c r="Y10" t="inlineStr">
        <is>
          <t>READ 2026-08-22 — the same screen as /invest, reached by a second route</t>
        </is>
      </c>
    </row>
  </sheetData>
  <autoFilter ref="A1:AN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N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MK-NW-M-001</t>
        </is>
      </c>
      <c r="B2" t="inlineStr">
        <is>
          <t>Networth</t>
        </is>
      </c>
      <c r="C2" t="inlineStr">
        <is>
          <t>NA</t>
        </is>
      </c>
      <c r="D2" t="inlineStr">
        <is>
          <t>Change in net worth +$X</t>
        </is>
      </c>
      <c r="E2" t="inlineStr">
        <is>
          <t>changeThisYear</t>
        </is>
      </c>
      <c r="F2" t="inlineStr">
        <is>
          <t>trendPoints</t>
        </is>
      </c>
      <c r="G2" t="inlineStr">
        <is>
          <t>MK-XS-F-005</t>
        </is>
      </c>
      <c r="H2" s="3" t="inlineStr">
        <is>
          <t>change = net worth at the latest point − net worth at the chosen earlier date, both read from the trend series (MK-XS-F-005); the subtraction itself is done on the Net-worth screen — no function on record (build-spec D1)</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1. monthly snapshots → monthly  [MK-XS-I-031]
2.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1. MK-CF-F-132 (map) → NOT DECLARED — the code does not say what it gives back
2. MK-XS-F-009 (readHistory) → MonthlySnapshot[]</t>
        </is>
      </c>
      <c r="P2"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Q2" t="inlineStr">
        <is>
          <t>1. MK-CF-F-150 — Uses a built-in s h o w f i r s t of 5.
2. MK-CF-F-023 — If monthly payment is missing it uses 0.</t>
        </is>
      </c>
      <c r="R2" t="inlineStr"/>
      <c r="S2" t="inlineStr">
        <is>
          <t>The daily and monthly points are synced, but the DAILY RECORD they are checked against is not. On a second device the trend survives and the walk behind it does not.</t>
        </is>
      </c>
      <c r="T2" t="inlineStr">
        <is>
          <t>NOT DETERMINED — no assumption recorded for this figure yet.</t>
        </is>
      </c>
      <c r="U2" t="inlineStr"/>
      <c r="V2" s="11" t="inlineStr">
        <is>
          <t>Q32 — The trend survives on a new device but the walk behind it does not. Should the trend say so, or show quietly?</t>
        </is>
      </c>
      <c r="W2" s="11"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B23 [MISNAMED] — The formula has two halves: the series, and the change over the year. The function it names (trendPoints) only builds and sorts the series. The subtraction that makes the headline change is done somewhere with no function on record.</t>
        </is>
      </c>
      <c r="AC2" t="inlineStr">
        <is>
          <t>HAS A FUNCTION — traceable from the screen to the code.</t>
        </is>
      </c>
      <c r="AD2" t="inlineStr"/>
      <c r="AE2" s="3" t="inlineStr">
        <is>
          <t>B23 — FIXED 2026-09-12
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2" t="inlineStr">
        <is>
          <t>ACTIVE</t>
        </is>
      </c>
      <c r="AG2" t="inlineStr">
        <is>
          <t>2026-08-27</t>
        </is>
      </c>
      <c r="AJ2" s="3" t="inlineStr">
        <is>
          <t>1. MK-XS-I-016 debt minimum payment — read by MK-CF-F-023
2. MK-XS-I-024 logged expenses — read by MK-CF-F-150, MK-CF-F-151, MK-CF-F-153
3. MK-XS-I-031 daily and monthly snapshots — read by MK-XS-F-005, MK-XS-F-009
4. MK-XS-I-041 the payment the person chose to make on a debt — read by MK-CF-F-023
5.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WAITING ON YOU — question Q32 · CODED, NOT TESTED (finding B23 names no test)</t>
        </is>
      </c>
    </row>
    <row r="3">
      <c r="A3" t="inlineStr">
        <is>
          <t>MK-NW-M-002</t>
        </is>
      </c>
      <c r="B3" t="inlineStr">
        <is>
          <t>Networth</t>
        </is>
      </c>
      <c r="C3" t="inlineStr">
        <is>
          <t>NA</t>
        </is>
      </c>
      <c r="D3" t="inlineStr">
        <is>
          <t>Return on cash + investments ±X%</t>
        </is>
      </c>
      <c r="E3" t="inlineStr">
        <is>
          <t>invPct</t>
        </is>
      </c>
      <c r="F3" t="inlineStr">
        <is>
          <t>investableChangePct</t>
        </is>
      </c>
      <c r="G3" t="inlineStr">
        <is>
          <t>MK-XS-F-010</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1. stored history → daily  [MK-XS-I-031]
2. today's value → currentInvestable  [NOT AN INPUT — another function’s answer; see the dependency column]
3. baseline date → sinceKey  [MK-XS-I-031]</t>
        </is>
      </c>
      <c r="K3" t="inlineStr">
        <is>
          <t>Percent · two decimals shown (founder, 2026-09-14)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it reads its inputs and answers</t>
        </is>
      </c>
      <c r="P3" t="inlineStr">
        <is>
          <t>No dependent function — it reads its inputs and answers</t>
        </is>
      </c>
      <c r="Q3" t="inlineStr">
        <is>
          <t>None found anywhere in this chain</t>
        </is>
      </c>
      <c r="R3" t="inlineStr"/>
      <c r="S3" t="inlineStr">
        <is>
          <t>The line is labelled "Return on cash + investments" but is computed as (now − then) ÷ then with NO adjustment for money paid in or taken out. Move $50,000 in and it reports a gain. Either the label is wrong or the formula is — founder's call.</t>
        </is>
      </c>
      <c r="T3" t="inlineStr">
        <is>
          <t>NOT DETERMINED — no assumption recorded for this figure yet.</t>
        </is>
      </c>
      <c r="U3" t="inlineStr"/>
      <c r="V3" s="11" t="inlineStr">
        <is>
          <t>Q17 — "Return on cash + investments" counts money you paid in as a gain. Is the LABEL wrong, or the FORMULA? Fixing the formula means removing deposits and withdrawals before measuring.</t>
        </is>
      </c>
      <c r="W3" s="11"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s="3" t="inlineStr">
        <is>
          <t>No finding on this row. That is not a statement that the row is right — only that nothing has been written against it.
G28 batch 1 (2026-09-09) — FILE RIGHT, code record blind. MK-XS-F-010 is handed the snapshot series (MK-XS-I-031) by its caller. Proposed approved list: MK-XS-I-031.</t>
        </is>
      </c>
      <c r="AF3" t="inlineStr">
        <is>
          <t>ACTIVE</t>
        </is>
      </c>
      <c r="AG3" t="inlineStr">
        <is>
          <t>2026-09-14</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WAITING ON YOU — question Q17 · TESTED, NOT VERIFIED (Return on cash + investments — two decimals)</t>
        </is>
      </c>
    </row>
    <row r="4">
      <c r="A4" t="inlineStr">
        <is>
          <t>MK-NW-M-003</t>
        </is>
      </c>
      <c r="B4" t="inlineStr">
        <is>
          <t>Networth</t>
        </is>
      </c>
      <c r="C4" t="inlineStr">
        <is>
          <t>NA</t>
        </is>
      </c>
      <c r="D4" t="inlineStr">
        <is>
          <t>the trend line</t>
        </is>
      </c>
      <c r="E4" t="inlineStr">
        <is>
          <t>series</t>
        </is>
      </c>
      <c r="F4" t="inlineStr">
        <is>
          <t>trendPoints</t>
        </is>
      </c>
      <c r="G4" t="inlineStr">
        <is>
          <t>MK-XS-F-005</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1. monthly snapshots → monthly  [MK-XS-I-031]
2.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1. MK-CF-F-132 (map) → NOT DECLARED — the code does not say what it gives back
2. MK-XS-F-009 (readHistory) → MonthlySnapshot[]</t>
        </is>
      </c>
      <c r="P4"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Q4" t="inlineStr">
        <is>
          <t>1. MK-CF-F-150 — Uses a built-in s h o w f i r s t of 5.
2. MK-CF-F-023 — If monthly payment is missing it uses 0.</t>
        </is>
      </c>
      <c r="R4" t="inlineStr"/>
      <c r="S4" t="inlineStr">
        <is>
          <t>The daily and monthly points are synced, but the DAILY RECORD they are checked against is not. On a second device the trend survives and the walk behind it does not.</t>
        </is>
      </c>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B23 [MISNAMED] — The formula has two halves: the series, and the change over the year. The function it names (trendPoints) only builds and sorts the series. The subtraction that makes the headline change is done somewhere with no function on record.</t>
        </is>
      </c>
      <c r="AC4" t="inlineStr">
        <is>
          <t>HAS A FUNCTION — traceable from the screen to the code.</t>
        </is>
      </c>
      <c r="AD4" t="inlineStr"/>
      <c r="AE4" s="3" t="inlineStr">
        <is>
          <t>B23 — FIXED 2026-09-12
G28 batch 1 (2026-09-09) — Same as MK-NW-M-001 (the same producer, MK-XS-F-005).</t>
        </is>
      </c>
      <c r="AF4" t="inlineStr">
        <is>
          <t>ACTIVE</t>
        </is>
      </c>
      <c r="AG4" t="inlineStr">
        <is>
          <t>2026-08-27</t>
        </is>
      </c>
      <c r="AJ4" s="3" t="inlineStr">
        <is>
          <t>1. MK-XS-I-016 debt minimum payment — read by MK-CF-F-023
2. MK-XS-I-024 logged expenses — read by MK-CF-F-150, MK-CF-F-151, MK-CF-F-153
3. MK-XS-I-031 daily and monthly snapshots — read by MK-XS-F-005, MK-XS-F-009
4. MK-XS-I-041 the payment the person chose to make on a debt — read by MK-CF-F-023
5.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B23 names no test)</t>
        </is>
      </c>
    </row>
    <row r="5">
      <c r="A5" t="inlineStr">
        <is>
          <t>MK-NW-M-004</t>
        </is>
      </c>
      <c r="B5" t="inlineStr">
        <is>
          <t>Networth</t>
        </is>
      </c>
      <c r="C5" t="inlineStr">
        <is>
          <t>NA</t>
        </is>
      </c>
      <c r="D5" t="inlineStr">
        <is>
          <t>WHAT YOU OWN</t>
        </is>
      </c>
      <c r="E5" t="inlineStr">
        <is>
          <t>totalAssets</t>
        </is>
      </c>
      <c r="F5" t="inlineStr">
        <is>
          <t>buildAssetsState</t>
        </is>
      </c>
      <c r="G5" t="inlineStr">
        <is>
          <t>MK-NW-F-039</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1. each balance → balance  [MK-XS-I-001]
2. each assumed return → target_return  [MK-XS-I-028]</t>
        </is>
      </c>
      <c r="K5" t="inlineStr">
        <is>
          <t>US dollars · held to the cent · shown as whole dollars  [derived by rule — confirm]</t>
        </is>
      </c>
      <c r="L5" s="3" t="inlineStr">
        <is>
          <t>$0, and under it the one line "Nothing entered yet. Add your accounts ›" (mock approved 2026-09-12). A real zero that was entered shows a plain $0 with no line.</t>
        </is>
      </c>
      <c r="M5" t="inlineStr">
        <is>
          <t>One figure per account  [derived by rule — confirm]</t>
        </is>
      </c>
      <c r="N5" t="inlineStr">
        <is>
          <t>As of today, from the latest figures held  [derived by rule — confirm]</t>
        </is>
      </c>
      <c r="O5" t="inlineStr">
        <is>
          <t>1. MK-CF-F-132 (map) → NOT DECLARED — the code does not say what it gives back
2. MK-XS-F-175 (uid) → NOT DECLARED — the code does not say what it gives back</t>
        </is>
      </c>
      <c r="P5"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Q5"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25 more, on the functions tab</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5" t="inlineStr">
        <is>
          <t>ACTIVE</t>
        </is>
      </c>
      <c r="AG5" t="inlineStr">
        <is>
          <t>2026-08-27</t>
        </is>
      </c>
      <c r="AJ5" s="3" t="inlineStr">
        <is>
          <t>1. MK-XS-I-001 account balance — read by MK-CF-F-111, MK-CF-F-133, MK-CF-F-134, MK-CF-F-136, MK-NW-F-039, MK-NW-F-040,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MK-NW-F-039,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MK-ST-F-073,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(Net-worth flow diagram)</t>
        </is>
      </c>
    </row>
    <row r="6">
      <c r="A6" t="inlineStr">
        <is>
          <t>MK-NW-M-005</t>
        </is>
      </c>
      <c r="B6" t="inlineStr">
        <is>
          <t>Networth</t>
        </is>
      </c>
      <c r="C6" t="inlineStr">
        <is>
          <t>NA</t>
        </is>
      </c>
      <c r="D6" t="inlineStr">
        <is>
          <t>💵 CASH</t>
        </is>
      </c>
      <c r="E6" t="inlineStr">
        <is>
          <t>cashOnHand</t>
        </is>
      </c>
      <c r="F6" t="inlineStr">
        <is>
          <t>cashTotal</t>
        </is>
      </c>
      <c r="G6" t="inlineStr">
        <is>
          <t>MK-NW-F-016</t>
        </is>
      </c>
      <c r="H6" s="3" t="inlineStr">
        <is>
          <t>cash = Σ(balance of each account whose class = Cash) + Σ over CONNECTED accounts of (the cash slice of the account's class breakdown)</t>
        </is>
      </c>
      <c r="I6"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6" t="inlineStr">
        <is>
          <t>1. each account's class → assetClassOf  [MK-XS-I-048]
2. each account's money → balance  [MK-XS-I-001]</t>
        </is>
      </c>
      <c r="K6" t="inlineStr">
        <is>
          <t>US dollars · held to the cent · shown as whole dollars  [derived by rule — confirm]</t>
        </is>
      </c>
      <c r="L6" s="3" t="inlineStr">
        <is>
          <t>$0, and under it the one line "Nothing entered yet. Add your accounts ›" (mock approved 2026-09-12). A real zero that was entered shows a plain $0 with no line.</t>
        </is>
      </c>
      <c r="M6" t="inlineStr">
        <is>
          <t>One figure per person — or per household when two people share one record  [derived by rule — confirm]</t>
        </is>
      </c>
      <c r="N6" t="inlineStr">
        <is>
          <t>As of today, from the latest figures held  [derived by rule — confirm]</t>
        </is>
      </c>
      <c r="O6" t="inlineStr">
        <is>
          <t>1. MK-NW-F-027 (accountClassBreakdown) → Record&lt;AssetClass, number&gt; | null
2. MK-NW-F-011 (assetClassOf) → AssetClass</t>
        </is>
      </c>
      <c r="P6"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Q6"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t>
        </is>
      </c>
      <c r="R6" t="inlineStr">
        <is>
          <t>DECIDES what counts as cash — and deliberately excludes money-market funds.</t>
        </is>
      </c>
      <c r="S6" t="inlineStr">
        <is>
          <t>Money-market funds are deliberately NOT counted as cash. Any institution that reports a sweep as a fund will therefore land in investments — worth watching per provider.</t>
        </is>
      </c>
      <c r="T6" t="inlineStr">
        <is>
          <t>[Founder] Cash means checking, savings, high-yield savings and the uninvested sweep at a broker. Money-market funds are investments, because they pay dividends and are measured with the investments (founder, 2026-08-04).</t>
        </is>
      </c>
      <c r="U6" t="inlineStr"/>
      <c r="V6" s="11" t="inlineStr">
        <is>
          <t>Q16 — Does foreign-currency cash count towards Cash, or sit apart until it is converted?</t>
        </is>
      </c>
      <c r="W6" s="11"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B21 [CLASH] — The file says cash is the balance of every account whose class is Cash. The code (cashTotal) also adds the CASH PORTION of a connected account's class breakdown — a brokerage that is 10% cash contributes that 10%. The file's formula misses that path entirely, so it understates cash for anyone with a connected account.</t>
        </is>
      </c>
      <c r="AC6" t="inlineStr">
        <is>
          <t>HAS A FUNCTION — traceable from the screen to the code.</t>
        </is>
      </c>
      <c r="AD6" t="inlineStr"/>
      <c r="AE6" s="3" t="inlineStr">
        <is>
          <t>B21 — FIXED 2026-09-12
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6" t="inlineStr">
        <is>
          <t>ACTIVE</t>
        </is>
      </c>
      <c r="AG6" t="inlineStr">
        <is>
          <t>2026-08-27</t>
        </is>
      </c>
      <c r="AJ6"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6" s="3" t="inlineStr">
        <is>
          <t>(the claim now stands in 'Inputs it needs' until the row is approved)</t>
        </is>
      </c>
      <c r="AN6" s="7" t="inlineStr">
        <is>
          <t>WAITING ON YOU — question Q16 · CODED, NOT TESTED (Net-worth flow diagram)</t>
        </is>
      </c>
    </row>
    <row r="7">
      <c r="A7" t="inlineStr">
        <is>
          <t>MK-NW-M-006</t>
        </is>
      </c>
      <c r="B7" t="inlineStr">
        <is>
          <t>Networth</t>
        </is>
      </c>
      <c r="C7" t="inlineStr">
        <is>
          <t>NA</t>
        </is>
      </c>
      <c r="D7" t="inlineStr">
        <is>
          <t>🏠 PERSONAL PROPERTY</t>
        </is>
      </c>
      <c r="E7" t="inlineStr">
        <is>
          <t>sectionTotals</t>
        </is>
      </c>
      <c r="F7" t="inlineStr">
        <is>
          <t>Worked out on the screen itself — no function behind it</t>
        </is>
      </c>
      <c r="G7" t="inlineStr"/>
      <c r="H7" t="inlineStr">
        <is>
          <t>personal property = Σ balance of every account whose class is personal property (vehicles, valuables — not real estate)</t>
        </is>
      </c>
      <c r="I7" t="inlineStr">
        <is>
          <t>Adds up the balances of every account whose class is personal property — vehicles and valuables. Real estate is its own section. Written by hand 2026-09-08 (G29): this section total is computed on the screen itself.</t>
        </is>
      </c>
      <c r="J7" t="inlineStr">
        <is>
          <t>NOT DETERMINED — no input list on record for this function</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is>
          <t>CORRECTED 2026-08-25 — this row used to name ACCOUNT_SHARE_OF_TOTAL. Personal property is its own total, worked out on the screen, not a share of a total.</t>
        </is>
      </c>
      <c r="T7" t="inlineStr">
        <is>
          <t>NOT DETERMINED — no assumption recorded for this figure yet.</t>
        </is>
      </c>
      <c r="U7" t="inlineStr"/>
      <c r="V7" t="inlineStr"/>
      <c r="W7" t="inlineStr"/>
      <c r="X7" t="inlineStr"/>
      <c r="Y7" t="inlineStr">
        <is>
          <t>NOT DETERMINED</t>
        </is>
      </c>
      <c r="Z7" t="inlineStr">
        <is>
          <t>VERIFIED 2026-08-22</t>
        </is>
      </c>
      <c r="AA7" t="inlineStr">
        <is>
          <t>1. A06 — S01 says COMPLETE, 163 of 163 carry both forms of the formula. MK-NW-M-006 carries neither. It is 162 of 163.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A06 — FIXED 2026-09-08</t>
        </is>
      </c>
      <c r="AF7" t="inlineStr">
        <is>
          <t>ACTIVE</t>
        </is>
      </c>
      <c r="AG7" t="inlineStr">
        <is>
          <t>2026-09-08</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6" t="inlineStr">
        <is>
          <t>TESTED, NOT VERIFIED (G29)</t>
        </is>
      </c>
    </row>
    <row r="8">
      <c r="A8" t="inlineStr">
        <is>
          <t>MK-NW-M-007</t>
        </is>
      </c>
      <c r="B8" t="inlineStr">
        <is>
          <t>Networth</t>
        </is>
      </c>
      <c r="C8" t="inlineStr">
        <is>
          <t>NA</t>
        </is>
      </c>
      <c r="D8" t="inlineStr">
        <is>
          <t>class rows — by class, institution or type</t>
        </is>
      </c>
      <c r="E8" t="inlineStr">
        <is>
          <t>classRows</t>
        </is>
      </c>
      <c r="F8" t="inlineStr">
        <is>
          <t>assetAllocation</t>
        </is>
      </c>
      <c r="G8" t="inlineStr">
        <is>
          <t>MK-NW-F-029</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1. each account's class → assetClassOf  [MK-XS-I-048]
2. each account's money → balance  [MK-XS-I-001]
3. any split → accountClassBreakdown  [NOT AN INPUT — another function’s answer; see the dependency column]</t>
        </is>
      </c>
      <c r="K8" t="inlineStr">
        <is>
          <t>US dollars · held to the cent · shown as whole dollars  [derived by rule — confirm]</t>
        </is>
      </c>
      <c r="L8" s="3" t="inlineStr">
        <is>
          <t>$0, and under it the one line "Nothing entered yet. Add your accounts ›" (mock approved 2026-09-12). A real zero that was entered shows a plain $0 with no line.</t>
        </is>
      </c>
      <c r="M8" t="inlineStr">
        <is>
          <t>One figure per category  [derived by rule — confirm]</t>
        </is>
      </c>
      <c r="N8" t="inlineStr">
        <is>
          <t>As of today, from the latest figures held  [derived by rule — confirm]</t>
        </is>
      </c>
      <c r="O8" t="inlineStr">
        <is>
          <t>1. MK-NW-F-027 (accountClassBreakdown) → Record&lt;AssetClass, number&gt; | null
2. MK-NW-F-011 (assetClassOf) → AssetClass</t>
        </is>
      </c>
      <c r="P8"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Q8" t="inlineStr">
        <is>
          <t>1. MK-NW-F-029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t>
        </is>
      </c>
      <c r="R8" t="inlineStr">
        <is>
          <t>DECIDES the class of every asset before it can group them, and DECIDES the words shown for each class. The classifying rule itself is function MK-ST-E-xxx — see the asset-classification standard.</t>
        </is>
      </c>
      <c r="S8" t="inlineStr"/>
      <c r="T8" t="inlineStr">
        <is>
          <t>NOT DETERMINED — no assumption recorded for this figure yet.</t>
        </is>
      </c>
      <c r="U8" t="inlineStr"/>
      <c r="V8" s="11"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8" s="11" t="inlineStr"/>
      <c r="X8" t="inlineStr"/>
      <c r="Y8" t="inlineStr">
        <is>
          <t>NOT DETERMINED</t>
        </is>
      </c>
      <c r="Z8" t="inlineStr">
        <is>
          <t>VERIFIED 2026-08-22</t>
        </is>
      </c>
      <c r="AA8"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s="3" t="inlineStr">
        <is>
          <t>A50 — OPEN since 2026-08-26 — nothing has closed this. It is not known to be wrong; it is known to be unaddressed.
G32 / Q48 — RULED 2026-09-09: $0 stays, with the sentence '$0 — nothing entered yet.' and this row's door ('Add your accounts ›'). File written; the screen follows the approved empty-state mock (one pattern, one screen), then every screen.</t>
        </is>
      </c>
      <c r="AF8" t="inlineStr">
        <is>
          <t>ACTIVE</t>
        </is>
      </c>
      <c r="AG8" t="inlineStr">
        <is>
          <t>2026-08-27</t>
        </is>
      </c>
      <c r="AJ8" s="3" t="inlineStr">
        <is>
          <t>1. MK-XS-I-001 account balance — read by MK-NW-F-027, MK-NW-F-029,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8" s="3" t="inlineStr">
        <is>
          <t>(the claim now stands in 'Inputs it needs' until the row is approved)</t>
        </is>
      </c>
      <c r="AN8" s="7" t="inlineStr">
        <is>
          <t>WAITING ON YOU — question Q10, Q11, Q12, Q13 · CODED, NOT TESTED (Net-worth flow diagram) · OPEN FINDING A50</t>
        </is>
      </c>
    </row>
    <row r="9">
      <c r="A9" t="inlineStr">
        <is>
          <t>MK-NW-M-008</t>
        </is>
      </c>
      <c r="B9" t="inlineStr">
        <is>
          <t>Networth</t>
        </is>
      </c>
      <c r="C9" t="inlineStr">
        <is>
          <t>NA</t>
        </is>
      </c>
      <c r="D9" t="inlineStr">
        <is>
          <t>each account and its balance</t>
        </is>
      </c>
      <c r="E9" t="inlineStr">
        <is>
          <t>a.balance</t>
        </is>
      </c>
      <c r="F9" t="inlineStr">
        <is>
          <t>accountClassBreakdown</t>
        </is>
      </c>
      <c r="G9" t="inlineStr">
        <is>
          <t>MK-NW-F-027</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1. the account → a  [MK-XS-I-001]
2. its total → balance  [MK-XS-I-001]
3. uninvested → cash_balance  [MK-XS-I-001]
4. holdings → positions[]  [MK-XS-I-004]
5. options → option_holdings[]  [MK-XS-I-034]</t>
        </is>
      </c>
      <c r="K9" t="inlineStr">
        <is>
          <t>A count · whole units, except crypto which keeps its fractions  [derived by rule — confirm]</t>
        </is>
      </c>
      <c r="L9" s="3" t="inlineStr">
        <is>
          <t>$0, and under it the one line "Nothing entered yet. Add your accounts ›" (mock approved 2026-09-12). A real zero that was entered shows a plain $0 with no line.</t>
        </is>
      </c>
      <c r="M9" t="inlineStr">
        <is>
          <t>One figure per account  [derived by rule — confirm]</t>
        </is>
      </c>
      <c r="N9" t="inlineStr">
        <is>
          <t>As of today, from the latest figures held  [derived by rule — confirm]</t>
        </is>
      </c>
      <c r="O9" t="inlineStr">
        <is>
          <t>1. MK-NW-F-011 (assetClassOf) → AssetClass
2. MK-CF-F-155 (cash) → number
3. MK-NW-F-008 (incomeBearingClassOf) → AssetClass | null</t>
        </is>
      </c>
      <c r="P9"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Q9"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is>
      </c>
      <c r="R9" t="inlineStr">
        <is>
          <t>DECIDES which class each holding inside one account belongs to, then how much of the account total sits in each.</t>
        </is>
      </c>
      <c r="S9" t="inlineStr">
        <is>
          <t>Reported by the 54-item audit as one of the places a total and its parts can disagree; the reconciliation assertion now catches it, but the screen has no way to say so yet.</t>
        </is>
      </c>
      <c r="T9" t="inlineStr">
        <is>
          <t>NOT DETERMINED — no assumption recorded for this figure yet.</t>
        </is>
      </c>
      <c r="U9" t="inlineStr"/>
      <c r="V9" s="11" t="inlineStr">
        <is>
          <t>Q14 — What should a MIXED account be called on screen, when it holds several classes at once?</t>
        </is>
      </c>
      <c r="W9" s="11" t="inlineStr"/>
      <c r="X9" t="inlineStr"/>
      <c r="Y9" t="inlineStr">
        <is>
          <t>NOT DETERMINED</t>
        </is>
      </c>
      <c r="Z9" t="inlineStr">
        <is>
          <t>VERIFIED 2026-08-22</t>
        </is>
      </c>
      <c r="AA9"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9" t="inlineStr">
        <is>
          <t>HAS A FUNCTION — traceable from the screen to the code.</t>
        </is>
      </c>
      <c r="AD9" t="inlineStr"/>
      <c r="AE9" s="3" t="inlineStr">
        <is>
          <t>A50 — OPEN since 2026-08-26 — nothing has closed this. It is not known to be wrong; it is known to be unaddressed.
B15 — FIXED 2026-08-27
G32 / Q48 — RULED 2026-09-09: $0 stays, with the sentence '$0 — nothing entered yet.' and this row's door ('Add your accounts ›'). File written; the screen follows the approved empty-state mock (one pattern, one screen), then every screen.</t>
        </is>
      </c>
      <c r="AF9" t="inlineStr">
        <is>
          <t>ACTIVE</t>
        </is>
      </c>
      <c r="AG9" t="inlineStr">
        <is>
          <t>2026-08-27</t>
        </is>
      </c>
      <c r="AJ9" s="3" t="inlineStr">
        <is>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Q14 · OPEN FINDING A50 · CODED, NOT TESTED (finding B15 names no test)</t>
        </is>
      </c>
    </row>
    <row r="10">
      <c r="A10" t="inlineStr">
        <is>
          <t>MK-NW-M-009</t>
        </is>
      </c>
      <c r="B10" t="inlineStr">
        <is>
          <t>Networth</t>
        </is>
      </c>
      <c r="C10" t="inlineStr">
        <is>
          <t>NA</t>
        </is>
      </c>
      <c r="D10" t="inlineStr">
        <is>
          <t>DEBTS</t>
        </is>
      </c>
      <c r="E10" t="inlineStr">
        <is>
          <t>dState.total_debt_balance</t>
        </is>
      </c>
      <c r="F10" t="inlineStr">
        <is>
          <t>buildDebtState</t>
        </is>
      </c>
      <c r="G10" t="inlineStr">
        <is>
          <t>MK-CF-F-036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1. every debt → debts  [MK-XS-I-014]
2. rates → interest_rate_apr  [MK-XS-I-015]
3. payments → the minimum and chosen payments  [MK-XS-I-016]</t>
        </is>
      </c>
      <c r="K10" t="inlineStr">
        <is>
          <t>US dollars · held to the cent · shown as whole dollars  [derived by rule — confirm]</t>
        </is>
      </c>
      <c r="L10" s="3" t="inlineStr">
        <is>
          <t>$0, and under it the one line "Nothing entered yet. Add your debts ›" (mock approved 2026-09-12). A real zero that was entered shows a plain $0 with no line.</t>
        </is>
      </c>
      <c r="M10" t="inlineStr">
        <is>
          <t>One figure per debt, and one total per person  [derived by rule — confirm]</t>
        </is>
      </c>
      <c r="N10" t="inlineStr">
        <is>
          <t>As of today, from the latest figures held  [derived by rule — confirm]</t>
        </is>
      </c>
      <c r="O10" t="inlineStr">
        <is>
          <t>1. MK-CF-F-026 (actualDebtPayment) → number
2. MK-CF-F-025 (minimumDebtService) → number
3. MK-XS-F-175 (uid) → NOT DECLARED — the code does not say what it gives back</t>
        </is>
      </c>
      <c r="P10"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0"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MK-ST-F-073 — Uses a built-in cursor of 0.
21. MK-NW-F-054 — Uses a built-in changed of 0.
22. MK-XS-F-174 — If cash balance is missing it counts as zero, so nothing recorded and a real zero look the same.
23. MK-CF-F-109 — If amount is missing it uses 0.
24. MK-CF-F-109 — Uses today's date from the device clock, so the answer changes by itself overnight.
25. MK-CF-F-023 — If monthly payment is missing it uses 0.
… and 27 more, on the functions tab</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0" t="inlineStr">
        <is>
          <t>HAS A FUNCTION — traceable from the screen to the code.</t>
        </is>
      </c>
      <c r="AD10" t="inlineStr"/>
      <c r="AE10" s="3" t="inlineStr">
        <is>
          <t>B19 — FIXED 2026-09-12
G32 / Q48 — RULED 2026-09-09: $0 stays, with the sentence '$0 — nothing entered yet.' and this row's door ('Add your debts ›'). File written; the screen follows the approved empty-state mock (one pattern, one screen), then every screen.</t>
        </is>
      </c>
      <c r="AF10" t="inlineStr">
        <is>
          <t>ACTIVE</t>
        </is>
      </c>
      <c r="AG10" t="inlineStr">
        <is>
          <t>2026-08-27</t>
        </is>
      </c>
      <c r="AJ10"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MK-CF-F-036, MK-CF-F-038
12. MK-XS-I-015 debt interest rate — read by MK-CF-F-036, MK-CF-F-038
13. MK-XS-I-016 debt minimum payment — read by MK-CF-F-023, MK-CF-F-025,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MK-XS-I-041 the payment the person chose to make on a debt — read by MK-CF-F-023
33. MK-XS-I-042 how a stream is paid — monthly, yearly or one lump — read by MK-CF-F-021, MK-CF-F-022, MK-CF-F-023, MK-CF-F-025
34. MK-XS-I-044 the person’s own plan overrides — read by MK-XS-F-174, MK-XS-F-175
35. MK-XS-I-048 the person’s own asset-class answer — read by MK-NW-F-054, MK-ST-F-027, MK-ST-F-028, MK-ST-F-073, MK-XS-F-175
36. MK-XS-I-055 the wrapper an account sits in — ISA, 401(k), IRA and the rest — read by MK-CF-F-075, MK-CF-F-138, MK-NW-F-040, MK-NW-F-053, MK-PF-F-013, MK-PF-F-031, MK
37. MK-XS-I-056 how a holding was classified, and by whom — read by MK-XS-F-175
38. MK-XS-I-060 how a person is paid — weekly, fortnightly, monthly — read by MK-CF-F-185, MK-CF-F-186
39.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7" t="inlineStr">
        <is>
          <t>CODED, NOT TESTED (Net-worth flow diagram)</t>
        </is>
      </c>
    </row>
    <row r="11">
      <c r="A11" t="inlineStr">
        <is>
          <t>MK-NW-M-010</t>
        </is>
      </c>
      <c r="B11" t="inlineStr">
        <is>
          <t>Networth</t>
        </is>
      </c>
      <c r="C11" t="inlineStr">
        <is>
          <t>NA</t>
        </is>
      </c>
      <c r="D11" t="inlineStr">
        <is>
          <t>each debt and what is left on it</t>
        </is>
      </c>
      <c r="E11" t="inlineStr">
        <is>
          <t>d.remaining_balance</t>
        </is>
      </c>
      <c r="F11" t="inlineStr">
        <is>
          <t>buildDebtState</t>
        </is>
      </c>
      <c r="G11" s="3" t="inlineStr"/>
      <c r="H11" t="inlineStr">
        <is>
          <t>owed = Σ(remaining balance);  monthly debt payments = Σ(required payment of each debt)</t>
        </is>
      </c>
      <c r="I11" s="3" t="inlineStr">
        <is>
          <t>The balance still owed on the debt, as recorded — an input, no arithmetic.</t>
        </is>
      </c>
      <c r="J11" t="inlineStr">
        <is>
          <t>1. every debt → debts  [MK-XS-I-014]
2. rates → interest_rate_apr  [MK-XS-I-015]
3. payments → the minimum and chosen payments  [MK-XS-I-016]</t>
        </is>
      </c>
      <c r="K11" t="inlineStr">
        <is>
          <t>US dollars · held to the cent · shown as whole dollars  [derived by rule — confirm]</t>
        </is>
      </c>
      <c r="L11" s="3" t="inlineStr">
        <is>
          <t>$0, and under it the one line "Nothing entered yet. Add your debts ›" (mock approved 2026-09-12). A real zero that was entered shows a plain $0 with no line.</t>
        </is>
      </c>
      <c r="M11" t="inlineStr">
        <is>
          <t>One figure per debt, and one total per person  [derived by rule — confirm]</t>
        </is>
      </c>
      <c r="N11" t="inlineStr">
        <is>
          <t>As of today, from the latest figures held  [derived by rule — confirm]</t>
        </is>
      </c>
      <c r="O11" t="inlineStr">
        <is>
          <t>No function on record — nothing to chain</t>
        </is>
      </c>
      <c r="P11"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1"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MK-ST-F-073 — Uses a built-in cursor of 0.
21. MK-NW-F-054 — Uses a built-in changed of 0.
22. MK-XS-F-174 — If cash balance is missing it counts as zero, so nothing recorded and a real zero look the same.
23. MK-CF-F-109 — If amount is missing it uses 0.
24. MK-CF-F-109 — Uses today's date from the device clock, so the answer changes by itself overnight.
25. MK-CF-F-023 — If monthly payment is missing it uses 0.
… and 27 more, on the functions tab</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1" t="inlineStr">
        <is>
          <t>HAS A FUNCTION — traceable from the screen to the code.</t>
        </is>
      </c>
      <c r="AD11" t="inlineStr"/>
      <c r="AE11" s="3" t="inlineStr">
        <is>
          <t>B19 — FIXED 2026-09-12
G32 / Q48 — RULED 2026-09-09: $0 stays, with the sentence '$0 — nothing entered yet.' and this row's door ('Add your debts ›'). File written; the screen follows the approved empty-state mock (one pattern, one screen), then every screen.</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7" t="inlineStr">
        <is>
          <t>CODED, NOT TESTED (finding B19 names no test)</t>
        </is>
      </c>
    </row>
    <row r="12">
      <c r="A12" t="inlineStr">
        <is>
          <t>MK-NW-M-011</t>
        </is>
      </c>
      <c r="B12" t="inlineStr">
        <is>
          <t>Networth</t>
        </is>
      </c>
      <c r="C12" t="inlineStr">
        <is>
          <t>NA</t>
        </is>
      </c>
      <c r="D12" t="inlineStr">
        <is>
          <t>minimum monthly payment on a debt</t>
        </is>
      </c>
      <c r="E12" t="inlineStr">
        <is>
          <t>d.minimum_monthly_payment</t>
        </is>
      </c>
      <c r="F12" t="inlineStr">
        <is>
          <t>requiredPayment</t>
        </is>
      </c>
      <c r="G12" t="inlineStr">
        <is>
          <t>MK-CF-F-023</t>
        </is>
      </c>
      <c r="H12" s="3" t="inlineStr">
        <is>
          <t>required payment = 0 when the debt is due in full; otherwise the larger of the stated minimum and the payment the person chose (the stated minimum alone when no payment was chosen)</t>
        </is>
      </c>
      <c r="I12" t="inlineStr">
        <is>
          <t>Due in full → 0. It is a dated bill, and calling it a monthly payment overstates what a person is committed to. Otherwise the LARGER of the minimum and whatever payment they have chosen, so overpaying on purpose shows up.</t>
        </is>
      </c>
      <c r="J12" t="inlineStr">
        <is>
          <t>1. shape → paymentShape  [MK-XS-I-042]
2. minimum → minimum_monthly_payment  [MK-XS-I-016]
3. chosen → monthly_payment  [MK-XS-I-041]</t>
        </is>
      </c>
      <c r="K12" t="inlineStr">
        <is>
          <t>US dollars · held to the cent · shown as whole dollars  [derived by rule — confirm]</t>
        </is>
      </c>
      <c r="L12" t="inlineStr">
        <is>
          <t>NOT DETERMINED — this function has not been read for its refusal yet.</t>
        </is>
      </c>
      <c r="M12" t="inlineStr">
        <is>
          <t>One figure per debt, and one total per person  [derived by rule — confirm]</t>
        </is>
      </c>
      <c r="N12" t="inlineStr">
        <is>
          <t>As of today, from the latest figures held  [derived by rule — confirm]</t>
        </is>
      </c>
      <c r="O12" t="inlineStr">
        <is>
          <t>MK-CF-F-022 (paymentShape) → NonNullable&lt;Debt['payment_type']&gt;</t>
        </is>
      </c>
      <c r="P12" t="inlineStr">
        <is>
          <t>MK-CF-F-021 defaultPaymentType → MK-CF-F-022 paymentShape → MK-CF-F-023 requiredPayment</t>
        </is>
      </c>
      <c r="Q12" t="inlineStr">
        <is>
          <t>MK-CF-F-023 — If monthly payment is missing it uses 0.</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A51 — When a debt states no minimum payment the required payment is taken as the interest plus one percent of the balance. Where the one percent comes from is not said, it is not marked as anyone's decision, and it sets both the payoff date and the monthly debt figure on the cash-flow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t>
        </is>
      </c>
      <c r="AC12" t="inlineStr">
        <is>
          <t>HAS A FUNCTION — traceable from the screen to the code.</t>
        </is>
      </c>
      <c r="AD12" t="inlineStr">
        <is>
          <t>B01 — This month — a debt with no stated minimum shows $0/mo and prefills the pay dialog with $0</t>
        </is>
      </c>
      <c r="AE12" s="3" t="inlineStr">
        <is>
          <t>A51 — NOT A DEFECT 2026-09-08
B01 — FIXED 2026-09-08
G19 — CLOSED 2026-09-08: the math column's 'interest + 1% of balance' rule existed nowhere in the code and is gone; both columns now state the one rule MK-CF-F-023 applies. No code change.</t>
        </is>
      </c>
      <c r="AF12" t="inlineStr">
        <is>
          <t>ACTIVE</t>
        </is>
      </c>
      <c r="AG12" t="inlineStr">
        <is>
          <t>2026-08-27</t>
        </is>
      </c>
      <c r="AJ12" s="3" t="inlineStr">
        <is>
          <t>1. MK-XS-I-016 debt minimum payment — read by MK-CF-F-023
2. MK-XS-I-041 the payment the person chose to make on a debt — read by MK-CF-F-023
3. MK-XS-I-042 how a stream is paid — monthly, yearly or one lump — read by MK-CF-F-021, MK-CF-F-022, MK-CF-F-023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6" t="inlineStr">
        <is>
          <t>TESTED, NOT VERIFIED (G19)</t>
        </is>
      </c>
    </row>
    <row r="13">
      <c r="A13" t="inlineStr">
        <is>
          <t>MK-NW-M-012</t>
        </is>
      </c>
      <c r="B13" t="inlineStr">
        <is>
          <t>Networth</t>
        </is>
      </c>
      <c r="C13" t="inlineStr">
        <is>
          <t>NA</t>
        </is>
      </c>
      <c r="D13" t="inlineStr">
        <is>
          <t>Monthly debt payments $X/mo</t>
        </is>
      </c>
      <c r="E13" t="inlineStr">
        <is>
          <t>dState.total_monthly_debt_service</t>
        </is>
      </c>
      <c r="F13" t="inlineStr">
        <is>
          <t>buildDebtState</t>
        </is>
      </c>
      <c r="G13" s="3" t="inlineStr">
        <is>
          <t>MK-CF-F-024</t>
        </is>
      </c>
      <c r="H13" s="3" t="inlineStr">
        <is>
          <t>monthly debt payments = Σ over debts of (required payment) — due-in-full debts count 0</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1. every debt → debts  [MK-XS-I-014]
2. rates → interest_rate_apr  [MK-XS-I-015]
3. payments → the minimum and chosen payments  [MK-XS-I-016]</t>
        </is>
      </c>
      <c r="K13" t="inlineStr">
        <is>
          <t>US dollars · held to the cent · shown as whole dollars  [derived by rule — confirm]</t>
        </is>
      </c>
      <c r="L13" s="3" t="inlineStr">
        <is>
          <t>$0, and under it the one line "Nothing entered yet. Add your debts ›" (mock approved 2026-09-12). A real zero that was entered shows a plain $0 with no line.</t>
        </is>
      </c>
      <c r="M13" t="inlineStr">
        <is>
          <t>One figure per debt, and one total per person  [derived by rule — confirm]</t>
        </is>
      </c>
      <c r="N13" t="inlineStr">
        <is>
          <t>As of today, from the latest figures held  [derived by rule — confirm]</t>
        </is>
      </c>
      <c r="O13" t="inlineStr">
        <is>
          <t>MK-CF-F-023 (requiredPayment) → number</t>
        </is>
      </c>
      <c r="P13"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3"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MK-ST-F-073 — Uses a built-in cursor of 0.
21. MK-NW-F-054 — Uses a built-in changed of 0.
22. MK-XS-F-174 — If cash balance is missing it counts as zero, so nothing recorded and a real zero look the same.
23. MK-CF-F-109 — If amount is missing it uses 0.
24. MK-CF-F-109 — Uses today's date from the device clock, so the answer changes by itself overnight.
25. MK-CF-F-023 — If monthly payment is missing it uses 0.
… and 27 more, on the functions tab</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3" t="inlineStr">
        <is>
          <t>HAS A FUNCTION — traceable from the screen to the code.</t>
        </is>
      </c>
      <c r="AD13" t="inlineStr"/>
      <c r="AE13" s="3" t="inlineStr">
        <is>
          <t>B19 — FIXED 2026-09-12
G32 / Q48 — RULED 2026-09-09: $0 stays, with the sentence '$0 — nothing entered yet.' and this row's door ('Add your debts ›'). File written; the screen follows the approved empty-state mock (one pattern, one screen), then every screen.</t>
        </is>
      </c>
      <c r="AF13" t="inlineStr">
        <is>
          <t>ACTIVE</t>
        </is>
      </c>
      <c r="AG13" t="inlineStr">
        <is>
          <t>2026-08-27</t>
        </is>
      </c>
      <c r="AJ13" s="3" t="inlineStr">
        <is>
          <t>1. MK-XS-I-016 debt minimum payment — read by MK-CF-F-023
2. MK-XS-I-041 the payment the person chose to make on a debt — read by MK-CF-F-023
3. MK-XS-I-042 how a stream is paid — monthly, yearly or one lump — read by MK-CF-F-021, MK-CF-F-022, MK-CF-F-023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7" t="inlineStr">
        <is>
          <t>CODED, NOT TESTED (finding B19 names no test)</t>
        </is>
      </c>
    </row>
    <row r="14">
      <c r="A14" t="inlineStr">
        <is>
          <t>MK-NW-M-013</t>
        </is>
      </c>
      <c r="B14" t="inlineStr">
        <is>
          <t>Networth</t>
        </is>
      </c>
      <c r="C14" t="inlineStr">
        <is>
          <t>NA</t>
        </is>
      </c>
      <c r="D14" t="inlineStr">
        <is>
          <t>EMERGENCY FUND — X.X months</t>
        </is>
      </c>
      <c r="E14" t="inlineStr">
        <is>
          <t>runwayMonths</t>
        </is>
      </c>
      <c r="F14" s="3" t="inlineStr">
        <is>
          <t>essentialsMonthly</t>
        </is>
      </c>
      <c r="G14" s="3" t="inlineStr">
        <is>
          <t>MK-CF-F-190</t>
        </is>
      </c>
      <c r="H14" s="3" t="inlineStr">
        <is>
          <t>cushion in months = cash ÷ essentials a month, where essentials a month = the average of logged expenses over the months logged (MK-CF-F-189), else the typed figure</t>
        </is>
      </c>
      <c r="I14"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4" s="3" t="inlineStr">
        <is>
          <t>1. every logged expense → expenses [MK-XS-I-024]
2. the typed fallback → typed monthly expenses / essentials [MK-XS-I-025]
3. cash on hand → the Cash class [MK-XS-I-001]</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MK-CF-F-189 (essentialsFromLoggedSpending) → EssentialsAverage | null</t>
        </is>
      </c>
      <c r="P14" t="inlineStr">
        <is>
          <t>No function on record — nothing to chain</t>
        </is>
      </c>
      <c r="Q14" t="inlineStr">
        <is>
          <t>No function on record — assumptions unknown</t>
        </is>
      </c>
      <c r="R14" t="inlineStr"/>
      <c r="S14" t="inlineStr"/>
      <c r="T14"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4" t="inlineStr"/>
      <c r="V14"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4" t="inlineStr">
        <is>
          <t>Q47: for fewer than 12 months logged show average for logged duration, and update words on screen from TTM to show the logged duration. If 7 month detail is logged show "xxx - 7 month average". (answered in chat, 2026-09-08)</t>
        </is>
      </c>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t="inlineStr"/>
      <c r="AE14"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4" t="inlineStr">
        <is>
          <t>ACTIVE</t>
        </is>
      </c>
      <c r="AG14" t="inlineStr">
        <is>
          <t>2026-08-27</t>
        </is>
      </c>
      <c r="AJ14" s="3" t="inlineStr">
        <is>
          <t>MK-XS-I-024 logged expenses — read by MK-CF-F-189, MK-CF-F-190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6" t="inlineStr">
        <is>
          <t>TESTED, NOT VERIFIED (G21 / Q47, Tight ⚠ beside the emergency fund — kept)</t>
        </is>
      </c>
    </row>
    <row r="15">
      <c r="A15" t="inlineStr">
        <is>
          <t>MK-NW-M-014</t>
        </is>
      </c>
      <c r="B15" t="inlineStr">
        <is>
          <t>Networth</t>
        </is>
      </c>
      <c r="C15" t="inlineStr">
        <is>
          <t>NA</t>
        </is>
      </c>
      <c r="D15" t="inlineStr">
        <is>
          <t>of essentials covered by your cash — $X cash ÷ $Y/mo essentials</t>
        </is>
      </c>
      <c r="E15" t="inlineStr">
        <is>
          <t>cashOnHand / monthlySpend</t>
        </is>
      </c>
      <c r="F15" s="3" t="inlineStr">
        <is>
          <t>1. cashTotal
2. essentialsMonthly</t>
        </is>
      </c>
      <c r="G15" s="3" t="inlineStr">
        <is>
          <t>1. MK-NW-F-016
2. MK-CF-F-190</t>
        </is>
      </c>
      <c r="H15" s="3" t="inlineStr">
        <is>
          <t>months of cushion = cash ÷ essentials a month (MK-CF-F-190)</t>
        </is>
      </c>
      <c r="I15"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15" s="3" t="inlineStr">
        <is>
          <t>1. every logged expense → expenses [MK-XS-I-024]
2. the typed fallback → typed monthly expenses / essentials [MK-XS-I-025]
3. cash on hand → the Cash class [MK-XS-I-001]</t>
        </is>
      </c>
      <c r="K15" t="inlineStr">
        <is>
          <t>US dollars · held to the cent · shown as whole dollars  [derived by rule — confirm]</t>
        </is>
      </c>
      <c r="L15" s="3" t="inlineStr">
        <is>
          <t>No essentials figure (nothing logged and nothing typed) → the cushion shows its door: 'tell us what a typical month costs and this becomes a real number' (already built). No cash → the card is hidden.</t>
        </is>
      </c>
      <c r="M15" t="inlineStr">
        <is>
          <t>One figure per person — or per household when two people share one record  [derived by rule — confirm]</t>
        </is>
      </c>
      <c r="N15" t="inlineStr">
        <is>
          <t>As of today, from the latest figures held  [derived by rule — confirm]</t>
        </is>
      </c>
      <c r="O15" t="inlineStr">
        <is>
          <t>1. MK-NW-F-027 (accountClassBreakdown) → Record&lt;AssetClass, number&gt; | null
2. MK-NW-F-011 (assetClassOf) → AssetClass
3. MK-CF-F-189 (essentialsFromLoggedSpending) → EssentialsAverage | null</t>
        </is>
      </c>
      <c r="P15"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
10. MK-CF-F-069 benefitActiveMonths → MK-CF-F-092 incomeMonthlyGrid → MK-CF-F-002 plannedMonthlySpend
11. MK-XS-F-122 n → MK-ST-F-052 toNum → MK-CF-F-075 retirementIncomeMonthly → MK-CF-F-072 currentRetirementIncomeMonthly → MK-CF-F-092 incomeMonthlyGrid → MK-CF-F-002 plannedMonthlySpend
12. MK-XS-F-122 n → MK-ST-F-052 toNum → MK-CF-F-062 equityRowValue → MK-CF-F-065 equityVestWeights → MK-CF-F-092 incomeMonthlyGrid → MK-CF-F-002 plannedMonthlySpend
13. MK-CF-F-132 map → MK-CF-F-065 equityVestWeights → MK-CF-F-092 incomeMonthlyGrid → MK-CF-F-002 plannedMonthlySpend
14. MK-CF-F-069 benefitActiveMonths → MK-CF-F-070 benefitAnnual → MK-CF-F-071 extraIncome → MK-CF-F-092 incomeMonthlyGrid → MK-CF-F-002 plannedMonthlySpend
15. MK-XS-F-122 n → MK-ST-F-052 toNum → MK-CF-F-070 benefitAnnual → MK-CF-F-071 extraIncome → MK-CF-F-092 incomeMonthlyGrid → MK-CF-F-002 plannedMonthlySpend
16. MK-ST-F-039 on → MK-CF-F-071 extraIncome → MK-CF-F-092 incomeMonthlyGrid → MK-CF-F-002 plannedMonthlySpend
17. MK-XS-F-122 n → MK-ST-F-052 toNum → MK-CF-F-071 extraIncome → MK-CF-F-092 incomeMonthlyGrid → MK-CF-F-002 plannedMonthlySpend
18. … and 5 more paths</t>
        </is>
      </c>
      <c r="Q15"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MK-CF-F-092 — Uses today's date from the device clock, so the answer changes by itself overnight.
7. MK-CF-F-065 — Uses a built-in total v of 0.
8. MK-CF-F-087 — Uses today's date from the device clock, so the answer changes by itself overnight.
9. MK-CF-F-181 — Turns a monthly figure into a year by multiplying by twelve.
10. MK-CF-F-181 — Rounds the answer to a whole number.
11. MK-CF-F-068 — Turns a monthly figure into a year by multiplying by twelve.
12. MK-CF-F-088 — Uses today's date from the device clock, so the answer changes by itself overnight.
13. MK-CF-F-088 — Never lets t fall below 0.
14. MK-PL-F-012 — If emergency gap is missing it uses 0.
15. MK-PL-F-012 — If toxic debt is missing it uses 0.
16. MK-PL-F-012 — If employer match monthly is missing it uses 0.
17. MK-PL-F-012 — Never lets surplus fall below 0.
18. MK-PL-F-012 — Never lets need fall below 0.
19. MK-CF-F-003 — Turns a monthly figure into a year by multiplying by twelve.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21 more, on the functions tab</t>
        </is>
      </c>
      <c r="R15" t="inlineStr">
        <is>
          <t>DECIDES what counts as cash — and deliberately excludes money-market funds.</t>
        </is>
      </c>
      <c r="S15" t="inlineStr">
        <is>
          <t>Money-market funds are deliberately NOT counted as cash. Any institution that reports a sweep as a fund will therefore land in investments — worth watching per provider.</t>
        </is>
      </c>
      <c r="T15" s="3" t="inlineStr">
        <is>
          <t>[Founder] Cash means checking, savings, high-yield savings and the uninvested sweep at a broker. Money-market funds are investments, because they pay dividends and are measured with the investments (founder, 2026-08-04).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B03 [CLASH] — The file says "months of cushion = cash ÷ ESSENTIALS a month". The figure routes through plannedMonthlySpend (src/domain/budget/index.ts:45), which is the larger of every planned category added up and the stated total — ALL expenses,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15" t="inlineStr">
        <is>
          <t>HAS A FUNCTION — traceable from the screen to the code.</t>
        </is>
      </c>
      <c r="AD15" t="inlineStr"/>
      <c r="AE15" s="3" t="inlineStr">
        <is>
          <t>B03 — FIXED 2026-09-08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15" t="inlineStr">
        <is>
          <t>ACTIVE</t>
        </is>
      </c>
      <c r="AG15" t="inlineStr">
        <is>
          <t>2026-09-12</t>
        </is>
      </c>
      <c r="AJ15"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MK-XS-I-024 logged expenses — read by MK-CF-F-189, MK-CF-F-190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6" t="inlineStr">
        <is>
          <t>TESTED, NOT VERIFIED (G21 / Q47)</t>
        </is>
      </c>
    </row>
    <row r="16">
      <c r="A16" t="inlineStr">
        <is>
          <t>MK-NW-M-015</t>
        </is>
      </c>
      <c r="B16" t="inlineStr">
        <is>
          <t>Networth</t>
        </is>
      </c>
      <c r="C16" t="inlineStr">
        <is>
          <t>NA</t>
        </is>
      </c>
      <c r="D16" t="inlineStr">
        <is>
          <t>YOUR RETIREMENT PLAN — on track for $X by age Y</t>
        </is>
      </c>
      <c r="E16" t="inlineStr">
        <is>
          <t>pathAhead</t>
        </is>
      </c>
      <c r="F16" t="inlineStr">
        <is>
          <t>projectNestEgg</t>
        </is>
      </c>
      <c r="G16" t="inlineStr">
        <is>
          <t>MK-PL-F-055</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1. MK-CF-F-132 (map) → NOT DECLARED — the code does not say what it gives back
2. MK-PL-F-050 (simulate) → NOT DECLARED — the code does not say what it gives back</t>
        </is>
      </c>
      <c r="P16"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16"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16" t="inlineStr"/>
      <c r="S16" t="inlineStr">
        <is>
          <t>The Net worth screen builds this projection WITHOUT the person's big costs, while Cash flow, Budget, Goals and Social Security timing all include them. Same person, same day, two different nest eggs. Seen in the code; not yet confirmed on screen.</t>
        </is>
      </c>
      <c r="T16"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t="inlineStr">
        <is>
          <t>THE SAME FIGURE AS MK-PL-M-033 — The projected pot at retirement, shown on Net worth as "on track for $X by age Y" and on the cockpit as "your $X grows to $Y". One figure, two screens — the founder spotted this one himself.</t>
        </is>
      </c>
      <c r="V16" s="11" t="inlineStr">
        <is>
          <t>Q18 — Net worth projects the pot WITHOUT your big costs; Cash flow, Budget, Goals and Social Security timing all include them. Which is right for the Net worth screen?</t>
        </is>
      </c>
      <c r="W16" s="11" t="inlineStr"/>
      <c r="X16" t="inlineStr"/>
      <c r="Y16" t="inlineStr">
        <is>
          <t>NOT DETERMINED</t>
        </is>
      </c>
      <c r="Z16" t="inlineStr">
        <is>
          <t>VERIFIED 2026-08-22</t>
        </is>
      </c>
      <c r="AA16"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t="inlineStr">
        <is>
          <t>HAS A FUNCTION — traceable from the screen to the code.</t>
        </is>
      </c>
      <c r="AD16" t="inlineStr">
        <is>
          <t>B11 — This month — the future-paycheck figure omits contribution growth the code applies</t>
        </is>
      </c>
      <c r="AE16" t="inlineStr">
        <is>
          <t>A44 — NOT A DEFECT 2026-08-26
B11 — FIXED 2026-09-12</t>
        </is>
      </c>
      <c r="AF16" t="inlineStr">
        <is>
          <t>SUPERSEDED BY MK-PL-M-033 — the same figure under another identifier. This number is retired and is never handed to anything else.</t>
        </is>
      </c>
      <c r="AG16" t="inlineStr">
        <is>
          <t>2026-09-13</t>
        </is>
      </c>
      <c r="AJ16"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7" t="inlineStr">
        <is>
          <t>WAITING ON YOU — question Q18 · CODED, NOT TESTED (finding B11 names no test)</t>
        </is>
      </c>
    </row>
    <row r="17">
      <c r="A17" t="inlineStr">
        <is>
          <t>MK-NW-M-016</t>
        </is>
      </c>
      <c r="B17" t="inlineStr">
        <is>
          <t>Networth</t>
        </is>
      </c>
      <c r="C17" t="inlineStr">
        <is>
          <t>NA</t>
        </is>
      </c>
      <c r="D17" t="inlineStr">
        <is>
          <t>Net worth so far (setup)</t>
        </is>
      </c>
      <c r="E17" t="inlineStr">
        <is>
          <t>nw.net_worth</t>
        </is>
      </c>
      <c r="F17" t="inlineStr">
        <is>
          <t>buildNetWorth</t>
        </is>
      </c>
      <c r="G17" t="inlineStr">
        <is>
          <t>MK-NW-F-065</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1. everything owned → grossAssets  [MK-XS-I-001]
2.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MK-XS-F-175 (uid) → NOT DECLARED — the code does not say what it gives back</t>
        </is>
      </c>
      <c r="P17"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Q17"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25 more, on the functions tab</t>
        </is>
      </c>
      <c r="R17" t="inlineStr"/>
      <c r="S17" t="inlineStr"/>
      <c r="T17" t="inlineStr">
        <is>
          <t>[Founder] Assets minus debts, computed each time and never stored as a third number that could disagree with its own halves. A genuine negative is shown, never floored at zero.</t>
        </is>
      </c>
      <c r="U17" t="inlineStr">
        <is>
          <t>THE SAME FIGURE AS MK-XS-M-001 — Net worth. "Net worth so far" during setup is the same figure as the headline, mid-way through entry.</t>
        </is>
      </c>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SUPERSEDED BY MK-XS-M-001 — the same figure under another identifier. This number is retired and is never handed to anything else.</t>
        </is>
      </c>
      <c r="AG17" t="inlineStr">
        <is>
          <t>2026-08-27</t>
        </is>
      </c>
      <c r="AJ17"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MK-ST-F-073,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3" t="inlineStr">
        <is>
          <t>NOTHING OPEN</t>
        </is>
      </c>
    </row>
    <row r="18">
      <c r="A18" t="inlineStr">
        <is>
          <t>MK-NW-M-017</t>
        </is>
      </c>
      <c r="B18" t="inlineStr">
        <is>
          <t>Networth</t>
        </is>
      </c>
      <c r="C18" t="inlineStr">
        <is>
          <t>NA</t>
        </is>
      </c>
      <c r="D18" t="inlineStr">
        <is>
          <t>Assets $X − Debts $Y = Net worth $Z</t>
        </is>
      </c>
      <c r="E18" t="inlineStr">
        <is>
          <t>totalAssets / dState.total_debt_balance</t>
        </is>
      </c>
      <c r="F18" t="inlineStr">
        <is>
          <t>1. buildNetWorth
2. buildDebtState</t>
        </is>
      </c>
      <c r="G18" t="inlineStr">
        <is>
          <t>1. MK-NW-F-065
2. MK-CF-F-036</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1. everything owned → grossAssets  [MK-XS-I-001]
2. everything owed → grossDebt  [MK-XS-I-014]
3. every debt → debts  [MK-XS-I-014]
4. rates → interest_rate_apr  [MK-XS-I-015]
5. payments → the minimum and chosen payments  [MK-XS-I-016]</t>
        </is>
      </c>
      <c r="K18" t="inlineStr">
        <is>
          <t>US dollars · held to the cent · shown as whole dollars  [derived by rule — confirm]</t>
        </is>
      </c>
      <c r="L18" s="3" t="inlineStr">
        <is>
          <t>$0, and under it the one line "Nothing entered yet. Add your accounts ›" (mock approved 2026-09-12). A real zero that was entered shows a plain $0 with no line.</t>
        </is>
      </c>
      <c r="M18" t="inlineStr">
        <is>
          <t>One figure per debt, and one total per person  [derived by rule — confirm]</t>
        </is>
      </c>
      <c r="N18" t="inlineStr">
        <is>
          <t>As of today, from the latest figures held  [derived by rule — confirm]</t>
        </is>
      </c>
      <c r="O18" t="inlineStr">
        <is>
          <t>1. MK-XS-F-175 (uid) → NOT DECLARED — the code does not say what it gives back
2. MK-CF-F-026 (actualDebtPayment) → number
3. MK-CF-F-025 (minimumDebtService) → number</t>
        </is>
      </c>
      <c r="P18"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
10. MK-CF-F-021 defaultPaymentType → MK-CF-F-022 paymentShape → MK-CF-F-023 requiredPayment → MK-CF-F-024 totalDebtMonthly → MK-CF-F-026 actualDebtPayment → MK-CF-F-036 buildDebtState
11. MK-CF-F-021 defaultPaymentType → MK-CF-F-022 paymentShape → MK-CF-F-025 minimumDebtService → MK-CF-F-036 buildDebtState
12. MK-ST-F-027 accountId → MK-XS-F-175 uid → MK-CF-F-036 buildDebtState
13. MK-CF-F-137 findPos → MK-CF-F-138 addLot → MK-CF-F-111 applyTransaction → MK-XS-F-175 uid → MK-CF-F-036 buildDebtState
14. MK-CF-F-132 map → MK-CF-F-138 addLot → MK-CF-F-111 applyTransaction → MK-XS-F-175 uid → MK-CF-F-036 buildDebtState
15. MK-ST-F-043 newEntityId → MK-CF-F-138 addLot → MK-CF-F-111 applyTransaction → MK-XS-F-175 uid → MK-CF-F-036 buildDebtState
16. MK-CF-F-134 usesSleeve → MK-CF-F-136 bumpCash → MK-CF-F-111 applyTransaction → MK-XS-F-175 uid → MK-CF-F-036 buildDebtState
17. MK-CF-F-137 findPos → MK-CF-F-111 applyTransaction → MK-XS-F-175 uid → MK-CF-F-036 buildDebtState
18. … and 4 more paths</t>
        </is>
      </c>
      <c r="Q18"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27 more, on the functions tab</t>
        </is>
      </c>
      <c r="R18" t="inlineStr"/>
      <c r="S18" t="inlineStr"/>
      <c r="T18" t="inlineStr">
        <is>
          <t>[Founder] Assets minus debts, computed each time and never stored as a third number that could disagree with its own halves. A genuine negative is shown, never floored at zero.</t>
        </is>
      </c>
      <c r="U18" t="inlineStr"/>
      <c r="V18" t="inlineStr"/>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8" t="inlineStr">
        <is>
          <t>HAS A FUNCTION — traceable from the screen to the code.</t>
        </is>
      </c>
      <c r="AD18" t="inlineStr"/>
      <c r="AE18" s="3" t="inlineStr">
        <is>
          <t>B19 — FIXED 2026-09-12
G32 / Q48 — RULED 2026-09-09: $0 stays, with the sentence '$0 — nothing entered yet.' and this row's door ('Add your accounts ›'). File written; the screen follows the approved empty-state mock (one pattern, one screen), then every screen.</t>
        </is>
      </c>
      <c r="AF18" t="inlineStr">
        <is>
          <t>ACTIVE</t>
        </is>
      </c>
      <c r="AG18" t="inlineStr">
        <is>
          <t>2026-08-27</t>
        </is>
      </c>
      <c r="AJ18"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MK-CF-F-036, MK-CF-F-038
12. MK-XS-I-015 debt interest rate — read by MK-CF-F-036, MK-CF-F-038
13. MK-XS-I-016 debt minimum payment — read by MK-CF-F-023, MK-CF-F-025,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MK-XS-I-041 the payment the person chose to make on a debt — read by MK-CF-F-023
33. MK-XS-I-042 how a stream is paid — monthly, yearly or one lump — read by MK-CF-F-021, MK-CF-F-022, MK-CF-F-023, MK-CF-F-025
34. MK-XS-I-044 the person’s own plan overrides — read by MK-XS-F-174, MK-XS-F-175
35. MK-XS-I-048 the person’s own asset-class answer — read by MK-NW-F-054, MK-ST-F-027, MK-ST-F-028, MK-ST-F-073, MK-XS-F-175
36. MK-XS-I-055 the wrapper an account sits in — ISA, 401(k), IRA and the rest — read by MK-CF-F-075, MK-CF-F-138, MK-NW-F-040, MK-NW-F-053, MK-PF-F-013, MK-PF-F-031, MK
37. MK-XS-I-056 how a holding was classified, and by whom — read by MK-XS-F-175
38. MK-XS-I-060 how a person is paid — weekly, fortnightly, monthly — read by MK-CF-F-185, MK-CF-F-186
39.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CODED, NOT TESTED (Net-worth flow diagram)</t>
        </is>
      </c>
    </row>
    <row r="19">
      <c r="A19" t="inlineStr">
        <is>
          <t>MK-NW-M-018</t>
        </is>
      </c>
      <c r="B19" t="inlineStr">
        <is>
          <t>Networth</t>
        </is>
      </c>
      <c r="C19" t="inlineStr">
        <is>
          <t>/account-detail</t>
        </is>
      </c>
      <c r="D19" t="inlineStr">
        <is>
          <t>Market value</t>
        </is>
      </c>
      <c r="E19" t="inlineStr">
        <is>
          <t>account.balance</t>
        </is>
      </c>
      <c r="F19" t="inlineStr">
        <is>
          <t>valueFreshness</t>
        </is>
      </c>
      <c r="G19" s="3" t="inlineStr"/>
      <c r="H19" t="inlineStr">
        <is>
          <t>value = the balance last recorded;  age = today − date it was recorded</t>
        </is>
      </c>
      <c r="I19"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9" t="inlineStr">
        <is>
          <t>1. the account → a  [MK-XS-I-001]
2. when the value was set → value_as_of  [MK-XS-I-033]
3.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 function on record — nothing to chain</t>
        </is>
      </c>
      <c r="P19" t="inlineStr">
        <is>
          <t>No dependent function — it reads its inputs and answers</t>
        </is>
      </c>
      <c r="Q19" t="inlineStr">
        <is>
          <t>1. MK-NW-F-003 — Turns a monthly figure into a year by multiplying by twelve.
2. MK-NW-F-003 — Uses today's date from the device clock, so the answer changes by itself overnight.</t>
        </is>
      </c>
      <c r="R19" t="inlineStr">
        <is>
          <t>DECIDES whether a stated value is fresh enough to show without a warning.</t>
        </is>
      </c>
      <c r="S19" t="inlineStr"/>
      <c r="T19" t="inlineStr">
        <is>
          <t>NOT DETERMINED — no assumption recorded for this figure yet.</t>
        </is>
      </c>
      <c r="U19" t="inlineStr">
        <is>
          <t>THE SURVIVING IDENTIFIER for this figure. Folded in: MK-PL-M-016. An account's value. The balance listed under required withdrawals is the same figure as Market value on account detail.</t>
        </is>
      </c>
      <c r="V19" s="11" t="inlineStr">
        <is>
          <t>Q23 — Same question for a value you typed by hand: after how long should the app ask you to check it?</t>
        </is>
      </c>
      <c r="W19" s="11"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9" t="inlineStr">
        <is>
          <t>HAS A FUNCTION — traceable from the screen to the code.</t>
        </is>
      </c>
      <c r="AD19" t="inlineStr"/>
      <c r="AE19" t="inlineStr">
        <is>
          <t>B14 — FIXED 2026-09-12</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7" t="inlineStr">
        <is>
          <t>WAITING ON YOU — question Q23 · CODED, NOT TESTED (finding B14 names no test)</t>
        </is>
      </c>
    </row>
    <row r="20">
      <c r="A20" t="inlineStr">
        <is>
          <t>MK-NW-M-019</t>
        </is>
      </c>
      <c r="B20" t="inlineStr">
        <is>
          <t>Networth</t>
        </is>
      </c>
      <c r="C20" t="inlineStr">
        <is>
          <t>/account-detail</t>
        </is>
      </c>
      <c r="D20" t="inlineStr">
        <is>
          <t>Income</t>
        </is>
      </c>
      <c r="E20" t="inlineStr">
        <is>
          <t>acctIncome</t>
        </is>
      </c>
      <c r="F20" t="inlineStr">
        <is>
          <t>NOT ON RECORD — no function is recorded for this figure</t>
        </is>
      </c>
      <c r="G20" t="inlineStr"/>
      <c r="H20" t="inlineStr">
        <is>
          <t>income = Σ(interest + dividends recorded on this account in the period)</t>
        </is>
      </c>
      <c r="I20" t="inlineStr">
        <is>
          <t>Adds the income lines the ledger holds for this account over the period shown.</t>
        </is>
      </c>
      <c r="J20" t="inlineStr">
        <is>
          <t>NOT DETERMINED — no input list on record for this function</t>
        </is>
      </c>
      <c r="K20"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t="inlineStr">
        <is>
          <t>One figure per person — or per household when two people share one record  [derived by rule — confirm]</t>
        </is>
      </c>
      <c r="N20" t="inlineStr">
        <is>
          <t>As of today, from the latest figures held  [derived by rule — confirm]</t>
        </is>
      </c>
      <c r="O20" t="inlineStr">
        <is>
          <t>No function on record — nothing to chain</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s="11" t="inlineStr">
        <is>
          <t>Q15 — An institution word we do not recognise: refuse the line and ask you, or book it as unclassified with no direction? The old sign-guess is what minted the $1.4 million.</t>
        </is>
      </c>
      <c r="W20" s="11"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0" t="inlineStr">
        <is>
          <t>ACTIVE</t>
        </is>
      </c>
      <c r="AG20" t="inlineStr">
        <is>
          <t>2026-08-27</t>
        </is>
      </c>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7" t="inlineStr">
        <is>
          <t>WAITING ON YOU — question Q15</t>
        </is>
      </c>
    </row>
    <row r="21">
      <c r="A21" t="inlineStr">
        <is>
          <t>MK-NW-M-020</t>
        </is>
      </c>
      <c r="B21" t="inlineStr">
        <is>
          <t>Networth</t>
        </is>
      </c>
      <c r="C21" t="inlineStr">
        <is>
          <t>/account-detail</t>
        </is>
      </c>
      <c r="D21" t="inlineStr">
        <is>
          <t>each asset class inside the account</t>
        </is>
      </c>
      <c r="E21" t="inlineStr">
        <is>
          <t>breakdown[k]</t>
        </is>
      </c>
      <c r="F21" t="inlineStr">
        <is>
          <t>accountClassBreakdown</t>
        </is>
      </c>
      <c r="G21" t="inlineStr">
        <is>
          <t>MK-NW-F-027</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1. the account → a  [MK-XS-I-001]
2. its total → balance  [MK-XS-I-001]
3. uninvested → cash_balance  [MK-XS-I-001]
4. holdings → positions[]  [MK-XS-I-004]
5. options → option_holdings[]  [MK-XS-I-034]</t>
        </is>
      </c>
      <c r="K21" t="inlineStr">
        <is>
          <t>A count · whole units, except crypto which keeps its fractions  [derived by rule — confirm]</t>
        </is>
      </c>
      <c r="L21" s="3" t="inlineStr">
        <is>
          <t>$0, and under it the one line "Nothing entered yet. Add a holding ›" (mock approved 2026-09-12). A real zero that was entered shows a plain $0 with no line.</t>
        </is>
      </c>
      <c r="M21" t="inlineStr">
        <is>
          <t>One figure per account  [derived by rule — confirm]</t>
        </is>
      </c>
      <c r="N21" t="inlineStr">
        <is>
          <t>As of today, from the latest figures held  [derived by rule — confirm]</t>
        </is>
      </c>
      <c r="O21" t="inlineStr">
        <is>
          <t>1. MK-NW-F-011 (assetClassOf) → AssetClass
2. MK-CF-F-155 (cash) → number
3. MK-NW-F-008 (incomeBearingClassOf) → AssetClass | null</t>
        </is>
      </c>
      <c r="P21"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Q21"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is>
      </c>
      <c r="R21" t="inlineStr">
        <is>
          <t>DECIDES which class each holding inside one account belongs to, then how much of the account total sits in each.</t>
        </is>
      </c>
      <c r="S21" t="inlineStr">
        <is>
          <t>Reported by the 54-item audit as one of the places a total and its parts can disagree; the reconciliation assertion now catches it, but the screen has no way to say so yet.</t>
        </is>
      </c>
      <c r="T21" t="inlineStr">
        <is>
          <t>NOT DETERMINED — no assumption recorded for this figure yet.</t>
        </is>
      </c>
      <c r="U21" t="inlineStr"/>
      <c r="V21" t="inlineStr"/>
      <c r="W21" t="inlineStr"/>
      <c r="X21" t="inlineStr"/>
      <c r="Y21" t="inlineStr">
        <is>
          <t>NOT DETERMINED</t>
        </is>
      </c>
      <c r="Z21" t="inlineStr">
        <is>
          <t>VERIFIED 2026-08-22</t>
        </is>
      </c>
      <c r="AA21"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21" t="inlineStr">
        <is>
          <t>HAS A FUNCTION — traceable from the screen to the code.</t>
        </is>
      </c>
      <c r="AD21" t="inlineStr"/>
      <c r="AE21" s="3" t="inlineStr">
        <is>
          <t>A50 — OPEN since 2026-08-26 — nothing has closed this. It is not known to be wrong; it is known to be unaddressed.
B15 — FIXED 2026-08-27
G32 / Q48 — RULED 2026-09-09: $0 stays, with the sentence '$0 — nothing entered yet.' and this row's door ('Add a holding ›'). File written; the screen follows the approved empty-state mock (one pattern, one screen), then every screen.</t>
        </is>
      </c>
      <c r="AF21" t="inlineStr">
        <is>
          <t>ACTIVE</t>
        </is>
      </c>
      <c r="AG21" t="inlineStr">
        <is>
          <t>2026-08-27</t>
        </is>
      </c>
      <c r="AJ21" s="3" t="inlineStr">
        <is>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8" t="inlineStr">
        <is>
          <t>OPEN FINDING A50 · CODED, NOT TESTED (finding B15 names no test)</t>
        </is>
      </c>
    </row>
    <row r="22">
      <c r="A22" t="inlineStr">
        <is>
          <t>MK-NW-M-021</t>
        </is>
      </c>
      <c r="B22" t="inlineStr">
        <is>
          <t>Networth</t>
        </is>
      </c>
      <c r="C22" t="inlineStr">
        <is>
          <t>/account-detail</t>
        </is>
      </c>
      <c r="D22" t="inlineStr">
        <is>
          <t>Income: &lt;amount&gt; on a holding row</t>
        </is>
      </c>
      <c r="E22" t="inlineStr">
        <is>
          <t>incomeOf(rw)</t>
        </is>
      </c>
      <c r="F22" t="inlineStr">
        <is>
          <t>NOT ON RECORD — no function is recorded for this figure</t>
        </is>
      </c>
      <c r="G22" t="inlineStr"/>
      <c r="H22" t="inlineStr">
        <is>
          <t>income = Σ(income lines recorded against this holding)</t>
        </is>
      </c>
      <c r="I22" t="inlineStr">
        <is>
          <t>Adds the income the ledger holds for that one holding.</t>
        </is>
      </c>
      <c r="J22" t="inlineStr">
        <is>
          <t>NOT DETERMINED — no input list on record for this function</t>
        </is>
      </c>
      <c r="K22" t="inlineStr">
        <is>
          <t>US dollars · held to the cent · shown as whole dollars  [derived by rule — confirm]</t>
        </is>
      </c>
      <c r="L22" s="3" t="inlineStr">
        <is>
          <t>$0, and under it the one line "Nothing entered yet. Add your income ›" (mock approved 2026-09-12). A real zero that was entered shows a plain $0 with no line.</t>
        </is>
      </c>
      <c r="M22" t="inlineStr">
        <is>
          <t>One figure per holding  [derived by rule — confirm]</t>
        </is>
      </c>
      <c r="N22" t="inlineStr">
        <is>
          <t>As of today, from the latest figures held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MK-NW-M-022</t>
        </is>
      </c>
      <c r="B23" t="inlineStr">
        <is>
          <t>Networth</t>
        </is>
      </c>
      <c r="C23" t="inlineStr">
        <is>
          <t>/account-detail</t>
        </is>
      </c>
      <c r="D23" t="inlineStr">
        <is>
          <t>ACTIVITY — n records</t>
        </is>
      </c>
      <c r="E23" t="inlineStr">
        <is>
          <t>txns.length</t>
        </is>
      </c>
      <c r="F23" t="inlineStr">
        <is>
          <t>mergeHistoryFrom</t>
        </is>
      </c>
      <c r="G23" s="3" t="inlineStr"/>
      <c r="H23" t="inlineStr">
        <is>
          <t>records = count(transactions held for this account)</t>
        </is>
      </c>
      <c r="I23" s="3" t="inlineStr">
        <is>
          <t>The number of activity records held for this account — a count, no arithmetic. The "since" date beside it is the earliest record date (MK-XS-F-111).</t>
        </is>
      </c>
      <c r="J23" t="inlineStr">
        <is>
          <t>1. what we knew → existing  [NOT AN INPUT — another function’s answer; see the dependency column]
2. the dates in this sync → activityDates  [NOT AN INPUT — another function’s answer; see the dependency column]</t>
        </is>
      </c>
      <c r="K23" t="inlineStr">
        <is>
          <t>A count · whole units, except crypto which keeps its fractions  [derived by rule — confirm]</t>
        </is>
      </c>
      <c r="L23" t="inlineStr">
        <is>
          <t>NOT DETERMINED — this function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 function on record — nothing to chain</t>
        </is>
      </c>
      <c r="P23" t="inlineStr">
        <is>
          <t>MK-CF-F-132 map → MK-XS-F-111 mergeHistoryFrom</t>
        </is>
      </c>
      <c r="Q23" t="inlineStr">
        <is>
          <t>None found anywhere in this chain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1. B12 [MISNAMED] — The figure is a COUNT of records. The function it names, MK-XS-F-111 mergeHistoryFrom, returns the earlier of two dates. The two have nothing to do with each other, so the figure has no function on record and does not know it.</t>
        </is>
      </c>
      <c r="AC23" t="inlineStr">
        <is>
          <t>HAS A FUNCTION — traceable from the screen to the code.</t>
        </is>
      </c>
      <c r="AD23" t="inlineStr"/>
      <c r="AE23" t="inlineStr">
        <is>
          <t>B12 — FIXED 2026-09-12</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7" t="inlineStr">
        <is>
          <t>CODED, NOT TESTED (finding B12 names no test)</t>
        </is>
      </c>
    </row>
    <row r="24">
      <c r="A24" t="inlineStr">
        <is>
          <t>MK-NW-M-023</t>
        </is>
      </c>
      <c r="B24" t="inlineStr">
        <is>
          <t>Networth</t>
        </is>
      </c>
      <c r="C24" t="inlineStr">
        <is>
          <t>/account-detail</t>
        </is>
      </c>
      <c r="D24" t="inlineStr">
        <is>
          <t>Face value</t>
        </is>
      </c>
      <c r="E24" t="inlineStr">
        <is>
          <t>b.face</t>
        </is>
      </c>
      <c r="F24" t="inlineStr">
        <is>
          <t>bondInfo</t>
        </is>
      </c>
      <c r="G24" t="inlineStr">
        <is>
          <t>MK-NW-F-056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s="3" t="inlineStr">
        <is>
          <t>$0, and under it the one line "Nothing entered yet. Add a bond ›" (mock approved 2026-09-12). A real zero that was entered shows a plain $0 with no line.</t>
        </is>
      </c>
      <c r="M24" t="inlineStr">
        <is>
          <t>One figure per bond  [derived by rule — confirm]</t>
        </is>
      </c>
      <c r="N24" t="inlineStr">
        <is>
          <t>As of today, from the latest figures held  [derived by rule — confirm]</t>
        </is>
      </c>
      <c r="O24" t="inlineStr">
        <is>
          <t>MK-CF-F-155 (cash) → number</t>
        </is>
      </c>
      <c r="P24" t="inlineStr">
        <is>
          <t>MK-XS-F-122 n → MK-CF-F-155 cash → MK-NW-F-056 bondInfo</t>
        </is>
      </c>
      <c r="Q24"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24" t="inlineStr">
        <is>
          <t>DECIDES how a bond is NAMED on screen — issuer, or the identifying number, or a plain description; and DECIDES whether a line is a bond at all.</t>
        </is>
      </c>
      <c r="S24" t="inlineStr"/>
      <c r="T24" t="inlineStr">
        <is>
          <t>NOT DETERMINED — no assumption recorded for this figure yet.</t>
        </is>
      </c>
      <c r="U24" t="inlineStr"/>
      <c r="V24" s="11"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W24" s="11"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AGREES — the figure's arithmetic and the arithmetic of the function it names say the same thing. Checked 2026-08-26.</t>
        </is>
      </c>
      <c r="AC24" t="inlineStr">
        <is>
          <t>HAS A FUNCTION — traceable from the screen to the code.</t>
        </is>
      </c>
      <c r="AD24" t="inlineStr"/>
      <c r="AE24" s="3" t="inlineStr">
        <is>
          <t>No finding on this row. That is not a statement that the row is right — only that nothing has been written against it.
G32 / Q48 — RULED 2026-09-09: $0 stays, with the sentence '$0 — nothing entered yet.' and this row's door ('Add a bond ›'). File written; the screen follows the approved empty-state mock (one pattern, one screen), then every screen.</t>
        </is>
      </c>
      <c r="AF24" t="inlineStr">
        <is>
          <t>ACTIVE</t>
        </is>
      </c>
      <c r="AG24" t="inlineStr">
        <is>
          <t>2026-08-27</t>
        </is>
      </c>
      <c r="AJ24"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7" t="inlineStr">
        <is>
          <t>WAITING ON YOU — question Q01, Q02, Q03</t>
        </is>
      </c>
    </row>
    <row r="25">
      <c r="A25" t="inlineStr">
        <is>
          <t>MK-NW-M-024</t>
        </is>
      </c>
      <c r="B25" t="inlineStr">
        <is>
          <t>Networth</t>
        </is>
      </c>
      <c r="C25" t="inlineStr">
        <is>
          <t>/account-detail</t>
        </is>
      </c>
      <c r="D25" t="inlineStr">
        <is>
          <t>Interest payments — X%/yr · $Y/yr</t>
        </is>
      </c>
      <c r="E25" t="inlineStr">
        <is>
          <t>annualCoupon(b)</t>
        </is>
      </c>
      <c r="F25" t="inlineStr">
        <is>
          <t>annualCoupon</t>
        </is>
      </c>
      <c r="G25" t="inlineStr">
        <is>
          <t>MK-NW-F-057</t>
        </is>
      </c>
      <c r="H25" t="inlineStr">
        <is>
          <t>annual coupon = face × coupon rate</t>
        </is>
      </c>
      <c r="I25" t="inlineStr">
        <is>
          <t>face value × coupon rate. NOT what the bond is worth today × the rate — a $10,000 bond paying 4% pays $400 whether it is trading at $9,800 or $11,000.</t>
        </is>
      </c>
      <c r="J25" t="inlineStr">
        <is>
          <t>1. face value → face  [MK-XS-I-011]
2. coupon rate → couponRate  [MK-XS-I-012]</t>
        </is>
      </c>
      <c r="K25" t="inlineStr">
        <is>
          <t>Percent · one decimal shown  [derived by rule — confirm]</t>
        </is>
      </c>
      <c r="L25" t="inlineStr">
        <is>
          <t>NOT DETERMINED — this function has not been read for its refusal yet.</t>
        </is>
      </c>
      <c r="M25" t="inlineStr">
        <is>
          <t>One figure per bond  [derived by rule — confirm]</t>
        </is>
      </c>
      <c r="N25" t="inlineStr">
        <is>
          <t>The last twelve months  [derived by rule — confirm]</t>
        </is>
      </c>
      <c r="O25" t="inlineStr">
        <is>
          <t>None — it reads its inputs and answers</t>
        </is>
      </c>
      <c r="P25" t="inlineStr">
        <is>
          <t>No dependent function — it reads its inputs and answers</t>
        </is>
      </c>
      <c r="Q25" t="inlineStr">
        <is>
          <t>None found anywhere in this chain</t>
        </is>
      </c>
      <c r="R25" t="inlineStr"/>
      <c r="S25" t="inlineStr"/>
      <c r="T25" t="inlineStr">
        <is>
          <t>NOT DETERMINED — no assumption recorded for this figure yet.</t>
        </is>
      </c>
      <c r="U25" t="inlineStr">
        <is>
          <t>THE SURVIVING IDENTIFIER for this figure. Folded in: MK-NW-M-043. The coupon a bond pays in a year. "Interest payments" on account detail and "COUPON / YR" on the bonds screen.</t>
        </is>
      </c>
      <c r="V25" s="11" t="inlineStr">
        <is>
          <t>Q04 — "Annual income" on a bond: the last twelve months actually received, or the forward estimate from today's coupon? Both are defensible and they differ.</t>
        </is>
      </c>
      <c r="W25" s="11" t="inlineStr"/>
      <c r="X25" t="inlineStr"/>
      <c r="Y25" t="inlineStr">
        <is>
          <t>NOT DETERMINED</t>
        </is>
      </c>
      <c r="Z25" t="inlineStr">
        <is>
          <t>VERIFIED 2026-08-22</t>
        </is>
      </c>
      <c r="AA25"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t="inlineStr">
        <is>
          <t>A46 — FIXED 2026-09-11</t>
        </is>
      </c>
      <c r="AF25" t="inlineStr">
        <is>
          <t>ACTIVE</t>
        </is>
      </c>
      <c r="AG25" t="inlineStr">
        <is>
          <t>2026-08-27</t>
        </is>
      </c>
      <c r="AJ25" s="3" t="inlineStr">
        <is>
          <t>1. MK-XS-I-011 bond face value — read by MK-NW-F-057
2. MK-XS-I-012 bond coupon rate — read by MK-NW-F-057
3. MK-XS-I-049 bond price — what the bond is worth today — read by MK-NW-F-057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7" t="inlineStr">
        <is>
          <t>WAITING ON YOU — question Q04 · CODED, NOT TESTED (finding A46 names no test)</t>
        </is>
      </c>
    </row>
    <row r="26">
      <c r="A26" t="inlineStr">
        <is>
          <t>MK-NW-M-025</t>
        </is>
      </c>
      <c r="B26" t="inlineStr">
        <is>
          <t>Networth</t>
        </is>
      </c>
      <c r="C26" t="inlineStr">
        <is>
          <t>/account-detail</t>
        </is>
      </c>
      <c r="D26" t="inlineStr">
        <is>
          <t>Matures — &lt;date&gt; (n years away)</t>
        </is>
      </c>
      <c r="E26" t="inlineStr">
        <is>
          <t>years</t>
        </is>
      </c>
      <c r="F26" t="inlineStr">
        <is>
          <t>yearsToMaturity</t>
        </is>
      </c>
      <c r="G26" t="inlineStr">
        <is>
          <t>MK-NW-F-058</t>
        </is>
      </c>
      <c r="H26" s="3" t="inlineStr">
        <is>
          <t>years to maturity = (maturity date − today) ÷ 365.25 days;  already past → 0;  NO maturity date, or an unreadable one → no answer (nothing is invented)</t>
        </is>
      </c>
      <c r="I26" s="3" t="inlineStr">
        <is>
          <t>Maturity date minus today, in years (365.25 days to the year). Anything already past → 0. No maturity date, or one that cannot be read → NO answer: the years, the yield to maturity and the rate sensitivity all refuse, and the screen asks for the date.</t>
        </is>
      </c>
      <c r="J26" t="inlineStr">
        <is>
          <t>1. maturity → maturity  [MK-XS-I-013]
2. today → now  [NOT AN INPUT — a setting or a filter, not data anyone supplies]</t>
        </is>
      </c>
      <c r="K26" t="inlineStr">
        <is>
          <t>A date  [derived by rule — confirm]</t>
        </is>
      </c>
      <c r="L26" s="3" t="inlineStr">
        <is>
          <t>No maturity date → the 'Matures' line is not shown; a matured bond shows '(matured)'.</t>
        </is>
      </c>
      <c r="M26" t="inlineStr">
        <is>
          <t>One figure per bond  [derived by rule — confirm]</t>
        </is>
      </c>
      <c r="N26" t="inlineStr">
        <is>
          <t>This calendar year, to today  [derived by rule — confirm]</t>
        </is>
      </c>
      <c r="O26" t="inlineStr">
        <is>
          <t>None — it reads its inputs and answers</t>
        </is>
      </c>
      <c r="P26" t="inlineStr">
        <is>
          <t>No dependent function — it reads its inputs and answers</t>
        </is>
      </c>
      <c r="Q26" t="inlineStr">
        <is>
          <t>1. MK-NW-F-058 — Uses today's date from the device clock, so the answer changes by itself overnight.
2. MK-NW-F-058 — No maturity date, or an unreadable one, gives NO answer — not zero and not "due now" (G11, founder 2026-09-12); the yield to maturity and the rate sensitivity then refuse too.</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A31 — This file says years to maturity is the gap divided by 365, and repeats it in the assumptions as "treats a year as 365 days". The code divides by 365.25.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1. B08 [CLASH] — The file divides by 365 days; the code (yearsToMaturity) divides by 365.25. Also finding A31.</t>
        </is>
      </c>
      <c r="AC26" t="inlineStr">
        <is>
          <t>HAS A FUNCTION — traceable from the screen to the code.</t>
        </is>
      </c>
      <c r="AD26" t="inlineStr"/>
      <c r="AE26" s="3" t="inlineStr">
        <is>
          <t>A31 — FIXED 2026-08-27
B08 — FIXED 2026-08-27
G32 / Q48 — 2026-09-09: the 'division with nothing on the bottom' boilerplate is gone; this cell now states the row's real refusal. Where it says 'built', the screen already does it; the rest follow the empty-state mock.</t>
        </is>
      </c>
      <c r="AF26" t="inlineStr">
        <is>
          <t>ACTIVE</t>
        </is>
      </c>
      <c r="AG26" t="inlineStr">
        <is>
          <t>2026-08-27</t>
        </is>
      </c>
      <c r="AJ26" s="3" t="inlineStr">
        <is>
          <t>MK-XS-I-013 bond maturity date — read by MK-NW-F-058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6" t="inlineStr">
        <is>
          <t>TESTED, NOT VERIFIED (G11)</t>
        </is>
      </c>
    </row>
    <row r="27">
      <c r="A27" t="inlineStr">
        <is>
          <t>MK-NW-M-026</t>
        </is>
      </c>
      <c r="B27" t="inlineStr">
        <is>
          <t>Networth</t>
        </is>
      </c>
      <c r="C27" t="inlineStr">
        <is>
          <t>/account-detail</t>
        </is>
      </c>
      <c r="D27" t="inlineStr">
        <is>
          <t>Yield if held to maturity</t>
        </is>
      </c>
      <c r="E27" t="inlineStr">
        <is>
          <t>ytm</t>
        </is>
      </c>
      <c r="F27" t="inlineStr">
        <is>
          <t>approxYTM</t>
        </is>
      </c>
      <c r="G27" t="inlineStr">
        <is>
          <t>MK-NW-F-060</t>
        </is>
      </c>
      <c r="H27" s="3" t="inlineStr">
        <is>
          <t>yield to maturity ≈ (annual coupon + (face − value) ÷ years left) ÷ ((face + value) ÷ 2)   — the straight-line approximation, rounded to 4 decimal places; value = the bond's current value as entered (the balance), on the same total basis as face</t>
        </is>
      </c>
      <c r="I27"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27" t="inlineStr">
        <is>
          <t>1. coupon → annualCoupon  [MK-XS-I-012]
2. face → face  [MK-XS-I-011]
3. value → value  [MK-XS-I-001]
4.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1. MK-NW-F-057 (annualCoupon) → number
2. MK-XS-F-122 (n) → number
3. MK-NW-F-058 (yearsToMaturity) → number | null</t>
        </is>
      </c>
      <c r="P27" t="inlineStr">
        <is>
          <t>1. MK-NW-F-057 annualCoupon → MK-NW-F-060 approxYTM
2. MK-XS-F-122 n → MK-NW-F-060 approxYTM
3. MK-NW-F-058 yearsToMaturity → MK-NW-F-060 approxYTM</t>
        </is>
      </c>
      <c r="Q27" t="inlineStr">
        <is>
          <t>1. MK-NW-F-060 — Uses today's date from the device clock, so the answer changes by itself overnight.
2. MK-NW-F-060 — 'value' is the bond's current value as entered (the balance) — the SAME total basis as face, not a price per $100 (founder question G20, 2026-09-08).
3. MK-NW-F-058 — Uses today's date from the device clock, so the answer changes by itself overnight.
4. MK-NW-F-058 — No maturity date, or an unreadable one, gives NO answer — not zero and not "due now" (G11, founder 2026-09-12); the yield to maturity and the rate sensitivity then refuse too.</t>
        </is>
      </c>
      <c r="R27" t="inlineStr"/>
      <c r="S27" t="inlineStr"/>
      <c r="T27" t="inlineStr">
        <is>
          <t>NOT DETERMINED — no assumption recorded for this figure yet.</t>
        </is>
      </c>
      <c r="U27" t="inlineStr"/>
      <c r="V27" s="11" t="inlineStr">
        <is>
          <t>Q05 — Accrued interest: do we work it out ourselves — which needs a day-count rule per bond type — or only show what the institution gives us?</t>
        </is>
      </c>
      <c r="W27" s="11" t="inlineStr"/>
      <c r="X27" t="inlineStr"/>
      <c r="Y27" t="inlineStr">
        <is>
          <t>NOT DETERMINED</t>
        </is>
      </c>
      <c r="Z27" t="inlineStr">
        <is>
          <t>VERIFIED 2026-08-22</t>
        </is>
      </c>
      <c r="AA27" t="inlineStr">
        <is>
          <t>1. A30 — Yield to maturity: this file states the root solve — value = Sum(coupon/(1+y)^t) + face/(1+y)^n. The code (src/domain/bonds/index.ts:37) is approxYTM, the straight-line approximation (coupon + (face-value)/n) / ((face+value)/2). Measured gap 4 to 27 basis points, widening with the discount and the maturity: a 25-year 2% bond priced at 60 reads 4.50% where the stated formula gives 4.77%. This is a figure the founder can check against a broker statement, so it is a kind-B reconciliation that will fail.
2. A33 — Yield to maturity is computed with annual compounding over whole-year periods. US bonds pay semi-annually and yield is quoted bond-equivalent (semi-annual, doubled). Neither the file nor the code says which convention it means, and the two do not agree.
3. A31 — This file says years to maturity is the gap divided by 365, and repeats it in the assumptions as "treats a year as 365 days". The code divides by 365.25.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B09 [CLASH] — The file states the root solve — the rate that discounts every coupon and the face value back to the price. The code (approxYTM) is the straight-line approximation, 4 to 27 basis points away. Also finding A30.</t>
        </is>
      </c>
      <c r="AC27" t="inlineStr">
        <is>
          <t>HAS A FUNCTION — traceable from the screen to the code.</t>
        </is>
      </c>
      <c r="AD27" t="inlineStr"/>
      <c r="AE27" s="3" t="inlineStr">
        <is>
          <t>A30 — FIXED 2026-09-08
A33 — OPEN — YOUR DECISION 2026-09-12
A31 — FIXED 2026-08-27
B09 — FIXED 2026-09-08
G20 — CLOSED 2026-09-08: the math column claimed the exact root-solve; the code (MK-NW-F-060) is the approximation, now stated in both columns and labelled; the function header's rounding line corrected (4 decimals). No code change.</t>
        </is>
      </c>
      <c r="AF27" t="inlineStr">
        <is>
          <t>ACTIVE</t>
        </is>
      </c>
      <c r="AG27" t="inlineStr">
        <is>
          <t>2026-08-27</t>
        </is>
      </c>
      <c r="AJ27" s="3" t="inlineStr">
        <is>
          <t>1. MK-XS-I-011 bond face value — read by MK-NW-F-057, MK-NW-F-060
2. MK-XS-I-012 bond coupon rate — read by MK-NW-F-057
3. MK-XS-I-013 bond maturity date — read by MK-NW-F-058, MK-NW-F-060
4. MK-XS-I-049 bond price — what the bond is worth today — read by MK-NW-F-057, MK-NW-F-060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7" t="inlineStr">
        <is>
          <t>WAITING ON YOU — question Q05 · TESTED, NOT VERIFIED (G11, G20) · OPEN FINDING A33</t>
        </is>
      </c>
    </row>
    <row r="28">
      <c r="A28" t="inlineStr">
        <is>
          <t>MK-NW-M-027</t>
        </is>
      </c>
      <c r="B28" t="inlineStr">
        <is>
          <t>Networth</t>
        </is>
      </c>
      <c r="C28" t="inlineStr">
        <is>
          <t>/account-detail</t>
        </is>
      </c>
      <c r="D28" t="inlineStr">
        <is>
          <t>Yield on today's value</t>
        </is>
      </c>
      <c r="E28" t="inlineStr">
        <is>
          <t>cy</t>
        </is>
      </c>
      <c r="F28" t="inlineStr">
        <is>
          <t>currentYield</t>
        </is>
      </c>
      <c r="G28" t="inlineStr">
        <is>
          <t>MK-NW-F-059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1. coupon → annualCoupon  [MK-XS-I-012]
2.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MK-NW-F-057 (annualCoupon) → number</t>
        </is>
      </c>
      <c r="P28" t="inlineStr">
        <is>
          <t>MK-NW-F-057 annualCoupon → MK-NW-F-059 currentYield</t>
        </is>
      </c>
      <c r="Q28" t="inlineStr">
        <is>
          <t>MK-NW-F-059 — If accrued interest is missing it uses 0.</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A47 — Current yield is the annual coupon over the recorded value. If that value is a dirty price it carries accrued interest and the yield is understated. Nowhere does the file say which of the two it is.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AGREES — the figure's arithmetic and the arithmetic of the function it names say the same thing. Checked 2026-08-26.</t>
        </is>
      </c>
      <c r="AC28" t="inlineStr">
        <is>
          <t>HAS A FUNCTION — traceable from the screen to the code.</t>
        </is>
      </c>
      <c r="AD28" t="inlineStr"/>
      <c r="AE28" t="inlineStr">
        <is>
          <t>A47 — FIXED 2026-09-11</t>
        </is>
      </c>
      <c r="AF28" t="inlineStr">
        <is>
          <t>ACTIVE</t>
        </is>
      </c>
      <c r="AG28" t="inlineStr">
        <is>
          <t>2026-08-27</t>
        </is>
      </c>
      <c r="AJ28" s="3" t="inlineStr">
        <is>
          <t>1. MK-XS-I-011 bond face value — read by MK-NW-F-057
2. MK-XS-I-012 bond coupon rate — read by MK-NW-F-057
3. MK-XS-I-049 bond price — what the bond is worth today — read by MK-NW-F-057, MK-NW-F-059
4. MK-XS-I-065 accrued interest on a bond — interest earned since the last coupon — read by MK-NW-F-059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CODED, NOT TESTED (finding A47 names no test)</t>
        </is>
      </c>
    </row>
    <row r="29">
      <c r="A29" t="inlineStr">
        <is>
          <t>MK-NW-M-028</t>
        </is>
      </c>
      <c r="B29" t="inlineStr">
        <is>
          <t>Networth</t>
        </is>
      </c>
      <c r="C29" t="inlineStr">
        <is>
          <t>/account-detail</t>
        </is>
      </c>
      <c r="D29" t="inlineStr">
        <is>
          <t>Rates rise 1% → value roughly $X–$Y</t>
        </is>
      </c>
      <c r="E29" t="inlineStr">
        <is>
          <t>sens.ratesUp</t>
        </is>
      </c>
      <c r="F29" t="inlineStr">
        <is>
          <t>NOT ON RECORD — no function is recorded for this figure</t>
        </is>
      </c>
      <c r="G29" s="3" t="inlineStr">
        <is>
          <t>MK-NW-F-064</t>
        </is>
      </c>
      <c r="H29" s="3" t="inlineStr">
        <is>
          <t>value at (yield − 1%) and value at (yield + 1%), each = Σ coupon ÷ (1 + y)^t + face ÷ (1 + y)^n over the whole remaining years;  shown as the range between the two</t>
        </is>
      </c>
      <c r="I29" t="inlineStr">
        <is>
          <t>Shows roughly what a one percent move in interest rates would do to the bond's value. Longer to maturity means a bigger swing. An illustration, not a forecast.</t>
        </is>
      </c>
      <c r="J29" t="inlineStr">
        <is>
          <t>NOT DETERMINED — no input list on record for this function</t>
        </is>
      </c>
      <c r="K29" t="inlineStr">
        <is>
          <t>Percent · one decimal shown  [derived by rule — confirm]</t>
        </is>
      </c>
      <c r="L29" t="inlineStr">
        <is>
          <t>NOT DETERMINED — this function has not been read for its refusal yet.</t>
        </is>
      </c>
      <c r="M29" t="inlineStr">
        <is>
          <t>One figure per bond  [derived by rule — confirm]</t>
        </is>
      </c>
      <c r="N29" t="inlineStr">
        <is>
          <t>As of today, from the latest figures held  [derived by rule — confirm]</t>
        </is>
      </c>
      <c r="O29" t="inlineStr">
        <is>
          <t>1. MK-NW-F-060 (approxYTM) → number | null
2. MK-NW-F-069 (priceAtYield) → number</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A32 — Rate sensitivity: this file states change in value = -duration x change in rate x value. The code computes no duration at all — it reprices every cash flow at the yield plus and minus one percent. It also rounds the remaining life to whole years and prices from the APPROXIMATE yield, so pricing the bond at its own current yield does not reproduce its own value; the delta is measured from a number the model cannot reproduce.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9" t="inlineStr"/>
      <c r="AE29" t="inlineStr">
        <is>
          <t>A32 — FIXED 2026-09-12</t>
        </is>
      </c>
      <c r="AF29" t="inlineStr">
        <is>
          <t>ACTIVE</t>
        </is>
      </c>
      <c r="AG29" t="inlineStr">
        <is>
          <t>2026-08-27</t>
        </is>
      </c>
      <c r="AJ29"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7" t="inlineStr">
        <is>
          <t>CODED, NOT TESTED (finding A32 names no test)</t>
        </is>
      </c>
    </row>
    <row r="30">
      <c r="A30" t="inlineStr">
        <is>
          <t>MK-NW-M-029</t>
        </is>
      </c>
      <c r="B30" t="inlineStr">
        <is>
          <t>Networth</t>
        </is>
      </c>
      <c r="C30" t="inlineStr">
        <is>
          <t>/holding-detail</t>
        </is>
      </c>
      <c r="D30" t="inlineStr">
        <is>
          <t>CURRENT PRICE · LIVE</t>
        </is>
      </c>
      <c r="E30" t="inlineStr">
        <is>
          <t>price</t>
        </is>
      </c>
      <c r="F30" t="inlineStr">
        <is>
          <t>NOT ON RECORD — no function is recorded for this figure</t>
        </is>
      </c>
      <c r="G30" t="inlineStr"/>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function</t>
        </is>
      </c>
      <c r="K30" t="inlineStr">
        <is>
          <t>US dollars per unit · held to 8 decimal places · decimals shown  [derived by rule — confirm]</t>
        </is>
      </c>
      <c r="L30" t="inlineStr">
        <is>
          <t>NOT DETERMINED — this function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 function on record — nothing to chain</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t="inlineStr">
        <is>
          <t>No finding on this row. That is not a statement that the row is right — only that nothing has been written against it.</t>
        </is>
      </c>
      <c r="AF30" t="inlineStr">
        <is>
          <t>ACTIVE</t>
        </is>
      </c>
      <c r="AG30" t="inlineStr">
        <is>
          <t>2026-08-27</t>
        </is>
      </c>
      <c r="AH30" t="inlineStr">
        <is>
          <t>[Formula (mathematical)] Is the formula embedded directly in the code and not as a separate function? Live price was to be sourced from Yahoo or similar engine.</t>
        </is>
      </c>
      <c r="AI30"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0" s="3" t="inlineStr">
        <is>
          <t>No function on record — nothing to read from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WAITING ON YOU — answer to read</t>
        </is>
      </c>
    </row>
    <row r="31">
      <c r="A31" t="inlineStr">
        <is>
          <t>MK-NW-M-030</t>
        </is>
      </c>
      <c r="B31" t="inlineStr">
        <is>
          <t>Networth</t>
        </is>
      </c>
      <c r="C31" t="inlineStr">
        <is>
          <t>/holding-detail</t>
        </is>
      </c>
      <c r="D31" t="inlineStr">
        <is>
          <t>Current value</t>
        </is>
      </c>
      <c r="E31" t="inlineStr">
        <is>
          <t>value</t>
        </is>
      </c>
      <c r="F31" t="inlineStr">
        <is>
          <t>marketValue</t>
        </is>
      </c>
      <c r="G31" t="inlineStr">
        <is>
          <t>MK-PF-F-004</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1. shares → totalShares  [MK-XS-I-004]
2. price → the latest close  [MK-XS-I-005]</t>
        </is>
      </c>
      <c r="K31" t="inlineStr">
        <is>
          <t>US dollars · held to the cent · shown as whole dollars  [derived by rule — confirm]</t>
        </is>
      </c>
      <c r="L31" t="inlineStr">
        <is>
          <t>NOT DETERMINED — this function has not been read for its refusal yet.</t>
        </is>
      </c>
      <c r="M31" t="inlineStr">
        <is>
          <t>One figure per holding  [derived by rule — confirm]</t>
        </is>
      </c>
      <c r="N31" t="inlineStr">
        <is>
          <t>As of today, from the latest figures held  [derived by rule — confirm]</t>
        </is>
      </c>
      <c r="O31" t="inlineStr">
        <is>
          <t>1. MK-PF-F-031 (contractMultiplier) → number
2. MK-PF-F-001 (totalShares) → number</t>
        </is>
      </c>
      <c r="P31" t="inlineStr">
        <is>
          <t>1. MK-PF-F-031 contractMultiplier → MK-PF-F-004 marketValue
2. MK-PF-F-001 totalShares → MK-PF-F-004 marketValue</t>
        </is>
      </c>
      <c r="Q31" t="inlineStr">
        <is>
          <t>MK-PF-F-001 — If shares is missing it counts as zero, so nothing recorded and a real zero look the same.</t>
        </is>
      </c>
      <c r="R31" t="inlineStr">
        <is>
          <t>DECIDES whether a line is a share, a bond, an option, a crypto amount or a currency, because the units differ; and DECIDES the price to use when the feed has none.</t>
        </is>
      </c>
      <c r="S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31" t="inlineStr">
        <is>
          <t>[Founder] A price is a ratio, not money: it keeps eight decimal places and is never rounded to cents. Rounding a Treasury bill price of $0.9888 to $0.99 invented $276 of gain on one row.</t>
        </is>
      </c>
      <c r="U31" t="inlineStr">
        <is>
          <t>THE SURVIVING IDENTIFIER for this figure. Folded in: MK-NW-M-040. A holding's current value, on holding detail and again while itemising an account.</t>
        </is>
      </c>
      <c r="V31" s="1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
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1" s="11"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AGREES — the figure's arithmetic and the arithmetic of the function it names say the same thing. Checked 2026-08-26.</t>
        </is>
      </c>
      <c r="AC31" t="inlineStr">
        <is>
          <t>HAS A FUNCTION — traceable from the screen to the code.</t>
        </is>
      </c>
      <c r="AD31" t="inlineStr"/>
      <c r="AE31" s="3" t="inlineStr">
        <is>
          <t>No finding on this row. That is not a statement that the row is right — only that nothing has been written against it.
Q06 / Q07 / Q08 — ANSWERED 2026-08-26 (see column W), NOT YET IN CODE: no contract multiplier, no quantity rounding, no currency conversion. Open.</t>
        </is>
      </c>
      <c r="AF31" t="inlineStr">
        <is>
          <t>ACTIVE</t>
        </is>
      </c>
      <c r="AG31" t="inlineStr">
        <is>
          <t>2026-08-27</t>
        </is>
      </c>
      <c r="AH31" t="inlineStr">
        <is>
          <t>[Dependency — function ID → the output it uses] why dependency on engine and not function?</t>
        </is>
      </c>
      <c r="AI31"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1"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7" t="inlineStr">
        <is>
          <t>WAITING ON YOU — question Q42, Q43, Q44 · WAITING ON YOU — answer to read · TESTED, NOT VERIFIED (Q06, Q08)</t>
        </is>
      </c>
    </row>
    <row r="32">
      <c r="A32" t="inlineStr">
        <is>
          <t>MK-NW-M-031</t>
        </is>
      </c>
      <c r="B32" t="inlineStr">
        <is>
          <t>Networth</t>
        </is>
      </c>
      <c r="C32" t="inlineStr">
        <is>
          <t>/holding-detail</t>
        </is>
      </c>
      <c r="D32" t="inlineStr">
        <is>
          <t>Quantity — n shares</t>
        </is>
      </c>
      <c r="E32" t="inlineStr">
        <is>
          <t>shares</t>
        </is>
      </c>
      <c r="F32" t="inlineStr">
        <is>
          <t>totalShares</t>
        </is>
      </c>
      <c r="G32" t="inlineStr">
        <is>
          <t>MK-PF-F-001</t>
        </is>
      </c>
      <c r="H32" s="3" t="inlineStr">
        <is>
          <t>quantity = Σ(shares on each lot);  a sale of shares REMOVES them from the lots (never a negative lot);  a sale entered as a dollar amount with no shares lowers the account balance instead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s="3" t="inlineStr">
        <is>
          <t>$0, and under it the one line "Nothing entered yet. Add a holding ›" (mock approved 2026-09-12). A real zero that was entered shows a plain $0 with no line.</t>
        </is>
      </c>
      <c r="M32" t="inlineStr">
        <is>
          <t>One figure per holding  [derived by rule — confirm]</t>
        </is>
      </c>
      <c r="N32" t="inlineStr">
        <is>
          <t>As of today, from the latest figures held  [derived by rule — confirm]</t>
        </is>
      </c>
      <c r="O32" t="inlineStr">
        <is>
          <t>None — it reads its inputs and answers</t>
        </is>
      </c>
      <c r="P32" t="inlineStr">
        <is>
          <t>No dependent function — it reads its inputs and answers</t>
        </is>
      </c>
      <c r="Q32" t="inlineStr">
        <is>
          <t>MK-PF-F-001 — If shares is missing it counts as zero, so nothing recorded and a real zero look the same.</t>
        </is>
      </c>
      <c r="R32" t="inlineStr"/>
      <c r="S32" t="inlineStr">
        <is>
          <t>OPTIONS: quantity is held in contracts for options and in shares for stock, in the same field, with nothing marking which. Anything multiplying quantity by price inherits the ambiguity.</t>
        </is>
      </c>
      <c r="T32" t="inlineStr">
        <is>
          <t>NOT DETERMINED — no assumption recorded for this figure yet.</t>
        </is>
      </c>
      <c r="U32" t="inlineStr"/>
      <c r="V32" t="inlineStr">
        <is>
          <t>Q09 — Should the app store the UNIT beside every quantity — shares, contracts, coins, units of face, currency units — so nothing can be multiplied by the wrong price? Today one field holds all of them with nothing marking which.</t>
        </is>
      </c>
      <c r="W32" t="inlineStr">
        <is>
          <t>Q09: Yes, we should always capture units. Worth checking is CHF is held in account, is value displayed in CHF or USD? If USD, we need to make sure to capture Foreign exchange rate to do the conversion.
(typed 2026-08-26)</t>
        </is>
      </c>
      <c r="X32" t="inlineStr"/>
      <c r="Y32" t="inlineStr">
        <is>
          <t>NOT DETERMINED</t>
        </is>
      </c>
      <c r="Z32" t="inlineStr">
        <is>
          <t>VERIFIED 2026-08-22</t>
        </is>
      </c>
      <c r="AA3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1. B22 [CLASH] — The file says "quantity = Σ(shares bought) − Σ(shares sold)". The code (totalShares) is Σ(shares on each lot). Whether selling reduces a lot or adds a negative one is stated nowhere; if it does neither, the two answers part company the first time anything is sold.</t>
        </is>
      </c>
      <c r="AC32" t="inlineStr">
        <is>
          <t>HAS A FUNCTION — traceable from the screen to the code.</t>
        </is>
      </c>
      <c r="AD32" t="inlineStr"/>
      <c r="AE32" s="3" t="inlineStr">
        <is>
          <t>B22 — FIXED 2026-09-12
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2" t="inlineStr">
        <is>
          <t>ACTIVE</t>
        </is>
      </c>
      <c r="AG32" t="inlineStr">
        <is>
          <t>2026-08-27</t>
        </is>
      </c>
      <c r="AH32" t="inlineStr">
        <is>
          <t>[YOUR ANSWER, column W] Q09 typed 2026-08-26 — see W on this row.</t>
        </is>
      </c>
      <c r="AI32"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2" s="3" t="inlineStr">
        <is>
          <t>MK-XS-I-004 holding quantity (shares) — read by MK-PF-F-001
[the code's record, this build — evidence for the ruling, not the row's statement: it cannot see inputs handed in as arguments, and it counts every branch below the producer]</t>
        </is>
      </c>
      <c r="AK32" s="3" t="inlineStr">
        <is>
          <t>(the claim now stands in 'Inputs it needs' until the row is approved)</t>
        </is>
      </c>
      <c r="AN32" s="6" t="inlineStr">
        <is>
          <t>WAITING ON YOU — answer to read · TESTED, NOT VERIFIED (Q07, Q09)</t>
        </is>
      </c>
    </row>
    <row r="33">
      <c r="A33" t="inlineStr">
        <is>
          <t>MK-NW-M-032</t>
        </is>
      </c>
      <c r="B33" t="inlineStr">
        <is>
          <t>Networth</t>
        </is>
      </c>
      <c r="C33" t="inlineStr">
        <is>
          <t>/holding-detail</t>
        </is>
      </c>
      <c r="D33" t="inlineStr">
        <is>
          <t>Price paid (average)</t>
        </is>
      </c>
      <c r="E33" t="inlineStr">
        <is>
          <t>rawAvg</t>
        </is>
      </c>
      <c r="F33" t="inlineStr">
        <is>
          <t>costBasis</t>
        </is>
      </c>
      <c r="G33" s="3" t="inlineStr">
        <is>
          <t>MK-PF-F-003</t>
        </is>
      </c>
      <c r="H33" s="3" t="inlineStr">
        <is>
          <t>average price paid = cost basis ÷ shares held  (cost basis = Σ shares × cost per share across the lots)</t>
        </is>
      </c>
      <c r="I33" s="3" t="inlineStr">
        <is>
          <t>Cost basis divided by the shares held across every lot — the average price paid per share.</t>
        </is>
      </c>
      <c r="J33" t="inlineStr">
        <is>
          <t>each lot's shares and cost → lots[].shares, lots[].cost_per_share  [MK-XS-I-004, MK-XS-I-007]</t>
        </is>
      </c>
      <c r="K33" t="inlineStr">
        <is>
          <t>US dollars per unit · held to 8 decimal places · decimals shown  [derived by rule — confirm]</t>
        </is>
      </c>
      <c r="L33" s="3" t="inlineStr">
        <is>
          <t>$0, and under it the one line "Nothing entered yet. Add a holding ›" (mock approved 2026-09-12). A real zero that was entered shows a plain $0 with no line.</t>
        </is>
      </c>
      <c r="M33" t="inlineStr">
        <is>
          <t>One figure per holding  [derived by rule — confirm]</t>
        </is>
      </c>
      <c r="N33" t="inlineStr">
        <is>
          <t>As of today, from the latest figures held  [derived by rule — confirm]</t>
        </is>
      </c>
      <c r="O33" t="inlineStr">
        <is>
          <t>1. MK-PF-F-002 (costBasis) → number
2. MK-PF-F-001 (totalShares) → number</t>
        </is>
      </c>
      <c r="P33" t="inlineStr">
        <is>
          <t>MK-PF-F-031 contractMultiplier → MK-PF-F-002 costBasis</t>
        </is>
      </c>
      <c r="Q33" t="inlineStr">
        <is>
          <t>1. MK-PF-F-002 — If shares is missing it counts as zero, so nothing recorded and a real zero look the same.
2. MK-PF-F-002 — If cost per share is missing it counts as zero, so nothing recorded and a real zero look the same.</t>
        </is>
      </c>
      <c r="R33" t="inlineStr"/>
      <c r="S33" t="inlineStr">
        <is>
          <t>OPTIONS: same contract-multiplier question as market value — cost per share × shares, with no ×100 for a contract. TO VERIFY.</t>
        </is>
      </c>
      <c r="T33" t="inlineStr">
        <is>
          <t>[Founder] Cost basis comes from recorded lots. A lot with no cost is skipped rather than treated as free shares, because free shares would report the whole value as gain and tax it.</t>
        </is>
      </c>
      <c r="U33" t="inlineStr"/>
      <c r="V33" s="11"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3" s="11" t="inlineStr"/>
      <c r="X33" t="inlineStr"/>
      <c r="Y33" t="inlineStr">
        <is>
          <t>NOT DETERMINED</t>
        </is>
      </c>
      <c r="Z33" t="inlineStr">
        <is>
          <t>VERIFIED 2026-08-22</t>
        </is>
      </c>
      <c r="AA3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3" t="inlineStr">
        <is>
          <t>HAS A FUNCTION — traceable from the screen to the code.</t>
        </is>
      </c>
      <c r="AD33" t="inlineStr"/>
      <c r="AE33" s="3" t="inlineStr">
        <is>
          <t>B16 — FIXED 2026-09-12
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3" t="inlineStr">
        <is>
          <t>ACTIVE</t>
        </is>
      </c>
      <c r="AG33" t="inlineStr">
        <is>
          <t>2026-08-27</t>
        </is>
      </c>
      <c r="AH3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3"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3"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3" s="3" t="inlineStr">
        <is>
          <t>(the claim now stands in 'Inputs it needs' until the row is approved)</t>
        </is>
      </c>
      <c r="AN33" s="7" t="inlineStr">
        <is>
          <t>WAITING ON YOU — question Q34 · WAITING ON YOU — answer to read · CODED, NOT TESTED (finding B16 names no test)</t>
        </is>
      </c>
    </row>
    <row r="34">
      <c r="A34" t="inlineStr">
        <is>
          <t>MK-NW-M-033</t>
        </is>
      </c>
      <c r="B34" t="inlineStr">
        <is>
          <t>Networth</t>
        </is>
      </c>
      <c r="C34" t="inlineStr">
        <is>
          <t>/holding-detail</t>
        </is>
      </c>
      <c r="D34" t="inlineStr">
        <is>
          <t>Total paid</t>
        </is>
      </c>
      <c r="E34" t="inlineStr">
        <is>
          <t>basis</t>
        </is>
      </c>
      <c r="F34" t="inlineStr">
        <is>
          <t>costBasis</t>
        </is>
      </c>
      <c r="G34" t="inlineStr">
        <is>
          <t>MK-PF-F-002</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s="3" t="inlineStr">
        <is>
          <t>$0, and under it the one line "Nothing entered yet. Add a holding ›" (mock approved 2026-09-12). A real zero that was entered shows a plain $0 with no line.</t>
        </is>
      </c>
      <c r="M34" t="inlineStr">
        <is>
          <t>One figure per holding  [derived by rule — confirm]</t>
        </is>
      </c>
      <c r="N34" t="inlineStr">
        <is>
          <t>As of today, from the latest figures held  [derived by rule — confirm]</t>
        </is>
      </c>
      <c r="O34" t="inlineStr">
        <is>
          <t>MK-PF-F-031 (contractMultiplier) → number</t>
        </is>
      </c>
      <c r="P34" t="inlineStr">
        <is>
          <t>MK-PF-F-031 contractMultiplier → MK-PF-F-002 costBasis</t>
        </is>
      </c>
      <c r="Q34" t="inlineStr">
        <is>
          <t>1. MK-PF-F-002 — If shares is missing it counts as zero, so nothing recorded and a real zero look the same.
2. MK-PF-F-002 — If cost per share is missing it counts as zero, so nothing recorded and a real zero look the same.</t>
        </is>
      </c>
      <c r="R34" t="inlineStr"/>
      <c r="S34" t="inlineStr">
        <is>
          <t>OPTIONS: same contract-multiplier question as market value — cost per share × shares, with no ×100 for a contract. TO VERIFY.</t>
        </is>
      </c>
      <c r="T34" t="inlineStr">
        <is>
          <t>[Founder] Cost basis comes from recorded lots. A lot with no cost is skipped rather than treated as free shares, because free shares would report the whole value as gain and tax it.</t>
        </is>
      </c>
      <c r="U34" t="inlineStr"/>
      <c r="V34" t="inlineStr"/>
      <c r="W34" t="inlineStr"/>
      <c r="X34" t="inlineStr"/>
      <c r="Y34" t="inlineStr">
        <is>
          <t>NOT DETERMINED</t>
        </is>
      </c>
      <c r="Z34" t="inlineStr">
        <is>
          <t>VERIFIED 2026-08-22</t>
        </is>
      </c>
      <c r="AA3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4" t="inlineStr">
        <is>
          <t>HAS A FUNCTION — traceable from the screen to the code.</t>
        </is>
      </c>
      <c r="AD34" t="inlineStr"/>
      <c r="AE34" s="3" t="inlineStr">
        <is>
          <t>B16 — FIXED 2026-09-12
G32 / Q48 — RULED 2026-09-09: $0 stays, with the sentence '$0 — nothing entered yet.' and this row's door ('Add a holding ›'). File written; the screen follows the approved empty-state mock (one pattern, one screen), then every screen.</t>
        </is>
      </c>
      <c r="AF34" t="inlineStr">
        <is>
          <t>ACTIVE</t>
        </is>
      </c>
      <c r="AG34" t="inlineStr">
        <is>
          <t>2026-08-27</t>
        </is>
      </c>
      <c r="AH34" t="inlineStr">
        <is>
          <t>[Formula audit (B16)] Where is Total Price versus Price Paid (Average) displayed in the app? Are we trying to tell two different things to user and need to fix formulas or are we saying same thing and calling it differently?</t>
        </is>
      </c>
      <c r="AI34"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4" s="3" t="inlineStr">
        <is>
          <t>1. MK-XS-I-004 holding quantity (shares) — read by MK-PF-F-002
2. MK-XS-I-007 purchase price and date (per lot) — read by MK-PF-F-002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4" s="3" t="inlineStr">
        <is>
          <t>(the claim now stands in 'Inputs it needs' until the row is approved)</t>
        </is>
      </c>
      <c r="AN34" s="6" t="inlineStr">
        <is>
          <t>WAITING ON YOU — answer to read · CODED, NOT TESTED (finding B16 names no test)</t>
        </is>
      </c>
    </row>
    <row r="35">
      <c r="A35" t="inlineStr">
        <is>
          <t>MK-NW-M-034</t>
        </is>
      </c>
      <c r="B35" t="inlineStr">
        <is>
          <t>Networth</t>
        </is>
      </c>
      <c r="C35" t="inlineStr">
        <is>
          <t>/holding-detail</t>
        </is>
      </c>
      <c r="D35" t="inlineStr">
        <is>
          <t>Dividends received (12 mo)</t>
        </is>
      </c>
      <c r="E35" t="inlineStr">
        <is>
          <t>dividends.trailing12</t>
        </is>
      </c>
      <c r="F35" t="inlineStr">
        <is>
          <t>NOT ON RECORD — no function is recorded for this figure</t>
        </is>
      </c>
      <c r="G35" t="inlineStr"/>
      <c r="H35" t="inlineStr">
        <is>
          <t>dividends = Σ(dividend lines in the last 12 months)</t>
        </is>
      </c>
      <c r="I35" t="inlineStr">
        <is>
          <t>Adds the dividends recorded for this holding over the last twelve months.</t>
        </is>
      </c>
      <c r="J35" t="inlineStr">
        <is>
          <t>NOT DETERMINED — no input list on record for this function</t>
        </is>
      </c>
      <c r="K35" t="inlineStr">
        <is>
          <t>US dollars · held to the cent · shown as whole dollars  [derived by rule — confirm]</t>
        </is>
      </c>
      <c r="L35" s="3" t="inlineStr">
        <is>
          <t>$0, and under it the one line "Nothing entered yet. Add your income ›" (mock approved 2026-09-12). A real zero that was entered shows a plain $0 with no line.</t>
        </is>
      </c>
      <c r="M35" t="inlineStr">
        <is>
          <t>One figure per person — or per household when two people share one record  [derived by rule — confirm]</t>
        </is>
      </c>
      <c r="N35" t="inlineStr">
        <is>
          <t>This calendar month, to today  [derived by rule — confirm]</t>
        </is>
      </c>
      <c r="O35" t="inlineStr">
        <is>
          <t>No function on record — nothing to chain</t>
        </is>
      </c>
      <c r="P35" t="inlineStr">
        <is>
          <t>No function on record — nothing to chain</t>
        </is>
      </c>
      <c r="Q35" t="inlineStr">
        <is>
          <t>No function on record — assumptions unknown</t>
        </is>
      </c>
      <c r="R35" t="inlineStr"/>
      <c r="S35" t="inlineStr"/>
      <c r="T35" t="inlineStr">
        <is>
          <t>NOT DETERMINED — no assumption recorded for this figure yet.</t>
        </is>
      </c>
      <c r="U35" t="inlineStr"/>
      <c r="V35" s="11"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35" s="11" t="inlineStr"/>
      <c r="X35" t="inlineStr"/>
      <c r="Y35" t="inlineStr">
        <is>
          <t>NOT DETERMINED</t>
        </is>
      </c>
      <c r="Z35" t="inlineStr">
        <is>
          <t>VERIFIED 2026-08-22</t>
        </is>
      </c>
      <c r="AA3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B24 [NOT COMPARABLE] — This figure names no function, so its formula cannot be checked against anything. 69 of the 163 figures are in this position — the audit covers the 94 that name one.</t>
        </is>
      </c>
      <c r="AC3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5" t="inlineStr"/>
      <c r="AE35" s="3" t="inlineStr">
        <is>
          <t>No finding on this row. That is not a statement that the row is right — only that nothing has been written against it.
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35" t="inlineStr">
        <is>
          <t>ACTIVE</t>
        </is>
      </c>
      <c r="AG35" t="inlineStr">
        <is>
          <t>2026-08-27</t>
        </is>
      </c>
      <c r="AH35" t="inlineStr">
        <is>
          <t>1. [Name on Screen] Screen should say Trailing Twelve Months and not just 12 months.
2. [Formula audit (B24)] Is it calculated directly in the code without any function?</t>
        </is>
      </c>
      <c r="AI35"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35" s="3" t="inlineStr">
        <is>
          <t>No function on record — nothing to read from
[the code's record, this build — evidence for the ruling, not the row's statement: it cannot see inputs handed in as arguments, and it counts every branch below the producer]</t>
        </is>
      </c>
      <c r="AK35" s="3" t="inlineStr">
        <is>
          <t>(the claim now stands in 'Inputs it needs' until the row is approved)</t>
        </is>
      </c>
      <c r="AN35" s="7" t="inlineStr">
        <is>
          <t>WAITING ON YOU — question Q35, Q36 · WAITING ON YOU — answer to read</t>
        </is>
      </c>
    </row>
    <row r="36">
      <c r="A36" t="inlineStr">
        <is>
          <t>MK-NW-M-035</t>
        </is>
      </c>
      <c r="B36" t="inlineStr">
        <is>
          <t>Networth</t>
        </is>
      </c>
      <c r="C36" t="inlineStr">
        <is>
          <t>/holding-detail</t>
        </is>
      </c>
      <c r="D36" t="inlineStr">
        <is>
          <t>Realized gain from your buys and sells</t>
        </is>
      </c>
      <c r="E36" t="inlineStr">
        <is>
          <t>realized</t>
        </is>
      </c>
      <c r="F36" t="inlineStr">
        <is>
          <t>realizedFromLedger</t>
        </is>
      </c>
      <c r="G36" t="inlineStr">
        <is>
          <t>MK-PF-F-028</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1. the ledger → txns  [MK-XS-I-008]
2. optionally one ticker → opts.ticker  [NOT AN INPUT — a setting or a filter, not data anyone supplies]
3. optionally one account → opts.accountId  [NOT AN INPUT — a setting or a filter, not data anyone supplies]
4.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it reads its inputs and answers</t>
        </is>
      </c>
      <c r="P36" t="inlineStr">
        <is>
          <t>No dependent function — it reads its inputs and answers</t>
        </is>
      </c>
      <c r="Q36" t="inlineStr">
        <is>
          <t>1. MK-PF-F-028 — If shares is missing it uses 0.
2. MK-PF-F-028 — Uses today's date from the device clock, so the answer changes by itself overnight.
3. MK-PF-F-028 — Sales dated in the current calendar year make the this-year total; the device clock decides which year that is.</t>
        </is>
      </c>
      <c r="R36" t="inlineStr"/>
      <c r="S36" t="inlineStr">
        <is>
          <t>Reads the transaction ledger, which is device-only. On a second device it reports nothing — not because nothing was sold, but because the record is elsewhere.</t>
        </is>
      </c>
      <c r="T36" t="inlineStr">
        <is>
          <t>NOT DETERMINED — no assumption recorded for this figure yet.</t>
        </is>
      </c>
      <c r="U36" t="inlineStr"/>
      <c r="V36" s="11" t="inlineStr">
        <is>
          <t>Q21 — On a second device the ledger is absent, so this reads nothing. Until history syncs, should it refuse in words rather than show a figure that looks like zero?
Q37 — For a connected account: log an 'Opening holding' row per broker lot at first sync (dated the lot's purchase date, at the broker's cost) so every later sale is covered — recommended — or keep 'not counted + say so' for pre-history purchases?</t>
        </is>
      </c>
      <c r="W36" s="11" t="inlineStr"/>
      <c r="X36" t="inlineStr"/>
      <c r="Y36" t="inlineStr">
        <is>
          <t>NOT DETERMINED</t>
        </is>
      </c>
      <c r="Z36" t="inlineStr">
        <is>
          <t>VERIFIED 2026-08-22</t>
        </is>
      </c>
      <c r="AA3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AGREES — the figure's arithmetic and the arithmetic of the function it names say the same thing. Checked 2026-08-26.</t>
        </is>
      </c>
      <c r="AC36" t="inlineStr">
        <is>
          <t>HAS A FUNCTION — traceable from the screen to the code.</t>
        </is>
      </c>
      <c r="AD36" t="inlineStr"/>
      <c r="AE36" t="inlineStr">
        <is>
          <t>No finding on this row. That is not a statement that the row is right — only that nothing has been written against it.</t>
        </is>
      </c>
      <c r="AF36" t="inlineStr">
        <is>
          <t>ACTIVE</t>
        </is>
      </c>
      <c r="AG36" t="inlineStr">
        <is>
          <t>2026-08-27</t>
        </is>
      </c>
      <c r="AH36" t="inlineStr">
        <is>
          <t>[Formula (mathematical)] The feed from an institution is likely to show quantity held net of sales. So, how do you determine the total quantity before sale?</t>
        </is>
      </c>
      <c r="AI36"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36" s="3" t="inlineStr">
        <is>
          <t>1. MK-XS-I-004 holding quantity (shares) — read by MK-PF-F-028
2. MK-XS-I-009 transaction date — read by MK-PF-F-028
3. MK-XS-I-024 logged expenses — read by MK-PF-F-028
[the code's record, this build — evidence for the ruling, not the row's statement: it cannot see inputs handed in as arguments, and it counts every branch below the producer]</t>
        </is>
      </c>
      <c r="AK36" s="3" t="inlineStr">
        <is>
          <t>(the claim now stands in 'Inputs it needs' until the row is approved)</t>
        </is>
      </c>
      <c r="AN36" s="7" t="inlineStr">
        <is>
          <t>WAITING ON YOU — question Q21, Q37 · WAITING ON YOU — answer to read</t>
        </is>
      </c>
    </row>
    <row r="37">
      <c r="A37" t="inlineStr">
        <is>
          <t>MK-NW-M-036</t>
        </is>
      </c>
      <c r="B37" t="inlineStr">
        <is>
          <t>Networth</t>
        </is>
      </c>
      <c r="C37" t="inlineStr">
        <is>
          <t>/holding-detail</t>
        </is>
      </c>
      <c r="D37" t="inlineStr">
        <is>
          <t>Gain — long-term (held over 1 yr)</t>
        </is>
      </c>
      <c r="E37" t="inlineStr">
        <is>
          <t>cg.longGain</t>
        </is>
      </c>
      <c r="F37" t="inlineStr">
        <is>
          <t>capGains</t>
        </is>
      </c>
      <c r="G37" t="inlineStr">
        <is>
          <t>MK-PF-F-006</t>
        </is>
      </c>
      <c r="H37" s="3" t="inlineStr">
        <is>
          <t>per lot: gain = shares × (price − cost per share);  long-term if the lot was held MORE than one year — from the day after the first anniversary of purchase — otherwise short-term;  a lot with no cost recorded is skipped</t>
        </is>
      </c>
      <c r="I3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37" t="inlineStr">
        <is>
          <t>1. each lot → lots[]  [MK-XS-I-007]
2. price → the latest close  [MK-XS-I-005]
3.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MK-XS-F-122 (n) → number</t>
        </is>
      </c>
      <c r="P37" t="inlineStr">
        <is>
          <t>MK-XS-F-122 n → MK-PF-F-006 capGains</t>
        </is>
      </c>
      <c r="Q37" t="inlineStr">
        <is>
          <t>MK-PF-F-006 — Uses today's date from the device clock, so the answer changes by itself overnight.</t>
        </is>
      </c>
      <c r="R37" t="inlineStr"/>
      <c r="S37" t="inlineStr">
        <is>
          <t>OPTIONS: gain per lot = shares × (price − cost), again with no contract multiplier. TO VERIFY. Separately: a lot with no recorded cost is skipped, so a position of skipped lots reports no gain at all rather than saying it cannot tell.</t>
        </is>
      </c>
      <c r="T37" t="inlineStr">
        <is>
          <t>[Founder] Long-term is decided by DAYS, not calendar months (correction E7): 335 days used to count as long-term and be taxed at the lower rate.</t>
        </is>
      </c>
      <c r="U37" t="inlineStr"/>
      <c r="V37" s="11" t="inlineStr">
        <is>
          <t>Q20 — A lot with no recorded purchase price is skipped, so its gain is simply absent. Should the screen SAY so — "gain not counted for N shares, no purchase price on record" — rather than quietly reporting less?</t>
        </is>
      </c>
      <c r="W37" s="11" t="inlineStr"/>
      <c r="X37" t="inlineStr"/>
      <c r="Y37" t="inlineStr">
        <is>
          <t>NOT DETERMINED</t>
        </is>
      </c>
      <c r="Z37" t="inlineStr">
        <is>
          <t>VERIFIED 2026-08-22</t>
        </is>
      </c>
      <c r="AA37"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7" t="inlineStr">
        <is>
          <t>HAS A FUNCTION — traceable from the screen to the code.</t>
        </is>
      </c>
      <c r="AD37" t="inlineStr"/>
      <c r="AE37" t="inlineStr">
        <is>
          <t>A34 — FIXED 2026-09-12
B10 — FIXED 2026-09-12</t>
        </is>
      </c>
      <c r="AF37" t="inlineStr">
        <is>
          <t>ACTIVE</t>
        </is>
      </c>
      <c r="AG37" t="inlineStr">
        <is>
          <t>2026-08-27</t>
        </is>
      </c>
      <c r="AJ37" s="3" t="inlineStr">
        <is>
          <t>1. MK-XS-I-004 holding quantity (shares) — read by MK-PF-F-006
2. MK-XS-I-007 purchase price and date (per lot) — read by MK-PF-F-006
[the code's record, this build — evidence for the ruling, not the row's statement: it cannot see inputs handed in as arguments, and it counts every branch below the producer]</t>
        </is>
      </c>
      <c r="AK37" s="3" t="inlineStr">
        <is>
          <t>(the claim now stands in 'Inputs it needs' until the row is approved)</t>
        </is>
      </c>
      <c r="AN37" s="7" t="inlineStr">
        <is>
          <t>WAITING ON YOU — question Q20 · RULED, NOT CODED (Brief E1)</t>
        </is>
      </c>
    </row>
    <row r="38">
      <c r="A38" t="inlineStr">
        <is>
          <t>MK-NW-M-037</t>
        </is>
      </c>
      <c r="B38" t="inlineStr">
        <is>
          <t>Networth</t>
        </is>
      </c>
      <c r="C38" t="inlineStr">
        <is>
          <t>/holding-detail</t>
        </is>
      </c>
      <c r="D38" t="inlineStr">
        <is>
          <t>Gain — short-term (under 1 yr)</t>
        </is>
      </c>
      <c r="E38" t="inlineStr">
        <is>
          <t>cg.shortGain</t>
        </is>
      </c>
      <c r="F38" t="inlineStr">
        <is>
          <t>capGains</t>
        </is>
      </c>
      <c r="G38" t="inlineStr">
        <is>
          <t>MK-PF-F-006</t>
        </is>
      </c>
      <c r="H38" s="3" t="inlineStr">
        <is>
          <t>per lot: gain = shares × (price − cost per share);  long-term if the lot was held MORE than one year — from the day after the first anniversary of purchase — otherwise short-term;  a lot with no cost recorded is skipped</t>
        </is>
      </c>
      <c r="I38"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38" t="inlineStr">
        <is>
          <t>1. each lot → lots[]  [MK-XS-I-007]
2. price → the latest close  [MK-XS-I-005]
3.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MK-XS-F-122 (n) → number</t>
        </is>
      </c>
      <c r="P38" t="inlineStr">
        <is>
          <t>MK-XS-F-122 n → MK-PF-F-006 capGains</t>
        </is>
      </c>
      <c r="Q38" t="inlineStr">
        <is>
          <t>MK-PF-F-006 — Uses today's date from the device clock, so the answer changes by itself overnight.</t>
        </is>
      </c>
      <c r="R38" t="inlineStr"/>
      <c r="S38" t="inlineStr">
        <is>
          <t>OPTIONS: gain per lot = shares × (price − cost), again with no contract multiplier. TO VERIFY. Separately: a lot with no recorded cost is skipped, so a position of skipped lots reports no gain at all rather than saying it cannot tell.</t>
        </is>
      </c>
      <c r="T38" t="inlineStr">
        <is>
          <t>[Founder] Long-term is decided by DAYS, not calendar months (correction E7): 335 days used to count as long-term and be taxed at the lower rate.</t>
        </is>
      </c>
      <c r="U38" t="inlineStr"/>
      <c r="V38" t="inlineStr"/>
      <c r="W38" t="inlineStr"/>
      <c r="X38" t="inlineStr"/>
      <c r="Y38" t="inlineStr">
        <is>
          <t>NOT DETERMINED</t>
        </is>
      </c>
      <c r="Z38" t="inlineStr">
        <is>
          <t>VERIFIED 2026-08-22</t>
        </is>
      </c>
      <c r="AA38"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8" t="inlineStr">
        <is>
          <t>HAS A FUNCTION — traceable from the screen to the code.</t>
        </is>
      </c>
      <c r="AD38" t="inlineStr"/>
      <c r="AE38" t="inlineStr">
        <is>
          <t>A34 — FIXED 2026-09-12
B10 — FIXED 2026-09-12</t>
        </is>
      </c>
      <c r="AF38" t="inlineStr">
        <is>
          <t>ACTIVE</t>
        </is>
      </c>
      <c r="AG38" t="inlineStr">
        <is>
          <t>2026-08-27</t>
        </is>
      </c>
      <c r="AJ38" s="3" t="inlineStr">
        <is>
          <t>1. MK-XS-I-004 holding quantity (shares) — read by MK-PF-F-006
2. MK-XS-I-007 purchase price and date (per lot) — read by MK-PF-F-006
[the code's record, this build — evidence for the ruling, not the row's statement: it cannot see inputs handed in as arguments, and it counts every branch below the producer]</t>
        </is>
      </c>
      <c r="AK38" s="3" t="inlineStr">
        <is>
          <t>(the claim now stands in 'Inputs it needs' until the row is approved)</t>
        </is>
      </c>
      <c r="AN38" s="6" t="inlineStr">
        <is>
          <t>TESTED, NOT VERIFIED (G2)</t>
        </is>
      </c>
    </row>
    <row r="39">
      <c r="A39" t="inlineStr">
        <is>
          <t>MK-NW-M-038</t>
        </is>
      </c>
      <c r="B39" t="inlineStr">
        <is>
          <t>Networth</t>
        </is>
      </c>
      <c r="C39" t="inlineStr">
        <is>
          <t>/itemize</t>
        </is>
      </c>
      <c r="D39" t="inlineStr">
        <is>
          <t>We keep the total at $X</t>
        </is>
      </c>
      <c r="E39" t="inlineStr">
        <is>
          <t>lump.balance</t>
        </is>
      </c>
      <c r="F39" t="inlineStr">
        <is>
          <t>NOT ON RECORD — no function is recorded for this figure</t>
        </is>
      </c>
      <c r="G39" t="inlineStr"/>
      <c r="H39" t="inlineStr">
        <is>
          <t>the balance of the account being broken into holdings</t>
        </is>
      </c>
      <c r="I39" t="inlineStr">
        <is>
          <t>The single account total that the holdings entered must add up to.</t>
        </is>
      </c>
      <c r="J39" t="inlineStr">
        <is>
          <t>NOT DETERMINED — no input list on record for this function</t>
        </is>
      </c>
      <c r="K39" t="inlineStr">
        <is>
          <t>US dollars · held to the cent · shown as whole dollars  [derived by rule — confirm]</t>
        </is>
      </c>
      <c r="L39" t="inlineStr">
        <is>
          <t>NOT DETERMINED — this function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 function on record — nothing to chain</t>
        </is>
      </c>
      <c r="P39" t="inlineStr">
        <is>
          <t>No function on record — nothing to chain</t>
        </is>
      </c>
      <c r="Q39" t="inlineStr">
        <is>
          <t>No function on record — assumptions unknown</t>
        </is>
      </c>
      <c r="R39" t="inlineStr"/>
      <c r="S39" t="inlineStr"/>
      <c r="T39" t="inlineStr">
        <is>
          <t>NOT DETERMINED — no assumption recorded for this figure yet.</t>
        </is>
      </c>
      <c r="U39" t="inlineStr"/>
      <c r="V39" t="inlineStr"/>
      <c r="W39" t="inlineStr"/>
      <c r="X39" t="inlineStr"/>
      <c r="Y39" t="inlineStr">
        <is>
          <t>NOT DETERMINED</t>
        </is>
      </c>
      <c r="Z39" t="inlineStr">
        <is>
          <t>VERIFIED 2026-08-22</t>
        </is>
      </c>
      <c r="AA3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9" t="inlineStr">
        <is>
          <t>B24 [NOT COMPARABLE] — This figure names no function, so its formula cannot be checked against anything. 69 of the 163 figures are in this position — the audit covers the 94 that name one.</t>
        </is>
      </c>
      <c r="AC3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9" t="inlineStr"/>
      <c r="AE39" t="inlineStr">
        <is>
          <t>No finding on this row. That is not a statement that the row is right — only that nothing has been written against it.</t>
        </is>
      </c>
      <c r="AF39" t="inlineStr">
        <is>
          <t>ACTIVE</t>
        </is>
      </c>
      <c r="AG39" t="inlineStr">
        <is>
          <t>2026-08-27</t>
        </is>
      </c>
      <c r="AJ39" s="3" t="inlineStr">
        <is>
          <t>No function on record — nothing to read from
[the code's record, this build — evidence for the ruling, not the row's statement: it cannot see inputs handed in as arguments, and it counts every branch below the producer]</t>
        </is>
      </c>
      <c r="AK39" s="3" t="inlineStr">
        <is>
          <t>(the claim now stands in 'Inputs it needs' until the row is approved)</t>
        </is>
      </c>
      <c r="AN39" s="3" t="inlineStr">
        <is>
          <t>NOTHING OPEN</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itself — no function behind it</t>
        </is>
      </c>
      <c r="G40" t="inlineStr"/>
      <c r="H40" t="inlineStr">
        <is>
          <t>left to itemise = the account total − Σ(holdings entered)</t>
        </is>
      </c>
      <c r="I40" t="inlineStr">
        <is>
          <t>Worked out on the screen itself, with no function behind it — a place a second definition can appear.</t>
        </is>
      </c>
      <c r="J40" t="inlineStr">
        <is>
          <t>NOT DETERMINED — no input list on record for this function</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 function on record — nothing to chain</t>
        </is>
      </c>
      <c r="P40" t="inlineStr">
        <is>
          <t>No function on record — nothing to chain</t>
        </is>
      </c>
      <c r="Q40" t="inlineStr">
        <is>
          <t>No function on record — assumptions unknown</t>
        </is>
      </c>
      <c r="R40" t="inlineStr"/>
      <c r="S40" t="inlineStr"/>
      <c r="T40" t="inlineStr">
        <is>
          <t>NOT DETERMINED — no assumption recorded for this figure yet.</t>
        </is>
      </c>
      <c r="U40" t="inlineStr"/>
      <c r="V40" t="inlineStr"/>
      <c r="W40" t="inlineStr"/>
      <c r="X40" t="inlineStr"/>
      <c r="Y40" t="inlineStr">
        <is>
          <t>NOT DETERMINED</t>
        </is>
      </c>
      <c r="Z40" t="inlineStr">
        <is>
          <t>VERIFIED 2026-08-22</t>
        </is>
      </c>
      <c r="AA4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0" t="inlineStr">
        <is>
          <t>B24 [NOT COMPARABLE] — This figure names no function, so its formula cannot be checked against anything. 69 of the 163 figures are in this position — the audit covers the 94 that name one.</t>
        </is>
      </c>
      <c r="AC40"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0" t="inlineStr"/>
      <c r="AE40" t="inlineStr">
        <is>
          <t>No finding on this row. That is not a statement that the row is right — only that nothing has been written against it.</t>
        </is>
      </c>
      <c r="AF40" t="inlineStr">
        <is>
          <t>ACTIVE</t>
        </is>
      </c>
      <c r="AG40" t="inlineStr">
        <is>
          <t>2026-08-27</t>
        </is>
      </c>
      <c r="AJ40" s="3" t="inlineStr">
        <is>
          <t>No function on record — nothing to read from
[the code's record, this build — evidence for the ruling, not the row's statement: it cannot see inputs handed in as arguments, and it counts every branch below the producer]</t>
        </is>
      </c>
      <c r="AK40" s="3" t="inlineStr">
        <is>
          <t>(the claim now stands in 'Inputs it needs' until the row is approved)</t>
        </is>
      </c>
      <c r="AN40" s="3" t="inlineStr">
        <is>
          <t>NOTHING OPEN</t>
        </is>
      </c>
    </row>
    <row r="41">
      <c r="A41" t="inlineStr">
        <is>
          <t>MK-NW-M-040</t>
        </is>
      </c>
      <c r="B41" t="inlineStr">
        <is>
          <t>Networth</t>
        </is>
      </c>
      <c r="C41" t="inlineStr">
        <is>
          <t>/itemize</t>
        </is>
      </c>
      <c r="D41" t="inlineStr">
        <is>
          <t>each holding and its value</t>
        </is>
      </c>
      <c r="E41" t="inlineStr">
        <is>
          <t>h.value</t>
        </is>
      </c>
      <c r="F41" t="inlineStr">
        <is>
          <t>marketValue</t>
        </is>
      </c>
      <c r="G41" t="inlineStr">
        <is>
          <t>MK-PF-F-004</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1. shares → totalShares  [MK-XS-I-004]
2. price → the latest close  [MK-XS-I-005]</t>
        </is>
      </c>
      <c r="K41" t="inlineStr">
        <is>
          <t>US dollars · held to the cent · shown as whole dollars  [derived by rule — confirm]</t>
        </is>
      </c>
      <c r="L41" t="inlineStr">
        <is>
          <t>NOT DETERMINED — this function has not been read for its refusal yet.</t>
        </is>
      </c>
      <c r="M41" t="inlineStr">
        <is>
          <t>One figure per holding  [derived by rule — confirm]</t>
        </is>
      </c>
      <c r="N41" t="inlineStr">
        <is>
          <t>As of today, from the latest figures held  [derived by rule — confirm]</t>
        </is>
      </c>
      <c r="O41" t="inlineStr">
        <is>
          <t>1. MK-PF-F-031 (contractMultiplier) → number
2. MK-PF-F-001 (totalShares) → number</t>
        </is>
      </c>
      <c r="P41" t="inlineStr">
        <is>
          <t>1. MK-PF-F-031 contractMultiplier → MK-PF-F-004 marketValue
2. MK-PF-F-001 totalShares → MK-PF-F-004 marketValue</t>
        </is>
      </c>
      <c r="Q41" t="inlineStr">
        <is>
          <t>MK-PF-F-001 — If shares is missing it counts as zero, so nothing recorded and a real zero look the same.</t>
        </is>
      </c>
      <c r="R41" t="inlineStr">
        <is>
          <t>DECIDES whether a line is a share, a bond, an option, a crypto amount or a currency, because the units differ; and DECIDES the price to use when the feed has none.</t>
        </is>
      </c>
      <c r="S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41" t="inlineStr">
        <is>
          <t>[Founder] A price is a ratio, not money: it keeps eight decimal places and is never rounded to cents. Rounding a Treasury bill price of $0.9888 to $0.99 invented $276 of gain on one row.</t>
        </is>
      </c>
      <c r="U41" t="inlineStr">
        <is>
          <t>THE SAME FIGURE AS MK-NW-M-030 — A holding's current value, on holding detail and again while itemising an account.</t>
        </is>
      </c>
      <c r="V41" t="inlineStr"/>
      <c r="W41" t="inlineStr"/>
      <c r="X41" t="inlineStr"/>
      <c r="Y41" t="inlineStr">
        <is>
          <t>NOT DETERMINED</t>
        </is>
      </c>
      <c r="Z41" t="inlineStr">
        <is>
          <t>VERIFIED 2026-08-22</t>
        </is>
      </c>
      <c r="AA4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1" t="inlineStr">
        <is>
          <t>AGREES — the figure's arithmetic and the arithmetic of the function it names say the same thing. Checked 2026-08-26.</t>
        </is>
      </c>
      <c r="AC41" t="inlineStr">
        <is>
          <t>HAS A FUNCTION — traceable from the screen to the code.</t>
        </is>
      </c>
      <c r="AD41" t="inlineStr"/>
      <c r="AE41" t="inlineStr">
        <is>
          <t>No finding on this row. That is not a statement that the row is right — only that nothing has been written against it.</t>
        </is>
      </c>
      <c r="AF41" t="inlineStr">
        <is>
          <t>SUPERSEDED BY MK-NW-M-030 — the same figure under another identifier. This number is retired and is never handed to anything else.</t>
        </is>
      </c>
      <c r="AG41" t="inlineStr">
        <is>
          <t>2026-08-27</t>
        </is>
      </c>
      <c r="AJ41"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41" s="3" t="inlineStr">
        <is>
          <t>(the claim now stands in 'Inputs it needs' until the row is approved)</t>
        </is>
      </c>
      <c r="AN41" s="3" t="inlineStr">
        <is>
          <t>NOTHING OPEN</t>
        </is>
      </c>
    </row>
    <row r="42">
      <c r="A42" t="inlineStr">
        <is>
          <t>MK-NW-M-041</t>
        </is>
      </c>
      <c r="B42" t="inlineStr">
        <is>
          <t>Networth</t>
        </is>
      </c>
      <c r="C42" t="inlineStr">
        <is>
          <t>/bonds</t>
        </is>
      </c>
      <c r="D42" t="inlineStr">
        <is>
          <t>total value of your bonds</t>
        </is>
      </c>
      <c r="E42" t="inlineStr">
        <is>
          <t>summary.totalValue</t>
        </is>
      </c>
      <c r="F42" t="inlineStr">
        <is>
          <t>bondInfo</t>
        </is>
      </c>
      <c r="G42" t="inlineStr">
        <is>
          <t>MK-NW-F-056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s="3" t="inlineStr">
        <is>
          <t>$0, and under it the one line "Nothing entered yet. Add a bond ›" (mock approved 2026-09-12). A real zero that was entered shows a plain $0 with no line.</t>
        </is>
      </c>
      <c r="M42" t="inlineStr">
        <is>
          <t>One figure per bond  [derived by rule — confirm]</t>
        </is>
      </c>
      <c r="N42" t="inlineStr">
        <is>
          <t>As of today, from the latest figures held  [derived by rule — confirm]</t>
        </is>
      </c>
      <c r="O42" t="inlineStr">
        <is>
          <t>MK-CF-F-155 (cash) → number</t>
        </is>
      </c>
      <c r="P42" t="inlineStr">
        <is>
          <t>MK-XS-F-122 n → MK-CF-F-155 cash → MK-NW-F-056 bondInfo</t>
        </is>
      </c>
      <c r="Q42"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2" t="inlineStr">
        <is>
          <t>DECIDES how a bond is NAMED on screen — issuer, or the identifying number, or a plain description; and DECIDES whether a line is a bond at all.</t>
        </is>
      </c>
      <c r="S42" t="inlineStr"/>
      <c r="T42" t="inlineStr">
        <is>
          <t>NOT DETERMINED — no assumption recorded for this figure yet.</t>
        </is>
      </c>
      <c r="U42" t="inlineStr"/>
      <c r="V42" s="11" t="inlineStr">
        <is>
          <t>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2" s="11" t="inlineStr"/>
      <c r="X42" t="inlineStr"/>
      <c r="Y42" t="inlineStr">
        <is>
          <t>NOT DETERMINED</t>
        </is>
      </c>
      <c r="Z42" t="inlineStr">
        <is>
          <t>VERIFIED 2026-08-22</t>
        </is>
      </c>
      <c r="AA4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2" t="inlineStr">
        <is>
          <t>AGREES — the figure's arithmetic and the arithmetic of the function it names say the same thing. Checked 2026-08-26.</t>
        </is>
      </c>
      <c r="AC42" t="inlineStr">
        <is>
          <t>HAS A FUNCTION — traceable from the screen to the code.</t>
        </is>
      </c>
      <c r="AD42" t="inlineStr"/>
      <c r="AE42" s="3" t="inlineStr">
        <is>
          <t>No finding on this row. That is not a statement that the row is right — only that nothing has been written against it.
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2" t="inlineStr">
        <is>
          <t>ACTIVE</t>
        </is>
      </c>
      <c r="AG42" t="inlineStr">
        <is>
          <t>2026-08-27</t>
        </is>
      </c>
      <c r="AH42"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2"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2"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42" s="3" t="inlineStr">
        <is>
          <t>(the claim now stands in 'Inputs it needs' until the row is approved)</t>
        </is>
      </c>
      <c r="AN42" s="7" t="inlineStr">
        <is>
          <t>WAITING ON YOU — question Q38 · WAITING ON YOU — answer to read · RULED, NOT CODED (Bond display rule)</t>
        </is>
      </c>
    </row>
    <row r="43">
      <c r="A43" t="inlineStr">
        <is>
          <t>MK-NW-M-042</t>
        </is>
      </c>
      <c r="B43" t="inlineStr">
        <is>
          <t>Networth</t>
        </is>
      </c>
      <c r="C43" t="inlineStr">
        <is>
          <t>/bonds</t>
        </is>
      </c>
      <c r="D43" t="inlineStr">
        <is>
          <t>n bonds · face $X</t>
        </is>
      </c>
      <c r="E43" t="inlineStr">
        <is>
          <t>summary.totalFace</t>
        </is>
      </c>
      <c r="F43" t="inlineStr">
        <is>
          <t>bondInfo</t>
        </is>
      </c>
      <c r="G43" t="inlineStr">
        <is>
          <t>MK-NW-F-056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s="3" t="inlineStr">
        <is>
          <t>$0, and under it the one line "Nothing entered yet. Add a bond ›" (mock approved 2026-09-12). A real zero that was entered shows a plain $0 with no line.</t>
        </is>
      </c>
      <c r="M43" t="inlineStr">
        <is>
          <t>One figure per bond  [derived by rule — confirm]</t>
        </is>
      </c>
      <c r="N43" t="inlineStr">
        <is>
          <t>As of today, from the latest figures held  [derived by rule — confirm]</t>
        </is>
      </c>
      <c r="O43" t="inlineStr">
        <is>
          <t>MK-CF-F-155 (cash) → number</t>
        </is>
      </c>
      <c r="P43" t="inlineStr">
        <is>
          <t>MK-XS-F-122 n → MK-CF-F-155 cash → MK-NW-F-056 bondInfo</t>
        </is>
      </c>
      <c r="Q43"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3" t="inlineStr">
        <is>
          <t>DECIDES how a bond is NAMED on screen — issuer, or the identifying number, or a plain description; and DECIDES whether a line is a bond at all.</t>
        </is>
      </c>
      <c r="S43" t="inlineStr"/>
      <c r="T43" t="inlineStr">
        <is>
          <t>NOT DETERMINED — no assumption recorded for this figure yet.</t>
        </is>
      </c>
      <c r="U43" t="inlineStr"/>
      <c r="V43" t="inlineStr"/>
      <c r="W43" t="inlineStr"/>
      <c r="X43" t="inlineStr"/>
      <c r="Y43" t="inlineStr">
        <is>
          <t>NOT DETERMINED</t>
        </is>
      </c>
      <c r="Z43" t="inlineStr">
        <is>
          <t>VERIFIED 2026-08-22</t>
        </is>
      </c>
      <c r="AA4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3" t="inlineStr">
        <is>
          <t>AGREES — the figure's arithmetic and the arithmetic of the function it names say the same thing. Checked 2026-08-26.</t>
        </is>
      </c>
      <c r="AC43" t="inlineStr">
        <is>
          <t>HAS A FUNCTION — traceable from the screen to the code.</t>
        </is>
      </c>
      <c r="AD43" t="inlineStr"/>
      <c r="AE43" s="3" t="inlineStr">
        <is>
          <t>No finding on this row. That is not a statement that the row is right — only that nothing has been written against it.
G32 / Q48 — RULED 2026-09-09: $0 stays, with the sentence '$0 — nothing entered yet.' and this row's door ('Add a bond ›'). File written; the screen follows the approved empty-state mock (one pattern, one screen), then every screen.</t>
        </is>
      </c>
      <c r="AF43" t="inlineStr">
        <is>
          <t>ACTIVE</t>
        </is>
      </c>
      <c r="AG43" t="inlineStr">
        <is>
          <t>2026-08-27</t>
        </is>
      </c>
      <c r="AH4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3"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3"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43" s="3" t="inlineStr">
        <is>
          <t>(the claim now stands in 'Inputs it needs' until the row is approved)</t>
        </is>
      </c>
      <c r="AN43" s="6" t="inlineStr">
        <is>
          <t>WAITING ON YOU — answer to read · RULED, NOT CODED (Bond display rule)</t>
        </is>
      </c>
    </row>
    <row r="44">
      <c r="A44" t="inlineStr">
        <is>
          <t>MK-NW-M-043</t>
        </is>
      </c>
      <c r="B44" t="inlineStr">
        <is>
          <t>Networth</t>
        </is>
      </c>
      <c r="C44" t="inlineStr">
        <is>
          <t>/bonds</t>
        </is>
      </c>
      <c r="D44" t="inlineStr">
        <is>
          <t>COUPON / YR</t>
        </is>
      </c>
      <c r="E44" t="inlineStr">
        <is>
          <t>summary.coupon</t>
        </is>
      </c>
      <c r="F44" t="inlineStr">
        <is>
          <t>annualCoupon</t>
        </is>
      </c>
      <c r="G44" t="inlineStr">
        <is>
          <t>MK-NW-F-057</t>
        </is>
      </c>
      <c r="H44" t="inlineStr">
        <is>
          <t>annual coupon = face × coupon rate</t>
        </is>
      </c>
      <c r="I44" t="inlineStr">
        <is>
          <t>face value × coupon rate. NOT what the bond is worth today × the rate — a $10,000 bond paying 4% pays $400 whether it is trading at $9,800 or $11,000.</t>
        </is>
      </c>
      <c r="J44" t="inlineStr">
        <is>
          <t>1. face value → face  [MK-XS-I-011]
2. coupon rate → couponRate  [MK-XS-I-012]</t>
        </is>
      </c>
      <c r="K44" t="inlineStr">
        <is>
          <t>US dollars · held to the cent · shown as whole dollars  [derived by rule — confirm]</t>
        </is>
      </c>
      <c r="L44" t="inlineStr">
        <is>
          <t>NOT DETERMINED — this function has not been read for its refusal yet.</t>
        </is>
      </c>
      <c r="M44" t="inlineStr">
        <is>
          <t>One figure per bond  [derived by rule — confirm]</t>
        </is>
      </c>
      <c r="N44" t="inlineStr">
        <is>
          <t>As of today, from the latest figures held  [derived by rule — confirm]</t>
        </is>
      </c>
      <c r="O44" t="inlineStr">
        <is>
          <t>None — it reads its inputs and answers</t>
        </is>
      </c>
      <c r="P44" t="inlineStr">
        <is>
          <t>No dependent function — it reads its inputs and answers</t>
        </is>
      </c>
      <c r="Q44" t="inlineStr">
        <is>
          <t>None found anywhere in this chain</t>
        </is>
      </c>
      <c r="R44" t="inlineStr"/>
      <c r="S44" t="inlineStr"/>
      <c r="T44" t="inlineStr">
        <is>
          <t>NOT DETERMINED — no assumption recorded for this figure yet.</t>
        </is>
      </c>
      <c r="U44" t="inlineStr">
        <is>
          <t>THE SAME FIGURE AS MK-NW-M-024 — The coupon a bond pays in a year. "Interest payments" on account detail and "COUPON / YR" on the bonds screen.</t>
        </is>
      </c>
      <c r="V44" s="11"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4" s="11" t="inlineStr">
        <is>
          <t>A15 - What the function is currently used as? Function to round off to 2 decimal? If yes, fix it. Column H and M on the functions tab are saying two different things none of which is making sense.
A46:If coupon rate is not available use 0.
(typed 2026-08-26)</t>
        </is>
      </c>
      <c r="X44" t="inlineStr"/>
      <c r="Y44" t="inlineStr">
        <is>
          <t>NOT DETERMINED</t>
        </is>
      </c>
      <c r="Z44" t="inlineStr">
        <is>
          <t>VERIFIED 2026-08-22</t>
        </is>
      </c>
      <c r="AA44"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4" t="inlineStr">
        <is>
          <t>AGREES — the figure's arithmetic and the arithmetic of the function it names say the same thing. Checked 2026-08-26.</t>
        </is>
      </c>
      <c r="AC44" t="inlineStr">
        <is>
          <t>HAS A FUNCTION — traceable from the screen to the code.</t>
        </is>
      </c>
      <c r="AD44" t="inlineStr"/>
      <c r="AE44" s="3" t="inlineStr">
        <is>
          <t>A46 — FIXED 2026-09-11
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4" t="inlineStr">
        <is>
          <t>SUPERSEDED BY MK-NW-M-024 — the same figure under another identifier. This number is retired and is never handed to anything else.</t>
        </is>
      </c>
      <c r="AG44" t="inlineStr">
        <is>
          <t>2026-08-27</t>
        </is>
      </c>
      <c r="AH44"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4"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4" s="3" t="inlineStr">
        <is>
          <t>1. MK-XS-I-011 bond face value — read by MK-NW-F-057
2. MK-XS-I-012 bond coupon rate — read by MK-NW-F-057
3. MK-XS-I-049 bond price — what the bond is worth today — read by MK-NW-F-057
[the code's record, this build — evidence for the ruling, not the row's statement: it cannot see inputs handed in as arguments, and it counts every branch below the producer]</t>
        </is>
      </c>
      <c r="AK44" s="3" t="inlineStr">
        <is>
          <t>(the claim now stands in 'Inputs it needs' until the row is approved)</t>
        </is>
      </c>
      <c r="AN44" s="7" t="inlineStr">
        <is>
          <t>WAITING ON YOU — question Q39, Q40 · WAITING ON YOU — answer to read · CODED, NOT TESTED (finding A46 names no test)</t>
        </is>
      </c>
    </row>
    <row r="45">
      <c r="A45" t="inlineStr">
        <is>
          <t>MK-NW-M-044</t>
        </is>
      </c>
      <c r="B45" t="inlineStr">
        <is>
          <t>Networth</t>
        </is>
      </c>
      <c r="C45" t="inlineStr">
        <is>
          <t>/bonds</t>
        </is>
      </c>
      <c r="D45" t="inlineStr">
        <is>
          <t>AVG YIELD</t>
        </is>
      </c>
      <c r="E45" t="inlineStr">
        <is>
          <t>summary.yield</t>
        </is>
      </c>
      <c r="F45" t="inlineStr">
        <is>
          <t>currentYield</t>
        </is>
      </c>
      <c r="G45" t="inlineStr">
        <is>
          <t>MK-NW-F-059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1. coupon → annualCoupon  [MK-XS-I-012]
2.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MK-NW-F-057 (annualCoupon) → number</t>
        </is>
      </c>
      <c r="P45" t="inlineStr">
        <is>
          <t>MK-NW-F-057 annualCoupon → MK-NW-F-059 currentYield</t>
        </is>
      </c>
      <c r="Q45" t="inlineStr">
        <is>
          <t>MK-NW-F-059 — If accrued interest is missing it uses 0.</t>
        </is>
      </c>
      <c r="R45" t="inlineStr"/>
      <c r="S45" t="inlineStr"/>
      <c r="T45" t="inlineStr">
        <is>
          <t>NOT DETERMINED — no assumption recorded for this figure yet.</t>
        </is>
      </c>
      <c r="U45" t="inlineStr"/>
      <c r="V45" s="11" t="inlineStr">
        <is>
          <t>Q45 — Approve the caveat when accrued interest is not recorded: 'Yield uses the value you entered. If that value includes accrued interest, the true yield is slightly higher.'</t>
        </is>
      </c>
      <c r="W45" s="11"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45" t="inlineStr"/>
      <c r="Y45" t="inlineStr">
        <is>
          <t>NOT DETERMINED</t>
        </is>
      </c>
      <c r="Z45" t="inlineStr">
        <is>
          <t>VERIFIED 2026-08-22</t>
        </is>
      </c>
      <c r="AA45" t="inlineStr">
        <is>
          <t>1. A47 — Current yield is the annual coupon over the recorded value. If that value is a dirty price it carries accrued interest and the yield is understated. Nowhere does the file say which of the two it is.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5" t="inlineStr">
        <is>
          <t>AGREES — the figure's arithmetic and the arithmetic of the function it names say the same thing. Checked 2026-08-26.</t>
        </is>
      </c>
      <c r="AC45" t="inlineStr">
        <is>
          <t>HAS A FUNCTION — traceable from the screen to the code.</t>
        </is>
      </c>
      <c r="AD45" t="inlineStr"/>
      <c r="AE45" s="3" t="inlineStr">
        <is>
          <t>A47 — FIXED 2026-09-11
A47 — RULED 2026-08-26 (subtract accrued interest when recorded; caveat when not), NOT YET IN CODE: no accrued-interest field exists. Open, sequenced after the bond fields (brief Q-38 (2026-08-20)).</t>
        </is>
      </c>
      <c r="AF45" t="inlineStr">
        <is>
          <t>ACTIVE</t>
        </is>
      </c>
      <c r="AG45" t="inlineStr">
        <is>
          <t>2026-08-27</t>
        </is>
      </c>
      <c r="AH45" t="inlineStr">
        <is>
          <t>[What comes out — unit and rounding] yield should always be two decimal digits</t>
        </is>
      </c>
      <c r="AI45"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45" s="3" t="inlineStr">
        <is>
          <t>1. MK-XS-I-011 bond face value — read by MK-NW-F-057
2. MK-XS-I-012 bond coupon rate — read by MK-NW-F-057
3. MK-XS-I-049 bond price — what the bond is worth today — read by MK-NW-F-057, MK-NW-F-059
4. MK-XS-I-065 accrued interest on a bond — interest earned since the last coupon — read by MK-NW-F-059
[the code's record, this build — evidence for the ruling, not the row's statement: it cannot see inputs handed in as arguments, and it counts every branch below the producer]</t>
        </is>
      </c>
      <c r="AK45" s="3" t="inlineStr">
        <is>
          <t>(the claim now stands in 'Inputs it needs' until the row is approved)</t>
        </is>
      </c>
      <c r="AN45" s="7" t="inlineStr">
        <is>
          <t>WAITING ON YOU — question Q45 · WAITING ON YOU — answer to read · TESTED, NOT VERIFIED (A47)</t>
        </is>
      </c>
    </row>
    <row r="46">
      <c r="A46" t="inlineStr">
        <is>
          <t>MK-NW-M-045</t>
        </is>
      </c>
      <c r="B46" t="inlineStr">
        <is>
          <t>Networth</t>
        </is>
      </c>
      <c r="C46" t="inlineStr">
        <is>
          <t>/bonds</t>
        </is>
      </c>
      <c r="D46" t="inlineStr">
        <is>
          <t>each bond — face, coupon, yield</t>
        </is>
      </c>
      <c r="E46" t="inlineStr">
        <is>
          <t>bi</t>
        </is>
      </c>
      <c r="F46" t="inlineStr">
        <is>
          <t>1. bondInfo
2. annualCoupon</t>
        </is>
      </c>
      <c r="G46" t="inlineStr">
        <is>
          <t>1. MK-NW-F-056
2. MK-NW-F-057</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1. the holding → position/account  [MK-XS-I-004]
2. face value → face  [MK-XS-I-011]
3. coupon rate → couponRate  [MK-XS-I-012]</t>
        </is>
      </c>
      <c r="K46" t="inlineStr">
        <is>
          <t>Percent · one decimal shown  [derived by rule — confirm]</t>
        </is>
      </c>
      <c r="L46" t="inlineStr">
        <is>
          <t>NOT DETERMINED — this function has not been read for its refusal yet.</t>
        </is>
      </c>
      <c r="M46" t="inlineStr">
        <is>
          <t>One figure per bond  [derived by rule — confirm]</t>
        </is>
      </c>
      <c r="N46" t="inlineStr">
        <is>
          <t>As of today, from the latest figures held  [derived by rule — confirm]</t>
        </is>
      </c>
      <c r="O46" t="inlineStr">
        <is>
          <t>MK-CF-F-155 (cash) → number</t>
        </is>
      </c>
      <c r="P46" t="inlineStr">
        <is>
          <t>1. MK-XS-F-122 n → MK-CF-F-155 cash → MK-NW-F-056 bondInfo
2. No dependent function — it reads its inputs and answers</t>
        </is>
      </c>
      <c r="Q46"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6" t="inlineStr">
        <is>
          <t>DECIDES how a bond is NAMED on screen — issuer, or the identifying number, or a plain description; and DECIDES whether a line is a bond at all.</t>
        </is>
      </c>
      <c r="S46" t="inlineStr"/>
      <c r="T46" t="inlineStr">
        <is>
          <t>NOT DETERMINED — no assumption recorded for this figure yet.</t>
        </is>
      </c>
      <c r="U46" t="inlineStr"/>
      <c r="V46" s="11" t="inlineStr">
        <is>
          <t>Q41 — One date format for maturity everywhere: 'Jan 15, 2030' (recommended) or '2030-01-15'? And NEXT MATURITY on the summary: full date, or year only as today?</t>
        </is>
      </c>
      <c r="W46" s="11" t="inlineStr">
        <is>
          <t>A46:If coupon rate is not available use 0.
(typed 2026-08-26)</t>
        </is>
      </c>
      <c r="X46" t="inlineStr"/>
      <c r="Y46" t="inlineStr">
        <is>
          <t>NOT DETERMINED</t>
        </is>
      </c>
      <c r="Z46" t="inlineStr">
        <is>
          <t>VERIFIED 2026-08-22</t>
        </is>
      </c>
      <c r="AA46"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6" t="inlineStr">
        <is>
          <t>AGREES — the figure's arithmetic and the arithmetic of the function it names say the same thing. Checked 2026-08-26.</t>
        </is>
      </c>
      <c r="AC46" t="inlineStr">
        <is>
          <t>HAS A FUNCTION — traceable from the screen to the code.</t>
        </is>
      </c>
      <c r="AD46" t="inlineStr"/>
      <c r="AE46" s="3" t="inlineStr">
        <is>
          <t>A46 — FIXED 2026-09-11
A46 — RULED 2026-08-26, NOT YET IN CODE (JJ-4). Open.</t>
        </is>
      </c>
      <c r="AF46" t="inlineStr">
        <is>
          <t>ACTIVE</t>
        </is>
      </c>
      <c r="AG46" t="inlineStr">
        <is>
          <t>2026-08-27</t>
        </is>
      </c>
      <c r="AH46"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46"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46" s="3" t="inlineStr">
        <is>
          <t>1. MK-XS-I-001 account balance — read by MK-NW-F-056
2. MK-XS-I-011 bond face value — read by MK-NW-F-056, MK-NW-F-057
3. MK-XS-I-012 bond coupon rate — read by MK-NW-F-056, MK-NW-F-057
4. MK-XS-I-013 bond maturity date — read by MK-NW-F-056
5. MK-XS-I-049 bond price — what the bond is worth today — read by MK-NW-F-056, MK-NW-F-057
6. MK-XS-I-065 accrued interest on a bond — interest earned since the last coupon — read by MK-NW-F-056
[the code's record, this build — evidence for the ruling, not the row's statement: it cannot see inputs handed in as arguments, and it counts every branch below the producer]</t>
        </is>
      </c>
      <c r="AK46" s="3" t="inlineStr">
        <is>
          <t>(the claim now stands in 'Inputs it needs' until the row is approved)</t>
        </is>
      </c>
      <c r="AN46" s="7" t="inlineStr">
        <is>
          <t>WAITING ON YOU — question Q41 · WAITING ON YOU — answer to read · RULED, NOT CODED (Bond display rule)</t>
        </is>
      </c>
    </row>
  </sheetData>
  <autoFilter ref="A1:AN4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N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MK-PF-M-001</t>
        </is>
      </c>
      <c r="B2" t="inlineStr">
        <is>
          <t>Performance</t>
        </is>
      </c>
      <c r="C2" t="inlineStr">
        <is>
          <t>NA</t>
        </is>
      </c>
      <c r="D2" t="inlineStr">
        <is>
          <t>Ending value</t>
        </is>
      </c>
      <c r="E2" t="inlineStr">
        <is>
          <t>walk.ending</t>
        </is>
      </c>
      <c r="F2" t="inlineStr">
        <is>
          <t>buildChangeWalk</t>
        </is>
      </c>
      <c r="G2" s="3" t="inlineStr">
        <is>
          <t>MK-ST-F-031</t>
        </is>
      </c>
      <c r="H2" s="3" t="inlineStr">
        <is>
          <t>ending value = Σ over the accounts in scope of (snapshot value on the end date)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1. MK-ST-F-027 (accountId) → string
2. MK-CF-F-155 (cash) → number
3. MK-ST-F-056 (has) → NOT DECLARED — the code does not say what it gives back
4. MK-ST-F-033 (onOrBefore) → T | null</t>
        </is>
      </c>
      <c r="P2" t="inlineStr">
        <is>
          <t>No dependent function — it reads its inputs and answers</t>
        </is>
      </c>
      <c r="Q2" t="inlineStr">
        <is>
          <t>1. MK-XS-F-011 — If contributions is missing it uses 0.
2. MK-XS-F-011 — If withdrawals is missing it uses 0.
3. MK-XS-F-011 — If dividends is missing it uses 0.
4. MK-XS-F-011 — If interest is missing it uses 0.
5. MK-XS-F-011 — If debt principal is missing it uses 0.</t>
        </is>
      </c>
      <c r="R2" t="inlineStr"/>
      <c r="S2" t="inlineStr">
        <is>
          <t>Beginning values are read from the daily record, which never leaves the phone. On a new device there is no beginning, so the walk back-solves one or refuses.</t>
        </is>
      </c>
      <c r="T2" t="inlineStr">
        <is>
          <t>[Founder] The identity must close: ending = beginning + money in − money out + income − costs + market change. A direction stated by the institution never overrides a contradicting sign — a −$500 line marked IN is a reversal.</t>
        </is>
      </c>
      <c r="U2" t="inlineStr">
        <is>
          <t>THE SURVIVING IDENTIFIER for this figure. Folded in: MK-PF-M-003. The ending value, shown as its own line and again inside the heading "HOW $X BECAME $Y". Same screen, same figure, twice.</t>
        </is>
      </c>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2" t="inlineStr">
        <is>
          <t>HAS A FUNCTION — traceable from the screen to the code.</t>
        </is>
      </c>
      <c r="AD2" t="inlineStr"/>
      <c r="AE2" t="inlineStr">
        <is>
          <t>B18 — FIXED 2026-09-12</t>
        </is>
      </c>
      <c r="AF2" t="inlineStr">
        <is>
          <t>ACTIVE</t>
        </is>
      </c>
      <c r="AG2" t="inlineStr">
        <is>
          <t>2026-08-27</t>
        </is>
      </c>
      <c r="AJ2"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CODED, NOT TESTED (finding B18 names no test)</t>
        </is>
      </c>
    </row>
    <row r="3">
      <c r="A3" t="inlineStr">
        <is>
          <t>MK-PF-M-002</t>
        </is>
      </c>
      <c r="B3" t="inlineStr">
        <is>
          <t>Performance</t>
        </is>
      </c>
      <c r="C3" t="inlineStr">
        <is>
          <t>NA</t>
        </is>
      </c>
      <c r="D3" t="inlineStr">
        <is>
          <t>Wealth generated</t>
        </is>
      </c>
      <c r="E3" t="inlineStr">
        <is>
          <t>walk.wealthGenerated</t>
        </is>
      </c>
      <c r="F3" t="inlineStr">
        <is>
          <t>buildChangeWalk</t>
        </is>
      </c>
      <c r="G3" t="inlineStr">
        <is>
          <t>MK-XS-F-011</t>
        </is>
      </c>
      <c r="H3" s="3" t="inlineStr">
        <is>
          <t>wealth generated = ending value − beginning value − net money in  (money in = deposits and transfers in − withdrawals and transfers out over the window)</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it reads its inputs and answers</t>
        </is>
      </c>
      <c r="P3" t="inlineStr">
        <is>
          <t>No dependent function — it reads its inputs and answers</t>
        </is>
      </c>
      <c r="Q3" t="inlineStr">
        <is>
          <t>1. MK-XS-F-011 — If contributions is missing it uses 0.
2. MK-XS-F-011 — If withdrawals is missing it uses 0.
3. MK-XS-F-011 — If dividends is missing it uses 0.
4. MK-XS-F-011 — If interest is missing it uses 0.
5. MK-XS-F-011 — If debt principal is missing it uses 0.</t>
        </is>
      </c>
      <c r="R3" t="inlineStr"/>
      <c r="S3" t="inlineStr">
        <is>
          <t>Beginning values are read from the daily record, which never leaves the phone. On a new device there is no beginning, so the walk back-solves one or refuses.</t>
        </is>
      </c>
      <c r="T3" t="inlineStr">
        <is>
          <t>[Founder] The identity must close: ending = beginning + money in − money out + income − costs + market change. A direction stated by the institution never overrides a contradicting sign — a −$500 line marked IN is a reversal.</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3" t="inlineStr">
        <is>
          <t>HAS A FUNCTION — traceable from the screen to the code.</t>
        </is>
      </c>
      <c r="AD3" t="inlineStr"/>
      <c r="AE3" t="inlineStr">
        <is>
          <t>B18 — FIXED 2026-09-12</t>
        </is>
      </c>
      <c r="AF3" t="inlineStr">
        <is>
          <t>ACTIVE</t>
        </is>
      </c>
      <c r="AG3" t="inlineStr">
        <is>
          <t>2026-08-27</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CODED, NOT TESTED (finding B18 names no test)</t>
        </is>
      </c>
    </row>
    <row r="4">
      <c r="A4" t="inlineStr">
        <is>
          <t>MK-PF-M-003</t>
        </is>
      </c>
      <c r="B4" t="inlineStr">
        <is>
          <t>Performance</t>
        </is>
      </c>
      <c r="C4" t="inlineStr">
        <is>
          <t>NA</t>
        </is>
      </c>
      <c r="D4" t="inlineStr">
        <is>
          <t>HOW $X BECAME $Y · ALL ACCOUNTS</t>
        </is>
      </c>
      <c r="E4" t="inlineStr">
        <is>
          <t>walk.beginning / walk.ending</t>
        </is>
      </c>
      <c r="F4" t="inlineStr">
        <is>
          <t>buildChangeWalk</t>
        </is>
      </c>
      <c r="G4" t="inlineStr">
        <is>
          <t>MK-XS-F-011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it reads its inputs and answers</t>
        </is>
      </c>
      <c r="P4" t="inlineStr">
        <is>
          <t>No dependent function — it reads its inputs and answers</t>
        </is>
      </c>
      <c r="Q4" t="inlineStr">
        <is>
          <t>1. MK-XS-F-011 — If contributions is missing it uses 0.
2. MK-XS-F-011 — If withdrawals is missing it uses 0.
3. MK-XS-F-011 — If dividends is missing it uses 0.
4. MK-XS-F-011 — If interest is missing it uses 0.
5. MK-XS-F-011 — If debt principal is missing it uses 0.</t>
        </is>
      </c>
      <c r="R4" t="inlineStr"/>
      <c r="S4" t="inlineStr">
        <is>
          <t>Beginning values are read from the daily record, which never leaves the phone. On a new device there is no beginning, so the walk back-solves one or refuses.</t>
        </is>
      </c>
      <c r="T4" t="inlineStr">
        <is>
          <t>[Founder] The identity must close: ending = beginning + money in − money out + income − costs + market change. A direction stated by the institution never overrides a contradicting sign — a −$500 line marked IN is a reversal.</t>
        </is>
      </c>
      <c r="U4" t="inlineStr">
        <is>
          <t>THE SAME FIGURE AS MK-PF-M-001 — The ending value, shown as its own line and again inside the heading "HOW $X BECAME $Y". Same screen, same figure, twice.</t>
        </is>
      </c>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4" t="inlineStr">
        <is>
          <t>HAS A FUNCTION — traceable from the screen to the code.</t>
        </is>
      </c>
      <c r="AD4" t="inlineStr"/>
      <c r="AE4" t="inlineStr">
        <is>
          <t>B18 — FIXED 2026-09-12</t>
        </is>
      </c>
      <c r="AF4" t="inlineStr">
        <is>
          <t>SUPERSEDED BY MK-PF-M-001 — the same figure under another identifier. This number is retired and is never handed to anything else.</t>
        </is>
      </c>
      <c r="AG4" t="inlineStr">
        <is>
          <t>2026-08-27</t>
        </is>
      </c>
      <c r="AJ4" s="3" t="inlineStr">
        <is>
          <t>NONE — no function in this chain reads a stored input the sweep knows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B18 names no test)</t>
        </is>
      </c>
    </row>
    <row r="5">
      <c r="A5" t="inlineStr">
        <is>
          <t>MK-PF-M-004</t>
        </is>
      </c>
      <c r="B5" t="inlineStr">
        <is>
          <t>Performance</t>
        </is>
      </c>
      <c r="C5" t="inlineStr">
        <is>
          <t>NA</t>
        </is>
      </c>
      <c r="D5" t="inlineStr">
        <is>
          <t>Ending market value (per account)</t>
        </is>
      </c>
      <c r="E5" t="inlineStr">
        <is>
          <t>w.ending</t>
        </is>
      </c>
      <c r="F5" t="inlineStr">
        <is>
          <t>buildChangeWalk</t>
        </is>
      </c>
      <c r="G5" s="3" t="inlineStr">
        <is>
          <t>MK-ST-F-031</t>
        </is>
      </c>
      <c r="H5" s="3" t="inlineStr">
        <is>
          <t>ending market value (this account) = snapshot value of the account on the end date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1. MK-ST-F-027 (accountId) → string
2. MK-CF-F-155 (cash) → number
3. MK-ST-F-056 (has) → NOT DECLARED — the code does not say what it gives back
4. MK-ST-F-033 (onOrBefore) → T | null</t>
        </is>
      </c>
      <c r="P5" t="inlineStr">
        <is>
          <t>No dependent function — it reads its inputs and answers</t>
        </is>
      </c>
      <c r="Q5" t="inlineStr">
        <is>
          <t>1. MK-XS-F-011 — If contributions is missing it uses 0.
2. MK-XS-F-011 — If withdrawals is missing it uses 0.
3. MK-XS-F-011 — If dividends is missing it uses 0.
4. MK-XS-F-011 — If interest is missing it uses 0.
5. MK-XS-F-011 — If debt principal is missing it uses 0.</t>
        </is>
      </c>
      <c r="R5" t="inlineStr"/>
      <c r="S5" t="inlineStr">
        <is>
          <t>Beginning values are read from the daily record, which never leaves the phone. On a new device there is no beginning, so the walk back-solves one or refuses.</t>
        </is>
      </c>
      <c r="T5" t="inlineStr">
        <is>
          <t>[Founder] The identity must close: ending = beginning + money in − money out + income − costs + market change. A direction stated by the institution never overrides a contradicting sign — a −$500 line marked IN is a reversal.</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5" t="inlineStr">
        <is>
          <t>HAS A FUNCTION — traceable from the screen to the code.</t>
        </is>
      </c>
      <c r="AD5" t="inlineStr"/>
      <c r="AE5" t="inlineStr">
        <is>
          <t>B18 — FIXED 2026-09-12</t>
        </is>
      </c>
      <c r="AF5" t="inlineStr">
        <is>
          <t>ACTIVE</t>
        </is>
      </c>
      <c r="AG5" t="inlineStr">
        <is>
          <t>2026-08-27</t>
        </is>
      </c>
      <c r="AJ5"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(finding B18 names no test)</t>
        </is>
      </c>
    </row>
    <row r="6">
      <c r="A6" t="inlineStr">
        <is>
          <t>MK-PF-M-005</t>
        </is>
      </c>
      <c r="B6" t="inlineStr">
        <is>
          <t>Performance</t>
        </is>
      </c>
      <c r="C6" t="inlineStr">
        <is>
          <t>NA</t>
        </is>
      </c>
      <c r="D6" t="inlineStr">
        <is>
          <t>each account and its ending value</t>
        </is>
      </c>
      <c r="E6" t="inlineStr">
        <is>
          <t>a.ending</t>
        </is>
      </c>
      <c r="F6" t="inlineStr">
        <is>
          <t>buildPerformance</t>
        </is>
      </c>
      <c r="G6" t="inlineStr">
        <is>
          <t>MK-PF-F-014</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1. the holdings → positions  [MK-XS-I-004]
2. prices → priceOf(ticker)  [MK-XS-I-005]
3. the chosen chip → period  [NOT AN INPUT — a setting or a filter, not data anyone supplies]
4. today → now  [NOT AN INPUT — a setting or a filter, not data anyone supplies]</t>
        </is>
      </c>
      <c r="K6" t="inlineStr">
        <is>
          <t>A count · whole units, except crypto which keeps its fractions  [derived by rule — confirm]</t>
        </is>
      </c>
      <c r="L6" s="3" t="inlineStr">
        <is>
          <t>$0, and under it the one line "Nothing entered yet. Add your accounts ›" (mock approved 2026-09-12). A real zero that was entered shows a plain $0 with no line.</t>
        </is>
      </c>
      <c r="M6" t="inlineStr">
        <is>
          <t>One figure per account  [derived by rule — confirm]</t>
        </is>
      </c>
      <c r="N6" t="inlineStr">
        <is>
          <t>As of today, from the latest figures held  [derived by rule — confirm]</t>
        </is>
      </c>
      <c r="O6"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6"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6"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AGREES — the figure's arithmetic and the arithmetic of the function it names say the same thing. Checked 2026-08-26.</t>
        </is>
      </c>
      <c r="AC6" t="inlineStr">
        <is>
          <t>HAS A FUNCTION — traceable from the screen to the code.</t>
        </is>
      </c>
      <c r="AD6" t="inlineStr"/>
      <c r="AE6"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6" t="inlineStr">
        <is>
          <t>ACTIVE</t>
        </is>
      </c>
      <c r="AG6" t="inlineStr">
        <is>
          <t>2026-08-27</t>
        </is>
      </c>
      <c r="AJ6"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6" s="3" t="inlineStr">
        <is>
          <t>(the claim now stands in 'Inputs it needs' until the row is approved)</t>
        </is>
      </c>
      <c r="AN6" s="3" t="inlineStr">
        <is>
          <t>NOTHING OPEN</t>
        </is>
      </c>
    </row>
    <row r="7">
      <c r="A7" t="inlineStr">
        <is>
          <t>MK-PF-M-006</t>
        </is>
      </c>
      <c r="B7" t="inlineStr">
        <is>
          <t>Performance</t>
        </is>
      </c>
      <c r="C7" t="inlineStr">
        <is>
          <t>NA</t>
        </is>
      </c>
      <c r="D7" t="inlineStr">
        <is>
          <t>WHAT EACH CATEGORY EARNED — RETURN</t>
        </is>
      </c>
      <c r="E7" t="inlineStr">
        <is>
          <t>b.earned / b.ret</t>
        </is>
      </c>
      <c r="F7" t="inlineStr">
        <is>
          <t>buildPerformance</t>
        </is>
      </c>
      <c r="G7" t="inlineStr">
        <is>
          <t>MK-PF-F-014</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1. the holdings → positions  [MK-XS-I-004]
2. prices → priceOf(ticker)  [MK-XS-I-005]
3. the chosen chip → period  [NOT AN INPUT — a setting or a filter, not data anyone supplies]
4. today → now  [NOT AN INPUT — a setting or a filter, not data anyone supplies]</t>
        </is>
      </c>
      <c r="K7" t="inlineStr">
        <is>
          <t>Percent · one decimal shown  [derived by rule — confirm]</t>
        </is>
      </c>
      <c r="L7" s="3" t="inlineStr">
        <is>
          <t>$0, and under it the one line "Nothing entered yet. Add your accounts ›" (mock approved 2026-09-12). A real zero that was entered shows a plain $0 with no line.</t>
        </is>
      </c>
      <c r="M7" t="inlineStr">
        <is>
          <t>One figure per category  [derived by rule — confirm]</t>
        </is>
      </c>
      <c r="N7" t="inlineStr">
        <is>
          <t>The window the person chose on screen  [derived by rule — confirm]</t>
        </is>
      </c>
      <c r="O7"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7"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7"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A14 — This file states three different formulas for what it calls a return: Sum(return x value) / Sum(value), Modified Dietz, and earned / average value held. Three methods give three answers. One of them has to be the definition.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AGREES — the figure's arithmetic and the arithmetic of the function it names say the same thing. Checked 2026-08-26.</t>
        </is>
      </c>
      <c r="AC7" t="inlineStr">
        <is>
          <t>HAS A FUNCTION — traceable from the screen to the code.</t>
        </is>
      </c>
      <c r="AD7" t="inlineStr"/>
      <c r="AE7" s="3" t="inlineStr">
        <is>
          <t>A14 — OPEN — YOUR DECISION 2026-09-12
G32 / Q48 — RULED 2026-09-09: $0 stays, with the sentence '$0 — nothing entered yet.' and this row's door ('Add your accounts ›'). File written; the screen follows the approved empty-state mock (one pattern, one screen), then every screen.</t>
        </is>
      </c>
      <c r="AF7" t="inlineStr">
        <is>
          <t>ACTIVE</t>
        </is>
      </c>
      <c r="AG7" t="inlineStr">
        <is>
          <t>2026-08-27</t>
        </is>
      </c>
      <c r="AJ7"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7" s="3" t="inlineStr">
        <is>
          <t>(the claim now stands in 'Inputs it needs' until the row is approved)</t>
        </is>
      </c>
      <c r="AN7" s="8" t="inlineStr">
        <is>
          <t>OPEN FINDING A14</t>
        </is>
      </c>
    </row>
    <row r="8">
      <c r="A8" t="inlineStr">
        <is>
          <t>MK-PF-M-007</t>
        </is>
      </c>
      <c r="B8" t="inlineStr">
        <is>
          <t>Performance</t>
        </is>
      </c>
      <c r="C8" t="inlineStr">
        <is>
          <t>NA</t>
        </is>
      </c>
      <c r="D8" t="inlineStr">
        <is>
          <t>All categories</t>
        </is>
      </c>
      <c r="E8" t="inlineStr">
        <is>
          <t>total</t>
        </is>
      </c>
      <c r="F8" t="inlineStr">
        <is>
          <t>buildPerformance</t>
        </is>
      </c>
      <c r="G8" t="inlineStr">
        <is>
          <t>MK-PF-F-014</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1. the holdings → positions  [MK-XS-I-004]
2. prices → priceOf(ticker)  [MK-XS-I-005]
3. the chosen chip → period  [NOT AN INPUT — a setting or a filter, not data anyone supplies]
4. today → now  [NOT AN INPUT — a setting or a filter, not data anyone supplies]</t>
        </is>
      </c>
      <c r="K8" t="inlineStr">
        <is>
          <t>US dollars · held to the cent · shown as whole dollars  [derived by rule — confirm]</t>
        </is>
      </c>
      <c r="L8" s="3" t="inlineStr">
        <is>
          <t>$0, and under it the one line "Nothing entered yet. Add your accounts ›" (mock approved 2026-09-12). A real zero that was entered shows a plain $0 with no line.</t>
        </is>
      </c>
      <c r="M8" t="inlineStr">
        <is>
          <t>One figure per person — or per household when two people share one record  [derived by rule — confirm]</t>
        </is>
      </c>
      <c r="N8" t="inlineStr">
        <is>
          <t>As of today, from the latest figures held  [derived by rule — confirm]</t>
        </is>
      </c>
      <c r="O8"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8"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8"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A14 — This file states three different formulas for what it calls a return: Sum(return x value) / Sum(value), Modified Dietz, and earned / average value held. Three methods give three answers. One of them has to be the definition.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s="3" t="inlineStr">
        <is>
          <t>A14 — OPEN — YOUR DECISION 2026-09-12
G32 / Q48 — RULED 2026-09-09: $0 stays, with the sentence '$0 — nothing entered yet.' and this row's door ('Add your accounts ›'). File written; the screen follows the approved empty-state mock (one pattern, one screen), then every screen.</t>
        </is>
      </c>
      <c r="AF8" t="inlineStr">
        <is>
          <t>ACTIVE</t>
        </is>
      </c>
      <c r="AG8" t="inlineStr">
        <is>
          <t>2026-08-27</t>
        </is>
      </c>
      <c r="AJ8"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8" s="3" t="inlineStr">
        <is>
          <t>(the claim now stands in 'Inputs it needs' until the row is approved)</t>
        </is>
      </c>
      <c r="AN8" s="8" t="inlineStr">
        <is>
          <t>OPEN FINDING A14</t>
        </is>
      </c>
    </row>
    <row r="9">
      <c r="A9" t="inlineStr">
        <is>
          <t>MK-PF-M-008</t>
        </is>
      </c>
      <c r="B9" t="inlineStr">
        <is>
          <t>Performance</t>
        </is>
      </c>
      <c r="C9" t="inlineStr">
        <is>
          <t>NA</t>
        </is>
      </c>
      <c r="D9" t="inlineStr">
        <is>
          <t>HONEST COMPARISON</t>
        </is>
      </c>
      <c r="E9" t="inlineStr">
        <is>
          <t>benchPort</t>
        </is>
      </c>
      <c r="F9" t="inlineStr">
        <is>
          <t>portfolioBenchReturn</t>
        </is>
      </c>
      <c r="G9" t="inlineStr">
        <is>
          <t>MK-PF-F-020</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1. each holding's benchmark return → rows[].benchReturn  [NOT AN INPUT — another function’s answer; see the dependency column]
2. its value → rows[].marketValue  [NOT AN INPUT — another function’s answer; see the dependency column]</t>
        </is>
      </c>
      <c r="K9" t="inlineStr">
        <is>
          <t>US dollars · held to the cent · shown as whole dollars  [derived by rule — confirm]</t>
        </is>
      </c>
      <c r="L9" s="3" t="inlineStr">
        <is>
          <t>$0, and under it the one line "Nothing entered yet. Add your accounts ›" (mock approved 2026-09-12). A real zero that was entered shows a plain $0 with no line.</t>
        </is>
      </c>
      <c r="M9" t="inlineStr">
        <is>
          <t>One figure per person — or per household when two people share one record  [derived by rule — confirm]</t>
        </is>
      </c>
      <c r="N9" t="inlineStr">
        <is>
          <t>The window the person chose on screen  [derived by rule — confirm]</t>
        </is>
      </c>
      <c r="O9" t="inlineStr">
        <is>
          <t>MK-PF-F-004 (marketValue) → number</t>
        </is>
      </c>
      <c r="P9" t="inlineStr">
        <is>
          <t>1. MK-PF-F-031 contractMultiplier → MK-PF-F-004 marketValue → MK-PF-F-020 portfolioBenchReturn
2. MK-PF-F-001 totalShares → MK-PF-F-004 marketValue → MK-PF-F-020 portfolioBenchReturn</t>
        </is>
      </c>
      <c r="Q9" t="inlineStr">
        <is>
          <t>MK-PF-F-001 — If shares is missing it counts as zero, so nothing recorded and a real zero look the same.</t>
        </is>
      </c>
      <c r="R9" t="inlineStr"/>
      <c r="S9" t="inlineStr"/>
      <c r="T9" t="inlineStr">
        <is>
          <t>NOT DETERMINED — no assumption recorded for this figure yet.</t>
        </is>
      </c>
      <c r="U9" t="inlineStr"/>
      <c r="V9" s="11" t="inlineStr">
        <is>
          <t>Q33 — Which index should each asset class be compared against, and should the person be able to change it?</t>
        </is>
      </c>
      <c r="W9" s="11"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9" t="inlineStr">
        <is>
          <t>ACTIVE</t>
        </is>
      </c>
      <c r="AG9" t="inlineStr">
        <is>
          <t>2026-08-27</t>
        </is>
      </c>
      <c r="AJ9"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Q33</t>
        </is>
      </c>
    </row>
    <row r="10">
      <c r="A10" t="inlineStr">
        <is>
          <t>MK-PF-M-009</t>
        </is>
      </c>
      <c r="B10" t="inlineStr">
        <is>
          <t>Performance</t>
        </is>
      </c>
      <c r="C10" t="inlineStr">
        <is>
          <t>NA</t>
        </is>
      </c>
      <c r="D10" t="inlineStr">
        <is>
          <t>Return (money-weighted, when the record covers it)</t>
        </is>
      </c>
      <c r="E10" t="inlineStr">
        <is>
          <t>mw.rate</t>
        </is>
      </c>
      <c r="F10" t="inlineStr">
        <is>
          <t>NOT ON RECORD — no function is recorded for this figure</t>
        </is>
      </c>
      <c r="G10" t="inlineStr"/>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function</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 function on record — nothing to chain</t>
        </is>
      </c>
      <c r="P10" t="inlineStr">
        <is>
          <t>No function on record — nothing to chain</t>
        </is>
      </c>
      <c r="Q10" t="inlineStr">
        <is>
          <t>No function on record — assumptions unknown</t>
        </is>
      </c>
      <c r="R10" t="inlineStr"/>
      <c r="S10" t="inlineStr"/>
      <c r="T10" t="inlineStr">
        <is>
          <t>[Founder] When the timing of money moving in or out drives the percentage more than the investments do, the figure is REFUSED and the dollar walk is shown instead.</t>
        </is>
      </c>
      <c r="U10" t="inlineStr"/>
      <c r="V10" t="inlineStr"/>
      <c r="W10" t="inlineStr"/>
      <c r="X10" t="inlineStr"/>
      <c r="Y10" t="inlineStr">
        <is>
          <t>NOT DETERMINED</t>
        </is>
      </c>
      <c r="Z10" t="inlineStr">
        <is>
          <t>VERIFIED 2026-08-22</t>
        </is>
      </c>
      <c r="AA10" t="inlineStr">
        <is>
          <t>1. A14 — This file states three different formulas for what it calls a return: Sum(return x value) / Sum(value), Modified Dietz, and earned / average value held. Three methods give three answers. One of them has to be the definition.
2.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t="inlineStr">
        <is>
          <t>A14 — OPEN — YOUR DECISION 2026-09-12
A12 — OPEN — YOUR DECISION 2026-09-12</t>
        </is>
      </c>
      <c r="AF10" t="inlineStr">
        <is>
          <t>ACTIVE</t>
        </is>
      </c>
      <c r="AG10" t="inlineStr">
        <is>
          <t>2026-08-27</t>
        </is>
      </c>
      <c r="AJ10" s="3" t="inlineStr">
        <is>
          <t>No function on record — nothing to read from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8" t="inlineStr">
        <is>
          <t>OPEN FINDING A12, A14</t>
        </is>
      </c>
    </row>
    <row r="11">
      <c r="A11" t="inlineStr">
        <is>
          <t>MK-PF-M-010</t>
        </is>
      </c>
      <c r="B11" t="inlineStr">
        <is>
          <t>Performance</t>
        </is>
      </c>
      <c r="C11" t="inlineStr">
        <is>
          <t>/look-back</t>
        </is>
      </c>
      <c r="D11" t="inlineStr">
        <is>
          <t>Left in &lt;fund&gt; it became $X (up/down $Y, Z%)</t>
        </is>
      </c>
      <c r="E11" t="inlineStr">
        <is>
          <t>result.stayed</t>
        </is>
      </c>
      <c r="F11" t="inlineStr">
        <is>
          <t>lookBack</t>
        </is>
      </c>
      <c r="G11" t="inlineStr">
        <is>
          <t>MK-PF-F-023</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MK-PF-F-022 (factorOverMonths) → number | null</t>
        </is>
      </c>
      <c r="P11" t="inlineStr">
        <is>
          <t>MK-ST-F-065 isoLocalDate → MK-PF-F-022 factorOverMonths → MK-PF-F-023 lookBack</t>
        </is>
      </c>
      <c r="Q11"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AGREES — the figure's arithmetic and the arithmetic of the function it names say the same thing. Checked 2026-08-26.</t>
        </is>
      </c>
      <c r="AC11" t="inlineStr">
        <is>
          <t>HAS A FUNCTION — traceable from the screen to the code.</t>
        </is>
      </c>
      <c r="AD11" t="inlineStr"/>
      <c r="AE11" t="inlineStr">
        <is>
          <t>No finding on this row. That is not a statement that the row is right — only that nothing has been written against it.</t>
        </is>
      </c>
      <c r="AF11" t="inlineStr">
        <is>
          <t>ACTIVE</t>
        </is>
      </c>
      <c r="AG11" t="inlineStr">
        <is>
          <t>2026-08-27</t>
        </is>
      </c>
      <c r="AJ11" s="3" t="inlineStr">
        <is>
          <t>MK-XS-I-005 holding price — read by MK-PF-F-022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MK-PF-M-011</t>
        </is>
      </c>
      <c r="B12" t="inlineStr">
        <is>
          <t>Performance</t>
        </is>
      </c>
      <c r="C12" t="inlineStr">
        <is>
          <t>/look-back</t>
        </is>
      </c>
      <c r="D12" t="inlineStr">
        <is>
          <t>Moved to &lt;fund&gt; it would be $X</t>
        </is>
      </c>
      <c r="E12" t="inlineStr">
        <is>
          <t>result.moved</t>
        </is>
      </c>
      <c r="F12" t="inlineStr">
        <is>
          <t>lookBack</t>
        </is>
      </c>
      <c r="G12" t="inlineStr">
        <is>
          <t>MK-PF-F-023</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MK-PF-F-022 (factorOverMonths) → number | null</t>
        </is>
      </c>
      <c r="P12" t="inlineStr">
        <is>
          <t>MK-ST-F-065 isoLocalDate → MK-PF-F-022 factorOverMonths → MK-PF-F-023 lookBack</t>
        </is>
      </c>
      <c r="Q12"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2026-08-27</t>
        </is>
      </c>
      <c r="AJ12" s="3" t="inlineStr">
        <is>
          <t>MK-XS-I-005 holding price — read by MK-PF-F-022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3" t="inlineStr">
        <is>
          <t>NOTHING OPEN</t>
        </is>
      </c>
    </row>
    <row r="13">
      <c r="A13" t="inlineStr">
        <is>
          <t>MK-PF-M-012</t>
        </is>
      </c>
      <c r="B13" t="inlineStr">
        <is>
          <t>Performance</t>
        </is>
      </c>
      <c r="C13" t="inlineStr">
        <is>
          <t>/look-back</t>
        </is>
      </c>
      <c r="D13" t="inlineStr">
        <is>
          <t>Difference: $X more/less if you had moved</t>
        </is>
      </c>
      <c r="E13" t="inlineStr">
        <is>
          <t>result.difference</t>
        </is>
      </c>
      <c r="F13" t="inlineStr">
        <is>
          <t>lookBack</t>
        </is>
      </c>
      <c r="G13" t="inlineStr">
        <is>
          <t>MK-PF-F-023</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MK-PF-F-022 (factorOverMonths) → number | null</t>
        </is>
      </c>
      <c r="P13" t="inlineStr">
        <is>
          <t>MK-ST-F-065 isoLocalDate → MK-PF-F-022 factorOverMonths → MK-PF-F-023 lookBack</t>
        </is>
      </c>
      <c r="Q13"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t="inlineStr">
        <is>
          <t>No finding on this row. That is not a statement that the row is right — only that nothing has been written against it.</t>
        </is>
      </c>
      <c r="AF13" t="inlineStr">
        <is>
          <t>ACTIVE</t>
        </is>
      </c>
      <c r="AG13" t="inlineStr">
        <is>
          <t>2026-08-27</t>
        </is>
      </c>
      <c r="AJ13" s="3" t="inlineStr">
        <is>
          <t>MK-XS-I-005 holding price — read by MK-PF-F-022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3" t="inlineStr">
        <is>
          <t>NOTHING OPEN</t>
        </is>
      </c>
    </row>
  </sheetData>
  <autoFilter ref="A1:AN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N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MK-PL-M-001</t>
        </is>
      </c>
      <c r="B2" t="inlineStr">
        <is>
          <t>Plan</t>
        </is>
      </c>
      <c r="C2" t="inlineStr">
        <is>
          <t>NA</t>
        </is>
      </c>
      <c r="D2" t="inlineStr">
        <is>
          <t>✓ What you have — already in: N accounts, $X counted</t>
        </is>
      </c>
      <c r="E2" t="inlineStr">
        <is>
          <t>door.credit.total</t>
        </is>
      </c>
      <c r="F2" t="inlineStr">
        <is>
          <t>planDoor</t>
        </is>
      </c>
      <c r="G2" t="inlineStr">
        <is>
          <t>MK-PL-F-026</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1. their age → birthYear or age  [MK-XS-I-017]
2. what they spend → monthlySpending  [MK-XS-I-024]
3. money that counts toward retirement → NEST_EGG  [NOT AN INPUT — another function’s answer; see the dependency column]</t>
        </is>
      </c>
      <c r="K2" t="inlineStr">
        <is>
          <t>A count · whole units, except crypto which keeps its fractions  [derived by rule — confirm]</t>
        </is>
      </c>
      <c r="L2" t="inlineStr">
        <is>
          <t>This function IS the refusal: it names what is missing and what is already counted.</t>
        </is>
      </c>
      <c r="M2" t="inlineStr">
        <is>
          <t>One figure per account  [derived by rule — confirm]</t>
        </is>
      </c>
      <c r="N2" t="inlineStr">
        <is>
          <t>As of today, from the latest figures held  [derived by rule — confirm]</t>
        </is>
      </c>
      <c r="O2" t="inlineStr">
        <is>
          <t>MK-NW-F-033 (retirementEarmarkedValue) → number</t>
        </is>
      </c>
      <c r="P2"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MK-PL-M-002</t>
        </is>
      </c>
      <c r="B3" t="inlineStr">
        <is>
          <t>Plan</t>
        </is>
      </c>
      <c r="C3" t="inlineStr">
        <is>
          <t>NA</t>
        </is>
      </c>
      <c r="D3" t="inlineStr">
        <is>
          <t>Your odds — can't work them out yet. Add &lt;what&gt; below.</t>
        </is>
      </c>
      <c r="E3" t="inlineStr">
        <is>
          <t>door.missing</t>
        </is>
      </c>
      <c r="F3" t="inlineStr">
        <is>
          <t>planDoor</t>
        </is>
      </c>
      <c r="G3" t="inlineStr">
        <is>
          <t>MK-PL-F-026</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1. their age → birthYear or age  [MK-XS-I-017]
2. what they spend → monthlySpending  [MK-XS-I-024]
3. money that counts toward retirement → NEST_EGG  [NOT AN INPUT — another function’s answer; see the dependency column]</t>
        </is>
      </c>
      <c r="K3" t="inlineStr">
        <is>
          <t>Percent · exact, no rounding — 1,000 futures give it to a tenth (founder, 2026-09-14)  [derived by rule — confirm]</t>
        </is>
      </c>
      <c r="L3" t="inlineStr">
        <is>
          <t>This function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MK-NW-F-033 (retirementEarmarkedValue) → number</t>
        </is>
      </c>
      <c r="P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2026-09-14</t>
        </is>
      </c>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MK-PL-M-003</t>
        </is>
      </c>
      <c r="B4" t="inlineStr">
        <is>
          <t>Plan</t>
        </is>
      </c>
      <c r="C4" t="inlineStr">
        <is>
          <t>NA</t>
        </is>
      </c>
      <c r="D4" t="inlineStr">
        <is>
          <t>YOUR RETIREMENT PAYCHECK — each guaranteed source</t>
        </is>
      </c>
      <c r="E4" t="inlineStr">
        <is>
          <t>g.amount</t>
        </is>
      </c>
      <c r="F4" t="inlineStr">
        <is>
          <t>NOT ON RECORD — no function is recorded for this figure</t>
        </is>
      </c>
      <c r="G4" t="inlineStr"/>
      <c r="H4" t="inlineStr">
        <is>
          <t>for each month: guaranteed total = Σ(streams live that month);  paycheck = guaranteed total + draw from savings</t>
        </is>
      </c>
      <c r="I4" t="inlineStr">
        <is>
          <t>Builds the retirement paycheck month by month: what is guaranteed that month, plus what can safely be drawn from savings.</t>
        </is>
      </c>
      <c r="J4" t="inlineStr">
        <is>
          <t>NOT DETERMINED — no input list on record for this function</t>
        </is>
      </c>
      <c r="K4"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t="inlineStr">
        <is>
          <t>One figure per person — or per household when two people share one record  [derived by rule — confirm]</t>
        </is>
      </c>
      <c r="N4" t="inlineStr">
        <is>
          <t>From today to the retirement age in the plan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t="inlineStr">
        <is>
          <t>ACTIVE</t>
        </is>
      </c>
      <c r="AG4" t="inlineStr">
        <is>
          <t>2026-09-08</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3" t="inlineStr">
        <is>
          <t>NOTHING OPEN</t>
        </is>
      </c>
    </row>
    <row r="5">
      <c r="A5" t="inlineStr">
        <is>
          <t>MK-PL-M-004</t>
        </is>
      </c>
      <c r="B5" t="inlineStr">
        <is>
          <t>Plan</t>
        </is>
      </c>
      <c r="C5" t="inlineStr">
        <is>
          <t>NA</t>
        </is>
      </c>
      <c r="D5">
        <f> Guaranteed</f>
        <v/>
      </c>
      <c r="E5" t="inlineStr">
        <is>
          <t>payMonth.guaranteedTotal</t>
        </is>
      </c>
      <c r="F5" t="inlineStr">
        <is>
          <t>NOT ON RECORD — no function is recorded for this figure</t>
        </is>
      </c>
      <c r="G5" t="inlineStr"/>
      <c r="H5" t="inlineStr">
        <is>
          <t>for each month: guaranteed total = Σ(streams live that month);  paycheck = guaranteed total + draw from savings</t>
        </is>
      </c>
      <c r="I5" t="inlineStr">
        <is>
          <t>Builds the retirement paycheck month by month: what is guaranteed that month, plus what can safely be drawn from savings.</t>
        </is>
      </c>
      <c r="J5" t="inlineStr">
        <is>
          <t>NOT DETERMINED — no input list on record for this function</t>
        </is>
      </c>
      <c r="K5"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t="inlineStr">
        <is>
          <t>One figure per person — or per household when two people share one record  [derived by rule — confirm]</t>
        </is>
      </c>
      <c r="N5" t="inlineStr">
        <is>
          <t>As of today, from the latest figures held  [derived by rule — confirm]</t>
        </is>
      </c>
      <c r="O5" t="inlineStr">
        <is>
          <t>No function on record — nothing to chain</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t="inlineStr">
        <is>
          <t>ACTIVE</t>
        </is>
      </c>
      <c r="AG5" t="inlineStr">
        <is>
          <t>2026-09-08</t>
        </is>
      </c>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(finding A49 names no test)</t>
        </is>
      </c>
    </row>
    <row r="6">
      <c r="A6" t="inlineStr">
        <is>
          <t>MK-PL-M-005</t>
        </is>
      </c>
      <c r="B6" t="inlineStr">
        <is>
          <t>Plan</t>
        </is>
      </c>
      <c r="C6" t="inlineStr">
        <is>
          <t>NA</t>
        </is>
      </c>
      <c r="D6" t="inlineStr">
        <is>
          <t>+ Draw from savings</t>
        </is>
      </c>
      <c r="E6" t="inlineStr">
        <is>
          <t>payMonth.safeDraw</t>
        </is>
      </c>
      <c r="F6" t="inlineStr">
        <is>
          <t>NOT ON RECORD — no function is recorded for this figure</t>
        </is>
      </c>
      <c r="G6" t="inlineStr"/>
      <c r="H6" t="inlineStr">
        <is>
          <t>for each month: guaranteed total = Σ(streams live that month);  paycheck = guaranteed total + draw from savings</t>
        </is>
      </c>
      <c r="I6" t="inlineStr">
        <is>
          <t>Builds the retirement paycheck month by month: what is guaranteed that month, plus what can safely be drawn from savings.</t>
        </is>
      </c>
      <c r="J6" t="inlineStr">
        <is>
          <t>NOT DETERMINED — no input list on record for this function</t>
        </is>
      </c>
      <c r="K6"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t="inlineStr">
        <is>
          <t>One figure per person — or per household when two people share one record  [derived by rule — confirm]</t>
        </is>
      </c>
      <c r="N6" t="inlineStr">
        <is>
          <t>As of today, from the latest figures held  [derived by rule — confirm]</t>
        </is>
      </c>
      <c r="O6" t="inlineStr">
        <is>
          <t>No function on record — nothing to chain</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t="inlineStr">
        <is>
          <t>ACTIVE</t>
        </is>
      </c>
      <c r="AG6" t="inlineStr">
        <is>
          <t>2026-09-08</t>
        </is>
      </c>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N6" s="3" t="inlineStr">
        <is>
          <t>NOTHING OPEN</t>
        </is>
      </c>
    </row>
    <row r="7">
      <c r="A7" t="inlineStr">
        <is>
          <t>MK-PL-M-006</t>
        </is>
      </c>
      <c r="B7" t="inlineStr">
        <is>
          <t>Plan</t>
        </is>
      </c>
      <c r="C7" t="inlineStr">
        <is>
          <t>NA</t>
        </is>
      </c>
      <c r="D7" t="inlineStr">
        <is>
          <t>Your paycheck $X/mo</t>
        </is>
      </c>
      <c r="E7" t="inlineStr">
        <is>
          <t>paycheckTotal</t>
        </is>
      </c>
      <c r="F7" t="inlineStr">
        <is>
          <t>Worked out on the screen itself — no function behind it</t>
        </is>
      </c>
      <c r="G7" t="inlineStr"/>
      <c r="H7" t="inlineStr">
        <is>
          <t>paycheck = guaranteed income + draw from savings</t>
        </is>
      </c>
      <c r="I7" t="inlineStr">
        <is>
          <t>Worked out on the screen itself, with no function behind it — a place a second definition can appear.</t>
        </is>
      </c>
      <c r="J7" t="inlineStr">
        <is>
          <t>NOT DETERMINED — no input list on record for this function</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No finding on this row. That is not a statement that the row is right — only that nothing has been written against it.</t>
        </is>
      </c>
      <c r="AF7" t="inlineStr">
        <is>
          <t>ACTIVE</t>
        </is>
      </c>
      <c r="AG7" t="inlineStr">
        <is>
          <t>2026-08-27</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3" t="inlineStr">
        <is>
          <t>NOTHING OPEN</t>
        </is>
      </c>
    </row>
    <row r="8">
      <c r="A8" t="inlineStr">
        <is>
          <t>MK-PL-M-007</t>
        </is>
      </c>
      <c r="B8" t="inlineStr">
        <is>
          <t>Plan</t>
        </is>
      </c>
      <c r="C8" t="inlineStr">
        <is>
          <t>NA</t>
        </is>
      </c>
      <c r="D8" t="inlineStr">
        <is>
          <t>SAVED SCENARIOS (n)</t>
        </is>
      </c>
      <c r="E8" t="inlineStr">
        <is>
          <t>scenarios.length</t>
        </is>
      </c>
      <c r="F8" t="inlineStr">
        <is>
          <t>NOT ON RECORD — no function is recorded for this figure</t>
        </is>
      </c>
      <c r="G8" t="inlineStr"/>
      <c r="H8" t="inlineStr">
        <is>
          <t>count of scenarios saved</t>
        </is>
      </c>
      <c r="I8" t="inlineStr">
        <is>
          <t>How many what-if scenarios have been saved.</t>
        </is>
      </c>
      <c r="J8" t="inlineStr">
        <is>
          <t>NOT DETERMINED — no input list on record for this function</t>
        </is>
      </c>
      <c r="K8" t="inlineStr">
        <is>
          <t>US dollars · held to the cent · shown as whole dollars  [derived by rule — confirm]</t>
        </is>
      </c>
      <c r="L8" t="inlineStr">
        <is>
          <t>NOT DETERMINED — this function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 function on record — nothing to chain</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t="inlineStr"/>
      <c r="AE8" t="inlineStr">
        <is>
          <t>No finding on this row. That is not a statement that the row is right — only that nothing has been written against it.</t>
        </is>
      </c>
      <c r="AF8" t="inlineStr">
        <is>
          <t>ACTIVE</t>
        </is>
      </c>
      <c r="AG8" t="inlineStr">
        <is>
          <t>2026-08-27</t>
        </is>
      </c>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MK-PL-M-008</t>
        </is>
      </c>
      <c r="B9" t="inlineStr">
        <is>
          <t>Plan</t>
        </is>
      </c>
      <c r="C9" t="inlineStr">
        <is>
          <t>/will-it-last</t>
        </is>
      </c>
      <c r="D9" t="inlineStr">
        <is>
          <t>What you have (nest egg)</t>
        </is>
      </c>
      <c r="E9" t="inlineStr">
        <is>
          <t>inp.start_balance</t>
        </is>
      </c>
      <c r="F9" t="inlineStr">
        <is>
          <t>willItLastInputs</t>
        </is>
      </c>
      <c r="G9" t="inlineStr">
        <is>
          <t>MK-PL-F-067</t>
        </is>
      </c>
      <c r="H9"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t="inlineStr">
        <is>
          <t>Percent · exact, no rounding — 1,000 futures give it to a tenth (founder, 2026-09-14)  [derived by rule — confirm]</t>
        </is>
      </c>
      <c r="L9" t="inlineStr">
        <is>
          <t>NOT DETERMINED — this function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9"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40 more, on the functions tab</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t="inlineStr">
        <is>
          <t>ACTIVE</t>
        </is>
      </c>
      <c r="AG9" t="inlineStr">
        <is>
          <t>2026-09-14</t>
        </is>
      </c>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N9" s="6" t="inlineStr">
        <is>
          <t>TESTED, NOT VERIFIED (G15, G16)</t>
        </is>
      </c>
    </row>
    <row r="10">
      <c r="A10" t="inlineStr">
        <is>
          <t>MK-PL-M-009</t>
        </is>
      </c>
      <c r="B10" t="inlineStr">
        <is>
          <t>Plan</t>
        </is>
      </c>
      <c r="C10" t="inlineStr">
        <is>
          <t>/will-it-last</t>
        </is>
      </c>
      <c r="D10" t="inlineStr">
        <is>
          <t>Monthly expenses in retirement</t>
        </is>
      </c>
      <c r="E10" t="inlineStr">
        <is>
          <t>inp.retire_monthly_spend_today</t>
        </is>
      </c>
      <c r="F10" t="inlineStr">
        <is>
          <t>retirementSpendMonthly</t>
        </is>
      </c>
      <c r="G10" t="inlineStr">
        <is>
          <t>MK-PL-F-049</t>
        </is>
      </c>
      <c r="H10" t="inlineStr">
        <is>
          <t>expenses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1. the answer → the retirement-expenses question  [MK-XS-I-024]
2. where they will live → the location answer  [MK-XS-I-045]</t>
        </is>
      </c>
      <c r="K10" t="inlineStr">
        <is>
          <t>US dollars · held to the cent · shown as whole dollars  [derived by rule — confirm]</t>
        </is>
      </c>
      <c r="L10" t="inlineStr">
        <is>
          <t>NOT DETERMINED — this function has not been read for its refusal yet.</t>
        </is>
      </c>
      <c r="M10" t="inlineStr">
        <is>
          <t>One figure per month  [derived by rule — confirm]</t>
        </is>
      </c>
      <c r="N10" t="inlineStr">
        <is>
          <t>From today to the retirement age in the plan  [derived by rule — confirm]</t>
        </is>
      </c>
      <c r="O10" t="inlineStr">
        <is>
          <t>1. MK-PL-F-047 (colFactor) → ColMatch
2. MK-PL-F-001 (taxBucketSplit) → BucketSplit
3. MK-ST-F-052 (toNum) → number</t>
        </is>
      </c>
      <c r="P10" t="inlineStr">
        <is>
          <t>1. MK-PL-F-047 colFactor → MK-PL-F-049 retirementSpendMonthly
2. MK-NW-F-008 incomeBearingClassOf → MK-NW-F-011 assetClassOf → MK-NW-F-030 earmarkDefault → MK-NW-F-032 earmarkedAmount → MK-PL-F-001 taxBucketSplit → MK-PL-F-049 retirementSpendMonthly
3. MK-NW-F-013 realEstateUseOf → MK-NW-F-030 earmarkDefault → MK-NW-F-032 earmarkedAmount → MK-PL-F-001 taxBucketSplit → MK-PL-F-049 retirementSpendMonthly
4. MK-XS-F-122 n → MK-ST-F-052 toNum → MK-PL-F-049 retirementSpendMonthly</t>
        </is>
      </c>
      <c r="Q10" t="inlineStr">
        <is>
          <t>1. MK-NW-F-032 — If balance is missing it counts as zero, so nothing recorded and a real zero look the same.
2. MK-NW-F-032 — Caps percent at 100.</t>
        </is>
      </c>
      <c r="R10" t="inlineStr"/>
      <c r="S10" t="inlineStr"/>
      <c r="T10" t="inlineStr">
        <is>
          <t>[The person] The retirement age in their plan.</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AGREES — the figure's arithmetic and the arithmetic of the function it names say the same thing. Checked 2026-08-26.</t>
        </is>
      </c>
      <c r="AC10" t="inlineStr">
        <is>
          <t>HAS A FUNCTION — traceable from the screen to the code.</t>
        </is>
      </c>
      <c r="AD10" t="inlineStr"/>
      <c r="AE10" t="inlineStr">
        <is>
          <t>No finding on this row. That is not a statement that the row is right — only that nothing has been written against it.</t>
        </is>
      </c>
      <c r="AF10" t="inlineStr">
        <is>
          <t>ACTIVE</t>
        </is>
      </c>
      <c r="AG10" t="inlineStr">
        <is>
          <t>2026-08-27</t>
        </is>
      </c>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MK-XS-I-018 retirement age — read by MK-PL-F-049
8. MK-XS-I-019 monthly expenses in retirement — read by MK-PL-F-049
9. MK-XS-I-022 pension monthly amount — read by MK-PL-F-049
10. MK-XS-I-028 assumed return — read by MK-PL-F-049
11. MK-XS-I-029 inflation rate — read by MK-PL-F-049
12. MK-XS-I-035 annuity income — read by MK-PL-F-049
13. MK-XS-I-036 other guaranteed income — read by MK-PL-F-049
14. MK-XS-I-043 their own retirement contribution — read by MK-PL-F-049
15. MK-XS-I-044 the person’s own plan overrides — read by MK-PL-F-049
16. MK-XS-I-045 where they will live in retirement — read by MK-PL-F-049
17. MK-XS-I-048 the person’s own asset-class answer — read by MK-NW-F-011, MK-ST-F-027
18. MK-XS-I-050 the share of an account earmarked for retirement — read by MK-NW-F-032
19.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3" t="inlineStr">
        <is>
          <t>NOTHING OPEN</t>
        </is>
      </c>
    </row>
    <row r="11">
      <c r="A11" t="inlineStr">
        <is>
          <t>MK-PL-M-010</t>
        </is>
      </c>
      <c r="B11" t="inlineStr">
        <is>
          <t>Plan</t>
        </is>
      </c>
      <c r="C11" t="inlineStr">
        <is>
          <t>/will-it-last</t>
        </is>
      </c>
      <c r="D11" t="inlineStr">
        <is>
          <t>Guaranteed income — $X/mo from age Y</t>
        </is>
      </c>
      <c r="E11" t="inlineStr">
        <is>
          <t>inp.guaranteed_monthly_income</t>
        </is>
      </c>
      <c r="F11" t="inlineStr">
        <is>
          <t>NOT ON RECORD — no function is recorded for this figure</t>
        </is>
      </c>
      <c r="G11" t="inlineStr"/>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function</t>
        </is>
      </c>
      <c r="K11" t="inlineStr">
        <is>
          <t>Age in whole years  [derived by rule — confirm]</t>
        </is>
      </c>
      <c r="L11" t="inlineStr">
        <is>
          <t>NOT DETERMINED — this function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 function on record — nothing to chain</t>
        </is>
      </c>
      <c r="P11" t="inlineStr">
        <is>
          <t>No function on record — nothing to chain</t>
        </is>
      </c>
      <c r="Q11" t="inlineStr">
        <is>
          <t>No function on record — assumptions unknown</t>
        </is>
      </c>
      <c r="R11" t="inlineStr"/>
      <c r="S11" t="inlineStr"/>
      <c r="T11"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t="inlineStr">
        <is>
          <t>No finding on this row. That is not a statement that the row is right — only that nothing has been written against it.</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MK-PL-M-011</t>
        </is>
      </c>
      <c r="B12" t="inlineStr">
        <is>
          <t>Plan</t>
        </is>
      </c>
      <c r="C12" t="inlineStr">
        <is>
          <t>/will-it-last</t>
        </is>
      </c>
      <c r="D12" t="inlineStr">
        <is>
          <t>Monthly saving until then</t>
        </is>
      </c>
      <c r="E12" t="inlineStr">
        <is>
          <t>inp.annual_contrib</t>
        </is>
      </c>
      <c r="F12" t="inlineStr">
        <is>
          <t>willItLastInputs</t>
        </is>
      </c>
      <c r="G12" t="inlineStr">
        <is>
          <t>MK-PL-F-067</t>
        </is>
      </c>
      <c r="H12"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t="inlineStr">
        <is>
          <t>Percent · exact, no rounding — 1,000 futures give it to a tenth (founder, 2026-09-14)  [derived by rule — confirm]</t>
        </is>
      </c>
      <c r="L12" t="inlineStr">
        <is>
          <t>NOT DETERMINED — this function has not been read for its refusal yet.</t>
        </is>
      </c>
      <c r="M12" t="inlineStr">
        <is>
          <t>One figure per month  [derived by rule — confirm]</t>
        </is>
      </c>
      <c r="N12" t="inlineStr">
        <is>
          <t>As of today, from the latest figures held  [derived by rule — confirm]</t>
        </is>
      </c>
      <c r="O12"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12"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40 more, on the functions tab</t>
        </is>
      </c>
      <c r="R12" t="inlineStr"/>
      <c r="S12" t="inlineStr"/>
      <c r="T12" t="inlineStr">
        <is>
          <t>NOT DETERMINED — no assumption recorded for this figure yet.</t>
        </is>
      </c>
      <c r="U12" t="inlineStr">
        <is>
          <t>THE SURVIVING IDENTIFIER for this figure. Folded in: MK-PL-M-029. What is being saved each month towards retirement — "Monthly saving until then" and "Retirement saving $X/mo now".</t>
        </is>
      </c>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2026-09-14</t>
        </is>
      </c>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6" t="inlineStr">
        <is>
          <t>TESTED, NOT VERIFIED (G15)</t>
        </is>
      </c>
    </row>
    <row r="13">
      <c r="A13" t="inlineStr">
        <is>
          <t>MK-PL-M-012</t>
        </is>
      </c>
      <c r="B13" t="inlineStr">
        <is>
          <t>Plan</t>
        </is>
      </c>
      <c r="C13" t="inlineStr">
        <is>
          <t>/required-withdrawals</t>
        </is>
      </c>
      <c r="D13" t="inlineStr">
        <is>
          <t>Yours starts in &lt;year&gt; (age N)</t>
        </is>
      </c>
      <c r="E13" t="inlineStr">
        <is>
          <t>rmdStartAgeFor(age)</t>
        </is>
      </c>
      <c r="F13" t="inlineStr">
        <is>
          <t>NOT ON RECORD — no function is recorded for this figure</t>
        </is>
      </c>
      <c r="G13" t="inlineStr"/>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function</t>
        </is>
      </c>
      <c r="K13" t="inlineStr">
        <is>
          <t>Age in whole years  [derived by rule — confirm]</t>
        </is>
      </c>
      <c r="L13" t="inlineStr">
        <is>
          <t>NOT DETERMINED — this function has not been read for its refusal yet.</t>
        </is>
      </c>
      <c r="M13" t="inlineStr">
        <is>
          <t>One figure per person — or per household when two people share one record  [derived by rule — confirm]</t>
        </is>
      </c>
      <c r="N13" t="inlineStr">
        <is>
          <t>This calendar year, to today  [derived by rule — confirm]</t>
        </is>
      </c>
      <c r="O13" t="inlineStr">
        <is>
          <t>No function on record — nothing to chain</t>
        </is>
      </c>
      <c r="P13" t="inlineStr">
        <is>
          <t>No function on record — nothing to chain</t>
        </is>
      </c>
      <c r="Q13" t="inlineStr">
        <is>
          <t>No function on record — assumptions unknown</t>
        </is>
      </c>
      <c r="R13" t="inlineStr"/>
      <c r="S13" t="inlineStr"/>
      <c r="T13" t="inlineStr">
        <is>
          <t>[Founder] The same one dated table, after both earlier copies were deleted.</t>
        </is>
      </c>
      <c r="U13" t="inlineStr"/>
      <c r="V13" t="inlineStr"/>
      <c r="W13" t="inlineStr"/>
      <c r="X13" t="inlineStr"/>
      <c r="Y13" t="inlineStr">
        <is>
          <t>NOT DETERMINED</t>
        </is>
      </c>
      <c r="Z13" t="inlineStr">
        <is>
          <t>VERIFIED 2026-08-22</t>
        </is>
      </c>
      <c r="AA1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B24 [NOT COMPARABLE] — This figure names no function, so its formula cannot be checked against anything. 69 of the 163 figures are in this position — the audit covers the 94 that name one.</t>
        </is>
      </c>
      <c r="AC1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t="inlineStr"/>
      <c r="AE13" t="inlineStr">
        <is>
          <t>A36 — FIXED 2026-09-12
A41 — OPEN since 2026-08-26 — nothing has closed this. It is not known to be wrong; it is known to be unaddressed.</t>
        </is>
      </c>
      <c r="AF13" t="inlineStr">
        <is>
          <t>ACTIVE</t>
        </is>
      </c>
      <c r="AG13" t="inlineStr">
        <is>
          <t>2026-08-27</t>
        </is>
      </c>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8" t="inlineStr">
        <is>
          <t>OPEN FINDING A41 · CODED, NOT TESTED (finding A36 names no test)</t>
        </is>
      </c>
    </row>
    <row r="14">
      <c r="A14" t="inlineStr">
        <is>
          <t>MK-PL-M-013</t>
        </is>
      </c>
      <c r="B14" t="inlineStr">
        <is>
          <t>Plan</t>
        </is>
      </c>
      <c r="C14" t="inlineStr">
        <is>
          <t>/required-withdrawals</t>
        </is>
      </c>
      <c r="D14" t="inlineStr">
        <is>
          <t>Required $X</t>
        </is>
      </c>
      <c r="E14"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t="inlineStr">
        <is>
          <t>US dollars · held to the cent · shown as whole dollars  [derived by rule — confirm]</t>
        </is>
      </c>
      <c r="L14" s="3" t="inlineStr">
        <is>
          <t>Not yet at the start age → the explainer, no figure. No pre-tax accounts → 'Add your retirement accounts'.</t>
        </is>
      </c>
      <c r="M14" t="inlineStr">
        <is>
          <t>One figure per person — or per household when two people share one record  [derived by rule — confirm]</t>
        </is>
      </c>
      <c r="N14" t="inlineStr">
        <is>
          <t>As of today, from the latest figures held  [derived by rule — confirm]</t>
        </is>
      </c>
      <c r="O14" t="inlineStr">
        <is>
          <t>MK-PL-F-007 (rmdAtAge) → number</t>
        </is>
      </c>
      <c r="P14" t="inlineStr">
        <is>
          <t>No function on record — nothing to chain</t>
        </is>
      </c>
      <c r="Q14" t="inlineStr">
        <is>
          <t>No function on record — assumptions unknown</t>
        </is>
      </c>
      <c r="R14" t="inlineStr"/>
      <c r="S14"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t="inlineStr"/>
      <c r="V14" s="11" t="inlineStr">
        <is>
          <t>Q31 — Required withdrawals are estimated from balances we hold. When an institution states its own required figure, does theirs win?</t>
        </is>
      </c>
      <c r="W14" s="11" t="inlineStr"/>
      <c r="X14" t="inlineStr"/>
      <c r="Y14" t="inlineStr">
        <is>
          <t>NOT DETERMINED</t>
        </is>
      </c>
      <c r="Z14" t="inlineStr">
        <is>
          <t>VERIFIED 2026-08-22</t>
        </is>
      </c>
      <c r="AA14"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t="inlineStr">
        <is>
          <t>ACTIVE</t>
        </is>
      </c>
      <c r="AG14" t="inlineStr">
        <is>
          <t>2026-08-27</t>
        </is>
      </c>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7" t="inlineStr">
        <is>
          <t>WAITING ON YOU — question Q31 · TESTED, NOT VERIFIED (G8) · OPEN FINDING A37, A41</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itself — no function behind it</t>
        </is>
      </c>
      <c r="G15" t="inlineStr"/>
      <c r="H15" t="inlineStr">
        <is>
          <t>still to take = required this year − taken so far</t>
        </is>
      </c>
      <c r="I15" t="inlineStr">
        <is>
          <t>Worked out on the screen itself, with no function behind it — a place a second definition can appear.</t>
        </is>
      </c>
      <c r="J15" t="inlineStr">
        <is>
          <t>NOT DETERMINED — no input list on record for this function</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 function on record — nothing to chain</t>
        </is>
      </c>
      <c r="P15" t="inlineStr">
        <is>
          <t>No function on record — nothing to chain</t>
        </is>
      </c>
      <c r="Q15" t="inlineStr">
        <is>
          <t>No function on record — assumptions unknown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B24 [NOT COMPARABLE] — This figure names no function, so its formula cannot be checked against anything. 69 of the 163 figures are in this position — the audit covers the 94 that name one.</t>
        </is>
      </c>
      <c r="AC1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t="inlineStr"/>
      <c r="AE15" t="inlineStr">
        <is>
          <t>No finding on this row. That is not a statement that the row is right — only that nothing has been written against it.</t>
        </is>
      </c>
      <c r="AF15" t="inlineStr">
        <is>
          <t>ACTIVE</t>
        </is>
      </c>
      <c r="AG15" t="inlineStr">
        <is>
          <t>2026-08-27</t>
        </is>
      </c>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3" t="inlineStr">
        <is>
          <t>NOTHING OPEN</t>
        </is>
      </c>
    </row>
    <row r="16">
      <c r="A16" t="inlineStr">
        <is>
          <t>MK-PL-M-015</t>
        </is>
      </c>
      <c r="B16" t="inlineStr">
        <is>
          <t>Plan</t>
        </is>
      </c>
      <c r="C16" t="inlineStr">
        <is>
          <t>/required-withdrawals</t>
        </is>
      </c>
      <c r="D16" t="inlineStr">
        <is>
          <t>YEAR BY YEAR (ESTIMATES) — each year and amount</t>
        </is>
      </c>
      <c r="E16" t="inlineStr">
        <is>
          <t>r.amount</t>
        </is>
      </c>
      <c r="F16" t="inlineStr">
        <is>
          <t>NOT ON RECORD — no function is recorded for this figure</t>
        </is>
      </c>
      <c r="G16"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t="inlineStr">
        <is>
          <t>NOT DETERMINED — no input list on record for this function</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 function on record — nothing to chain</t>
        </is>
      </c>
      <c r="P16" t="inlineStr">
        <is>
          <t>No function on record — nothing to chain</t>
        </is>
      </c>
      <c r="Q16" t="inlineStr">
        <is>
          <t>No function on record — assumptions unknown</t>
        </is>
      </c>
      <c r="R16" t="inlineStr"/>
      <c r="S16" t="inlineStr"/>
      <c r="T16" t="inlineStr">
        <is>
          <t>[Founder] One dated table. Start age is 73 for those born 1951–1959 and 75 for those born 1960 or later; a Roth 401(k) is exempt (fix B4).</t>
        </is>
      </c>
      <c r="U16" t="inlineStr"/>
      <c r="V16" t="inlineStr"/>
      <c r="W16" t="inlineStr"/>
      <c r="X16" t="inlineStr"/>
      <c r="Y16" t="inlineStr">
        <is>
          <t>NOT DETERMINED</t>
        </is>
      </c>
      <c r="Z16" t="inlineStr">
        <is>
          <t>VERIFIED 2026-08-22</t>
        </is>
      </c>
      <c r="AA16"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t="inlineStr">
        <is>
          <t>ACTIVE</t>
        </is>
      </c>
      <c r="AG16" t="inlineStr">
        <is>
          <t>2026-08-27</t>
        </is>
      </c>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6" t="inlineStr">
        <is>
          <t>TESTED, NOT VERIFIED (G8) · OPEN FINDING A37, A41</t>
        </is>
      </c>
    </row>
    <row r="17">
      <c r="A17" t="inlineStr">
        <is>
          <t>MK-PL-M-016</t>
        </is>
      </c>
      <c r="B17" t="inlineStr">
        <is>
          <t>Plan</t>
        </is>
      </c>
      <c r="C17" t="inlineStr">
        <is>
          <t>/required-withdrawals</t>
        </is>
      </c>
      <c r="D17" t="inlineStr">
        <is>
          <t>BASED ON THESE ACCOUNTS — each balance</t>
        </is>
      </c>
      <c r="E17" t="inlineStr">
        <is>
          <t>a.balance</t>
        </is>
      </c>
      <c r="F17" t="inlineStr">
        <is>
          <t>valueFreshness</t>
        </is>
      </c>
      <c r="G17" s="3" t="inlineStr"/>
      <c r="H17"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t="inlineStr">
        <is>
          <t>1. the account → a  [MK-XS-I-001]
2. when the value was set → value_as_of  [MK-XS-I-033]
3.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 function on record — nothing to chain</t>
        </is>
      </c>
      <c r="P17" t="inlineStr">
        <is>
          <t>No dependent function — it reads its inputs and answers</t>
        </is>
      </c>
      <c r="Q17" t="inlineStr">
        <is>
          <t>1. MK-NW-F-003 — Turns a monthly figure into a year by multiplying by twelve.
2. MK-NW-F-003 — Uses today's date from the device clock, so the answer changes by itself overnight.</t>
        </is>
      </c>
      <c r="R17" t="inlineStr">
        <is>
          <t>DECIDES whether a stated value is fresh enough to show without a warning.</t>
        </is>
      </c>
      <c r="S17" t="inlineStr"/>
      <c r="T17" t="inlineStr">
        <is>
          <t>NOT DETERMINED — no assumption recorded for this figure yet.</t>
        </is>
      </c>
      <c r="U17" t="inlineStr">
        <is>
          <t>THE SAME FIGURE AS MK-NW-M-018 — An account's value. The balance listed under required withdrawals is the same figure as Market value on account detail.</t>
        </is>
      </c>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t="inlineStr">
        <is>
          <t>HAS A FUNCTION — traceable from the screen to the code.</t>
        </is>
      </c>
      <c r="AD17" t="inlineStr"/>
      <c r="AE17" t="inlineStr">
        <is>
          <t>B14 — FIXED 2026-09-12</t>
        </is>
      </c>
      <c r="AF17" t="inlineStr">
        <is>
          <t>SUPERSEDED BY MK-NW-M-018 — the same figure under another identifier. This number is retired and is never handed to anything else.</t>
        </is>
      </c>
      <c r="AG17" t="inlineStr">
        <is>
          <t>2026-08-27</t>
        </is>
      </c>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7" t="inlineStr">
        <is>
          <t>CODED, NOT TESTED (finding B14 names no test)</t>
        </is>
      </c>
    </row>
    <row r="18">
      <c r="A18" t="inlineStr">
        <is>
          <t>MK-PL-M-017</t>
        </is>
      </c>
      <c r="B18" t="inlineStr">
        <is>
          <t>Plan</t>
        </is>
      </c>
      <c r="C18" t="inlineStr">
        <is>
          <t>/ss-timing</t>
        </is>
      </c>
      <c r="D18" t="inlineStr">
        <is>
          <t>Monthly check (today's dollars)</t>
        </is>
      </c>
      <c r="E18" t="inlineStr">
        <is>
          <t>A.guaranteedMonthly</t>
        </is>
      </c>
      <c r="F18" t="inlineStr">
        <is>
          <t>ssBenefitAt</t>
        </is>
      </c>
      <c r="G18" t="inlineStr">
        <is>
          <t>MK-PL-F-060</t>
        </is>
      </c>
      <c r="H18" t="inlineStr">
        <is>
          <t>benefit at claim age = the statement amount at full retirement age × the claim factor for that age</t>
        </is>
      </c>
      <c r="I18"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MK-PL-F-058 (ssClaimFactorFor) → number</t>
        </is>
      </c>
      <c r="P18" t="inlineStr">
        <is>
          <t>MK-PL-F-057 fullRetirementAge → MK-PL-F-058 ssClaimFactorFor → MK-PL-F-060 ssBenefitAt</t>
        </is>
      </c>
      <c r="Q18"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t="inlineStr"/>
      <c r="S18" t="inlineStr"/>
      <c r="T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t="inlineStr"/>
      <c r="V18" t="inlineStr"/>
      <c r="W18" t="inlineStr"/>
      <c r="X18" t="inlineStr"/>
      <c r="Y18" t="inlineStr">
        <is>
          <t>NOT DETERMINED</t>
        </is>
      </c>
      <c r="Z18" t="inlineStr">
        <is>
          <t>VERIFIED 2026-08-22</t>
        </is>
      </c>
      <c r="AA18"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AGREES — the figure's arithmetic and the arithmetic of the function it names say the same thing. Checked 2026-08-26.</t>
        </is>
      </c>
      <c r="AC18" t="inlineStr">
        <is>
          <t>HAS A FUNCTION — traceable from the screen to the code.</t>
        </is>
      </c>
      <c r="AD18"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t="inlineStr">
        <is>
          <t>ACTIVE</t>
        </is>
      </c>
      <c r="AG18" t="inlineStr">
        <is>
          <t>2026-08-27</t>
        </is>
      </c>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6" t="inlineStr">
        <is>
          <t>TESTED, NOT VERIFIED (G25) · OPEN FINDING A41</t>
        </is>
      </c>
    </row>
    <row r="19">
      <c r="A19" t="inlineStr">
        <is>
          <t>MK-PL-M-018</t>
        </is>
      </c>
      <c r="B19" t="inlineStr">
        <is>
          <t>Plan</t>
        </is>
      </c>
      <c r="C19" t="inlineStr">
        <is>
          <t>/ss-timing</t>
        </is>
      </c>
      <c r="D19" t="inlineStr">
        <is>
          <t>You receive $X/mo ✓</t>
        </is>
      </c>
      <c r="E19" t="inlineStr">
        <is>
          <t>op.ri_ss</t>
        </is>
      </c>
      <c r="F19" t="inlineStr">
        <is>
          <t>currentRetirementIncomeMonthly</t>
        </is>
      </c>
      <c r="G19" t="inlineStr">
        <is>
          <t>MK-CF-F-072</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1. do they receive it now → incomeSources  [MK-XS-I-040]
2.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MK-CF-F-075 (retirementIncomeMonthly) → number</t>
        </is>
      </c>
      <c r="P19" t="inlineStr">
        <is>
          <t>MK-XS-F-122 n → MK-ST-F-052 toNum → MK-CF-F-075 retirementIncomeMonthly → MK-CF-F-072 currentRetirementIncomeMonthly</t>
        </is>
      </c>
      <c r="Q19" t="inlineStr">
        <is>
          <t>None found anywhere in this chain</t>
        </is>
      </c>
      <c r="R19" t="inlineStr"/>
      <c r="S19" t="inlineStr"/>
      <c r="T19" t="inlineStr">
        <is>
          <t>NOT DETERMINED — no assumption recorded for this figure yet.</t>
        </is>
      </c>
      <c r="U19" t="inlineStr">
        <is>
          <t>THE SAME FIGURE AS MK-CF-M-011 — Guaranteed income being received now. Shown four ways: "You receive $X/mo" on Social Security timing, "incl. Social Security $X/mo" on the cockpit, as a source on Cash flow, and as a list on Monthly income. One figure, four identifiers.</t>
        </is>
      </c>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AGREES — the figure's arithmetic and the arithmetic of the function it names say the same thing. Checked 2026-08-26.</t>
        </is>
      </c>
      <c r="AC19" t="inlineStr">
        <is>
          <t>HAS A FUNCTION — traceable from the screen to the code.</t>
        </is>
      </c>
      <c r="AD19" t="inlineStr"/>
      <c r="AE19" t="inlineStr">
        <is>
          <t>No finding on this row. That is not a statement that the row is right — only that nothing has been written against it.</t>
        </is>
      </c>
      <c r="AF19" t="inlineStr">
        <is>
          <t>SUPERSEDED BY MK-CF-M-011 — the same figure under another identifier. This number is retired and is never handed to anything else.</t>
        </is>
      </c>
      <c r="AG19" t="inlineStr">
        <is>
          <t>2026-08-27</t>
        </is>
      </c>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MK-PL-M-019</t>
        </is>
      </c>
      <c r="B20" t="inlineStr">
        <is>
          <t>Plan</t>
        </is>
      </c>
      <c r="C20" t="inlineStr">
        <is>
          <t>/ss-timing</t>
        </is>
      </c>
      <c r="D20" t="inlineStr">
        <is>
          <t>Claiming at N pays $X a month</t>
        </is>
      </c>
      <c r="E20" t="inlineStr">
        <is>
          <t>r.monthly</t>
        </is>
      </c>
      <c r="F20" t="inlineStr">
        <is>
          <t>1. ssClaimFactorFor
2. ssBenefitAt</t>
        </is>
      </c>
      <c r="G20" t="inlineStr">
        <is>
          <t>1. MK-PL-F-058
2. MK-PL-F-060</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1. MK-PL-F-057 (fullRetirementAge) → number
2. MK-PL-F-058 (ssClaimFactorFor) → number</t>
        </is>
      </c>
      <c r="P20" t="inlineStr">
        <is>
          <t>1. MK-PL-F-057 fullRetirementAge → MK-PL-F-058 ssClaimFactorFor
2. MK-PL-F-057 fullRetirementAge → MK-PL-F-058 ssClaimFactorFor → MK-PL-F-060 ssBenefitAt</t>
        </is>
      </c>
      <c r="Q20"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t="inlineStr"/>
      <c r="S20" t="inlineStr"/>
      <c r="T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t="inlineStr"/>
      <c r="V20" t="inlineStr"/>
      <c r="W20" t="inlineStr"/>
      <c r="X20" t="inlineStr"/>
      <c r="Y20" t="inlineStr">
        <is>
          <t>NOT DETERMINED</t>
        </is>
      </c>
      <c r="Z20" t="inlineStr">
        <is>
          <t>VERIFIED 2026-08-22</t>
        </is>
      </c>
      <c r="AA20"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AGREES — the figure's arithmetic and the arithmetic of the function it names say the same thing. Checked 2026-08-26.</t>
        </is>
      </c>
      <c r="AC20" t="inlineStr">
        <is>
          <t>HAS A FUNCTION — traceable from the screen to the code.</t>
        </is>
      </c>
      <c r="AD20"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t="inlineStr">
        <is>
          <t>ACTIVE</t>
        </is>
      </c>
      <c r="AG20" t="inlineStr">
        <is>
          <t>2026-08-27</t>
        </is>
      </c>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6" t="inlineStr">
        <is>
          <t>TESTED, NOT VERIFIED (G25) · OPEN FINDING A41</t>
        </is>
      </c>
    </row>
    <row r="21">
      <c r="A21" t="inlineStr">
        <is>
          <t>MK-PL-M-020</t>
        </is>
      </c>
      <c r="B21" t="inlineStr">
        <is>
          <t>Plan</t>
        </is>
      </c>
      <c r="C21" t="inlineStr">
        <is>
          <t>/ss-timing</t>
        </is>
      </c>
      <c r="D21" t="inlineStr">
        <is>
          <t>about $X in total by age N</t>
        </is>
      </c>
      <c r="E21" t="inlineStr">
        <is>
          <t>r.lifetime</t>
        </is>
      </c>
      <c r="F21" t="inlineStr">
        <is>
          <t>NOT ON RECORD — no function is recorded for this figure</t>
        </is>
      </c>
      <c r="G21" t="inlineStr"/>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function</t>
        </is>
      </c>
      <c r="K21" t="inlineStr">
        <is>
          <t>Age in whole years  [derived by rule — confirm]</t>
        </is>
      </c>
      <c r="L21" t="inlineStr">
        <is>
          <t>NOT DETERMINED — this function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 function on record — nothing to chain</t>
        </is>
      </c>
      <c r="P21" t="inlineStr">
        <is>
          <t>No function on record — nothing to chain</t>
        </is>
      </c>
      <c r="Q21" t="inlineStr">
        <is>
          <t>No function on record — assumptions unknown</t>
        </is>
      </c>
      <c r="R21" t="inlineStr"/>
      <c r="S21" t="inlineStr"/>
      <c r="T21" t="inlineStr">
        <is>
          <t>[Built in] A life-expectancy figure the person never chose.
[The person] The claim age they set, and the statement amount they typed.</t>
        </is>
      </c>
      <c r="U21" t="inlineStr"/>
      <c r="V21" t="inlineStr"/>
      <c r="W21" t="inlineStr"/>
      <c r="X21" t="inlineStr"/>
      <c r="Y21" t="inlineStr">
        <is>
          <t>NOT DETERMINED</t>
        </is>
      </c>
      <c r="Z21" t="inlineStr">
        <is>
          <t>VERIFIED 2026-08-22</t>
        </is>
      </c>
      <c r="AA21"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t="inlineStr">
        <is>
          <t>A40 — OPEN — DECLARED 2026-09-12
A41 — OPEN since 2026-08-26 — nothing has closed this. It is not known to be wrong; it is known to be unaddressed.</t>
        </is>
      </c>
      <c r="AF21" t="inlineStr">
        <is>
          <t>ACTIVE</t>
        </is>
      </c>
      <c r="AG21" t="inlineStr">
        <is>
          <t>2026-08-27</t>
        </is>
      </c>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8" t="inlineStr">
        <is>
          <t>OPEN FINDING A40, A41</t>
        </is>
      </c>
    </row>
    <row r="22">
      <c r="A22" t="inlineStr">
        <is>
          <t>MK-PL-M-021</t>
        </is>
      </c>
      <c r="B22" t="inlineStr">
        <is>
          <t>Plan</t>
        </is>
      </c>
      <c r="C22" t="inlineStr">
        <is>
          <t>/ss-timing</t>
        </is>
      </c>
      <c r="D22" t="inlineStr">
        <is>
          <t>Showing example numbers (a $X/mo statement)</t>
        </is>
      </c>
      <c r="E22" t="inlineStr">
        <is>
          <t>exampleStmt</t>
        </is>
      </c>
      <c r="F22" t="inlineStr">
        <is>
          <t>NOT ON RECORD — no function is recorded for this figure</t>
        </is>
      </c>
      <c r="G22" t="inlineStr"/>
      <c r="H22" t="inlineStr">
        <is>
          <t>a stated example amount, shown labelled as an example</t>
        </is>
      </c>
      <c r="I22" t="inlineStr">
        <is>
          <t>A worked example shown in place of a real Social Security statement, always labelled as such.</t>
        </is>
      </c>
      <c r="J22" t="inlineStr">
        <is>
          <t>NOT DETERMINED — no input list on record for this function</t>
        </is>
      </c>
      <c r="K22" t="inlineStr">
        <is>
          <t>US dollars · held to the cent · shown as whole dollars  [derived by rule — confirm]</t>
        </is>
      </c>
      <c r="L22" t="inlineStr">
        <is>
          <t>NOT DETERMINED — this function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t="inlineStr">
        <is>
          <t>No finding on this row. That is not a statement that the row is right — only that nothing has been written against it.</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MK-PL-M-022</t>
        </is>
      </c>
      <c r="B23" t="inlineStr">
        <is>
          <t>Plan</t>
        </is>
      </c>
      <c r="C23" t="inlineStr">
        <is>
          <t>/roth</t>
        </is>
      </c>
      <c r="D23" t="inlineStr">
        <is>
          <t>Convert to Roth this year (&lt;year&gt;)</t>
        </is>
      </c>
      <c r="E23" t="inlineStr">
        <is>
          <t>A.rothConversionThisYear</t>
        </is>
      </c>
      <c r="F23" t="inlineStr">
        <is>
          <t>Typed by the person — no function behind it</t>
        </is>
      </c>
      <c r="G23" t="inlineStr"/>
      <c r="H23" t="inlineStr">
        <is>
          <t>the value typed by the person</t>
        </is>
      </c>
      <c r="I23" t="inlineStr">
        <is>
          <t>A number the person entered; no calculation.</t>
        </is>
      </c>
      <c r="J23" t="inlineStr">
        <is>
          <t>NOT DETERMINED — no input list on record for this function</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TYPED — none needed. The person entered this number; nothing calculates it and nothing should. This row is already right and needs no work.</t>
        </is>
      </c>
      <c r="AD23" t="inlineStr"/>
      <c r="AE23" t="inlineStr">
        <is>
          <t>No finding on this row. That is not a statement that the row is right — only that nothing has been written against it.</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MK-PL-M-023</t>
        </is>
      </c>
      <c r="B24" t="inlineStr">
        <is>
          <t>Plan</t>
        </is>
      </c>
      <c r="C24" t="inlineStr">
        <is>
          <t>/roth</t>
        </is>
      </c>
      <c r="D24" t="inlineStr">
        <is>
          <t>Extra tax next April (calculated) — about $X</t>
        </is>
      </c>
      <c r="E24" t="inlineStr">
        <is>
          <t>taxCost</t>
        </is>
      </c>
      <c r="F24" t="inlineStr">
        <is>
          <t>NOT ON RECORD — no function is recorded for this figure</t>
        </is>
      </c>
      <c r="G24" t="inlineStr"/>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function</t>
        </is>
      </c>
      <c r="K24"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t="inlineStr">
        <is>
          <t>One figure per person — or per household when two people share one record  [derived by rule — confirm]</t>
        </is>
      </c>
      <c r="N24" t="inlineStr">
        <is>
          <t>As of today, from the latest figures held  [derived by rule — confirm]</t>
        </is>
      </c>
      <c r="O24" t="inlineStr">
        <is>
          <t>No function on record — nothing to chain</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t="inlineStr">
        <is>
          <t>ACTIVE</t>
        </is>
      </c>
      <c r="AG24" t="inlineStr">
        <is>
          <t>2026-08-27</t>
        </is>
      </c>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8" t="inlineStr">
        <is>
          <t>OPEN FINDING A41, A42</t>
        </is>
      </c>
    </row>
    <row r="25">
      <c r="A25" t="inlineStr">
        <is>
          <t>MK-PL-M-024</t>
        </is>
      </c>
      <c r="B25" t="inlineStr">
        <is>
          <t>Plan</t>
        </is>
      </c>
      <c r="C25" t="inlineStr">
        <is>
          <t>/roth</t>
        </is>
      </c>
      <c r="D25" t="inlineStr">
        <is>
          <t>from your pre-tax $X</t>
        </is>
      </c>
      <c r="E25" t="inlineStr">
        <is>
          <t>preTax</t>
        </is>
      </c>
      <c r="F25" t="inlineStr">
        <is>
          <t>NOT ON RECORD — no function is recorded for this figure</t>
        </is>
      </c>
      <c r="G25" t="inlineStr"/>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function</t>
        </is>
      </c>
      <c r="K25"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t="inlineStr">
        <is>
          <t>One figure per person — or per household when two people share one record  [derived by rule — confirm]</t>
        </is>
      </c>
      <c r="N25" t="inlineStr">
        <is>
          <t>As of today, from the latest figures held  [derived by rule — confirm]</t>
        </is>
      </c>
      <c r="O25" t="inlineStr">
        <is>
          <t>No function on record — nothing to chain</t>
        </is>
      </c>
      <c r="P25" t="inlineStr">
        <is>
          <t>No function on record — nothing to chain</t>
        </is>
      </c>
      <c r="Q25" t="inlineStr">
        <is>
          <t>No function on record — assumptions unknown</t>
        </is>
      </c>
      <c r="R25" t="inlineStr"/>
      <c r="S25" t="inlineStr"/>
      <c r="T25" t="inlineStr">
        <is>
          <t>NOT DETERMINED — no assumption recorded for this figure yet.</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t="inlineStr">
        <is>
          <t>ACTIVE</t>
        </is>
      </c>
      <c r="AG25" t="inlineStr">
        <is>
          <t>2026-08-27</t>
        </is>
      </c>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3" t="inlineStr">
        <is>
          <t>NOTHING OPEN</t>
        </is>
      </c>
    </row>
    <row r="26">
      <c r="A26" t="inlineStr">
        <is>
          <t>MK-PL-M-025</t>
        </is>
      </c>
      <c r="B26" t="inlineStr">
        <is>
          <t>Plan</t>
        </is>
      </c>
      <c r="C26" t="inlineStr">
        <is>
          <t>/what-if</t>
        </is>
      </c>
      <c r="D26" t="inlineStr">
        <is>
          <t>+$X/mo (the saving dial)</t>
        </is>
      </c>
      <c r="E26" t="inlineStr">
        <is>
          <t>addMonthly</t>
        </is>
      </c>
      <c r="F26" t="inlineStr">
        <is>
          <t>Typed by the person — no function behind it</t>
        </is>
      </c>
      <c r="G26" t="inlineStr"/>
      <c r="H26" t="inlineStr">
        <is>
          <t>the value typed by the person</t>
        </is>
      </c>
      <c r="I26" t="inlineStr">
        <is>
          <t>A number the person entered; no calculation.</t>
        </is>
      </c>
      <c r="J26" t="inlineStr">
        <is>
          <t>NOT DETERMINED — no input list on record for this function</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 function on record — nothing to chain</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TYPED — none needed. The person entered this number; nothing calculates it and nothing should. This row is already right and needs no work.</t>
        </is>
      </c>
      <c r="AD26" t="inlineStr"/>
      <c r="AE26" t="inlineStr">
        <is>
          <t>No finding on this row. That is not a statement that the row is right — only that nothing has been written against it.</t>
        </is>
      </c>
      <c r="AF26" t="inlineStr">
        <is>
          <t>ACTIVE</t>
        </is>
      </c>
      <c r="AG26" t="inlineStr">
        <is>
          <t>2026-08-27</t>
        </is>
      </c>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3" t="inlineStr">
        <is>
          <t>NOTHING OPEN</t>
        </is>
      </c>
    </row>
    <row r="27">
      <c r="A27" t="inlineStr">
        <is>
          <t>MK-PL-M-026</t>
        </is>
      </c>
      <c r="B27" t="inlineStr">
        <is>
          <t>Plan</t>
        </is>
      </c>
      <c r="C27" t="inlineStr">
        <is>
          <t>/what-if</t>
        </is>
      </c>
      <c r="D27" t="inlineStr">
        <is>
          <t>$X → $Y (nest egg before and after)</t>
        </is>
      </c>
      <c r="E27" t="inlineStr">
        <is>
          <t>result.before.egg / result.after.egg</t>
        </is>
      </c>
      <c r="F27" t="inlineStr">
        <is>
          <t>projectNestEgg</t>
        </is>
      </c>
      <c r="G27" t="inlineStr">
        <is>
          <t>MK-PL-F-055</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1. MK-CF-F-132 (map) → NOT DECLARED — the code does not say what it gives back
2. MK-PL-F-050 (simulate) → NOT DECLARED — the code does not say what it gives back</t>
        </is>
      </c>
      <c r="P27"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27"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27" t="inlineStr"/>
      <c r="S27" t="inlineStr">
        <is>
          <t>The Net worth screen builds this projection WITHOUT the person's big costs, while Cash flow, Budget, Goals and Social Security timing all include them. Same person, same day, two different nest eggs. Seen in the code; not yet confirmed on screen.</t>
        </is>
      </c>
      <c r="T27"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t="inlineStr"/>
      <c r="V27" t="inlineStr"/>
      <c r="W27" t="inlineStr"/>
      <c r="X27" t="inlineStr"/>
      <c r="Y27" t="inlineStr">
        <is>
          <t>NOT DETERMINED</t>
        </is>
      </c>
      <c r="Z27" t="inlineStr">
        <is>
          <t>VERIFIED 2026-08-22</t>
        </is>
      </c>
      <c r="AA27"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t="inlineStr">
        <is>
          <t>HAS A FUNCTION — traceable from the screen to the code.</t>
        </is>
      </c>
      <c r="AD27" t="inlineStr">
        <is>
          <t>B11 — This month — the future-paycheck figure omits contribution growth the code applies</t>
        </is>
      </c>
      <c r="AE27" t="inlineStr">
        <is>
          <t>A44 — NOT A DEFECT 2026-08-26
B11 — FIXED 2026-09-12</t>
        </is>
      </c>
      <c r="AF27" t="inlineStr">
        <is>
          <t>ACTIVE</t>
        </is>
      </c>
      <c r="AG27" t="inlineStr">
        <is>
          <t>2026-09-13</t>
        </is>
      </c>
      <c r="AJ27"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7" t="inlineStr">
        <is>
          <t>CODED, NOT TESTED (finding B11 names no test)</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itself — no function behind it</t>
        </is>
      </c>
      <c r="G28" t="inlineStr"/>
      <c r="H28" t="inlineStr">
        <is>
          <t>difference = pot after the change − pot before it</t>
        </is>
      </c>
      <c r="I28" t="inlineStr">
        <is>
          <t>Worked out on the screen itself, with no function behind it — a place a second definition can appear.</t>
        </is>
      </c>
      <c r="J28" t="inlineStr">
        <is>
          <t>NOT DETERMINED — no input list on record for this function</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 function on record — nothing to chain</t>
        </is>
      </c>
      <c r="P28" t="inlineStr">
        <is>
          <t>No function on record — nothing to chain</t>
        </is>
      </c>
      <c r="Q28" t="inlineStr">
        <is>
          <t>No function on record — assumptions unknown</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t="inlineStr"/>
      <c r="AE28" t="inlineStr">
        <is>
          <t>No finding on this row. That is not a statement that the row is right — only that nothing has been written against it.</t>
        </is>
      </c>
      <c r="AF28" t="inlineStr">
        <is>
          <t>ACTIVE</t>
        </is>
      </c>
      <c r="AG28" t="inlineStr">
        <is>
          <t>2026-08-27</t>
        </is>
      </c>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3" t="inlineStr">
        <is>
          <t>NOTHING OPEN</t>
        </is>
      </c>
    </row>
    <row r="29">
      <c r="A29" t="inlineStr">
        <is>
          <t>MK-PL-M-028</t>
        </is>
      </c>
      <c r="B29" t="inlineStr">
        <is>
          <t>Plan</t>
        </is>
      </c>
      <c r="C29" t="inlineStr">
        <is>
          <t>/multi-goal</t>
        </is>
      </c>
      <c r="D29" t="inlineStr">
        <is>
          <t>each goal and its monthly amount</t>
        </is>
      </c>
      <c r="E29" t="inlineStr">
        <is>
          <t>d.monthlyAmount</t>
        </is>
      </c>
      <c r="F29" t="inlineStr">
        <is>
          <t>Typed by the person — no function behind it</t>
        </is>
      </c>
      <c r="G29" t="inlineStr"/>
      <c r="H29" t="inlineStr">
        <is>
          <t>the values typed by the person</t>
        </is>
      </c>
      <c r="I29" t="inlineStr">
        <is>
          <t>Amounts the person entered; no calculation.</t>
        </is>
      </c>
      <c r="J29" t="inlineStr">
        <is>
          <t>NOT DETERMINED — no input list on record for this function</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 function on record — nothing to chain</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TYPED — none needed. The person entered this number; nothing calculates it and nothing should. This row is already right and needs no work.</t>
        </is>
      </c>
      <c r="AD29" t="inlineStr"/>
      <c r="AE29" t="inlineStr">
        <is>
          <t>No finding on this row. That is not a statement that the row is right — only that nothing has been written against it.</t>
        </is>
      </c>
      <c r="AF29" t="inlineStr">
        <is>
          <t>ACTIVE</t>
        </is>
      </c>
      <c r="AG29" t="inlineStr">
        <is>
          <t>2026-08-27</t>
        </is>
      </c>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3" t="inlineStr">
        <is>
          <t>NOTHING OPEN</t>
        </is>
      </c>
    </row>
    <row r="30">
      <c r="A30" t="inlineStr">
        <is>
          <t>MK-PL-M-029</t>
        </is>
      </c>
      <c r="B30" t="inlineStr">
        <is>
          <t>Plan</t>
        </is>
      </c>
      <c r="C30" t="inlineStr">
        <is>
          <t>/multi-goal</t>
        </is>
      </c>
      <c r="D30" t="inlineStr">
        <is>
          <t>Retirement saving — $X/mo now → $Y/mo</t>
        </is>
      </c>
      <c r="E30" t="inlineStr">
        <is>
          <t>A.contribMonthly / retirementMo</t>
        </is>
      </c>
      <c r="F30" t="inlineStr">
        <is>
          <t>willItLastInputs</t>
        </is>
      </c>
      <c r="G30" t="inlineStr">
        <is>
          <t>MK-PL-F-067</t>
        </is>
      </c>
      <c r="H30"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t="inlineStr">
        <is>
          <t>Percent · exact, no rounding — 1,000 futures give it to a tenth (founder, 2026-09-14)  [derived by rule — confirm]</t>
        </is>
      </c>
      <c r="L30" t="inlineStr">
        <is>
          <t>NOT DETERMINED — this function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30"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40 more, on the functions tab</t>
        </is>
      </c>
      <c r="R30" t="inlineStr"/>
      <c r="S30" t="inlineStr"/>
      <c r="T30" t="inlineStr">
        <is>
          <t>NOT DETERMINED — no assumption recorded for this figure yet.</t>
        </is>
      </c>
      <c r="U30" t="inlineStr">
        <is>
          <t>THE SAME FIGURE AS MK-PL-M-011 — What is being saved each month towards retirement — "Monthly saving until then" and "Retirement saving $X/mo now".</t>
        </is>
      </c>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AGREES — the figure's arithmetic and the arithmetic of the function it names say the same thing. Checked 2026-08-26.</t>
        </is>
      </c>
      <c r="AC30" t="inlineStr">
        <is>
          <t>HAS A FUNCTION — traceable from the screen to the code.</t>
        </is>
      </c>
      <c r="AD30" t="inlineStr"/>
      <c r="AE30" t="inlineStr">
        <is>
          <t>No finding on this row. That is not a statement that the row is right — only that nothing has been written against it.</t>
        </is>
      </c>
      <c r="AF30" t="inlineStr">
        <is>
          <t>SUPERSEDED BY MK-PL-M-011 — the same figure under another identifier. This number is retired and is never handed to anything else.</t>
        </is>
      </c>
      <c r="AG30" t="inlineStr">
        <is>
          <t>2026-09-14</t>
        </is>
      </c>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TESTED, NOT VERIFIED (G15)</t>
        </is>
      </c>
    </row>
    <row r="31">
      <c r="A31" t="inlineStr">
        <is>
          <t>MK-PL-M-030</t>
        </is>
      </c>
      <c r="B31" t="inlineStr">
        <is>
          <t>Plan</t>
        </is>
      </c>
      <c r="C31" t="inlineStr">
        <is>
          <t>/multi-goal</t>
        </is>
      </c>
      <c r="D31" t="inlineStr">
        <is>
          <t>Extra on debt $X/mo</t>
        </is>
      </c>
      <c r="E31" t="inlineStr">
        <is>
          <t>extraDebt</t>
        </is>
      </c>
      <c r="F31" t="inlineStr">
        <is>
          <t>Typed by the person — no function behind it</t>
        </is>
      </c>
      <c r="G31" t="inlineStr"/>
      <c r="H31" t="inlineStr">
        <is>
          <t>the value typed by the person</t>
        </is>
      </c>
      <c r="I31" t="inlineStr">
        <is>
          <t>A number the person entered; no calculation.</t>
        </is>
      </c>
      <c r="J31" t="inlineStr">
        <is>
          <t>NOT DETERMINED — no input list on record for this function</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 function on record — nothing to chain</t>
        </is>
      </c>
      <c r="P31" t="inlineStr">
        <is>
          <t>No function on record — nothing to chain</t>
        </is>
      </c>
      <c r="Q31" t="inlineStr">
        <is>
          <t>No function on record — assumptions unknown</t>
        </is>
      </c>
      <c r="R31" t="inlineStr"/>
      <c r="S31" t="inlineStr">
        <is>
          <t>CORRECTED 2026-08-25 — this row used to name DEBT_PICTURE. "Extra on debt $X/mo" is an amount the person chose on a dial, not a figure that function produces.</t>
        </is>
      </c>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TYPED — none needed. The person entered this number; nothing calculates it and nothing should. This row is already right and needs no work.</t>
        </is>
      </c>
      <c r="AD31" t="inlineStr"/>
      <c r="AE31" t="inlineStr">
        <is>
          <t>No finding on this row. That is not a statement that the row is right — only that nothing has been written against it.</t>
        </is>
      </c>
      <c r="AF31" t="inlineStr">
        <is>
          <t>ACTIVE</t>
        </is>
      </c>
      <c r="AG31" t="inlineStr">
        <is>
          <t>2026-08-27</t>
        </is>
      </c>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3" t="inlineStr">
        <is>
          <t>NOTHING OPEN</t>
        </is>
      </c>
    </row>
    <row r="32">
      <c r="A32" t="inlineStr">
        <is>
          <t>MK-PL-M-031</t>
        </is>
      </c>
      <c r="B32" t="inlineStr">
        <is>
          <t>Plan</t>
        </is>
      </c>
      <c r="C32" t="inlineStr">
        <is>
          <t>/multi-goal</t>
        </is>
      </c>
      <c r="D32" t="inlineStr">
        <is>
          <t>paid off &lt;month&gt; · saves $X</t>
        </is>
      </c>
      <c r="E32" t="inlineStr">
        <is>
          <t>weighed.debtPayoff</t>
        </is>
      </c>
      <c r="F32" t="inlineStr">
        <is>
          <t>NOT ON RECORD — no function is recorded for this figure</t>
        </is>
      </c>
      <c r="G32" s="3" t="inlineStr">
        <is>
          <t>MK-CF-F-034</t>
        </is>
      </c>
      <c r="H32"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t="inlineStr">
        <is>
          <t>NOT DETERMINED — no input list on record for this function</t>
        </is>
      </c>
      <c r="K32" t="inlineStr">
        <is>
          <t>US dollars · held to the cent · shown as whole dollars  [derived by rule — confirm]</t>
        </is>
      </c>
      <c r="L32" s="3" t="inlineStr">
        <is>
          <t>No debt, or no extra payment chosen → the line is not shown; never a $0 saving.</t>
        </is>
      </c>
      <c r="M32" t="inlineStr">
        <is>
          <t>One figure per debt, and one total per person  [derived by rule — confirm]</t>
        </is>
      </c>
      <c r="N32" t="inlineStr">
        <is>
          <t>As of today, from the latest figures held  [derived by rule — confirm]</t>
        </is>
      </c>
      <c r="O32" t="inlineStr">
        <is>
          <t>1. MK-CF-F-132 (map) → NOT DECLARED — the code does not say what it gives back
2. MK-CF-F-022 (paymentShape) → NonNullable&lt;Debt['payment_type']&gt;</t>
        </is>
      </c>
      <c r="P32" t="inlineStr">
        <is>
          <t>No function on record — nothing to chain</t>
        </is>
      </c>
      <c r="Q32" t="inlineStr">
        <is>
          <t>No function on record — assumptions unknown</t>
        </is>
      </c>
      <c r="R32" t="inlineStr"/>
      <c r="S32" t="inlineStr"/>
      <c r="T32" t="inlineStr">
        <is>
          <t>NOT DETERMINED — no assumption recorded for this figure yet.</t>
        </is>
      </c>
      <c r="U32" t="inlineStr"/>
      <c r="V32" t="inlineStr"/>
      <c r="W32" t="inlineStr"/>
      <c r="X32" t="inlineStr"/>
      <c r="Y32" t="inlineStr">
        <is>
          <t>NOT DETERMINED</t>
        </is>
      </c>
      <c r="Z32" t="inlineStr">
        <is>
          <t>VERIFIED 2026-08-22</t>
        </is>
      </c>
      <c r="AA32"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B24 [NOT COMPARABLE] — This figure names no function, so its formula cannot be checked against anything. 69 of the 163 figures are in this position — the audit covers the 94 that name one.</t>
        </is>
      </c>
      <c r="AC3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t="inlineStr"/>
      <c r="AE32" s="3" t="inlineStr">
        <is>
          <t>A43 — FIXED 2026-09-12
G32 / Q48 — 2026-09-09: the 'division with nothing on the bottom' boilerplate is gone; this cell now states the row's real refusal. Where it says 'built', the screen already does it; the rest follow the empty-state mock.</t>
        </is>
      </c>
      <c r="AF32" t="inlineStr">
        <is>
          <t>ACTIVE</t>
        </is>
      </c>
      <c r="AG32" t="inlineStr">
        <is>
          <t>2026-08-27</t>
        </is>
      </c>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N32" s="7" t="inlineStr">
        <is>
          <t>CODED, NOT TESTED (finding A43 names no test)</t>
        </is>
      </c>
    </row>
    <row r="33">
      <c r="A33" t="inlineStr">
        <is>
          <t>MK-PL-M-032</t>
        </is>
      </c>
      <c r="B33" t="inlineStr">
        <is>
          <t>Plan</t>
        </is>
      </c>
      <c r="C33" t="inlineStr">
        <is>
          <t>/retirement</t>
        </is>
      </c>
      <c r="D33" t="inlineStr">
        <is>
          <t>incl. Social Security $X/mo from age N</t>
        </is>
      </c>
      <c r="E33" t="inlineStr">
        <is>
          <t>ssIncome</t>
        </is>
      </c>
      <c r="F33" t="inlineStr">
        <is>
          <t>currentRetirementIncomeMonthly</t>
        </is>
      </c>
      <c r="G33" t="inlineStr">
        <is>
          <t>MK-CF-F-072</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1. do they receive it now → incomeSources  [MK-XS-I-040]
2.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MK-CF-F-075 (retirementIncomeMonthly) → number</t>
        </is>
      </c>
      <c r="P33" t="inlineStr">
        <is>
          <t>MK-XS-F-122 n → MK-ST-F-052 toNum → MK-CF-F-075 retirementIncomeMonthly → MK-CF-F-072 currentRetirementIncomeMonthly</t>
        </is>
      </c>
      <c r="Q33" t="inlineStr">
        <is>
          <t>None found anywhere in this chain</t>
        </is>
      </c>
      <c r="R33" t="inlineStr"/>
      <c r="S33" t="inlineStr"/>
      <c r="T33" t="inlineStr">
        <is>
          <t>NOT DETERMINED — no assumption recorded for this figure yet.</t>
        </is>
      </c>
      <c r="U33" t="inlineStr">
        <is>
          <t>THE SAME FIGURE AS MK-CF-M-011 — Guaranteed income being received now. Shown four ways: "You receive $X/mo" on Social Security timing, "incl. Social Security $X/mo" on the cockpit, as a source on Cash flow, and as a list on Monthly income. One figure, four identifiers.</t>
        </is>
      </c>
      <c r="V33" t="inlineStr"/>
      <c r="W33" t="inlineStr"/>
      <c r="X33" t="inlineStr"/>
      <c r="Y33" t="inlineStr">
        <is>
          <t>NOT DETERMINED</t>
        </is>
      </c>
      <c r="Z33" t="inlineStr">
        <is>
          <t>VERIFIED 2026-08-22</t>
        </is>
      </c>
      <c r="AA3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AGREES — the figure's arithmetic and the arithmetic of the function it names say the same thing. Checked 2026-08-26.</t>
        </is>
      </c>
      <c r="AC33" t="inlineStr">
        <is>
          <t>HAS A FUNCTION — traceable from the screen to the code.</t>
        </is>
      </c>
      <c r="AD33" t="inlineStr"/>
      <c r="AE33" t="inlineStr">
        <is>
          <t>No finding on this row. That is not a statement that the row is right — only that nothing has been written against it.</t>
        </is>
      </c>
      <c r="AF33" t="inlineStr">
        <is>
          <t>SUPERSEDED BY MK-CF-M-011 — the same figure under another identifier. This number is retired and is never handed to anything else.</t>
        </is>
      </c>
      <c r="AG33" t="inlineStr">
        <is>
          <t>2026-08-27</t>
        </is>
      </c>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N33" s="3" t="inlineStr">
        <is>
          <t>NOTHING OPEN</t>
        </is>
      </c>
    </row>
    <row r="34">
      <c r="A34" t="inlineStr">
        <is>
          <t>MK-PL-M-033</t>
        </is>
      </c>
      <c r="B34" t="inlineStr">
        <is>
          <t>Plan</t>
        </is>
      </c>
      <c r="C34" t="inlineStr">
        <is>
          <t>/retirement</t>
        </is>
      </c>
      <c r="D34" t="inlineStr">
        <is>
          <t>your $X grows to $Y by age N at Z%/yr</t>
        </is>
      </c>
      <c r="E34" t="inlineStr">
        <is>
          <t>nestEgg / scProjected</t>
        </is>
      </c>
      <c r="F34" t="inlineStr">
        <is>
          <t>projectNestEgg</t>
        </is>
      </c>
      <c r="G34" t="inlineStr">
        <is>
          <t>MK-PL-F-055</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1. MK-CF-F-132 (map) → NOT DECLARED — the code does not say what it gives back
2. MK-PL-F-050 (simulate) → NOT DECLARED — the code does not say what it gives back</t>
        </is>
      </c>
      <c r="P34"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34"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34" t="inlineStr"/>
      <c r="S34" t="inlineStr">
        <is>
          <t>The Net worth screen builds this projection WITHOUT the person's big costs, while Cash flow, Budget, Goals and Social Security timing all include them. Same person, same day, two different nest eggs. Seen in the code; not yet confirmed on screen.</t>
        </is>
      </c>
      <c r="T34"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t="inlineStr">
        <is>
          <t>THE SURVIVING IDENTIFIER for this figure. Folded in: MK-NW-M-015. The projected pot at retirement, shown on Net worth as "on track for $X by age Y" and on the cockpit as "your $X grows to $Y". One figure, two screens — the founder spotted this one himself.</t>
        </is>
      </c>
      <c r="V34" t="inlineStr"/>
      <c r="W34" t="inlineStr"/>
      <c r="X34" t="inlineStr"/>
      <c r="Y34" t="inlineStr">
        <is>
          <t>NOT DETERMINED</t>
        </is>
      </c>
      <c r="Z34" t="inlineStr">
        <is>
          <t>VERIFIED 2026-08-22</t>
        </is>
      </c>
      <c r="AA3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t="inlineStr">
        <is>
          <t>HAS A FUNCTION — traceable from the screen to the code.</t>
        </is>
      </c>
      <c r="AD34" t="inlineStr">
        <is>
          <t>B11 — This month — the future-paycheck figure omits contribution growth the code applies</t>
        </is>
      </c>
      <c r="AE34" t="inlineStr">
        <is>
          <t>A44 — NOT A DEFECT 2026-08-26
B11 — FIXED 2026-09-12</t>
        </is>
      </c>
      <c r="AF34" t="inlineStr">
        <is>
          <t>ACTIVE</t>
        </is>
      </c>
      <c r="AG34" t="inlineStr">
        <is>
          <t>2026-09-13</t>
        </is>
      </c>
      <c r="AJ34"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N34" s="7" t="inlineStr">
        <is>
          <t>CODED, NOT TESTED (finding B11 names no test)</t>
        </is>
      </c>
    </row>
    <row r="35">
      <c r="A35" t="inlineStr">
        <is>
          <t>MK-PL-M-034</t>
        </is>
      </c>
      <c r="B35" t="inlineStr">
        <is>
          <t>Plan</t>
        </is>
      </c>
      <c r="C35" t="inlineStr">
        <is>
          <t>/retirement</t>
        </is>
      </c>
      <c r="D35" t="inlineStr">
        <is>
          <t>At Z% return, your money lasts past age N</t>
        </is>
      </c>
      <c r="E35" t="inlineStr">
        <is>
          <t>scDeplete</t>
        </is>
      </c>
      <c r="F35" t="inlineStr">
        <is>
          <t>selectWillItLast</t>
        </is>
      </c>
      <c r="G35" s="3" t="inlineStr">
        <is>
          <t>1. MK-PL-F-068
2. MK-PL-F-050</t>
        </is>
      </c>
      <c r="H35" t="inlineStr">
        <is>
          <t>run 1,000 futures; in each year: balance ← balance × (1 + random return) − (expenses − guaranteed income);  odds = futures that never run out ÷ 1,000</t>
        </is>
      </c>
      <c r="I35"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1. everything → WILL_IT_LAST_INPUTS  [NOT AN INPUT — another function’s answer; see the dependency column]
2. is a range wanted → withBand  [NOT AN INPUT — a setting or a filter, not data anyone supplies]</t>
        </is>
      </c>
      <c r="K35" t="inlineStr">
        <is>
          <t>Percent · exact, no rounding — 1,000 futures give it to a tenth (founder, 2026-09-14)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MK-CF-F-132 (map) → NOT DECLARED — the code does not say what it gives back
8. MK-PL-F-074 (median) → number
9. MK-PL-F-072 (mulberry32) → NOT DECLARED — the code does not say what it gives back
10. MK-XS-F-122 (n) → number
11. MK-PL-F-073 (normal) → number
12. MK-PL-F-075 (pctOfSorted) → number
13. MK-ST-F-025 (rmdStartAgeFromAge) → number</t>
        </is>
      </c>
      <c r="P35"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Q35"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41 more, on the functions tab</t>
        </is>
      </c>
      <c r="R35" t="inlineStr"/>
      <c r="S35" t="inlineStr">
        <is>
          <t>The odds shown on Home, Plan and Cash flow are rounded to the nearest 5, while the compare tables still show them exact. One figure, two precisions — founder's open question.</t>
        </is>
      </c>
      <c r="T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t="inlineStr"/>
      <c r="V35" t="inlineStr"/>
      <c r="W35" t="inlineStr"/>
      <c r="X35" t="inlineStr"/>
      <c r="Y35" t="inlineStr">
        <is>
          <t>NOT DETERMINED</t>
        </is>
      </c>
      <c r="Z35" t="inlineStr">
        <is>
          <t>VERIFIED 2026-08-22</t>
        </is>
      </c>
      <c r="AA3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t="inlineStr">
        <is>
          <t>HAS A FUNCTION — traceable from the screen to the code.</t>
        </is>
      </c>
      <c r="AD35" t="inlineStr"/>
      <c r="AE35" t="inlineStr">
        <is>
          <t>B13 — FIXED 2026-09-12</t>
        </is>
      </c>
      <c r="AF35" t="inlineStr">
        <is>
          <t>ACTIVE</t>
        </is>
      </c>
      <c r="AG35" t="inlineStr">
        <is>
          <t>2026-09-14</t>
        </is>
      </c>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MK-PL-F-068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N35" s="7" t="inlineStr">
        <is>
          <t>CODED, NOT TESTED (finding B13 names no test)</t>
        </is>
      </c>
    </row>
    <row r="36">
      <c r="A36" t="inlineStr">
        <is>
          <t>MK-PL-M-035</t>
        </is>
      </c>
      <c r="B36" t="inlineStr">
        <is>
          <t>Plan</t>
        </is>
      </c>
      <c r="C36" t="inlineStr">
        <is>
          <t>/retirement</t>
        </is>
      </c>
      <c r="D36" t="inlineStr">
        <is>
          <t>Retire at age (the dial)</t>
        </is>
      </c>
      <c r="E36" t="inlineStr">
        <is>
          <t>rAge</t>
        </is>
      </c>
      <c r="F36" t="inlineStr">
        <is>
          <t>Typed by the person — no function behind it</t>
        </is>
      </c>
      <c r="G36" t="inlineStr"/>
      <c r="H36" t="inlineStr">
        <is>
          <t>the age set by the person</t>
        </is>
      </c>
      <c r="I36" t="inlineStr">
        <is>
          <t>An age the person set on a dial; no calculation.</t>
        </is>
      </c>
      <c r="J36" t="inlineStr">
        <is>
          <t>NOT DETERMINED — no input list on record for this function</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 function on record — nothing to chain</t>
        </is>
      </c>
      <c r="P36" t="inlineStr">
        <is>
          <t>No function on record — nothing to chain</t>
        </is>
      </c>
      <c r="Q36" t="inlineStr">
        <is>
          <t>No function on record — assumptions unknown</t>
        </is>
      </c>
      <c r="R36" t="inlineStr"/>
      <c r="S36" t="inlineStr"/>
      <c r="T36" t="inlineStr">
        <is>
          <t>NOT DETERMINED — no assumption recorded for this figure yet.</t>
        </is>
      </c>
      <c r="U36" t="inlineStr"/>
      <c r="V36" t="inlineStr"/>
      <c r="W36" t="inlineStr"/>
      <c r="X36" t="inlineStr"/>
      <c r="Y36" t="inlineStr">
        <is>
          <t>NOT DETERMINED</t>
        </is>
      </c>
      <c r="Z36" t="inlineStr">
        <is>
          <t>VERIFIED 2026-08-22</t>
        </is>
      </c>
      <c r="AA3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B24 [NOT COMPARABLE] — This figure names no function, so its formula cannot be checked against anything. 69 of the 163 figures are in this position — the audit covers the 94 that name one.</t>
        </is>
      </c>
      <c r="AC36" t="inlineStr">
        <is>
          <t>TYPED — none needed. The person entered this number; nothing calculates it and nothing should. This row is already right and needs no work.</t>
        </is>
      </c>
      <c r="AD36" t="inlineStr"/>
      <c r="AE36" t="inlineStr">
        <is>
          <t>No finding on this row. That is not a statement that the row is right — only that nothing has been written against it.</t>
        </is>
      </c>
      <c r="AF36" t="inlineStr">
        <is>
          <t>ACTIVE</t>
        </is>
      </c>
      <c r="AG36" t="inlineStr">
        <is>
          <t>2026-08-27</t>
        </is>
      </c>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N36" s="3" t="inlineStr">
        <is>
          <t>NOTHING OPEN</t>
        </is>
      </c>
    </row>
    <row r="37">
      <c r="A37" t="inlineStr">
        <is>
          <t>MK-PL-M-036</t>
        </is>
      </c>
      <c r="B37" t="inlineStr">
        <is>
          <t>Plan</t>
        </is>
      </c>
      <c r="C37" t="inlineStr">
        <is>
          <t>/education</t>
        </is>
      </c>
      <c r="D37" t="inlineStr">
        <is>
          <t>the future total cost of school</t>
        </is>
      </c>
      <c r="E37" t="inlineStr">
        <is>
          <t>plan.futureTotalCost</t>
        </is>
      </c>
      <c r="F37" t="inlineStr">
        <is>
          <t>NOT ON RECORD — no function is recorded for this figure</t>
        </is>
      </c>
      <c r="G37" s="3" t="inlineStr">
        <is>
          <t>MK-PL-F-033</t>
        </is>
      </c>
      <c r="H37"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t="inlineStr">
        <is>
          <t>NOT DETERMINED — no input list on record for this function</t>
        </is>
      </c>
      <c r="K37" t="inlineStr">
        <is>
          <t>US dollars · held to the cent · shown as whole dollars  [derived by rule — confirm]</t>
        </is>
      </c>
      <c r="L37" s="3" t="inlineStr">
        <is>
          <t>No school cost, or no years to go → the projection is not shown; never a $0 cost.</t>
        </is>
      </c>
      <c r="M37" t="inlineStr">
        <is>
          <t>One figure per person — or per household when two people share one record  [derived by rule — confirm]</t>
        </is>
      </c>
      <c r="N37" t="inlineStr">
        <is>
          <t>As of today, from the latest figures held  [derived by rule — confirm]</t>
        </is>
      </c>
      <c r="O37" t="inlineStr">
        <is>
          <t>MK-XS-F-122 (n) → number</t>
        </is>
      </c>
      <c r="P37" t="inlineStr">
        <is>
          <t>No function on record — nothing to chain</t>
        </is>
      </c>
      <c r="Q37" t="inlineStr">
        <is>
          <t>No function on record — assumptions unknown</t>
        </is>
      </c>
      <c r="R37" t="inlineStr"/>
      <c r="S37" t="inlineStr"/>
      <c r="T37"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t="inlineStr"/>
      <c r="V37" s="11" t="inlineStr">
        <is>
          <t>Q26 — What education inflation rate should the college projection use, and should it be visible and editable on the screen?</t>
        </is>
      </c>
      <c r="W37" s="11" t="inlineStr"/>
      <c r="X37" t="inlineStr"/>
      <c r="Y37" t="inlineStr">
        <is>
          <t>NOT DETERMINED</t>
        </is>
      </c>
      <c r="Z37" t="inlineStr">
        <is>
          <t>VERIFIED 2026-08-22</t>
        </is>
      </c>
      <c r="AA37"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B24 [NOT COMPARABLE] — This figure names no function, so its formula cannot be checked against anything. 69 of the 163 figures are in this position — the audit covers the 94 that name one.</t>
        </is>
      </c>
      <c r="AC3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t="inlineStr"/>
      <c r="AE37" s="3" t="inlineStr">
        <is>
          <t>A45 — FIXED 2026-09-12
G32 / Q48 — 2026-09-09: the 'division with nothing on the bottom' boilerplate is gone; this cell now states the row's real refusal. Where it says 'built', the screen already does it; the rest follow the empty-state mock.</t>
        </is>
      </c>
      <c r="AF37" t="inlineStr">
        <is>
          <t>ACTIVE</t>
        </is>
      </c>
      <c r="AG37" t="inlineStr">
        <is>
          <t>2026-08-27</t>
        </is>
      </c>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N37" s="7" t="inlineStr">
        <is>
          <t>WAITING ON YOU — question Q26 · CODED, NOT TESTED (finding A45 names no test)</t>
        </is>
      </c>
    </row>
    <row r="38">
      <c r="A38" t="inlineStr">
        <is>
          <t>MK-PL-M-037</t>
        </is>
      </c>
      <c r="B38" t="inlineStr">
        <is>
          <t>Plan</t>
        </is>
      </c>
      <c r="C38" t="inlineStr">
        <is>
          <t>/education</t>
        </is>
      </c>
      <c r="D38" t="inlineStr">
        <is>
          <t>$X/mo set aside closes the $Y gap</t>
        </is>
      </c>
      <c r="E38" t="inlineStr">
        <is>
          <t>plan.monthlyNeeded / plan.gap</t>
        </is>
      </c>
      <c r="F38" t="inlineStr">
        <is>
          <t>NOT ON RECORD — no function is recorded for this figure</t>
        </is>
      </c>
      <c r="G38" s="3" t="inlineStr">
        <is>
          <t>MK-PL-F-033</t>
        </is>
      </c>
      <c r="H38"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t="inlineStr">
        <is>
          <t>NOT DETERMINED — no input list on record for this function</t>
        </is>
      </c>
      <c r="K38" t="inlineStr">
        <is>
          <t>US dollars · held to the cent · shown as whole dollars  [derived by rule — confirm]</t>
        </is>
      </c>
      <c r="L38" s="3" t="inlineStr">
        <is>
          <t>No gap (already covered) → 'covered', not $0/mo; no school cost → not shown.</t>
        </is>
      </c>
      <c r="M38" t="inlineStr">
        <is>
          <t>One figure per person — or per household when two people share one record  [derived by rule — confirm]</t>
        </is>
      </c>
      <c r="N38" t="inlineStr">
        <is>
          <t>As of today, from the latest figures held  [derived by rule — confirm]</t>
        </is>
      </c>
      <c r="O38" t="inlineStr">
        <is>
          <t>MK-XS-F-122 (n) → number</t>
        </is>
      </c>
      <c r="P38" t="inlineStr">
        <is>
          <t>No function on record — nothing to chain</t>
        </is>
      </c>
      <c r="Q38" t="inlineStr">
        <is>
          <t>No function on record — assumptions unknown</t>
        </is>
      </c>
      <c r="R38" t="inlineStr"/>
      <c r="S38" t="inlineStr"/>
      <c r="T38"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t="inlineStr"/>
      <c r="V38" t="inlineStr"/>
      <c r="W38" t="inlineStr"/>
      <c r="X38" t="inlineStr"/>
      <c r="Y38" t="inlineStr">
        <is>
          <t>NOT DETERMINED</t>
        </is>
      </c>
      <c r="Z38" t="inlineStr">
        <is>
          <t>VERIFIED 2026-08-22</t>
        </is>
      </c>
      <c r="AA38"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B24 [NOT COMPARABLE] — This figure names no function, so its formula cannot be checked against anything. 69 of the 163 figures are in this position — the audit covers the 94 that name one.</t>
        </is>
      </c>
      <c r="AC3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t="inlineStr"/>
      <c r="AE38" s="3" t="inlineStr">
        <is>
          <t>A45 — FIXED 2026-09-12
G32 / Q48 — 2026-09-09: the 'division with nothing on the bottom' boilerplate is gone; this cell now states the row's real refusal. Where it says 'built', the screen already does it; the rest follow the empty-state mock.</t>
        </is>
      </c>
      <c r="AF38" t="inlineStr">
        <is>
          <t>ACTIVE</t>
        </is>
      </c>
      <c r="AG38" t="inlineStr">
        <is>
          <t>2026-08-27</t>
        </is>
      </c>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N38" s="7" t="inlineStr">
        <is>
          <t>CODED, NOT TESTED (finding A45 names no test)</t>
        </is>
      </c>
    </row>
    <row r="39">
      <c r="A39" t="inlineStr"/>
      <c r="B39" t="inlineStr">
        <is>
          <t>Plan</t>
        </is>
      </c>
      <c r="C39" t="inlineStr">
        <is>
          <t>/performance</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c r="W39" t="inlineStr"/>
      <c r="X39" t="inlineStr">
        <is>
          <t>NOT DETERMINED</t>
        </is>
      </c>
      <c r="Y39" t="inlineStr">
        <is>
          <t>READ 2026-08-22 — the same screen as /invest, reached by a second route</t>
        </is>
      </c>
    </row>
    <row r="40">
      <c r="A40" t="inlineStr"/>
      <c r="B40" t="inlineStr">
        <is>
          <t>Plan</t>
        </is>
      </c>
      <c r="C40" t="inlineStr">
        <is>
          <t>/sharpen</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c r="W40" t="inlineStr"/>
      <c r="X40" t="inlineStr">
        <is>
          <t>NOT DETERMINED</t>
        </is>
      </c>
      <c r="Y40" t="inlineStr">
        <is>
          <t>READ 2026-08-22 — no calculated figure on this screen</t>
        </is>
      </c>
    </row>
  </sheetData>
  <autoFilter ref="A1:AN4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N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MK-CF-M-001</t>
        </is>
      </c>
      <c r="B2" t="inlineStr">
        <is>
          <t>Cashflow</t>
        </is>
      </c>
      <c r="C2" t="inlineStr">
        <is>
          <t>NA</t>
        </is>
      </c>
      <c r="D2" t="inlineStr">
        <is>
          <t>Expected in</t>
        </is>
      </c>
      <c r="E2" t="inlineStr">
        <is>
          <t>cell.inflow</t>
        </is>
      </c>
      <c r="F2" t="inlineStr">
        <is>
          <t>NOT ON RECORD — no function is recorded for this figure</t>
        </is>
      </c>
      <c r="G2" t="inlineStr"/>
      <c r="H2" t="inlineStr">
        <is>
          <t>for month m: expected in = Σ(income landing in m);  planned out = Σ(bills and planned expenses dated in m);  planned surplus = expected in − planned out</t>
        </is>
      </c>
      <c r="I2" t="inlineStr">
        <is>
          <t>Lays the year out month by month so a month with a big bill in it can be seen before it arrives.</t>
        </is>
      </c>
      <c r="J2" t="inlineStr">
        <is>
          <t>NOT DETERMINED — no input list on record for this function</t>
        </is>
      </c>
      <c r="K2"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t="inlineStr">
        <is>
          <t>One figure per person — or per household when two people share one record  [derived by rule — confirm]</t>
        </is>
      </c>
      <c r="N2" t="inlineStr">
        <is>
          <t>As of today, from the latest figures held  [derived by rule — confirm]</t>
        </is>
      </c>
      <c r="O2" t="inlineStr">
        <is>
          <t>No function on record — nothing to chain</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 t="inlineStr">
        <is>
          <t>ACTIVE</t>
        </is>
      </c>
      <c r="AG2" t="inlineStr">
        <is>
          <t>2026-08-27</t>
        </is>
      </c>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MK-CF-M-002</t>
        </is>
      </c>
      <c r="B3" t="inlineStr">
        <is>
          <t>Cashflow</t>
        </is>
      </c>
      <c r="C3" t="inlineStr">
        <is>
          <t>NA</t>
        </is>
      </c>
      <c r="D3" t="inlineStr">
        <is>
          <t>Planned out · incl. &lt;big bill&gt;</t>
        </is>
      </c>
      <c r="E3" t="inlineStr">
        <is>
          <t>cell.outflow</t>
        </is>
      </c>
      <c r="F3" t="inlineStr">
        <is>
          <t>NOT ON RECORD — no function is recorded for this figure</t>
        </is>
      </c>
      <c r="G3" t="inlineStr"/>
      <c r="H3" t="inlineStr">
        <is>
          <t>for month m: expected in = Σ(income landing in m);  planned out = Σ(bills and planned expenses dated in m);  planned surplus = expected in − planned out</t>
        </is>
      </c>
      <c r="I3" t="inlineStr">
        <is>
          <t>Lays the year out month by month so a month with a big bill in it can be seen before it arrives.</t>
        </is>
      </c>
      <c r="J3" t="inlineStr">
        <is>
          <t>NOT DETERMINED — no input list on record for this function</t>
        </is>
      </c>
      <c r="K3" t="inlineStr">
        <is>
          <t>US dollars · held to the cent · shown as whole dollars  [derived by rule — confirm]</t>
        </is>
      </c>
      <c r="L3" s="3" t="inlineStr">
        <is>
          <t>$0, and under it the one line "Nothing entered yet. Add your bills ›" (mock approved 2026-09-12). A real zero that was entered shows a plain $0 with no line.</t>
        </is>
      </c>
      <c r="M3" t="inlineStr">
        <is>
          <t>One figure per person — or per household when two people share one record  [derived by rule — confirm]</t>
        </is>
      </c>
      <c r="N3" t="inlineStr">
        <is>
          <t>As of today, from the latest figures held  [derived by rule — confirm]</t>
        </is>
      </c>
      <c r="O3" t="inlineStr">
        <is>
          <t>No function on record — nothing to chain</t>
        </is>
      </c>
      <c r="P3" t="inlineStr">
        <is>
          <t>No function on record — nothing to chain</t>
        </is>
      </c>
      <c r="Q3" t="inlineStr">
        <is>
          <t>No function on record — assumptions unknown</t>
        </is>
      </c>
      <c r="R3" t="inlineStr"/>
      <c r="S3" t="inlineStr"/>
      <c r="T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s="3" t="inlineStr">
        <is>
          <t>No finding on this row. That is not a statement that the row is right — only that nothing has been written against it.
G32 / Q48 — RULED 2026-09-09: $0 stays, with the sentence '$0 — nothing entered yet.' and this row's door ('Add your bills ›'). File written; the screen follows the approved empty-state mock (one pattern, one screen), then every screen.</t>
        </is>
      </c>
      <c r="AF3" t="inlineStr">
        <is>
          <t>ACTIVE</t>
        </is>
      </c>
      <c r="AG3" t="inlineStr">
        <is>
          <t>2026-08-27</t>
        </is>
      </c>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CODED, NOT TESTED (Cash-flow worked example)</t>
        </is>
      </c>
    </row>
    <row r="4">
      <c r="A4" t="inlineStr">
        <is>
          <t>MK-CF-M-003</t>
        </is>
      </c>
      <c r="B4" t="inlineStr">
        <is>
          <t>Cashflow</t>
        </is>
      </c>
      <c r="C4" t="inlineStr">
        <is>
          <t>NA</t>
        </is>
      </c>
      <c r="D4">
        <f> Planned surplus</f>
        <v/>
      </c>
      <c r="E4" t="inlineStr">
        <is>
          <t>cell.net</t>
        </is>
      </c>
      <c r="F4" t="inlineStr">
        <is>
          <t>Worked out on the screen itself — no function behind it</t>
        </is>
      </c>
      <c r="G4" t="inlineStr"/>
      <c r="H4" t="inlineStr">
        <is>
          <t>planned surplus = expected in − planned out</t>
        </is>
      </c>
      <c r="I4" t="inlineStr">
        <is>
          <t>Worked out on the screen itself, with no function behind it — a place a second definition can appear.</t>
        </is>
      </c>
      <c r="J4" t="inlineStr">
        <is>
          <t>NOT DETERMINED — no input list on record for this function</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 t="inlineStr"/>
      <c r="AE4" t="inlineStr">
        <is>
          <t>A49 — FIXED 2026-09-12</t>
        </is>
      </c>
      <c r="AF4" t="inlineStr">
        <is>
          <t>ACTIVE</t>
        </is>
      </c>
      <c r="AG4" t="inlineStr">
        <is>
          <t>2026-08-27</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A49 names no test)</t>
        </is>
      </c>
    </row>
    <row r="5">
      <c r="A5" t="inlineStr">
        <is>
          <t>MK-CF-M-004</t>
        </is>
      </c>
      <c r="B5" t="inlineStr">
        <is>
          <t>Cashflow</t>
        </is>
      </c>
      <c r="C5" t="inlineStr">
        <is>
          <t>NA</t>
        </is>
      </c>
      <c r="D5" t="inlineStr">
        <is>
          <t>Out (spent + debt)</t>
        </is>
      </c>
      <c r="E5" t="inlineStr">
        <is>
          <t>out</t>
        </is>
      </c>
      <c r="F5" t="inlineStr">
        <is>
          <t>budgetVsActual</t>
        </is>
      </c>
      <c r="G5" s="3" t="inlineStr">
        <is>
          <t>MK-CF-F-194</t>
        </is>
      </c>
      <c r="H5" s="3" t="inlineStr">
        <is>
          <t>outflow = expenses this month + debt actually paid this month  (a month with a saved snapshot: its expenses + debt paid; a month without one: the expenses logged so far)</t>
        </is>
      </c>
      <c r="I5" s="3" t="inlineStr">
        <is>
          <t>This month's outflow: everything logged as an expense plus every debt payment actually made — from one function (MK-CF-F-194 monthOutflow), never added on the screen. The label says what is inside: "Outflow (expenses + debt)".</t>
        </is>
      </c>
      <c r="J5" t="inlineStr">
        <is>
          <t>NOT DETERMINED — no input list on record for this function</t>
        </is>
      </c>
      <c r="K5" t="inlineStr">
        <is>
          <t>US dollars · held to the cent · shown as whole dollars  [derived by rule — confirm]</t>
        </is>
      </c>
      <c r="L5" s="3" t="inlineStr">
        <is>
          <t>$0, and under it the one line "Nothing entered yet. Log your expenses ›" (mock approved 2026-09-12). A real zero that was entered shows a plain $0 with no line.</t>
        </is>
      </c>
      <c r="M5" t="inlineStr">
        <is>
          <t>One figure per debt, and one total per person  [derived by rule — confirm]</t>
        </is>
      </c>
      <c r="N5" t="inlineStr">
        <is>
          <t>As of today, from the latest figures held  [derived by rule — confirm]</t>
        </is>
      </c>
      <c r="O5" t="inlineStr">
        <is>
          <t>None — it reads its inputs and answers</t>
        </is>
      </c>
      <c r="P5"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Q5"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17 more, on the functions tab</t>
        </is>
      </c>
      <c r="R5" t="inlineStr"/>
      <c r="S5" t="inlineStr"/>
      <c r="T5"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5" t="inlineStr"/>
      <c r="V5" s="7"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5" s="11" t="inlineStr">
        <is>
          <t>count them</t>
        </is>
      </c>
      <c r="X5" t="inlineStr"/>
      <c r="Y5" t="inlineStr">
        <is>
          <t>NOT DETERMINED</t>
        </is>
      </c>
      <c r="Z5" t="inlineStr">
        <is>
          <t>VERIFIED 2026-08-22</t>
        </is>
      </c>
      <c r="AA5"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s="3" t="inlineStr">
        <is>
          <t>No finding on this row. That is not a statement that the row is right — only that nothing has been written against it.
G32 / Q48 — RULED 2026-09-09: $0 stays, with the sentence '$0 — nothing entered yet.' and this row's door ('Log your expenses ›'). File written; the screen follows the approved empty-state mock (one pattern, one screen), then every screen.</t>
        </is>
      </c>
      <c r="AF5" t="inlineStr">
        <is>
          <t>ACTIVE</t>
        </is>
      </c>
      <c r="AG5" t="inlineStr">
        <is>
          <t>2026-08-27</t>
        </is>
      </c>
      <c r="AJ5" s="3" t="inlineStr">
        <is>
          <t>NONE — no function in this chain reads a stored input the sweep knows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WAITING ON YOU — question Q50 · CODED, NOT TESTED (Cash-flow worked example)</t>
        </is>
      </c>
    </row>
    <row r="6">
      <c r="A6" t="inlineStr">
        <is>
          <t>MK-CF-M-005</t>
        </is>
      </c>
      <c r="B6" t="inlineStr">
        <is>
          <t>Cashflow</t>
        </is>
      </c>
      <c r="C6" t="inlineStr">
        <is>
          <t>NA</t>
        </is>
      </c>
      <c r="D6">
        <f> Surplus</f>
        <v/>
      </c>
      <c r="E6" t="inlineStr">
        <is>
          <t>inn - out</t>
        </is>
      </c>
      <c r="F6" t="inlineStr">
        <is>
          <t>Worked out on the screen itself — no function behind it</t>
        </is>
      </c>
      <c r="G6" t="inlineStr"/>
      <c r="H6" t="inlineStr">
        <is>
          <t>surplus = money in − money out</t>
        </is>
      </c>
      <c r="I6" t="inlineStr">
        <is>
          <t>Worked out on the screen itself, with no function behind it — a place a second definition can appear.</t>
        </is>
      </c>
      <c r="J6" t="inlineStr">
        <is>
          <t>NOT DETERMINED — no input list on record for this function</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 function on record — nothing to chain</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t="inlineStr">
        <is>
          <t>A49 — FIXED 2026-09-12</t>
        </is>
      </c>
      <c r="AF6" t="inlineStr">
        <is>
          <t>ACTIVE</t>
        </is>
      </c>
      <c r="AG6" t="inlineStr">
        <is>
          <t>2026-08-27</t>
        </is>
      </c>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N6" s="7" t="inlineStr">
        <is>
          <t>CODED, NOT TESTED (finding A49 names no test)</t>
        </is>
      </c>
    </row>
    <row r="7">
      <c r="A7" t="inlineStr">
        <is>
          <t>MK-CF-M-006</t>
        </is>
      </c>
      <c r="B7" t="inlineStr">
        <is>
          <t>Cashflow</t>
        </is>
      </c>
      <c r="C7" t="inlineStr">
        <is>
          <t>NA</t>
        </is>
      </c>
      <c r="D7" t="inlineStr">
        <is>
          <t>YOUR SOURCES — Base salary</t>
        </is>
      </c>
      <c r="E7" t="inlineStr">
        <is>
          <t>op.baseSalary</t>
        </is>
      </c>
      <c r="F7" t="inlineStr">
        <is>
          <t>totalGrossAnnual</t>
        </is>
      </c>
      <c r="G7" s="3" t="inlineStr">
        <is>
          <t>MK-CF-O-004</t>
        </is>
      </c>
      <c r="H7" t="inlineStr">
        <is>
          <t>gross a year = salary + self-employment + bonus + equity vesting + rental + other;  take-home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function above  [NOT AN INPUT — another function’s answer; see the dependency column]</t>
        </is>
      </c>
      <c r="K7" t="inlineStr">
        <is>
          <t>US dollars · held to the cent · shown as whole dollars  [derived by rule — confirm]</t>
        </is>
      </c>
      <c r="L7" s="3" t="inlineStr">
        <is>
          <t>$0, and under it the one line "Nothing entered yet. Add your income ›" (mock approved 2026-09-12). A real zero that was entered shows a plain $0 with no line.</t>
        </is>
      </c>
      <c r="M7" t="inlineStr">
        <is>
          <t>One figure per person — or per household when two people share one record  [derived by rule — confirm]</t>
        </is>
      </c>
      <c r="N7" t="inlineStr">
        <is>
          <t>As of today, from the latest figures held  [derived by rule — confirm]</t>
        </is>
      </c>
      <c r="O7"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7"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7" t="inlineStr">
        <is>
          <t>HAS A FUNCTION — traceable from the screen to the code.</t>
        </is>
      </c>
      <c r="AD7"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7"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7" t="inlineStr">
        <is>
          <t>ACTIVE</t>
        </is>
      </c>
      <c r="AG7" t="inlineStr">
        <is>
          <t>2026-09-08</t>
        </is>
      </c>
      <c r="AJ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7" s="3" t="inlineStr">
        <is>
          <t>(the claim now stands in 'Inputs it needs' until the row is approved)</t>
        </is>
      </c>
      <c r="AN7" s="7" t="inlineStr">
        <is>
          <t>CODED, NOT TESTED (finding B17, B27, B29, B30, B31, B32, B33 names no test)</t>
        </is>
      </c>
    </row>
    <row r="8">
      <c r="A8" t="inlineStr">
        <is>
          <t>MK-CF-M-029</t>
        </is>
      </c>
      <c r="B8" t="inlineStr">
        <is>
          <t>Cashflow</t>
        </is>
      </c>
      <c r="C8" t="inlineStr">
        <is>
          <t>NA</t>
        </is>
      </c>
      <c r="D8" t="inlineStr">
        <is>
          <t>YOUR BASE PAY — your tax band, on everything you are taxed on</t>
        </is>
      </c>
      <c r="E8" t="inlineStr">
        <is>
          <t>band</t>
        </is>
      </c>
      <c r="F8" t="inlineStr">
        <is>
          <t>effectiveRate</t>
        </is>
      </c>
      <c r="G8" t="inlineStr">
        <is>
          <t>MK-CF-F-090</t>
        </is>
      </c>
      <c r="H8" t="inlineStr"/>
      <c r="I8" t="inlineStr"/>
      <c r="J8" t="inlineStr">
        <is>
          <t>NOT DETERMINED — no input list on record for this function</t>
        </is>
      </c>
      <c r="K8" t="inlineStr">
        <is>
          <t>US dollars · held to the cent · shown as whole dollars  [derived by rule — confirm]</t>
        </is>
      </c>
      <c r="L8" t="inlineStr">
        <is>
          <t>NOT DETERMINED — this function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MK-CF-F-181 (rateInForce) → RateInForce</t>
        </is>
      </c>
      <c r="P8"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8"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MK-CF-F-187 — Never lets over65 fall below 0.
23. MK-CF-F-187 — Uses the published figures: $6,000 per person 65+, phased out at 6% above $75,000 ($150,000 joint), 2025–2028 (P.L. 119-21 §70103; checked 2026-09-08; lapses after 2028 — the statutory test fails when the tax year rolls past it).
24. MK-CF-F-187 — Takes the income handed to it as modified adjusted gross income — the untaxed part of Social Security and other adjustments are not modelled.
25. MK-CF-F-187 — Income not known → 0, never a guessed deduction.
… and 1 more, on the functions tab</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DECOMMISSIONED 2026-08-28 — it was here and is not any more. Kept so the number is never reused and earlier work can still be traced.</t>
        </is>
      </c>
      <c r="AG8" t="inlineStr">
        <is>
          <t>2026-08-28</t>
        </is>
      </c>
      <c r="AJ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7. MK-XS-I-030 tax filing status and age — read by MK-CF-F-085, MK-CF-F-089, MK-CF-F-099, MK-CF-F-100, MK-CF-F-101, MK-CF-F-102, MK
8. MK-XS-I-031 daily and monthly snapshots — read by MK-ST-F-036
9. MK-XS-I-034 option positions — contracts, strike, expiry, put or call — read by MK-CF-F-062
10. MK-XS-I-035 annuity income — read by MK-CF-F-072, MK-CF-F-075
11. MK-XS-I-036 other guaranteed income — read by MK-CF-F-072, MK-CF-F-075
12. MK-XS-I-037 required-withdrawal income stream (ri_rmd) — read by MK-CF-F-075
13. MK-XS-I-038 withdrawal income stream (ri_withdrawals) — read by MK-CF-F-075
14. MK-XS-I-039 how often each income arrives — read by MK-CF-F-071, MK-CF-F-072, MK-CF-F-074, MK-CF-F-075, MK-CF-F-130, MK-CF-F-180
15. MK-XS-I-040 whether a stream is already being received — read by MK-CF-F-072
16. MK-XS-I-043 their own retirement contribution — read by MK-CF-F-181
17. MK-XS-I-055 the wrapper an account sits in — ISA, 401(k), IRA and the rest — read by MK-CF-F-075
18. MK-XS-I-060 how a person is paid — weekly, fortnightly, monthly — read by MK-CF-F-130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MK-CF-M-007</t>
        </is>
      </c>
      <c r="B9" t="inlineStr">
        <is>
          <t>Cashflow</t>
        </is>
      </c>
      <c r="C9" t="inlineStr">
        <is>
          <t>NA</t>
        </is>
      </c>
      <c r="D9" t="inlineStr">
        <is>
          <t>YOUR SOURCES — Self-employment</t>
        </is>
      </c>
      <c r="E9" t="inlineStr">
        <is>
          <t>op.seAmount</t>
        </is>
      </c>
      <c r="F9" t="inlineStr">
        <is>
          <t>totalGrossAnnual</t>
        </is>
      </c>
      <c r="G9" s="3" t="inlineStr">
        <is>
          <t>MK-CF-O-004</t>
        </is>
      </c>
      <c r="H9" t="inlineStr">
        <is>
          <t>gross a year = salary + self-employment + bonus + equity vesting + rental + other;  take-home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function above  [NOT AN INPUT — another function’s answer; see the dependency column]</t>
        </is>
      </c>
      <c r="K9"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t="inlineStr">
        <is>
          <t>One figure per person — or per household when two people share one record  [derived by rule — confirm]</t>
        </is>
      </c>
      <c r="N9" t="inlineStr">
        <is>
          <t>As of today, from the latest figures held  [derived by rule — confirm]</t>
        </is>
      </c>
      <c r="O9"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9"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t="inlineStr">
        <is>
          <t>HAS A FUNCTION — traceable from the screen to the code.</t>
        </is>
      </c>
      <c r="AD9" t="inlineStr"/>
      <c r="AE9" s="3" t="inlineStr">
        <is>
          <t>B17 — FIXED 2026-09-12
G32 / Q48 — 2026-09-09: the 'division with nothing on the bottom' boilerplate is gone; this cell now states the row's real refusal. Where it says 'built', the screen already does it; the rest follow the empty-state mock.</t>
        </is>
      </c>
      <c r="AF9" t="inlineStr">
        <is>
          <t>ACTIVE</t>
        </is>
      </c>
      <c r="AG9" t="inlineStr">
        <is>
          <t>2026-09-08</t>
        </is>
      </c>
      <c r="AJ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CODED, NOT TESTED (finding B17 names no test)</t>
        </is>
      </c>
    </row>
    <row r="10">
      <c r="A10" t="inlineStr">
        <is>
          <t>MK-CF-M-008</t>
        </is>
      </c>
      <c r="B10" t="inlineStr">
        <is>
          <t>Cashflow</t>
        </is>
      </c>
      <c r="C10" t="inlineStr">
        <is>
          <t>NA</t>
        </is>
      </c>
      <c r="D10" t="inlineStr">
        <is>
          <t>YOUR SOURCES — Bonus</t>
        </is>
      </c>
      <c r="E10" t="inlineStr">
        <is>
          <t>op.bonusAnnual</t>
        </is>
      </c>
      <c r="F10" t="inlineStr">
        <is>
          <t>totalGrossAnnual</t>
        </is>
      </c>
      <c r="G10" s="3" t="inlineStr">
        <is>
          <t>MK-CF-O-004</t>
        </is>
      </c>
      <c r="H10" t="inlineStr">
        <is>
          <t>gross a year = salary + self-employment + bonus + equity vesting + rental + other;  take-home /month = (gross − tax withheld − pre-tax contributions) ÷ 12</t>
        </is>
      </c>
      <c r="I10"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t="inlineStr">
        <is>
          <t>each part → its own function above  [NOT AN INPUT — another function’s answer; see the dependency column]</t>
        </is>
      </c>
      <c r="K10"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t="inlineStr">
        <is>
          <t>One figure per person — or per household when two people share one record  [derived by rule — confirm]</t>
        </is>
      </c>
      <c r="N10" t="inlineStr">
        <is>
          <t>As of today, from the latest figures held  [derived by rule — confirm]</t>
        </is>
      </c>
      <c r="O10"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0"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t="inlineStr">
        <is>
          <t>HAS A FUNCTION — traceable from the screen to the code.</t>
        </is>
      </c>
      <c r="AD10" t="inlineStr"/>
      <c r="AE10" s="3" t="inlineStr">
        <is>
          <t>B17 — FIXED 2026-09-12
G32 / Q48 — 2026-09-09: the 'division with nothing on the bottom' boilerplate is gone; this cell now states the row's real refusal. Where it says 'built', the screen already does it; the rest follow the empty-state mock.</t>
        </is>
      </c>
      <c r="AF10" t="inlineStr">
        <is>
          <t>ACTIVE</t>
        </is>
      </c>
      <c r="AG10" t="inlineStr">
        <is>
          <t>2026-09-08</t>
        </is>
      </c>
      <c r="AJ1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7" t="inlineStr">
        <is>
          <t>CODED, NOT TESTED (finding B17 names no test)</t>
        </is>
      </c>
    </row>
    <row r="11">
      <c r="A11" t="inlineStr">
        <is>
          <t>MK-CF-M-009</t>
        </is>
      </c>
      <c r="B11" t="inlineStr">
        <is>
          <t>Cashflow</t>
        </is>
      </c>
      <c r="C11" t="inlineStr">
        <is>
          <t>NA</t>
        </is>
      </c>
      <c r="D11" t="inlineStr">
        <is>
          <t>YOUR SOURCES — Stock vesting (equity)</t>
        </is>
      </c>
      <c r="E11" t="inlineStr">
        <is>
          <t>rsuTotal</t>
        </is>
      </c>
      <c r="F11" t="inlineStr">
        <is>
          <t>NOT ON RECORD — no function is recorded for this figure</t>
        </is>
      </c>
      <c r="G11" t="inlineStr"/>
      <c r="H11" t="inlineStr">
        <is>
          <t>equity a year ÷ the vest months it lands in, by the stated weights</t>
        </is>
      </c>
      <c r="I11" t="inlineStr">
        <is>
          <t>Spreads stock that vests across the months it actually vests in, rather than smoothing it over the year.</t>
        </is>
      </c>
      <c r="J11" t="inlineStr">
        <is>
          <t>NOT DETERMINED — no input list on record for this function</t>
        </is>
      </c>
      <c r="K11" t="inlineStr">
        <is>
          <t>US dollars · held to the cent · shown as whole dollars  [derived by rule — confirm]</t>
        </is>
      </c>
      <c r="L11" s="3" t="inlineStr">
        <is>
          <t>$0, and under it the one line "Nothing entered yet. Add your income ›" (mock approved 2026-09-12). A real zero that was entered shows a plain $0 with no line.</t>
        </is>
      </c>
      <c r="M11" t="inlineStr">
        <is>
          <t>One figure per person — or per household when two people share one record  [derived by rule — confirm]</t>
        </is>
      </c>
      <c r="N11" t="inlineStr">
        <is>
          <t>As of today, from the latest figures held  [derived by rule — confirm]</t>
        </is>
      </c>
      <c r="O11" t="inlineStr">
        <is>
          <t>No function on record — nothing to chain</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MK-CF-M-010</t>
        </is>
      </c>
      <c r="B12" t="inlineStr">
        <is>
          <t>Cashflow</t>
        </is>
      </c>
      <c r="C12" t="inlineStr">
        <is>
          <t>NA</t>
        </is>
      </c>
      <c r="D12" t="inlineStr">
        <is>
          <t>YOUR SOURCES — Rental property</t>
        </is>
      </c>
      <c r="E12" t="inlineStr">
        <is>
          <t>rentalTotal</t>
        </is>
      </c>
      <c r="F12" t="inlineStr">
        <is>
          <t>rentalNetAnnual</t>
        </is>
      </c>
      <c r="G12" t="inlineStr">
        <is>
          <t>MK-CF-F-068</t>
        </is>
      </c>
      <c r="H12" t="inlineStr">
        <is>
          <t>rental take-home /year = rent received − running costs</t>
        </is>
      </c>
      <c r="I12" t="inlineStr">
        <is>
          <t>(income − costs) each month, added across properties, × 12.
A property that costs more than it earns REDUCES income rather than being floored at zero — a loss-making rental is a real fact about a plan.</t>
        </is>
      </c>
      <c r="J12" t="inlineStr">
        <is>
          <t>each rental → rentalList  [MK-XS-I-023]</t>
        </is>
      </c>
      <c r="K12" t="inlineStr">
        <is>
          <t>US dollars · held to the cent · shown as whole dollars  [derived by rule — confirm]</t>
        </is>
      </c>
      <c r="L12" t="inlineStr">
        <is>
          <t>NOT DETERMINED — this function has not been read for its refusal yet.</t>
        </is>
      </c>
      <c r="M12" t="inlineStr">
        <is>
          <t>One figure per person — or per household when two people share one record  [derived by rule — confirm]</t>
        </is>
      </c>
      <c r="N12" t="inlineStr">
        <is>
          <t>As of today, from the latest figures held  [derived by rule — confirm]</t>
        </is>
      </c>
      <c r="O12" t="inlineStr">
        <is>
          <t>MK-CF-F-067 (rentalList) → NOT DECLARED — the code does not say what it gives back</t>
        </is>
      </c>
      <c r="P12" t="inlineStr">
        <is>
          <t>1. MK-CF-F-132 map → MK-CF-F-067 rentalList → MK-CF-F-068 rentalNetAnnual
2. MK-XS-F-122 n → MK-ST-F-052 toNum → MK-CF-F-067 rentalList → MK-CF-F-068 rentalNetAnnual</t>
        </is>
      </c>
      <c r="Q12" t="inlineStr">
        <is>
          <t>MK-CF-F-068 — Turns a monthly figure into a year by multiplying by twelve.</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12" t="inlineStr">
        <is>
          <t>HAS A FUNCTION — traceable from the screen to the code.</t>
        </is>
      </c>
      <c r="AD12" t="inlineStr"/>
      <c r="AE12" t="inlineStr">
        <is>
          <t>B20 — FIXED 2026-08-27</t>
        </is>
      </c>
      <c r="AF12" t="inlineStr">
        <is>
          <t>ACTIVE</t>
        </is>
      </c>
      <c r="AG12" t="inlineStr">
        <is>
          <t>2026-09-08</t>
        </is>
      </c>
      <c r="AJ12" s="3" t="inlineStr">
        <is>
          <t>MK-XS-I-024 logged expenses — read by MK-CF-F-067, MK-CF-F-068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7" t="inlineStr">
        <is>
          <t>CODED, NOT TESTED (finding B20 names no test)</t>
        </is>
      </c>
    </row>
    <row r="13">
      <c r="A13" t="inlineStr">
        <is>
          <t>MK-CF-M-011</t>
        </is>
      </c>
      <c r="B13" t="inlineStr">
        <is>
          <t>Cashflow</t>
        </is>
      </c>
      <c r="C13" t="inlineStr">
        <is>
          <t>NA</t>
        </is>
      </c>
      <c r="D13" t="inlineStr">
        <is>
          <t>YOUR SOURCES — Social Security · pension</t>
        </is>
      </c>
      <c r="E13" t="inlineStr">
        <is>
          <t>guaranteed</t>
        </is>
      </c>
      <c r="F13" t="inlineStr">
        <is>
          <t>currentRetirementIncomeMonthly</t>
        </is>
      </c>
      <c r="G13" t="inlineStr">
        <is>
          <t>MK-CF-F-072</t>
        </is>
      </c>
      <c r="H13" t="inlineStr">
        <is>
          <t>guaranteed income now = Σ(streams already being received)</t>
        </is>
      </c>
      <c r="I1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3" t="inlineStr">
        <is>
          <t>1. do they receive it now → incomeSources  [MK-XS-I-040]
2. the amounts → retirementIncomeMonthly  [MK-XS-I-008]</t>
        </is>
      </c>
      <c r="K13" t="inlineStr">
        <is>
          <t>US dollars · held to the cent · shown as whole dollars  [derived by rule — confirm]</t>
        </is>
      </c>
      <c r="L13" s="3" t="inlineStr">
        <is>
          <t>$0, and under it the one line "Nothing entered yet. Add your income ›" (mock approved 2026-09-12). A real zero that was entered shows a plain $0 with no line.</t>
        </is>
      </c>
      <c r="M13" t="inlineStr">
        <is>
          <t>One figure per person — or per household when two people share one record  [derived by rule — confirm]</t>
        </is>
      </c>
      <c r="N13" t="inlineStr">
        <is>
          <t>As of today, from the latest figures held  [derived by rule — confirm]</t>
        </is>
      </c>
      <c r="O13" t="inlineStr">
        <is>
          <t>MK-CF-F-075 (retirementIncomeMonthly) → number</t>
        </is>
      </c>
      <c r="P13" t="inlineStr">
        <is>
          <t>MK-XS-F-122 n → MK-ST-F-052 toNum → MK-CF-F-075 retirementIncomeMonthly → MK-CF-F-072 currentRetirementIncomeMonthly</t>
        </is>
      </c>
      <c r="Q13" t="inlineStr">
        <is>
          <t>None found anywhere in this chain</t>
        </is>
      </c>
      <c r="R13" t="inlineStr"/>
      <c r="S13" t="inlineStr"/>
      <c r="T13" t="inlineStr">
        <is>
          <t>NOT DETERMINED — no assumption recorded for this figure yet.</t>
        </is>
      </c>
      <c r="U1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13" t="inlineStr">
        <is>
          <t>ACTIVE</t>
        </is>
      </c>
      <c r="AG13" t="inlineStr">
        <is>
          <t>2026-08-27</t>
        </is>
      </c>
      <c r="AJ1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3" t="inlineStr">
        <is>
          <t>NOTHING OPEN</t>
        </is>
      </c>
    </row>
    <row r="14">
      <c r="A14" t="inlineStr">
        <is>
          <t>MK-CF-M-012</t>
        </is>
      </c>
      <c r="B14" t="inlineStr">
        <is>
          <t>Cashflow</t>
        </is>
      </c>
      <c r="C14" t="inlineStr">
        <is>
          <t>NA</t>
        </is>
      </c>
      <c r="D14" t="inlineStr">
        <is>
          <t>RECEIVED · &lt;month&gt; — each payment</t>
        </is>
      </c>
      <c r="E14" t="inlineStr">
        <is>
          <t>i.amount</t>
        </is>
      </c>
      <c r="F14" t="inlineStr">
        <is>
          <t>NOT ON RECORD — no function is recorded for this figure</t>
        </is>
      </c>
      <c r="G14" t="inlineStr"/>
      <c r="H14" t="inlineStr">
        <is>
          <t>each payment recorded this month, with its date and source</t>
        </is>
      </c>
      <c r="I14" t="inlineStr">
        <is>
          <t>Lists what has actually been received this month, rather than what was expected.</t>
        </is>
      </c>
      <c r="J14" t="inlineStr">
        <is>
          <t>NOT DETERMINED — no input list on record for this function</t>
        </is>
      </c>
      <c r="K14" t="inlineStr">
        <is>
          <t>US dollars · held to the cent · shown as whole dollars  [derived by rule — confirm]</t>
        </is>
      </c>
      <c r="L14" t="inlineStr">
        <is>
          <t>NOT DETERMINED — this function has not been read for its refusal yet.</t>
        </is>
      </c>
      <c r="M14" t="inlineStr">
        <is>
          <t>One figure per month  [derived by rule — confirm]</t>
        </is>
      </c>
      <c r="N14" t="inlineStr">
        <is>
          <t>This calendar month, to today  [derived by rule — confirm]</t>
        </is>
      </c>
      <c r="O14" t="inlineStr">
        <is>
          <t>No function on record — nothing to chain</t>
        </is>
      </c>
      <c r="P14" t="inlineStr">
        <is>
          <t>No function on record — nothing to chain</t>
        </is>
      </c>
      <c r="Q14" t="inlineStr">
        <is>
          <t>No function on record — assumptions unknown</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t="inlineStr">
        <is>
          <t>No finding on this row. That is not a statement that the row is right — only that nothing has been written against it.</t>
        </is>
      </c>
      <c r="AF14" t="inlineStr">
        <is>
          <t>ACTIVE</t>
        </is>
      </c>
      <c r="AG14" t="inlineStr">
        <is>
          <t>2026-08-27</t>
        </is>
      </c>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3" t="inlineStr">
        <is>
          <t>NOTHING OPEN</t>
        </is>
      </c>
    </row>
    <row r="15">
      <c r="A15" t="inlineStr">
        <is>
          <t>MK-CF-M-013</t>
        </is>
      </c>
      <c r="B15" t="inlineStr">
        <is>
          <t>Cashflow</t>
        </is>
      </c>
      <c r="C15" t="inlineStr">
        <is>
          <t>NA</t>
        </is>
      </c>
      <c r="D15" t="inlineStr">
        <is>
          <t>&lt;MONTH&gt; · $X SPENT</t>
        </is>
      </c>
      <c r="E15" t="inlineStr">
        <is>
          <t>spent</t>
        </is>
      </c>
      <c r="F15" t="inlineStr">
        <is>
          <t>spendBuckets</t>
        </is>
      </c>
      <c r="G15" t="inlineStr">
        <is>
          <t>MK-CF-F-004</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1. the categories → spendCats  [MK-XS-I-032]
2. or the three summary figures → b_fixed, b_nonmonthly, b_flexible  [NOT AN INPUT — another function’s answer; see the dependency column]</t>
        </is>
      </c>
      <c r="K15" t="inlineStr">
        <is>
          <t>US dollars · held to the cent · shown as whole dollars  [derived by rule — confirm]</t>
        </is>
      </c>
      <c r="L15" s="3" t="inlineStr">
        <is>
          <t>$0, and under it the one line "Nothing entered yet. Log your expenses ›" (mock approved 2026-09-12). A real zero that was entered shows a plain $0 with no line.</t>
        </is>
      </c>
      <c r="M15" t="inlineStr">
        <is>
          <t>One figure per month  [derived by rule — confirm]</t>
        </is>
      </c>
      <c r="N15" t="inlineStr">
        <is>
          <t>As of today, from the latest figures held  [derived by rule — confirm]</t>
        </is>
      </c>
      <c r="O15" t="inlineStr">
        <is>
          <t>1. MK-CF-F-003 (categoryMonthly) → number
2. MK-ST-F-052 (toNum) → number</t>
        </is>
      </c>
      <c r="P15"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5"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5" t="inlineStr">
        <is>
          <t>HAS A FUNCTION — traceable from the screen to the code.</t>
        </is>
      </c>
      <c r="AD15" t="inlineStr"/>
      <c r="AE15" s="3" t="inlineStr">
        <is>
          <t>B02 — NOT A DEFECT 2026-08-26
G32 / Q48 — RULED 2026-09-09: $0 stays, with the sentence '$0 — nothing entered yet.' and this row's door ('Log your expenses ›'). File written; the screen follows the approved empty-state mock (one pattern, one screen), then every screen.</t>
        </is>
      </c>
      <c r="AF15" t="inlineStr">
        <is>
          <t>ACTIVE</t>
        </is>
      </c>
      <c r="AG15" t="inlineStr">
        <is>
          <t>2026-08-27</t>
        </is>
      </c>
      <c r="AJ1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3" t="inlineStr">
        <is>
          <t>NOTHING OPEN</t>
        </is>
      </c>
    </row>
    <row r="16">
      <c r="A16" t="inlineStr">
        <is>
          <t>MK-CF-M-014</t>
        </is>
      </c>
      <c r="B16" t="inlineStr">
        <is>
          <t>Cashflow</t>
        </is>
      </c>
      <c r="C16" t="inlineStr">
        <is>
          <t>NA</t>
        </is>
      </c>
      <c r="D16" t="inlineStr">
        <is>
          <t>each expense and its amount</t>
        </is>
      </c>
      <c r="E16" t="inlineStr">
        <is>
          <t>e.amount</t>
        </is>
      </c>
      <c r="F16" t="inlineStr">
        <is>
          <t>spendBuckets</t>
        </is>
      </c>
      <c r="G16" t="inlineStr">
        <is>
          <t>MK-CF-F-004</t>
        </is>
      </c>
      <c r="H16" t="inlineStr">
        <is>
          <t>spent in a bucket = Σ(expenses this month in that bucket);  debt payments are excluded</t>
        </is>
      </c>
      <c r="I16" t="inlineStr">
        <is>
          <t>If the person answered category by category, total each category into its bucket. If they gave three summary figures instead, use those. Nothing answered is zero — never a guessed household average, which would put a number in their plan that nobody chose.</t>
        </is>
      </c>
      <c r="J16" t="inlineStr">
        <is>
          <t>1. the categories → spendCats  [MK-XS-I-032]
2. or the three summary figures → b_fixed, b_nonmonthly, b_flexible  [NOT AN INPUT — another function’s answer; see the dependency column]</t>
        </is>
      </c>
      <c r="K16" t="inlineStr">
        <is>
          <t>US dollars · held to the cent · shown as whole dollars  [derived by rule — confirm]</t>
        </is>
      </c>
      <c r="L16" s="3" t="inlineStr">
        <is>
          <t>$0, and under it the one line "Nothing entered yet. Log your expenses ›" (mock approved 2026-09-12). A real zero that was entered shows a plain $0 with no line.</t>
        </is>
      </c>
      <c r="M16" t="inlineStr">
        <is>
          <t>One figure per person — or per household when two people share one record  [derived by rule — confirm]</t>
        </is>
      </c>
      <c r="N16" t="inlineStr">
        <is>
          <t>As of today, from the latest figures held  [derived by rule — confirm]</t>
        </is>
      </c>
      <c r="O16" t="inlineStr">
        <is>
          <t>1. MK-CF-F-003 (categoryMonthly) → number
2. MK-ST-F-052 (toNum) → number</t>
        </is>
      </c>
      <c r="P16"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6"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16" t="inlineStr"/>
      <c r="S16" t="inlineStr"/>
      <c r="T16" t="inlineStr">
        <is>
          <t>NOT DETERMINED — no assumption recorded for this figure yet.</t>
        </is>
      </c>
      <c r="U16" t="inlineStr"/>
      <c r="V16" t="inlineStr"/>
      <c r="W16" t="inlineStr"/>
      <c r="X16" t="inlineStr"/>
      <c r="Y16" t="inlineStr">
        <is>
          <t>NOT DETERMINED</t>
        </is>
      </c>
      <c r="Z16" t="inlineStr">
        <is>
          <t>VERIFIED 2026-08-22</t>
        </is>
      </c>
      <c r="AA16"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6" t="inlineStr">
        <is>
          <t>HAS A FUNCTION — traceable from the screen to the code.</t>
        </is>
      </c>
      <c r="AD16" t="inlineStr"/>
      <c r="AE16" s="3" t="inlineStr">
        <is>
          <t>B02 — NOT A DEFECT 2026-08-26
G32 / Q48 — RULED 2026-09-09: $0 stays, with the sentence '$0 — nothing entered yet.' and this row's door ('Log your expenses ›'). File written; the screen follows the approved empty-state mock (one pattern, one screen), then every screen.</t>
        </is>
      </c>
      <c r="AF16" t="inlineStr">
        <is>
          <t>ACTIVE</t>
        </is>
      </c>
      <c r="AG16" t="inlineStr">
        <is>
          <t>2026-08-27</t>
        </is>
      </c>
      <c r="AJ1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3" t="inlineStr">
        <is>
          <t>NOTHING OPEN</t>
        </is>
      </c>
    </row>
    <row r="17">
      <c r="A17" t="inlineStr">
        <is>
          <t>MK-CF-M-015</t>
        </is>
      </c>
      <c r="B17" t="inlineStr">
        <is>
          <t>Cashflow</t>
        </is>
      </c>
      <c r="C17" t="inlineStr">
        <is>
          <t>NA</t>
        </is>
      </c>
      <c r="D17" t="inlineStr">
        <is>
          <t>BY CATEGORY VS PLAN — $X of $Y</t>
        </is>
      </c>
      <c r="E17" t="inlineStr">
        <is>
          <t>b.spent / b.planned</t>
        </is>
      </c>
      <c r="F17" t="inlineStr">
        <is>
          <t>plannedMonthlySpend</t>
        </is>
      </c>
      <c r="G17" t="inlineStr">
        <is>
          <t>MK-CF-F-002</t>
        </is>
      </c>
      <c r="H17" t="inlineStr">
        <is>
          <t>planned a month = Σ(each category’s planned amount);  remaining = planned − spent</t>
        </is>
      </c>
      <c r="I17"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7" t="inlineStr">
        <is>
          <t>1. the categories → SPENDING_BY_KIND  [MK-XS-I-032]
2. the single figure → monthlySpending  [MK-XS-I-024, MK-XS-I-030]</t>
        </is>
      </c>
      <c r="K17" t="inlineStr">
        <is>
          <t>US dollars · held to the cent · shown as whole dollars  [derived by rule — confirm]</t>
        </is>
      </c>
      <c r="L17" s="3" t="inlineStr">
        <is>
          <t>$0, and under it the one line "Nothing entered yet. Log your expenses ›" (mock approved 2026-09-12). A real zero that was entered shows a plain $0 with no line.</t>
        </is>
      </c>
      <c r="M17" t="inlineStr">
        <is>
          <t>One figure per category  [derived by rule — confirm]</t>
        </is>
      </c>
      <c r="N17" t="inlineStr">
        <is>
          <t>As of today, from the latest figures held  [derived by rule — confirm]</t>
        </is>
      </c>
      <c r="O17" t="inlineStr">
        <is>
          <t>1. MK-CF-F-092 (incomeMonthlyGrid) → NOT DECLARED — the code does not say what it gives back
2. MK-CF-F-004 (spendBuckets) → NOT DECLARED — the code does not say what it gives back
3. MK-XS-F-027 (takeHomeMonthly) → number
4. MK-ST-F-052 (toNum) → number</t>
        </is>
      </c>
      <c r="P17"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17" t="inlineStr"/>
      <c r="S17" t="inlineStr"/>
      <c r="T17"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7" t="inlineStr">
        <is>
          <t>THE SURVIVING IDENTIFIER for this figure. Folded in: MK-MN-M-007. Expenses against plan for a category — the same comparison on Cash flow and on the expense screen. CONFIRM: the expense screen adds the amount being typed, which may make it a different figure.</t>
        </is>
      </c>
      <c r="V17" t="inlineStr"/>
      <c r="W17" t="inlineStr"/>
      <c r="X17" t="inlineStr"/>
      <c r="Y17" t="inlineStr">
        <is>
          <t>NOT DETERMINED</t>
        </is>
      </c>
      <c r="Z17" t="inlineStr">
        <is>
          <t>VERIFIED 2026-08-22</t>
        </is>
      </c>
      <c r="AA17"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7" t="inlineStr">
        <is>
          <t>HAS A FUNCTION — traceable from the screen to the code.</t>
        </is>
      </c>
      <c r="AD17" t="inlineStr">
        <is>
          <t>B26 — This month · Expenses — the pace bar measures against nothing when no categories are set</t>
        </is>
      </c>
      <c r="AE17"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7" t="inlineStr">
        <is>
          <t>ACTIVE</t>
        </is>
      </c>
      <c r="AG17" t="inlineStr">
        <is>
          <t>2026-09-12</t>
        </is>
      </c>
      <c r="AJ1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7" t="inlineStr">
        <is>
          <t>CODED, NOT TESTED (Cash-flow worked example) · OPEN FINDING B26</t>
        </is>
      </c>
    </row>
    <row r="18">
      <c r="A18" t="inlineStr">
        <is>
          <t>MK-CF-M-016</t>
        </is>
      </c>
      <c r="B18" t="inlineStr">
        <is>
          <t>Cashflow</t>
        </is>
      </c>
      <c r="C18" t="inlineStr">
        <is>
          <t>NA</t>
        </is>
      </c>
      <c r="D18" t="inlineStr">
        <is>
          <t>BIG-TICKET RADAR — &lt;bill&gt; · due &lt;month&gt;</t>
        </is>
      </c>
      <c r="E18" t="inlineStr">
        <is>
          <t>b.amount</t>
        </is>
      </c>
      <c r="F18" t="inlineStr">
        <is>
          <t>NOT ON RECORD — no function is recorded for this figure</t>
        </is>
      </c>
      <c r="G18" t="inlineStr"/>
      <c r="H18" t="inlineStr">
        <is>
          <t>a bill is flagged when its amount is large relative to a typical month and it falls within the horizon shown</t>
        </is>
      </c>
      <c r="I18" t="inlineStr">
        <is>
          <t>Points out the big one-off bills coming up, so they are not a surprise.</t>
        </is>
      </c>
      <c r="J18" t="inlineStr">
        <is>
          <t>NOT DETERMINED — no input list on record for this function</t>
        </is>
      </c>
      <c r="K18" t="inlineStr">
        <is>
          <t>US dollars · held to the cent · shown as whole dollars  [derived by rule — confirm]</t>
        </is>
      </c>
      <c r="L18" t="inlineStr">
        <is>
          <t>NOT DETERMINED — this function has not been read for its refusal yet.</t>
        </is>
      </c>
      <c r="M18" t="inlineStr">
        <is>
          <t>One figure per month  [derived by rule — confirm]</t>
        </is>
      </c>
      <c r="N18" t="inlineStr">
        <is>
          <t>As of today, from the latest figures held  [derived by rule — confirm]</t>
        </is>
      </c>
      <c r="O18" t="inlineStr">
        <is>
          <t>No function on record — nothing to chain</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t="inlineStr"/>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B28 [CLASH] — THE BIG-TICKET RADAR IS BACKWARDS. It flags any bill over $500 from the grid, and debt payments join the grid as bills — so the MORTGAGE is flagged every single month, which teaches people to ignore the section. Meanwhile an unusual credit-card payment is tested against the mean of ALL logged "Debt payment" expenses — mortgage, car and card averaged together — so a $1,850 payment against a usual $195 is compared to a bar near $3,120 and stays QUIET. It shows the payment that never changes and hides the one that does. CashFlowScreen.tsx:462.</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is>
          <t>B28 — Expenses — the radar flags the mortgage monthly and hides an unusual card payment</t>
        </is>
      </c>
      <c r="AE18" t="inlineStr">
        <is>
          <t>B28 — FIXED 2026-08-27</t>
        </is>
      </c>
      <c r="AF18" t="inlineStr">
        <is>
          <t>ACTIVE</t>
        </is>
      </c>
      <c r="AG18" t="inlineStr">
        <is>
          <t>2026-08-27</t>
        </is>
      </c>
      <c r="AJ18" s="3" t="inlineStr">
        <is>
          <t>No function on record — nothing to read from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CODED, NOT TESTED (finding B28 names no test)</t>
        </is>
      </c>
    </row>
    <row r="19">
      <c r="A19" t="inlineStr">
        <is>
          <t>MK-CF-M-017</t>
        </is>
      </c>
      <c r="B19" t="inlineStr">
        <is>
          <t>Cashflow</t>
        </is>
      </c>
      <c r="C19" t="inlineStr">
        <is>
          <t>NA</t>
        </is>
      </c>
      <c r="D19" t="inlineStr">
        <is>
          <t>well above your usual &lt;category&gt;</t>
        </is>
      </c>
      <c r="E19" t="inlineStr">
        <is>
          <t>e.amount</t>
        </is>
      </c>
      <c r="F19" t="inlineStr">
        <is>
          <t>NOT ON RECORD — no function is recorded for this figure</t>
        </is>
      </c>
      <c r="G19" t="inlineStr"/>
      <c r="H19" t="inlineStr">
        <is>
          <t>flagged when an expense is well above the usual amount for its category</t>
        </is>
      </c>
      <c r="I19" t="inlineStr">
        <is>
          <t>Marks a single expense that sits well above what that category normally costs.</t>
        </is>
      </c>
      <c r="J19" t="inlineStr">
        <is>
          <t>NOT DETERMINED — no input list on record for this function</t>
        </is>
      </c>
      <c r="K19" t="inlineStr">
        <is>
          <t>US dollars · held to the cent · shown as whole dollars  [derived by rule — confirm]</t>
        </is>
      </c>
      <c r="L19" t="inlineStr">
        <is>
          <t>NOT DETERMINED — this function has not been read for its refusal yet.</t>
        </is>
      </c>
      <c r="M19" t="inlineStr">
        <is>
          <t>One figure per category  [derived by rule — confirm]</t>
        </is>
      </c>
      <c r="N19" t="inlineStr">
        <is>
          <t>As of today, from the latest figures held  [derived by rule — confirm]</t>
        </is>
      </c>
      <c r="O19" t="inlineStr">
        <is>
          <t>No function on record — nothing to chain</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MK-CF-M-018</t>
        </is>
      </c>
      <c r="B20" t="inlineStr">
        <is>
          <t>Cashflow</t>
        </is>
      </c>
      <c r="C20" t="inlineStr">
        <is>
          <t>NA</t>
        </is>
      </c>
      <c r="D20" t="inlineStr">
        <is>
          <t>THIS MONTH — In (take-home)</t>
        </is>
      </c>
      <c r="E20" t="inlineStr">
        <is>
          <t>inflow</t>
        </is>
      </c>
      <c r="F20" t="inlineStr">
        <is>
          <t>incomeMonthlyGrid</t>
        </is>
      </c>
      <c r="G20" t="inlineStr">
        <is>
          <t>MK-CF-F-092</t>
        </is>
      </c>
      <c r="H20" s="3" t="inlineStr">
        <is>
          <t>money in month m = salary(m) + tips(m) + self-employment(m) + rental after costs(m) + investment income(m) + other income(m) + bonus(m) + signing bonus(m) + equity vesting(m) + benefits(m) + family support(m) − withholding(m) − pre-tax contributions(m)</t>
        </is>
      </c>
      <c r="I20" t="inlineStr">
        <is>
          <t>Builds twelve months of money in, one month at a time. Salary comes from the per-month table, equity lands in the months it vests, the bonus lands in its own month, and each month has its own withholding rate.</t>
        </is>
      </c>
      <c r="J20" t="inlineStr">
        <is>
          <t>NOT DETERMINED — no input list on record for this function</t>
        </is>
      </c>
      <c r="K20" t="inlineStr">
        <is>
          <t>US dollars · held to the cent · shown as whole dollars  [derived by rule — confirm]</t>
        </is>
      </c>
      <c r="L20" t="inlineStr">
        <is>
          <t>A division: with nothing on the bottom there is no answer, and the line must not appear as zero. NOT YET CONFIRMED against the function.</t>
        </is>
      </c>
      <c r="M20" t="inlineStr">
        <is>
          <t>One figure per month  [derived by rule — confirm]</t>
        </is>
      </c>
      <c r="N20" t="inlineStr">
        <is>
          <t>This calendar month, to today  [derived by rule — confirm]</t>
        </is>
      </c>
      <c r="O20"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MK-CF-F-132 (map) → NOT DECLARED — the code does not say what it gives back
7. MK-CF-F-087 (monthlyTaxRates) → number[]
8. MK-CF-F-073 (otherIncomeMonth) → number
9. MK-CF-F-181 (rateInForce) → RateInForce
10. MK-CF-F-068 (rentalNetAnnual) → number
11. MK-CF-F-066 (rsuAnnual) → number
12. MK-CF-F-060 (salaryGrossByMonth) → number[]
13. MK-CF-F-077 (scholarshipByCalendarMonth) → number[]
14. MK-CF-F-088 (taxableByCalendarMonth) → number[]
15. MK-ST-F-052 (toNum) → number
16. MK-PL-F-012 (waterfall) → NOT DECLARED — the code does not say what it gives back</t>
        </is>
      </c>
      <c r="P20"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20"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MK-CF-F-089 — Uses today's date from the device clock, so the answer changes by itself overnight.
15. MK-CF-F-098 — Never lets g fall below 0.
16. MK-CF-F-098 — Never lets state rate fall below 0.
17. MK-CF-F-180 — Uses a built-in total of 0.
18. MK-CF-F-082 — Uses today's date from the device clock, so the answer changes by itself overnight.
19. MK-CF-F-084 — Turns a monthly figure into a year by multiplying by twelve.
20. MK-CF-F-084 — Uses today's date from the device clock, so the answer changes by itself overnight.
21. MK-CF-F-063 — Uses today's date from the device clock, so the answer changes by itself overnight.
22. MK-CF-F-176 — If r[i] is missing it counts as zero, so nothing recorded and a real zero look the same.
23. MK-CF-F-177 — Uses today's date from the device clock, so the answer changes by itself overnight.
24. MK-CF-F-101 — Never lets state rate fall below 0.
25. MK-CF-F-101 — The 2026 bands per filing status are the Reference tab's statutory table (IRS Rev. Proc. 2025-32 §4.01), checked by statutory_constants.test.ts.
… and 13 more, on the functions tab</t>
        </is>
      </c>
      <c r="R20" t="inlineStr"/>
      <c r="S20" t="inlineStr"/>
      <c r="T20" t="inlineStr">
        <is>
          <t>NOT DETERMINED — no assumption recorded for this figure yet.</t>
        </is>
      </c>
      <c r="U20" t="inlineStr">
        <is>
          <t>THE SAME FIGURE AS MK-XS-M-006 — Money in this month. "In (take-home)" on Cash flow is the same figure as "Income" on Home.</t>
        </is>
      </c>
      <c r="V20" t="inlineStr"/>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20" t="inlineStr">
        <is>
          <t>HAS A FUNCTION — traceable from the screen to the code.</t>
        </is>
      </c>
      <c r="AD20" t="inlineStr">
        <is>
          <t>B27 — Base salary · This month — take-home shown up to $1,600/mo adrift from what was typed
B34 — This month · Expenses — dividends counted as spendable, so surplus reads $250/mo too high</t>
        </is>
      </c>
      <c r="AE20" t="inlineStr">
        <is>
          <t>B27 — FIXED 2026-09-01
B34 — OPEN — YOUR DECISION 2026-09-12
B25 — FIXED 2026-09-12</t>
        </is>
      </c>
      <c r="AF20" t="inlineStr">
        <is>
          <t>SUPERSEDED BY MK-XS-M-006 — the same figure under another identifier. This number is retired and is never handed to anything else.</t>
        </is>
      </c>
      <c r="AG20" t="inlineStr">
        <is>
          <t>2026-08-27</t>
        </is>
      </c>
      <c r="AJ2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MK-CF-F-088, MK-CF-F-092, MK-CF-F-181
18. MK-XS-I-055 the wrapper an account sits in — ISA, 401(k), IRA and the rest — read by MK-CF-F-075
19. MK-XS-I-059 the month a bonus lands — read by MK-CF-F-088, MK-CF-F-092
20. MK-XS-I-060 how a person is paid — weekly, fortnightly, monthly — read by MK-CF-F-130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8" t="inlineStr">
        <is>
          <t>OPEN FINDING B34 · CODED, NOT TESTED (finding B25, B27 names no test)</t>
        </is>
      </c>
    </row>
    <row r="21">
      <c r="A21" t="inlineStr">
        <is>
          <t>MK-CF-M-019</t>
        </is>
      </c>
      <c r="B21" t="inlineStr">
        <is>
          <t>Cashflow</t>
        </is>
      </c>
      <c r="C21" t="inlineStr">
        <is>
          <t>NA</t>
        </is>
      </c>
      <c r="D21" t="inlineStr">
        <is>
          <t>THIS MONTH — Out (bills + debt)</t>
        </is>
      </c>
      <c r="E21" t="inlineStr">
        <is>
          <t>outflow</t>
        </is>
      </c>
      <c r="F21" t="inlineStr">
        <is>
          <t>1. spendBuckets
2. requiredPayment</t>
        </is>
      </c>
      <c r="G21" t="inlineStr">
        <is>
          <t>1. MK-CF-F-004
2. MK-CF-F-023</t>
        </is>
      </c>
      <c r="H21" t="inlineStr">
        <is>
          <t>money out = Σ(expenses this month) + Σ(required debt payments)</t>
        </is>
      </c>
      <c r="I21"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1"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21" t="inlineStr">
        <is>
          <t>US dollars · held to the cent · shown as whole dollars  [derived by rule — confirm]</t>
        </is>
      </c>
      <c r="L21" s="3" t="inlineStr">
        <is>
          <t>$0, and under it the one line "Nothing entered yet. Add your bills ›" (mock approved 2026-09-12). A real zero that was entered shows a plain $0 with no line.</t>
        </is>
      </c>
      <c r="M21" t="inlineStr">
        <is>
          <t>One figure per debt, and one total per person  [derived by rule — confirm]</t>
        </is>
      </c>
      <c r="N21" t="inlineStr">
        <is>
          <t>This calendar month, to today  [derived by rule — confirm]</t>
        </is>
      </c>
      <c r="O21" t="inlineStr">
        <is>
          <t>1. MK-CF-F-003 (categoryMonthly) → number
2. MK-ST-F-052 (toNum) → number
3. MK-CF-F-022 (paymentShape) → NonNullable&lt;Debt['payment_type']&gt;</t>
        </is>
      </c>
      <c r="P21"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21"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17 more, on the functions tab</t>
        </is>
      </c>
      <c r="R21" t="inlineStr"/>
      <c r="S21" t="inlineStr"/>
      <c r="T2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1" t="inlineStr"/>
      <c r="V21" t="inlineStr"/>
      <c r="W21" t="inlineStr"/>
      <c r="X21" t="inlineStr"/>
      <c r="Y21" t="inlineStr">
        <is>
          <t>NOT DETERMINED</t>
        </is>
      </c>
      <c r="Z21" t="inlineStr">
        <is>
          <t>VERIFIED 2026-08-22</t>
        </is>
      </c>
      <c r="AA21"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21" t="inlineStr">
        <is>
          <t>HAS A FUNCTION — traceable from the screen to the code.</t>
        </is>
      </c>
      <c r="AD21" t="inlineStr">
        <is>
          <t>B01 — This month — a debt with no stated minimum shows $0/mo and prefills the pay dialog with $0</t>
        </is>
      </c>
      <c r="AE21"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21" t="inlineStr">
        <is>
          <t>ACTIVE</t>
        </is>
      </c>
      <c r="AG21" t="inlineStr">
        <is>
          <t>2026-08-27</t>
        </is>
      </c>
      <c r="AJ21"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MK-CF-F-067, MK-CF-F-068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MK-CF-F-075
23. MK-XS-I-059 the month a bonus lands — read by MK-CF-F-088, MK-CF-F-092
24. MK-XS-I-060 how a person is paid — weekly, fortnightly, monthly — read by MK-CF-F-130
25.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7" t="inlineStr">
        <is>
          <t>CODED, NOT TESTED (Cash-flow worked example)</t>
        </is>
      </c>
    </row>
    <row r="22">
      <c r="A22" t="inlineStr">
        <is>
          <t>MK-CF-M-020</t>
        </is>
      </c>
      <c r="B22" t="inlineStr">
        <is>
          <t>Cashflow</t>
        </is>
      </c>
      <c r="C22" t="inlineStr">
        <is>
          <t>NA</t>
        </is>
      </c>
      <c r="D22" t="inlineStr">
        <is>
          <t>THIS MONTH — free to use</t>
        </is>
      </c>
      <c r="E22" t="inlineStr">
        <is>
          <t>free</t>
        </is>
      </c>
      <c r="F22" t="inlineStr">
        <is>
          <t>Worked out on the screen itself — no function behind it</t>
        </is>
      </c>
      <c r="G22" t="inlineStr"/>
      <c r="H22" t="inlineStr">
        <is>
          <t>free to use = money in − money out − Σ(monthly amounts the Plan committed)</t>
        </is>
      </c>
      <c r="I22" t="inlineStr">
        <is>
          <t>Worked out on the screen itself, with no function behind it — a place a second definition can appear.</t>
        </is>
      </c>
      <c r="J22" t="inlineStr">
        <is>
          <t>NOT DETERMINED — no input list on record for this function</t>
        </is>
      </c>
      <c r="K22" t="inlineStr">
        <is>
          <t>US dollars · held to the cent · shown as whole dollars  [derived by rule — confirm]</t>
        </is>
      </c>
      <c r="L22" t="inlineStr">
        <is>
          <t>Inherits the refusal of the figures it is built from: if either side is missing, this line is not shown.</t>
        </is>
      </c>
      <c r="M22" t="inlineStr">
        <is>
          <t>One figure per month  [derived by rule — confirm]</t>
        </is>
      </c>
      <c r="N22" t="inlineStr">
        <is>
          <t>This calendar month, to today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2" t="inlineStr"/>
      <c r="AE22" t="inlineStr">
        <is>
          <t>No finding on this row. That is not a statement that the row is right — only that nothing has been written against it.</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MK-CF-M-021</t>
        </is>
      </c>
      <c r="B23" t="inlineStr">
        <is>
          <t>Cashflow</t>
        </is>
      </c>
      <c r="C23" t="inlineStr">
        <is>
          <t>NA</t>
        </is>
      </c>
      <c r="D23" t="inlineStr">
        <is>
          <t>&lt;goal&gt; · from your Plan</t>
        </is>
      </c>
      <c r="E23" t="inlineStr">
        <is>
          <t>c.monthlyAmount</t>
        </is>
      </c>
      <c r="F23" t="inlineStr">
        <is>
          <t>NOT ON RECORD — no function is recorded for this figure</t>
        </is>
      </c>
      <c r="G23" t="inlineStr"/>
      <c r="H23" t="inlineStr">
        <is>
          <t>Σ(monthly amount of each goal the Plan has committed to)</t>
        </is>
      </c>
      <c r="I23" t="inlineStr">
        <is>
          <t>The monthly amounts the Plan has already promised to goals, so cash flow can show what is genuinely free.</t>
        </is>
      </c>
      <c r="J23" t="inlineStr">
        <is>
          <t>NOT DETERMINED — no input list on record for this function</t>
        </is>
      </c>
      <c r="K23" t="inlineStr">
        <is>
          <t>US dollars · held to the cent · shown as whole dollars  [derived by rule — confirm]</t>
        </is>
      </c>
      <c r="L23" s="3" t="inlineStr">
        <is>
          <t>$0, and under it the one line "Nothing entered yet. Add a goal ›" (mock approved 2026-09-12). A real zero that was entered shows a plain $0 with no line.</t>
        </is>
      </c>
      <c r="M23" t="inlineStr">
        <is>
          <t>One figure per goal  [derived by rule — confirm]</t>
        </is>
      </c>
      <c r="N23" t="inlineStr">
        <is>
          <t>As of today, from the latest figures held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MK-CF-M-022</t>
        </is>
      </c>
      <c r="B24" t="inlineStr">
        <is>
          <t>Cashflow</t>
        </is>
      </c>
      <c r="C24" t="inlineStr">
        <is>
          <t>NA</t>
        </is>
      </c>
      <c r="D24" t="inlineStr">
        <is>
          <t>YOUR FUTURE PAYCHECK — At &lt;age&gt;: ~$X / mo</t>
        </is>
      </c>
      <c r="E24" t="inlineStr">
        <is>
          <t>projection.monthly</t>
        </is>
      </c>
      <c r="F24" s="3" t="inlineStr">
        <is>
          <t>1. buildPaycheckYear (the draw from savings)
2. guaranteedOutsideStreams (summed)
3. simulate (the projected pot it draws from)</t>
        </is>
      </c>
      <c r="G24" s="3" t="inlineStr">
        <is>
          <t>1. MK-CF-F-107
2. MK-CF-F-076
3. MK-PL-F-050</t>
        </is>
      </c>
      <c r="H24"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24"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24" t="inlineStr">
        <is>
          <t>the same inputs → inp  [MK-XS-I-001]</t>
        </is>
      </c>
      <c r="K24" t="inlineStr">
        <is>
          <t>Age in whole years  [derived by rule — confirm]</t>
        </is>
      </c>
      <c r="L24" t="inlineStr">
        <is>
          <t>No figure when there is nothing to grow, or when retirement is not ahead of the person.</t>
        </is>
      </c>
      <c r="M24" t="inlineStr">
        <is>
          <t>One figure per person — or per household when two people share one record  [derived by rule — confirm]</t>
        </is>
      </c>
      <c r="N24" t="inlineStr">
        <is>
          <t>As of today, from the latest figures held  [derived by rule — confirm]</t>
        </is>
      </c>
      <c r="O24" t="inlineStr">
        <is>
          <t>1. MK-XS-F-004 (buildDatedGrid) → DatedGrid
2. MK-CF-F-105 (guaranteedRows) → GuaranteedRow[]
3. MK-CF-F-132 (map) → NOT DECLARED — the code does not say what it gives back
4. MK-NW-F-033 (retirementEarmarkedValue) → number
5. MK-CF-F-106 (solveSafeDraw) → number
6. MK-ST-F-052 (toNum) → number
7. MK-PL-F-074 (median) → number
8. MK-PL-F-072 (mulberry32) → NOT DECLARED — the code does not say what it gives back
9. MK-XS-F-122 (n) → number
10. MK-PL-F-073 (normal) → number
11. MK-PL-F-075 (pctOfSorted) → number
12. MK-ST-F-025 (rmdStartAgeFromAge) → number</t>
        </is>
      </c>
      <c r="P24"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24"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MK-ST-F-024 — When the birth year is missing the start age is taken as 73 — the rule for those born 1951–1959, the middle of the 55–70 audience (A36). The whole schedule is coded: 70½ before 1949, 72 for 1949–1950, 73 for 1951–1959, 75 from 1960.</t>
        </is>
      </c>
      <c r="R24" t="inlineStr"/>
      <c r="S24" t="inlineStr">
        <is>
          <t>The Net worth screen builds this projection WITHOUT the person's big costs, while Cash flow, Budget, Goals and Social Security timing all include them. Same person, same day, two different nest eggs. Seen in the code; not yet confirmed on screen.</t>
        </is>
      </c>
      <c r="T24"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4" t="inlineStr"/>
      <c r="V24" t="inlineStr"/>
      <c r="W24" t="inlineStr"/>
      <c r="X24" t="inlineStr"/>
      <c r="Y24" t="inlineStr">
        <is>
          <t>NOT DETERMINED</t>
        </is>
      </c>
      <c r="Z24" t="inlineStr">
        <is>
          <t>VERIFIED 2026-08-22</t>
        </is>
      </c>
      <c r="AA2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4" t="inlineStr">
        <is>
          <t>HAS A FUNCTION — traceable from the screen to the code.</t>
        </is>
      </c>
      <c r="AD24" t="inlineStr">
        <is>
          <t>B11 — This month — the future-paycheck figure omits contribution growth the code applies</t>
        </is>
      </c>
      <c r="AE24"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24" t="inlineStr">
        <is>
          <t>ACTIVE</t>
        </is>
      </c>
      <c r="AG24" t="inlineStr">
        <is>
          <t>2026-09-13</t>
        </is>
      </c>
      <c r="AJ24" s="3" t="inlineStr">
        <is>
          <t>1. MK-XS-I-001 account balance — read by MK-NW-F-031, MK-NW-F-032, MK-ST-F-027
2. MK-XS-I-002 account type (taxable, pre-tax, Roth) — read by MK-NW-F-011
3. MK-XS-I-004 holding quantity (shares) — read by MK-CF-F-062, MK-ST-F-027
4. MK-XS-I-005 holding price — read by MK-ST-F-027
5. MK-XS-I-007 purchase price and date (per lot) — read by MK-ST-F-027
6. MK-XS-I-013 bond maturity date — read by MK-NW-F-011, MK-ST-F-010
7. MK-XS-I-014 debt balance — read by MK-XS-F-004
8. MK-XS-I-016 debt minimum payment — read by MK-CF-F-023
9. MK-XS-I-017 birth year — read by MK-CF-F-089, MK-ST-F-024
10. MK-XS-I-018 retirement age — read by MK-CF-F-106, MK-PL-F-050
11. MK-XS-I-020 Social Security monthly amount — read by MK-CF-F-072, MK-CF-F-075, MK-CF-F-076
12. MK-XS-I-022 pension monthly amount — read by MK-CF-F-072, MK-CF-F-075, MK-CF-F-076
13. MK-XS-I-023 salary and other income — read by MK-CF-F-074, MK-CF-F-082, MK-CF-F-084, MK-CF-F-088, MK-CF-F-092, MK-CF-F-165, MK
14. MK-XS-I-024 logged expenses — read by MK-CF-F-067, MK-CF-F-068, MK-CF-F-107, MK-XS-F-004
15. MK-XS-I-026 big costs (amount and year) — read by MK-XS-F-004
16. MK-XS-I-027 goals (target, saved, date) — read by MK-PL-F-012
17. MK-XS-I-028 assumed return — read by MK-CF-F-106, MK-PL-F-050
18. MK-XS-I-029 inflation rate — read by MK-CF-F-106, MK-PL-F-050
19. MK-XS-I-030 tax filing status and age — read by MK-CF-F-085, MK-CF-F-089, MK-CF-F-098, MK-CF-F-099, MK-CF-F-100, MK-CF-F-101, MK
20. MK-XS-I-031 daily and monthly snapshots — read by MK-ST-F-036
21. MK-XS-I-032 expenses categories the person set up — read by MK-CF-F-004, MK-CF-F-008, MK-XS-F-004
22. MK-XS-I-034 option positions — contracts, strike, expiry, put or call — read by MK-CF-F-062
23. MK-XS-I-035 annuity income — read by MK-CF-F-072, MK-CF-F-075, MK-CF-F-076
24. MK-XS-I-036 other guaranteed income — read by MK-CF-F-072, MK-CF-F-075, MK-CF-F-076, MK-PL-F-050
25. MK-XS-I-037 required-withdrawal income stream (ri_rmd) — read by MK-CF-F-075
26. MK-XS-I-038 withdrawal income stream (ri_withdrawals) — read by MK-CF-F-075
27. MK-XS-I-039 how often each income arrives — read by MK-CF-F-071, MK-CF-F-072, MK-CF-F-074, MK-CF-F-075, MK-CF-F-076, MK-CF-F-105, MK
28. MK-XS-I-040 whether a stream is already being received — read by MK-CF-F-072, MK-CF-F-105
29. MK-XS-I-041 the payment the person chose to make on a debt — read by MK-CF-F-023
30. MK-XS-I-042 how a stream is paid — monthly, yearly or one lump — read by MK-CF-F-021, MK-CF-F-022, MK-CF-F-023, MK-XS-F-004
31. MK-XS-I-043 their own retirement contribution — read by MK-CF-F-088, MK-CF-F-092, MK-CF-F-106, MK-CF-F-181, MK-PL-F-050
32. MK-XS-I-048 the person’s own asset-class answer — read by MK-NW-F-011, MK-ST-F-027
33. MK-XS-I-050 the share of an account earmarked for retirement — read by MK-NW-F-032
34. MK-XS-I-052 the day of the month a debt payment is due — read by MK-XS-F-004
35. MK-XS-I-053 the month a debt is first paid — read by MK-XS-F-004
36. MK-XS-I-054 the date a debt is due to be paid off in full — read by MK-XS-F-004
37. MK-XS-I-055 the wrapper an account sits in — ISA, 401(k), IRA and the rest — read by MK-CF-F-075, MK-CF-F-076, MK-CF-F-107, MK-NW-F-011, MK-NW-F-030, MK-NW-F-031, MK
38. MK-XS-I-059 the month a bonus lands — read by MK-CF-F-088, MK-CF-F-092, MK-XS-F-004
39. MK-XS-I-060 how a person is paid — weekly, fortnightly, monthly — read by MK-CF-F-130
40. MK-XS-I-064 the unit beside a quantity — shares, coins, contracts, ounces or units — read by MK-CF-F-003, MK-CF-F-008, MK-XS-F-004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6" t="inlineStr">
        <is>
          <t>TESTED, NOT VERIFIED (G14, G17)</t>
        </is>
      </c>
    </row>
    <row r="25">
      <c r="A25" t="inlineStr">
        <is>
          <t>MK-CF-M-023</t>
        </is>
      </c>
      <c r="B25" t="inlineStr">
        <is>
          <t>Cashflow</t>
        </is>
      </c>
      <c r="C25" t="inlineStr">
        <is>
          <t>NA</t>
        </is>
      </c>
      <c r="D25" t="inlineStr">
        <is>
          <t>YOUR FUTURE PAYCHECK — Social Security · pension</t>
        </is>
      </c>
      <c r="E25" t="inlineStr">
        <is>
          <t>projection.guaranteed</t>
        </is>
      </c>
      <c r="F25" s="3" t="inlineStr">
        <is>
          <t>guaranteedOutsideStreams (summed)</t>
        </is>
      </c>
      <c r="G25" s="3" t="inlineStr">
        <is>
          <t>MK-CF-F-076</t>
        </is>
      </c>
      <c r="H25" s="3" t="inlineStr">
        <is>
          <t>guaranteed income a month = Social Security + pension + annuity + other stated income — the four OUTSIDE sources, each converted to a monthly figure</t>
        </is>
      </c>
      <c r="I25"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25" s="3" t="inlineStr">
        <is>
          <t>1. Social Security → ri_ss [MK-XS-I-020]
2. pension → ri_pension [MK-XS-I-022]
3. annuity → ri_annuities [MK-XS-I-035]
4. other → ri_other [MK-XS-I-036]
5. how often each arrives → the matching frequency [MK-XS-I-039]</t>
        </is>
      </c>
      <c r="K25" t="inlineStr">
        <is>
          <t>US dollars · held to the cent · shown as whole dollars  [derived by rule — confirm]</t>
        </is>
      </c>
      <c r="L25" t="inlineStr">
        <is>
          <t>NOT DETERMINED — this function has not been read for its refusal yet.</t>
        </is>
      </c>
      <c r="M25" t="inlineStr">
        <is>
          <t>One figure per person — or per household when two people share one record  [derived by rule — confirm]</t>
        </is>
      </c>
      <c r="N25" t="inlineStr">
        <is>
          <t>As of today, from the latest figures held  [derived by rule — confirm]</t>
        </is>
      </c>
      <c r="O25" t="inlineStr">
        <is>
          <t>MK-ST-F-052 (toNum) → number</t>
        </is>
      </c>
      <c r="P25" t="inlineStr">
        <is>
          <t>MK-XS-F-122 n → MK-ST-F-052 toNum → MK-CF-F-075 retirementIncomeMonthly</t>
        </is>
      </c>
      <c r="Q25" t="inlineStr">
        <is>
          <t>None found anywhere in this chain</t>
        </is>
      </c>
      <c r="R25" t="inlineStr"/>
      <c r="S25" t="inlineStr"/>
      <c r="T25" s="3" t="inlineStr">
        <is>
          <t>NOT DETERMINED — no assumption recorded for this figure yet.
[Founder] brief Q-38 (2026-08-20): the paycheck DISPLAY shows every line; the plan's guaranteed INPUT — and this card's guaranteed line, which sits beside a savings draw — takes outside money only.</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25" t="inlineStr">
        <is>
          <t>ACTIVE</t>
        </is>
      </c>
      <c r="AG25" t="inlineStr">
        <is>
          <t>2026-08-27</t>
        </is>
      </c>
      <c r="AJ25"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6" t="inlineStr">
        <is>
          <t>TESTED, NOT VERIFIED (G13)</t>
        </is>
      </c>
    </row>
    <row r="26">
      <c r="A26" t="inlineStr">
        <is>
          <t>MK-CF-M-024</t>
        </is>
      </c>
      <c r="B26" t="inlineStr">
        <is>
          <t>Cashflow</t>
        </is>
      </c>
      <c r="C26" t="inlineStr">
        <is>
          <t>/monthly-income</t>
        </is>
      </c>
      <c r="D26" t="inlineStr">
        <is>
          <t>each source of guaranteed income</t>
        </is>
      </c>
      <c r="E26" t="inlineStr">
        <is>
          <t>g.amount</t>
        </is>
      </c>
      <c r="F26" t="inlineStr">
        <is>
          <t>currentRetirementIncomeMonthly</t>
        </is>
      </c>
      <c r="G26" t="inlineStr">
        <is>
          <t>MK-CF-F-072</t>
        </is>
      </c>
      <c r="H26" t="inlineStr">
        <is>
          <t>guaranteed income now = Σ(streams already being received)</t>
        </is>
      </c>
      <c r="I26"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6" t="inlineStr">
        <is>
          <t>1. do they receive it now → incomeSources  [MK-XS-I-040]
2. the amounts → retirementIncomeMonthly  [MK-XS-I-008]</t>
        </is>
      </c>
      <c r="K26" t="inlineStr">
        <is>
          <t>US dollars · held to the cent · shown as whole dollars  [derived by rule — confirm]</t>
        </is>
      </c>
      <c r="L26" t="inlineStr">
        <is>
          <t>Adds up to $0 when there is nothing to add. Zero and "nothing recorded yet" look identical on screen — worth a decision.</t>
        </is>
      </c>
      <c r="M26" t="inlineStr">
        <is>
          <t>One figure per person — or per household when two people share one record  [derived by rule — confirm]</t>
        </is>
      </c>
      <c r="N26" t="inlineStr">
        <is>
          <t>As of today, from the latest figures held  [derived by rule — confirm]</t>
        </is>
      </c>
      <c r="O26" t="inlineStr">
        <is>
          <t>MK-CF-F-075 (retirementIncomeMonthly) → number</t>
        </is>
      </c>
      <c r="P26" t="inlineStr">
        <is>
          <t>MK-XS-F-122 n → MK-ST-F-052 toNum → MK-CF-F-075 retirementIncomeMonthly → MK-CF-F-072 currentRetirementIncomeMonthly</t>
        </is>
      </c>
      <c r="Q26" t="inlineStr">
        <is>
          <t>None found anywhere in this chain</t>
        </is>
      </c>
      <c r="R26" t="inlineStr"/>
      <c r="S26" t="inlineStr"/>
      <c r="T26" t="inlineStr">
        <is>
          <t>NOT DETERMINED — no assumption recorded for this figure yet.</t>
        </is>
      </c>
      <c r="U26" t="inlineStr">
        <is>
          <t>THE SAME FIGURE AS MK-CF-M-011 — Guaranteed income being received now. Shown four ways: "You receive $X/mo" on Social Security timing, "incl. Social Security $X/mo" on the cockpit, as a source on Cash flow, and as a list on Monthly income. One figure, four identifiers.</t>
        </is>
      </c>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AGREES — the figure's arithmetic and the arithmetic of the function it names say the same thing. Checked 2026-08-26.</t>
        </is>
      </c>
      <c r="AC26" t="inlineStr">
        <is>
          <t>HAS A FUNCTION — traceable from the screen to the code.</t>
        </is>
      </c>
      <c r="AD26" t="inlineStr"/>
      <c r="AE26" t="inlineStr">
        <is>
          <t>No finding on this row. That is not a statement that the row is right — only that nothing has been written against it.</t>
        </is>
      </c>
      <c r="AF26" t="inlineStr">
        <is>
          <t>SUPERSEDED BY MK-CF-M-011 — the same figure under another identifier. This number is retired and is never handed to anything else.</t>
        </is>
      </c>
      <c r="AG26" t="inlineStr">
        <is>
          <t>2026-08-27</t>
        </is>
      </c>
      <c r="AJ26"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3" t="inlineStr">
        <is>
          <t>NOTHING OPEN</t>
        </is>
      </c>
    </row>
    <row r="27">
      <c r="A27" t="inlineStr">
        <is>
          <t>MK-CF-M-025</t>
        </is>
      </c>
      <c r="B27" t="inlineStr">
        <is>
          <t>Cashflow</t>
        </is>
      </c>
      <c r="C27" t="inlineStr">
        <is>
          <t>/month-detail</t>
        </is>
      </c>
      <c r="D27" t="inlineStr">
        <is>
          <t>what came in and went out that month</t>
        </is>
      </c>
      <c r="E27" t="inlineStr">
        <is>
          <t>cell</t>
        </is>
      </c>
      <c r="F27" t="inlineStr">
        <is>
          <t>NOT ON RECORD — no function is recorded for this figure</t>
        </is>
      </c>
      <c r="G27" t="inlineStr"/>
      <c r="H27" t="inlineStr">
        <is>
          <t>see the by-month grid</t>
        </is>
      </c>
      <c r="I27" t="inlineStr">
        <is>
          <t>The month-by-month view of money in and money out.</t>
        </is>
      </c>
      <c r="J27" t="inlineStr">
        <is>
          <t>NOT DETERMINED — no input list on record for this function</t>
        </is>
      </c>
      <c r="K27" t="inlineStr">
        <is>
          <t>US dollars · held to the cent · shown as whole dollars  [derived by rule — confirm]</t>
        </is>
      </c>
      <c r="L27" t="inlineStr">
        <is>
          <t>NOT DETERMINED — this function has not been read for its refusal yet.</t>
        </is>
      </c>
      <c r="M27" t="inlineStr">
        <is>
          <t>One figure per month  [derived by rule — confirm]</t>
        </is>
      </c>
      <c r="N27" t="inlineStr">
        <is>
          <t>As of today, from the latest figures held  [derived by rule — confirm]</t>
        </is>
      </c>
      <c r="O27" t="inlineStr">
        <is>
          <t>No function on record — nothing to chain</t>
        </is>
      </c>
      <c r="P27" t="inlineStr">
        <is>
          <t>No function on record — nothing to chain</t>
        </is>
      </c>
      <c r="Q27" t="inlineStr">
        <is>
          <t>No function on record — assumptions unknown</t>
        </is>
      </c>
      <c r="R27" t="inlineStr"/>
      <c r="S27" t="inlineStr"/>
      <c r="T27" t="inlineStr">
        <is>
          <t>NOT DETERMINED — no assumption recorded for this figure yet.</t>
        </is>
      </c>
      <c r="U27" t="inlineStr"/>
      <c r="V27" t="inlineStr"/>
      <c r="W27" t="inlineStr"/>
      <c r="X27" t="inlineStr"/>
      <c r="Y27" t="inlineStr">
        <is>
          <t>NOT DETERMINED</t>
        </is>
      </c>
      <c r="Z27" t="inlineStr">
        <is>
          <t>VERIFIED 2026-08-22</t>
        </is>
      </c>
      <c r="AA2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B24 [NOT COMPARABLE] — This figure names no function, so its formula cannot be checked against anything. 69 of the 163 figures are in this position — the audit covers the 94 that name one.</t>
        </is>
      </c>
      <c r="AC2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7" t="inlineStr"/>
      <c r="AE27" t="inlineStr">
        <is>
          <t>No finding on this row. That is not a statement that the row is right — only that nothing has been written against it.</t>
        </is>
      </c>
      <c r="AF27" t="inlineStr">
        <is>
          <t>ACTIVE</t>
        </is>
      </c>
      <c r="AG27" t="inlineStr">
        <is>
          <t>2026-08-27</t>
        </is>
      </c>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3" t="inlineStr">
        <is>
          <t>NOTHING OPEN</t>
        </is>
      </c>
    </row>
    <row r="28">
      <c r="A28" t="inlineStr">
        <is>
          <t>MK-CF-M-026</t>
        </is>
      </c>
      <c r="B28" t="inlineStr">
        <is>
          <t>Cashflow</t>
        </is>
      </c>
      <c r="C28" t="inlineStr">
        <is>
          <t>/paycheck-months</t>
        </is>
      </c>
      <c r="D28" t="inlineStr">
        <is>
          <t>the months a paycheck lands</t>
        </is>
      </c>
      <c r="E28" t="inlineStr">
        <is>
          <t>payYear</t>
        </is>
      </c>
      <c r="F28" t="inlineStr">
        <is>
          <t>NOT ON RECORD — no function is recorded for this figure</t>
        </is>
      </c>
      <c r="G28" t="inlineStr"/>
      <c r="H28" t="inlineStr">
        <is>
          <t>paycheck a month = guaranteed income + the draw from savings</t>
        </is>
      </c>
      <c r="I28" t="inlineStr">
        <is>
          <t>Builds the monthly paycheck in retirement: what is guaranteed that month, plus what can be drawn from savings without breaking the plan.</t>
        </is>
      </c>
      <c r="J28" t="inlineStr">
        <is>
          <t>NOT DETERMINED — no input list on record for this function</t>
        </is>
      </c>
      <c r="K28" t="inlineStr">
        <is>
          <t>Months · one decimal  [derived by rule — confirm]</t>
        </is>
      </c>
      <c r="L28" t="inlineStr">
        <is>
          <t>NOT DETERMINED — this function has not been read for its refusal yet.</t>
        </is>
      </c>
      <c r="M28" t="inlineStr">
        <is>
          <t>One figure per month  [derived by rule — confirm]</t>
        </is>
      </c>
      <c r="N28" t="inlineStr">
        <is>
          <t>As of today, from the latest figures held  [derived by rule — confirm]</t>
        </is>
      </c>
      <c r="O28" t="inlineStr">
        <is>
          <t>No function on record — nothing to chain</t>
        </is>
      </c>
      <c r="P28" t="inlineStr">
        <is>
          <t>No function on record — nothing to chain</t>
        </is>
      </c>
      <c r="Q28" t="inlineStr">
        <is>
          <t>No function on record — assumptions unknown</t>
        </is>
      </c>
      <c r="R28" t="inlineStr"/>
      <c r="S28" t="inlineStr"/>
      <c r="T28" t="inlineStr">
        <is>
          <t>[Founder] Withdrawals, including required ones, are NOT counted as guaranteed income — counting money coming out of the pot as income would count the same dollars twice (fix B5).</t>
        </is>
      </c>
      <c r="U28" t="inlineStr"/>
      <c r="V28" s="11" t="inlineStr">
        <is>
          <t>Q30 — The draw from savings is shown as one figure a month. Should it hold steady in today's dollars, or rise with inflation each year?</t>
        </is>
      </c>
      <c r="W28" s="11" t="inlineStr">
        <is>
          <t>rise with inflation each year</t>
        </is>
      </c>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8" t="inlineStr"/>
      <c r="AE28" t="inlineStr">
        <is>
          <t>No finding on this row. That is not a statement that the row is right — only that nothing has been written against it.</t>
        </is>
      </c>
      <c r="AF28" t="inlineStr">
        <is>
          <t>ACTIVE</t>
        </is>
      </c>
      <c r="AG28" t="inlineStr">
        <is>
          <t>2026-08-27</t>
        </is>
      </c>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WAITING ON YOU — question Q30</t>
        </is>
      </c>
    </row>
    <row r="29">
      <c r="A29" t="inlineStr">
        <is>
          <t>MK-CF-M-027</t>
        </is>
      </c>
      <c r="B29" t="inlineStr">
        <is>
          <t>Cashflow</t>
        </is>
      </c>
      <c r="C29" t="inlineStr">
        <is>
          <t>/income-manager</t>
        </is>
      </c>
      <c r="D29" t="inlineStr">
        <is>
          <t>each income source and its amount</t>
        </is>
      </c>
      <c r="E29" t="inlineStr">
        <is>
          <t>sources</t>
        </is>
      </c>
      <c r="F29" t="inlineStr">
        <is>
          <t>totalGrossAnnual</t>
        </is>
      </c>
      <c r="G29" s="3" t="inlineStr">
        <is>
          <t>MK-CF-O-004</t>
        </is>
      </c>
      <c r="H29" t="inlineStr">
        <is>
          <t>gross a year = salary + self-employment + bonus + equity vesting + rental + other;  take-home /month = (gross − tax withheld − pre-tax contributions) ÷ 12</t>
        </is>
      </c>
      <c r="I2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9" t="inlineStr">
        <is>
          <t>each part → its own function above  [NOT AN INPUT — another function’s answer; see the dependency column]</t>
        </is>
      </c>
      <c r="K29" t="inlineStr">
        <is>
          <t>US dollars · held to the cent · shown as whole dollars  [derived by rule — confirm]</t>
        </is>
      </c>
      <c r="L29" s="3" t="inlineStr">
        <is>
          <t>$0, and under it the one line "Nothing entered yet. Add your income ›" (mock approved 2026-09-12). A real zero that was entered shows a plain $0 with no line.</t>
        </is>
      </c>
      <c r="M29" t="inlineStr">
        <is>
          <t>One figure per person — or per household when two people share one record  [derived by rule — confirm]</t>
        </is>
      </c>
      <c r="N29" t="inlineStr">
        <is>
          <t>As of today, from the latest figures held  [derived by rule — confirm]</t>
        </is>
      </c>
      <c r="O29"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9"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29"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9" t="inlineStr">
        <is>
          <t>HAS A FUNCTION — traceable from the screen to the code.</t>
        </is>
      </c>
      <c r="AD29" t="inlineStr"/>
      <c r="AE29" s="3" t="inlineStr">
        <is>
          <t>B17 — FIXED 2026-09-12
G32 / Q48 — 2026-09-09: the 'division with nothing on the bottom' boilerplate is gone; this cell now states the row's real refusal. Where it says 'built', the screen already does it; the rest follow the empty-state mock.</t>
        </is>
      </c>
      <c r="AF29" t="inlineStr">
        <is>
          <t>ACTIVE</t>
        </is>
      </c>
      <c r="AG29" t="inlineStr">
        <is>
          <t>2026-09-08</t>
        </is>
      </c>
      <c r="AJ2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7" t="inlineStr">
        <is>
          <t>CODED, NOT TESTED (finding B17 names no test)</t>
        </is>
      </c>
    </row>
    <row r="30">
      <c r="A30" t="inlineStr">
        <is>
          <t>MK-CF-M-028</t>
        </is>
      </c>
      <c r="B30" t="inlineStr">
        <is>
          <t>Cashflow</t>
        </is>
      </c>
      <c r="C30" t="inlineStr">
        <is>
          <t>/bill-calendar</t>
        </is>
      </c>
      <c r="D30" t="inlineStr">
        <is>
          <t>each bill and the day it falls</t>
        </is>
      </c>
      <c r="E30" t="inlineStr">
        <is>
          <t>bills</t>
        </is>
      </c>
      <c r="F30" t="inlineStr">
        <is>
          <t>NOT ON RECORD — no function is recorded for this figure</t>
        </is>
      </c>
      <c r="G30" t="inlineStr"/>
      <c r="H30" t="inlineStr">
        <is>
          <t>each bill falls on its stated day;  the month’s bills = Σ(amounts due in that month)</t>
        </is>
      </c>
      <c r="I30" t="inlineStr">
        <is>
          <t>Places each recurring bill on the day of the month it falls, so the shape of the month can be seen.</t>
        </is>
      </c>
      <c r="J30" t="inlineStr">
        <is>
          <t>NOT DETERMINED — no input list on record for this function</t>
        </is>
      </c>
      <c r="K30" t="inlineStr">
        <is>
          <t>US dollars · held to the cent · shown as whole dollars  [derived by rule — confirm]</t>
        </is>
      </c>
      <c r="L30" s="3" t="inlineStr">
        <is>
          <t>$0, and under it the one line "Nothing entered yet. Add your bills ›" (mock approved 2026-09-12). A real zero that was entered shows a plain $0 with no line.</t>
        </is>
      </c>
      <c r="M30" t="inlineStr">
        <is>
          <t>One figure per person — or per household when two people share one record  [derived by rule — confirm]</t>
        </is>
      </c>
      <c r="N30" t="inlineStr">
        <is>
          <t>As of today, from the latest figures held  [derived by rule — confirm]</t>
        </is>
      </c>
      <c r="O30" t="inlineStr">
        <is>
          <t>No function on record — nothing to chain</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s="3" t="inlineStr">
        <is>
          <t>No finding on this row. That is not a statement that the row is right — only that nothing has been written against it.
G32 / Q48 — RULED 2026-09-09: $0 stays, with the sentence '$0 — nothing entered yet.' and this row's door ('Add your bills ›'). File written; the screen follows the approved empty-state mock (one pattern, one screen), then every screen.</t>
        </is>
      </c>
      <c r="AF30" t="inlineStr">
        <is>
          <t>ACTIVE</t>
        </is>
      </c>
      <c r="AG30" t="inlineStr">
        <is>
          <t>2026-08-27</t>
        </is>
      </c>
      <c r="AJ30" s="3" t="inlineStr">
        <is>
          <t>No function on record — nothing to read from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3" t="inlineStr">
        <is>
          <t>NOTHING OPEN</t>
        </is>
      </c>
    </row>
    <row r="31">
      <c r="A31" t="inlineStr"/>
      <c r="B31" t="inlineStr">
        <is>
          <t>Cashflow</t>
        </is>
      </c>
      <c r="C31" t="inlineStr">
        <is>
          <t>/add-account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c r="W31" t="inlineStr"/>
      <c r="X31" t="inlineStr">
        <is>
          <t>NOT DETERMINED</t>
        </is>
      </c>
      <c r="Y31" t="inlineStr">
        <is>
          <t>READ 2026-08-22 — no calculated figure on this screen</t>
        </is>
      </c>
    </row>
    <row r="32">
      <c r="A32" t="inlineStr"/>
      <c r="B32" t="inlineStr">
        <is>
          <t>Cashflow</t>
        </is>
      </c>
      <c r="C32" t="inlineStr">
        <is>
          <t>/onboarding</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Cashflow</t>
        </is>
      </c>
      <c r="C33" t="inlineStr">
        <is>
          <t>/performance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the same screen as /invest, reached by a second route</t>
        </is>
      </c>
    </row>
    <row r="34">
      <c r="A34" t="inlineStr">
        <is>
          <t>MK-CF-M-030</t>
        </is>
      </c>
      <c r="B34" t="inlineStr">
        <is>
          <t>Cashflow</t>
        </is>
      </c>
      <c r="C34" t="inlineStr">
        <is>
          <t>/base-pay</t>
        </is>
      </c>
      <c r="D34" t="inlineStr">
        <is>
          <t>Each person’s pay</t>
        </is>
      </c>
      <c r="E34" t="inlineStr">
        <is>
          <t>each_persons_pay</t>
        </is>
      </c>
      <c r="F34" t="inlineStr">
        <is>
          <t>basePay</t>
        </is>
      </c>
      <c r="G34" t="inlineStr">
        <is>
          <t>MK-CF-O-001</t>
        </is>
      </c>
      <c r="H34" t="inlineStr">
        <is>
          <t>gross a year = the sum of every earner’s wage, each annualised from the rhythm they are paid in</t>
        </is>
      </c>
      <c r="I34" t="inlineStr">
        <is>
          <t>gross a year = the sum of every earner’s wage, each annualised from the rhythm they are paid in</t>
        </is>
      </c>
      <c r="J34" t="inlineStr">
        <is>
          <t>MK-CF-I-001 wage
MK-CF-I-002 how often it is paid
MK-XS-I-021 spouse wage</t>
        </is>
      </c>
      <c r="K34" t="inlineStr">
        <is>
          <t>dollars, whole a year</t>
        </is>
      </c>
      <c r="L34" t="inlineStr">
        <is>
          <t>Shows $0 until a wage is entered; the screen offers the door to enter one.</t>
        </is>
      </c>
      <c r="M34" t="inlineStr">
        <is>
          <t>one figure per household</t>
        </is>
      </c>
      <c r="N34" t="inlineStr">
        <is>
          <t>a year</t>
        </is>
      </c>
      <c r="O34"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4" t="inlineStr">
        <is>
          <t>Declared by MK-CF-O-001 basePay</t>
        </is>
      </c>
      <c r="Q34" t="inlineStr">
        <is>
          <t>A wage entered for a rhythm is annualised by that rhythm, never by a flat twelve.</t>
        </is>
      </c>
      <c r="R34" t="inlineStr">
        <is>
          <t>A wage entered for a rhythm is annualised by that rhythm, never by a flat twelve.</t>
        </is>
      </c>
      <c r="S34" t="inlineStr"/>
      <c r="T34" t="inlineStr">
        <is>
          <t>A wage entered for a rhythm is annualised by that rhythm, never by a flat twelve.</t>
        </is>
      </c>
      <c r="U34" t="inlineStr"/>
      <c r="V34" t="inlineStr"/>
      <c r="W34" t="inlineStr"/>
      <c r="X34" t="inlineStr"/>
      <c r="Y34" t="inlineStr"/>
      <c r="Z34" t="inlineStr">
        <is>
          <t>DECLARED IN THE CODE (rule 11) — printed from the door, not typed. RULED 2026-09-14</t>
        </is>
      </c>
      <c r="AA34" t="inlineStr"/>
      <c r="AB34" t="inlineStr"/>
      <c r="AC34" t="inlineStr"/>
      <c r="AD34" t="inlineStr"/>
      <c r="AE34" t="inlineStr"/>
      <c r="AF34" t="inlineStr">
        <is>
          <t>ACTIVE</t>
        </is>
      </c>
      <c r="AG34" t="inlineStr">
        <is>
          <t>2026-09-26</t>
        </is>
      </c>
      <c r="AH34" t="inlineStr"/>
      <c r="AI34" t="inlineStr"/>
      <c r="AJ34"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t="inlineStr"/>
      <c r="AM34" t="inlineStr"/>
      <c r="AN34" s="6" t="inlineStr">
        <is>
          <t>TESTED, NOT VERIFIED (Orchestrator rule 11)</t>
        </is>
      </c>
    </row>
    <row r="35">
      <c r="A35" t="inlineStr">
        <is>
          <t>MK-CF-M-031</t>
        </is>
      </c>
      <c r="B35" t="inlineStr">
        <is>
          <t>Cashflow</t>
        </is>
      </c>
      <c r="C35" t="inlineStr">
        <is>
          <t>/base-pay · /cashflow</t>
        </is>
      </c>
      <c r="D35" t="inlineStr">
        <is>
          <t>Take-home</t>
        </is>
      </c>
      <c r="E35" t="inlineStr">
        <is>
          <t>takehome</t>
        </is>
      </c>
      <c r="F35" t="inlineStr">
        <is>
          <t>basePay</t>
        </is>
      </c>
      <c r="G35" t="inlineStr">
        <is>
          <t>MK-CF-O-001</t>
        </is>
      </c>
      <c r="H35" t="inlineStr">
        <is>
          <t>for one earner: what they entered, or their gross less federal tax less their own 401(k). For the household: the sum of the earners’ figures, never a second calculation.</t>
        </is>
      </c>
      <c r="I35" t="inlineStr">
        <is>
          <t>for one earner: what they entered, or their gross less federal tax less their own 401(k). For the household: the sum of the earners’ figures, never a second calculation.</t>
        </is>
      </c>
      <c r="J35" t="inlineStr">
        <is>
          <t>MK-CF-I-001 wage
MK-CF-I-003 take-home as entered
MK-CF-I-004 401(k) contribution
MK-CF-I-005 tax rate as entered</t>
        </is>
      </c>
      <c r="K35" t="inlineStr">
        <is>
          <t>dollars, whole a month</t>
        </is>
      </c>
      <c r="L35" t="inlineStr">
        <is>
          <t>Shows $0 until a wage is entered.</t>
        </is>
      </c>
      <c r="M35" t="inlineStr">
        <is>
          <t>one figure per household</t>
        </is>
      </c>
      <c r="N35" t="inlineStr">
        <is>
          <t>a month</t>
        </is>
      </c>
      <c r="O35"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5" t="inlineStr">
        <is>
          <t>Declared by MK-CF-O-001 basePay</t>
        </is>
      </c>
      <c r="Q35" t="inlineStr">
        <is>
          <t>Federal income tax only when it is calculated — no Social Security, Medicare or state tax (MK-CF-D-001).</t>
        </is>
      </c>
      <c r="R35" t="inlineStr">
        <is>
          <t>Federal income tax only when it is calculated — no Social Security, Medicare or state tax (MK-CF-D-001).</t>
        </is>
      </c>
      <c r="S35" t="inlineStr"/>
      <c r="T35" t="inlineStr">
        <is>
          <t>Federal income tax only when it is calculated — no Social Security, Medicare or state tax (MK-CF-D-001).</t>
        </is>
      </c>
      <c r="U35" t="inlineStr">
        <is>
          <t>ONE figure over two sets: one earner, and the household — so a total and its parts cannot disagree (rule 2). It wears ≈ whenever the figure was calculated rather than entered.</t>
        </is>
      </c>
      <c r="V35" t="inlineStr"/>
      <c r="W35" t="inlineStr"/>
      <c r="X35" t="inlineStr"/>
      <c r="Y35" t="inlineStr"/>
      <c r="Z35" t="inlineStr">
        <is>
          <t>DECLARED IN THE CODE (rule 11) — printed from the door, not typed. RULED 2026-09-14</t>
        </is>
      </c>
      <c r="AA35" t="inlineStr"/>
      <c r="AB35" t="inlineStr"/>
      <c r="AC35" t="inlineStr"/>
      <c r="AD35" t="inlineStr"/>
      <c r="AE35" t="inlineStr"/>
      <c r="AF35" t="inlineStr">
        <is>
          <t>ACTIVE</t>
        </is>
      </c>
      <c r="AG35" t="inlineStr">
        <is>
          <t>2026-09-26</t>
        </is>
      </c>
      <c r="AH35" t="inlineStr"/>
      <c r="AI35" t="inlineStr"/>
      <c r="AJ3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t="inlineStr"/>
      <c r="AM35" t="inlineStr"/>
      <c r="AN35" s="3" t="inlineStr">
        <is>
          <t>NOTHING OPEN</t>
        </is>
      </c>
    </row>
    <row r="36">
      <c r="A36" t="inlineStr">
        <is>
          <t>MK-CF-M-032</t>
        </is>
      </c>
      <c r="B36" t="inlineStr">
        <is>
          <t>Cashflow</t>
        </is>
      </c>
      <c r="C36" t="inlineStr">
        <is>
          <t>/base-pay</t>
        </is>
      </c>
      <c r="D36" t="inlineStr">
        <is>
          <t>Federal tax bracket</t>
        </is>
      </c>
      <c r="E36" t="inlineStr">
        <is>
          <t>federal_tax_bracket</t>
        </is>
      </c>
      <c r="F36" t="inlineStr">
        <is>
          <t>basePay</t>
        </is>
      </c>
      <c r="G36" t="inlineStr">
        <is>
          <t>MK-CF-O-001</t>
        </is>
      </c>
      <c r="H36" t="inlineStr">
        <is>
          <t>the published bracket the household’s gross falls in, for their filing status</t>
        </is>
      </c>
      <c r="I36" t="inlineStr">
        <is>
          <t>the published bracket the household’s gross falls in, for their filing status</t>
        </is>
      </c>
      <c r="J36" t="inlineStr">
        <is>
          <t>MK-CF-M-030 gross a year
MK-XS-I-024 filing status</t>
        </is>
      </c>
      <c r="K36" t="inlineStr">
        <is>
          <t>a percentage, whole</t>
        </is>
      </c>
      <c r="L36" t="inlineStr">
        <is>
          <t>The row is not shown until a wage is entered.</t>
        </is>
      </c>
      <c r="M36" t="inlineStr">
        <is>
          <t>one figure per household</t>
        </is>
      </c>
      <c r="N36" t="inlineStr">
        <is>
          <t>as of today</t>
        </is>
      </c>
      <c r="O36"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6" t="inlineStr">
        <is>
          <t>Declared by MK-CF-O-001 basePay</t>
        </is>
      </c>
      <c r="Q36" t="inlineStr">
        <is>
          <t>Filing status is assumed to be jointly when two people earn and nobody has said (MK-CF-D-004).</t>
        </is>
      </c>
      <c r="R36" t="inlineStr">
        <is>
          <t>Filing status is assumed to be jointly when two people earn and nobody has said (MK-CF-D-004).</t>
        </is>
      </c>
      <c r="S36" t="inlineStr"/>
      <c r="T36" t="inlineStr">
        <is>
          <t>Filing status is assumed to be jointly when two people earn and nobody has said (MK-CF-D-004).</t>
        </is>
      </c>
      <c r="U36" t="inlineStr"/>
      <c r="V36" t="inlineStr"/>
      <c r="W36" t="inlineStr"/>
      <c r="X36" t="inlineStr"/>
      <c r="Y36" t="inlineStr"/>
      <c r="Z36" t="inlineStr">
        <is>
          <t>DECLARED IN THE CODE (rule 11) — printed from the door, not typed. RULED 2026-09-14</t>
        </is>
      </c>
      <c r="AA36" t="inlineStr"/>
      <c r="AB36" t="inlineStr"/>
      <c r="AC36" t="inlineStr"/>
      <c r="AD36" t="inlineStr"/>
      <c r="AE36" t="inlineStr"/>
      <c r="AF36" t="inlineStr">
        <is>
          <t>ACTIVE</t>
        </is>
      </c>
      <c r="AG36" t="inlineStr">
        <is>
          <t>2026-09-26</t>
        </is>
      </c>
      <c r="AH36" t="inlineStr"/>
      <c r="AI36" t="inlineStr"/>
      <c r="AJ3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t="inlineStr"/>
      <c r="AM36" t="inlineStr"/>
      <c r="AN36" s="3" t="inlineStr">
        <is>
          <t>NOTHING OPEN</t>
        </is>
      </c>
    </row>
    <row r="37">
      <c r="A37" t="inlineStr">
        <is>
          <t>MK-CF-M-033</t>
        </is>
      </c>
      <c r="B37" t="inlineStr">
        <is>
          <t>Cashflow</t>
        </is>
      </c>
      <c r="C37" t="inlineStr">
        <is>
          <t>/base-pay</t>
        </is>
      </c>
      <c r="D37" t="inlineStr">
        <is>
          <t>Calculated federal tax</t>
        </is>
      </c>
      <c r="E37" t="inlineStr">
        <is>
          <t>calculated_federal_tax</t>
        </is>
      </c>
      <c r="F37" t="inlineStr">
        <is>
          <t>basePay</t>
        </is>
      </c>
      <c r="G37" t="inlineStr">
        <is>
          <t>MK-CF-O-001</t>
        </is>
      </c>
      <c r="H37" t="inlineStr">
        <is>
          <t>tax a month = federal tax on (gross less the standard deduction, at the published bands) ÷ 12</t>
        </is>
      </c>
      <c r="I37" t="inlineStr">
        <is>
          <t>tax a month = federal tax on (gross less the standard deduction, at the published bands) ÷ 12</t>
        </is>
      </c>
      <c r="J37" t="inlineStr">
        <is>
          <t>MK-CF-M-030 gross a year
MK-XS-I-024 filing status
MK-XS-I-025 how many are over 65</t>
        </is>
      </c>
      <c r="K37" t="inlineStr">
        <is>
          <t>dollars, whole a month</t>
        </is>
      </c>
      <c r="L37" t="inlineStr">
        <is>
          <t>The row appears only when the figure is ours; an entered take-home already has tax inside it.</t>
        </is>
      </c>
      <c r="M37" t="inlineStr">
        <is>
          <t>one figure per household</t>
        </is>
      </c>
      <c r="N37" t="inlineStr">
        <is>
          <t>a month</t>
        </is>
      </c>
      <c r="O37"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7" t="inlineStr">
        <is>
          <t>Declared by MK-CF-O-001 basePay</t>
        </is>
      </c>
      <c r="Q37" t="inlineStr">
        <is>
          <t>Assumes the standard deduction, never itemised (MK-CF-D-002).</t>
        </is>
      </c>
      <c r="R37" t="inlineStr">
        <is>
          <t>Assumes the standard deduction, never itemised (MK-CF-D-002).</t>
        </is>
      </c>
      <c r="S37" t="inlineStr"/>
      <c r="T37" t="inlineStr">
        <is>
          <t>Assumes the standard deduction, never itemised (MK-CF-D-002).</t>
        </is>
      </c>
      <c r="U37" t="inlineStr"/>
      <c r="V37" t="inlineStr"/>
      <c r="W37" t="inlineStr"/>
      <c r="X37" t="inlineStr"/>
      <c r="Y37" t="inlineStr"/>
      <c r="Z37" t="inlineStr">
        <is>
          <t>DECLARED IN THE CODE (rule 11) — printed from the door, not typed. RULED 2026-09-14</t>
        </is>
      </c>
      <c r="AA37" t="inlineStr"/>
      <c r="AB37" t="inlineStr"/>
      <c r="AC37" t="inlineStr"/>
      <c r="AD37" t="inlineStr"/>
      <c r="AE37" t="inlineStr"/>
      <c r="AF37" t="inlineStr">
        <is>
          <t>ACTIVE</t>
        </is>
      </c>
      <c r="AG37" t="inlineStr">
        <is>
          <t>2026-09-26</t>
        </is>
      </c>
      <c r="AH37" t="inlineStr"/>
      <c r="AI37" t="inlineStr"/>
      <c r="AJ3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t="inlineStr"/>
      <c r="AM37" t="inlineStr"/>
      <c r="AN37" s="3" t="inlineStr">
        <is>
          <t>NOTHING OPEN</t>
        </is>
      </c>
    </row>
    <row r="38">
      <c r="A38" t="inlineStr">
        <is>
          <t>MK-CF-M-034</t>
        </is>
      </c>
      <c r="B38" t="inlineStr">
        <is>
          <t>Cashflow</t>
        </is>
      </c>
      <c r="C38" t="inlineStr">
        <is>
          <t>/base-pay</t>
        </is>
      </c>
      <c r="D38" t="inlineStr">
        <is>
          <t>Your 401(k)s</t>
        </is>
      </c>
      <c r="E38" t="inlineStr">
        <is>
          <t>your_401ks</t>
        </is>
      </c>
      <c r="F38" t="inlineStr">
        <is>
          <t>basePay</t>
        </is>
      </c>
      <c r="G38" t="inlineStr">
        <is>
          <t>MK-CF-O-001</t>
        </is>
      </c>
      <c r="H38" t="inlineStr">
        <is>
          <t>401(k) a month = the sum of every earner’s own contribution, the employer’s match excluded</t>
        </is>
      </c>
      <c r="I38" t="inlineStr">
        <is>
          <t>401(k) a month = the sum of every earner’s own contribution, the employer’s match excluded</t>
        </is>
      </c>
      <c r="J38" t="inlineStr">
        <is>
          <t>MK-CF-I-004 401(k) contribution</t>
        </is>
      </c>
      <c r="K38" t="inlineStr">
        <is>
          <t>dollars, whole a month</t>
        </is>
      </c>
      <c r="L38" t="inlineStr">
        <is>
          <t>The row is hidden when nobody contributes.</t>
        </is>
      </c>
      <c r="M38" t="inlineStr">
        <is>
          <t>one figure per household</t>
        </is>
      </c>
      <c r="N38" t="inlineStr">
        <is>
          <t>a month</t>
        </is>
      </c>
      <c r="O38"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8" t="inlineStr">
        <is>
          <t>Declared by MK-CF-O-001 basePay</t>
        </is>
      </c>
      <c r="Q38" t="inlineStr">
        <is>
          <t>The employer’s match is not counted here — it is not taken out of take-home (MK-CF-D-003).</t>
        </is>
      </c>
      <c r="R38" t="inlineStr">
        <is>
          <t>The employer’s match is not counted here — it is not taken out of take-home (MK-CF-D-003).</t>
        </is>
      </c>
      <c r="S38" t="inlineStr"/>
      <c r="T38" t="inlineStr">
        <is>
          <t>The employer’s match is not counted here — it is not taken out of take-home (MK-CF-D-003).</t>
        </is>
      </c>
      <c r="U38" t="inlineStr"/>
      <c r="V38" t="inlineStr"/>
      <c r="W38" t="inlineStr"/>
      <c r="X38" t="inlineStr"/>
      <c r="Y38" t="inlineStr"/>
      <c r="Z38" t="inlineStr">
        <is>
          <t>DECLARED IN THE CODE (rule 11) — printed from the door, not typed. RULED 2026-09-14</t>
        </is>
      </c>
      <c r="AA38" t="inlineStr"/>
      <c r="AB38" t="inlineStr"/>
      <c r="AC38" t="inlineStr"/>
      <c r="AD38" t="inlineStr"/>
      <c r="AE38" t="inlineStr"/>
      <c r="AF38" t="inlineStr">
        <is>
          <t>ACTIVE</t>
        </is>
      </c>
      <c r="AG38" t="inlineStr">
        <is>
          <t>2026-09-26</t>
        </is>
      </c>
      <c r="AH38" t="inlineStr"/>
      <c r="AI38" t="inlineStr"/>
      <c r="AJ3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t="inlineStr"/>
      <c r="AM38" t="inlineStr"/>
      <c r="AN38" s="3" t="inlineStr">
        <is>
          <t>NOTHING OPEN</t>
        </is>
      </c>
    </row>
    <row r="39">
      <c r="A39" t="inlineStr">
        <is>
          <t>MK-CF-M-035</t>
        </is>
      </c>
      <c r="B39" t="inlineStr">
        <is>
          <t>Cashflow</t>
        </is>
      </c>
      <c r="C39" t="inlineStr">
        <is>
          <t>/base-pay</t>
        </is>
      </c>
      <c r="D39" t="inlineStr">
        <is>
          <t>The take-home above is higher than it will really be</t>
        </is>
      </c>
      <c r="E39" t="inlineStr">
        <is>
          <t>the_takehome_above_is_higher_than_it_wil</t>
        </is>
      </c>
      <c r="F39" t="inlineStr">
        <is>
          <t>basePay</t>
        </is>
      </c>
      <c r="G39" t="inlineStr">
        <is>
          <t>MK-CF-O-001</t>
        </is>
      </c>
      <c r="H39" t="inlineStr">
        <is>
          <t>overstated by = Σ over earners of (Social Security 6.2% of the wage up to the wage base + Medicare 1.45% of the whole wage + 0.9% of the wage above the additional-tax threshold) ÷ 12</t>
        </is>
      </c>
      <c r="I39" t="inlineStr">
        <is>
          <t>overstated by = Σ over earners of (Social Security 6.2% of the wage up to the wage base + Medicare 1.45% of the whole wage + 0.9% of the wage above the additional-tax threshold) ÷ 12</t>
        </is>
      </c>
      <c r="J39" t="inlineStr">
        <is>
          <t>MK-CF-I-001 wage
MK-ST-I-030 Social Security wage base
MK-ST-I-031 Medicare additional-tax threshold</t>
        </is>
      </c>
      <c r="K39" t="inlineStr">
        <is>
          <t>dollars, whole a month</t>
        </is>
      </c>
      <c r="L39" t="inlineStr">
        <is>
          <t>The warning appears only when the take-home is ours and estimated.</t>
        </is>
      </c>
      <c r="M39" t="inlineStr">
        <is>
          <t>one figure per household</t>
        </is>
      </c>
      <c r="N39" t="inlineStr">
        <is>
          <t>a month</t>
        </is>
      </c>
      <c r="O39"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9" t="inlineStr">
        <is>
          <t>Declared by MK-CF-O-001 basePay</t>
        </is>
      </c>
      <c r="Q39" t="inlineStr">
        <is>
          <t>State tax is not in this figure, because we do not know their state (MK-CF-D-005).</t>
        </is>
      </c>
      <c r="R39" t="inlineStr">
        <is>
          <t>State tax is not in this figure, because we do not know their state (MK-CF-D-005).</t>
        </is>
      </c>
      <c r="S39" t="inlineStr"/>
      <c r="T39" t="inlineStr">
        <is>
          <t>State tax is not in this figure, because we do not know their state (MK-CF-D-005).</t>
        </is>
      </c>
      <c r="U39" t="inlineStr"/>
      <c r="V39" t="inlineStr"/>
      <c r="W39" t="inlineStr"/>
      <c r="X39" t="inlineStr"/>
      <c r="Y39" t="inlineStr"/>
      <c r="Z39" t="inlineStr">
        <is>
          <t>DECLARED IN THE CODE (rule 11) — printed from the door, not typed. RULED 2026-09-14</t>
        </is>
      </c>
      <c r="AA39" t="inlineStr"/>
      <c r="AB39" t="inlineStr"/>
      <c r="AC39" t="inlineStr"/>
      <c r="AD39" t="inlineStr"/>
      <c r="AE39" t="inlineStr"/>
      <c r="AF39" t="inlineStr">
        <is>
          <t>ACTIVE</t>
        </is>
      </c>
      <c r="AG39" t="inlineStr">
        <is>
          <t>2026-09-26</t>
        </is>
      </c>
      <c r="AH39" t="inlineStr"/>
      <c r="AI39" t="inlineStr"/>
      <c r="AJ3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t="inlineStr"/>
      <c r="AM39" t="inlineStr"/>
      <c r="AN39" s="3" t="inlineStr">
        <is>
          <t>NOTHING OPEN</t>
        </is>
      </c>
    </row>
    <row r="40">
      <c r="A40" t="inlineStr">
        <is>
          <t>MK-CF-M-036</t>
        </is>
      </c>
      <c r="B40" t="inlineStr">
        <is>
          <t>Cashflow</t>
        </is>
      </c>
      <c r="C40" t="inlineStr">
        <is>
          <t>/base-pay</t>
        </is>
      </c>
      <c r="D40" t="inlineStr">
        <is>
          <t>Everything else taken out</t>
        </is>
      </c>
      <c r="E40" t="inlineStr">
        <is>
          <t>everything_else_taken_out</t>
        </is>
      </c>
      <c r="F40" t="inlineStr">
        <is>
          <t>basePay</t>
        </is>
      </c>
      <c r="G40" t="inlineStr">
        <is>
          <t>MK-CF-O-001</t>
        </is>
      </c>
      <c r="H40" t="inlineStr">
        <is>
          <t>for one earner: everything else = (their gross a year − their 401(k) a year − their take-home /year) ÷ 12. For the household: the sum of the earners’ figures, never a second subtraction.</t>
        </is>
      </c>
      <c r="I40" t="inlineStr">
        <is>
          <t>for one earner: everything else = (their gross a year − their 401(k) a year − their take-home /year) ÷ 12. For the household: the sum of the earners’ figures, never a second subtraction.</t>
        </is>
      </c>
      <c r="J40" t="inlineStr">
        <is>
          <t>MK-CF-I-001 wage
MK-CF-I-003 take-home as entered
MK-CF-I-004 401(k) contribution</t>
        </is>
      </c>
      <c r="K40" t="inlineStr">
        <is>
          <t>dollars, whole a month</t>
        </is>
      </c>
      <c r="L40" t="inlineStr">
        <is>
          <t>The row is hidden for anyone whose take-home was calculated rather than entered; the household row is hidden unless every earner entered one.</t>
        </is>
      </c>
      <c r="M40" t="inlineStr">
        <is>
          <t>one figure per household</t>
        </is>
      </c>
      <c r="N40" t="inlineStr">
        <is>
          <t>a month</t>
        </is>
      </c>
      <c r="O40"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40" t="inlineStr">
        <is>
          <t>Declared by MK-CF-O-001 basePay</t>
        </is>
      </c>
      <c r="Q40" t="inlineStr">
        <is>
          <t>Shown only when the person entered their own take-home, so the difference is theirs and not ours.
The household figure is the sum of the earners’, so a total and its parts cannot disagree (rule 2).</t>
        </is>
      </c>
      <c r="R40" t="inlineStr">
        <is>
          <t>Shown only when the person entered their own take-home, so the difference is theirs and not ours.
The household figure is the sum of the earners’, so a total and its parts cannot disagree (rule 2).</t>
        </is>
      </c>
      <c r="S40" t="inlineStr"/>
      <c r="T40" t="inlineStr">
        <is>
          <t>Shown only when the person entered their own take-home, so the difference is theirs and not ours.
The household figure is the sum of the earners’, so a total and its parts cannot disagree (rule 2).</t>
        </is>
      </c>
      <c r="U40" t="inlineStr">
        <is>
          <t>ONE figure over two sets: one earner, and the household. Moved off the screen into this door on 2026-09-14 — the base-pay card used to do the subtraction itself (rule 5).</t>
        </is>
      </c>
      <c r="V40" t="inlineStr"/>
      <c r="W40" t="inlineStr"/>
      <c r="X40" t="inlineStr"/>
      <c r="Y40" t="inlineStr"/>
      <c r="Z40" t="inlineStr">
        <is>
          <t>DECLARED IN THE CODE (rule 11) — printed from the door, not typed. RULED 2026-09-14</t>
        </is>
      </c>
      <c r="AA40" t="inlineStr"/>
      <c r="AB40" t="inlineStr"/>
      <c r="AC40" t="inlineStr"/>
      <c r="AD40" t="inlineStr"/>
      <c r="AE40" t="inlineStr"/>
      <c r="AF40" t="inlineStr">
        <is>
          <t>ACTIVE</t>
        </is>
      </c>
      <c r="AG40" t="inlineStr">
        <is>
          <t>2026-09-26</t>
        </is>
      </c>
      <c r="AH40" t="inlineStr"/>
      <c r="AI40" t="inlineStr"/>
      <c r="AJ4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t="inlineStr"/>
      <c r="AM40" t="inlineStr"/>
      <c r="AN40" s="3" t="inlineStr">
        <is>
          <t>NOTHING OPEN</t>
        </is>
      </c>
    </row>
    <row r="41">
      <c r="A41" t="inlineStr">
        <is>
          <t>MK-CF-M-037</t>
        </is>
      </c>
      <c r="B41" t="inlineStr">
        <is>
          <t>Cashflow</t>
        </is>
      </c>
      <c r="C41" t="inlineStr">
        <is>
          <t>/income-summary</t>
        </is>
      </c>
      <c r="D41" t="inlineStr">
        <is>
          <t>Take-home each month</t>
        </is>
      </c>
      <c r="E41" t="inlineStr">
        <is>
          <t>takehome_each_month</t>
        </is>
      </c>
      <c r="F41" t="inlineStr">
        <is>
          <t>incomeSummary</t>
        </is>
      </c>
      <c r="G41" t="inlineStr">
        <is>
          <t>MK-CF-O-004</t>
        </is>
      </c>
      <c r="H41" t="inlineStr">
        <is>
          <t>take-home a usual month = Σ of every source’s take-home in a usual month; a source that lands in one month of the year is not spread across twelve</t>
        </is>
      </c>
      <c r="I41" t="inlineStr">
        <is>
          <t>take-home a usual month = Σ of every source’s take-home in a usual month; a source that lands in one month of the year is not spread across twelve</t>
        </is>
      </c>
      <c r="J41" t="inlineStr">
        <is>
          <t>MK-CF-M-031 household take-home
MK-CF-I-006 other income
MK-CF-I-007 rental income
MK-CF-I-008 retirement income</t>
        </is>
      </c>
      <c r="K41" t="inlineStr">
        <is>
          <t>dollars, whole a month</t>
        </is>
      </c>
      <c r="L41" t="inlineStr">
        <is>
          <t>Shows $0 on a fresh account, with the door to enter income — never a dash.</t>
        </is>
      </c>
      <c r="M41" t="inlineStr">
        <is>
          <t>one figure per household</t>
        </is>
      </c>
      <c r="N41" t="inlineStr">
        <is>
          <t>a month</t>
        </is>
      </c>
      <c r="O41"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1" t="inlineStr">
        <is>
          <t>Declared by MK-CF-O-004 incomeSummary</t>
        </is>
      </c>
      <c r="Q41" t="inlineStr">
        <is>
          <t>A once-a-year source keeps its own month and is shown separately, never averaged in.</t>
        </is>
      </c>
      <c r="R41" t="inlineStr">
        <is>
          <t>A once-a-year source keeps its own month and is shown separately, never averaged in.</t>
        </is>
      </c>
      <c r="S41" t="inlineStr"/>
      <c r="T41" t="inlineStr">
        <is>
          <t>A once-a-year source keeps its own month and is shown separately, never averaged in.</t>
        </is>
      </c>
      <c r="U41" t="inlineStr"/>
      <c r="V41" t="inlineStr"/>
      <c r="W41" t="inlineStr"/>
      <c r="X41" t="inlineStr"/>
      <c r="Y41" t="inlineStr"/>
      <c r="Z41" t="inlineStr">
        <is>
          <t>DECLARED IN THE CODE (rule 11) — printed from the door, not typed. RULED 2026-09-14</t>
        </is>
      </c>
      <c r="AA41" t="inlineStr"/>
      <c r="AB41" t="inlineStr"/>
      <c r="AC41" t="inlineStr"/>
      <c r="AD41" t="inlineStr"/>
      <c r="AE41" t="inlineStr"/>
      <c r="AF41" t="inlineStr">
        <is>
          <t>ACTIVE</t>
        </is>
      </c>
      <c r="AG41" t="inlineStr">
        <is>
          <t>2026-09-26</t>
        </is>
      </c>
      <c r="AH41" t="inlineStr"/>
      <c r="AI41" t="inlineStr"/>
      <c r="AJ41"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t="inlineStr"/>
      <c r="AM41" t="inlineStr"/>
      <c r="AN41" s="3" t="inlineStr">
        <is>
          <t>NOTHING OPEN</t>
        </is>
      </c>
    </row>
    <row r="42">
      <c r="A42" t="inlineStr">
        <is>
          <t>MK-CF-M-038</t>
        </is>
      </c>
      <c r="B42" t="inlineStr">
        <is>
          <t>Cashflow</t>
        </is>
      </c>
      <c r="C42" t="inlineStr">
        <is>
          <t>/income-summary</t>
        </is>
      </c>
      <c r="D42" t="inlineStr">
        <is>
          <t>each source of take-home</t>
        </is>
      </c>
      <c r="E42" t="inlineStr">
        <is>
          <t>each_source_of_takehome</t>
        </is>
      </c>
      <c r="F42" t="inlineStr">
        <is>
          <t>incomeSummary</t>
        </is>
      </c>
      <c r="G42" t="inlineStr">
        <is>
          <t>MK-CF-O-004</t>
        </is>
      </c>
      <c r="H42" t="inlineStr">
        <is>
          <t>one line per source: the earner’s take-home, or the source’s monthly amount</t>
        </is>
      </c>
      <c r="I42" t="inlineStr">
        <is>
          <t>one line per source: the earner’s take-home, or the source’s monthly amount</t>
        </is>
      </c>
      <c r="J42" t="inlineStr">
        <is>
          <t>MK-CF-M-031 household take-home
MK-CF-I-006 other income
MK-CF-I-007 rental income</t>
        </is>
      </c>
      <c r="K42" t="inlineStr">
        <is>
          <t>dollars, whole a month</t>
        </is>
      </c>
      <c r="L42" t="inlineStr">
        <is>
          <t>The list is replaced by the door to enter income when nothing is entered.</t>
        </is>
      </c>
      <c r="M42" t="inlineStr">
        <is>
          <t>one figure per household</t>
        </is>
      </c>
      <c r="N42" t="inlineStr">
        <is>
          <t>a month</t>
        </is>
      </c>
      <c r="O42"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2" t="inlineStr">
        <is>
          <t>Declared by MK-CF-O-004 incomeSummary</t>
        </is>
      </c>
      <c r="Q42" t="inlineStr">
        <is>
          <t>NONE RECORDED — the declaration names none.</t>
        </is>
      </c>
      <c r="R42" t="inlineStr">
        <is>
          <t>NONE RECORDED — the declaration names none.</t>
        </is>
      </c>
      <c r="S42" t="inlineStr"/>
      <c r="T42" t="inlineStr">
        <is>
          <t>NONE RECORDED — the declaration names none.</t>
        </is>
      </c>
      <c r="U42" t="inlineStr"/>
      <c r="V42" t="inlineStr"/>
      <c r="W42" t="inlineStr"/>
      <c r="X42" t="inlineStr"/>
      <c r="Y42" t="inlineStr"/>
      <c r="Z42" t="inlineStr">
        <is>
          <t>DECLARED IN THE CODE (rule 11) — printed from the door, not typed. RULED 2026-09-14</t>
        </is>
      </c>
      <c r="AA42" t="inlineStr"/>
      <c r="AB42" t="inlineStr"/>
      <c r="AC42" t="inlineStr"/>
      <c r="AD42" t="inlineStr"/>
      <c r="AE42" t="inlineStr"/>
      <c r="AF42" t="inlineStr">
        <is>
          <t>ACTIVE</t>
        </is>
      </c>
      <c r="AG42" t="inlineStr">
        <is>
          <t>2026-09-26</t>
        </is>
      </c>
      <c r="AH42" t="inlineStr"/>
      <c r="AI42" t="inlineStr"/>
      <c r="AJ42"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t="inlineStr"/>
      <c r="AM42" t="inlineStr"/>
      <c r="AN42" s="3" t="inlineStr">
        <is>
          <t>NOTHING OPEN</t>
        </is>
      </c>
    </row>
    <row r="43">
      <c r="A43" t="inlineStr">
        <is>
          <t>MK-CF-M-039</t>
        </is>
      </c>
      <c r="B43" t="inlineStr">
        <is>
          <t>Cashflow</t>
        </is>
      </c>
      <c r="C43" t="inlineStr">
        <is>
          <t>/income-summary</t>
        </is>
      </c>
      <c r="D43" t="inlineStr">
        <is>
          <t>its own month, never spread</t>
        </is>
      </c>
      <c r="E43" t="inlineStr">
        <is>
          <t>its_own_month_never_spread</t>
        </is>
      </c>
      <c r="F43" t="inlineStr">
        <is>
          <t>incomeSummary</t>
        </is>
      </c>
      <c r="G43" t="inlineStr">
        <is>
          <t>MK-CF-O-004</t>
        </is>
      </c>
      <c r="H43" t="inlineStr">
        <is>
          <t>the standout month = the source whose whole year lands in a single month, with that amount and that month</t>
        </is>
      </c>
      <c r="I43" t="inlineStr">
        <is>
          <t>the standout month = the source whose whole year lands in a single month, with that amount and that month</t>
        </is>
      </c>
      <c r="J43" t="inlineStr">
        <is>
          <t>MK-CF-I-009 bonus
MK-CF-I-010 equity vesting</t>
        </is>
      </c>
      <c r="K43" t="inlineStr">
        <is>
          <t>dollars, whole</t>
        </is>
      </c>
      <c r="L43" t="inlineStr">
        <is>
          <t>The line is hidden when no source behaves this way.</t>
        </is>
      </c>
      <c r="M43" t="inlineStr">
        <is>
          <t>one figure per household</t>
        </is>
      </c>
      <c r="N43" t="inlineStr">
        <is>
          <t>as of today</t>
        </is>
      </c>
      <c r="O4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3" t="inlineStr">
        <is>
          <t>Declared by MK-CF-O-004 incomeSummary</t>
        </is>
      </c>
      <c r="Q43" t="inlineStr">
        <is>
          <t>A lump that lands once is never averaged across the year (founder, 2026-08-28).</t>
        </is>
      </c>
      <c r="R43" t="inlineStr">
        <is>
          <t>A lump that lands once is never averaged across the year (founder, 2026-08-28).</t>
        </is>
      </c>
      <c r="S43" t="inlineStr"/>
      <c r="T43" t="inlineStr">
        <is>
          <t>A lump that lands once is never averaged across the year (founder, 2026-08-28).</t>
        </is>
      </c>
      <c r="U43" t="inlineStr"/>
      <c r="V43" t="inlineStr"/>
      <c r="W43" t="inlineStr"/>
      <c r="X43" t="inlineStr"/>
      <c r="Y43" t="inlineStr"/>
      <c r="Z43" t="inlineStr">
        <is>
          <t>DECLARED IN THE CODE (rule 11) — printed from the door, not typed. RULED 2026-09-14</t>
        </is>
      </c>
      <c r="AA43" t="inlineStr"/>
      <c r="AB43" t="inlineStr"/>
      <c r="AC43" t="inlineStr"/>
      <c r="AD43" t="inlineStr"/>
      <c r="AE43" t="inlineStr"/>
      <c r="AF43" t="inlineStr">
        <is>
          <t>ACTIVE</t>
        </is>
      </c>
      <c r="AG43" t="inlineStr">
        <is>
          <t>2026-09-26</t>
        </is>
      </c>
      <c r="AH43" t="inlineStr"/>
      <c r="AI43" t="inlineStr"/>
      <c r="AJ43"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t="inlineStr"/>
      <c r="AM43" t="inlineStr"/>
      <c r="AN43" s="3" t="inlineStr">
        <is>
          <t>NOTHING OPEN</t>
        </is>
      </c>
    </row>
    <row r="44">
      <c r="A44" t="inlineStr">
        <is>
          <t>MK-CF-M-040</t>
        </is>
      </c>
      <c r="B44" t="inlineStr">
        <is>
          <t>Cashflow</t>
        </is>
      </c>
      <c r="C44" t="inlineStr">
        <is>
          <t>/income-summary</t>
        </is>
      </c>
      <c r="D44" t="inlineStr">
        <is>
          <t>is not here — it is reinvested where it is earned</t>
        </is>
      </c>
      <c r="E44" t="inlineStr">
        <is>
          <t>is_not_here__it_is_reinvested_where_it_i</t>
        </is>
      </c>
      <c r="F44" t="inlineStr">
        <is>
          <t>incomeSummary</t>
        </is>
      </c>
      <c r="G44" t="inlineStr">
        <is>
          <t>MK-CF-O-004</t>
        </is>
      </c>
      <c r="H44" t="inlineStr">
        <is>
          <t>taxed but not landed = interest and dividends earned inside accounts, which stay where they are earned</t>
        </is>
      </c>
      <c r="I44" t="inlineStr">
        <is>
          <t>taxed but not landed = interest and dividends earned inside accounts, which stay where they are earned</t>
        </is>
      </c>
      <c r="J44" t="inlineStr">
        <is>
          <t>MK-CF-I-011 interest and dividends</t>
        </is>
      </c>
      <c r="K44" t="inlineStr">
        <is>
          <t>dollars, whole a month</t>
        </is>
      </c>
      <c r="L44" t="inlineStr">
        <is>
          <t>The sentence is hidden when there is none.</t>
        </is>
      </c>
      <c r="M44" t="inlineStr">
        <is>
          <t>one figure per household</t>
        </is>
      </c>
      <c r="N44" t="inlineStr">
        <is>
          <t>a month</t>
        </is>
      </c>
      <c r="O44"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4" t="inlineStr">
        <is>
          <t>Declared by MK-CF-O-004 incomeSummary</t>
        </is>
      </c>
      <c r="Q44" t="inlineStr">
        <is>
          <t>NONE RECORDED — the declaration names none.</t>
        </is>
      </c>
      <c r="R44" t="inlineStr">
        <is>
          <t>NONE RECORDED — the declaration names none.</t>
        </is>
      </c>
      <c r="S44" t="inlineStr"/>
      <c r="T44" t="inlineStr">
        <is>
          <t>NONE RECORDED — the declaration names none.</t>
        </is>
      </c>
      <c r="U44" t="inlineStr"/>
      <c r="V44" t="inlineStr"/>
      <c r="W44" t="inlineStr"/>
      <c r="X44" t="inlineStr"/>
      <c r="Y44" t="inlineStr"/>
      <c r="Z44" t="inlineStr">
        <is>
          <t>DECLARED IN THE CODE (rule 11) — printed from the door, not typed. RULED 2026-09-14</t>
        </is>
      </c>
      <c r="AA44" t="inlineStr"/>
      <c r="AB44" t="inlineStr"/>
      <c r="AC44" t="inlineStr"/>
      <c r="AD44" t="inlineStr"/>
      <c r="AE44" t="inlineStr"/>
      <c r="AF44" t="inlineStr">
        <is>
          <t>ACTIVE</t>
        </is>
      </c>
      <c r="AG44" t="inlineStr">
        <is>
          <t>2026-09-26</t>
        </is>
      </c>
      <c r="AH44" t="inlineStr"/>
      <c r="AI44" t="inlineStr"/>
      <c r="AJ44"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t="inlineStr"/>
      <c r="AM44" t="inlineStr"/>
      <c r="AN44" s="3" t="inlineStr">
        <is>
          <t>NOTHING OPEN</t>
        </is>
      </c>
    </row>
    <row r="45">
      <c r="A45" t="inlineStr">
        <is>
          <t>MK-CF-M-041</t>
        </is>
      </c>
      <c r="B45" t="inlineStr">
        <is>
          <t>Cashflow</t>
        </is>
      </c>
      <c r="C45" t="inlineStr">
        <is>
          <t>/income-summary</t>
        </is>
      </c>
      <c r="D45" t="inlineStr">
        <is>
          <t>What it is taxed on</t>
        </is>
      </c>
      <c r="E45" t="inlineStr">
        <is>
          <t>what_it_is_taxed_on</t>
        </is>
      </c>
      <c r="F45" t="inlineStr">
        <is>
          <t>incomeSummary</t>
        </is>
      </c>
      <c r="G45" t="inlineStr">
        <is>
          <t>MK-CF-O-004</t>
        </is>
      </c>
      <c r="H45" t="inlineStr">
        <is>
          <t>gross a year = Σ of every taxable source over the year, wages included at gross</t>
        </is>
      </c>
      <c r="I45" t="inlineStr">
        <is>
          <t>gross a year = Σ of every taxable source over the year, wages included at gross</t>
        </is>
      </c>
      <c r="J45" t="inlineStr">
        <is>
          <t>MK-CF-M-030 gross a year
MK-CF-I-006 other income
MK-CF-I-007 rental income
MK-CF-I-011 interest and dividends</t>
        </is>
      </c>
      <c r="K45" t="inlineStr">
        <is>
          <t>dollars, whole a year</t>
        </is>
      </c>
      <c r="L45" t="inlineStr">
        <is>
          <t>Shows $0 on a fresh account, with the door to enter income.</t>
        </is>
      </c>
      <c r="M45" t="inlineStr">
        <is>
          <t>one figure per household</t>
        </is>
      </c>
      <c r="N45" t="inlineStr">
        <is>
          <t>a year</t>
        </is>
      </c>
      <c r="O45"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5" t="inlineStr">
        <is>
          <t>Declared by MK-CF-O-004 incomeSummary</t>
        </is>
      </c>
      <c r="Q45" t="inlineStr">
        <is>
          <t>NONE RECORDED — the declaration names none.</t>
        </is>
      </c>
      <c r="R45" t="inlineStr">
        <is>
          <t>NONE RECORDED — the declaration names none.</t>
        </is>
      </c>
      <c r="S45" t="inlineStr"/>
      <c r="T45" t="inlineStr">
        <is>
          <t>NONE RECORDED — the declaration names none.</t>
        </is>
      </c>
      <c r="U45" t="inlineStr"/>
      <c r="V45" t="inlineStr"/>
      <c r="W45" t="inlineStr"/>
      <c r="X45" t="inlineStr"/>
      <c r="Y45" t="inlineStr"/>
      <c r="Z45" t="inlineStr">
        <is>
          <t>DECLARED IN THE CODE (rule 11) — printed from the door, not typed. RULED 2026-09-14</t>
        </is>
      </c>
      <c r="AA45" t="inlineStr"/>
      <c r="AB45" t="inlineStr"/>
      <c r="AC45" t="inlineStr"/>
      <c r="AD45" t="inlineStr"/>
      <c r="AE45" t="inlineStr"/>
      <c r="AF45" t="inlineStr">
        <is>
          <t>ACTIVE</t>
        </is>
      </c>
      <c r="AG45" t="inlineStr">
        <is>
          <t>2026-09-26</t>
        </is>
      </c>
      <c r="AH45" t="inlineStr"/>
      <c r="AI45" t="inlineStr"/>
      <c r="AJ4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t="inlineStr"/>
      <c r="AM45" t="inlineStr"/>
      <c r="AN45" s="3" t="inlineStr">
        <is>
          <t>NOTHING OPEN</t>
        </is>
      </c>
    </row>
    <row r="46">
      <c r="A46" t="inlineStr">
        <is>
          <t>MK-CF-M-042</t>
        </is>
      </c>
      <c r="B46" t="inlineStr">
        <is>
          <t>Cashflow</t>
        </is>
      </c>
      <c r="C46" t="inlineStr">
        <is>
          <t>/income-summary</t>
        </is>
      </c>
      <c r="D46" t="inlineStr">
        <is>
          <t>each taxed source</t>
        </is>
      </c>
      <c r="E46" t="inlineStr">
        <is>
          <t>each_taxed_source</t>
        </is>
      </c>
      <c r="F46" t="inlineStr">
        <is>
          <t>incomeSummary</t>
        </is>
      </c>
      <c r="G46" t="inlineStr">
        <is>
          <t>MK-CF-O-004</t>
        </is>
      </c>
      <c r="H46" t="inlineStr">
        <is>
          <t>one line per taxable source, at its yearly amount</t>
        </is>
      </c>
      <c r="I46" t="inlineStr">
        <is>
          <t>one line per taxable source, at its yearly amount</t>
        </is>
      </c>
      <c r="J46" t="inlineStr">
        <is>
          <t>MK-CF-M-041 gross a year</t>
        </is>
      </c>
      <c r="K46" t="inlineStr">
        <is>
          <t>dollars, whole a year</t>
        </is>
      </c>
      <c r="L46" t="inlineStr">
        <is>
          <t>The list is replaced by the door to enter income when nothing is entered.</t>
        </is>
      </c>
      <c r="M46" t="inlineStr">
        <is>
          <t>one figure per household</t>
        </is>
      </c>
      <c r="N46" t="inlineStr">
        <is>
          <t>a year</t>
        </is>
      </c>
      <c r="O46"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t="inlineStr">
        <is>
          <t>Declared by MK-CF-O-004 incomeSummary</t>
        </is>
      </c>
      <c r="Q46" t="inlineStr">
        <is>
          <t>NONE RECORDED — the declaration names none.</t>
        </is>
      </c>
      <c r="R46" t="inlineStr">
        <is>
          <t>NONE RECORDED — the declaration names none.</t>
        </is>
      </c>
      <c r="S46" t="inlineStr"/>
      <c r="T46" t="inlineStr">
        <is>
          <t>NONE RECORDED — the declaration names none.</t>
        </is>
      </c>
      <c r="U46" t="inlineStr"/>
      <c r="V46" t="inlineStr"/>
      <c r="W46" t="inlineStr"/>
      <c r="X46" t="inlineStr"/>
      <c r="Y46" t="inlineStr"/>
      <c r="Z46" t="inlineStr">
        <is>
          <t>DECLARED IN THE CODE (rule 11) — printed from the door, not typed. RULED 2026-09-14</t>
        </is>
      </c>
      <c r="AA46" t="inlineStr"/>
      <c r="AB46" t="inlineStr"/>
      <c r="AC46" t="inlineStr"/>
      <c r="AD46" t="inlineStr"/>
      <c r="AE46" t="inlineStr"/>
      <c r="AF46" t="inlineStr">
        <is>
          <t>ACTIVE</t>
        </is>
      </c>
      <c r="AG46" t="inlineStr">
        <is>
          <t>2026-09-26</t>
        </is>
      </c>
      <c r="AH46" t="inlineStr"/>
      <c r="AI46" t="inlineStr"/>
      <c r="AJ4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t="inlineStr"/>
      <c r="AM46" t="inlineStr"/>
      <c r="AN46" s="3" t="inlineStr">
        <is>
          <t>NOTHING OPEN</t>
        </is>
      </c>
    </row>
    <row r="47">
      <c r="A47" t="inlineStr">
        <is>
          <t>MK-CF-M-043</t>
        </is>
      </c>
      <c r="B47" t="inlineStr">
        <is>
          <t>Cashflow</t>
        </is>
      </c>
      <c r="C47" t="inlineStr">
        <is>
          <t>/income-summary</t>
        </is>
      </c>
      <c r="D47" t="inlineStr">
        <is>
          <t>Federal tax bracket</t>
        </is>
      </c>
      <c r="E47" t="inlineStr">
        <is>
          <t>federal_tax_bracket</t>
        </is>
      </c>
      <c r="F47" t="inlineStr">
        <is>
          <t>incomeSummary</t>
        </is>
      </c>
      <c r="G47" t="inlineStr">
        <is>
          <t>MK-CF-O-004</t>
        </is>
      </c>
      <c r="H47" t="inlineStr">
        <is>
          <t>the published bracket that the whole year’s gross falls in, for their filing status</t>
        </is>
      </c>
      <c r="I47" t="inlineStr">
        <is>
          <t>the published bracket that the whole year’s gross falls in, for their filing status</t>
        </is>
      </c>
      <c r="J47" t="inlineStr">
        <is>
          <t>MK-CF-M-041 gross a year
MK-XS-I-024 filing status</t>
        </is>
      </c>
      <c r="K47" t="inlineStr">
        <is>
          <t>a percentage, whole</t>
        </is>
      </c>
      <c r="L47" t="inlineStr">
        <is>
          <t>The row is not shown until income is entered.</t>
        </is>
      </c>
      <c r="M47" t="inlineStr">
        <is>
          <t>one figure per household</t>
        </is>
      </c>
      <c r="N47" t="inlineStr">
        <is>
          <t>as of today</t>
        </is>
      </c>
      <c r="O47"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t="inlineStr">
        <is>
          <t>Declared by MK-CF-O-004 incomeSummary</t>
        </is>
      </c>
      <c r="Q47" t="inlineStr">
        <is>
          <t>NONE RECORDED — the declaration names none.</t>
        </is>
      </c>
      <c r="R47" t="inlineStr">
        <is>
          <t>NONE RECORDED — the declaration names none.</t>
        </is>
      </c>
      <c r="S47" t="inlineStr"/>
      <c r="T47" t="inlineStr">
        <is>
          <t>NONE RECORDED — the declaration names none.</t>
        </is>
      </c>
      <c r="U47" t="inlineStr">
        <is>
          <t>The same concept as MK-CF-M-032 on the base-pay screen, over a wider base: that one counts wages, this one counts every source. Conflict C-5 on the orchestrator map asks whether they stay two figures.</t>
        </is>
      </c>
      <c r="V47" t="inlineStr"/>
      <c r="W47" t="inlineStr"/>
      <c r="X47" t="inlineStr"/>
      <c r="Y47" t="inlineStr"/>
      <c r="Z47" t="inlineStr">
        <is>
          <t>DECLARED IN THE CODE (rule 11) — printed from the door, not typed. RULED 2026-09-14</t>
        </is>
      </c>
      <c r="AA47" t="inlineStr"/>
      <c r="AB47" t="inlineStr"/>
      <c r="AC47" t="inlineStr"/>
      <c r="AD47" t="inlineStr"/>
      <c r="AE47" t="inlineStr"/>
      <c r="AF47" t="inlineStr">
        <is>
          <t>ACTIVE</t>
        </is>
      </c>
      <c r="AG47" t="inlineStr">
        <is>
          <t>2026-09-26</t>
        </is>
      </c>
      <c r="AH47" t="inlineStr"/>
      <c r="AI47" t="inlineStr"/>
      <c r="AJ4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t="inlineStr"/>
      <c r="AM47" t="inlineStr"/>
      <c r="AN47" s="3" t="inlineStr">
        <is>
          <t>NOTHING OPEN</t>
        </is>
      </c>
    </row>
    <row r="48">
      <c r="A48" t="inlineStr">
        <is>
          <t>MK-CF-M-044</t>
        </is>
      </c>
      <c r="B48" t="inlineStr">
        <is>
          <t>Cashflow</t>
        </is>
      </c>
      <c r="C48" t="inlineStr">
        <is>
          <t>/income-summary</t>
        </is>
      </c>
      <c r="D48" t="inlineStr">
        <is>
          <t>Calculated federal tax</t>
        </is>
      </c>
      <c r="E48" t="inlineStr">
        <is>
          <t>calculated_federal_tax</t>
        </is>
      </c>
      <c r="F48" t="inlineStr">
        <is>
          <t>incomeSummary</t>
        </is>
      </c>
      <c r="G48" t="inlineStr">
        <is>
          <t>MK-CF-O-004</t>
        </is>
      </c>
      <c r="H48" t="inlineStr">
        <is>
          <t>tax a year = the rate in force × the year’s gross; when it is ours, federal tax on gross less the standard deduction at the published bands</t>
        </is>
      </c>
      <c r="I48" t="inlineStr">
        <is>
          <t>tax a year = the rate in force × the year’s gross; when it is ours, federal tax on gross less the standard deduction at the published bands</t>
        </is>
      </c>
      <c r="J48" t="inlineStr">
        <is>
          <t>MK-CF-M-041 gross a year
MK-CF-I-005 tax rate as entered
MK-XS-I-024 filing status</t>
        </is>
      </c>
      <c r="K48" t="inlineStr">
        <is>
          <t>dollars, whole a year</t>
        </is>
      </c>
      <c r="L48" t="inlineStr">
        <is>
          <t>The row is not shown until income is entered.</t>
        </is>
      </c>
      <c r="M48" t="inlineStr">
        <is>
          <t>one figure per household</t>
        </is>
      </c>
      <c r="N48" t="inlineStr">
        <is>
          <t>a year</t>
        </is>
      </c>
      <c r="O48"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t="inlineStr">
        <is>
          <t>Declared by MK-CF-O-004 incomeSummary</t>
        </is>
      </c>
      <c r="Q48" t="inlineStr">
        <is>
          <t>When it is ours it assumes the standard deduction and is federal only (MK-CF-D-002).</t>
        </is>
      </c>
      <c r="R48" t="inlineStr">
        <is>
          <t>When it is ours it assumes the standard deduction and is federal only (MK-CF-D-002).</t>
        </is>
      </c>
      <c r="S48" t="inlineStr"/>
      <c r="T48" t="inlineStr">
        <is>
          <t>When it is ours it assumes the standard deduction and is federal only (MK-CF-D-002).</t>
        </is>
      </c>
      <c r="U48" t="inlineStr"/>
      <c r="V48" t="inlineStr"/>
      <c r="W48" t="inlineStr"/>
      <c r="X48" t="inlineStr"/>
      <c r="Y48" t="inlineStr"/>
      <c r="Z48" t="inlineStr">
        <is>
          <t>DECLARED IN THE CODE (rule 11) — printed from the door, not typed. RULED 2026-09-14</t>
        </is>
      </c>
      <c r="AA48" t="inlineStr"/>
      <c r="AB48" t="inlineStr"/>
      <c r="AC48" t="inlineStr"/>
      <c r="AD48" t="inlineStr"/>
      <c r="AE48" t="inlineStr"/>
      <c r="AF48" t="inlineStr">
        <is>
          <t>ACTIVE</t>
        </is>
      </c>
      <c r="AG48" t="inlineStr">
        <is>
          <t>2026-09-26</t>
        </is>
      </c>
      <c r="AH48" t="inlineStr"/>
      <c r="AI48" t="inlineStr"/>
      <c r="AJ4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t="inlineStr"/>
      <c r="AM48" t="inlineStr"/>
      <c r="AN48" s="3" t="inlineStr">
        <is>
          <t>NOTHING OPEN</t>
        </is>
      </c>
    </row>
    <row r="49">
      <c r="A49" t="inlineStr">
        <is>
          <t>MK-CF-M-045</t>
        </is>
      </c>
      <c r="B49" t="inlineStr">
        <is>
          <t>Cashflow</t>
        </is>
      </c>
      <c r="C49" t="inlineStr">
        <is>
          <t>/base-pay</t>
        </is>
      </c>
      <c r="D49" t="inlineStr">
        <is>
          <t>Social Security takes 6.2% of a wage up to</t>
        </is>
      </c>
      <c r="E49" t="inlineStr">
        <is>
          <t>social_security_takes_62_of_a_wage_up_to</t>
        </is>
      </c>
      <c r="F49" t="inlineStr">
        <is>
          <t>basePay</t>
        </is>
      </c>
      <c r="G49" t="inlineStr">
        <is>
          <t>MK-CF-O-001</t>
        </is>
      </c>
      <c r="H49" t="inlineStr">
        <is>
          <t>the published wage base for the tax year</t>
        </is>
      </c>
      <c r="I49" t="inlineStr">
        <is>
          <t>the published wage base for the tax year</t>
        </is>
      </c>
      <c r="J49" t="inlineStr">
        <is>
          <t>MK-ST-I-030 Social Security wage base</t>
        </is>
      </c>
      <c r="K49" t="inlineStr">
        <is>
          <t>dollars, whole a year</t>
        </is>
      </c>
      <c r="L49" t="inlineStr">
        <is>
          <t>Never absent — it is a published figure, not a calculation.</t>
        </is>
      </c>
      <c r="M49" t="inlineStr">
        <is>
          <t>one figure per household</t>
        </is>
      </c>
      <c r="N49" t="inlineStr">
        <is>
          <t>a year</t>
        </is>
      </c>
      <c r="O49"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49" t="inlineStr">
        <is>
          <t>Declared by MK-CF-O-001 basePay</t>
        </is>
      </c>
      <c r="Q49" t="inlineStr">
        <is>
          <t>Published figure — the source and the year it applies to are on the master file’s Reference tab (guard D4).</t>
        </is>
      </c>
      <c r="R49" t="inlineStr">
        <is>
          <t>Published figure — the source and the year it applies to are on the master file’s Reference tab (guard D4).</t>
        </is>
      </c>
      <c r="S49" t="inlineStr"/>
      <c r="T49" t="inlineStr">
        <is>
          <t>Published figure — the source and the year it applies to are on the master file’s Reference tab (guard D4).</t>
        </is>
      </c>
      <c r="U49" t="inlineStr"/>
      <c r="V49" t="inlineStr"/>
      <c r="W49" t="inlineStr"/>
      <c r="X49" t="inlineStr"/>
      <c r="Y49" t="inlineStr"/>
      <c r="Z49" t="inlineStr">
        <is>
          <t>DECLARED IN THE CODE (rule 11) — printed from the door, not typed. RULED 2026-09-14</t>
        </is>
      </c>
      <c r="AA49" t="inlineStr"/>
      <c r="AB49" t="inlineStr"/>
      <c r="AC49" t="inlineStr"/>
      <c r="AD49" t="inlineStr"/>
      <c r="AE49" t="inlineStr"/>
      <c r="AF49" t="inlineStr">
        <is>
          <t>ACTIVE</t>
        </is>
      </c>
      <c r="AG49" t="inlineStr">
        <is>
          <t>2026-09-26</t>
        </is>
      </c>
      <c r="AH49" t="inlineStr"/>
      <c r="AI49" t="inlineStr"/>
      <c r="AJ4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t="inlineStr"/>
      <c r="AM49" t="inlineStr"/>
      <c r="AN49" s="3" t="inlineStr">
        <is>
          <t>NOTHING OPEN</t>
        </is>
      </c>
    </row>
    <row r="50">
      <c r="A50" t="inlineStr">
        <is>
          <t>MK-CF-M-046</t>
        </is>
      </c>
      <c r="B50" t="inlineStr">
        <is>
          <t>Cashflow</t>
        </is>
      </c>
      <c r="C50" t="inlineStr">
        <is>
          <t>/base-pay</t>
        </is>
      </c>
      <c r="D50" t="inlineStr">
        <is>
          <t>Medicare 1.45% of everything, 0.9% more above</t>
        </is>
      </c>
      <c r="E50" t="inlineStr">
        <is>
          <t>medicare_145_of_everything_09_more_above</t>
        </is>
      </c>
      <c r="F50" t="inlineStr">
        <is>
          <t>basePay</t>
        </is>
      </c>
      <c r="G50" t="inlineStr">
        <is>
          <t>MK-CF-O-001</t>
        </is>
      </c>
      <c r="H50" t="inlineStr">
        <is>
          <t>the published additional-Medicare-tax threshold for the tax year</t>
        </is>
      </c>
      <c r="I50" t="inlineStr">
        <is>
          <t>the published additional-Medicare-tax threshold for the tax year</t>
        </is>
      </c>
      <c r="J50" t="inlineStr">
        <is>
          <t>MK-ST-I-031 Medicare additional-tax threshold</t>
        </is>
      </c>
      <c r="K50" t="inlineStr">
        <is>
          <t>dollars, whole a year</t>
        </is>
      </c>
      <c r="L50" t="inlineStr">
        <is>
          <t>Never absent — it is a published figure, not a calculation.</t>
        </is>
      </c>
      <c r="M50" t="inlineStr">
        <is>
          <t>one figure per household</t>
        </is>
      </c>
      <c r="N50" t="inlineStr">
        <is>
          <t>a year</t>
        </is>
      </c>
      <c r="O50"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50" t="inlineStr">
        <is>
          <t>Declared by MK-CF-O-001 basePay</t>
        </is>
      </c>
      <c r="Q50" t="inlineStr">
        <is>
          <t>Published figure — the source and the year it applies to are on the master file’s Reference tab (guard D4).</t>
        </is>
      </c>
      <c r="R50" t="inlineStr">
        <is>
          <t>Published figure — the source and the year it applies to are on the master file’s Reference tab (guard D4).</t>
        </is>
      </c>
      <c r="S50" t="inlineStr"/>
      <c r="T50" t="inlineStr">
        <is>
          <t>Published figure — the source and the year it applies to are on the master file’s Reference tab (guard D4).</t>
        </is>
      </c>
      <c r="U50" t="inlineStr"/>
      <c r="V50" t="inlineStr"/>
      <c r="W50" t="inlineStr"/>
      <c r="X50" t="inlineStr"/>
      <c r="Y50" t="inlineStr"/>
      <c r="Z50" t="inlineStr">
        <is>
          <t>DECLARED IN THE CODE (rule 11) — printed from the door, not typed. RULED 2026-09-14</t>
        </is>
      </c>
      <c r="AA50" t="inlineStr"/>
      <c r="AB50" t="inlineStr"/>
      <c r="AC50" t="inlineStr"/>
      <c r="AD50" t="inlineStr"/>
      <c r="AE50" t="inlineStr"/>
      <c r="AF50" t="inlineStr">
        <is>
          <t>ACTIVE</t>
        </is>
      </c>
      <c r="AG50" t="inlineStr">
        <is>
          <t>2026-09-26</t>
        </is>
      </c>
      <c r="AH50" t="inlineStr"/>
      <c r="AI50" t="inlineStr"/>
      <c r="AJ5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t="inlineStr"/>
      <c r="AM50" t="inlineStr"/>
      <c r="AN50" s="3" t="inlineStr">
        <is>
          <t>NOTHING OPEN</t>
        </is>
      </c>
    </row>
    <row r="51">
      <c r="A51" t="inlineStr">
        <is>
          <t>MK-CF-M-047</t>
        </is>
      </c>
      <c r="B51" t="inlineStr">
        <is>
          <t>Cashflow</t>
        </is>
      </c>
      <c r="C51" t="inlineStr">
        <is>
          <t>/cashflow · /month-detail</t>
        </is>
      </c>
      <c r="D51" t="inlineStr">
        <is>
          <t>Expected inflow</t>
        </is>
      </c>
      <c r="E51" t="inlineStr">
        <is>
          <t>expected_inflow</t>
        </is>
      </c>
      <c r="F51" t="inlineStr">
        <is>
          <t>thisMonth</t>
        </is>
      </c>
      <c r="G51" t="inlineStr">
        <is>
          <t>MK-CF-O-003</t>
        </is>
      </c>
      <c r="H51" t="inlineStr">
        <is>
          <t>expected inflow = Σ of every income source that lands in this month, at its take-home amount; a source that lands once a year counts only in the month it lands</t>
        </is>
      </c>
      <c r="I51" t="inlineStr">
        <is>
          <t>expected inflow = Σ of every income source that lands in this month, at its take-home amount; a source that lands once a year counts only in the month it lands</t>
        </is>
      </c>
      <c r="J51" t="inlineStr">
        <is>
          <t>MK-CF-M-037 take-home each month
MK-CF-I-006 other income
MK-CF-I-007 rental income
MK-CF-I-008 retirement income</t>
        </is>
      </c>
      <c r="K51" t="inlineStr">
        <is>
          <t>dollars, whole a month</t>
        </is>
      </c>
      <c r="L51" t="inlineStr">
        <is>
          <t>Shows $0 until income is entered, with the door to enter it.</t>
        </is>
      </c>
      <c r="M51" t="inlineStr">
        <is>
          <t>one figure per household per month</t>
        </is>
      </c>
      <c r="N51" t="inlineStr">
        <is>
          <t>a month</t>
        </is>
      </c>
      <c r="O51" t="inlineStr">
        <is>
          <t>1. MK-CF-F-005 (actualMonthFlow) → MonthBlock
2. MK-CF-F-156 (plannedMonthFlow) → MonthBlock</t>
        </is>
      </c>
      <c r="P51" t="inlineStr">
        <is>
          <t>Declared by MK-CF-O-003 thisMonth</t>
        </is>
      </c>
      <c r="Q51" t="inlineStr">
        <is>
          <t>A month is a real calendar month, never a twelfth of a year (founder, 2026-08-28).</t>
        </is>
      </c>
      <c r="R51" t="inlineStr">
        <is>
          <t>A month is a real calendar month, never a twelfth of a year (founder, 2026-08-28).</t>
        </is>
      </c>
      <c r="S51" t="inlineStr"/>
      <c r="T51" t="inlineStr">
        <is>
          <t>A month is a real calendar month, never a twelfth of a year (founder, 2026-08-28).</t>
        </is>
      </c>
      <c r="U51" t="inlineStr"/>
      <c r="V51" t="inlineStr">
        <is>
          <t>1. Is this row right — the words on screen, the formula, the inputs, the decisions and what it says when it cannot be computed? Say yes, or say what changes.</t>
        </is>
      </c>
      <c r="W51" t="inlineStr">
        <is>
          <t>yes</t>
        </is>
      </c>
      <c r="X51" t="inlineStr"/>
      <c r="Y51" t="inlineStr"/>
      <c r="Z51" t="inlineStr">
        <is>
          <t>DRAFT — declared in the code and printed here, WAITING FOR YOUR VERDICT before the screens move behind the door (rule 10)</t>
        </is>
      </c>
      <c r="AA51" t="inlineStr"/>
      <c r="AB51" t="inlineStr"/>
      <c r="AC51" t="inlineStr"/>
      <c r="AD51" t="inlineStr"/>
      <c r="AE51" t="inlineStr"/>
      <c r="AF51" t="inlineStr">
        <is>
          <t>ACTIVE</t>
        </is>
      </c>
      <c r="AG51" t="inlineStr">
        <is>
          <t>2026-09-26</t>
        </is>
      </c>
      <c r="AH51" t="inlineStr"/>
      <c r="AI51" t="inlineStr"/>
      <c r="AJ51"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1" s="3" t="inlineStr">
        <is>
          <t>(the claim now stands in 'Inputs it needs' until the row is approved)</t>
        </is>
      </c>
      <c r="AL51" t="inlineStr"/>
      <c r="AM51" t="inlineStr"/>
      <c r="AN51" s="7" t="inlineStr">
        <is>
          <t>WAITING ON YOU — row to approve: say yes in YOUR ANSWER, or say what changes</t>
        </is>
      </c>
    </row>
    <row r="52">
      <c r="A52" t="inlineStr">
        <is>
          <t>MK-CF-M-048</t>
        </is>
      </c>
      <c r="B52" t="inlineStr">
        <is>
          <t>Cashflow</t>
        </is>
      </c>
      <c r="C52" t="inlineStr">
        <is>
          <t>/cashflow · /month-detail</t>
        </is>
      </c>
      <c r="D52" t="inlineStr">
        <is>
          <t>Planned outflow (expenses + debt)</t>
        </is>
      </c>
      <c r="E52" t="inlineStr">
        <is>
          <t>planned_outflow_expenses__debt</t>
        </is>
      </c>
      <c r="F52" t="inlineStr">
        <is>
          <t>thisMonth</t>
        </is>
      </c>
      <c r="G52" t="inlineStr">
        <is>
          <t>MK-CF-O-003</t>
        </is>
      </c>
      <c r="H52" t="inlineStr">
        <is>
          <t>planned outflow = planned everyday expenses + Σ of the debt payments due this month + Σ of the big bills that fall in this month</t>
        </is>
      </c>
      <c r="I52" t="inlineStr">
        <is>
          <t>planned outflow = planned everyday expenses + Σ of the debt payments due this month + Σ of the big bills that fall in this month</t>
        </is>
      </c>
      <c r="J52" t="inlineStr">
        <is>
          <t>MK-CF-I-012 planned expenses
MK-CF-I-013 debt payment
MK-CF-I-014 big bill</t>
        </is>
      </c>
      <c r="K52" t="inlineStr">
        <is>
          <t>dollars, whole a month</t>
        </is>
      </c>
      <c r="L52" t="inlineStr">
        <is>
          <t>Shows $0 until expenses or debts are entered.</t>
        </is>
      </c>
      <c r="M52" t="inlineStr">
        <is>
          <t>one figure per household per month</t>
        </is>
      </c>
      <c r="N52" t="inlineStr">
        <is>
          <t>a month</t>
        </is>
      </c>
      <c r="O52" t="inlineStr">
        <is>
          <t>1. MK-CF-F-005 (actualMonthFlow) → MonthBlock
2. MK-CF-F-156 (plannedMonthFlow) → MonthBlock</t>
        </is>
      </c>
      <c r="P52" t="inlineStr">
        <is>
          <t>Declared by MK-CF-O-003 thisMonth</t>
        </is>
      </c>
      <c r="Q52" t="inlineStr">
        <is>
          <t>A debt payment is counted as an outflow, not as saving (founder, 2026-06-21).
A bill that falls once a year is shown in its own month, never spread.</t>
        </is>
      </c>
      <c r="R52" t="inlineStr">
        <is>
          <t>A debt payment is counted as an outflow, not as saving (founder, 2026-06-21).
A bill that falls once a year is shown in its own month, never spread.</t>
        </is>
      </c>
      <c r="S52" t="inlineStr"/>
      <c r="T52" t="inlineStr">
        <is>
          <t>A debt payment is counted as an outflow, not as saving (founder, 2026-06-21).
A bill that falls once a year is shown in its own month, never spread.</t>
        </is>
      </c>
      <c r="U52" t="inlineStr"/>
      <c r="V52" t="inlineStr">
        <is>
          <t>1. Is this row right — the words on screen, the formula, the inputs, the decisions and what it says when it cannot be computed? Say yes, or say what changes.</t>
        </is>
      </c>
      <c r="W52" t="inlineStr">
        <is>
          <t>yes</t>
        </is>
      </c>
      <c r="X52" t="inlineStr"/>
      <c r="Y52" t="inlineStr"/>
      <c r="Z52" t="inlineStr">
        <is>
          <t>DRAFT — declared in the code and printed here, WAITING FOR YOUR VERDICT before the screens move behind the door (rule 10)</t>
        </is>
      </c>
      <c r="AA52" t="inlineStr"/>
      <c r="AB52" t="inlineStr"/>
      <c r="AC52" t="inlineStr"/>
      <c r="AD52" t="inlineStr"/>
      <c r="AE52" t="inlineStr"/>
      <c r="AF52" t="inlineStr">
        <is>
          <t>ACTIVE</t>
        </is>
      </c>
      <c r="AG52" t="inlineStr">
        <is>
          <t>2026-09-26</t>
        </is>
      </c>
      <c r="AH52" t="inlineStr"/>
      <c r="AI52" t="inlineStr"/>
      <c r="AJ52"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2" s="3" t="inlineStr">
        <is>
          <t>(the claim now stands in 'Inputs it needs' until the row is approved)</t>
        </is>
      </c>
      <c r="AL52" t="inlineStr"/>
      <c r="AM52" t="inlineStr"/>
      <c r="AN52" s="7" t="inlineStr">
        <is>
          <t>WAITING ON YOU — row to approve: say yes in YOUR ANSWER, or say what changes</t>
        </is>
      </c>
    </row>
    <row r="53">
      <c r="A53" t="inlineStr">
        <is>
          <t>MK-CF-M-049</t>
        </is>
      </c>
      <c r="B53" t="inlineStr">
        <is>
          <t>Cashflow</t>
        </is>
      </c>
      <c r="C53" t="inlineStr">
        <is>
          <t>/cashflow · /month-detail</t>
        </is>
      </c>
      <c r="D53">
        <f> Planned surplus</f>
        <v/>
      </c>
      <c r="E53" t="inlineStr">
        <is>
          <t>planned_surplus</t>
        </is>
      </c>
      <c r="F53" t="inlineStr">
        <is>
          <t>thisMonth</t>
        </is>
      </c>
      <c r="G53" t="inlineStr">
        <is>
          <t>MK-CF-O-003</t>
        </is>
      </c>
      <c r="H53" t="inlineStr">
        <is>
          <t>planned surplus = expected inflow − planned outflow</t>
        </is>
      </c>
      <c r="I53" t="inlineStr">
        <is>
          <t>planned surplus = expected inflow − planned outflow</t>
        </is>
      </c>
      <c r="J53" t="inlineStr">
        <is>
          <t>MK-CF-M-047 expected inflow
MK-CF-M-048 planned outflow</t>
        </is>
      </c>
      <c r="K53" t="inlineStr">
        <is>
          <t>dollars, whole a month</t>
        </is>
      </c>
      <c r="L53" t="inlineStr">
        <is>
          <t>Shows $0 until both sides are entered.</t>
        </is>
      </c>
      <c r="M53" t="inlineStr">
        <is>
          <t>one figure per household per month</t>
        </is>
      </c>
      <c r="N53" t="inlineStr">
        <is>
          <t>a month</t>
        </is>
      </c>
      <c r="O53" t="inlineStr">
        <is>
          <t>1. MK-CF-F-005 (actualMonthFlow) → MonthBlock
2. MK-CF-F-156 (plannedMonthFlow) → MonthBlock</t>
        </is>
      </c>
      <c r="P53" t="inlineStr">
        <is>
          <t>Declared by MK-CF-O-003 thisMonth</t>
        </is>
      </c>
      <c r="Q53" t="inlineStr">
        <is>
          <t>NONE RECORDED — the declaration names none.</t>
        </is>
      </c>
      <c r="R53" t="inlineStr">
        <is>
          <t>NONE RECORDED — the declaration names none.</t>
        </is>
      </c>
      <c r="S53" t="inlineStr"/>
      <c r="T53" t="inlineStr">
        <is>
          <t>NONE RECORDED — the declaration names none.</t>
        </is>
      </c>
      <c r="U53" t="inlineStr">
        <is>
          <t>The Cash flow screen used to subtract this itself (rule 5). It is the door’s figure now.</t>
        </is>
      </c>
      <c r="V53" t="inlineStr">
        <is>
          <t>1. Is this row right — the words on screen, the formula, the inputs, the decisions and what it says when it cannot be computed? Say yes, or say what changes.</t>
        </is>
      </c>
      <c r="W53" t="inlineStr"/>
      <c r="X53" t="inlineStr"/>
      <c r="Y53" t="inlineStr"/>
      <c r="Z53" t="inlineStr">
        <is>
          <t>DRAFT — declared in the code and printed here, WAITING FOR YOUR VERDICT before the screens move behind the door (rule 10)</t>
        </is>
      </c>
      <c r="AA53" t="inlineStr"/>
      <c r="AB53" t="inlineStr"/>
      <c r="AC53" t="inlineStr"/>
      <c r="AD53" t="inlineStr"/>
      <c r="AE53" t="inlineStr"/>
      <c r="AF53" t="inlineStr">
        <is>
          <t>ACTIVE</t>
        </is>
      </c>
      <c r="AG53" t="inlineStr">
        <is>
          <t>2026-09-26</t>
        </is>
      </c>
      <c r="AH53" t="inlineStr"/>
      <c r="AI53" t="inlineStr"/>
      <c r="AJ5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3" s="3" t="inlineStr">
        <is>
          <t>(the claim now stands in 'Inputs it needs' until the row is approved)</t>
        </is>
      </c>
      <c r="AL53" t="inlineStr"/>
      <c r="AM53" t="inlineStr"/>
      <c r="AN53" s="7" t="inlineStr">
        <is>
          <t>WAITING ON YOU — row to approve: say yes in YOUR ANSWER, or say what changes</t>
        </is>
      </c>
    </row>
    <row r="54">
      <c r="A54" t="inlineStr">
        <is>
          <t>MK-CF-M-050</t>
        </is>
      </c>
      <c r="B54" t="inlineStr">
        <is>
          <t>Cashflow</t>
        </is>
      </c>
      <c r="C54" t="inlineStr">
        <is>
          <t>/cashflow · /month-detail</t>
        </is>
      </c>
      <c r="D54" t="inlineStr">
        <is>
          <t>each planned line</t>
        </is>
      </c>
      <c r="E54" t="inlineStr">
        <is>
          <t>each_planned_line</t>
        </is>
      </c>
      <c r="F54" t="inlineStr">
        <is>
          <t>thisMonth</t>
        </is>
      </c>
      <c r="G54" t="inlineStr">
        <is>
          <t>MK-CF-O-003</t>
        </is>
      </c>
      <c r="H54" t="inlineStr">
        <is>
          <t>one line per source or commitment that falls in this month, at its amount for this month</t>
        </is>
      </c>
      <c r="I54" t="inlineStr">
        <is>
          <t>one line per source or commitment that falls in this month, at its amount for this month</t>
        </is>
      </c>
      <c r="J54" t="inlineStr">
        <is>
          <t>MK-CF-M-047 expected inflow
MK-CF-M-048 planned outflow</t>
        </is>
      </c>
      <c r="K54" t="inlineStr">
        <is>
          <t>dollars, whole a month</t>
        </is>
      </c>
      <c r="L54" t="inlineStr">
        <is>
          <t>The list is replaced by the door to enter income or expenses when nothing is entered.</t>
        </is>
      </c>
      <c r="M54" t="inlineStr">
        <is>
          <t>one figure per line per month</t>
        </is>
      </c>
      <c r="N54" t="inlineStr">
        <is>
          <t>a month</t>
        </is>
      </c>
      <c r="O54" t="inlineStr">
        <is>
          <t>1. MK-CF-F-005 (actualMonthFlow) → MonthBlock
2. MK-CF-F-156 (plannedMonthFlow) → MonthBlock</t>
        </is>
      </c>
      <c r="P54" t="inlineStr">
        <is>
          <t>Declared by MK-CF-O-003 thisMonth</t>
        </is>
      </c>
      <c r="Q54" t="inlineStr">
        <is>
          <t>NONE RECORDED — the declaration names none.</t>
        </is>
      </c>
      <c r="R54" t="inlineStr">
        <is>
          <t>NONE RECORDED — the declaration names none.</t>
        </is>
      </c>
      <c r="S54" t="inlineStr"/>
      <c r="T54" t="inlineStr">
        <is>
          <t>NONE RECORDED — the declaration names none.</t>
        </is>
      </c>
      <c r="U54" t="inlineStr"/>
      <c r="V54" t="inlineStr">
        <is>
          <t>1. Is this row right — the words on screen, the formula, the inputs, the decisions and what it says when it cannot be computed? Say yes, or say what changes.</t>
        </is>
      </c>
      <c r="W54" t="inlineStr"/>
      <c r="X54" t="inlineStr"/>
      <c r="Y54" t="inlineStr"/>
      <c r="Z54" t="inlineStr">
        <is>
          <t>DRAFT — declared in the code and printed here, WAITING FOR YOUR VERDICT before the screens move behind the door (rule 10)</t>
        </is>
      </c>
      <c r="AA54" t="inlineStr"/>
      <c r="AB54" t="inlineStr"/>
      <c r="AC54" t="inlineStr"/>
      <c r="AD54" t="inlineStr"/>
      <c r="AE54" t="inlineStr"/>
      <c r="AF54" t="inlineStr">
        <is>
          <t>ACTIVE</t>
        </is>
      </c>
      <c r="AG54" t="inlineStr">
        <is>
          <t>2026-09-26</t>
        </is>
      </c>
      <c r="AH54" t="inlineStr"/>
      <c r="AI54" t="inlineStr"/>
      <c r="AJ54"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4" s="3" t="inlineStr">
        <is>
          <t>(the claim now stands in 'Inputs it needs' until the row is approved)</t>
        </is>
      </c>
      <c r="AL54" t="inlineStr"/>
      <c r="AM54" t="inlineStr"/>
      <c r="AN54" s="7" t="inlineStr">
        <is>
          <t>WAITING ON YOU — row to approve: say yes in YOUR ANSWER, or say what changes</t>
        </is>
      </c>
    </row>
    <row r="55">
      <c r="A55" t="inlineStr">
        <is>
          <t>MK-CF-M-051</t>
        </is>
      </c>
      <c r="B55" t="inlineStr">
        <is>
          <t>Cashflow</t>
        </is>
      </c>
      <c r="C55" t="inlineStr">
        <is>
          <t>/cashflow · /month-detail · /home</t>
        </is>
      </c>
      <c r="D55" t="inlineStr">
        <is>
          <t>Inflow</t>
        </is>
      </c>
      <c r="E55" t="inlineStr">
        <is>
          <t>inflow</t>
        </is>
      </c>
      <c r="F55" t="inlineStr">
        <is>
          <t>thisMonth</t>
        </is>
      </c>
      <c r="G55" t="inlineStr">
        <is>
          <t>MK-CF-O-003</t>
        </is>
      </c>
      <c r="H55" t="inlineStr">
        <is>
          <t>inflow so far = Σ of the income recorded as received in this month up to today</t>
        </is>
      </c>
      <c r="I55" t="inlineStr">
        <is>
          <t>inflow so far = Σ of the income recorded as received in this month up to today</t>
        </is>
      </c>
      <c r="J55" t="inlineStr">
        <is>
          <t>MK-CF-I-015 income recorded as received</t>
        </is>
      </c>
      <c r="K55" t="inlineStr">
        <is>
          <t>dollars, whole a month</t>
        </is>
      </c>
      <c r="L55" t="inlineStr">
        <is>
          <t>Shows $0 until something is recorded as received.</t>
        </is>
      </c>
      <c r="M55" t="inlineStr">
        <is>
          <t>one figure per household per month</t>
        </is>
      </c>
      <c r="N55" t="inlineStr">
        <is>
          <t>a month</t>
        </is>
      </c>
      <c r="O55" t="inlineStr">
        <is>
          <t>1. MK-CF-F-005 (actualMonthFlow) → MonthBlock
2. MK-CF-F-156 (plannedMonthFlow) → MonthBlock</t>
        </is>
      </c>
      <c r="P55" t="inlineStr">
        <is>
          <t>Declared by MK-CF-O-003 thisMonth</t>
        </is>
      </c>
      <c r="Q55" t="inlineStr">
        <is>
          <t>Nothing is assumed to have arrived; a source counts only once it is recorded (founder, 2026-08-28).</t>
        </is>
      </c>
      <c r="R55" t="inlineStr">
        <is>
          <t>Nothing is assumed to have arrived; a source counts only once it is recorded (founder, 2026-08-28).</t>
        </is>
      </c>
      <c r="S55" t="inlineStr"/>
      <c r="T55" t="inlineStr">
        <is>
          <t>Nothing is assumed to have arrived; a source counts only once it is recorded (founder, 2026-08-28).</t>
        </is>
      </c>
      <c r="U55" t="inlineStr">
        <is>
          <t>The words beside it name what is inside it — "Inflow (income (take-home) + rent)" — his cluster 5 ruling of 2026-09-10.</t>
        </is>
      </c>
      <c r="V55" t="inlineStr">
        <is>
          <t>1. Is this row right — the words on screen, the formula, the inputs, the decisions and what it says when it cannot be computed? Say yes, or say what changes.</t>
        </is>
      </c>
      <c r="W55" t="inlineStr"/>
      <c r="X55" t="inlineStr"/>
      <c r="Y55" t="inlineStr"/>
      <c r="Z55" t="inlineStr">
        <is>
          <t>DRAFT — declared in the code and printed here, WAITING FOR YOUR VERDICT before the screens move behind the door (rule 10)</t>
        </is>
      </c>
      <c r="AA55" t="inlineStr"/>
      <c r="AB55" t="inlineStr"/>
      <c r="AC55" t="inlineStr"/>
      <c r="AD55" t="inlineStr"/>
      <c r="AE55" t="inlineStr"/>
      <c r="AF55" t="inlineStr">
        <is>
          <t>ACTIVE</t>
        </is>
      </c>
      <c r="AG55" t="inlineStr">
        <is>
          <t>2026-09-26</t>
        </is>
      </c>
      <c r="AH55" t="inlineStr"/>
      <c r="AI55" t="inlineStr"/>
      <c r="AJ55"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5" s="3" t="inlineStr">
        <is>
          <t>(the claim now stands in 'Inputs it needs' until the row is approved)</t>
        </is>
      </c>
      <c r="AL55" t="inlineStr"/>
      <c r="AM55" t="inlineStr"/>
      <c r="AN55" s="7" t="inlineStr">
        <is>
          <t>WAITING ON YOU — row to approve: say yes in YOUR ANSWER, or say what changes</t>
        </is>
      </c>
    </row>
    <row r="56">
      <c r="A56" t="inlineStr">
        <is>
          <t>MK-CF-M-052</t>
        </is>
      </c>
      <c r="B56" t="inlineStr">
        <is>
          <t>Cashflow</t>
        </is>
      </c>
      <c r="C56" t="inlineStr">
        <is>
          <t>/cashflow · /month-detail · /home</t>
        </is>
      </c>
      <c r="D56" t="inlineStr">
        <is>
          <t>Outflow (expenses + debt)</t>
        </is>
      </c>
      <c r="E56" t="inlineStr">
        <is>
          <t>outflow_expenses__debt</t>
        </is>
      </c>
      <c r="F56" t="inlineStr">
        <is>
          <t>thisMonth</t>
        </is>
      </c>
      <c r="G56" t="inlineStr">
        <is>
          <t>MK-CF-O-003</t>
        </is>
      </c>
      <c r="H56" t="inlineStr">
        <is>
          <t>outflow so far = expenses logged so far this month + Σ of the debt payments due this month</t>
        </is>
      </c>
      <c r="I56" t="inlineStr">
        <is>
          <t>outflow so far = expenses logged so far this month + Σ of the debt payments due this month</t>
        </is>
      </c>
      <c r="J56" t="inlineStr">
        <is>
          <t>MK-CF-I-016 logged expense
MK-CF-I-013 debt payment</t>
        </is>
      </c>
      <c r="K56" t="inlineStr">
        <is>
          <t>dollars, whole a month</t>
        </is>
      </c>
      <c r="L56" t="inlineStr">
        <is>
          <t>Shows $0 until an expense is logged or a debt is entered.</t>
        </is>
      </c>
      <c r="M56" t="inlineStr">
        <is>
          <t>one figure per household per month</t>
        </is>
      </c>
      <c r="N56" t="inlineStr">
        <is>
          <t>a month</t>
        </is>
      </c>
      <c r="O56" t="inlineStr">
        <is>
          <t>1. MK-CF-F-005 (actualMonthFlow) → MonthBlock
2. MK-CF-F-156 (plannedMonthFlow) → MonthBlock</t>
        </is>
      </c>
      <c r="P56" t="inlineStr">
        <is>
          <t>Declared by MK-CF-O-003 thisMonth</t>
        </is>
      </c>
      <c r="Q56" t="inlineStr">
        <is>
          <t>Debt payments are counted in full for the month, logged or not, because they are committed.</t>
        </is>
      </c>
      <c r="R56" t="inlineStr">
        <is>
          <t>Debt payments are counted in full for the month, logged or not, because they are committed.</t>
        </is>
      </c>
      <c r="S56" t="inlineStr"/>
      <c r="T56" t="inlineStr">
        <is>
          <t>Debt payments are counted in full for the month, logged or not, because they are committed.</t>
        </is>
      </c>
      <c r="U56" t="inlineStr"/>
      <c r="V56" t="inlineStr">
        <is>
          <t>1. Is this row right — the words on screen, the formula, the inputs, the decisions and what it says when it cannot be computed? Say yes, or say what changes.</t>
        </is>
      </c>
      <c r="W56" t="inlineStr"/>
      <c r="X56" t="inlineStr"/>
      <c r="Y56" t="inlineStr"/>
      <c r="Z56" t="inlineStr">
        <is>
          <t>DRAFT — declared in the code and printed here, WAITING FOR YOUR VERDICT before the screens move behind the door (rule 10)</t>
        </is>
      </c>
      <c r="AA56" t="inlineStr"/>
      <c r="AB56" t="inlineStr"/>
      <c r="AC56" t="inlineStr"/>
      <c r="AD56" t="inlineStr"/>
      <c r="AE56" t="inlineStr"/>
      <c r="AF56" t="inlineStr">
        <is>
          <t>ACTIVE</t>
        </is>
      </c>
      <c r="AG56" t="inlineStr">
        <is>
          <t>2026-09-26</t>
        </is>
      </c>
      <c r="AH56" t="inlineStr"/>
      <c r="AI56" t="inlineStr"/>
      <c r="AJ56"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6" s="3" t="inlineStr">
        <is>
          <t>(the claim now stands in 'Inputs it needs' until the row is approved)</t>
        </is>
      </c>
      <c r="AL56" t="inlineStr"/>
      <c r="AM56" t="inlineStr"/>
      <c r="AN56" s="7" t="inlineStr">
        <is>
          <t>WAITING ON YOU — row to approve: say yes in YOUR ANSWER, or say what changes</t>
        </is>
      </c>
    </row>
    <row r="57">
      <c r="A57" t="inlineStr">
        <is>
          <t>MK-CF-M-053</t>
        </is>
      </c>
      <c r="B57" t="inlineStr">
        <is>
          <t>Cashflow</t>
        </is>
      </c>
      <c r="C57" t="inlineStr">
        <is>
          <t>/cashflow · /month-detail · /home</t>
        </is>
      </c>
      <c r="D57">
        <f> Surplus</f>
        <v/>
      </c>
      <c r="E57" t="inlineStr">
        <is>
          <t>surplus</t>
        </is>
      </c>
      <c r="F57" t="inlineStr">
        <is>
          <t>thisMonth</t>
        </is>
      </c>
      <c r="G57" t="inlineStr">
        <is>
          <t>MK-CF-O-003</t>
        </is>
      </c>
      <c r="H57" t="inlineStr">
        <is>
          <t>surplus so far = inflow so far − outflow so far</t>
        </is>
      </c>
      <c r="I57" t="inlineStr">
        <is>
          <t>surplus so far = inflow so far − outflow so far</t>
        </is>
      </c>
      <c r="J57" t="inlineStr">
        <is>
          <t>MK-CF-M-051 inflow so far
MK-CF-M-052 outflow so far</t>
        </is>
      </c>
      <c r="K57" t="inlineStr">
        <is>
          <t>dollars, whole a month</t>
        </is>
      </c>
      <c r="L57" t="inlineStr">
        <is>
          <t>Shows $0 until something is recorded.</t>
        </is>
      </c>
      <c r="M57" t="inlineStr">
        <is>
          <t>one figure per household per month</t>
        </is>
      </c>
      <c r="N57" t="inlineStr">
        <is>
          <t>a month</t>
        </is>
      </c>
      <c r="O57" t="inlineStr">
        <is>
          <t>1. MK-CF-F-005 (actualMonthFlow) → MonthBlock
2. MK-CF-F-156 (plannedMonthFlow) → MonthBlock</t>
        </is>
      </c>
      <c r="P57" t="inlineStr">
        <is>
          <t>Declared by MK-CF-O-003 thisMonth</t>
        </is>
      </c>
      <c r="Q57" t="inlineStr">
        <is>
          <t>NONE RECORDED — the declaration names none.</t>
        </is>
      </c>
      <c r="R57" t="inlineStr">
        <is>
          <t>NONE RECORDED — the declaration names none.</t>
        </is>
      </c>
      <c r="S57" t="inlineStr"/>
      <c r="T57" t="inlineStr">
        <is>
          <t>NONE RECORDED — the declaration names none.</t>
        </is>
      </c>
      <c r="U57" t="inlineStr">
        <is>
          <t>The Cash flow screen used to subtract this itself (rule 5). It is the door’s figure now.</t>
        </is>
      </c>
      <c r="V57" t="inlineStr">
        <is>
          <t>1. Is this row right — the words on screen, the formula, the inputs, the decisions and what it says when it cannot be computed? Say yes, or say what changes.</t>
        </is>
      </c>
      <c r="W57" t="inlineStr"/>
      <c r="X57" t="inlineStr"/>
      <c r="Y57" t="inlineStr"/>
      <c r="Z57" t="inlineStr">
        <is>
          <t>DRAFT — declared in the code and printed here, WAITING FOR YOUR VERDICT before the screens move behind the door (rule 10)</t>
        </is>
      </c>
      <c r="AA57" t="inlineStr"/>
      <c r="AB57" t="inlineStr"/>
      <c r="AC57" t="inlineStr"/>
      <c r="AD57" t="inlineStr"/>
      <c r="AE57" t="inlineStr"/>
      <c r="AF57" t="inlineStr">
        <is>
          <t>ACTIVE</t>
        </is>
      </c>
      <c r="AG57" t="inlineStr">
        <is>
          <t>2026-09-26</t>
        </is>
      </c>
      <c r="AH57" t="inlineStr"/>
      <c r="AI57" t="inlineStr"/>
      <c r="AJ57"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7" s="3" t="inlineStr">
        <is>
          <t>(the claim now stands in 'Inputs it needs' until the row is approved)</t>
        </is>
      </c>
      <c r="AL57" t="inlineStr"/>
      <c r="AM57" t="inlineStr"/>
      <c r="AN57" s="7" t="inlineStr">
        <is>
          <t>WAITING ON YOU — row to approve: say yes in YOUR ANSWER, or say what changes</t>
        </is>
      </c>
    </row>
    <row r="58">
      <c r="A58" t="inlineStr">
        <is>
          <t>MK-CF-M-054</t>
        </is>
      </c>
      <c r="B58" t="inlineStr">
        <is>
          <t>Cashflow</t>
        </is>
      </c>
      <c r="C58" t="inlineStr">
        <is>
          <t>/cashflow · /month-detail</t>
        </is>
      </c>
      <c r="D58" t="inlineStr">
        <is>
          <t>each received line</t>
        </is>
      </c>
      <c r="E58" t="inlineStr">
        <is>
          <t>each_received_line</t>
        </is>
      </c>
      <c r="F58" t="inlineStr">
        <is>
          <t>thisMonth</t>
        </is>
      </c>
      <c r="G58" t="inlineStr">
        <is>
          <t>MK-CF-O-003</t>
        </is>
      </c>
      <c r="H58" t="inlineStr">
        <is>
          <t>one line per payment recorded as received in this month, at its amount</t>
        </is>
      </c>
      <c r="I58" t="inlineStr">
        <is>
          <t>one line per payment recorded as received in this month, at its amount</t>
        </is>
      </c>
      <c r="J58" t="inlineStr">
        <is>
          <t>MK-CF-I-015 income recorded as received</t>
        </is>
      </c>
      <c r="K58" t="inlineStr">
        <is>
          <t>dollars, whole a month</t>
        </is>
      </c>
      <c r="L58" t="inlineStr">
        <is>
          <t>The list is replaced by the door to record income when nothing is recorded.</t>
        </is>
      </c>
      <c r="M58" t="inlineStr">
        <is>
          <t>one figure per payment</t>
        </is>
      </c>
      <c r="N58" t="inlineStr">
        <is>
          <t>a month</t>
        </is>
      </c>
      <c r="O58" t="inlineStr">
        <is>
          <t>1. MK-CF-F-005 (actualMonthFlow) → MonthBlock
2. MK-CF-F-156 (plannedMonthFlow) → MonthBlock</t>
        </is>
      </c>
      <c r="P58" t="inlineStr">
        <is>
          <t>Declared by MK-CF-O-003 thisMonth</t>
        </is>
      </c>
      <c r="Q58" t="inlineStr">
        <is>
          <t>NONE RECORDED — the declaration names none.</t>
        </is>
      </c>
      <c r="R58" t="inlineStr">
        <is>
          <t>NONE RECORDED — the declaration names none.</t>
        </is>
      </c>
      <c r="S58" t="inlineStr"/>
      <c r="T58" t="inlineStr">
        <is>
          <t>NONE RECORDED — the declaration names none.</t>
        </is>
      </c>
      <c r="U58" t="inlineStr"/>
      <c r="V58" t="inlineStr">
        <is>
          <t>1. Is this row right — the words on screen, the formula, the inputs, the decisions and what it says when it cannot be computed? Say yes, or say what changes.</t>
        </is>
      </c>
      <c r="W58" t="inlineStr"/>
      <c r="X58" t="inlineStr"/>
      <c r="Y58" t="inlineStr"/>
      <c r="Z58" t="inlineStr">
        <is>
          <t>DRAFT — declared in the code and printed here, WAITING FOR YOUR VERDICT before the screens move behind the door (rule 10)</t>
        </is>
      </c>
      <c r="AA58" t="inlineStr"/>
      <c r="AB58" t="inlineStr"/>
      <c r="AC58" t="inlineStr"/>
      <c r="AD58" t="inlineStr"/>
      <c r="AE58" t="inlineStr"/>
      <c r="AF58" t="inlineStr">
        <is>
          <t>ACTIVE</t>
        </is>
      </c>
      <c r="AG58" t="inlineStr">
        <is>
          <t>2026-09-26</t>
        </is>
      </c>
      <c r="AH58" t="inlineStr"/>
      <c r="AI58" t="inlineStr"/>
      <c r="AJ58"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8" s="3" t="inlineStr">
        <is>
          <t>(the claim now stands in 'Inputs it needs' until the row is approved)</t>
        </is>
      </c>
      <c r="AL58" t="inlineStr"/>
      <c r="AM58" t="inlineStr"/>
      <c r="AN58" s="7" t="inlineStr">
        <is>
          <t>WAITING ON YOU — row to approve: say yes in YOUR ANSWER, or say what changes</t>
        </is>
      </c>
    </row>
  </sheetData>
  <autoFilter ref="A1:AN5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N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MK-MN-M-001</t>
        </is>
      </c>
      <c r="B2" t="inlineStr">
        <is>
          <t>Menu</t>
        </is>
      </c>
      <c r="C2" t="inlineStr">
        <is>
          <t>/big-costs</t>
        </is>
      </c>
      <c r="D2" t="inlineStr">
        <is>
          <t>each big cost and its year</t>
        </is>
      </c>
      <c r="E2" t="inlineStr">
        <is>
          <t>c.amount</t>
        </is>
      </c>
      <c r="F2" t="inlineStr">
        <is>
          <t>NOT ON RECORD — no function is recorded for this figure</t>
        </is>
      </c>
      <c r="G2" t="inlineStr"/>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function</t>
        </is>
      </c>
      <c r="K2"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t="inlineStr">
        <is>
          <t>One figure per person — or per household when two people share one record  [derived by rule — confirm]</t>
        </is>
      </c>
      <c r="N2" t="inlineStr">
        <is>
          <t>This calendar year, to today  [derived by rule — confirm]</t>
        </is>
      </c>
      <c r="O2" t="inlineStr">
        <is>
          <t>No function on record — nothing to chain</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t="inlineStr">
        <is>
          <t>ACTIVE</t>
        </is>
      </c>
      <c r="AG2" t="inlineStr">
        <is>
          <t>2026-08-27</t>
        </is>
      </c>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MK-MN-M-002</t>
        </is>
      </c>
      <c r="B3" t="inlineStr">
        <is>
          <t>Menu</t>
        </is>
      </c>
      <c r="C3" t="inlineStr">
        <is>
          <t>/big-costs</t>
        </is>
      </c>
      <c r="D3" t="inlineStr">
        <is>
          <t>the total of your big costs</t>
        </is>
      </c>
      <c r="E3" t="inlineStr">
        <is>
          <t>total</t>
        </is>
      </c>
      <c r="F3" t="inlineStr">
        <is>
          <t>NOT ON RECORD — no function is recorded for this figure</t>
        </is>
      </c>
      <c r="G3" t="inlineStr"/>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function</t>
        </is>
      </c>
      <c r="K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t="inlineStr">
        <is>
          <t>One figure per person — or per household when two people share one record  [derived by rule — confirm]</t>
        </is>
      </c>
      <c r="N3" t="inlineStr">
        <is>
          <t>As of today, from the latest figures held  [derived by rule — confirm]</t>
        </is>
      </c>
      <c r="O3" t="inlineStr">
        <is>
          <t>No function on record — nothing to chain</t>
        </is>
      </c>
      <c r="P3" t="inlineStr">
        <is>
          <t>No function on record — nothing to chain</t>
        </is>
      </c>
      <c r="Q3" t="inlineStr">
        <is>
          <t>No function on record — assumptions unknown</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t="inlineStr">
        <is>
          <t>ACTIVE</t>
        </is>
      </c>
      <c r="AG3" t="inlineStr">
        <is>
          <t>2026-08-27</t>
        </is>
      </c>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MK-MN-M-003</t>
        </is>
      </c>
      <c r="B4" t="inlineStr">
        <is>
          <t>Menu</t>
        </is>
      </c>
      <c r="C4" t="inlineStr">
        <is>
          <t>/contribution-room</t>
        </is>
      </c>
      <c r="D4" t="inlineStr">
        <is>
          <t>$X left / up to $Y</t>
        </is>
      </c>
      <c r="E4" t="inlineStr">
        <is>
          <t>room / limit</t>
        </is>
      </c>
      <c r="F4" s="3" t="inlineStr">
        <is>
          <t>1. k401Headroom (the 401(k) card)
2. annualIraLimit (the IRA card)
3. annualHsaLimit (the HSA card)</t>
        </is>
      </c>
      <c r="G4" s="3" t="inlineStr">
        <is>
          <t>1. MK-CF-F-056
2. MK-CF-F-054
3. MK-CF-F-055
4. MK-CF-F-196
5. MK-CF-F-195</t>
        </is>
      </c>
      <c r="H4" t="inlineStr">
        <is>
          <t>room left = the year’s limit − what has already gone in;  per month = room left ÷ months left in the year</t>
        </is>
      </c>
      <c r="I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 t="inlineStr">
        <is>
          <t>NOT DETERMINED — no input list on record for this function</t>
        </is>
      </c>
      <c r="K4" t="inlineStr">
        <is>
          <t>US dollars · held to the cent · shown as whole dollars  [derived by rule — confirm]</t>
        </is>
      </c>
      <c r="L4" s="3" t="inlineStr">
        <is>
          <t>No contribution entered → 'up to $X' (the full-year cap), never '$X left'; the note says contributions are not tracked (built).</t>
        </is>
      </c>
      <c r="M4" t="inlineStr">
        <is>
          <t>One figure per person — or per household when two people share one record  [derived by rule — confirm]</t>
        </is>
      </c>
      <c r="N4" t="inlineStr">
        <is>
          <t>As of today, from the latest figures held  [derived by rule — confirm]</t>
        </is>
      </c>
      <c r="O4" t="inlineStr">
        <is>
          <t>MK-CF-F-195 (monthsLeftInYear) → number</t>
        </is>
      </c>
      <c r="P4" t="inlineStr">
        <is>
          <t>No function on record — nothing to chain</t>
        </is>
      </c>
      <c r="Q4" t="inlineStr">
        <is>
          <t>No function on record — assumptions unknown</t>
        </is>
      </c>
      <c r="R4" t="inlineStr"/>
      <c r="S4" t="inlineStr"/>
      <c r="T4"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4" t="inlineStr">
        <is>
          <t>ACTIVE</t>
        </is>
      </c>
      <c r="AG4" t="inlineStr">
        <is>
          <t>2026-08-27</t>
        </is>
      </c>
      <c r="AJ4" s="3" t="inlineStr">
        <is>
          <t>NONE — no function in this chain reads a stored input the sweep knows
[the code's record, this build — evidence for the ruling, not the row's statement: it cannot see inputs handed in as arguments, and it counts every branch below the producer]</t>
        </is>
      </c>
      <c r="AK4" s="3" t="inlineStr">
        <is>
          <t>(the claim now stands in 'Inputs it needs' until the row is approved)</t>
        </is>
      </c>
      <c r="AN4" s="6" t="inlineStr">
        <is>
          <t>TESTED, NOT VERIFIED (G10, G36)</t>
        </is>
      </c>
    </row>
    <row r="5">
      <c r="A5" t="inlineStr">
        <is>
          <t>MK-MN-M-004</t>
        </is>
      </c>
      <c r="B5" t="inlineStr">
        <is>
          <t>Menu</t>
        </is>
      </c>
      <c r="C5" t="inlineStr">
        <is>
          <t>/contribution-room</t>
        </is>
      </c>
      <c r="D5" t="inlineStr">
        <is>
          <t>about $X of the $Y limit</t>
        </is>
      </c>
      <c r="E5" t="inlineStr">
        <is>
          <t>used / limit</t>
        </is>
      </c>
      <c r="F5" s="3" t="inlineStr">
        <is>
          <t>1. k401Headroom (the 401(k) card)
2. annualIraLimit (the IRA card)
3. annualHsaLimit (the HSA card)</t>
        </is>
      </c>
      <c r="G5" s="3" t="inlineStr">
        <is>
          <t>1. MK-CF-F-056
2. MK-CF-F-054
3. MK-CF-F-055
4. MK-CF-F-196
5. MK-CF-F-195</t>
        </is>
      </c>
      <c r="H5" t="inlineStr">
        <is>
          <t>room left = the year’s limit − what has already gone in;  per month = room left ÷ months left in the year</t>
        </is>
      </c>
      <c r="I5"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5" t="inlineStr">
        <is>
          <t>NOT DETERMINED — no input list on record for this function</t>
        </is>
      </c>
      <c r="K5" t="inlineStr">
        <is>
          <t>US dollars · held to the cent · shown as whole dollars  [derived by rule — confirm]</t>
        </is>
      </c>
      <c r="L5" s="3" t="inlineStr">
        <is>
          <t>No contribution entered → the 'about $X of the limit' line is not shown; 'up to $X' stands.</t>
        </is>
      </c>
      <c r="M5" t="inlineStr">
        <is>
          <t>One figure per person — or per household when two people share one record  [derived by rule — confirm]</t>
        </is>
      </c>
      <c r="N5" t="inlineStr">
        <is>
          <t>As of today, from the latest figures held  [derived by rule — confirm]</t>
        </is>
      </c>
      <c r="O5" t="inlineStr">
        <is>
          <t>MK-CF-F-195 (monthsLeftInYear) → number</t>
        </is>
      </c>
      <c r="P5" t="inlineStr">
        <is>
          <t>No function on record — nothing to chain</t>
        </is>
      </c>
      <c r="Q5" t="inlineStr">
        <is>
          <t>No function on record — assumptions unknown</t>
        </is>
      </c>
      <c r="R5" t="inlineStr"/>
      <c r="S5" t="inlineStr"/>
      <c r="T5"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5" t="inlineStr">
        <is>
          <t>ACTIVE</t>
        </is>
      </c>
      <c r="AG5" t="inlineStr">
        <is>
          <t>2026-08-27</t>
        </is>
      </c>
      <c r="AJ5" s="3" t="inlineStr">
        <is>
          <t>NONE — no function in this chain reads a stored input the sweep knows
[the code's record, this build — evidence for the ruling, not the row's statement: it cannot see inputs handed in as arguments, and it counts every branch below the producer]</t>
        </is>
      </c>
      <c r="AK5" s="3" t="inlineStr">
        <is>
          <t>(the claim now stands in 'Inputs it needs' until the row is approved)</t>
        </is>
      </c>
      <c r="AN5" s="6" t="inlineStr">
        <is>
          <t>TESTED, NOT VERIFIED (G10, G36)</t>
        </is>
      </c>
    </row>
    <row r="6">
      <c r="A6" t="inlineStr">
        <is>
          <t>MK-MN-M-005</t>
        </is>
      </c>
      <c r="B6" t="inlineStr">
        <is>
          <t>Menu</t>
        </is>
      </c>
      <c r="C6" t="inlineStr">
        <is>
          <t>/contribution-room</t>
        </is>
      </c>
      <c r="D6" t="inlineStr">
        <is>
          <t>about $X/mo for the rest of the year</t>
        </is>
      </c>
      <c r="E6" t="inlineStr">
        <is>
          <t>perMonth</t>
        </is>
      </c>
      <c r="F6" s="3" t="inlineStr">
        <is>
          <t>1. k401Headroom (the 401(k) card)
2. annualIraLimit (the IRA card)
3. annualHsaLimit (the HSA card)</t>
        </is>
      </c>
      <c r="G6" s="3" t="inlineStr">
        <is>
          <t>1. MK-CF-F-196
2. MK-CF-F-195</t>
        </is>
      </c>
      <c r="H6" s="3" t="inlineStr">
        <is>
          <t>per month = round((room left ÷ months left) ÷ 100) × 100;  months left = max(1, 12 − month index) — the current month counts</t>
        </is>
      </c>
      <c r="I6" s="3" t="inlineStr">
        <is>
          <t>Per month = room left ÷ the months remaining in the year, the current month counted (December → 1), rounded to $100 for display — perMonthToFill in src/domain/income/limits.ts (G36). No longer worked out on the screen.</t>
        </is>
      </c>
      <c r="J6" t="inlineStr">
        <is>
          <t>NOT DETERMINED — no input list on record for this function</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MK-CF-F-195 (monthsLeftInYear) → number</t>
        </is>
      </c>
      <c r="P6" t="inlineStr">
        <is>
          <t>No function on record — nothing to chain</t>
        </is>
      </c>
      <c r="Q6" t="inlineStr">
        <is>
          <t>No function on record — assumptions unknown</t>
        </is>
      </c>
      <c r="R6" t="inlineStr"/>
      <c r="S6" t="inlineStr"/>
      <c r="T6"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t>
        </is>
      </c>
      <c r="AF6" t="inlineStr">
        <is>
          <t>ACTIVE</t>
        </is>
      </c>
      <c r="AG6" t="inlineStr">
        <is>
          <t>2026-08-27</t>
        </is>
      </c>
      <c r="AJ6" s="3" t="inlineStr">
        <is>
          <t>NONE — no function in this chain reads a stored input the sweep knows
[the code's record, this build — evidence for the ruling, not the row's statement: it cannot see inputs handed in as arguments, and it counts every branch below the producer]</t>
        </is>
      </c>
      <c r="AK6" s="3" t="inlineStr">
        <is>
          <t>(the claim now stands in 'Inputs it needs' until the row is approved)</t>
        </is>
      </c>
      <c r="AN6" s="6" t="inlineStr">
        <is>
          <t>TESTED, NOT VERIFIED (G10, G36)</t>
        </is>
      </c>
    </row>
    <row r="7">
      <c r="A7" t="inlineStr">
        <is>
          <t>MK-MN-M-006</t>
        </is>
      </c>
      <c r="B7" t="inlineStr">
        <is>
          <t>Menu</t>
        </is>
      </c>
      <c r="C7" t="inlineStr">
        <is>
          <t>/credit</t>
        </is>
      </c>
      <c r="D7" t="inlineStr">
        <is>
          <t>$X of $Y used — the line marks 30%</t>
        </is>
      </c>
      <c r="E7" t="inlineStr">
        <is>
          <t>bal / lim</t>
        </is>
      </c>
      <c r="F7" t="inlineStr">
        <is>
          <t>NOT ON RECORD — no function is recorded for this figure</t>
        </is>
      </c>
      <c r="G7" t="inlineStr"/>
      <c r="H7" t="inlineStr">
        <is>
          <t>use = balance ÷ credit limit</t>
        </is>
      </c>
      <c r="I7" t="inlineStr">
        <is>
          <t>The balance on the card against its limit — the share of the line being used.</t>
        </is>
      </c>
      <c r="J7" t="inlineStr">
        <is>
          <t>NOT DETERMINED — no input list on record for this function</t>
        </is>
      </c>
      <c r="K7" t="inlineStr">
        <is>
          <t>Percent · one decimal shown  [derived by rule — confirm]</t>
        </is>
      </c>
      <c r="L7" s="3" t="inlineStr">
        <is>
          <t>No card limit → no percentage; the line says 'add your card's limit'. A real $0 balance shows 0% used.</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t="inlineStr"/>
      <c r="AE7"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7" t="inlineStr">
        <is>
          <t>ACTIVE</t>
        </is>
      </c>
      <c r="AG7" t="inlineStr">
        <is>
          <t>2026-08-27</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3" t="inlineStr">
        <is>
          <t>NOTHING OPEN</t>
        </is>
      </c>
    </row>
    <row r="8">
      <c r="A8" t="inlineStr">
        <is>
          <t>MK-MN-M-007</t>
        </is>
      </c>
      <c r="B8" t="inlineStr">
        <is>
          <t>Menu</t>
        </is>
      </c>
      <c r="C8" t="inlineStr">
        <is>
          <t>/expense</t>
        </is>
      </c>
      <c r="D8" t="inlineStr">
        <is>
          <t>$X of $Y this month · over by $Z</t>
        </is>
      </c>
      <c r="E8" t="inlineStr">
        <is>
          <t>catSpend / catBudget</t>
        </is>
      </c>
      <c r="F8" t="inlineStr">
        <is>
          <t>plannedMonthlySpend</t>
        </is>
      </c>
      <c r="G8" t="inlineStr">
        <is>
          <t>MK-CF-F-002</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8" t="inlineStr">
        <is>
          <t>1. the categories → SPENDING_BY_KIND  [MK-XS-I-032]
2.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1. MK-CF-F-092 (incomeMonthlyGrid) → NOT DECLARED — the code does not say what it gives back
2. MK-CF-F-004 (spendBuckets) → NOT DECLARED — the code does not say what it gives back
3. MK-XS-F-027 (takeHomeMonthly) → number
4. MK-ST-F-052 (toNum) → number</t>
        </is>
      </c>
      <c r="P8"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8"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8" t="inlineStr"/>
      <c r="S8" t="inlineStr"/>
      <c r="T8" t="inlineStr">
        <is>
          <t>NOT DETERMINED — no assumption recorded for this figure yet.</t>
        </is>
      </c>
      <c r="U8" t="inlineStr">
        <is>
          <t>THE SAME FIGURE AS MK-CF-M-015 — Expenses against plan for a category — the same comparison on Cash flow and on the expense screen. CONFIRM: the expense screen adds the amount being typed, which may make it a different figure.</t>
        </is>
      </c>
      <c r="V8" t="inlineStr"/>
      <c r="W8" t="inlineStr"/>
      <c r="X8" t="inlineStr"/>
      <c r="Y8" t="inlineStr">
        <is>
          <t>NOT DETERMINED</t>
        </is>
      </c>
      <c r="Z8" t="inlineStr">
        <is>
          <t>VERIFIED 2026-08-22</t>
        </is>
      </c>
      <c r="AA8"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SUPERSEDED BY MK-CF-M-015 — the same figure under another identifier. This number is retired and is never handed to anything else.</t>
        </is>
      </c>
      <c r="AG8" t="inlineStr">
        <is>
          <t>2026-09-12</t>
        </is>
      </c>
      <c r="AJ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MK-MN-M-008</t>
        </is>
      </c>
      <c r="B9" t="inlineStr">
        <is>
          <t>Menu</t>
        </is>
      </c>
      <c r="C9" t="inlineStr">
        <is>
          <t>/goals</t>
        </is>
      </c>
      <c r="D9" t="inlineStr">
        <is>
          <t>typical free cash to save $X/mo</t>
        </is>
      </c>
      <c r="E9" t="inlineStr">
        <is>
          <t>capacity.avg</t>
        </is>
      </c>
      <c r="F9" t="inlineStr">
        <is>
          <t>NOT ON RECORD — no function is recorded for this figure</t>
        </is>
      </c>
      <c r="G9" t="inlineStr"/>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function</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 function on record — nothing to chain</t>
        </is>
      </c>
      <c r="P9" t="inlineStr">
        <is>
          <t>No function on record — nothing to chain</t>
        </is>
      </c>
      <c r="Q9" t="inlineStr">
        <is>
          <t>No function on record — assumptions unknown</t>
        </is>
      </c>
      <c r="R9" t="inlineStr"/>
      <c r="S9" t="inlineStr"/>
      <c r="T9" t="inlineStr">
        <is>
          <t>NOT DETERMINED — no assumption recorded for this figure yet.</t>
        </is>
      </c>
      <c r="U9" t="inlineStr"/>
      <c r="V9" s="11" t="inlineStr">
        <is>
          <t>Q27 — "Typical free cash to save" uses the middle of recent months. How many months should it look back, and should a one-off windfall be excluded?</t>
        </is>
      </c>
      <c r="W9" s="11"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B24 [NOT COMPARABLE] — This figure names no function, so its formula cannot be checked against anything. 69 of the 163 figures are in this position — the audit covers the 94 that name one.</t>
        </is>
      </c>
      <c r="AC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9" t="inlineStr"/>
      <c r="AE9" t="inlineStr">
        <is>
          <t>No finding on this row. That is not a statement that the row is right — only that nothing has been written against it.</t>
        </is>
      </c>
      <c r="AF9" t="inlineStr">
        <is>
          <t>ACTIVE</t>
        </is>
      </c>
      <c r="AG9" t="inlineStr">
        <is>
          <t>2026-08-27</t>
        </is>
      </c>
      <c r="AJ9" s="3" t="inlineStr">
        <is>
          <t>No function on record — nothing to read from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Q27</t>
        </is>
      </c>
    </row>
    <row r="10">
      <c r="A10" t="inlineStr">
        <is>
          <t>MK-MN-M-009</t>
        </is>
      </c>
      <c r="B10" t="inlineStr">
        <is>
          <t>Menu</t>
        </is>
      </c>
      <c r="C10" t="inlineStr">
        <is>
          <t>/goals</t>
        </is>
      </c>
      <c r="D10" t="inlineStr">
        <is>
          <t>each goal — $X of $Y · $Z to go</t>
        </is>
      </c>
      <c r="E10" t="inlineStr">
        <is>
          <t>g.saved / g.target</t>
        </is>
      </c>
      <c r="F10" s="3" t="inlineStr">
        <is>
          <t>goalStatus</t>
        </is>
      </c>
      <c r="G10" s="3" t="inlineStr">
        <is>
          <t>MK-PL-F-023</t>
        </is>
      </c>
      <c r="H10" t="inlineStr">
        <is>
          <t>to go = target − saved;  progress = saved ÷ target</t>
        </is>
      </c>
      <c r="I10" t="inlineStr">
        <is>
          <t>What has been put aside against the target, and what is still to go.</t>
        </is>
      </c>
      <c r="J10" t="inlineStr">
        <is>
          <t>NOT DETERMINED — no input list on record for this function</t>
        </is>
      </c>
      <c r="K10" t="inlineStr">
        <is>
          <t>US dollars · held to the cent · shown as whole dollars  [derived by rule — confirm]</t>
        </is>
      </c>
      <c r="L10" s="3" t="inlineStr">
        <is>
          <t>No goal → the list is empty and shows Add a goal ›; a goal with no target shows no percentage.</t>
        </is>
      </c>
      <c r="M10" t="inlineStr">
        <is>
          <t>One figure per goal  [derived by rule — confirm]</t>
        </is>
      </c>
      <c r="N10" t="inlineStr">
        <is>
          <t>As of today, from the latest figures held  [derived by rule — confirm]</t>
        </is>
      </c>
      <c r="O10" t="inlineStr">
        <is>
          <t>MK-PL-F-020 (requiredMonthly) → number | null</t>
        </is>
      </c>
      <c r="P10" t="inlineStr">
        <is>
          <t>No function on record — nothing to chain</t>
        </is>
      </c>
      <c r="Q10" t="inlineStr">
        <is>
          <t>No function on record — assumptions unknown</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10" t="inlineStr">
        <is>
          <t>ACTIVE</t>
        </is>
      </c>
      <c r="AG10" t="inlineStr">
        <is>
          <t>2026-08-27</t>
        </is>
      </c>
      <c r="AJ10" s="3" t="inlineStr">
        <is>
          <t>MK-XS-I-027 goals (target, saved, date) — read by MK-PL-F-018, MK-PL-F-019, MK-PL-F-020, MK-PL-F-023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3" t="inlineStr">
        <is>
          <t>NOTHING OPEN</t>
        </is>
      </c>
    </row>
    <row r="11">
      <c r="A11" t="inlineStr">
        <is>
          <t>MK-MN-M-010</t>
        </is>
      </c>
      <c r="B11" t="inlineStr">
        <is>
          <t>Menu</t>
        </is>
      </c>
      <c r="C11" t="inlineStr">
        <is>
          <t>/goals</t>
        </is>
      </c>
      <c r="D11" t="inlineStr">
        <is>
          <t>your non-monthly budget</t>
        </is>
      </c>
      <c r="E11" t="inlineStr">
        <is>
          <t>sinkBasis</t>
        </is>
      </c>
      <c r="F11" s="3" t="inlineStr">
        <is>
          <t>nonMonthlyBasis</t>
        </is>
      </c>
      <c r="G11" s="3" t="inlineStr">
        <is>
          <t>MK-CF-F-007</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function</t>
        </is>
      </c>
      <c r="K11" t="inlineStr">
        <is>
          <t>US dollars · held to the cent · shown as whole dollars  [derived by rule — confirm]</t>
        </is>
      </c>
      <c r="L11" s="3" t="inlineStr">
        <is>
          <t>$0, and under it the one line "Nothing entered yet. Add a goal ›" (mock approved 2026-09-12). A real zero that was entered shows a plain $0 with no line.</t>
        </is>
      </c>
      <c r="M11" t="inlineStr">
        <is>
          <t>One figure per month  [derived by rule — confirm]</t>
        </is>
      </c>
      <c r="N11" t="inlineStr">
        <is>
          <t>As of today, from the latest figures held  [derived by rule — confirm]</t>
        </is>
      </c>
      <c r="O11" t="inlineStr">
        <is>
          <t>MK-ST-F-052 (toNum) → number</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1" t="inlineStr">
        <is>
          <t>ACTIVE</t>
        </is>
      </c>
      <c r="AG11" t="inlineStr">
        <is>
          <t>2026-08-27</t>
        </is>
      </c>
      <c r="AJ11"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MK-MN-M-011</t>
        </is>
      </c>
      <c r="B12" t="inlineStr">
        <is>
          <t>Menu</t>
        </is>
      </c>
      <c r="C12" t="inlineStr">
        <is>
          <t>/income-detail</t>
        </is>
      </c>
      <c r="D12" t="inlineStr">
        <is>
          <t>TAKE-HOME / YEAR</t>
        </is>
      </c>
      <c r="E12" t="inlineStr">
        <is>
          <t>state.total_net_annual</t>
        </is>
      </c>
      <c r="F12" t="inlineStr">
        <is>
          <t>totalGrossAnnual</t>
        </is>
      </c>
      <c r="G12" s="3" t="inlineStr">
        <is>
          <t>MK-CF-O-004</t>
        </is>
      </c>
      <c r="H12" t="inlineStr">
        <is>
          <t>gross a year = salary + self-employment + bonus + equity vesting + rental + other;  take-home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function above  [NOT AN INPUT — another function’s answer; see the dependency column]</t>
        </is>
      </c>
      <c r="K12" t="inlineStr">
        <is>
          <t>US dollars · held to the cent · shown as whole dollars  [derived by rule — confirm]</t>
        </is>
      </c>
      <c r="L12" s="3" t="inlineStr">
        <is>
          <t>$0, and under it the one line "Nothing entered yet. Add your income ›" (mock approved 2026-09-12). A real zero that was entered shows a plain $0 with no line.</t>
        </is>
      </c>
      <c r="M12" t="inlineStr">
        <is>
          <t>One figure per person — or per household when two people share one record  [derived by rule — confirm]</t>
        </is>
      </c>
      <c r="N12" t="inlineStr">
        <is>
          <t>This calendar year, to today  [derived by rule — confirm]</t>
        </is>
      </c>
      <c r="O12"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2"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2"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2" t="inlineStr">
        <is>
          <t>HAS A FUNCTION — traceable from the screen to the code.</t>
        </is>
      </c>
      <c r="AD12" t="inlineStr"/>
      <c r="AE12" s="3" t="inlineStr">
        <is>
          <t>B17 — FIXED 2026-09-12
G32 / Q48 — 2026-09-09: the 'division with nothing on the bottom' boilerplate is gone; this cell now states the row's real refusal. Where it says 'built', the screen already does it; the rest follow the empty-state mock.</t>
        </is>
      </c>
      <c r="AF12" t="inlineStr">
        <is>
          <t>ACTIVE</t>
        </is>
      </c>
      <c r="AG12" t="inlineStr">
        <is>
          <t>2026-09-08</t>
        </is>
      </c>
      <c r="AJ12"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7" t="inlineStr">
        <is>
          <t>CODED, NOT TESTED (finding B17 names no test)</t>
        </is>
      </c>
    </row>
    <row r="13">
      <c r="A13" t="inlineStr">
        <is>
          <t>MK-MN-M-012</t>
        </is>
      </c>
      <c r="B13" t="inlineStr">
        <is>
          <t>Menu</t>
        </is>
      </c>
      <c r="C13" t="inlineStr">
        <is>
          <t>/income-detail</t>
        </is>
      </c>
      <c r="D13" t="inlineStr">
        <is>
          <t>Gross / year</t>
        </is>
      </c>
      <c r="E13" t="inlineStr">
        <is>
          <t>state.total_gross_annual</t>
        </is>
      </c>
      <c r="F13" t="inlineStr">
        <is>
          <t>totalGrossAnnual</t>
        </is>
      </c>
      <c r="G13" s="3" t="inlineStr">
        <is>
          <t>MK-CF-O-004</t>
        </is>
      </c>
      <c r="H13" t="inlineStr">
        <is>
          <t>gross a year = salary + self-employment + bonus + equity vesting + rental + other;  take-home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function above  [NOT AN INPUT — another function’s answer; see the dependency column]</t>
        </is>
      </c>
      <c r="K13" t="inlineStr">
        <is>
          <t>US dollars · held to the cent · shown as whole dollars  [derived by rule — confirm]</t>
        </is>
      </c>
      <c r="L13" s="3" t="inlineStr">
        <is>
          <t>$0, and under it the one line "Nothing entered yet. Add your income ›" (mock approved 2026-09-12). A real zero that was entered shows a plain $0 with no line.</t>
        </is>
      </c>
      <c r="M13" t="inlineStr">
        <is>
          <t>One figure per person — or per household when two people share one record  [derived by rule — confirm]</t>
        </is>
      </c>
      <c r="N13" t="inlineStr">
        <is>
          <t>This calendar year, to today  [derived by rule — confirm]</t>
        </is>
      </c>
      <c r="O1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3" t="inlineStr">
        <is>
          <t>HAS A FUNCTION — traceable from the screen to the code.</t>
        </is>
      </c>
      <c r="AD13" t="inlineStr"/>
      <c r="AE13" s="3" t="inlineStr">
        <is>
          <t>B17 — FIXED 2026-09-12
G32 / Q48 — 2026-09-09: the 'division with nothing on the bottom' boilerplate is gone; this cell now states the row's real refusal. Where it says 'built', the screen already does it; the rest follow the empty-state mock.</t>
        </is>
      </c>
      <c r="AF13" t="inlineStr">
        <is>
          <t>ACTIVE</t>
        </is>
      </c>
      <c r="AG13" t="inlineStr">
        <is>
          <t>2026-09-08</t>
        </is>
      </c>
      <c r="AJ13"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7" t="inlineStr">
        <is>
          <t>CODED, NOT TESTED (finding B17 names no test)</t>
        </is>
      </c>
    </row>
    <row r="14">
      <c r="A14" t="inlineStr">
        <is>
          <t>MK-MN-M-013</t>
        </is>
      </c>
      <c r="B14" t="inlineStr">
        <is>
          <t>Menu</t>
        </is>
      </c>
      <c r="C14" t="inlineStr">
        <is>
          <t>/income-detail</t>
        </is>
      </c>
      <c r="D14" t="inlineStr">
        <is>
          <t>Take-home / month</t>
        </is>
      </c>
      <c r="E14" t="inlineStr">
        <is>
          <t>state.net_monthly_income</t>
        </is>
      </c>
      <c r="F14" t="inlineStr">
        <is>
          <t>totalGrossAnnual</t>
        </is>
      </c>
      <c r="G14" s="3" t="inlineStr">
        <is>
          <t>MK-CF-O-004</t>
        </is>
      </c>
      <c r="H14" t="inlineStr">
        <is>
          <t>gross a year = salary + self-employment + bonus + equity vesting + rental + other;  take-home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function above  [NOT AN INPUT — another function’s answer; see the dependency column]</t>
        </is>
      </c>
      <c r="K14" t="inlineStr">
        <is>
          <t>US dollars · held to the cent · shown as whole dollars  [derived by rule — confirm]</t>
        </is>
      </c>
      <c r="L14" s="3" t="inlineStr">
        <is>
          <t>$0, and under it the one line "Nothing entered yet. Add your income ›" (mock approved 2026-09-12). A real zero that was entered shows a plain $0 with no line.</t>
        </is>
      </c>
      <c r="M14" t="inlineStr">
        <is>
          <t>One figure per month  [derived by rule — confirm]</t>
        </is>
      </c>
      <c r="N14" t="inlineStr">
        <is>
          <t>As of today, from the latest figures held  [derived by rule — confirm]</t>
        </is>
      </c>
      <c r="O14"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4"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4"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4" t="inlineStr">
        <is>
          <t>HAS A FUNCTION — traceable from the screen to the code.</t>
        </is>
      </c>
      <c r="AD14" t="inlineStr"/>
      <c r="AE14" s="3" t="inlineStr">
        <is>
          <t>B17 — FIXED 2026-09-12
G32 / Q48 — 2026-09-09: the 'division with nothing on the bottom' boilerplate is gone; this cell now states the row's real refusal. Where it says 'built', the screen already does it; the rest follow the empty-state mock.</t>
        </is>
      </c>
      <c r="AF14" t="inlineStr">
        <is>
          <t>ACTIVE</t>
        </is>
      </c>
      <c r="AG14" t="inlineStr">
        <is>
          <t>2026-09-08</t>
        </is>
      </c>
      <c r="AJ14"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7" t="inlineStr">
        <is>
          <t>CODED, NOT TESTED (finding B17 names no test)</t>
        </is>
      </c>
    </row>
    <row r="15">
      <c r="A15" t="inlineStr">
        <is>
          <t>MK-MN-M-014</t>
        </is>
      </c>
      <c r="B15" t="inlineStr">
        <is>
          <t>Menu</t>
        </is>
      </c>
      <c r="C15" t="inlineStr">
        <is>
          <t>/income-detail</t>
        </is>
      </c>
      <c r="D15" t="inlineStr">
        <is>
          <t>Employer 401(k) match</t>
        </is>
      </c>
      <c r="E15" t="inlineStr">
        <is>
          <t>state.employer_match_annual</t>
        </is>
      </c>
      <c r="F15" t="inlineStr">
        <is>
          <t>employerMatchMonthly</t>
        </is>
      </c>
      <c r="G15" t="inlineStr">
        <is>
          <t>MK-CF-F-078</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1. the match → employerMatchValue  [NOT AN INPUT — another function’s answer; see the dependency column]
2. percent or dollars → employerMatchMode  [MK-XS-I-046]
3. their own contribution → c_401k  [MK-XS-I-043]</t>
        </is>
      </c>
      <c r="K15" t="inlineStr">
        <is>
          <t>US dollars · held to the cent · shown as whole dollars  [derived by rule — confirm]</t>
        </is>
      </c>
      <c r="L15" t="inlineStr">
        <is>
          <t>NOT DETERMINED — this function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1. MK-CF-F-175 (sumOverEarners) → number
2. MK-CF-F-178 (wageMatchMonthly) → number</t>
        </is>
      </c>
      <c r="P15" t="inlineStr">
        <is>
          <t>1. MK-ST-F-056 has → MK-CF-F-172 hasWage → MK-CF-F-173 earnerWages → MK-CF-F-175 sumOverEarners → MK-CF-F-078 employerMatchMonthly
2. MK-XS-F-122 n → MK-ST-F-052 toNum → MK-CF-F-178 wageMatchMonthly → MK-CF-F-078 employerMatchMonthly</t>
        </is>
      </c>
      <c r="Q15" t="inlineStr">
        <is>
          <t>None found anywhere in this chain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5" t="inlineStr">
        <is>
          <t>HAS A FUNCTION — traceable from the screen to the code.</t>
        </is>
      </c>
      <c r="AD15" t="inlineStr">
        <is>
          <t>B29 — Base salary — three copies of the match arithmetic, free to drift apart</t>
        </is>
      </c>
      <c r="AE15" t="inlineStr">
        <is>
          <t>B29 — FIXED 2026-08-27
B04 — FIXED 2026-08-27</t>
        </is>
      </c>
      <c r="AF15" t="inlineStr">
        <is>
          <t>ACTIVE</t>
        </is>
      </c>
      <c r="AG15" t="inlineStr">
        <is>
          <t>2026-08-27</t>
        </is>
      </c>
      <c r="AJ15"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7" t="inlineStr">
        <is>
          <t>CODED, NOT TESTED (finding B04, B29 names no test)</t>
        </is>
      </c>
    </row>
    <row r="16">
      <c r="A16" t="inlineStr">
        <is>
          <t>MK-MN-M-015</t>
        </is>
      </c>
      <c r="B16" t="inlineStr">
        <is>
          <t>Menu</t>
        </is>
      </c>
      <c r="C16" t="inlineStr">
        <is>
          <t>/insights</t>
        </is>
      </c>
      <c r="D16" t="inlineStr">
        <is>
          <t>each insight and the dollars behind it</t>
        </is>
      </c>
      <c r="E16" t="inlineStr">
        <is>
          <t>shareOf(v)</t>
        </is>
      </c>
      <c r="F16" t="inlineStr">
        <is>
          <t>NOT ON RECORD — no function is recorded for this figure</t>
        </is>
      </c>
      <c r="G16" t="inlineStr"/>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function</t>
        </is>
      </c>
      <c r="K16" t="inlineStr">
        <is>
          <t>US dollars · held to the cent · shown as whole dollars  [derived by rule — confirm]</t>
        </is>
      </c>
      <c r="L16" t="inlineStr">
        <is>
          <t>NOT DETERMINED — this function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 function on record — nothing to chain</t>
        </is>
      </c>
      <c r="P16" t="inlineStr">
        <is>
          <t>No function on record — nothing to chain</t>
        </is>
      </c>
      <c r="Q16" t="inlineStr">
        <is>
          <t>No function on record — assumptions unknown</t>
        </is>
      </c>
      <c r="R16" t="inlineStr"/>
      <c r="S16" t="inlineStr"/>
      <c r="T16" t="inlineStr">
        <is>
          <t>NOT DETERMINED — no assumption recorded for this figure yet.</t>
        </is>
      </c>
      <c r="U16" t="inlineStr">
        <is>
          <t>THE SURVIVING IDENTIFIER for this figure. Folded in: MK-HM-M-003. The insights list. Home shows the top three of the same list the Insights screen shows in full.</t>
        </is>
      </c>
      <c r="V16" t="inlineStr"/>
      <c r="W16" t="inlineStr"/>
      <c r="X16" t="inlineStr"/>
      <c r="Y16" t="inlineStr">
        <is>
          <t>NOT DETERMINED</t>
        </is>
      </c>
      <c r="Z16" t="inlineStr">
        <is>
          <t>VERIFIED 2026-08-22</t>
        </is>
      </c>
      <c r="AA1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t="inlineStr">
        <is>
          <t>No finding on this row. That is not a statement that the row is right — only that nothing has been written against it.</t>
        </is>
      </c>
      <c r="AF16" t="inlineStr">
        <is>
          <t>ACTIVE</t>
        </is>
      </c>
      <c r="AG16" t="inlineStr">
        <is>
          <t>2026-08-27</t>
        </is>
      </c>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3" t="inlineStr">
        <is>
          <t>NOTHING OPEN</t>
        </is>
      </c>
    </row>
    <row r="17">
      <c r="A17" t="inlineStr">
        <is>
          <t>MK-MN-M-016</t>
        </is>
      </c>
      <c r="B17" t="inlineStr">
        <is>
          <t>Menu</t>
        </is>
      </c>
      <c r="C17" t="inlineStr">
        <is>
          <t>/insights</t>
        </is>
      </c>
      <c r="D17" t="inlineStr">
        <is>
          <t>Total invested · Cash total · Investable total</t>
        </is>
      </c>
      <c r="E17" t="inlineStr">
        <is>
          <t>investable / cash</t>
        </is>
      </c>
      <c r="F17" t="inlineStr">
        <is>
          <t>1. investableAssets
2. cashTotal</t>
        </is>
      </c>
      <c r="G17" t="inlineStr">
        <is>
          <t>1. MK-NW-F-022
2. MK-NW-F-016</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1. each account's class → assetClassOf  [MK-XS-I-048]
2. each account's money → balance  [MK-XS-I-001]
3. each account's class → assetClassOf  [MK-XS-I-048]
4. each account's money → balance  [MK-XS-I-001]</t>
        </is>
      </c>
      <c r="K17" t="inlineStr">
        <is>
          <t>US dollars · held to the cent · shown as whole dollars  [derived by rule — confirm]</t>
        </is>
      </c>
      <c r="L17" t="inlineStr">
        <is>
          <t>NOT DETERMINED — this function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1. MK-NW-F-014 (isRealAsset) → boolean
2. MK-NW-F-066 (sumWhere) → number
3. MK-NW-F-015 (totalAssets) → number
4. MK-NW-F-027 (accountClassBreakdown) → Record&lt;AssetClass, number&gt; | null
5. MK-NW-F-011 (assetClassOf) → AssetClass</t>
        </is>
      </c>
      <c r="P17"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
7. MK-XS-F-122 n → MK-CF-F-155 cash → MK-NW-F-008 incomeBearingClassOf → MK-NW-F-011 assetClassOf → MK-NW-F-027 accountClassBreakdown → MK-NW-F-016 cashTotal
8. MK-XS-F-147 call → MK-ST-F-010 nameEvidence → MK-NW-F-008 incomeBearingClassOf → MK-NW-F-011 assetClassOf → MK-NW-F-027 accountClassBreakdown → MK-NW-F-016 cashTotal
9. MK-ST-F-056 has → MK-ST-F-010 nameEvidence → MK-NW-F-008 incomeBearingClassOf → MK-NW-F-011 assetClassOf → MK-NW-F-027 accountClassBreakdown → MK-NW-F-016 cashTotal
10. MK-CF-F-132 map → MK-ST-F-010 nameEvidence → MK-NW-F-008 incomeBearingClassOf → MK-NW-F-011 assetClassOf → MK-NW-F-027 accountClassBreakdown → MK-NW-F-016 cashTotal
11. MK-XS-F-122 n → MK-CF-F-155 cash → MK-NW-F-027 accountClassBreakdown → MK-NW-F-016 cashTotal
12. MK-XS-F-122 n → MK-CF-F-155 cash → MK-NW-F-008 incomeBearingClassOf → MK-NW-F-027 accountClassBreakdown → MK-NW-F-016 cashTotal
13. MK-ST-F-027 accountId → MK-XS-F-147 call → MK-ST-F-010 nameEvidence → MK-NW-F-008 incomeBearingClassOf → MK-NW-F-027 accountClassBreakdown → MK-NW-F-016 cashTotal
14. MK-XS-F-064 currentIdToken → MK-XS-F-147 call → MK-ST-F-010 nameEvidence → MK-NW-F-008 incomeBearingClassOf → MK-NW-F-027 accountClassBreakdown → MK-NW-F-016 cashTotal
15. … and 4 more paths</t>
        </is>
      </c>
      <c r="Q17" t="inlineStr">
        <is>
          <t>1. MK-NW-F-066 — If balance is missing it counts as zero, so nothing recorded and a real zero look the same.
2. MK-NW-F-015 — If balance is missing it counts as zero, so nothing recorded and a real zero look the same.
3. MK-NW-F-016 — If balance is missing it counts as zero, so nothing recorded and a real zero look the same.
4. MK-NW-F-027 — If cash balance is missing it uses 0.
5. MK-NW-F-027 — If shares is missing it counts as zero, so nothing recorded and a real zero look the same.
6. MK-NW-F-027 — If value is missing it counts as zero, so nothing recorded and a real zero look the same.
7. MK-NW-F-027 — If balance is missing it counts as zero, so nothing recorded and a real zero look the same.</t>
        </is>
      </c>
      <c r="R17" t="inlineStr">
        <is>
          <t>DECIDES what counts as cash — and deliberately excludes money-market funds.</t>
        </is>
      </c>
      <c r="S17" t="inlineStr">
        <is>
          <t>Money-market funds are deliberately NOT counted as cash. Any institution that reports a sweep as a fund will therefore land in investments — worth watching per provider.</t>
        </is>
      </c>
      <c r="T17" t="inlineStr">
        <is>
          <t>[Founder] Cash means checking, savings, high-yield savings and the uninvested sweep at a broker. Money-market funds are investments, because they pay dividends and are measured with the investments (founder, 2026-08-04).</t>
        </is>
      </c>
      <c r="U17" t="inlineStr"/>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ACTIVE</t>
        </is>
      </c>
      <c r="AG17" t="inlineStr">
        <is>
          <t>2026-08-27</t>
        </is>
      </c>
      <c r="AJ17" s="3" t="inlineStr">
        <is>
          <t>1. MK-XS-I-001 account balance — read by MK-NW-F-015, MK-NW-F-016, MK-NW-F-027, MK-NW-F-066,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3" t="inlineStr">
        <is>
          <t>NOTHING OPEN</t>
        </is>
      </c>
    </row>
    <row r="18">
      <c r="A18" t="inlineStr">
        <is>
          <t>MK-MN-M-017</t>
        </is>
      </c>
      <c r="B18" t="inlineStr">
        <is>
          <t>Menu</t>
        </is>
      </c>
      <c r="C18" t="inlineStr">
        <is>
          <t>/insurance</t>
        </is>
      </c>
      <c r="D18" t="inlineStr">
        <is>
          <t>the life-cover gap</t>
        </is>
      </c>
      <c r="E18" t="inlineStr">
        <is>
          <t>need.gap</t>
        </is>
      </c>
      <c r="F18" t="inlineStr">
        <is>
          <t>NOT ON RECORD — no function is recorded for this figure</t>
        </is>
      </c>
      <c r="G18" t="inlineStr"/>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function</t>
        </is>
      </c>
      <c r="K18" t="inlineStr">
        <is>
          <t>US dollars · held to the cent · shown as whole dollars  [derived by rule — confirm]</t>
        </is>
      </c>
      <c r="L18" t="inlineStr">
        <is>
          <t>NOT DETERMINED — this function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 function on record — nothing to chain</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s="11" t="inlineStr">
        <is>
          <t>Q25 — How many years of income should the default life-cover estimate replace, and does it assume the mortgage is cleared?</t>
        </is>
      </c>
      <c r="W18" s="11"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B24 [NOT COMPARABLE] — This figure names no function, so its formula cannot be checked against anything. 69 of the 163 figures are in this position — the audit covers the 94 that name one.</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c r="AE18" t="inlineStr">
        <is>
          <t>No finding on this row. That is not a statement that the row is right — only that nothing has been written against it.</t>
        </is>
      </c>
      <c r="AF18" t="inlineStr">
        <is>
          <t>ACTIVE</t>
        </is>
      </c>
      <c r="AG18" t="inlineStr">
        <is>
          <t>2026-08-27</t>
        </is>
      </c>
      <c r="AJ18" s="3" t="inlineStr">
        <is>
          <t>No function on record — nothing to read from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WAITING ON YOU — question Q25</t>
        </is>
      </c>
    </row>
    <row r="19">
      <c r="A19" t="inlineStr">
        <is>
          <t>MK-MN-M-018</t>
        </is>
      </c>
      <c r="B19" t="inlineStr">
        <is>
          <t>Menu</t>
        </is>
      </c>
      <c r="C19" t="inlineStr">
        <is>
          <t>/insurance</t>
        </is>
      </c>
      <c r="D19" t="inlineStr">
        <is>
          <t>Income replacement (N yrs)</t>
        </is>
      </c>
      <c r="E19" t="inlineStr">
        <is>
          <t>need.incomeReplacement</t>
        </is>
      </c>
      <c r="F19" t="inlineStr">
        <is>
          <t>NOT ON RECORD — no function is recorded for this figure</t>
        </is>
      </c>
      <c r="G19" t="inlineStr"/>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function</t>
        </is>
      </c>
      <c r="K19" t="inlineStr">
        <is>
          <t>US dollars · held to the cent · shown as whole dollars  [derived by rule — confirm]</t>
        </is>
      </c>
      <c r="L19" t="inlineStr">
        <is>
          <t>NOT DETERMINED — this function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 function on record — nothing to chain</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MK-MN-M-019</t>
        </is>
      </c>
      <c r="B20" t="inlineStr">
        <is>
          <t>Menu</t>
        </is>
      </c>
      <c r="C20" t="inlineStr">
        <is>
          <t>/insurance</t>
        </is>
      </c>
      <c r="D20" t="inlineStr">
        <is>
          <t>+ Debts, goals &amp; final expenses · Total need</t>
        </is>
      </c>
      <c r="E20" t="inlineStr">
        <is>
          <t>need.total</t>
        </is>
      </c>
      <c r="F20" t="inlineStr">
        <is>
          <t>NOT ON RECORD — no function is recorded for this figure</t>
        </is>
      </c>
      <c r="G20" t="inlineStr"/>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function</t>
        </is>
      </c>
      <c r="K20" t="inlineStr">
        <is>
          <t>US dollars · held to the cent · shown as whole dollars  [derived by rule — confirm]</t>
        </is>
      </c>
      <c r="L20" t="inlineStr">
        <is>
          <t>NOT DETERMINED — this function has not been read for its refusal yet.</t>
        </is>
      </c>
      <c r="M20" t="inlineStr">
        <is>
          <t>One figure per debt, and one total per person  [derived by rule — confirm]</t>
        </is>
      </c>
      <c r="N20" t="inlineStr">
        <is>
          <t>As of today, from the latest figures held  [derived by rule — confirm]</t>
        </is>
      </c>
      <c r="O20" t="inlineStr">
        <is>
          <t>No function on record — nothing to chain</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t="inlineStr"/>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t="inlineStr">
        <is>
          <t>No finding on this row. That is not a statement that the row is right — only that nothing has been written against it.</t>
        </is>
      </c>
      <c r="AF20" t="inlineStr">
        <is>
          <t>ACTIVE</t>
        </is>
      </c>
      <c r="AG20" t="inlineStr">
        <is>
          <t>2026-08-27</t>
        </is>
      </c>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3" t="inlineStr">
        <is>
          <t>NOTHING OPEN</t>
        </is>
      </c>
    </row>
    <row r="21">
      <c r="A21" t="inlineStr">
        <is>
          <t>MK-MN-M-020</t>
        </is>
      </c>
      <c r="B21" t="inlineStr">
        <is>
          <t>Menu</t>
        </is>
      </c>
      <c r="C21" t="inlineStr">
        <is>
          <t>/jobsafety</t>
        </is>
      </c>
      <c r="D21" t="inlineStr">
        <is>
          <t>N months of essentials is $X ($Y/mo)</t>
        </is>
      </c>
      <c r="E21" t="inlineStr">
        <is>
          <t>target / ess</t>
        </is>
      </c>
      <c r="F21" s="3" t="inlineStr">
        <is>
          <t>essentialsFromLoggedSpending (through Job safety)</t>
        </is>
      </c>
      <c r="G21" s="3" t="inlineStr">
        <is>
          <t>MK-CF-F-189</t>
        </is>
      </c>
      <c r="H21" s="3" t="inlineStr">
        <is>
          <t>runway in months = cash ÷ essentials a month; target = months wanted × essentials a month; essentials a month = the typed figure on this screen if given, else the logged average (MK-CF-F-189)</t>
        </is>
      </c>
      <c r="I21"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21" s="3" t="inlineStr">
        <is>
          <t>1. every logged expense → expenses [MK-XS-I-024]
2. the typed fallback → typed monthly expenses / essentials [MK-XS-I-025]
3. cash on hand → the Cash class [MK-XS-I-001]</t>
        </is>
      </c>
      <c r="K21" t="inlineStr">
        <is>
          <t>Months · one decimal  [derived by rule — confirm]</t>
        </is>
      </c>
      <c r="L21" s="3" t="inlineStr">
        <is>
          <t>No essentials figure → the screen asks 'What do your essential bills come to in a typical month?' (built); no months chosen → 6.</t>
        </is>
      </c>
      <c r="M21" t="inlineStr">
        <is>
          <t>One figure per month  [derived by rule — confirm]</t>
        </is>
      </c>
      <c r="N21" t="inlineStr">
        <is>
          <t>As of today, from the latest figures held  [derived by rule — confirm]</t>
        </is>
      </c>
      <c r="O21" t="inlineStr">
        <is>
          <t>1. MK-ST-F-056 (has) → NOT DECLARED — the code does not say what it gives back
2. MK-XS-F-122 (n) → number
3. MK-ST-F-052 (toNum) → number
4. MK-CF-F-191 (ym) → NOT DECLARED — the code does not say what it gives back</t>
        </is>
      </c>
      <c r="P21" t="inlineStr">
        <is>
          <t>No function on record — nothing to chain</t>
        </is>
      </c>
      <c r="Q21" t="inlineStr">
        <is>
          <t>No function on record — assumptions unknown</t>
        </is>
      </c>
      <c r="R21" t="inlineStr"/>
      <c r="S21" t="inlineStr"/>
      <c r="T21"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1" t="inlineStr"/>
      <c r="V21" s="11" t="inlineStr">
        <is>
          <t>Q28 — How many months of essentials should the app treat as safe by default — and is that number yours to set per person, or one figure for everyone?</t>
        </is>
      </c>
      <c r="W21" s="11" t="inlineStr"/>
      <c r="X21" t="inlineStr"/>
      <c r="Y21" t="inlineStr">
        <is>
          <t>NOT DETERMINED</t>
        </is>
      </c>
      <c r="Z21" t="inlineStr">
        <is>
          <t>VERIFIED 2026-08-22</t>
        </is>
      </c>
      <c r="AA2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1" t="inlineStr">
        <is>
          <t>ACTIVE</t>
        </is>
      </c>
      <c r="AG21" t="inlineStr">
        <is>
          <t>2026-08-27</t>
        </is>
      </c>
      <c r="AJ21" s="3" t="inlineStr">
        <is>
          <t>MK-XS-I-024 logged expenses — read by MK-CF-F-189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7" t="inlineStr">
        <is>
          <t>WAITING ON YOU — question Q28 · TESTED, NOT VERIFIED (G21 / Q47)</t>
        </is>
      </c>
    </row>
    <row r="22">
      <c r="A22" t="inlineStr">
        <is>
          <t>MK-MN-M-021</t>
        </is>
      </c>
      <c r="B22" t="inlineStr">
        <is>
          <t>Menu</t>
        </is>
      </c>
      <c r="C22" t="inlineStr">
        <is>
          <t>/jobsafety</t>
        </is>
      </c>
      <c r="D22" t="inlineStr">
        <is>
          <t>Using $X/mo from your logged expenses</t>
        </is>
      </c>
      <c r="E22" t="inlineStr">
        <is>
          <t>monthSpend</t>
        </is>
      </c>
      <c r="F22" s="3" t="inlineStr">
        <is>
          <t>essentialsFromLoggedSpending</t>
        </is>
      </c>
      <c r="G22" s="3" t="inlineStr">
        <is>
          <t>MK-CF-F-189</t>
        </is>
      </c>
      <c r="H22" s="3" t="inlineStr">
        <is>
          <t>baseline = the average of logged expenses over the months logged, mortgage and big items included; label = 'N month average'</t>
        </is>
      </c>
      <c r="I22"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22" s="3" t="inlineStr">
        <is>
          <t>1. every logged expense → expenses [MK-XS-I-024]
2. the typed fallback → typed monthly expenses / essentials [MK-XS-I-025]
3. cash on hand → the Cash class [MK-XS-I-001]</t>
        </is>
      </c>
      <c r="K22" t="inlineStr">
        <is>
          <t>US dollars · held to the cent · shown as whole dollars  [derived by rule — confirm]</t>
        </is>
      </c>
      <c r="L22" s="3" t="inlineStr">
        <is>
          <t>$0, and under it the one line "Nothing entered yet. Log your expenses ›" (mock approved 2026-09-12). A real zero that was entered shows a plain $0 with no line.</t>
        </is>
      </c>
      <c r="M22" t="inlineStr">
        <is>
          <t>One figure per person — or per household when two people share one record  [derived by rule — confirm]</t>
        </is>
      </c>
      <c r="N22" t="inlineStr">
        <is>
          <t>As of today, from the latest figures held  [derived by rule — confirm]</t>
        </is>
      </c>
      <c r="O22" t="inlineStr">
        <is>
          <t>1. MK-ST-F-056 (has) → NOT DECLARED — the code does not say what it gives back
2. MK-XS-F-122 (n) → number
3. MK-ST-F-052 (toNum) → number
4. MK-CF-F-191 (ym) → NOT DECLARED — the code does not say what it gives back</t>
        </is>
      </c>
      <c r="P22"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22"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22" t="inlineStr"/>
      <c r="S22" t="inlineStr"/>
      <c r="T22"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t="inlineStr"/>
      <c r="V22" t="inlineStr"/>
      <c r="W22" t="inlineStr"/>
      <c r="X22" t="inlineStr"/>
      <c r="Y22" t="inlineStr">
        <is>
          <t>NOT DETERMINED</t>
        </is>
      </c>
      <c r="Z22" t="inlineStr">
        <is>
          <t>VERIFIED 2026-08-22</t>
        </is>
      </c>
      <c r="AA22"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22" t="inlineStr">
        <is>
          <t>HAS A FUNCTION — traceable from the screen to the code.</t>
        </is>
      </c>
      <c r="AD22" t="inlineStr"/>
      <c r="AE22" s="3" t="inlineStr">
        <is>
          <t>B02 — NOT A DEFECT 2026-08-26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22" t="inlineStr">
        <is>
          <t>ACTIVE</t>
        </is>
      </c>
      <c r="AG22" t="inlineStr">
        <is>
          <t>2026-08-27</t>
        </is>
      </c>
      <c r="AJ22" s="3" t="inlineStr">
        <is>
          <t>MK-XS-I-024 logged expenses — read by MK-CF-F-189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6" t="inlineStr">
        <is>
          <t>TESTED, NOT VERIFIED (G21 / Q47)</t>
        </is>
      </c>
    </row>
    <row r="23">
      <c r="A23" t="inlineStr">
        <is>
          <t>MK-MN-M-022</t>
        </is>
      </c>
      <c r="B23" t="inlineStr">
        <is>
          <t>Menu</t>
        </is>
      </c>
      <c r="C23" t="inlineStr">
        <is>
          <t>/other-investments</t>
        </is>
      </c>
      <c r="D23" t="inlineStr">
        <is>
          <t>the total value of these investments</t>
        </is>
      </c>
      <c r="E23" t="inlineStr">
        <is>
          <t>summary.totalValue</t>
        </is>
      </c>
      <c r="F23" t="inlineStr">
        <is>
          <t>NOT ON RECORD — no function is recorded for this figure</t>
        </is>
      </c>
      <c r="G23" t="inlineStr"/>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function</t>
        </is>
      </c>
      <c r="K23" t="inlineStr">
        <is>
          <t>US dollars · held to the cent · shown as whole dollars  [derived by rule — confirm]</t>
        </is>
      </c>
      <c r="L23" s="3" t="inlineStr">
        <is>
          <t>$0, and under it the one line "Nothing entered yet. Add an investment ›" (mock approved 2026-09-12). A real zero that was entered shows a plain $0 with no line.</t>
        </is>
      </c>
      <c r="M23" t="inlineStr">
        <is>
          <t>One figure per person — or per household when two people share one record  [derived by rule — confirm]</t>
        </is>
      </c>
      <c r="N23" t="inlineStr">
        <is>
          <t>As of today, from the latest figures held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s="3" t="inlineStr">
        <is>
          <t>No finding on this row. That is not a statement that the row is right — only that nothing has been written against it.
G32 / Q48 — RULED 2026-09-09: $0 stays, with the sentence '$0 — nothing entered yet.' and this row's door ('Add an investment ›'). File written; the screen follows the approved empty-state mock (one pattern, one screen), then every screen.</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MK-MN-M-023</t>
        </is>
      </c>
      <c r="B24" t="inlineStr">
        <is>
          <t>Menu</t>
        </is>
      </c>
      <c r="C24" t="inlineStr">
        <is>
          <t>/other-investments</t>
        </is>
      </c>
      <c r="D24" t="inlineStr">
        <is>
          <t>EST. GROWTH / YR</t>
        </is>
      </c>
      <c r="E24" t="inlineStr">
        <is>
          <t>summary.growth</t>
        </is>
      </c>
      <c r="F24" t="inlineStr">
        <is>
          <t>NOT ON RECORD — no function is recorded for this figure</t>
        </is>
      </c>
      <c r="G24" t="inlineStr"/>
      <c r="H24" t="inlineStr">
        <is>
          <t>estimated growth a year = Σ(value × its stated growth rate)</t>
        </is>
      </c>
      <c r="I24" t="inlineStr">
        <is>
          <t>Applies each alternative holding's own stated growth rate to its value and adds the results. Calculated, and labelled as one.</t>
        </is>
      </c>
      <c r="J24" t="inlineStr">
        <is>
          <t>NOT DETERMINED — no input list on record for this function</t>
        </is>
      </c>
      <c r="K24" t="inlineStr">
        <is>
          <t>US dollars · held to the cent · shown as whole dollars  [derived by rule — confirm]</t>
        </is>
      </c>
      <c r="L24" s="3" t="inlineStr">
        <is>
          <t>$0, and under it the one line "Nothing entered yet. Add an investment ›" (mock approved 2026-09-12). A real zero that was entered shows a plain $0 with no line.</t>
        </is>
      </c>
      <c r="M24" t="inlineStr">
        <is>
          <t>One figure per person — or per household when two people share one record  [derived by rule — confirm]</t>
        </is>
      </c>
      <c r="N24" t="inlineStr">
        <is>
          <t>As of today, from the latest figures held  [derived by rule — confirm]</t>
        </is>
      </c>
      <c r="O24" t="inlineStr">
        <is>
          <t>No function on record — nothing to chain</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s="3" t="inlineStr">
        <is>
          <t>No finding on this row. That is not a statement that the row is right — only that nothing has been written against it.
G32 / Q48 — RULED 2026-09-09: $0 stays, with the sentence '$0 — nothing entered yet.' and this row's door ('Add an investment ›'). File written; the screen follows the approved empty-state mock (one pattern, one screen), then every screen.</t>
        </is>
      </c>
      <c r="AF24" t="inlineStr">
        <is>
          <t>ACTIVE</t>
        </is>
      </c>
      <c r="AG24" t="inlineStr">
        <is>
          <t>2026-09-08</t>
        </is>
      </c>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3" t="inlineStr">
        <is>
          <t>NOTHING OPEN</t>
        </is>
      </c>
    </row>
    <row r="25">
      <c r="A25" t="inlineStr">
        <is>
          <t>MK-MN-M-024</t>
        </is>
      </c>
      <c r="B25" t="inlineStr">
        <is>
          <t>Menu</t>
        </is>
      </c>
      <c r="C25" t="inlineStr">
        <is>
          <t>/stress-test</t>
        </is>
      </c>
      <c r="D25" t="inlineStr">
        <is>
          <t>You could cover a $X hit</t>
        </is>
      </c>
      <c r="E25" t="inlineStr">
        <is>
          <t>shock</t>
        </is>
      </c>
      <c r="F25" s="3" t="inlineStr">
        <is>
          <t>emergencyTest (with the essentials figure from essentialsMonthly)</t>
        </is>
      </c>
      <c r="G25" s="3" t="inlineStr">
        <is>
          <t>MK-CF-F-010 (← MK-CF-F-190)</t>
        </is>
      </c>
      <c r="H25" s="3" t="inlineStr">
        <is>
          <t>cash after = cash − the shock; runway after = cash after ÷ essentials a month, where essentials a month = MK-CF-F-190 (logged average, else the typed categories)</t>
        </is>
      </c>
      <c r="I25" s="3" t="inlineStr">
        <is>
          <t>Takes a one-off hit out of the cash on hand and shows what would be left and how many months of essentials it would cover — dividing by the same essentials figure the other cards use, labelled with the months it stands on.</t>
        </is>
      </c>
      <c r="J25" s="3" t="inlineStr">
        <is>
          <t>1. every logged expense → expenses [MK-XS-I-024]
2. the typed fallback → typed monthly expenses / essentials [MK-XS-I-025]
3. cash on hand → the Cash class [MK-XS-I-001]</t>
        </is>
      </c>
      <c r="K25"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t="inlineStr">
        <is>
          <t>One figure per person — or per household when two people share one record  [derived by rule — confirm]</t>
        </is>
      </c>
      <c r="N25" t="inlineStr">
        <is>
          <t>As of today, from the latest figures held  [derived by rule — confirm]</t>
        </is>
      </c>
      <c r="O25" t="inlineStr">
        <is>
          <t>1. MK-CF-F-155 (cash) → number
2. MK-CF-F-009 (monthlyEssentials) → number
3. MK-CF-F-189 (essentialsFromLoggedSpending) → EssentialsAverage | null</t>
        </is>
      </c>
      <c r="P25" t="inlineStr">
        <is>
          <t>No function on record — nothing to chain</t>
        </is>
      </c>
      <c r="Q25" t="inlineStr">
        <is>
          <t>No function on record — assumptions unknown</t>
        </is>
      </c>
      <c r="R25" t="inlineStr"/>
      <c r="S25" t="inlineStr"/>
      <c r="T25"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5" t="inlineStr"/>
      <c r="V25" s="11" t="inlineStr">
        <is>
          <t>Q29 — What size of shock should the test use by default, and should it be a fixed dollar figure or a share of the person's expenses?</t>
        </is>
      </c>
      <c r="W25" s="11"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25" t="inlineStr">
        <is>
          <t>ACTIVE</t>
        </is>
      </c>
      <c r="AG25" t="inlineStr">
        <is>
          <t>2026-08-27</t>
        </is>
      </c>
      <c r="AJ2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MK-CF-F-189, MK-CF-F-190
7. MK-XS-I-025 typical monthly essentials — read by MK-CF-F-009, MK-CF-F-010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MK-CF-F-009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MK-XS-I-043 their own retirement contribution — read by MK-CF-F-088, MK-CF-F-092, MK-CF-F-181
20. MK-XS-I-055 the wrapper an account sits in — ISA, 401(k), IRA and the rest — read by MK-CF-F-075
21. MK-XS-I-059 the month a bonus lands — read by MK-CF-F-088, MK-CF-F-092
22. MK-XS-I-060 how a person is paid — weekly, fortnightly, monthly — read by MK-CF-F-130
23.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7" t="inlineStr">
        <is>
          <t>WAITING ON YOU — question Q29 · TESTED, NOT VERIFIED (G21 / Q47)</t>
        </is>
      </c>
    </row>
    <row r="26">
      <c r="A26" t="inlineStr">
        <is>
          <t>MK-MN-M-025</t>
        </is>
      </c>
      <c r="B26" t="inlineStr">
        <is>
          <t>Menu</t>
        </is>
      </c>
      <c r="C26" t="inlineStr">
        <is>
          <t>/stress-test</t>
        </is>
      </c>
      <c r="D26" t="inlineStr">
        <is>
          <t>You'd have $X left — about N months of essentials</t>
        </is>
      </c>
      <c r="E26" t="inlineStr">
        <is>
          <t>r.cashAfter / r.runwayAfter</t>
        </is>
      </c>
      <c r="F26" s="3" t="inlineStr">
        <is>
          <t>emergencyTest (with the essentials figure from essentialsMonthly)</t>
        </is>
      </c>
      <c r="G26" s="3" t="inlineStr">
        <is>
          <t>MK-CF-F-010 (← MK-CF-F-190)</t>
        </is>
      </c>
      <c r="H26" s="3" t="inlineStr">
        <is>
          <t>runway after = max(0, cash − shock) ÷ essentials a month (MK-CF-F-190)</t>
        </is>
      </c>
      <c r="I26" s="3" t="inlineStr">
        <is>
          <t>'You'd have $X left — about N months of essentials ($Y/mo — 7 month average).'</t>
        </is>
      </c>
      <c r="J26" s="3" t="inlineStr">
        <is>
          <t>1. every logged expense → expenses [MK-XS-I-024]
2. the typed fallback → typed monthly expenses / essentials [MK-XS-I-025]
3. cash on hand → the Cash class [MK-XS-I-001]</t>
        </is>
      </c>
      <c r="K26" t="inlineStr">
        <is>
          <t>Months · one decimal  [derived by rule — confirm]</t>
        </is>
      </c>
      <c r="L26" s="3" t="inlineStr">
        <is>
          <t>$0, and under it the one line "Nothing entered yet. Add your accounts ›" (mock approved 2026-09-12). A real zero that was entered shows a plain $0 with no line.</t>
        </is>
      </c>
      <c r="M26" t="inlineStr">
        <is>
          <t>One figure per month  [derived by rule — confirm]</t>
        </is>
      </c>
      <c r="N26" t="inlineStr">
        <is>
          <t>As of today, from the latest figures held  [derived by rule — confirm]</t>
        </is>
      </c>
      <c r="O26" t="inlineStr">
        <is>
          <t>1. MK-CF-F-155 (cash) → number
2. MK-CF-F-009 (monthlyEssentials) → number
3. MK-CF-F-189 (essentialsFromLoggedSpending) → EssentialsAverage | null</t>
        </is>
      </c>
      <c r="P26" t="inlineStr">
        <is>
          <t>No function on record — nothing to chain</t>
        </is>
      </c>
      <c r="Q26" t="inlineStr">
        <is>
          <t>No function on record — assumptions unknown</t>
        </is>
      </c>
      <c r="R26" t="inlineStr"/>
      <c r="S26" t="inlineStr"/>
      <c r="T26"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6" t="inlineStr"/>
      <c r="AE26"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26" t="inlineStr">
        <is>
          <t>ACTIVE</t>
        </is>
      </c>
      <c r="AG26" t="inlineStr">
        <is>
          <t>2026-08-27</t>
        </is>
      </c>
      <c r="AJ2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MK-CF-F-189, MK-CF-F-190
7. MK-XS-I-025 typical monthly essentials — read by MK-CF-F-009, MK-CF-F-010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MK-CF-F-009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MK-XS-I-043 their own retirement contribution — read by MK-CF-F-088, MK-CF-F-092, MK-CF-F-181
20. MK-XS-I-055 the wrapper an account sits in — ISA, 401(k), IRA and the rest — read by MK-CF-F-075
21. MK-XS-I-059 the month a bonus lands — read by MK-CF-F-088, MK-CF-F-092
22. MK-XS-I-060 how a person is paid — weekly, fortnightly, monthly — read by MK-CF-F-130
23.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6" t="inlineStr">
        <is>
          <t>TESTED, NOT VERIFIED (G21 / Q47)</t>
        </is>
      </c>
    </row>
    <row r="27">
      <c r="A27" t="inlineStr">
        <is>
          <t>MK-MN-M-026</t>
        </is>
      </c>
      <c r="B27" t="inlineStr">
        <is>
          <t>Menu</t>
        </is>
      </c>
      <c r="C27" t="inlineStr">
        <is>
          <t>/stress-test</t>
        </is>
      </c>
      <c r="D27" t="inlineStr">
        <is>
          <t>your $X/mo of must-pay bills</t>
        </is>
      </c>
      <c r="E27" t="inlineStr">
        <is>
          <t>ess</t>
        </is>
      </c>
      <c r="F27" s="3" t="inlineStr">
        <is>
          <t>essentialsMonthly</t>
        </is>
      </c>
      <c r="G27" s="3" t="inlineStr">
        <is>
          <t>MK-CF-F-190</t>
        </is>
      </c>
      <c r="H27" s="3" t="inlineStr">
        <is>
          <t>essentials a month = the logged average over the months logged (MK-CF-F-189), else the typed categories (monthlyEssentials)</t>
        </is>
      </c>
      <c r="I27" s="3" t="inlineStr">
        <is>
          <t>'Covering your $Y/mo of essentials (7 month average) with no paycheck coming in.' The larger-of rule (plannedMonthlySpend) no longer produces this figure.</t>
        </is>
      </c>
      <c r="J27" s="3" t="inlineStr">
        <is>
          <t>1. every logged expense → expenses [MK-XS-I-024]
2. the typed fallback → typed monthly expenses / essentials [MK-XS-I-025]
3. cash on hand → the Cash class [MK-XS-I-001]</t>
        </is>
      </c>
      <c r="K27" t="inlineStr">
        <is>
          <t>US dollars · held to the cent · shown as whole dollars  [derived by rule — confirm]</t>
        </is>
      </c>
      <c r="L27" s="3" t="inlineStr">
        <is>
          <t>$0, and under it the one line "Nothing entered yet. Log your expenses ›" (mock approved 2026-09-12). A real zero that was entered shows a plain $0 with no line.</t>
        </is>
      </c>
      <c r="M27" t="inlineStr">
        <is>
          <t>One figure per person — or per household when two people share one record  [derived by rule — confirm]</t>
        </is>
      </c>
      <c r="N27" t="inlineStr">
        <is>
          <t>As of today, from the latest figures held  [derived by rule — confirm]</t>
        </is>
      </c>
      <c r="O27" t="inlineStr">
        <is>
          <t>MK-CF-F-189 (essentialsFromLoggedSpending) → EssentialsAverage | null</t>
        </is>
      </c>
      <c r="P27"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2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27" t="inlineStr"/>
      <c r="S27" t="inlineStr"/>
      <c r="T27"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7" t="inlineStr"/>
      <c r="V27" t="inlineStr"/>
      <c r="W27" t="inlineStr"/>
      <c r="X27" t="inlineStr"/>
      <c r="Y27" t="inlineStr">
        <is>
          <t>NOT DETERMINED</t>
        </is>
      </c>
      <c r="Z27" t="inlineStr">
        <is>
          <t>VERIFIED 2026-08-22</t>
        </is>
      </c>
      <c r="AA27"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B03 [CLASH] — The file says "months of cushion = cash ÷ ESSENTIALS a month". The figure routes through plannedMonthlySpend (src/domain/budget/index.ts:45), which is the larger of every planned category added up and the stated total — ALL expenses,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27" t="inlineStr">
        <is>
          <t>HAS A FUNCTION — traceable from the screen to the code.</t>
        </is>
      </c>
      <c r="AD27" t="inlineStr"/>
      <c r="AE27" s="3" t="inlineStr">
        <is>
          <t>B03 — FIXED 2026-09-08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27" t="inlineStr">
        <is>
          <t>ACTIVE</t>
        </is>
      </c>
      <c r="AG27" t="inlineStr">
        <is>
          <t>2026-09-12</t>
        </is>
      </c>
      <c r="AJ27" s="3" t="inlineStr">
        <is>
          <t>MK-XS-I-024 logged expenses — read by MK-CF-F-189, MK-CF-F-190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6" t="inlineStr">
        <is>
          <t>TESTED, NOT VERIFIED (G21 / Q47)</t>
        </is>
      </c>
    </row>
    <row r="28">
      <c r="A28" t="inlineStr">
        <is>
          <t>MK-MN-M-027</t>
        </is>
      </c>
      <c r="B28" t="inlineStr">
        <is>
          <t>Menu</t>
        </is>
      </c>
      <c r="C28" t="inlineStr">
        <is>
          <t>/tax-organizer</t>
        </is>
      </c>
      <c r="D28" t="inlineStr">
        <is>
          <t>each taxable line and its amount</t>
        </is>
      </c>
      <c r="E28" t="inlineStr">
        <is>
          <t>l.amount</t>
        </is>
      </c>
      <c r="F28" s="3" t="inlineStr">
        <is>
          <t>1. taxOrganizer
2. taxableIncomeSteps</t>
        </is>
      </c>
      <c r="G28" s="3" t="inlineStr">
        <is>
          <t>1. MK-PL-F-031
2. MK-PL-F-082</t>
        </is>
      </c>
      <c r="H2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2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28" s="3" t="inlineStr">
        <is>
          <t>1. the organizer's income lines [MK-XS-I-023 and the other income inputs]
2. each earner's 401(k) contribution [MK-XS-I-043]
3. how they file and who is 65+ [MK-XS-I-030]</t>
        </is>
      </c>
      <c r="K28" t="inlineStr">
        <is>
          <t>US dollars · held to the cent · shown as whole dollars  [derived by rule — confirm]</t>
        </is>
      </c>
      <c r="L28" t="inlineStr">
        <is>
          <t>NOT DETERMINED — this function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28" t="inlineStr">
        <is>
          <t>MK-CF-F-187 seniorDeductionFor → MK-CF-F-099 deductionFor → MK-CF-F-100 taxableIncomeFor</t>
        </is>
      </c>
      <c r="Q28" t="inlineStr">
        <is>
          <t>1. MK-CF-F-099 — Never lets over65 fall below 0.
2. MK-CF-F-099 — 2026 standard deduction $16,100 single · $32,200 married · $16,100 filing separately · $24,150 head of household; 65+ add-on $2,050 single / head of household · $1,650 per person married (IRS Rev. Proc. 2025-32 §3.18).
3. MK-CF-F-099 — Plus the senior deduction of MK-CF-F-187 — $6,000 per person 65+, phased out 6% above $75,000 / $150,000, tax years 2025–2028 (P.L. 119-21 §70103).
4. MK-CF-F-187 — Never lets over65 fall below 0.
5. MK-CF-F-187 — Uses the published figures: $6,000 per person 65+, phased out at 6% above $75,000 ($150,000 joint), 2025–2028 (P.L. 119-21 §70103; checked 2026-09-08; lapses after 2028 — the statutory test fails when the tax year rolls past it).
6. MK-CF-F-187 — Takes the income handed to it as modified adjusted gross income — the untaxed part of Social Security and other adjustments are not modelled.
7. MK-CF-F-187 — Income not known → 0, never a guessed deduction.</t>
        </is>
      </c>
      <c r="R28" t="inlineStr"/>
      <c r="S28" t="inlineStr"/>
      <c r="T28" s="3" t="inlineStr">
        <is>
          <t>[Founder] Explicit tables per filing status. A married band is not twice the single band — the 37% band starts at $768,700, not at double the single figure.
[Founder] Q46, 2026-09-08: the tax organizer shows gross income, the 401(k) contribution, the standard deduction and taxable income.</t>
        </is>
      </c>
      <c r="U28" t="inlineStr"/>
      <c r="V28" s="11" t="inlineStr">
        <is>
          <t>Q24 — State tax is applied to taxable accounts only. Do you want a state rate captured per person, or to keep the single blended figure we use now?
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28" s="11" t="inlineStr">
        <is>
          <t>Q46: Tax organizer should show — gross income, 401(k) contribution, standard deduction, and taxable income. (answered in chat, 2026-09-08)</t>
        </is>
      </c>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8" t="inlineStr">
        <is>
          <t>HAS A FUNCTION — traceable from the screen to the code.</t>
        </is>
      </c>
      <c r="AD28" t="inlineStr"/>
      <c r="AE28" s="3" t="inlineStr">
        <is>
          <t>B05 — FIXED 2026-08-26
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28" t="inlineStr">
        <is>
          <t>ACTIVE</t>
        </is>
      </c>
      <c r="AG28" t="inlineStr">
        <is>
          <t>2026-08-27</t>
        </is>
      </c>
      <c r="AJ28" s="3" t="inlineStr">
        <is>
          <t>1. MK-XS-I-001 account balance — read by MK-PL-F-031
2. MK-XS-I-002 account type (taxable, pre-tax, Roth) — read by MK-PL-F-031
3. MK-XS-I-003 institution name — read by MK-PL-F-031
4. MK-XS-I-004 holding quantity (shares) — read by MK-CF-F-062
5. MK-XS-I-017 birth year — read by MK-CF-F-089
6. MK-XS-I-020 Social Security monthly amount — read by MK-CF-F-072, MK-CF-F-075
7. MK-XS-I-022 pension monthly amount — read by MK-CF-F-072, MK-CF-F-075, MK-PL-F-031
8. MK-XS-I-023 salary and other income — read by MK-CF-F-074, MK-CF-F-082, MK-CF-F-084, MK-CF-F-165, MK-CF-F-172, MK-CF-F-181, MK
9. MK-XS-I-024 logged expenses — read by MK-CF-F-067, MK-CF-F-068
10. MK-XS-I-030 tax filing status and age — read by MK-CF-F-085, MK-CF-F-089, MK-CF-F-099, MK-CF-F-100, MK-CF-F-101, MK-CF-F-102, MK
11. MK-XS-I-031 daily and monthly snapshots — read by MK-ST-F-036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MK
18. MK-XS-I-040 whether a stream is already being received — read by MK-CF-F-072
19. MK-XS-I-043 their own retirement contribution — read by MK-CF-F-181, MK-CF-F-188, MK-PL-F-031
20. MK-XS-I-055 the wrapper an account sits in — ISA, 401(k), IRA and the rest — read by MK-CF-F-075, MK-PL-F-031
21. MK-XS-I-060 how a person is paid — weekly, fortnightly, monthly — read by MK-CF-F-130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WAITING ON YOU — question Q24 · TESTED, NOT VERIFIED (G22 / Q46, G3)</t>
        </is>
      </c>
    </row>
    <row r="29">
      <c r="A29" t="inlineStr">
        <is>
          <t>MK-MN-M-028</t>
        </is>
      </c>
      <c r="B29" t="inlineStr">
        <is>
          <t>Menu</t>
        </is>
      </c>
      <c r="C29" t="inlineStr">
        <is>
          <t>/tax-organizer</t>
        </is>
      </c>
      <c r="D29" s="3" t="inlineStr">
        <is>
          <t>Gross income · 401(k) contribution · Standard deduction · Taxable income · Non-taxable</t>
        </is>
      </c>
      <c r="E29" t="inlineStr">
        <is>
          <t>org.taxableTotal</t>
        </is>
      </c>
      <c r="F29" s="3" t="inlineStr">
        <is>
          <t>1. taxOrganizer
2. taxableIncomeSteps</t>
        </is>
      </c>
      <c r="G29" s="3" t="inlineStr">
        <is>
          <t>1. MK-PL-F-031
2. MK-PL-F-082</t>
        </is>
      </c>
      <c r="H2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2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29" s="3" t="inlineStr">
        <is>
          <t>1. the organizer's income lines [MK-XS-I-023 and the other income inputs]
2. each earner's 401(k) contribution [MK-XS-I-043]
3. how they file and who is 65+ [MK-XS-I-030]</t>
        </is>
      </c>
      <c r="K29" t="inlineStr">
        <is>
          <t>US dollars · held to the cent · shown as whole dollars  [derived by rule — confirm]</t>
        </is>
      </c>
      <c r="L29" t="inlineStr">
        <is>
          <t>NOT DETERMINED — this function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29" t="inlineStr">
        <is>
          <t>MK-CF-F-187 seniorDeductionFor → MK-CF-F-099 deductionFor → MK-CF-F-100 taxableIncomeFor</t>
        </is>
      </c>
      <c r="Q29" t="inlineStr">
        <is>
          <t>1. MK-CF-F-099 — Never lets over65 fall below 0.
2. MK-CF-F-099 — 2026 standard deduction $16,100 single · $32,200 married · $16,100 filing separately · $24,150 head of household; 65+ add-on $2,050 single / head of household · $1,650 per person married (IRS Rev. Proc. 2025-32 §3.18).
3. MK-CF-F-099 — Plus the senior deduction of MK-CF-F-187 — $6,000 per person 65+, phased out 6% above $75,000 / $150,000, tax years 2025–2028 (P.L. 119-21 §70103).
4. MK-CF-F-187 — Never lets over65 fall below 0.
5. MK-CF-F-187 — Uses the published figures: $6,000 per person 65+, phased out at 6% above $75,000 ($150,000 joint), 2025–2028 (P.L. 119-21 §70103; checked 2026-09-08; lapses after 2028 — the statutory test fails when the tax year rolls past it).
6. MK-CF-F-187 — Takes the income handed to it as modified adjusted gross income — the untaxed part of Social Security and other adjustments are not modelled.
7. MK-CF-F-187 — Income not known → 0, never a guessed deduction.</t>
        </is>
      </c>
      <c r="R29" t="inlineStr"/>
      <c r="S29" t="inlineStr"/>
      <c r="T29" s="3" t="inlineStr">
        <is>
          <t>[Founder] Explicit tables per filing status. A married band is not twice the single band — the 37% band starts at $768,700, not at double the single figure.
[Founder] Q46, 2026-09-08: the tax organizer shows gross income, the 401(k) contribution, the standard deduction and taxable income.</t>
        </is>
      </c>
      <c r="U29" t="inlineStr"/>
      <c r="V29" t="inlineStr"/>
      <c r="W29" t="inlineStr">
        <is>
          <t>Q46: Tax organizer should show — gross income, 401(k) contribution, standard deduction, and taxable income. (answered in chat, 2026-09-08)</t>
        </is>
      </c>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9" t="inlineStr">
        <is>
          <t>HAS A FUNCTION — traceable from the screen to the code.</t>
        </is>
      </c>
      <c r="AD29" t="inlineStr"/>
      <c r="AE29" s="3" t="inlineStr">
        <is>
          <t>B05 — FIXED 2026-08-26
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29" t="inlineStr">
        <is>
          <t>ACTIVE</t>
        </is>
      </c>
      <c r="AG29" t="inlineStr">
        <is>
          <t>2026-08-27</t>
        </is>
      </c>
      <c r="AJ29" s="3" t="inlineStr">
        <is>
          <t>1. MK-XS-I-001 account balance — read by MK-PL-F-031
2. MK-XS-I-002 account type (taxable, pre-tax, Roth) — read by MK-PL-F-031
3. MK-XS-I-003 institution name — read by MK-PL-F-031
4. MK-XS-I-004 holding quantity (shares) — read by MK-CF-F-062
5. MK-XS-I-017 birth year — read by MK-CF-F-089
6. MK-XS-I-020 Social Security monthly amount — read by MK-CF-F-072, MK-CF-F-075
7. MK-XS-I-022 pension monthly amount — read by MK-CF-F-072, MK-CF-F-075, MK-PL-F-031
8. MK-XS-I-023 salary and other income — read by MK-CF-F-074, MK-CF-F-082, MK-CF-F-084, MK-CF-F-165, MK-CF-F-172, MK-CF-F-181, MK
9. MK-XS-I-024 logged expenses — read by MK-CF-F-067, MK-CF-F-068
10. MK-XS-I-030 tax filing status and age — read by MK-CF-F-085, MK-CF-F-089, MK-CF-F-099, MK-CF-F-100, MK-CF-F-101, MK-CF-F-102, MK
11. MK-XS-I-031 daily and monthly snapshots — read by MK-ST-F-036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MK
18. MK-XS-I-040 whether a stream is already being received — read by MK-CF-F-072
19. MK-XS-I-043 their own retirement contribution — read by MK-CF-F-181, MK-CF-F-188, MK-PL-F-031
20. MK-XS-I-055 the wrapper an account sits in — ISA, 401(k), IRA and the rest — read by MK-CF-F-075, MK-PL-F-031
21. MK-XS-I-060 how a person is paid — weekly, fortnightly, monthly — read by MK-CF-F-130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6" t="inlineStr">
        <is>
          <t>TESTED, NOT VERIFIED (G22 / Q46, G3)</t>
        </is>
      </c>
    </row>
    <row r="30">
      <c r="A30" t="inlineStr">
        <is>
          <t>MK-MN-M-029</t>
        </is>
      </c>
      <c r="B30" t="inlineStr">
        <is>
          <t>Menu</t>
        </is>
      </c>
      <c r="C30" t="inlineStr">
        <is>
          <t>/tax-organizer</t>
        </is>
      </c>
      <c r="D30" t="inlineStr">
        <is>
          <t>each contribution and its amount</t>
        </is>
      </c>
      <c r="E30" t="inlineStr">
        <is>
          <t>c.amount</t>
        </is>
      </c>
      <c r="F30" t="inlineStr">
        <is>
          <t>NOT ON RECORD — no function is recorded for this figure</t>
        </is>
      </c>
      <c r="G30" s="3" t="inlineStr">
        <is>
          <t xml:space="preserve">
4. MK-CF-F-196
5. MK-CF-F-195</t>
        </is>
      </c>
      <c r="H30" t="inlineStr">
        <is>
          <t>room left = the year’s limit − what has already gone in;  per month = room left ÷ months left in the year</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t="inlineStr">
        <is>
          <t>NOT DETERMINED — no input list on record for this function</t>
        </is>
      </c>
      <c r="K30" t="inlineStr">
        <is>
          <t>US dollars · held to the cent · shown as whole dollars  [derived by rule — confirm]</t>
        </is>
      </c>
      <c r="L30" s="3" t="inlineStr">
        <is>
          <t>No contribution entered → the RETIREMENT CONTRIBUTIONS card is not shown; never a $0 line.</t>
        </is>
      </c>
      <c r="M30" t="inlineStr">
        <is>
          <t>One figure per person — or per household when two people share one record  [derived by rule — confirm]</t>
        </is>
      </c>
      <c r="N30" t="inlineStr">
        <is>
          <t>As of today, from the latest figures held  [derived by rule — confirm]</t>
        </is>
      </c>
      <c r="O30" t="inlineStr">
        <is>
          <t>MK-CF-F-195 (monthsLeftInYear) → number</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30" t="inlineStr">
        <is>
          <t>ACTIVE</t>
        </is>
      </c>
      <c r="AG30" t="inlineStr">
        <is>
          <t>2026-08-27</t>
        </is>
      </c>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TESTED, NOT VERIFIED (G36)</t>
        </is>
      </c>
    </row>
    <row r="31">
      <c r="A31" t="inlineStr">
        <is>
          <t>MK-MN-M-030</t>
        </is>
      </c>
      <c r="B31" t="inlineStr">
        <is>
          <t>Menu</t>
        </is>
      </c>
      <c r="C31" t="inlineStr">
        <is>
          <t>/worth-a-look</t>
        </is>
      </c>
      <c r="D31" t="inlineStr">
        <is>
          <t>$X left &lt;account&gt; on &lt;date&gt;</t>
        </is>
      </c>
      <c r="E31" t="inlineStr">
        <is>
          <t>f.amount</t>
        </is>
      </c>
      <c r="F31" t="inlineStr">
        <is>
          <t>NOT ON RECORD — no function is recorded for this figure</t>
        </is>
      </c>
      <c r="G31" t="inlineStr"/>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function</t>
        </is>
      </c>
      <c r="K31" t="inlineStr">
        <is>
          <t>A count · whole units, except crypto which keeps its fractions  [derived by rule — confirm]</t>
        </is>
      </c>
      <c r="L31" t="inlineStr">
        <is>
          <t>NOT DETERMINED — this function has not been read for its refusal yet.</t>
        </is>
      </c>
      <c r="M31" t="inlineStr">
        <is>
          <t>One figure per account  [derived by rule — confirm]</t>
        </is>
      </c>
      <c r="N31" t="inlineStr">
        <is>
          <t>As of today, from the latest figures held  [derived by rule — confirm]</t>
        </is>
      </c>
      <c r="O31" t="inlineStr">
        <is>
          <t>No function on record — nothing to chain</t>
        </is>
      </c>
      <c r="P31" t="inlineStr">
        <is>
          <t>No function on record — nothing to chain</t>
        </is>
      </c>
      <c r="Q31" t="inlineStr">
        <is>
          <t>No function on record — assumptions unknown</t>
        </is>
      </c>
      <c r="R31" t="inlineStr"/>
      <c r="S31" t="inlineStr"/>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1" t="inlineStr"/>
      <c r="AE31" t="inlineStr">
        <is>
          <t>No finding on this row. That is not a statement that the row is right — only that nothing has been written against it.</t>
        </is>
      </c>
      <c r="AF31" t="inlineStr">
        <is>
          <t>ACTIVE</t>
        </is>
      </c>
      <c r="AG31" t="inlineStr">
        <is>
          <t>2026-08-27</t>
        </is>
      </c>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3" t="inlineStr">
        <is>
          <t>NOTHING OPEN</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is>
          <t>NOT DETERMINED</t>
        </is>
      </c>
      <c r="Y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c r="W36" t="inlineStr"/>
      <c r="X36" t="inlineStr">
        <is>
          <t>NOT DETERMINED</t>
        </is>
      </c>
      <c r="Y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c r="W37" t="inlineStr"/>
      <c r="X37" t="inlineStr">
        <is>
          <t>NOT DETERMINED</t>
        </is>
      </c>
      <c r="Y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c r="W38" t="inlineStr"/>
      <c r="X38" t="inlineStr">
        <is>
          <t>NOT DETERMINED</t>
        </is>
      </c>
      <c r="Y38" t="inlineStr">
        <is>
          <t>READ 2026-08-22 — no calculated figure on this screen</t>
        </is>
      </c>
    </row>
  </sheetData>
  <autoFilter ref="A1:AN3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62" customWidth="1" min="5" max="5"/>
    <col width="30" customWidth="1" min="6" max="6"/>
    <col width="26" customWidth="1" min="7" max="7"/>
    <col width="34" customWidth="1" min="8" max="8"/>
    <col width="20" customWidth="1" min="9" max="9"/>
    <col width="30" customWidth="1" min="10" max="10"/>
  </cols>
  <sheetData>
    <row r="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0" t="inlineStr">
        <is>
          <t>STATUS — this row</t>
        </is>
      </c>
    </row>
    <row r="2">
      <c r="A2" t="inlineStr">
        <is>
          <t>MK-XS-I-001</t>
        </is>
      </c>
      <c r="B2" t="inlineStr">
        <is>
          <t>account balance</t>
        </is>
      </c>
      <c r="C2" t="inlineStr">
        <is>
          <t>the institution download, a connection, or typed by hand</t>
        </is>
      </c>
      <c r="D2" t="inlineStr">
        <is>
          <t>balance · cash_balance · total_asset_value</t>
        </is>
      </c>
      <c r="E2" t="inlineStr">
        <is>
          <t>1. MK-NW-F-027 accountClassBreakdown
2. MK-ST-F-027 accountId
3. MK-NW-F-002 alternativesSummary
4. MK-CF-F-125 amortise
5. MK-CF-F-111 applyTransaction
6. MK-NW-F-029 assetAllocation
7. MK-NW-F-040 assetsFromOnboarding
8. MK-CF-F-135 availableCash
9. MK-NW-F-056 bondInfo
10. MK-NW-F-039 buildAssetsState
11. MK-ST-F-028 buildDayFromAccounts
12. MK-NW-F-052 buildItemizedAccounts
13. MK-XS-F-031 buildSnapshot
14. MK-CF-F-136 bumpCash
… and 27 more — the full list is on functions_from_code</t>
        </is>
      </c>
      <c r="F2" t="inlineStr">
        <is>
          <t>MK-CF-M-022 · MK-MN-M-016 · MK-MN-M-027 · MK-MN-M-028 · MK-NW-M-004 · MK-NW-M-005 · MK-NW-M-007 · MK-NW-M-008 · MK-NW-M-009 · MK-NW-M-014 · MK-NW-M-016 · MK-NW-M-017 · MK-NW-M-020 · MK-NW-M-023 · MK-NW-M-041 · MK-NW-M-042 · MK-NW-M-045 · MK-PF-M-001 · MK-PF-M-004 · MK-PL-M-001 · MK-PL-M-002 · MK-PL-M-008 · MK-PL-M-009 · MK-PL-M-011 · MK-PL-M-029 · MK-PL-M-034 · MK-XS-M-001 · MK-XS-M-002 · MK-XS-M-003</t>
        </is>
      </c>
      <c r="G2" t="inlineStr">
        <is>
          <t>SWEPT FROM THE CODE 2026-08-26</t>
        </is>
      </c>
      <c r="H2" t="inlineStr">
        <is>
          <t>ACTIVE</t>
        </is>
      </c>
      <c r="I2" t="inlineStr">
        <is>
          <t>2026-09-25</t>
        </is>
      </c>
      <c r="J2" s="3" t="inlineStr">
        <is>
          <t>reach generated from the code each build</t>
        </is>
      </c>
    </row>
    <row r="3">
      <c r="A3" t="inlineStr">
        <is>
          <t>MK-XS-I-002</t>
        </is>
      </c>
      <c r="B3" t="inlineStr">
        <is>
          <t>account type (taxable, pre-tax, Roth)</t>
        </is>
      </c>
      <c r="C3" t="inlineStr">
        <is>
          <t>typed at setup, or guessed from the account name</t>
        </is>
      </c>
      <c r="D3" t="inlineStr">
        <is>
          <t>tax_bucket · tax_treatment · taxBucket</t>
        </is>
      </c>
      <c r="E3" t="inlineStr">
        <is>
          <t>1. MK-NW-F-005 accountAllowsTicker
2. MK-NW-F-025 accountDisplayName
3. MK-NW-F-011 assetClassOf
4. MK-NW-F-040 assetsFromOnboarding
5. MK-NW-F-037 blendedReturn
6. MK-NW-F-035 blendedVolatility
7. MK-NW-F-052 buildItemizedAccounts
8. MK-CF-F-136 bumpCash
9. MK-XS-F-103 confirmWrapper
10. MK-XS-F-002 dataGaps
11. MK-NW-F-038 earmarkedKinds
12. MK-XS-F-102 ingestSync
13. MK-NW-F-001 isAlternative
14. MK-XS-F-104 mapAccountType
… and 11 more — the full list is on functions_from_code</t>
        </is>
      </c>
      <c r="F3" t="inlineStr">
        <is>
          <t>MK-CF-M-022 · MK-MN-M-016 · MK-MN-M-027 · MK-MN-M-028 · MK-NW-M-004 · MK-NW-M-005 · MK-NW-M-007 · MK-NW-M-008 · MK-NW-M-009 · MK-NW-M-014 · MK-NW-M-016 · MK-NW-M-017 · MK-NW-M-020 · MK-PL-M-001 · MK-PL-M-002 · MK-PL-M-008 · MK-PL-M-009 · MK-PL-M-011 · MK-PL-M-029 · MK-PL-M-034 · MK-XS-M-001 · MK-XS-M-002 · MK-XS-M-003</t>
        </is>
      </c>
      <c r="G3" t="inlineStr">
        <is>
          <t>SWEPT FROM THE CODE 2026-08-26</t>
        </is>
      </c>
      <c r="H3" t="inlineStr">
        <is>
          <t>ACTIVE</t>
        </is>
      </c>
      <c r="I3" t="inlineStr">
        <is>
          <t>2026-09-12</t>
        </is>
      </c>
      <c r="J3" s="3" t="inlineStr">
        <is>
          <t>reach generated from the code each build</t>
        </is>
      </c>
    </row>
    <row r="4">
      <c r="A4" t="inlineStr">
        <is>
          <t>MK-XS-I-003</t>
        </is>
      </c>
      <c r="B4" t="inlineStr">
        <is>
          <t>institution name</t>
        </is>
      </c>
      <c r="C4" t="inlineStr">
        <is>
          <t>the download or the connection</t>
        </is>
      </c>
      <c r="D4" t="inlineStr">
        <is>
          <t>institution</t>
        </is>
      </c>
      <c r="E4" t="inlineStr">
        <is>
          <t>1. MK-NW-F-025 accountDisplayName
2. MK-NW-F-026 accountDisplayNames
3. MK-NW-F-052 buildItemizedAccounts
4. MK-XS-F-014 classifyHolding
5. MK-ST-F-011 classifyHoldingClass
6. MK-NW-F-046 historyCoverage
7. MK-CF-F-184 incomeFromAccounts
8. MK-XS-F-102 ingestSync
9. MK-XS-F-016 matchImportAccount
10. MK-XS-F-120 nameOf
11. MK-ST-F-074 rebuiltSentence
12. MK-PL-F-031 taxOrganizer</t>
        </is>
      </c>
      <c r="F4" t="inlineStr">
        <is>
          <t>MK-MN-M-027 · MK-MN-M-028</t>
        </is>
      </c>
      <c r="G4" t="inlineStr">
        <is>
          <t>SWEPT FROM THE CODE 2026-08-26</t>
        </is>
      </c>
      <c r="H4" t="inlineStr">
        <is>
          <t>ACTIVE</t>
        </is>
      </c>
      <c r="I4" t="inlineStr">
        <is>
          <t>2026-09-25</t>
        </is>
      </c>
      <c r="J4" s="3" t="inlineStr">
        <is>
          <t>reach generated from the code each build</t>
        </is>
      </c>
    </row>
    <row r="5">
      <c r="A5" t="inlineStr">
        <is>
          <t>MK-XS-I-004</t>
        </is>
      </c>
      <c r="B5" t="inlineStr">
        <is>
          <t>holding quantity (shares)</t>
        </is>
      </c>
      <c r="C5" t="inlineStr">
        <is>
          <t>the download, a connection, or typed</t>
        </is>
      </c>
      <c r="D5" t="inlineStr">
        <is>
          <t>shares · totalShares · quantity</t>
        </is>
      </c>
      <c r="E5" t="inlineStr">
        <is>
          <t>1. MK-NW-F-027 accountClassBreakdown
2. MK-ST-F-027 accountId
3. MK-CF-F-138 addLot
4. MK-CF-F-111 applyTransaction
5. MK-PF-F-003 avgCost
6. MK-ST-F-028 buildDayFromAccounts
7. MK-PF-F-006 capGains
8. MK-CF-F-118 cashEffect
9. MK-PF-F-002 costBasis
10. MK-XS-F-002 dataGaps
11. MK-CF-F-062 equityRowValue
12. MK-XS-F-129 findHeaderRow
13. MK-XS-F-145 flatSymbol
14. MK-XS-F-015 importHoldings
… and 18 more — the full list is on functions_from_code</t>
        </is>
      </c>
      <c r="F5"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MK-NW-M-031 · MK-NW-M-032 · MK-NW-M-033 · MK-NW-M-035 · MK-NW-M-036 · MK-NW-M-037 · MK-NW-M-040 · MK-PF-M-001 · MK-PF-M-004 · MK-PF-M-005 · MK-PF-M-006 · MK-PF-M-007 · MK-PF-M-008 · MK-PL-M-001 · MK-PL-M-002 · MK-PL-M-008 · MK-PL-M-009 · MK-PL-M-011 · MK-PL-M-029 · MK-PL-M-034 · MK-XS-M-001 · MK-XS-M-002 · MK-XS-M-003 · MK-XS-M-004 · MK-XS-M-005 · MK-XS-M-006</t>
        </is>
      </c>
      <c r="G5" t="inlineStr">
        <is>
          <t>SWEPT FROM THE CODE 2026-08-26</t>
        </is>
      </c>
      <c r="H5" t="inlineStr">
        <is>
          <t>ACTIVE</t>
        </is>
      </c>
      <c r="I5" t="inlineStr">
        <is>
          <t>2026-09-25</t>
        </is>
      </c>
      <c r="J5" s="3" t="inlineStr">
        <is>
          <t>reach generated from the code each build</t>
        </is>
      </c>
    </row>
    <row r="6">
      <c r="A6" t="inlineStr">
        <is>
          <t>MK-XS-I-005</t>
        </is>
      </c>
      <c r="B6" t="inlineStr">
        <is>
          <t>holding price</t>
        </is>
      </c>
      <c r="C6" t="inlineStr">
        <is>
          <t>the price feed</t>
        </is>
      </c>
      <c r="D6" t="inlineStr">
        <is>
          <t>last_price · close · latestClose · priceOf</t>
        </is>
      </c>
      <c r="E6" t="inlineStr">
        <is>
          <t>1. MK-NW-F-027 accountClassBreakdown
2. MK-ST-F-027 accountId
3. MK-ST-F-028 buildDayFromAccounts
4. MK-PF-F-014 buildPerformance
5. MK-PF-F-029 closeAsOf
6. MK-PF-F-034 closeOnOrBefore
7. MK-CF-F-043 compareMortgageToTreasury
8. MK-PF-F-022 factorOverMonths
9. MK-XS-F-102 ingestSync
10. MK-PF-F-009 latestClose
11. MK-PF-F-010 periodReturn
12. MK-PF-F-011 periodReturnSince
13. MK-PF-F-018 portfolioTrend
14. MK-PF-F-033 quantityWithUnit
… and 5 more — the full list is on functions_from_code</t>
        </is>
      </c>
      <c r="F6" t="inlineStr">
        <is>
          <t>MK-CF-M-022 · MK-MN-M-016 · MK-NW-M-004 · MK-NW-M-005 · MK-NW-M-007 · MK-NW-M-008 · MK-NW-M-009 · MK-NW-M-014 · MK-NW-M-016 · MK-NW-M-017 · MK-NW-M-020 · MK-PF-M-001 · MK-PF-M-004 · MK-PF-M-005 · MK-PF-M-006 · MK-PF-M-007 · MK-PF-M-010 · MK-PF-M-011 · MK-PF-M-012 · MK-PL-M-001 · MK-PL-M-002 · MK-PL-M-008 · MK-PL-M-009 · MK-PL-M-011 · MK-PL-M-029 · MK-PL-M-034 · MK-XS-M-001 · MK-XS-M-002 · MK-XS-M-003</t>
        </is>
      </c>
      <c r="G6" t="inlineStr">
        <is>
          <t>SWEPT FROM THE CODE 2026-08-26</t>
        </is>
      </c>
      <c r="H6" t="inlineStr">
        <is>
          <t>ACTIVE</t>
        </is>
      </c>
      <c r="I6" t="inlineStr">
        <is>
          <t>2026-09-25</t>
        </is>
      </c>
      <c r="J6" s="3" t="inlineStr">
        <is>
          <t>reach generated from the code each build</t>
        </is>
      </c>
    </row>
    <row r="7">
      <c r="A7" t="inlineStr">
        <is>
          <t>MK-XS-I-006</t>
        </is>
      </c>
      <c r="B7" t="inlineStr">
        <is>
          <t>price fetched at</t>
        </is>
      </c>
      <c r="C7" t="inlineStr">
        <is>
          <t>the app, when it last asked for prices</t>
        </is>
      </c>
      <c r="D7" t="inlineStr">
        <is>
          <t>fetchedAt · last_synced · pricesFetchedAt</t>
        </is>
      </c>
      <c r="E7" t="inlineStr">
        <is>
          <t>1. MK-XS-F-002 dataGaps
2. MK-XS-F-056 fetchEconomicData
3. MK-XS-F-102 ingestSync
4. MK-XS-F-082 priceFreshness
5. MK-XS-F-174 recomputeBalances
6. MK-NW-F-045 sourceWording
7. MK-XS-F-175 uid</t>
        </is>
      </c>
      <c r="F7" t="inlineStr">
        <is>
          <t>MK-HM-M-001 · MK-NW-M-004 · MK-NW-M-009 · MK-NW-M-016 · MK-NW-M-017 · MK-XS-M-001</t>
        </is>
      </c>
      <c r="G7" t="inlineStr">
        <is>
          <t>SWEPT FROM THE CODE 2026-08-26</t>
        </is>
      </c>
      <c r="H7" t="inlineStr">
        <is>
          <t>ACTIVE</t>
        </is>
      </c>
      <c r="I7" t="inlineStr">
        <is>
          <t>2026-09-12</t>
        </is>
      </c>
      <c r="J7" s="3" t="inlineStr">
        <is>
          <t>reach generated from the code each build</t>
        </is>
      </c>
    </row>
    <row r="8">
      <c r="A8" t="inlineStr">
        <is>
          <t>MK-XS-I-007</t>
        </is>
      </c>
      <c r="B8" t="inlineStr">
        <is>
          <t>purchase price and date (per lot)</t>
        </is>
      </c>
      <c r="C8" t="inlineStr">
        <is>
          <t>the download or typed</t>
        </is>
      </c>
      <c r="D8" t="inlineStr">
        <is>
          <t>cost_per_share · purchase_date · cost_basis · costBasis</t>
        </is>
      </c>
      <c r="E8"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MK-XS-F-106 mapOptionHolding
13. MK-XS-F-105 mapPosition
14. MK-XS-F-146 prettyExpiry
… and 6 more — the full list is on functions_from_code</t>
        </is>
      </c>
      <c r="F8" t="inlineStr">
        <is>
          <t>MK-CF-M-022 · MK-MN-M-016 · MK-NW-M-004 · MK-NW-M-005 · MK-NW-M-007 · MK-NW-M-008 · MK-NW-M-009 · MK-NW-M-014 · MK-NW-M-016 · MK-NW-M-017 · MK-NW-M-020 · MK-NW-M-032 · MK-NW-M-033 · MK-NW-M-036 · MK-NW-M-037 · MK-PF-M-001 · MK-PF-M-004 · MK-PF-M-005 · MK-PF-M-006 · MK-PF-M-007 · MK-PL-M-001 · MK-PL-M-002 · MK-PL-M-008 · MK-PL-M-009 · MK-PL-M-011 · MK-PL-M-029 · MK-PL-M-034 · MK-XS-M-001 · MK-XS-M-002 · MK-XS-M-003</t>
        </is>
      </c>
      <c r="G8" t="inlineStr">
        <is>
          <t>SWEPT FROM THE CODE 2026-08-26</t>
        </is>
      </c>
      <c r="H8" t="inlineStr">
        <is>
          <t>ACTIVE</t>
        </is>
      </c>
      <c r="I8" t="inlineStr">
        <is>
          <t>2026-09-12</t>
        </is>
      </c>
      <c r="J8" s="3" t="inlineStr">
        <is>
          <t>reach generated from the code each build</t>
        </is>
      </c>
    </row>
    <row r="9">
      <c r="A9" t="inlineStr">
        <is>
          <t>MK-XS-I-008</t>
        </is>
      </c>
      <c r="B9" t="inlineStr">
        <is>
          <t>transaction amount</t>
        </is>
      </c>
      <c r="C9" t="inlineStr">
        <is>
          <t>the institution download</t>
        </is>
      </c>
      <c r="D9" t="inlineStr">
        <is>
          <t>t.amount · txn.amount · transaction.amount</t>
        </is>
      </c>
      <c r="E9" t="inlineStr">
        <is>
          <t>1. MK-CF-F-111 applyTransaction
2. MK-CF-F-118 cashEffect
3. MK-CF-F-119 investmentIncomeAnnual
4. MK-CF-F-183 paidOutByAccount
5. MK-CF-F-109 reviewTransactions
6. MK-PL-F-009 rmdTakenThisYear
7. MK-ST-F-072 undo
8. MK-PF-F-024 userFlows</t>
        </is>
      </c>
      <c r="F9" t="inlineStr">
        <is>
          <t>MK-NW-M-004 · MK-NW-M-009 · MK-NW-M-016 · MK-NW-M-017 · MK-XS-M-001</t>
        </is>
      </c>
      <c r="G9" t="inlineStr">
        <is>
          <t>SWEPT FROM THE CODE 2026-08-26</t>
        </is>
      </c>
      <c r="H9" t="inlineStr">
        <is>
          <t>ACTIVE</t>
        </is>
      </c>
      <c r="I9" t="inlineStr">
        <is>
          <t>2026-09-25</t>
        </is>
      </c>
      <c r="J9" s="3" t="inlineStr">
        <is>
          <t>reach generated from the code each build</t>
        </is>
      </c>
    </row>
    <row r="10">
      <c r="A10" t="inlineStr">
        <is>
          <t>MK-XS-I-009</t>
        </is>
      </c>
      <c r="B10" t="inlineStr">
        <is>
          <t>transaction date</t>
        </is>
      </c>
      <c r="C10" t="inlineStr">
        <is>
          <t>the institution download</t>
        </is>
      </c>
      <c r="D10" t="inlineStr">
        <is>
          <t>t.date · txn.date · posted_at</t>
        </is>
      </c>
      <c r="E10" t="inlineStr">
        <is>
          <t>1. MK-CF-F-138 addLot
2. MK-CF-F-119 investmentIncomeAnnual
3. MK-PF-F-028 realizedFromLedger
4. MK-ST-F-073 rebuildDays
5. MK-ST-F-071 rebuildableFrom
6. MK-CF-F-109 reviewTransactions
7. MK-PL-F-009 rmdTakenThisYear
8. MK-PF-F-024 userFlows</t>
        </is>
      </c>
      <c r="F10" t="inlineStr">
        <is>
          <t>MK-NW-M-004 · MK-NW-M-009 · MK-NW-M-016 · MK-NW-M-017 · MK-NW-M-035 · MK-XS-M-001</t>
        </is>
      </c>
      <c r="G10" t="inlineStr">
        <is>
          <t>SWEPT FROM THE CODE 2026-08-26</t>
        </is>
      </c>
      <c r="H10" t="inlineStr">
        <is>
          <t>ACTIVE</t>
        </is>
      </c>
      <c r="I10" t="inlineStr">
        <is>
          <t>2026-09-25</t>
        </is>
      </c>
      <c r="J10" s="3" t="inlineStr">
        <is>
          <t>reach generated from the code each build</t>
        </is>
      </c>
    </row>
    <row r="11">
      <c r="A11" t="inlineStr">
        <is>
          <t>MK-XS-I-010</t>
        </is>
      </c>
      <c r="B11" t="inlineStr">
        <is>
          <t>transaction words (the institution's own wording)</t>
        </is>
      </c>
      <c r="C11" t="inlineStr">
        <is>
          <t>the institution download</t>
        </is>
      </c>
      <c r="D11" t="inlineStr">
        <is>
          <t>description · merchant · raw_description · payee</t>
        </is>
      </c>
      <c r="E11"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t="inlineStr">
        <is>
          <t>MK-MN-M-016 · MK-NW-M-004 · MK-NW-M-005 · MK-NW-M-007 · MK-NW-M-008 · MK-NW-M-009 · MK-NW-M-014 · MK-NW-M-016 · MK-NW-M-017 · MK-NW-M-020 · MK-XS-M-001</t>
        </is>
      </c>
      <c r="G11" t="inlineStr">
        <is>
          <t>SWEPT FROM THE CODE 2026-08-26</t>
        </is>
      </c>
      <c r="H11" t="inlineStr">
        <is>
          <t>ACTIVE</t>
        </is>
      </c>
      <c r="I11" t="inlineStr">
        <is>
          <t>2026-09-12</t>
        </is>
      </c>
      <c r="J11" s="3" t="inlineStr">
        <is>
          <t>reach generated from the code each build</t>
        </is>
      </c>
    </row>
    <row r="12">
      <c r="A12" t="inlineStr">
        <is>
          <t>MK-XS-I-011</t>
        </is>
      </c>
      <c r="B12" t="inlineStr">
        <is>
          <t>bond face value</t>
        </is>
      </c>
      <c r="C12" t="inlineStr">
        <is>
          <t>typed, or the download</t>
        </is>
      </c>
      <c r="D12" t="inlineStr">
        <is>
          <t>face_value · face</t>
        </is>
      </c>
      <c r="E12" t="inlineStr">
        <is>
          <t>1. MK-NW-F-057 annualCoupon
2. MK-NW-F-060 approxYTM
3. MK-NW-F-056 bondInfo
4. MK-NW-F-064 bondRateSensitivity
5. MK-NW-F-061 bondSummary
6. MK-NW-F-052 buildItemizedAccounts
7. MK-CF-F-184 incomeFromAccounts
8. MK-NW-F-063 interestIncomeAnnual
9. MK-NW-F-069 priceAtYield</t>
        </is>
      </c>
      <c r="F12" t="inlineStr">
        <is>
          <t>MK-NW-M-023 · MK-NW-M-024 · MK-NW-M-026 · MK-NW-M-027 · MK-NW-M-028 · MK-NW-M-041 · MK-NW-M-042 · MK-NW-M-043 · MK-NW-M-044 · MK-NW-M-045</t>
        </is>
      </c>
      <c r="G12" t="inlineStr">
        <is>
          <t>SWEPT FROM THE CODE 2026-08-26</t>
        </is>
      </c>
      <c r="H12" t="inlineStr">
        <is>
          <t>ACTIVE</t>
        </is>
      </c>
      <c r="I12" t="inlineStr">
        <is>
          <t>2026-08-28</t>
        </is>
      </c>
      <c r="J12" s="3" t="inlineStr">
        <is>
          <t>reach generated from the code each build</t>
        </is>
      </c>
    </row>
    <row r="13">
      <c r="A13" t="inlineStr">
        <is>
          <t>MK-XS-I-012</t>
        </is>
      </c>
      <c r="B13" t="inlineStr">
        <is>
          <t>bond coupon rate</t>
        </is>
      </c>
      <c r="C13" t="inlineStr">
        <is>
          <t>typed, or the download</t>
        </is>
      </c>
      <c r="D13" t="inlineStr">
        <is>
          <t>coupon_rate · couponRate</t>
        </is>
      </c>
      <c r="E13" t="inlineStr">
        <is>
          <t>1. MK-NW-F-057 annualCoupon
2. MK-NW-F-056 bondInfo
3. MK-NW-F-064 bondRateSensitivity
4. MK-NW-F-052 buildItemizedAccounts
5. MK-CF-F-184 incomeFromAccounts
6. MK-NW-F-063 interestIncomeAnnual</t>
        </is>
      </c>
      <c r="F13" t="inlineStr">
        <is>
          <t>MK-NW-M-023 · MK-NW-M-024 · MK-NW-M-026 · MK-NW-M-027 · MK-NW-M-028 · MK-NW-M-041 · MK-NW-M-042 · MK-NW-M-043 · MK-NW-M-044 · MK-NW-M-045</t>
        </is>
      </c>
      <c r="G13" t="inlineStr">
        <is>
          <t>SWEPT FROM THE CODE 2026-08-26</t>
        </is>
      </c>
      <c r="H13" t="inlineStr">
        <is>
          <t>ACTIVE</t>
        </is>
      </c>
      <c r="I13" t="inlineStr">
        <is>
          <t>2026-08-28</t>
        </is>
      </c>
      <c r="J13" s="3" t="inlineStr">
        <is>
          <t>reach generated from the code each build</t>
        </is>
      </c>
    </row>
    <row r="14">
      <c r="A14" t="inlineStr">
        <is>
          <t>MK-XS-I-013</t>
        </is>
      </c>
      <c r="B14" t="inlineStr">
        <is>
          <t>bond maturity date</t>
        </is>
      </c>
      <c r="C14" t="inlineStr">
        <is>
          <t>typed, or the download</t>
        </is>
      </c>
      <c r="D14" t="inlineStr">
        <is>
          <t>maturity_date · maturity</t>
        </is>
      </c>
      <c r="E14" t="inlineStr">
        <is>
          <t>1. MK-NW-F-060 approxYTM
2. MK-NW-F-011 assetClassOf
3. MK-NW-F-056 bondInfo
4. MK-NW-F-061 bondSummary
5. MK-NW-F-052 buildItemizedAccounts
6. MK-ST-F-011 classifyHoldingClass
7. MK-NW-F-053 correctClassOf
8. MK-NW-F-001 isAlternative
9. MK-XS-F-107 mapActivityType
10. MK-ST-F-010 nameEvidence
11. MK-NW-F-069 priceAtYield
12. MK-NW-F-058 yearsToMaturity</t>
        </is>
      </c>
      <c r="F14" t="inlineStr">
        <is>
          <t>MK-CF-M-022 · MK-MN-M-016 · MK-NW-M-004 · MK-NW-M-005 · MK-NW-M-007 · MK-NW-M-008 · MK-NW-M-009 · MK-NW-M-014 · MK-NW-M-016 · MK-NW-M-017 · MK-NW-M-020 · MK-NW-M-023 · MK-NW-M-025 · MK-NW-M-026 · MK-NW-M-028 · MK-NW-M-041 · MK-NW-M-042 · MK-NW-M-045 · MK-PL-M-001 · MK-PL-M-002 · MK-PL-M-008 · MK-PL-M-009 · MK-PL-M-011 · MK-PL-M-029 · MK-PL-M-034 · MK-XS-M-001 · MK-XS-M-002 · MK-XS-M-003</t>
        </is>
      </c>
      <c r="G14" t="inlineStr">
        <is>
          <t>SWEPT FROM THE CODE 2026-08-26</t>
        </is>
      </c>
      <c r="H14" t="inlineStr">
        <is>
          <t>ACTIVE</t>
        </is>
      </c>
      <c r="I14" t="inlineStr">
        <is>
          <t>2026-08-27</t>
        </is>
      </c>
      <c r="J14" s="3" t="inlineStr">
        <is>
          <t>reach generated from the code each build</t>
        </is>
      </c>
    </row>
    <row r="15">
      <c r="A15" t="inlineStr">
        <is>
          <t>MK-XS-I-014</t>
        </is>
      </c>
      <c r="B15" t="inlineStr">
        <is>
          <t>debt balance</t>
        </is>
      </c>
      <c r="C15" t="inlineStr">
        <is>
          <t>typed, or a connection</t>
        </is>
      </c>
      <c r="D15" t="inlineStr">
        <is>
          <t>remaining_balance</t>
        </is>
      </c>
      <c r="E15" t="inlineStr">
        <is>
          <t>1. MK-XS-F-004 buildDatedGrid
2. MK-CF-F-036 buildDebtState
3. MK-CF-F-038 debtsFromOnboarding
4. MK-CF-F-034 payoffPlan
5. MK-CF-F-027 totalDebtBalance
6. MK-PL-F-036 weighGoals</t>
        </is>
      </c>
      <c r="F15" t="inlineStr">
        <is>
          <t>MK-CF-M-022 · MK-NW-M-004 · MK-NW-M-009 · MK-NW-M-016 · MK-NW-M-017 · MK-PL-M-031 · MK-XS-M-001</t>
        </is>
      </c>
      <c r="G15" t="inlineStr">
        <is>
          <t>SWEPT FROM THE CODE 2026-08-26</t>
        </is>
      </c>
      <c r="H15" t="inlineStr">
        <is>
          <t>ACTIVE</t>
        </is>
      </c>
      <c r="I15" t="inlineStr">
        <is>
          <t>2026-08-27</t>
        </is>
      </c>
      <c r="J15" s="3" t="inlineStr">
        <is>
          <t>reach generated from the code each build</t>
        </is>
      </c>
    </row>
    <row r="16">
      <c r="A16" t="inlineStr">
        <is>
          <t>MK-XS-I-015</t>
        </is>
      </c>
      <c r="B16" t="inlineStr">
        <is>
          <t>debt interest rate</t>
        </is>
      </c>
      <c r="C16" t="inlineStr">
        <is>
          <t>typed</t>
        </is>
      </c>
      <c r="D16" t="inlineStr">
        <is>
          <t>interest_rate_apr</t>
        </is>
      </c>
      <c r="E16" t="inlineStr">
        <is>
          <t>1. MK-CF-F-036 buildDebtState
2. MK-CF-F-038 debtsFromOnboarding
3. MK-CF-F-034 payoffPlan</t>
        </is>
      </c>
      <c r="F16" t="inlineStr">
        <is>
          <t>MK-NW-M-004 · MK-NW-M-009 · MK-NW-M-016 · MK-NW-M-017 · MK-PL-M-031 · MK-XS-M-001</t>
        </is>
      </c>
      <c r="G16" t="inlineStr">
        <is>
          <t>SWEPT FROM THE CODE 2026-08-26</t>
        </is>
      </c>
      <c r="H16" t="inlineStr">
        <is>
          <t>ACTIVE</t>
        </is>
      </c>
      <c r="I16" t="inlineStr">
        <is>
          <t>2026-08-27</t>
        </is>
      </c>
      <c r="J16" s="3" t="inlineStr">
        <is>
          <t>reach generated from the code each build</t>
        </is>
      </c>
    </row>
    <row r="17">
      <c r="A17" t="inlineStr">
        <is>
          <t>MK-XS-I-016</t>
        </is>
      </c>
      <c r="B17" t="inlineStr">
        <is>
          <t>debt minimum payment</t>
        </is>
      </c>
      <c r="C17" t="inlineStr">
        <is>
          <t>typed</t>
        </is>
      </c>
      <c r="D17" t="inlineStr">
        <is>
          <t>minimum_monthly_payment</t>
        </is>
      </c>
      <c r="E17" t="inlineStr">
        <is>
          <t>1. MK-CF-F-038 debtsFromOnboarding
2. MK-CF-F-025 minimumDebtService
3. MK-CF-F-034 payoffPlan
4. MK-CF-F-023 requiredPayment</t>
        </is>
      </c>
      <c r="F17" t="inlineStr">
        <is>
          <t>MK-CF-M-019 · MK-CF-M-022 · MK-CF-M-047 · MK-CF-M-048 · MK-CF-M-049 · MK-CF-M-050 · MK-CF-M-051 · MK-CF-M-052 · MK-CF-M-053 · MK-CF-M-054 · MK-NW-M-001 · MK-NW-M-003 · MK-NW-M-004 · MK-NW-M-009 · MK-NW-M-011 · MK-NW-M-012 · MK-NW-M-016 · MK-NW-M-017 · MK-PL-M-031 · MK-XS-M-001</t>
        </is>
      </c>
      <c r="G17" t="inlineStr">
        <is>
          <t>SWEPT FROM THE CODE 2026-08-26</t>
        </is>
      </c>
      <c r="H17" t="inlineStr">
        <is>
          <t>ACTIVE</t>
        </is>
      </c>
      <c r="I17" t="inlineStr">
        <is>
          <t>2026-08-27</t>
        </is>
      </c>
      <c r="J17" s="3" t="inlineStr">
        <is>
          <t>reach generated from the code each build</t>
        </is>
      </c>
    </row>
    <row r="18">
      <c r="A18" t="inlineStr">
        <is>
          <t>MK-XS-I-017</t>
        </is>
      </c>
      <c r="B18" t="inlineStr">
        <is>
          <t>birth year</t>
        </is>
      </c>
      <c r="C18" t="inlineStr">
        <is>
          <t>typed at setup</t>
        </is>
      </c>
      <c r="D18" t="inlineStr">
        <is>
          <t>birthYear · birth_year</t>
        </is>
      </c>
      <c r="E18"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3 more — the full list is on functions_from_code</t>
        </is>
      </c>
      <c r="F18"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MK-PL-M-001 · MK-PL-M-002 · MK-PL-M-008 · MK-PL-M-011 · MK-PL-M-017 · MK-PL-M-019 · MK-PL-M-026 · MK-PL-M-029 · MK-PL-M-033 · MK-PL-M-034 · MK-XS-M-001 · MK-XS-M-002 · MK-XS-M-005 · MK-XS-M-006</t>
        </is>
      </c>
      <c r="G18" t="inlineStr">
        <is>
          <t>SWEPT FROM THE CODE 2026-08-26</t>
        </is>
      </c>
      <c r="H18" t="inlineStr">
        <is>
          <t>ACTIVE</t>
        </is>
      </c>
      <c r="I18" t="inlineStr">
        <is>
          <t>2026-09-12</t>
        </is>
      </c>
      <c r="J18" s="3" t="inlineStr">
        <is>
          <t>reach generated from the code each build</t>
        </is>
      </c>
    </row>
    <row r="19">
      <c r="A19" t="inlineStr">
        <is>
          <t>MK-XS-I-018</t>
        </is>
      </c>
      <c r="B19" t="inlineStr">
        <is>
          <t>retirement age</t>
        </is>
      </c>
      <c r="C19" t="inlineStr">
        <is>
          <t>typed, or the dial on Plan</t>
        </is>
      </c>
      <c r="D19" t="inlineStr">
        <is>
          <t>retireAge · retire_age · targetRetirementAge</t>
        </is>
      </c>
      <c r="E19" t="inlineStr">
        <is>
          <t>1. MK-XS-F-031 buildSnapshot
2. MK-PL-F-048 capitalNeeded
3. MK-PL-F-043 howTheGapCloses
4. MK-PL-F-046 leverDeltas
5. MK-PL-F-030 onCourseSentence
6. MK-PL-F-044 planTarget
7. MK-XS-F-026 profileFromOnboarding
8. MK-PL-F-055 projectNestEgg
9. MK-XS-F-174 recomputeBalances
10. MK-PL-F-035 retireAgeWithContribution
11. MK-XS-F-019 retirementHorizonYears
12. MK-PL-F-049 retirementSpendMonthly
13. MK-CF-F-058 rothConversionWindow
14. MK-PL-F-050 simulate
… and 8 more — the full list is on functions_from_code</t>
        </is>
      </c>
      <c r="F19" t="inlineStr">
        <is>
          <t>MK-CF-M-022 · MK-NW-M-004 · MK-NW-M-009 · MK-NW-M-015 · MK-NW-M-016 · MK-NW-M-017 · MK-PL-M-008 · MK-PL-M-009 · MK-PL-M-011 · MK-PL-M-026 · MK-PL-M-029 · MK-PL-M-033 · MK-PL-M-034 · MK-XS-M-001 · MK-XS-M-002</t>
        </is>
      </c>
      <c r="G19" t="inlineStr">
        <is>
          <t>SWEPT FROM THE CODE 2026-08-26</t>
        </is>
      </c>
      <c r="H19" t="inlineStr">
        <is>
          <t>ACTIVE</t>
        </is>
      </c>
      <c r="I19" t="inlineStr">
        <is>
          <t>2026-09-12</t>
        </is>
      </c>
      <c r="J19" s="3" t="inlineStr">
        <is>
          <t>reach generated from the code each build</t>
        </is>
      </c>
    </row>
    <row r="20">
      <c r="A20" t="inlineStr">
        <is>
          <t>MK-XS-I-019</t>
        </is>
      </c>
      <c r="B20" t="inlineStr">
        <is>
          <t>monthly expenses in retirement</t>
        </is>
      </c>
      <c r="C20" t="inlineStr">
        <is>
          <t>typed</t>
        </is>
      </c>
      <c r="D20" t="inlineStr">
        <is>
          <t>expectedRetirementSpending · spendingChangeLater · travelBudget · medicalBudget</t>
        </is>
      </c>
      <c r="E20" t="inlineStr">
        <is>
          <t>MK-PL-F-049 retirementSpendMonthly</t>
        </is>
      </c>
      <c r="F20" t="inlineStr">
        <is>
          <t>MK-PL-M-008 · MK-PL-M-009 · MK-PL-M-011 · MK-PL-M-029 · MK-PL-M-034 · MK-XS-M-002</t>
        </is>
      </c>
      <c r="G20" t="inlineStr">
        <is>
          <t>SWEPT FROM THE CODE 2026-08-26</t>
        </is>
      </c>
      <c r="H20" t="inlineStr">
        <is>
          <t>ACTIVE</t>
        </is>
      </c>
      <c r="I20" t="inlineStr">
        <is>
          <t>2026-08-27</t>
        </is>
      </c>
      <c r="J20" s="3" t="inlineStr">
        <is>
          <t>reach generated from the code each build</t>
        </is>
      </c>
    </row>
    <row r="21">
      <c r="A21" t="inlineStr">
        <is>
          <t>MK-XS-I-020</t>
        </is>
      </c>
      <c r="B21" t="inlineStr">
        <is>
          <t>Social Security monthly amount</t>
        </is>
      </c>
      <c r="C21" t="inlineStr">
        <is>
          <t>typed from the statement, or a worked example</t>
        </is>
      </c>
      <c r="D21" t="inlineStr">
        <is>
          <t>socialSecurityMonthly · ssMonthly · statementMonthly</t>
        </is>
      </c>
      <c r="E21"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MK-PL-M-017 · MK-PL-M-018 · MK-PL-M-019 · MK-PL-M-029 · MK-PL-M-032 · MK-PL-M-034 · MK-XS-M-001 · MK-XS-M-002 · MK-XS-M-005 · MK-XS-M-006</t>
        </is>
      </c>
      <c r="G21" t="inlineStr">
        <is>
          <t>SWEPT FROM THE CODE 2026-08-26</t>
        </is>
      </c>
      <c r="H21" t="inlineStr">
        <is>
          <t>ACTIVE</t>
        </is>
      </c>
      <c r="I21" t="inlineStr">
        <is>
          <t>2026-09-12</t>
        </is>
      </c>
      <c r="J21" s="3" t="inlineStr">
        <is>
          <t>reach generated from the code each build</t>
        </is>
      </c>
    </row>
    <row r="22">
      <c r="A22" t="inlineStr">
        <is>
          <t>MK-XS-I-021</t>
        </is>
      </c>
      <c r="B22" t="inlineStr">
        <is>
          <t>Social Security claim age</t>
        </is>
      </c>
      <c r="C22" t="inlineStr">
        <is>
          <t>typed</t>
        </is>
      </c>
      <c r="D22" t="inlineStr">
        <is>
          <t>claimAge · ssClaimAge</t>
        </is>
      </c>
      <c r="E22"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t="inlineStr">
        <is>
          <t>MK-NW-M-004 · MK-NW-M-009 · MK-NW-M-016 · MK-NW-M-017 · MK-PL-M-008 · MK-PL-M-011 · MK-PL-M-017 · MK-PL-M-019 · MK-PL-M-029 · MK-PL-M-034 · MK-XS-M-001 · MK-XS-M-002</t>
        </is>
      </c>
      <c r="G22" t="inlineStr">
        <is>
          <t>SWEPT FROM THE CODE 2026-08-26</t>
        </is>
      </c>
      <c r="H22" t="inlineStr">
        <is>
          <t>ACTIVE</t>
        </is>
      </c>
      <c r="I22" t="inlineStr">
        <is>
          <t>2026-09-12</t>
        </is>
      </c>
      <c r="J22" s="3" t="inlineStr">
        <is>
          <t>reach generated from the code each build</t>
        </is>
      </c>
    </row>
    <row r="23">
      <c r="A23" t="inlineStr">
        <is>
          <t>MK-XS-I-022</t>
        </is>
      </c>
      <c r="B23" t="inlineStr">
        <is>
          <t>pension monthly amount</t>
        </is>
      </c>
      <c r="C23" t="inlineStr">
        <is>
          <t>typed</t>
        </is>
      </c>
      <c r="D23" t="inlineStr">
        <is>
          <t>pensionMonthly · ri_pension · pension</t>
        </is>
      </c>
      <c r="E23" t="inlineStr">
        <is>
          <t>1. MK-CF-F-072 currentRetirementIncomeMonthly
2. MK-CF-F-076 guaranteedOutsideStreams
3. MK-CF-F-075 retirementIncomeMonthly
4. MK-PL-F-049 retirementSpendMonthly
5. MK-PL-F-031 taxOrganizer</t>
        </is>
      </c>
      <c r="F2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G23" t="inlineStr">
        <is>
          <t>SWEPT FROM THE CODE 2026-08-26</t>
        </is>
      </c>
      <c r="H23" t="inlineStr">
        <is>
          <t>ACTIVE</t>
        </is>
      </c>
      <c r="I23" t="inlineStr">
        <is>
          <t>2026-09-09</t>
        </is>
      </c>
      <c r="J23" s="3" t="inlineStr">
        <is>
          <t>reach generated from the code each build</t>
        </is>
      </c>
    </row>
    <row r="24">
      <c r="A24" t="inlineStr">
        <is>
          <t>MK-XS-I-023</t>
        </is>
      </c>
      <c r="B24" t="inlineStr">
        <is>
          <t>salary and other income</t>
        </is>
      </c>
      <c r="C24" t="inlineStr">
        <is>
          <t>typed at setup</t>
        </is>
      </c>
      <c r="D24" t="inlineStr">
        <is>
          <t>salaryByMonth · bonusAnnual · tipsMonthly · signingOnetime · salaryAnnual</t>
        </is>
      </c>
      <c r="E24"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MK-PL-M-008 · MK-PL-M-011 · MK-PL-M-029 · MK-PL-M-034 · MK-XS-M-002 · MK-XS-M-005 · MK-XS-M-006</t>
        </is>
      </c>
      <c r="G24" t="inlineStr">
        <is>
          <t>SWEPT FROM THE CODE 2026-08-26</t>
        </is>
      </c>
      <c r="H24" t="inlineStr">
        <is>
          <t>ACTIVE</t>
        </is>
      </c>
      <c r="I24" t="inlineStr">
        <is>
          <t>2026-08-28</t>
        </is>
      </c>
      <c r="J24" s="3" t="inlineStr">
        <is>
          <t>reach generated from the code each build</t>
        </is>
      </c>
    </row>
    <row r="25">
      <c r="A25" t="inlineStr">
        <is>
          <t>MK-XS-I-024</t>
        </is>
      </c>
      <c r="B25" t="inlineStr">
        <is>
          <t>logged expenses</t>
        </is>
      </c>
      <c r="C25" t="inlineStr">
        <is>
          <t>typed, or read from a download</t>
        </is>
      </c>
      <c r="D25" t="inlineStr">
        <is>
          <t>loggedSpend · expenses · txns · transactions</t>
        </is>
      </c>
      <c r="E25" t="inlineStr">
        <is>
          <t>1. MK-CF-F-005 actualMonthFlow
2. MK-CF-F-151 actualSpending
3. MK-XS-F-057 analyzeExpenses
4. MK-CF-F-014 budgetVsActual
5. MK-XS-F-004 buildDatedGrid
6. MK-CF-F-107 buildPaycheckYear
7. MK-XS-F-100 connectionFreshness
8. MK-XS-F-002 dataGaps
9. MK-CF-F-157 debtPaymentsByDebt
10. MK-CF-F-150 debtPaymentsCountedAsExpenses
11. MK-CF-F-189 essentialsFromLoggedSpending
12. MK-CF-F-190 essentialsMonthly
13. MK-PF-F-025 historyIsComplete
14. MK-CF-F-184 incomeFromAccounts
… and 22 more — the full list is on functions_from_code</t>
        </is>
      </c>
      <c r="F25" t="inlineStr">
        <is>
          <t>MK-CF-M-006 · MK-CF-M-007 · MK-CF-M-008 · MK-CF-M-010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MK-MN-M-020 · MK-MN-M-021 · MK-MN-M-024 · MK-MN-M-025 · MK-MN-M-026 · MK-MN-M-027 · MK-MN-M-028 · MK-NW-M-001 · MK-NW-M-003 · MK-NW-M-004 · MK-NW-M-009 · MK-NW-M-013 · MK-NW-M-014 · MK-NW-M-016 · MK-NW-M-017 · MK-NW-M-035 · MK-PL-M-008 · MK-PL-M-011 · MK-PL-M-029 · MK-PL-M-034 · MK-XS-M-001 · MK-XS-M-002 · MK-XS-M-005 · MK-XS-M-006</t>
        </is>
      </c>
      <c r="G25" t="inlineStr">
        <is>
          <t>SWEPT FROM THE CODE 2026-08-26</t>
        </is>
      </c>
      <c r="H25" t="inlineStr">
        <is>
          <t>ACTIVE</t>
        </is>
      </c>
      <c r="I25" t="inlineStr">
        <is>
          <t>2026-09-25</t>
        </is>
      </c>
      <c r="J25" s="3" t="inlineStr">
        <is>
          <t>reach generated from the code each build</t>
        </is>
      </c>
    </row>
    <row r="26">
      <c r="A26" t="inlineStr">
        <is>
          <t>MK-XS-I-025</t>
        </is>
      </c>
      <c r="B26" t="inlineStr">
        <is>
          <t>typical monthly essentials</t>
        </is>
      </c>
      <c r="C26" t="inlineStr">
        <is>
          <t>typed</t>
        </is>
      </c>
      <c r="D26" t="inlineStr">
        <is>
          <t>monthlyEssentials · essentials</t>
        </is>
      </c>
      <c r="E26" t="inlineStr">
        <is>
          <t>1. MK-CF-F-010 emergencyTest
2. MK-CF-F-009 monthlyEssentials</t>
        </is>
      </c>
      <c r="F26" t="inlineStr">
        <is>
          <t>MK-MN-M-024 · MK-MN-M-025</t>
        </is>
      </c>
      <c r="G26" t="inlineStr">
        <is>
          <t>SWEPT FROM THE CODE 2026-08-26</t>
        </is>
      </c>
      <c r="H26" t="inlineStr">
        <is>
          <t>ACTIVE</t>
        </is>
      </c>
      <c r="I26" t="inlineStr">
        <is>
          <t>2026-08-27</t>
        </is>
      </c>
      <c r="J26" s="3" t="inlineStr">
        <is>
          <t>reach generated from the code each build</t>
        </is>
      </c>
    </row>
    <row r="27">
      <c r="A27" t="inlineStr">
        <is>
          <t>MK-XS-I-026</t>
        </is>
      </c>
      <c r="B27" t="inlineStr">
        <is>
          <t>big costs (amount and year)</t>
        </is>
      </c>
      <c r="C27" t="inlineStr">
        <is>
          <t>typed</t>
        </is>
      </c>
      <c r="D27" t="inlineStr">
        <is>
          <t>bigCosts · oneOffs</t>
        </is>
      </c>
      <c r="E27" t="inlineStr">
        <is>
          <t>1. MK-XS-F-004 buildDatedGrid
2. MK-XS-F-174 recomputeBalances
3. MK-XS-F-175 uid
4. MK-PL-F-065 volOf
5. MK-PL-F-067 willItLastInputs</t>
        </is>
      </c>
      <c r="F27" t="inlineStr">
        <is>
          <t>MK-CF-M-022 · MK-NW-M-004 · MK-NW-M-009 · MK-NW-M-016 · MK-NW-M-017 · MK-PL-M-008 · MK-PL-M-011 · MK-PL-M-029 · MK-PL-M-034 · MK-XS-M-001 · MK-XS-M-002</t>
        </is>
      </c>
      <c r="G27" t="inlineStr">
        <is>
          <t>SWEPT FROM THE CODE 2026-08-26</t>
        </is>
      </c>
      <c r="H27" t="inlineStr">
        <is>
          <t>ACTIVE</t>
        </is>
      </c>
      <c r="I27" t="inlineStr">
        <is>
          <t>2026-09-12</t>
        </is>
      </c>
      <c r="J27" s="3" t="inlineStr">
        <is>
          <t>reach generated from the code each build</t>
        </is>
      </c>
    </row>
    <row r="28">
      <c r="A28" t="inlineStr">
        <is>
          <t>MK-XS-I-027</t>
        </is>
      </c>
      <c r="B28" t="inlineStr">
        <is>
          <t>goals (target, saved, date)</t>
        </is>
      </c>
      <c r="C28" t="inlineStr">
        <is>
          <t>typed</t>
        </is>
      </c>
      <c r="D28" t="inlineStr">
        <is>
          <t>goals · targetDate · g.saved · g.target</t>
        </is>
      </c>
      <c r="E28"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t="inlineStr">
        <is>
          <t>MK-CF-M-006 · MK-CF-M-007 · MK-CF-M-008 · MK-CF-M-013 · MK-CF-M-014 · MK-CF-M-015 · MK-CF-M-018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MK-MN-M-009 · MK-MN-M-011 · MK-MN-M-012 · MK-MN-M-013 · MK-MN-M-024 · MK-MN-M-025 · MK-NW-M-004 · MK-NW-M-009 · MK-NW-M-016 · MK-NW-M-017 · MK-XS-M-001 · MK-XS-M-005 · MK-XS-M-006</t>
        </is>
      </c>
      <c r="G28" t="inlineStr">
        <is>
          <t>SWEPT FROM THE CODE 2026-08-26</t>
        </is>
      </c>
      <c r="H28" t="inlineStr">
        <is>
          <t>ACTIVE</t>
        </is>
      </c>
      <c r="I28" t="inlineStr">
        <is>
          <t>2026-09-12</t>
        </is>
      </c>
      <c r="J28" s="3" t="inlineStr">
        <is>
          <t>reach generated from the code each build</t>
        </is>
      </c>
    </row>
    <row r="29">
      <c r="A29" t="inlineStr">
        <is>
          <t>MK-XS-I-028</t>
        </is>
      </c>
      <c r="B29" t="inlineStr">
        <is>
          <t>assumed return</t>
        </is>
      </c>
      <c r="C29" t="inlineStr">
        <is>
          <t>built in, and adjustable on the cockpit</t>
        </is>
      </c>
      <c r="D29" t="inlineStr">
        <is>
          <t>mean_return · target_return · assumedReturn · meanReturn</t>
        </is>
      </c>
      <c r="E29" t="inlineStr">
        <is>
          <t>1. MK-NW-F-040 assetsFromOnboarding
2. MK-NW-F-039 buildAssetsState
3. MK-NW-F-052 buildItemizedAccounts
4. MK-PL-F-053 buildRetirementState
5. MK-XS-F-031 buildSnapshot
6. MK-XS-F-102 ingestSync
7. MK-PL-F-055 projectNestEgg
8. MK-PL-F-049 retirementSpendMonthly
9. MK-PL-F-050 simulate
10. MK-CF-F-106 solveSafeDraw
11. MK-PL-F-067 willItLastInputs</t>
        </is>
      </c>
      <c r="F29" t="inlineStr">
        <is>
          <t>MK-CF-M-022 · MK-NW-M-004 · MK-NW-M-009 · MK-NW-M-015 · MK-NW-M-016 · MK-NW-M-017 · MK-PL-M-008 · MK-PL-M-009 · MK-PL-M-011 · MK-PL-M-026 · MK-PL-M-029 · MK-PL-M-033 · MK-PL-M-034 · MK-XS-M-001 · MK-XS-M-002</t>
        </is>
      </c>
      <c r="G29" t="inlineStr">
        <is>
          <t>SWEPT FROM THE CODE 2026-08-26</t>
        </is>
      </c>
      <c r="H29" t="inlineStr">
        <is>
          <t>ACTIVE</t>
        </is>
      </c>
      <c r="I29" t="inlineStr">
        <is>
          <t>2026-09-11</t>
        </is>
      </c>
      <c r="J29" s="3" t="inlineStr">
        <is>
          <t>reach generated from the code each build</t>
        </is>
      </c>
    </row>
    <row r="30">
      <c r="A30" t="inlineStr">
        <is>
          <t>MK-XS-I-029</t>
        </is>
      </c>
      <c r="B30"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t="inlineStr">
        <is>
          <t>inflation · inflationRate</t>
        </is>
      </c>
      <c r="E30" t="inlineStr">
        <is>
          <t>1. MK-XS-F-057 analyzeExpenses
2. MK-PL-F-053 buildRetirementState
3. MK-XS-F-031 buildSnapshot
4. MK-PL-F-003 depletionAge
5. MK-XS-F-056 fetchEconomicData
6. MK-PL-F-055 projectNestEgg
7. MK-XS-F-174 recomputeBalances
8. MK-PL-F-049 retirementSpendMonthly
9. MK-PL-F-050 simulate
10. MK-CF-F-106 solveSafeDraw
11. MK-XS-F-175 uid
12. MK-PL-F-065 volOf
13. MK-PL-F-067 willItLastInputs
14. MK-PL-F-004 withdrawalOrder</t>
        </is>
      </c>
      <c r="F30" t="inlineStr">
        <is>
          <t>MK-CF-M-022 · MK-NW-M-004 · MK-NW-M-009 · MK-NW-M-015 · MK-NW-M-016 · MK-NW-M-017 · MK-PL-M-008 · MK-PL-M-009 · MK-PL-M-011 · MK-PL-M-026 · MK-PL-M-029 · MK-PL-M-033 · MK-PL-M-034 · MK-XS-M-001 · MK-XS-M-002</t>
        </is>
      </c>
      <c r="G30" t="inlineStr">
        <is>
          <t>SWEPT FROM THE CODE 2026-08-26</t>
        </is>
      </c>
      <c r="H30" t="inlineStr">
        <is>
          <t>ACTIVE</t>
        </is>
      </c>
      <c r="I30" t="inlineStr">
        <is>
          <t>2026-09-12</t>
        </is>
      </c>
      <c r="J30" s="6" t="inlineStr">
        <is>
          <t>TESTED, NOT VERIFIED (G30) · reach generated from the code each build</t>
        </is>
      </c>
    </row>
    <row r="31">
      <c r="A31" t="inlineStr">
        <is>
          <t>MK-XS-I-030</t>
        </is>
      </c>
      <c r="B31" t="inlineStr">
        <is>
          <t>tax filing status and age</t>
        </is>
      </c>
      <c r="C31" t="inlineStr">
        <is>
          <t>typed at setup</t>
        </is>
      </c>
      <c r="D31" t="inlineStr">
        <is>
          <t>filingStatus · over65 · FilingStatus</t>
        </is>
      </c>
      <c r="E31" t="inlineStr">
        <is>
          <t>1. MK-CF-O-001 basePay
2. MK-CF-F-099 deductionFor
3. MK-CF-F-171 earnerPay
4. MK-CF-F-102 effectiveRateOnGrossFor
5. MK-CF-F-048 effectiveTaxRate
6. MK-CF-F-085 filingStatusOf
7. MK-CF-F-097 grossFromNet
8. MK-CF-O-004 incomeSummary
9. MK-CF-F-104 ltcgRateFor
10. MK-CF-F-103 marginalBracketFor
11. MK-CF-F-089 over65CountOf
12. MK-CF-F-098 progressiveMonthlyTax
13. MK-PL-F-032 rothConversionCost
14. MK-CF-F-187 seniorDeductionFor
… and 5 more — the full list is on functions_from_code</t>
        </is>
      </c>
      <c r="F31"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G31" t="inlineStr">
        <is>
          <t>SWEPT FROM THE CODE 2026-08-26</t>
        </is>
      </c>
      <c r="H31" t="inlineStr">
        <is>
          <t>ACTIVE</t>
        </is>
      </c>
      <c r="I31" t="inlineStr">
        <is>
          <t>2026-09-08</t>
        </is>
      </c>
      <c r="J31" s="3" t="inlineStr">
        <is>
          <t>reach generated from the code each build</t>
        </is>
      </c>
    </row>
    <row r="32">
      <c r="A32" t="inlineStr">
        <is>
          <t>MK-XS-I-031</t>
        </is>
      </c>
      <c r="B32" t="inlineStr">
        <is>
          <t>daily and monthly snapshots</t>
        </is>
      </c>
      <c r="C32" t="inlineStr">
        <is>
          <t>the app itself, once a day</t>
        </is>
      </c>
      <c r="D32" t="inlineStr">
        <is>
          <t>nwDaily · readHistory · SnapshotDay · recordSnapshotDay</t>
        </is>
      </c>
      <c r="E32"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MK-NW-M-001 · MK-NW-M-003 · MK-NW-M-004 · MK-NW-M-009 · MK-NW-M-016 · MK-NW-M-017 · MK-PF-M-001 · MK-PF-M-004 · MK-PL-M-008 · MK-PL-M-011 · MK-PL-M-029 · MK-PL-M-034 · MK-XS-M-001 · MK-XS-M-002 · MK-XS-M-005 · MK-XS-M-006</t>
        </is>
      </c>
      <c r="G32" t="inlineStr">
        <is>
          <t>SWEPT FROM THE CODE 2026-08-26</t>
        </is>
      </c>
      <c r="H32" t="inlineStr">
        <is>
          <t>ACTIVE</t>
        </is>
      </c>
      <c r="I32" t="inlineStr">
        <is>
          <t>2026-09-25</t>
        </is>
      </c>
      <c r="J32" s="3" t="inlineStr">
        <is>
          <t>reach generated from the code each build</t>
        </is>
      </c>
    </row>
    <row r="33">
      <c r="A33" t="inlineStr">
        <is>
          <t>MK-XS-I-032</t>
        </is>
      </c>
      <c r="B33" t="inlineStr">
        <is>
          <t>expenses categories the person set up</t>
        </is>
      </c>
      <c r="C33" t="inlineStr">
        <is>
          <t>Typed by the person when they set up their budget</t>
        </is>
      </c>
      <c r="D33" t="inlineStr">
        <is>
          <t>spendCats · b_fixed · b_nonmonthly · b_flexible</t>
        </is>
      </c>
      <c r="E33" t="inlineStr">
        <is>
          <t>1. MK-CF-F-014 budgetVsActual
2. MK-XS-F-004 buildDatedGrid
3. MK-XS-F-030 effectiveAnnualContribution
4. MK-CF-F-009 monthlyEssentials
5. MK-CF-F-007 nonMonthlyBasis
6. MK-CF-F-004 spendBuckets
7. MK-CF-F-008 spendByMonth
8. MK-CF-F-019 upcomingBills</t>
        </is>
      </c>
      <c r="F33" t="inlineStr">
        <is>
          <t>MK-CF-M-013 · MK-CF-M-014 · MK-CF-M-015 · MK-CF-M-019 · MK-CF-M-022 · MK-CF-M-047 · MK-CF-M-048 · MK-CF-M-049 · MK-CF-M-050 · MK-CF-M-051 · MK-CF-M-052 · MK-CF-M-053 · MK-CF-M-054 · MK-MN-M-007 · MK-MN-M-010 · MK-MN-M-024 · MK-MN-M-025 · MK-XS-M-005</t>
        </is>
      </c>
      <c r="G33" t="inlineStr">
        <is>
          <t>SWEPT FROM THE CODE 2026-08-26</t>
        </is>
      </c>
      <c r="H33" t="inlineStr">
        <is>
          <t>ACTIVE</t>
        </is>
      </c>
      <c r="I33" t="inlineStr">
        <is>
          <t>2026-08-27</t>
        </is>
      </c>
      <c r="J33" s="3" t="inlineStr">
        <is>
          <t>reach generated from the code each build</t>
        </is>
      </c>
    </row>
    <row r="34">
      <c r="A34" t="inlineStr">
        <is>
          <t>MK-XS-I-033</t>
        </is>
      </c>
      <c r="B34" t="inlineStr">
        <is>
          <t>the date a hand-typed value was set</t>
        </is>
      </c>
      <c r="C34" t="inlineStr">
        <is>
          <t>Typed by the person, stamped when they save it</t>
        </is>
      </c>
      <c r="D34" t="inlineStr">
        <is>
          <t>value_as_of</t>
        </is>
      </c>
      <c r="E34" t="inlineStr">
        <is>
          <t>1. MK-XS-F-002 dataGaps
2. MK-XS-F-102 ingestSync
3. MK-NW-F-003 valueFreshness</t>
        </is>
      </c>
      <c r="F34" t="inlineStr">
        <is>
          <t>NONE ON RECORD — the functions above serve no figure that names them. See S21.</t>
        </is>
      </c>
      <c r="G34" t="inlineStr">
        <is>
          <t>SWEPT FROM THE CODE 2026-08-26</t>
        </is>
      </c>
      <c r="H34" t="inlineStr">
        <is>
          <t>ACTIVE</t>
        </is>
      </c>
      <c r="I34" t="inlineStr">
        <is>
          <t>2026-08-27</t>
        </is>
      </c>
      <c r="J34" s="3" t="inlineStr">
        <is>
          <t>reach generated from the code each build</t>
        </is>
      </c>
    </row>
    <row r="35">
      <c r="A35" t="inlineStr">
        <is>
          <t>MK-XS-I-034</t>
        </is>
      </c>
      <c r="B35" t="inlineStr">
        <is>
          <t>option positions — contracts, strike, expiry, put or call</t>
        </is>
      </c>
      <c r="C35" t="inlineStr">
        <is>
          <t>An institution download, a connection, or typed</t>
        </is>
      </c>
      <c r="D35" t="inlineStr">
        <is>
          <t>option_holdings · contracts · strike · expiry</t>
        </is>
      </c>
      <c r="E35" t="inlineStr">
        <is>
          <t>1. MK-NW-F-027 accountClassBreakdown
2. MK-NW-F-028 classPortionLabel
3. MK-CF-F-062 equityRowValue
4. MK-XS-F-102 ingestSync
5. MK-XS-F-106 mapOptionHolding
6. MK-XS-F-146 prettyExpiry
7. MK-PF-F-032 quantityUnit</t>
        </is>
      </c>
      <c r="F35"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MK-NW-M-005 · MK-NW-M-007 · MK-NW-M-008 · MK-NW-M-014 · MK-NW-M-020 · MK-PL-M-008 · MK-PL-M-011 · MK-PL-M-029 · MK-PL-M-034 · MK-XS-M-002 · MK-XS-M-005 · MK-XS-M-006</t>
        </is>
      </c>
      <c r="G35" t="inlineStr">
        <is>
          <t>SWEPT FROM THE CODE 2026-08-26</t>
        </is>
      </c>
      <c r="H35" t="inlineStr">
        <is>
          <t>ACTIVE</t>
        </is>
      </c>
      <c r="I35" t="inlineStr">
        <is>
          <t>2026-09-11</t>
        </is>
      </c>
      <c r="J35" s="6" t="inlineStr">
        <is>
          <t>TESTED, NOT VERIFIED (Q06) · reach generated from the code each build</t>
        </is>
      </c>
    </row>
    <row r="36">
      <c r="A36" t="inlineStr">
        <is>
          <t>MK-XS-I-035</t>
        </is>
      </c>
      <c r="B36" t="inlineStr">
        <is>
          <t>annuity income</t>
        </is>
      </c>
      <c r="C36" t="inlineStr">
        <is>
          <t>Typed by the person</t>
        </is>
      </c>
      <c r="D36" t="inlineStr">
        <is>
          <t>annuityMonthly · ri_annuity · annuity</t>
        </is>
      </c>
      <c r="E36" t="inlineStr">
        <is>
          <t>1. MK-NW-F-035 blendedVolatility
2. MK-CF-F-072 currentRetirementIncomeMonthly
3. MK-CF-F-076 guaranteedOutsideStreams
4. MK-CF-F-075 retirementIncomeMonthly
5. MK-PL-F-049 retirementSpendMonthly</t>
        </is>
      </c>
      <c r="F36"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G36" t="inlineStr">
        <is>
          <t>SWEPT FROM THE CODE 2026-08-26</t>
        </is>
      </c>
      <c r="H36" t="inlineStr">
        <is>
          <t>ACTIVE</t>
        </is>
      </c>
      <c r="I36" t="inlineStr">
        <is>
          <t>2026-09-09</t>
        </is>
      </c>
      <c r="J36" s="3" t="inlineStr">
        <is>
          <t>reach generated from the code each build</t>
        </is>
      </c>
    </row>
    <row r="37">
      <c r="A37" t="inlineStr">
        <is>
          <t>MK-XS-I-036</t>
        </is>
      </c>
      <c r="B37" t="inlineStr">
        <is>
          <t>other guaranteed income</t>
        </is>
      </c>
      <c r="C37" t="inlineStr">
        <is>
          <t>Typed by the person</t>
        </is>
      </c>
      <c r="D37" t="inlineStr">
        <is>
          <t>otherGuaranteed · guaranteed_streams · guaranteedOutside</t>
        </is>
      </c>
      <c r="E37"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MK-PL-M-008 · MK-PL-M-009 · MK-PL-M-011 · MK-PL-M-018 · MK-PL-M-026 · MK-PL-M-029 · MK-PL-M-032 · MK-PL-M-033 · MK-PL-M-034 · MK-XS-M-001 · MK-XS-M-002 · MK-XS-M-005 · MK-XS-M-006</t>
        </is>
      </c>
      <c r="G37" t="inlineStr">
        <is>
          <t>SWEPT FROM THE CODE 2026-08-26</t>
        </is>
      </c>
      <c r="H37" t="inlineStr">
        <is>
          <t>ACTIVE</t>
        </is>
      </c>
      <c r="I37" t="inlineStr">
        <is>
          <t>2026-09-09</t>
        </is>
      </c>
      <c r="J37" s="3" t="inlineStr">
        <is>
          <t>reach generated from the code each build</t>
        </is>
      </c>
    </row>
    <row r="38">
      <c r="A38" t="inlineStr">
        <is>
          <t>MK-XS-I-037</t>
        </is>
      </c>
      <c r="B38" t="inlineStr">
        <is>
          <t>required-withdrawal income stream (ri_rmd)</t>
        </is>
      </c>
      <c r="C38" t="inlineStr">
        <is>
          <t>Worked out from balances, not typed</t>
        </is>
      </c>
      <c r="D38" t="inlineStr">
        <is>
          <t>ri_rmd</t>
        </is>
      </c>
      <c r="E38" t="inlineStr">
        <is>
          <t>MK-CF-F-075 retirementIncomeMonthly</t>
        </is>
      </c>
      <c r="F38"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38" t="inlineStr">
        <is>
          <t>SWEPT FROM THE CODE 2026-08-26</t>
        </is>
      </c>
      <c r="H38" t="inlineStr">
        <is>
          <t>ACTIVE</t>
        </is>
      </c>
      <c r="I38" t="inlineStr">
        <is>
          <t>2026-09-09</t>
        </is>
      </c>
      <c r="J38" s="3" t="inlineStr">
        <is>
          <t>reach generated from the code each build</t>
        </is>
      </c>
    </row>
    <row r="39">
      <c r="A39" t="inlineStr">
        <is>
          <t>MK-XS-I-038</t>
        </is>
      </c>
      <c r="B39" t="inlineStr">
        <is>
          <t>withdrawal income stream (ri_withdrawals)</t>
        </is>
      </c>
      <c r="C39" t="inlineStr">
        <is>
          <t>Worked out from the plan, not typed</t>
        </is>
      </c>
      <c r="D39" t="inlineStr">
        <is>
          <t>ri_withdrawals</t>
        </is>
      </c>
      <c r="E39" t="inlineStr">
        <is>
          <t>MK-CF-F-075 retirementIncomeMonthly</t>
        </is>
      </c>
      <c r="F39"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39" t="inlineStr">
        <is>
          <t>SWEPT FROM THE CODE 2026-08-26</t>
        </is>
      </c>
      <c r="H39" t="inlineStr">
        <is>
          <t>ACTIVE</t>
        </is>
      </c>
      <c r="I39" t="inlineStr">
        <is>
          <t>2026-09-09</t>
        </is>
      </c>
      <c r="J39" s="3" t="inlineStr">
        <is>
          <t>reach generated from the code each build</t>
        </is>
      </c>
    </row>
    <row r="40">
      <c r="A40" t="inlineStr">
        <is>
          <t>MK-XS-I-039</t>
        </is>
      </c>
      <c r="B40" t="inlineStr">
        <is>
          <t>how often each income arrives</t>
        </is>
      </c>
      <c r="C40" t="inlineStr">
        <is>
          <t>Typed by the person</t>
        </is>
      </c>
      <c r="D40" t="inlineStr">
        <is>
          <t>frequency · payment_frequency · cadence · salaryFreq · seFreq · otherFreq · _freqb · RI_CAD_DIV</t>
        </is>
      </c>
      <c r="E40"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6 more — the full list is on functions_from_code</t>
        </is>
      </c>
      <c r="F40"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40" t="inlineStr">
        <is>
          <t>SWEPT FROM THE CODE 2026-08-26</t>
        </is>
      </c>
      <c r="H40" t="inlineStr">
        <is>
          <t>ACTIVE</t>
        </is>
      </c>
      <c r="I40" t="inlineStr">
        <is>
          <t>2026-09-12</t>
        </is>
      </c>
      <c r="J40" s="3" t="inlineStr">
        <is>
          <t>reach generated from the code each build</t>
        </is>
      </c>
    </row>
    <row r="41">
      <c r="A41" t="inlineStr">
        <is>
          <t>MK-XS-I-040</t>
        </is>
      </c>
      <c r="B41" t="inlineStr">
        <is>
          <t>whether a stream is already being received</t>
        </is>
      </c>
      <c r="C41" t="inlineStr">
        <is>
          <t>Typed by the person</t>
        </is>
      </c>
      <c r="D41" t="inlineStr">
        <is>
          <t>alreadyReceiving · income_sources · incomeSources</t>
        </is>
      </c>
      <c r="E41" t="inlineStr">
        <is>
          <t>1. MK-CF-F-072 currentRetirementIncomeMonthly
2. MK-CF-F-105 guaranteedRows
3. MK-CF-F-019 upcomingBills</t>
        </is>
      </c>
      <c r="F41"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41" t="inlineStr">
        <is>
          <t>SWEPT FROM THE CODE 2026-08-26</t>
        </is>
      </c>
      <c r="H41" t="inlineStr">
        <is>
          <t>ACTIVE</t>
        </is>
      </c>
      <c r="I41" t="inlineStr">
        <is>
          <t>2026-08-27</t>
        </is>
      </c>
      <c r="J41" s="3" t="inlineStr">
        <is>
          <t>reach generated from the code each build</t>
        </is>
      </c>
    </row>
    <row r="42">
      <c r="A42" t="inlineStr">
        <is>
          <t>MK-XS-I-041</t>
        </is>
      </c>
      <c r="B42" t="inlineStr">
        <is>
          <t>the payment the person chose to make on a debt</t>
        </is>
      </c>
      <c r="C42" t="inlineStr">
        <is>
          <t>Typed by the person, and it can exceed the minimum</t>
        </is>
      </c>
      <c r="D42" t="inlineStr">
        <is>
          <t>monthly_payment</t>
        </is>
      </c>
      <c r="E42" t="inlineStr">
        <is>
          <t>MK-CF-F-023 requiredPayment</t>
        </is>
      </c>
      <c r="F42" t="inlineStr">
        <is>
          <t>MK-CF-M-019 · MK-CF-M-022 · MK-CF-M-047 · MK-CF-M-048 · MK-CF-M-049 · MK-CF-M-050 · MK-CF-M-051 · MK-CF-M-052 · MK-CF-M-053 · MK-CF-M-054 · MK-NW-M-001 · MK-NW-M-003 · MK-NW-M-009 · MK-NW-M-011 · MK-NW-M-012 · MK-NW-M-017</t>
        </is>
      </c>
      <c r="G42" t="inlineStr">
        <is>
          <t>SWEPT FROM THE CODE 2026-08-26</t>
        </is>
      </c>
      <c r="H42" t="inlineStr">
        <is>
          <t>ACTIVE</t>
        </is>
      </c>
      <c r="I42" t="inlineStr">
        <is>
          <t>2026-08-27</t>
        </is>
      </c>
      <c r="J42" s="3" t="inlineStr">
        <is>
          <t>reach generated from the code each build</t>
        </is>
      </c>
    </row>
    <row r="43">
      <c r="A43" t="inlineStr">
        <is>
          <t>MK-XS-I-042</t>
        </is>
      </c>
      <c r="B43" t="inlineStr">
        <is>
          <t>how a stream is paid — monthly, yearly or one lump</t>
        </is>
      </c>
      <c r="C43" t="inlineStr">
        <is>
          <t>Typed by the person</t>
        </is>
      </c>
      <c r="D43" t="inlineStr">
        <is>
          <t>payment_type · paymentShape</t>
        </is>
      </c>
      <c r="E43" t="inlineStr">
        <is>
          <t>1. MK-XS-F-004 buildDatedGrid
2. MK-CF-F-150 debtPaymentsCountedAsExpenses
3. MK-CF-F-021 defaultPaymentType
4. MK-CF-F-152 isRadarItem
5. MK-CF-F-159 isRecurringDebt
6. MK-CF-F-025 minimumDebtService
7. MK-CF-F-022 paymentShape
8. MK-CF-F-034 payoffPlan
9. MK-CF-F-149 recurringDebtPayments
10. MK-CF-F-023 requiredPayment</t>
        </is>
      </c>
      <c r="F43" t="inlineStr">
        <is>
          <t>MK-CF-M-019 · MK-CF-M-022 · MK-CF-M-047 · MK-CF-M-048 · MK-CF-M-049 · MK-CF-M-050 · MK-CF-M-051 · MK-CF-M-052 · MK-CF-M-053 · MK-CF-M-054 · MK-NW-M-001 · MK-NW-M-003 · MK-NW-M-009 · MK-NW-M-011 · MK-NW-M-012 · MK-NW-M-017 · MK-PL-M-031</t>
        </is>
      </c>
      <c r="G43" t="inlineStr">
        <is>
          <t>SWEPT FROM THE CODE 2026-08-26</t>
        </is>
      </c>
      <c r="H43" t="inlineStr">
        <is>
          <t>ACTIVE</t>
        </is>
      </c>
      <c r="I43" t="inlineStr">
        <is>
          <t>2026-08-27</t>
        </is>
      </c>
      <c r="J43" s="3" t="inlineStr">
        <is>
          <t>reach generated from the code each build</t>
        </is>
      </c>
    </row>
    <row r="44">
      <c r="A44" t="inlineStr">
        <is>
          <t>MK-XS-I-043</t>
        </is>
      </c>
      <c r="B44" t="inlineStr">
        <is>
          <t>their own retirement contribution</t>
        </is>
      </c>
      <c r="C44" t="inlineStr">
        <is>
          <t>Typed by the person</t>
        </is>
      </c>
      <c r="D44" t="inlineStr">
        <is>
          <t>c_401k · c_roth · c_invest · c_property · annual_contribution</t>
        </is>
      </c>
      <c r="E44" t="inlineStr">
        <is>
          <t>1. MK-XS-F-031 buildSnapshot
2. MK-XS-F-030 effectiveAnnualContribution
3. MK-CF-F-179 entryFromWage
4. MK-CF-F-188 householdPreTaxContributionsAnnual
5. MK-PL-F-043 howTheGapCloses
6. MK-CF-F-092 incomeMonthlyGrid
7. MK-NW-F-041 monthlyContributionsFromOnboarding
8. MK-PL-F-044 planTarget
9. MK-PL-F-055 projectNestEgg
10. MK-CF-F-181 rateInForce
11. MK-PL-F-041 requiredAnnualSaving
12. MK-PL-F-035 retireAgeWithContribution
13. MK-PL-F-049 retirementSpendMonthly
14. MK-PL-F-042 savingToReachTarget
… and 9 more — the full list is on functions_from_code</t>
        </is>
      </c>
      <c r="F44"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MK-NW-M-015 · MK-PL-M-008 · MK-PL-M-009 · MK-PL-M-011 · MK-PL-M-026 · MK-PL-M-029 · MK-PL-M-033 · MK-PL-M-034 · MK-XS-M-002 · MK-XS-M-005 · MK-XS-M-006</t>
        </is>
      </c>
      <c r="G44" t="inlineStr">
        <is>
          <t>SWEPT FROM THE CODE 2026-08-26</t>
        </is>
      </c>
      <c r="H44" t="inlineStr">
        <is>
          <t>ACTIVE</t>
        </is>
      </c>
      <c r="I44" t="inlineStr">
        <is>
          <t>2026-09-08</t>
        </is>
      </c>
      <c r="J44" s="3" t="inlineStr">
        <is>
          <t>reach generated from the code each build</t>
        </is>
      </c>
    </row>
    <row r="45">
      <c r="A45" t="inlineStr">
        <is>
          <t>MK-XS-I-044</t>
        </is>
      </c>
      <c r="B45" t="inlineStr">
        <is>
          <t>the person’s own plan overrides</t>
        </is>
      </c>
      <c r="C45" t="inlineStr">
        <is>
          <t>Set by the person on the Plan screen</t>
        </is>
      </c>
      <c r="D45" t="inlineStr">
        <is>
          <t>assumptions · planOverrides</t>
        </is>
      </c>
      <c r="E45" t="inlineStr">
        <is>
          <t>1. MK-PL-F-053 buildRetirementState
2. MK-XS-F-174 recomputeBalances
3. MK-PL-F-049 retirementSpendMonthly
4. MK-PL-F-068 selectWillItLast
5. MK-XS-F-175 uid
6. MK-PL-F-065 volOf
7. MK-PL-F-067 willItLastInputs</t>
        </is>
      </c>
      <c r="F45" t="inlineStr">
        <is>
          <t>MK-NW-M-004 · MK-NW-M-009 · MK-NW-M-016 · MK-NW-M-017 · MK-PL-M-008 · MK-PL-M-009 · MK-PL-M-011 · MK-PL-M-029 · MK-PL-M-034 · MK-XS-M-001 · MK-XS-M-002</t>
        </is>
      </c>
      <c r="G45" t="inlineStr">
        <is>
          <t>SWEPT FROM THE CODE 2026-08-26</t>
        </is>
      </c>
      <c r="H45" t="inlineStr">
        <is>
          <t>ACTIVE</t>
        </is>
      </c>
      <c r="I45" t="inlineStr">
        <is>
          <t>2026-09-12</t>
        </is>
      </c>
      <c r="J45" s="3" t="inlineStr">
        <is>
          <t>reach generated from the code each build</t>
        </is>
      </c>
    </row>
    <row r="46">
      <c r="A46" t="inlineStr">
        <is>
          <t>MK-XS-I-045</t>
        </is>
      </c>
      <c r="B46" t="inlineStr">
        <is>
          <t>where they will live in retirement</t>
        </is>
      </c>
      <c r="C46" t="inlineStr">
        <is>
          <t>Typed by the person</t>
        </is>
      </c>
      <c r="D46" t="inlineStr">
        <is>
          <t>retLocation</t>
        </is>
      </c>
      <c r="E46" t="inlineStr">
        <is>
          <t>1. MK-XS-F-026 profileFromOnboarding
2. MK-PL-F-049 retirementSpendMonthly</t>
        </is>
      </c>
      <c r="F46" t="inlineStr">
        <is>
          <t>MK-PL-M-008 · MK-PL-M-009 · MK-PL-M-011 · MK-PL-M-029 · MK-PL-M-034 · MK-XS-M-002</t>
        </is>
      </c>
      <c r="G46" t="inlineStr">
        <is>
          <t>SWEPT FROM THE CODE 2026-08-26</t>
        </is>
      </c>
      <c r="H46" t="inlineStr">
        <is>
          <t>ACTIVE</t>
        </is>
      </c>
      <c r="I46" t="inlineStr">
        <is>
          <t>2026-08-27</t>
        </is>
      </c>
      <c r="J46" s="3" t="inlineStr">
        <is>
          <t>reach generated from the code each build</t>
        </is>
      </c>
    </row>
    <row r="47">
      <c r="A47" t="inlineStr">
        <is>
          <t>MK-XS-I-046</t>
        </is>
      </c>
      <c r="B47" t="inlineStr">
        <is>
          <t>how the employer match is expressed — percent or dollars</t>
        </is>
      </c>
      <c r="C47" t="inlineStr">
        <is>
          <t>Typed by the person</t>
        </is>
      </c>
      <c r="D47" t="inlineStr">
        <is>
          <t>employerMatchMode · employerMatchValue</t>
        </is>
      </c>
      <c r="E47" t="inlineStr">
        <is>
          <t>MK-CF-F-178 wageMatchMonthly</t>
        </is>
      </c>
      <c r="F47" t="inlineStr">
        <is>
          <t>MK-MN-M-014 · MK-PL-M-008 · MK-PL-M-011 · MK-PL-M-029 · MK-PL-M-034 · MK-XS-M-002</t>
        </is>
      </c>
      <c r="G47" t="inlineStr">
        <is>
          <t>SWEPT FROM THE CODE 2026-08-26</t>
        </is>
      </c>
      <c r="H47" t="inlineStr">
        <is>
          <t>ACTIVE</t>
        </is>
      </c>
      <c r="I47" t="inlineStr">
        <is>
          <t>2026-08-27</t>
        </is>
      </c>
      <c r="J47" s="3" t="inlineStr">
        <is>
          <t>reach generated from the code each build</t>
        </is>
      </c>
    </row>
    <row r="48">
      <c r="A48" t="inlineStr">
        <is>
          <t>MK-XS-I-047</t>
        </is>
      </c>
      <c r="B48" t="inlineStr">
        <is>
          <t>money to leave behind</t>
        </is>
      </c>
      <c r="C48" t="inlineStr">
        <is>
          <t>Typed by the person</t>
        </is>
      </c>
      <c r="D48" t="inlineStr">
        <is>
          <t>bequest</t>
        </is>
      </c>
      <c r="E48" t="inlineStr">
        <is>
          <t>1. MK-PL-F-048 capitalNeeded
2. MK-PL-F-067 willItLastInputs</t>
        </is>
      </c>
      <c r="F48" t="inlineStr">
        <is>
          <t>MK-PL-M-008 · MK-PL-M-011 · MK-PL-M-029 · MK-PL-M-034 · MK-XS-M-002</t>
        </is>
      </c>
      <c r="G48" t="inlineStr">
        <is>
          <t>SWEPT FROM THE CODE 2026-08-26</t>
        </is>
      </c>
      <c r="H48" t="inlineStr">
        <is>
          <t>ACTIVE</t>
        </is>
      </c>
      <c r="I48" t="inlineStr">
        <is>
          <t>2026-08-27</t>
        </is>
      </c>
      <c r="J48" s="3" t="inlineStr">
        <is>
          <t>reach generated from the code each build</t>
        </is>
      </c>
    </row>
    <row r="49">
      <c r="A49" t="inlineStr">
        <is>
          <t>MK-XS-I-048</t>
        </is>
      </c>
      <c r="B49" t="inlineStr">
        <is>
          <t>the person’s own asset-class answer</t>
        </is>
      </c>
      <c r="C49" t="inlineStr">
        <is>
          <t>Typed by the person, and it outranks the institution</t>
        </is>
      </c>
      <c r="D49" t="inlineStr">
        <is>
          <t>asset_class · class_source · stated</t>
        </is>
      </c>
      <c r="E49" t="inlineStr">
        <is>
          <t>1. MK-NW-F-027 accountClassBreakdown
2. MK-ST-F-027 accountId
3. MK-NW-F-011 assetClassOf
4. MK-ST-F-028 buildDayFromAccounts
5. MK-NW-F-052 buildItemizedAccounts
6. MK-NW-F-028 classPortionLabel
7. MK-XS-F-014 classifyHolding
8. MK-XS-F-102 ingestSync
9. MK-ST-F-018 readMoney
10. MK-ST-F-073 rebuildDays
11. MK-NW-F-054 reclassifyAccounts
12. MK-ST-F-022 reconcileAccountTotal
13. MK-XS-F-175 uid
14. MK-ST-F-060 verdict</t>
        </is>
      </c>
      <c r="F49" t="inlineStr">
        <is>
          <t>MK-CF-M-022 · MK-MN-M-016 · MK-NW-M-004 · MK-NW-M-005 · MK-NW-M-007 · MK-NW-M-008 · MK-NW-M-009 · MK-NW-M-014 · MK-NW-M-016 · MK-NW-M-017 · MK-NW-M-020 · MK-PF-M-001 · MK-PF-M-004 · MK-PL-M-001 · MK-PL-M-002 · MK-PL-M-008 · MK-PL-M-009 · MK-PL-M-011 · MK-PL-M-029 · MK-PL-M-034 · MK-XS-M-001 · MK-XS-M-002 · MK-XS-M-003</t>
        </is>
      </c>
      <c r="G49" t="inlineStr">
        <is>
          <t>SWEPT FROM THE CODE 2026-08-26</t>
        </is>
      </c>
      <c r="H49" t="inlineStr">
        <is>
          <t>ACTIVE</t>
        </is>
      </c>
      <c r="I49" t="inlineStr">
        <is>
          <t>2026-09-25</t>
        </is>
      </c>
      <c r="J49" s="3" t="inlineStr">
        <is>
          <t>reach generated from the code each build</t>
        </is>
      </c>
    </row>
    <row r="50">
      <c r="A50" t="inlineStr">
        <is>
          <t>MK-XS-I-049</t>
        </is>
      </c>
      <c r="B50" t="inlineStr">
        <is>
          <t>bond price — what the bond is worth today</t>
        </is>
      </c>
      <c r="C50" t="inlineStr">
        <is>
          <t>the download, a connection, or typed</t>
        </is>
      </c>
      <c r="D50" t="inlineStr">
        <is>
          <t>b.value · bond.value · BondInfo</t>
        </is>
      </c>
      <c r="E50" t="inlineStr">
        <is>
          <t>1. MK-NW-F-070 accruedInterestCaveat
2. MK-PF-F-017 allocation
3. MK-NW-F-057 annualCoupon
4. MK-NW-F-060 approxYTM
5. MK-NW-F-056 bondInfo
6. MK-NW-F-064 bondRateSensitivity
7. MK-NW-F-061 bondSummary
8. MK-NW-F-059 currentYield
9. MK-NW-F-069 priceAtYield</t>
        </is>
      </c>
      <c r="F50" t="inlineStr">
        <is>
          <t>MK-NW-M-023 · MK-NW-M-024 · MK-NW-M-026 · MK-NW-M-027 · MK-NW-M-028 · MK-NW-M-041 · MK-NW-M-042 · MK-NW-M-043 · MK-NW-M-044 · MK-NW-M-045</t>
        </is>
      </c>
      <c r="G50" t="inlineStr">
        <is>
          <t>SWEPT FROM THE CODE 2026-08-26</t>
        </is>
      </c>
      <c r="H50" t="inlineStr">
        <is>
          <t>ACTIVE</t>
        </is>
      </c>
      <c r="I50" t="inlineStr">
        <is>
          <t>2026-09-11</t>
        </is>
      </c>
      <c r="J50" s="3" t="inlineStr">
        <is>
          <t>reach generated from the code each build</t>
        </is>
      </c>
    </row>
    <row r="51">
      <c r="A51" t="inlineStr">
        <is>
          <t>MK-XS-I-050</t>
        </is>
      </c>
      <c r="B51" t="inlineStr">
        <is>
          <t>the share of an account earmarked for retirement</t>
        </is>
      </c>
      <c r="C51" t="inlineStr">
        <is>
          <t>typed by the person, per account</t>
        </is>
      </c>
      <c r="D51" t="inlineStr">
        <is>
          <t>retirement_pct</t>
        </is>
      </c>
      <c r="E51" t="inlineStr">
        <is>
          <t>MK-NW-F-032 earmarkedAmount</t>
        </is>
      </c>
      <c r="F51" t="inlineStr">
        <is>
          <t>MK-CF-M-022 · MK-PL-M-001 · MK-PL-M-002 · MK-PL-M-008 · MK-PL-M-009 · MK-PL-M-011 · MK-PL-M-029 · MK-PL-M-034 · MK-XS-M-002</t>
        </is>
      </c>
      <c r="G51" t="inlineStr">
        <is>
          <t>SWEPT FROM THE CODE 2026-08-26</t>
        </is>
      </c>
      <c r="H51" t="inlineStr">
        <is>
          <t>ACTIVE</t>
        </is>
      </c>
      <c r="I51" t="inlineStr">
        <is>
          <t>2026-08-27</t>
        </is>
      </c>
      <c r="J51" s="3" t="inlineStr">
        <is>
          <t>reach generated from the code each build</t>
        </is>
      </c>
    </row>
    <row r="52">
      <c r="A52" t="inlineStr">
        <is>
          <t>MK-XS-I-051</t>
        </is>
      </c>
      <c r="B52" t="inlineStr">
        <is>
          <t>what an account actually returned over the last twelve months</t>
        </is>
      </c>
      <c r="C52" t="inlineStr">
        <is>
          <t>typed by the person, per account</t>
        </is>
      </c>
      <c r="D52" t="inlineStr">
        <is>
          <t>actual_ttm</t>
        </is>
      </c>
      <c r="E52" t="inlineStr">
        <is>
          <t>MK-NW-F-004 portfolioActualReturn</t>
        </is>
      </c>
      <c r="F52" t="inlineStr">
        <is>
          <t>MK-PL-M-008 · MK-PL-M-011 · MK-PL-M-029 · MK-PL-M-034 · MK-XS-M-002</t>
        </is>
      </c>
      <c r="G52" t="inlineStr">
        <is>
          <t>SWEPT FROM THE CODE 2026-08-26</t>
        </is>
      </c>
      <c r="H52" t="inlineStr">
        <is>
          <t>ACTIVE</t>
        </is>
      </c>
      <c r="I52" t="inlineStr">
        <is>
          <t>2026-08-27</t>
        </is>
      </c>
      <c r="J52" s="3" t="inlineStr">
        <is>
          <t>reach generated from the code each build</t>
        </is>
      </c>
    </row>
    <row r="53">
      <c r="A53" t="inlineStr">
        <is>
          <t>MK-XS-I-052</t>
        </is>
      </c>
      <c r="B53" t="inlineStr">
        <is>
          <t>the day of the month a debt payment is due</t>
        </is>
      </c>
      <c r="C53" t="inlineStr">
        <is>
          <t>typed, or a connection</t>
        </is>
      </c>
      <c r="D53" t="inlineStr">
        <is>
          <t>due_day</t>
        </is>
      </c>
      <c r="E53" t="inlineStr">
        <is>
          <t>MK-XS-F-004 buildDatedGrid</t>
        </is>
      </c>
      <c r="F53" t="inlineStr">
        <is>
          <t>MK-CF-M-022</t>
        </is>
      </c>
      <c r="G53" t="inlineStr">
        <is>
          <t>SWEPT FROM THE CODE 2026-08-26</t>
        </is>
      </c>
      <c r="H53" t="inlineStr">
        <is>
          <t>ACTIVE</t>
        </is>
      </c>
      <c r="I53" t="inlineStr">
        <is>
          <t>2026-08-27</t>
        </is>
      </c>
      <c r="J53" s="3" t="inlineStr">
        <is>
          <t>reach generated from the code each build</t>
        </is>
      </c>
    </row>
    <row r="54">
      <c r="A54" t="inlineStr">
        <is>
          <t>MK-XS-I-053</t>
        </is>
      </c>
      <c r="B54" t="inlineStr">
        <is>
          <t>the month a debt is first paid</t>
        </is>
      </c>
      <c r="C54" t="inlineStr">
        <is>
          <t>typed by the person</t>
        </is>
      </c>
      <c r="D54" t="inlineStr">
        <is>
          <t>first_payment_date</t>
        </is>
      </c>
      <c r="E54" t="inlineStr">
        <is>
          <t>1. MK-XS-F-004 buildDatedGrid
2. MK-CF-F-034 payoffPlan</t>
        </is>
      </c>
      <c r="F54" t="inlineStr">
        <is>
          <t>MK-CF-M-022 · MK-PL-M-031</t>
        </is>
      </c>
      <c r="G54" t="inlineStr">
        <is>
          <t>SWEPT FROM THE CODE 2026-08-26</t>
        </is>
      </c>
      <c r="H54" t="inlineStr">
        <is>
          <t>ACTIVE</t>
        </is>
      </c>
      <c r="I54" t="inlineStr">
        <is>
          <t>2026-08-27</t>
        </is>
      </c>
      <c r="J54" s="3" t="inlineStr">
        <is>
          <t>reach generated from the code each build</t>
        </is>
      </c>
    </row>
    <row r="55">
      <c r="A55" t="inlineStr">
        <is>
          <t>MK-XS-I-054</t>
        </is>
      </c>
      <c r="B55" t="inlineStr">
        <is>
          <t>the date a debt is due to be paid off in full</t>
        </is>
      </c>
      <c r="C55" t="inlineStr">
        <is>
          <t>typed by the person</t>
        </is>
      </c>
      <c r="D55" t="inlineStr">
        <is>
          <t>payoff_date</t>
        </is>
      </c>
      <c r="E55" t="inlineStr">
        <is>
          <t>1. MK-XS-F-004 buildDatedGrid
2. MK-CF-F-034 payoffPlan</t>
        </is>
      </c>
      <c r="F55" t="inlineStr">
        <is>
          <t>MK-CF-M-022 · MK-PL-M-031</t>
        </is>
      </c>
      <c r="G55" t="inlineStr">
        <is>
          <t>SWEPT FROM THE CODE 2026-08-26</t>
        </is>
      </c>
      <c r="H55" t="inlineStr">
        <is>
          <t>ACTIVE</t>
        </is>
      </c>
      <c r="I55" t="inlineStr">
        <is>
          <t>2026-08-27</t>
        </is>
      </c>
      <c r="J55" s="3" t="inlineStr">
        <is>
          <t>reach generated from the code each build</t>
        </is>
      </c>
    </row>
    <row r="56">
      <c r="A56" t="inlineStr">
        <is>
          <t>MK-XS-I-055</t>
        </is>
      </c>
      <c r="B56" t="inlineStr">
        <is>
          <t>the wrapper an account sits in — ISA, 401(k), IRA and the rest</t>
        </is>
      </c>
      <c r="C56" t="inlineStr">
        <is>
          <t>typed at setup, or from the connection</t>
        </is>
      </c>
      <c r="D56" t="inlineStr">
        <is>
          <t>wrapper_confirmed · kind</t>
        </is>
      </c>
      <c r="E56" t="inlineStr">
        <is>
          <t>1. MK-NW-F-005 accountAllowsTicker
2. MK-NW-F-025 accountDisplayName
3. MK-CF-F-005 actualMonthFlow
4. MK-CF-F-138 addLot
5. MK-PF-F-017 allocation
6. MK-NW-F-002 alternativesSummary
7. MK-NW-F-011 assetClassOf
8. MK-NW-F-040 assetsFromOnboarding
9. MK-NW-F-036 benchmarkInfo
10. MK-NW-F-034 benchmarkReturn
11. MK-PF-F-013 benchmarkTicker
12. MK-NW-F-037 blendedReturn
13. MK-NW-F-035 blendedVolatility
14. MK-XS-F-004 buildDatedGrid
… and 35 more — the full list is on functions_from_code</t>
        </is>
      </c>
      <c r="F56"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MK-NW-M-032 · MK-NW-M-033 · MK-NW-M-040 · MK-PF-M-005 · MK-PF-M-006 · MK-PF-M-007 · MK-PF-M-008 · MK-PL-M-001 · MK-PL-M-002 · MK-PL-M-008 · MK-PL-M-009 · MK-PL-M-011 · MK-PL-M-018 · MK-PL-M-029 · MK-PL-M-032 · MK-PL-M-034 · MK-XS-M-001 · MK-XS-M-002 · MK-XS-M-003 · MK-XS-M-004 · MK-XS-M-005 · MK-XS-M-006</t>
        </is>
      </c>
      <c r="G56" t="inlineStr">
        <is>
          <t>SWEPT FROM THE CODE 2026-08-26</t>
        </is>
      </c>
      <c r="H56" t="inlineStr">
        <is>
          <t>ACTIVE</t>
        </is>
      </c>
      <c r="I56" t="inlineStr">
        <is>
          <t>2026-09-12</t>
        </is>
      </c>
      <c r="J56" s="3" t="inlineStr">
        <is>
          <t>reach generated from the code each build</t>
        </is>
      </c>
    </row>
    <row r="57">
      <c r="A57" t="inlineStr">
        <is>
          <t>MK-XS-I-056</t>
        </is>
      </c>
      <c r="B57" t="inlineStr">
        <is>
          <t>how a holding was classified, and by whom</t>
        </is>
      </c>
      <c r="C57" t="inlineStr">
        <is>
          <t>the function, the institution, or the person</t>
        </is>
      </c>
      <c r="D57" t="inlineStr">
        <is>
          <t>class_source · class_flag</t>
        </is>
      </c>
      <c r="E57" t="inlineStr">
        <is>
          <t>1. MK-XS-F-102 ingestSync
2. MK-XS-F-175 uid</t>
        </is>
      </c>
      <c r="F57" t="inlineStr">
        <is>
          <t>MK-NW-M-004 · MK-NW-M-009 · MK-NW-M-016 · MK-NW-M-017 · MK-XS-M-001</t>
        </is>
      </c>
      <c r="G57" t="inlineStr">
        <is>
          <t>SWEPT FROM THE CODE 2026-08-26</t>
        </is>
      </c>
      <c r="H57" t="inlineStr">
        <is>
          <t>ACTIVE</t>
        </is>
      </c>
      <c r="I57" t="inlineStr">
        <is>
          <t>2026-09-13</t>
        </is>
      </c>
      <c r="J57" s="3" t="inlineStr">
        <is>
          <t>reach generated from the code each build</t>
        </is>
      </c>
    </row>
    <row r="58">
      <c r="A58" t="inlineStr">
        <is>
          <t>MK-XS-I-057</t>
        </is>
      </c>
      <c r="B58" t="inlineStr">
        <is>
          <t>the date an account history begins</t>
        </is>
      </c>
      <c r="C58" t="inlineStr">
        <is>
          <t>the institution download</t>
        </is>
      </c>
      <c r="D58" t="inlineStr">
        <is>
          <t>history_from</t>
        </is>
      </c>
      <c r="E58" t="inlineStr">
        <is>
          <t>1. MK-NW-F-046 historyCoverage
2. MK-XS-F-102 ingestSync</t>
        </is>
      </c>
      <c r="F58" t="inlineStr">
        <is>
          <t>NONE ON RECORD — the functions above serve no figure that names them. See S21.</t>
        </is>
      </c>
      <c r="G58" t="inlineStr">
        <is>
          <t>SWEPT FROM THE CODE 2026-08-26</t>
        </is>
      </c>
      <c r="H58" t="inlineStr">
        <is>
          <t>ACTIVE</t>
        </is>
      </c>
      <c r="I58" t="inlineStr">
        <is>
          <t>2026-08-27</t>
        </is>
      </c>
      <c r="J58" s="3" t="inlineStr">
        <is>
          <t>reach generated from the code each build</t>
        </is>
      </c>
    </row>
    <row r="59">
      <c r="A59" t="inlineStr">
        <is>
          <t>MK-XS-I-058</t>
        </is>
      </c>
      <c r="B59" t="inlineStr">
        <is>
          <t>a break between our figure and the institution's</t>
        </is>
      </c>
      <c r="C59" t="inlineStr">
        <is>
          <t>worked out when a download is read</t>
        </is>
      </c>
      <c r="D59" t="inlineStr">
        <is>
          <t>recon_break</t>
        </is>
      </c>
      <c r="E59" t="inlineStr">
        <is>
          <t>MK-XS-F-102 ingestSync</t>
        </is>
      </c>
      <c r="F59" t="inlineStr">
        <is>
          <t>NONE ON RECORD — the functions above serve no figure that names them. See S21.</t>
        </is>
      </c>
      <c r="G59" t="inlineStr">
        <is>
          <t>SWEPT FROM THE CODE 2026-08-26</t>
        </is>
      </c>
      <c r="H59" t="inlineStr">
        <is>
          <t>ACTIVE</t>
        </is>
      </c>
      <c r="I59" t="inlineStr">
        <is>
          <t>2026-08-27</t>
        </is>
      </c>
      <c r="J59" s="3" t="inlineStr">
        <is>
          <t>reach generated from the code each build</t>
        </is>
      </c>
    </row>
    <row r="60">
      <c r="A60" t="inlineStr">
        <is>
          <t>MK-XS-I-059</t>
        </is>
      </c>
      <c r="B60" t="inlineStr">
        <is>
          <t>the month a bonus lands</t>
        </is>
      </c>
      <c r="C60" t="inlineStr">
        <is>
          <t>typed by the person</t>
        </is>
      </c>
      <c r="D60" t="inlineStr">
        <is>
          <t>bonusMonth</t>
        </is>
      </c>
      <c r="E60" t="inlineStr">
        <is>
          <t>1. MK-XS-F-004 buildDatedGrid
2. MK-CF-F-020 cashflowYear
3. MK-CF-F-079 incomeFromOnboarding
4. MK-CF-F-092 incomeMonthlyGrid
5. MK-CF-F-088 taxableByCalendarMonth</t>
        </is>
      </c>
      <c r="F60" t="inlineStr">
        <is>
          <t>MK-CF-M-006 · MK-CF-M-007 · MK-CF-M-008 · MK-CF-M-013 · MK-CF-M-014 · MK-CF-M-015 · MK-CF-M-018 · MK-CF-M-019 · MK-CF-M-022 · MK-CF-M-027 · MK-CF-M-037 · MK-CF-M-038 · MK-CF-M-039 · MK-CF-M-040 · MK-CF-M-041 · MK-CF-M-042 · MK-CF-M-043 · MK-CF-M-044 · MK-CF-M-047 · MK-CF-M-048 · MK-CF-M-049 · MK-CF-M-050 · MK-CF-M-051 · MK-CF-M-052 · MK-CF-M-053 · MK-CF-M-054 · MK-MN-M-007 · MK-MN-M-011 · MK-MN-M-012 · MK-MN-M-013 · MK-MN-M-024 · MK-MN-M-025 · MK-XS-M-005 · MK-XS-M-006</t>
        </is>
      </c>
      <c r="G60" t="inlineStr">
        <is>
          <t>SWEPT FROM THE CODE 2026-08-26</t>
        </is>
      </c>
      <c r="H60" t="inlineStr">
        <is>
          <t>ACTIVE</t>
        </is>
      </c>
      <c r="I60" t="inlineStr">
        <is>
          <t>2026-08-27</t>
        </is>
      </c>
      <c r="J60" s="3" t="inlineStr">
        <is>
          <t>reach generated from the code each build</t>
        </is>
      </c>
    </row>
    <row r="61">
      <c r="A61" t="inlineStr">
        <is>
          <t>MK-XS-I-060</t>
        </is>
      </c>
      <c r="B61" t="inlineStr">
        <is>
          <t>how a person is paid — weekly, fortnightly, monthly</t>
        </is>
      </c>
      <c r="C61" t="inlineStr">
        <is>
          <t>typed at setup</t>
        </is>
      </c>
      <c r="D61" t="inlineStr">
        <is>
          <t>salaryMode · SALARY_PERIODS</t>
        </is>
      </c>
      <c r="E61" t="inlineStr">
        <is>
          <t>1. MK-CF-F-059 annualizedEnteredSalary
2. MK-CF-F-186 convertTakeHomeMode
3. MK-CF-F-130 enteredMonthlyRaw
4. MK-CF-F-185 needsTakeHomeConversion</t>
        </is>
      </c>
      <c r="F61"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G61" t="inlineStr">
        <is>
          <t>SWEPT FROM THE CODE 2026-08-26</t>
        </is>
      </c>
      <c r="H61" t="inlineStr">
        <is>
          <t>ACTIVE</t>
        </is>
      </c>
      <c r="I61" t="inlineStr">
        <is>
          <t>2026-08-28</t>
        </is>
      </c>
      <c r="J61" s="3" t="inlineStr">
        <is>
          <t>reach generated from the code each build</t>
        </is>
      </c>
    </row>
    <row r="62">
      <c r="A62" t="inlineStr">
        <is>
          <t>MK-XS-I-061</t>
        </is>
      </c>
      <c r="B62" t="inlineStr">
        <is>
          <t>pre-tax balance on 31 December last year</t>
        </is>
      </c>
      <c r="C62" t="inlineStr">
        <is>
          <t>typed by the person on the Required-withdrawals screen</t>
        </is>
      </c>
      <c r="D62" t="inlineStr">
        <is>
          <t>rmdPriorYearEndPreTax · priorYearEndPreTax</t>
        </is>
      </c>
      <c r="E62" t="inlineStr">
        <is>
          <t>1. MK-PL-F-027 nextDecision
2. MK-PL-F-080 rmdRequiredThisYear</t>
        </is>
      </c>
      <c r="F62" t="inlineStr">
        <is>
          <t>MK-PL-M-013</t>
        </is>
      </c>
      <c r="G62" t="inlineStr">
        <is>
          <t>SWEPT FROM THE CODE 2026-08-26</t>
        </is>
      </c>
      <c r="H62" t="inlineStr">
        <is>
          <t>ACTIVE</t>
        </is>
      </c>
      <c r="I62" t="inlineStr">
        <is>
          <t>2026-09-08</t>
        </is>
      </c>
      <c r="J62" s="6" t="inlineStr">
        <is>
          <t>TESTED, NOT VERIFIED (G8) · reach generated from the code each build</t>
        </is>
      </c>
    </row>
    <row r="63">
      <c r="A63" t="inlineStr">
        <is>
          <t>MK-XS-I-062</t>
        </is>
      </c>
      <c r="B63" t="inlineStr">
        <is>
          <t>enrolled in Medicare (yes / no)</t>
        </is>
      </c>
      <c r="C63" t="inlineStr">
        <is>
          <t>typed by the person on the Contribution-room screen (HSA card, shown at 65+)</t>
        </is>
      </c>
      <c r="D63" t="inlineStr">
        <is>
          <t>medicareEnrolled</t>
        </is>
      </c>
      <c r="E63" t="inlineStr">
        <is>
          <t>MK-CF-F-055 annualHsaLimit</t>
        </is>
      </c>
      <c r="F63" t="inlineStr">
        <is>
          <t>NONE ON RECORD — the functions above serve no figure that names them. See S21.</t>
        </is>
      </c>
      <c r="G63" t="inlineStr">
        <is>
          <t>SWEPT FROM THE CODE 2026-08-26</t>
        </is>
      </c>
      <c r="H63" t="inlineStr">
        <is>
          <t>ACTIVE</t>
        </is>
      </c>
      <c r="I63" t="inlineStr">
        <is>
          <t>2026-09-08</t>
        </is>
      </c>
      <c r="J63" s="6" t="inlineStr">
        <is>
          <t>TESTED, NOT VERIFIED (G10) · reach generated from the code each build</t>
        </is>
      </c>
    </row>
    <row r="64">
      <c r="A64" t="inlineStr">
        <is>
          <t>MK-XS-I-063</t>
        </is>
      </c>
      <c r="B64" t="inlineStr">
        <is>
          <t>option contract multiplier — 100 unless the broker or the person states otherwise</t>
        </is>
      </c>
      <c r="C64" t="inlineStr">
        <is>
          <t>set by the broker on a connected holding, or typed by the person</t>
        </is>
      </c>
      <c r="D64" t="inlineStr">
        <is>
          <t>multiplier · OPTION_CONTRACT_MULTIPLIER · contractMultiplier</t>
        </is>
      </c>
      <c r="E64" t="inlineStr">
        <is>
          <t>1. MK-PF-F-031 contractMultiplier
2. MK-PF-F-002 costBasis
3. MK-XS-F-106 mapOptionHolding
4. MK-PF-F-004 marketValue</t>
        </is>
      </c>
      <c r="F64" t="inlineStr">
        <is>
          <t>MK-NW-M-004 · MK-NW-M-009 · MK-NW-M-016 · MK-NW-M-017 · MK-NW-M-030 · MK-NW-M-032 · MK-NW-M-033 · MK-NW-M-040 · MK-PF-M-005 · MK-PF-M-006 · MK-PF-M-007 · MK-PF-M-008 · MK-XS-M-001 · MK-XS-M-004</t>
        </is>
      </c>
      <c r="G64" t="inlineStr">
        <is>
          <t>SWEPT FROM THE CODE 2026-08-26</t>
        </is>
      </c>
      <c r="H64" t="inlineStr">
        <is>
          <t>ACTIVE</t>
        </is>
      </c>
      <c r="I64" t="inlineStr">
        <is>
          <t>2026-09-11</t>
        </is>
      </c>
      <c r="J64" s="6" t="inlineStr">
        <is>
          <t>TESTED, NOT VERIFIED (Q06) · reach generated from the code each build</t>
        </is>
      </c>
    </row>
    <row r="65">
      <c r="A65" t="inlineStr">
        <is>
          <t>MK-XS-I-064</t>
        </is>
      </c>
      <c r="B65" t="inlineStr">
        <is>
          <t>the unit beside a quantity — shares, coins, contracts, ounces or units</t>
        </is>
      </c>
      <c r="C65" t="inlineStr">
        <is>
          <t>typed by the person on the holding; otherwise the unit the kind implies</t>
        </is>
      </c>
      <c r="D65" t="inlineStr">
        <is>
          <t>unit · quantityUnit · quantityWithUnit</t>
        </is>
      </c>
      <c r="E65" t="inlineStr">
        <is>
          <t>1. MK-XS-F-004 buildDatedGrid
2. MK-CF-F-003 categoryMonthly
3. MK-CF-F-157 debtPaymentsByDebt
4. MK-CF-F-171 earnerPay
5. MK-XS-F-015 importHoldings
6. MK-CF-F-009 monthlyEssentials
7. MK-CF-F-007 nonMonthlyBasis
8. MK-PF-F-032 quantityUnit
9. MK-PF-F-033 quantityWithUnit
10. MK-CF-F-008 spendByMonth
11. MK-CF-F-019 upcomingBills</t>
        </is>
      </c>
      <c r="F65" t="inlineStr">
        <is>
          <t>MK-CF-M-006 · MK-CF-M-007 · MK-CF-M-008 · MK-CF-M-013 · MK-CF-M-014 · MK-CF-M-015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MK-MN-M-010 · MK-MN-M-011 · MK-MN-M-012 · MK-MN-M-013 · MK-MN-M-024 · MK-MN-M-025 · MK-XS-M-005</t>
        </is>
      </c>
      <c r="G65" t="inlineStr">
        <is>
          <t>SWEPT FROM THE CODE 2026-08-26</t>
        </is>
      </c>
      <c r="H65" t="inlineStr">
        <is>
          <t>ACTIVE</t>
        </is>
      </c>
      <c r="I65" t="inlineStr">
        <is>
          <t>2026-09-14</t>
        </is>
      </c>
      <c r="J65" s="6" t="inlineStr">
        <is>
          <t>TESTED, NOT VERIFIED (Q09) · reach generated from the code each build</t>
        </is>
      </c>
    </row>
    <row r="66">
      <c r="A66" t="inlineStr">
        <is>
          <t>MK-XS-I-065</t>
        </is>
      </c>
      <c r="B66" t="inlineStr">
        <is>
          <t>accrued interest on a bond — interest earned since the last coupon</t>
        </is>
      </c>
      <c r="C66" t="inlineStr">
        <is>
          <t>typed by the person on the Bonds screen (optional)</t>
        </is>
      </c>
      <c r="D66" t="inlineStr">
        <is>
          <t>accrued_interest · accruedInterest · accruedInterestCaveat</t>
        </is>
      </c>
      <c r="E66" t="inlineStr">
        <is>
          <t>1. MK-NW-F-070 accruedInterestCaveat
2. MK-NW-F-056 bondInfo
3. MK-NW-F-059 currentYield</t>
        </is>
      </c>
      <c r="F66" t="inlineStr">
        <is>
          <t>MK-NW-M-023 · MK-NW-M-027 · MK-NW-M-041 · MK-NW-M-042 · MK-NW-M-044 · MK-NW-M-045</t>
        </is>
      </c>
      <c r="G66" t="inlineStr">
        <is>
          <t>SWEPT FROM THE CODE 2026-08-26</t>
        </is>
      </c>
      <c r="H66" t="inlineStr">
        <is>
          <t>ACTIVE</t>
        </is>
      </c>
      <c r="I66" t="inlineStr">
        <is>
          <t>2026-09-11</t>
        </is>
      </c>
      <c r="J66" s="6" t="inlineStr">
        <is>
          <t>TESTED, NOT VERIFIED (A47) · reach generated from the code each build</t>
        </is>
      </c>
    </row>
  </sheetData>
  <autoFilter ref="A1:J6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Networth · Plan</t>
        </is>
      </c>
      <c r="C2" s="3" t="inlineStr">
        <is>
          <t>Yes — where a wrong balance is chased</t>
        </is>
      </c>
      <c r="D2" s="3" t="inlineStr"/>
    </row>
    <row r="3">
      <c r="A3" s="3" t="inlineStr">
        <is>
          <t>/add-account</t>
        </is>
      </c>
      <c r="B3" s="3" t="inlineStr">
        <is>
          <t>Cashflow · Home</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Networth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Home</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Networth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Home</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Networth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Menu</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c r="A2" s="3" t="inlineStr">
        <is>
          <t>MK-XS-I-001</t>
        </is>
      </c>
      <c r="B2" s="3" t="inlineStr">
        <is>
          <t>account balance</t>
        </is>
      </c>
      <c r="C2" s="3" t="inlineStr">
        <is>
          <t>MK-CF-M-022 · MK-MN-M-016 · MK-NW-M-004 · MK-NW-M-005 · MK-NW-M-007 · MK-NW-M-008 · MK-NW-M-014 · MK-NW-M-015 · MK-NW-M-016 · MK-NW-M-017 · MK-NW-M-018 · MK-NW-M-020 · MK-NW-M-026 · MK-NW-M-027 · MK-NW-M-044 · MK-PL-M-016 · MK-PL-M-026 · MK-PL-M-033 · MK-XS-M-001 · MK-XS-M-003</t>
        </is>
      </c>
      <c r="D2" s="3" t="inlineStr">
        <is>
          <t>MK-CF-M-022 · MK-MN-M-016 · MK-MN-M-027 · MK-MN-M-028 · MK-NW-M-004 · MK-NW-M-005 · MK-NW-M-007 · MK-NW-M-008 · MK-NW-M-009 · MK-NW-M-014 · MK-NW-M-016 · MK-NW-M-017 · MK-NW-M-020 · MK-NW-M-023 · MK-NW-M-041 · MK-NW-M-042 · MK-NW-M-045 · MK-PF-M-001 · MK-PF-M-004 · MK-PL-M-001 · MK-PL-M-002 · MK-PL-M-008 · MK-PL-M-009 · MK-PL-M-011 · MK-PL-M-029 · MK-PL-M-034 · MK-XS-M-001 · MK-XS-M-002 · MK-XS-M-003</t>
        </is>
      </c>
      <c r="E2" s="3" t="inlineStr">
        <is>
          <t>PARTLY AGREES — declared but not reached: MK-NW-M-015, MK-NW-M-018, MK-NW-M-026, MK-NW-M-027, MK-NW-M-044, MK-PL-M-016, MK-PL-M-026, MK-PL-M-033  |  reached but not declared: MK-MN-M-027, MK-MN-M-028, MK-NW-M-009, MK-NW-M-023, MK-NW-M-041, MK-NW-M-042, MK-NW-M-045, MK-PF-M-001, MK-PF-M-004, MK-PL-M-001, MK-PL-M-002, MK-PL-M-008, MK-PL-M-009, MK-PL-M-011, MK-PL-M-029, MK-PL-M-034, MK-XS-M-002</t>
        </is>
      </c>
    </row>
    <row r="3">
      <c r="A3" s="3" t="inlineStr">
        <is>
          <t>MK-XS-I-002</t>
        </is>
      </c>
      <c r="B3" s="3" t="inlineStr">
        <is>
          <t>account type (taxable, pre-tax, Roth)</t>
        </is>
      </c>
      <c r="C3" s="3" t="inlineStr">
        <is>
          <t>—</t>
        </is>
      </c>
      <c r="D3" s="3" t="inlineStr">
        <is>
          <t>MK-CF-M-022 · MK-MN-M-016 · MK-MN-M-027 · MK-MN-M-028 · MK-NW-M-004 · MK-NW-M-005 · MK-NW-M-007 · MK-NW-M-008 · MK-NW-M-009 · MK-NW-M-014 · MK-NW-M-016 · MK-NW-M-017 · MK-NW-M-020 · MK-PL-M-001 · MK-PL-M-002 · MK-PL-M-008 · MK-PL-M-009 · MK-PL-M-011 · MK-PL-M-029 · MK-PL-M-034 · MK-XS-M-001 · MK-XS-M-002 · MK-XS-M-003</t>
        </is>
      </c>
      <c r="E3" s="3" t="inlineStr">
        <is>
          <t>REACHED BUT NOT DECLARED — functions reading this input serve these figures, but no figure lists it among its inputs.</t>
        </is>
      </c>
    </row>
    <row r="4">
      <c r="A4" s="3" t="inlineStr">
        <is>
          <t>MK-XS-I-003</t>
        </is>
      </c>
      <c r="B4" s="3" t="inlineStr">
        <is>
          <t>institution name</t>
        </is>
      </c>
      <c r="C4" s="3" t="inlineStr">
        <is>
          <t>—</t>
        </is>
      </c>
      <c r="D4" s="3" t="inlineStr">
        <is>
          <t>MK-MN-M-027 · MK-MN-M-028</t>
        </is>
      </c>
      <c r="E4" s="3" t="inlineStr">
        <is>
          <t>REACHED BUT NOT DECLARED — functions reading this input serve these figures, but no figure lists it among its inputs.</t>
        </is>
      </c>
    </row>
    <row r="5">
      <c r="A5" s="3" t="inlineStr">
        <is>
          <t>MK-XS-I-004</t>
        </is>
      </c>
      <c r="B5" s="3" t="inlineStr">
        <is>
          <t>holding quantity (shares)</t>
        </is>
      </c>
      <c r="C5" s="3" t="inlineStr">
        <is>
          <t>MK-NW-M-008 · MK-NW-M-020 · MK-NW-M-023 · MK-NW-M-030 · MK-NW-M-031 · MK-NW-M-032 · MK-NW-M-033 · MK-NW-M-040 · MK-NW-M-041 · MK-NW-M-042 · MK-NW-M-045 · MK-PF-M-005 · MK-PF-M-006 · MK-PF-M-007</t>
        </is>
      </c>
      <c r="D5"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MK-NW-M-031 · MK-NW-M-032 · MK-NW-M-033 · MK-NW-M-035 · MK-NW-M-036 · MK-NW-M-037 · MK-NW-M-040 · MK-PF-M-001 · MK-PF-M-004 · MK-PF-M-005 · MK-PF-M-006 · MK-PF-M-007 · MK-PF-M-008 · MK-PL-M-001 · MK-PL-M-002 · MK-PL-M-008 · MK-PL-M-009 · MK-PL-M-011 · MK-PL-M-029 · MK-PL-M-034 · MK-XS-M-001 · MK-XS-M-002 · MK-XS-M-003 · MK-XS-M-004 · MK-XS-M-005 · MK-XS-M-006</t>
        </is>
      </c>
      <c r="E5" s="3" t="inlineStr">
        <is>
          <t>PARTLY AGREES — declared but not reached: MK-NW-M-023, MK-NW-M-041, MK-NW-M-042, MK-NW-M-045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MK-MN-M-016, MK-MN-M-024, MK-MN-M-025, MK-MN-M-027, MK-MN-M-028, MK-NW-M-004, MK-NW-M-005, MK-NW-M-007, MK-NW-M-009, MK-NW-M-014, MK-NW-M-016, MK-NW-M-017, MK-NW-M-035, MK-NW-M-036, MK-NW-M-037, MK-PF-M-001, MK-PF-M-004, MK-PF-M-008, MK-PL-M-001, MK-PL-M-002, MK-PL-M-008, MK-PL-M-009, MK-PL-M-011, MK-PL-M-029, MK-PL-M-034, MK-XS-M-001, MK-XS-M-002, MK-XS-M-003, MK-XS-M-004, MK-XS-M-005, MK-XS-M-006</t>
        </is>
      </c>
    </row>
    <row r="6">
      <c r="A6" s="3" t="inlineStr">
        <is>
          <t>MK-XS-I-005</t>
        </is>
      </c>
      <c r="B6" s="3" t="inlineStr">
        <is>
          <t>holding price</t>
        </is>
      </c>
      <c r="C6" s="3" t="inlineStr">
        <is>
          <t>MK-NW-M-030 · MK-NW-M-036 · MK-NW-M-037 · MK-NW-M-040 · MK-PF-M-005 · MK-PF-M-006 · MK-PF-M-007</t>
        </is>
      </c>
      <c r="D6" s="3" t="inlineStr">
        <is>
          <t>MK-CF-M-022 · MK-MN-M-016 · MK-NW-M-004 · MK-NW-M-005 · MK-NW-M-007 · MK-NW-M-008 · MK-NW-M-009 · MK-NW-M-014 · MK-NW-M-016 · MK-NW-M-017 · MK-NW-M-020 · MK-PF-M-001 · MK-PF-M-004 · MK-PF-M-005 · MK-PF-M-006 · MK-PF-M-007 · MK-PF-M-010 · MK-PF-M-011 · MK-PF-M-012 · MK-PL-M-001 · MK-PL-M-002 · MK-PL-M-008 · MK-PL-M-009 · MK-PL-M-011 · MK-PL-M-029 · MK-PL-M-034 · MK-XS-M-001 · MK-XS-M-002 · MK-XS-M-003</t>
        </is>
      </c>
      <c r="E6" s="3" t="inlineStr">
        <is>
          <t>PARTLY AGREES — declared but not reached: MK-NW-M-030, MK-NW-M-036, MK-NW-M-037, MK-NW-M-040  |  reached but not declared: MK-CF-M-022, MK-MN-M-016, MK-NW-M-004, MK-NW-M-005, MK-NW-M-007, MK-NW-M-008, MK-NW-M-009, MK-NW-M-014, MK-NW-M-016, MK-NW-M-017, MK-NW-M-020, MK-PF-M-001, MK-PF-M-004, MK-PF-M-010, MK-PF-M-011, MK-PF-M-012, MK-PL-M-001, MK-PL-M-002, MK-PL-M-008, MK-PL-M-009, MK-PL-M-011, MK-PL-M-029, MK-PL-M-034, MK-XS-M-001, MK-XS-M-002, MK-XS-M-003</t>
        </is>
      </c>
    </row>
    <row r="7">
      <c r="A7" s="3" t="inlineStr">
        <is>
          <t>MK-XS-I-006</t>
        </is>
      </c>
      <c r="B7" s="3" t="inlineStr">
        <is>
          <t>price fetched at</t>
        </is>
      </c>
      <c r="C7" s="3" t="inlineStr">
        <is>
          <t>MK-HM-M-001</t>
        </is>
      </c>
      <c r="D7" s="3" t="inlineStr">
        <is>
          <t>MK-HM-M-001 · MK-NW-M-004 · MK-NW-M-009 · MK-NW-M-016 · MK-NW-M-017 · MK-XS-M-001</t>
        </is>
      </c>
      <c r="E7" s="3" t="inlineStr">
        <is>
          <t>PARTLY AGREES — reached but not declared: MK-NW-M-004, MK-NW-M-009, MK-NW-M-016, MK-NW-M-017, MK-XS-M-001</t>
        </is>
      </c>
    </row>
    <row r="8">
      <c r="A8" s="3" t="inlineStr">
        <is>
          <t>MK-XS-I-007</t>
        </is>
      </c>
      <c r="B8" s="3" t="inlineStr">
        <is>
          <t>purchase price and date (per lot)</t>
        </is>
      </c>
      <c r="C8" s="3" t="inlineStr">
        <is>
          <t>MK-NW-M-031 · MK-NW-M-032 · MK-NW-M-033 · MK-NW-M-036 · MK-NW-M-037</t>
        </is>
      </c>
      <c r="D8" s="3" t="inlineStr">
        <is>
          <t>MK-CF-M-022 · MK-MN-M-016 · MK-NW-M-004 · MK-NW-M-005 · MK-NW-M-007 · MK-NW-M-008 · MK-NW-M-009 · MK-NW-M-014 · MK-NW-M-016 · MK-NW-M-017 · MK-NW-M-020 · MK-NW-M-032 · MK-NW-M-033 · MK-NW-M-036 · MK-NW-M-037 · MK-PF-M-001 · MK-PF-M-004 · MK-PF-M-005 · MK-PF-M-006 · MK-PF-M-007 · MK-PL-M-001 · MK-PL-M-002 · MK-PL-M-008 · MK-PL-M-009 · MK-PL-M-011 · MK-PL-M-029 · MK-PL-M-034 · MK-XS-M-001 · MK-XS-M-002 · MK-XS-M-003</t>
        </is>
      </c>
      <c r="E8" s="3" t="inlineStr">
        <is>
          <t>PARTLY AGREES — declared but not reached: MK-NW-M-031  |  reached but not declared: MK-CF-M-022, MK-MN-M-016, MK-NW-M-004, MK-NW-M-005, MK-NW-M-007, MK-NW-M-008, MK-NW-M-009, MK-NW-M-014, MK-NW-M-016, MK-NW-M-017, MK-NW-M-020, MK-PF-M-001, MK-PF-M-004, MK-PF-M-005, MK-PF-M-006, MK-PF-M-007, MK-PL-M-001, MK-PL-M-002, MK-PL-M-008, MK-PL-M-009, MK-PL-M-011, MK-PL-M-029, MK-PL-M-034, MK-XS-M-001, MK-XS-M-002, MK-XS-M-003</t>
        </is>
      </c>
    </row>
    <row r="9">
      <c r="A9" s="3" t="inlineStr">
        <is>
          <t>MK-XS-I-008</t>
        </is>
      </c>
      <c r="B9" s="3" t="inlineStr">
        <is>
          <t>transaction amount</t>
        </is>
      </c>
      <c r="C9" s="3" t="inlineStr">
        <is>
          <t>MK-CF-M-011 · MK-CF-M-024 · MK-NW-M-035 · MK-PF-M-010 · MK-PF-M-011 · MK-PF-M-012 · MK-PL-M-017 · MK-PL-M-018 · MK-PL-M-019 · MK-PL-M-032</t>
        </is>
      </c>
      <c r="D9" s="3" t="inlineStr">
        <is>
          <t>MK-NW-M-004 · MK-NW-M-009 · MK-NW-M-016 · MK-NW-M-017 · MK-XS-M-001</t>
        </is>
      </c>
      <c r="E9" s="3" t="inlineStr">
        <is>
          <t>PARTLY AGREES — declared but not reached: MK-CF-M-011, MK-CF-M-024, MK-NW-M-035, MK-PF-M-010, MK-PF-M-011, MK-PF-M-012, MK-PL-M-017, MK-PL-M-018, MK-PL-M-019, MK-PL-M-032  |  reached but not declared: MK-NW-M-004, MK-NW-M-009, MK-NW-M-016, MK-NW-M-017, MK-XS-M-001</t>
        </is>
      </c>
    </row>
    <row r="10">
      <c r="A10" s="3" t="inlineStr">
        <is>
          <t>MK-XS-I-009</t>
        </is>
      </c>
      <c r="B10" s="3" t="inlineStr">
        <is>
          <t>transaction date</t>
        </is>
      </c>
      <c r="C10" s="3" t="inlineStr">
        <is>
          <t>—</t>
        </is>
      </c>
      <c r="D10" s="3" t="inlineStr">
        <is>
          <t>MK-NW-M-004 · MK-NW-M-009 · MK-NW-M-016 · MK-NW-M-017 · MK-NW-M-035 · MK-XS-M-001</t>
        </is>
      </c>
      <c r="E10" s="3" t="inlineStr">
        <is>
          <t>REACHED BUT NOT DECLARED — functions reading this input serve these figures, but no figure lists it among its inputs.</t>
        </is>
      </c>
    </row>
    <row r="11">
      <c r="A11" s="3" t="inlineStr">
        <is>
          <t>MK-XS-I-010</t>
        </is>
      </c>
      <c r="B11" s="3" t="inlineStr">
        <is>
          <t>transaction words (the institution's own wording)</t>
        </is>
      </c>
      <c r="C11" s="3" t="inlineStr">
        <is>
          <t>—</t>
        </is>
      </c>
      <c r="D11" s="3" t="inlineStr">
        <is>
          <t>MK-MN-M-016 · MK-NW-M-004 · MK-NW-M-005 · MK-NW-M-007 · MK-NW-M-008 · MK-NW-M-009 · MK-NW-M-014 · MK-NW-M-016 · MK-NW-M-017 · MK-NW-M-020 · MK-XS-M-001</t>
        </is>
      </c>
      <c r="E11" s="3" t="inlineStr">
        <is>
          <t>REACHED BUT NOT DECLARED — functions reading this input serve these figures, but no figure lists it among its inputs.</t>
        </is>
      </c>
    </row>
    <row r="12">
      <c r="A12" s="3" t="inlineStr">
        <is>
          <t>MK-XS-I-011</t>
        </is>
      </c>
      <c r="B12" s="3" t="inlineStr">
        <is>
          <t>bond face value</t>
        </is>
      </c>
      <c r="C12" s="3" t="inlineStr">
        <is>
          <t>MK-NW-M-024 · MK-NW-M-026 · MK-NW-M-043 · MK-NW-M-045</t>
        </is>
      </c>
      <c r="D12" s="3" t="inlineStr">
        <is>
          <t>MK-NW-M-023 · MK-NW-M-024 · MK-NW-M-026 · MK-NW-M-027 · MK-NW-M-028 · MK-NW-M-041 · MK-NW-M-042 · MK-NW-M-043 · MK-NW-M-044 · MK-NW-M-045</t>
        </is>
      </c>
      <c r="E12" s="3" t="inlineStr">
        <is>
          <t>PARTLY AGREES — reached but not declared: MK-NW-M-023, MK-NW-M-027, MK-NW-M-028, MK-NW-M-041, MK-NW-M-042, MK-NW-M-044</t>
        </is>
      </c>
    </row>
    <row r="13">
      <c r="A13" s="3" t="inlineStr">
        <is>
          <t>MK-XS-I-012</t>
        </is>
      </c>
      <c r="B13" s="3" t="inlineStr">
        <is>
          <t>bond coupon rate</t>
        </is>
      </c>
      <c r="C13" s="3" t="inlineStr">
        <is>
          <t>MK-NW-M-024 · MK-NW-M-026 · MK-NW-M-027 · MK-NW-M-043 · MK-NW-M-044 · MK-NW-M-045</t>
        </is>
      </c>
      <c r="D13" s="3" t="inlineStr">
        <is>
          <t>MK-NW-M-023 · MK-NW-M-024 · MK-NW-M-026 · MK-NW-M-027 · MK-NW-M-028 · MK-NW-M-041 · MK-NW-M-042 · MK-NW-M-043 · MK-NW-M-044 · MK-NW-M-045</t>
        </is>
      </c>
      <c r="E13" s="3" t="inlineStr">
        <is>
          <t>PARTLY AGREES — reached but not declared: MK-NW-M-023, MK-NW-M-028, MK-NW-M-041, MK-NW-M-042</t>
        </is>
      </c>
    </row>
    <row r="14">
      <c r="A14" s="3" t="inlineStr">
        <is>
          <t>MK-XS-I-013</t>
        </is>
      </c>
      <c r="B14" s="3" t="inlineStr">
        <is>
          <t>bond maturity date</t>
        </is>
      </c>
      <c r="C14" s="3" t="inlineStr">
        <is>
          <t>MK-NW-M-025 · MK-NW-M-026</t>
        </is>
      </c>
      <c r="D14" s="3" t="inlineStr">
        <is>
          <t>MK-CF-M-022 · MK-MN-M-016 · MK-NW-M-004 · MK-NW-M-005 · MK-NW-M-007 · MK-NW-M-008 · MK-NW-M-009 · MK-NW-M-014 · MK-NW-M-016 · MK-NW-M-017 · MK-NW-M-020 · MK-NW-M-023 · MK-NW-M-025 · MK-NW-M-026 · MK-NW-M-028 · MK-NW-M-041 · MK-NW-M-042 · MK-NW-M-045 · MK-PL-M-001 · MK-PL-M-002 · MK-PL-M-008 · MK-PL-M-009 · MK-PL-M-011 · MK-PL-M-029 · MK-PL-M-034 · MK-XS-M-001 · MK-XS-M-002 · MK-XS-M-003</t>
        </is>
      </c>
      <c r="E14" s="3" t="inlineStr">
        <is>
          <t>PARTLY AGREES — reached but not declared: MK-CF-M-022, MK-MN-M-016, MK-NW-M-004, MK-NW-M-005, MK-NW-M-007, MK-NW-M-008, MK-NW-M-009, MK-NW-M-014, MK-NW-M-016, MK-NW-M-017, MK-NW-M-020, MK-NW-M-023, MK-NW-M-028, MK-NW-M-041, MK-NW-M-042, MK-NW-M-045, MK-PL-M-001, MK-PL-M-002, MK-PL-M-008, MK-PL-M-009, MK-PL-M-011, MK-PL-M-029, MK-PL-M-034, MK-XS-M-001, MK-XS-M-002, MK-XS-M-003</t>
        </is>
      </c>
    </row>
    <row r="15">
      <c r="A15" s="3" t="inlineStr">
        <is>
          <t>MK-XS-I-014</t>
        </is>
      </c>
      <c r="B15" s="3" t="inlineStr">
        <is>
          <t>debt balance</t>
        </is>
      </c>
      <c r="C15" s="3" t="inlineStr">
        <is>
          <t>MK-NW-M-009 · MK-NW-M-010 · MK-NW-M-012 · MK-NW-M-016 · MK-NW-M-017 · MK-XS-M-001</t>
        </is>
      </c>
      <c r="D15" s="3" t="inlineStr">
        <is>
          <t>MK-CF-M-022 · MK-NW-M-004 · MK-NW-M-009 · MK-NW-M-016 · MK-NW-M-017 · MK-PL-M-031 · MK-XS-M-001</t>
        </is>
      </c>
      <c r="E15" s="3" t="inlineStr">
        <is>
          <t>PARTLY AGREES — declared but not reached: MK-NW-M-010, MK-NW-M-012  |  reached but not declared: MK-CF-M-022, MK-NW-M-004, MK-PL-M-031</t>
        </is>
      </c>
    </row>
    <row r="16">
      <c r="A16" s="3" t="inlineStr">
        <is>
          <t>MK-XS-I-015</t>
        </is>
      </c>
      <c r="B16" s="3" t="inlineStr">
        <is>
          <t>debt interest rate</t>
        </is>
      </c>
      <c r="C16" s="3" t="inlineStr">
        <is>
          <t>MK-NW-M-009 · MK-NW-M-010 · MK-NW-M-012 · MK-NW-M-017</t>
        </is>
      </c>
      <c r="D16" s="3" t="inlineStr">
        <is>
          <t>MK-NW-M-004 · MK-NW-M-009 · MK-NW-M-016 · MK-NW-M-017 · MK-PL-M-031 · MK-XS-M-001</t>
        </is>
      </c>
      <c r="E16" s="3" t="inlineStr">
        <is>
          <t>PARTLY AGREES — declared but not reached: MK-NW-M-010, MK-NW-M-012  |  reached but not declared: MK-NW-M-004, MK-NW-M-016, MK-PL-M-031, MK-XS-M-001</t>
        </is>
      </c>
    </row>
    <row r="17">
      <c r="A17" s="3" t="inlineStr">
        <is>
          <t>MK-XS-I-016</t>
        </is>
      </c>
      <c r="B17" s="3" t="inlineStr">
        <is>
          <t>debt minimum payment</t>
        </is>
      </c>
      <c r="C17" s="3" t="inlineStr">
        <is>
          <t>MK-CF-M-019 · MK-NW-M-009 · MK-NW-M-010 · MK-NW-M-011 · MK-NW-M-012 · MK-NW-M-017</t>
        </is>
      </c>
      <c r="D17" s="3" t="inlineStr">
        <is>
          <t>MK-CF-M-019 · MK-CF-M-022 · MK-CF-M-047 · MK-CF-M-048 · MK-CF-M-049 · MK-CF-M-050 · MK-CF-M-051 · MK-CF-M-052 · MK-CF-M-053 · MK-CF-M-054 · MK-NW-M-001 · MK-NW-M-003 · MK-NW-M-004 · MK-NW-M-009 · MK-NW-M-011 · MK-NW-M-012 · MK-NW-M-016 · MK-NW-M-017 · MK-PL-M-031 · MK-XS-M-001</t>
        </is>
      </c>
      <c r="E17" s="3" t="inlineStr">
        <is>
          <t>PARTLY AGREES — declared but not reached: MK-NW-M-010  |  reached but not declared: MK-CF-M-022, MK-CF-M-047, MK-CF-M-048, MK-CF-M-049, MK-CF-M-050, MK-CF-M-051, MK-CF-M-052, MK-CF-M-053, MK-CF-M-054, MK-NW-M-001, MK-NW-M-003, MK-NW-M-004, MK-NW-M-016, MK-PL-M-031, MK-XS-M-001</t>
        </is>
      </c>
    </row>
    <row r="18">
      <c r="A18" s="3" t="inlineStr">
        <is>
          <t>MK-XS-I-017</t>
        </is>
      </c>
      <c r="B18" s="3" t="inlineStr">
        <is>
          <t>birth year</t>
        </is>
      </c>
      <c r="C18" s="3" t="inlineStr">
        <is>
          <t>MK-PL-M-001 · MK-PL-M-002 · MK-PL-M-008 · MK-PL-M-011 · MK-PL-M-017 · MK-PL-M-019 · MK-PL-M-029</t>
        </is>
      </c>
      <c r="D18"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MK-PL-M-001 · MK-PL-M-002 · MK-PL-M-008 · MK-PL-M-011 · MK-PL-M-017 · MK-PL-M-019 · MK-PL-M-026 · MK-PL-M-029 · MK-PL-M-033 · MK-PL-M-034 · MK-XS-M-001 · MK-XS-M-002 · MK-XS-M-005 · MK-XS-M-006</t>
        </is>
      </c>
      <c r="E18"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MK-NW-M-015, MK-NW-M-016, MK-NW-M-017, MK-PL-M-026, MK-PL-M-033, MK-PL-M-034, MK-XS-M-001, MK-XS-M-002, MK-XS-M-005, MK-XS-M-006</t>
        </is>
      </c>
    </row>
    <row r="19">
      <c r="A19" s="3" t="inlineStr">
        <is>
          <t>MK-XS-I-018</t>
        </is>
      </c>
      <c r="B19" s="3" t="inlineStr">
        <is>
          <t>retirement age</t>
        </is>
      </c>
      <c r="C19" s="3" t="inlineStr">
        <is>
          <t>MK-PL-M-017 · MK-PL-M-019</t>
        </is>
      </c>
      <c r="D19" s="3" t="inlineStr">
        <is>
          <t>MK-CF-M-022 · MK-NW-M-004 · MK-NW-M-009 · MK-NW-M-015 · MK-NW-M-016 · MK-NW-M-017 · MK-PL-M-008 · MK-PL-M-009 · MK-PL-M-011 · MK-PL-M-026 · MK-PL-M-029 · MK-PL-M-033 · MK-PL-M-034 · MK-XS-M-001 · MK-XS-M-002</t>
        </is>
      </c>
      <c r="E19" s="3" t="inlineStr">
        <is>
          <t>PARTLY AGREES — declared but not reached: MK-PL-M-017, MK-PL-M-019  |  reached but not declared: MK-CF-M-022, MK-NW-M-004, MK-NW-M-009, MK-NW-M-015, MK-NW-M-016, MK-NW-M-017, MK-PL-M-008, MK-PL-M-009, MK-PL-M-011, MK-PL-M-026, MK-PL-M-029, MK-PL-M-033, MK-PL-M-034, MK-XS-M-001, MK-XS-M-002</t>
        </is>
      </c>
    </row>
    <row r="20">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c r="A21" s="3" t="inlineStr">
        <is>
          <t>MK-XS-I-020</t>
        </is>
      </c>
      <c r="B21" s="3" t="inlineStr">
        <is>
          <t>Social Security monthly amount</t>
        </is>
      </c>
      <c r="C21" s="3" t="inlineStr">
        <is>
          <t>MK-CF-M-023 · MK-PL-M-017 · MK-PL-M-019</t>
        </is>
      </c>
      <c r="D21"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MK-PL-M-017 · MK-PL-M-018 · MK-PL-M-019 · MK-PL-M-029 · MK-PL-M-032 · MK-PL-M-034 · MK-XS-M-001 · MK-XS-M-002 · MK-XS-M-005 · MK-XS-M-006</t>
        </is>
      </c>
      <c r="E21"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22">
      <c r="A22" s="3" t="inlineStr">
        <is>
          <t>MK-XS-I-021</t>
        </is>
      </c>
      <c r="B22" s="3" t="inlineStr">
        <is>
          <t>Social Security claim age</t>
        </is>
      </c>
      <c r="C22" s="3" t="inlineStr">
        <is>
          <t>MK-CF-M-030 · MK-PL-M-017 · MK-PL-M-019</t>
        </is>
      </c>
      <c r="D22" s="3" t="inlineStr">
        <is>
          <t>MK-NW-M-004 · MK-NW-M-009 · MK-NW-M-016 · MK-NW-M-017 · MK-PL-M-008 · MK-PL-M-011 · MK-PL-M-017 · MK-PL-M-019 · MK-PL-M-029 · MK-PL-M-034 · MK-XS-M-001 · MK-XS-M-002</t>
        </is>
      </c>
      <c r="E22" s="3" t="inlineStr">
        <is>
          <t>PARTLY AGREES — declared but not reached: MK-CF-M-030  |  reached but not declared: MK-NW-M-004, MK-NW-M-009, MK-NW-M-016, MK-NW-M-017, MK-PL-M-008, MK-PL-M-011, MK-PL-M-029, MK-PL-M-034, MK-XS-M-001, MK-XS-M-002</t>
        </is>
      </c>
    </row>
    <row r="23">
      <c r="A23" s="3" t="inlineStr">
        <is>
          <t>MK-XS-I-022</t>
        </is>
      </c>
      <c r="B23" s="3" t="inlineStr">
        <is>
          <t>pension monthly amount</t>
        </is>
      </c>
      <c r="C23" s="3" t="inlineStr">
        <is>
          <t>MK-CF-M-023</t>
        </is>
      </c>
      <c r="D23"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E23"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MK-PL-M-009, MK-PL-M-011, MK-PL-M-018, MK-PL-M-029, MK-PL-M-032, MK-PL-M-034, MK-XS-M-001, MK-XS-M-002, MK-XS-M-005, MK-XS-M-006</t>
        </is>
      </c>
    </row>
    <row r="24">
      <c r="A24" s="3" t="inlineStr">
        <is>
          <t>MK-XS-I-023</t>
        </is>
      </c>
      <c r="B24" s="3" t="inlineStr">
        <is>
          <t>salary and other income</t>
        </is>
      </c>
      <c r="C24" s="3" t="inlineStr">
        <is>
          <t>MK-CF-M-010 · MK-MN-M-027 · MK-MN-M-028</t>
        </is>
      </c>
      <c r="D24"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MK-PL-M-008 · MK-PL-M-011 · MK-PL-M-029 · MK-PL-M-034 · MK-XS-M-002 · MK-XS-M-005 · MK-XS-M-006</t>
        </is>
      </c>
      <c r="E24" s="3" t="inlineStr">
        <is>
          <t>PARTLY AGREES — declared but not reached: MK-CF-M-010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MK-MN-M-014, MK-MN-M-024, MK-MN-M-025, MK-PL-M-008, MK-PL-M-011, MK-PL-M-029, MK-PL-M-034, MK-XS-M-002, MK-XS-M-005, MK-XS-M-006</t>
        </is>
      </c>
    </row>
    <row r="25">
      <c r="A25" s="3" t="inlineStr">
        <is>
          <t>MK-XS-I-024</t>
        </is>
      </c>
      <c r="B25" s="3" t="inlineStr">
        <is>
          <t>logged expenses</t>
        </is>
      </c>
      <c r="C25" s="3" t="inlineStr">
        <is>
          <t>MK-CF-M-015 · MK-CF-M-032 · MK-CF-M-033 · MK-CF-M-043 · MK-CF-M-044 · MK-MN-M-007 · MK-MN-M-026 · MK-NW-M-014 · MK-PL-M-001 · MK-PL-M-002 · MK-PL-M-008 · MK-PL-M-009 · MK-PL-M-011 · MK-PL-M-029</t>
        </is>
      </c>
      <c r="D25" s="3" t="inlineStr">
        <is>
          <t>MK-CF-M-006 · MK-CF-M-007 · MK-CF-M-008 · MK-CF-M-010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MK-MN-M-020 · MK-MN-M-021 · MK-MN-M-024 · MK-MN-M-025 · MK-MN-M-026 · MK-MN-M-027 · MK-MN-M-028 · MK-NW-M-001 · MK-NW-M-003 · MK-NW-M-004 · MK-NW-M-009 · MK-NW-M-013 · MK-NW-M-014 · MK-NW-M-016 · MK-NW-M-017 · MK-NW-M-035 · MK-PL-M-008 · MK-PL-M-011 · MK-PL-M-029 · MK-PL-M-034 · MK-XS-M-001 · MK-XS-M-002 · MK-XS-M-005 · MK-XS-M-006</t>
        </is>
      </c>
      <c r="E25" s="3" t="inlineStr">
        <is>
          <t>PARTLY AGREES — declared but not reached: MK-PL-M-001, MK-PL-M-002, MK-PL-M-009  |  reached but not declared: MK-CF-M-006, MK-CF-M-007, MK-CF-M-008, MK-CF-M-010, MK-CF-M-013, MK-CF-M-014, MK-CF-M-018, MK-CF-M-019, MK-CF-M-022, MK-CF-M-027, MK-CF-M-029, MK-CF-M-030, MK-CF-M-031, MK-CF-M-034, MK-CF-M-035, MK-CF-M-036, MK-CF-M-037, MK-CF-M-038, MK-CF-M-039, MK-CF-M-040, MK-CF-M-041, MK-CF-M-042, MK-CF-M-045, MK-CF-M-046, MK-CF-M-047, MK-CF-M-048, MK-CF-M-049, MK-CF-M-050, MK-CF-M-051, MK-CF-M-052, MK-CF-M-053, MK-CF-M-054, MK-MN-M-011, MK-MN-M-012, MK-MN-M-013, MK-MN-M-020, MK-MN-M-021, MK-MN-M-024, MK-MN-M-025, MK-MN-M-027, MK-MN-M-028, MK-NW-M-001, MK-NW-M-003, MK-NW-M-004, MK-NW-M-009, MK-NW-M-013, MK-NW-M-016, MK-NW-M-017, MK-NW-M-035, MK-PL-M-034, MK-XS-M-001, MK-XS-M-002, MK-XS-M-005, MK-XS-M-006</t>
        </is>
      </c>
    </row>
    <row r="26">
      <c r="A26" s="3" t="inlineStr">
        <is>
          <t>MK-XS-I-025</t>
        </is>
      </c>
      <c r="B26" s="3" t="inlineStr">
        <is>
          <t>typical monthly essentials</t>
        </is>
      </c>
      <c r="C26" s="3" t="inlineStr">
        <is>
          <t>MK-CF-M-033</t>
        </is>
      </c>
      <c r="D26" s="3" t="inlineStr">
        <is>
          <t>MK-MN-M-024 · MK-MN-M-025</t>
        </is>
      </c>
      <c r="E26" s="3" t="inlineStr">
        <is>
          <t>PARTLY AGREES — declared but not reached: MK-CF-M-033  |  reached but not declared: MK-MN-M-024, MK-MN-M-025</t>
        </is>
      </c>
    </row>
    <row r="27">
      <c r="A27" s="3" t="inlineStr">
        <is>
          <t>MK-XS-I-026</t>
        </is>
      </c>
      <c r="B27" s="3" t="inlineStr">
        <is>
          <t>big costs (amount and year)</t>
        </is>
      </c>
      <c r="C27" s="3" t="inlineStr">
        <is>
          <t>—</t>
        </is>
      </c>
      <c r="D27" s="3" t="inlineStr">
        <is>
          <t>MK-CF-M-022 · MK-NW-M-004 · MK-NW-M-009 · MK-NW-M-016 · MK-NW-M-017 · MK-PL-M-008 · MK-PL-M-011 · MK-PL-M-029 · MK-PL-M-034 · MK-XS-M-001 · MK-XS-M-002</t>
        </is>
      </c>
      <c r="E27" s="3" t="inlineStr">
        <is>
          <t>REACHED BUT NOT DECLARED — functions reading this input serve these figures, but no figure lists it among its inputs.</t>
        </is>
      </c>
    </row>
    <row r="28">
      <c r="A28" s="3" t="inlineStr">
        <is>
          <t>MK-XS-I-027</t>
        </is>
      </c>
      <c r="B28" s="3" t="inlineStr">
        <is>
          <t>goals (target, saved, date)</t>
        </is>
      </c>
      <c r="C28" s="3" t="inlineStr">
        <is>
          <t>—</t>
        </is>
      </c>
      <c r="D28" s="3" t="inlineStr">
        <is>
          <t>MK-CF-M-006 · MK-CF-M-007 · MK-CF-M-008 · MK-CF-M-013 · MK-CF-M-014 · MK-CF-M-015 · MK-CF-M-018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MK-MN-M-009 · MK-MN-M-011 · MK-MN-M-012 · MK-MN-M-013 · MK-MN-M-024 · MK-MN-M-025 · MK-NW-M-004 · MK-NW-M-009 · MK-NW-M-016 · MK-NW-M-017 · MK-XS-M-001 · MK-XS-M-005 · MK-XS-M-006</t>
        </is>
      </c>
      <c r="E28" s="3" t="inlineStr">
        <is>
          <t>REACHED BUT NOT DECLARED — functions reading this input serve these figures, but no figure lists it among its inputs.</t>
        </is>
      </c>
    </row>
    <row r="29">
      <c r="A29" s="3" t="inlineStr">
        <is>
          <t>MK-XS-I-028</t>
        </is>
      </c>
      <c r="B29" s="3" t="inlineStr">
        <is>
          <t>assumed return</t>
        </is>
      </c>
      <c r="C29" s="3" t="inlineStr">
        <is>
          <t>MK-NW-M-004</t>
        </is>
      </c>
      <c r="D29" s="3" t="inlineStr">
        <is>
          <t>MK-CF-M-022 · MK-NW-M-004 · MK-NW-M-009 · MK-NW-M-015 · MK-NW-M-016 · MK-NW-M-017 · MK-PL-M-008 · MK-PL-M-009 · MK-PL-M-011 · MK-PL-M-026 · MK-PL-M-029 · MK-PL-M-033 · MK-PL-M-034 · MK-XS-M-001 · MK-XS-M-002</t>
        </is>
      </c>
      <c r="E29" s="3" t="inlineStr">
        <is>
          <t>PARTLY AGREES — reached but not declared: MK-CF-M-022, MK-NW-M-009, MK-NW-M-015, MK-NW-M-016, MK-NW-M-017, MK-PL-M-008, MK-PL-M-009, MK-PL-M-011, MK-PL-M-026, MK-PL-M-029, MK-PL-M-033, MK-PL-M-034, MK-XS-M-001, MK-XS-M-002</t>
        </is>
      </c>
    </row>
    <row r="30">
      <c r="A30" s="3" t="inlineStr">
        <is>
          <t>MK-XS-I-029</t>
        </is>
      </c>
      <c r="B30" s="3" t="inlineStr">
        <is>
          <t>inflation rate</t>
        </is>
      </c>
      <c r="C30" s="3" t="inlineStr">
        <is>
          <t>—</t>
        </is>
      </c>
      <c r="D30" s="3" t="inlineStr">
        <is>
          <t>MK-CF-M-022 · MK-NW-M-004 · MK-NW-M-009 · MK-NW-M-015 · MK-NW-M-016 · MK-NW-M-017 · MK-PL-M-008 · MK-PL-M-009 · MK-PL-M-011 · MK-PL-M-026 · MK-PL-M-029 · MK-PL-M-033 · MK-PL-M-034 · MK-XS-M-001 · MK-XS-M-002</t>
        </is>
      </c>
      <c r="E30" s="3" t="inlineStr">
        <is>
          <t>REACHED BUT NOT DECLARED — functions reading this input serve these figures, but no figure lists it among its inputs.</t>
        </is>
      </c>
    </row>
    <row r="31">
      <c r="A31" s="3" t="inlineStr">
        <is>
          <t>MK-XS-I-030</t>
        </is>
      </c>
      <c r="B31" s="3" t="inlineStr">
        <is>
          <t>tax filing status and age</t>
        </is>
      </c>
      <c r="C31" s="3" t="inlineStr">
        <is>
          <t>MK-CF-M-015 · MK-MN-M-007 · MK-MN-M-026 · MK-MN-M-027 · MK-MN-M-028 · MK-NW-M-014</t>
        </is>
      </c>
      <c r="D31"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E31" s="3" t="inlineStr">
        <is>
          <t>PARTLY AGREES — declared but not reached: MK-MN-M-026, MK-NW-M-014  |  reached but not declared: MK-CF-M-006, MK-CF-M-007, MK-CF-M-008, MK-CF-M-013, MK-CF-M-014, MK-CF-M-018, MK-CF-M-019, MK-CF-M-022, MK-CF-M-027, MK-CF-M-029, MK-CF-M-030, MK-CF-M-031, MK-CF-M-032, MK-CF-M-033, MK-CF-M-034, MK-CF-M-035, MK-CF-M-036, MK-CF-M-037, MK-CF-M-038, MK-CF-M-039, MK-CF-M-040, MK-CF-M-041, MK-CF-M-042, MK-CF-M-043, MK-CF-M-044, MK-CF-M-045, MK-CF-M-046, MK-CF-M-047, MK-CF-M-048, MK-CF-M-049, MK-CF-M-050, MK-CF-M-051, MK-CF-M-052, MK-CF-M-053, MK-CF-M-054, MK-MN-M-011, MK-MN-M-012, MK-MN-M-013, MK-MN-M-024, MK-MN-M-025, MK-NW-M-004, MK-NW-M-009, MK-NW-M-016, MK-NW-M-017, MK-PL-M-008, MK-PL-M-011, MK-PL-M-029, MK-PL-M-034, MK-XS-M-001, MK-XS-M-002, MK-XS-M-005, MK-XS-M-006</t>
        </is>
      </c>
    </row>
    <row r="32">
      <c r="A32" s="3" t="inlineStr">
        <is>
          <t>MK-XS-I-031</t>
        </is>
      </c>
      <c r="B32" s="3" t="inlineStr">
        <is>
          <t>daily and monthly snapshots</t>
        </is>
      </c>
      <c r="C32" s="3" t="inlineStr">
        <is>
          <t>MK-NW-M-001 · MK-NW-M-002 · MK-NW-M-003 · MK-PF-M-001 · MK-PF-M-002 · MK-PF-M-003 · MK-PF-M-004</t>
        </is>
      </c>
      <c r="D32"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MK-NW-M-001 · MK-NW-M-003 · MK-NW-M-004 · MK-NW-M-009 · MK-NW-M-016 · MK-NW-M-017 · MK-PF-M-001 · MK-PF-M-004 · MK-PL-M-008 · MK-PL-M-011 · MK-PL-M-029 · MK-PL-M-034 · MK-XS-M-001 · MK-XS-M-002 · MK-XS-M-005 · MK-XS-M-006</t>
        </is>
      </c>
      <c r="E32" s="3" t="inlineStr">
        <is>
          <t>PARTLY AGREES — declared but not reached: MK-NW-M-002, MK-PF-M-002, MK-PF-M-003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MK-PL-M-029, MK-PL-M-034, MK-XS-M-001, MK-XS-M-002, MK-XS-M-005, MK-XS-M-006</t>
        </is>
      </c>
    </row>
    <row r="33">
      <c r="A33" s="3" t="inlineStr">
        <is>
          <t>MK-XS-I-032</t>
        </is>
      </c>
      <c r="B33" s="3" t="inlineStr">
        <is>
          <t>expenses categories the person set up</t>
        </is>
      </c>
      <c r="C33" s="3" t="inlineStr">
        <is>
          <t>MK-CF-M-013 · MK-CF-M-014 · MK-CF-M-015 · MK-CF-M-019 · MK-MN-M-007 · MK-MN-M-021 · MK-MN-M-026 · MK-NW-M-014</t>
        </is>
      </c>
      <c r="D33" s="3" t="inlineStr">
        <is>
          <t>MK-CF-M-013 · MK-CF-M-014 · MK-CF-M-015 · MK-CF-M-019 · MK-CF-M-022 · MK-CF-M-047 · MK-CF-M-048 · MK-CF-M-049 · MK-CF-M-050 · MK-CF-M-051 · MK-CF-M-052 · MK-CF-M-053 · MK-CF-M-054 · MK-MN-M-007 · MK-MN-M-010 · MK-MN-M-024 · MK-MN-M-025 · MK-XS-M-005</t>
        </is>
      </c>
      <c r="E33" s="3" t="inlineStr">
        <is>
          <t>PARTLY AGREES — declared but not reached: MK-MN-M-021, MK-MN-M-026, MK-NW-M-014  |  reached but not declared: MK-CF-M-022, MK-CF-M-047, MK-CF-M-048, MK-CF-M-049, MK-CF-M-050, MK-CF-M-051, MK-CF-M-052, MK-CF-M-053, MK-CF-M-054, MK-MN-M-010, MK-MN-M-024, MK-MN-M-025, MK-XS-M-005</t>
        </is>
      </c>
    </row>
    <row r="34">
      <c r="A34" s="3" t="inlineStr">
        <is>
          <t>MK-XS-I-033</t>
        </is>
      </c>
      <c r="B34" s="3" t="inlineStr">
        <is>
          <t>the date a hand-typed value was set</t>
        </is>
      </c>
      <c r="C34" s="3" t="inlineStr">
        <is>
          <t>MK-NW-M-018 · MK-PL-M-016</t>
        </is>
      </c>
      <c r="D34" s="3" t="inlineStr">
        <is>
          <t>—</t>
        </is>
      </c>
      <c r="E34" s="3" t="inlineStr">
        <is>
          <t>DECLARED BUT NOT REACHED — figures name this input, but no function that reads it serves any of them. Unproved in one direction.</t>
        </is>
      </c>
    </row>
    <row r="35">
      <c r="A35" s="3" t="inlineStr">
        <is>
          <t>MK-XS-I-034</t>
        </is>
      </c>
      <c r="B35" s="3" t="inlineStr">
        <is>
          <t>option positions — contracts, strike, expiry, put or call</t>
        </is>
      </c>
      <c r="C35" s="3" t="inlineStr">
        <is>
          <t>MK-NW-M-008 · MK-NW-M-020</t>
        </is>
      </c>
      <c r="D35"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MK-NW-M-005 · MK-NW-M-007 · MK-NW-M-008 · MK-NW-M-014 · MK-NW-M-020 · MK-PL-M-008 · MK-PL-M-011 · MK-PL-M-029 · MK-PL-M-034 · MK-XS-M-002 · MK-XS-M-005 · MK-XS-M-006</t>
        </is>
      </c>
      <c r="E35"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MK-MN-M-016, MK-MN-M-024, MK-MN-M-025, MK-MN-M-027, MK-MN-M-028, MK-NW-M-005, MK-NW-M-007, MK-NW-M-014, MK-PL-M-008, MK-PL-M-011, MK-PL-M-029, MK-PL-M-034, MK-XS-M-002, MK-XS-M-005, MK-XS-M-006</t>
        </is>
      </c>
    </row>
    <row r="36">
      <c r="A36" s="3" t="inlineStr">
        <is>
          <t>MK-XS-I-035</t>
        </is>
      </c>
      <c r="B36" s="3" t="inlineStr">
        <is>
          <t>annuity income</t>
        </is>
      </c>
      <c r="C36" s="3" t="inlineStr">
        <is>
          <t>MK-CF-M-023</t>
        </is>
      </c>
      <c r="D36"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E36"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MK-PL-M-009, MK-PL-M-011, MK-PL-M-018, MK-PL-M-029, MK-PL-M-032, MK-PL-M-034, MK-XS-M-001, MK-XS-M-002, MK-XS-M-005, MK-XS-M-006</t>
        </is>
      </c>
    </row>
    <row r="37">
      <c r="A37" s="3" t="inlineStr">
        <is>
          <t>MK-XS-I-036</t>
        </is>
      </c>
      <c r="B37" s="3" t="inlineStr">
        <is>
          <t>other guaranteed income</t>
        </is>
      </c>
      <c r="C37" s="3" t="inlineStr">
        <is>
          <t>MK-CF-M-023</t>
        </is>
      </c>
      <c r="D37"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MK-PL-M-008 · MK-PL-M-009 · MK-PL-M-011 · MK-PL-M-018 · MK-PL-M-026 · MK-PL-M-029 · MK-PL-M-032 · MK-PL-M-033 · MK-PL-M-034 · MK-XS-M-001 · MK-XS-M-002 · MK-XS-M-005 · MK-XS-M-006</t>
        </is>
      </c>
      <c r="E37"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MK-NW-M-015, MK-NW-M-016, MK-NW-M-017, MK-PL-M-008, MK-PL-M-009, MK-PL-M-011, MK-PL-M-018, MK-PL-M-026, MK-PL-M-029, MK-PL-M-032, MK-PL-M-033, MK-PL-M-034, MK-XS-M-001, MK-XS-M-002, MK-XS-M-005, MK-XS-M-006</t>
        </is>
      </c>
    </row>
    <row r="38">
      <c r="A38" s="3" t="inlineStr">
        <is>
          <t>MK-XS-I-037</t>
        </is>
      </c>
      <c r="B38" s="3" t="inlineStr">
        <is>
          <t>required-withdrawal income stream (ri_rmd)</t>
        </is>
      </c>
      <c r="C38" s="3" t="inlineStr">
        <is>
          <t>MK-CF-M-023</t>
        </is>
      </c>
      <c r="D38"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38" s="3" t="inlineStr">
        <is>
          <t>PARTLY AGREES — declared but not reached: MK-CF-M-023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39">
      <c r="A39" s="3" t="inlineStr">
        <is>
          <t>MK-XS-I-038</t>
        </is>
      </c>
      <c r="B39" s="3" t="inlineStr">
        <is>
          <t>withdrawal income stream (ri_withdrawals)</t>
        </is>
      </c>
      <c r="C39" s="3" t="inlineStr">
        <is>
          <t>MK-CF-M-023</t>
        </is>
      </c>
      <c r="D39"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39" s="3" t="inlineStr">
        <is>
          <t>PARTLY AGREES — declared but not reached: MK-CF-M-023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40">
      <c r="A40" s="3" t="inlineStr">
        <is>
          <t>MK-XS-I-039</t>
        </is>
      </c>
      <c r="B40" s="3" t="inlineStr">
        <is>
          <t>how often each income arrives</t>
        </is>
      </c>
      <c r="C40" s="3" t="inlineStr">
        <is>
          <t>MK-CF-M-023</t>
        </is>
      </c>
      <c r="D40"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40"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41">
      <c r="A41" s="3" t="inlineStr">
        <is>
          <t>MK-XS-I-040</t>
        </is>
      </c>
      <c r="B41" s="3" t="inlineStr">
        <is>
          <t>whether a stream is already being received</t>
        </is>
      </c>
      <c r="C41" s="3" t="inlineStr">
        <is>
          <t>MK-CF-M-011 · MK-CF-M-024 · MK-PL-M-018 · MK-PL-M-032</t>
        </is>
      </c>
      <c r="D41"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41"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MK-PL-M-029, MK-PL-M-034, MK-XS-M-001, MK-XS-M-002, MK-XS-M-005, MK-XS-M-006</t>
        </is>
      </c>
    </row>
    <row r="42">
      <c r="A42" s="3" t="inlineStr">
        <is>
          <t>MK-XS-I-041</t>
        </is>
      </c>
      <c r="B42" s="3" t="inlineStr">
        <is>
          <t>the payment the person chose to make on a debt</t>
        </is>
      </c>
      <c r="C42" s="3" t="inlineStr">
        <is>
          <t>MK-CF-M-019 · MK-NW-M-011</t>
        </is>
      </c>
      <c r="D42" s="3" t="inlineStr">
        <is>
          <t>MK-CF-M-019 · MK-CF-M-022 · MK-CF-M-047 · MK-CF-M-048 · MK-CF-M-049 · MK-CF-M-050 · MK-CF-M-051 · MK-CF-M-052 · MK-CF-M-053 · MK-CF-M-054 · MK-NW-M-001 · MK-NW-M-003 · MK-NW-M-009 · MK-NW-M-011 · MK-NW-M-012 · MK-NW-M-017</t>
        </is>
      </c>
      <c r="E42" s="3" t="inlineStr">
        <is>
          <t>PARTLY AGREES — reached but not declared: MK-CF-M-022, MK-CF-M-047, MK-CF-M-048, MK-CF-M-049, MK-CF-M-050, MK-CF-M-051, MK-CF-M-052, MK-CF-M-053, MK-CF-M-054, MK-NW-M-001, MK-NW-M-003, MK-NW-M-009, MK-NW-M-012, MK-NW-M-017</t>
        </is>
      </c>
    </row>
    <row r="43">
      <c r="A43" s="3" t="inlineStr">
        <is>
          <t>MK-XS-I-042</t>
        </is>
      </c>
      <c r="B43" s="3" t="inlineStr">
        <is>
          <t>how a stream is paid — monthly, yearly or one lump</t>
        </is>
      </c>
      <c r="C43" s="3" t="inlineStr">
        <is>
          <t>MK-CF-M-019 · MK-NW-M-011</t>
        </is>
      </c>
      <c r="D43" s="3" t="inlineStr">
        <is>
          <t>MK-CF-M-019 · MK-CF-M-022 · MK-CF-M-047 · MK-CF-M-048 · MK-CF-M-049 · MK-CF-M-050 · MK-CF-M-051 · MK-CF-M-052 · MK-CF-M-053 · MK-CF-M-054 · MK-NW-M-001 · MK-NW-M-003 · MK-NW-M-009 · MK-NW-M-011 · MK-NW-M-012 · MK-NW-M-017 · MK-PL-M-031</t>
        </is>
      </c>
      <c r="E43" s="3" t="inlineStr">
        <is>
          <t>PARTLY AGREES — reached but not declared: MK-CF-M-022, MK-CF-M-047, MK-CF-M-048, MK-CF-M-049, MK-CF-M-050, MK-CF-M-051, MK-CF-M-052, MK-CF-M-053, MK-CF-M-054, MK-NW-M-001, MK-NW-M-003, MK-NW-M-009, MK-NW-M-012, MK-NW-M-017, MK-PL-M-031</t>
        </is>
      </c>
    </row>
    <row r="44">
      <c r="A44" s="3" t="inlineStr">
        <is>
          <t>MK-XS-I-043</t>
        </is>
      </c>
      <c r="B44" s="3" t="inlineStr">
        <is>
          <t>their own retirement contribution</t>
        </is>
      </c>
      <c r="C44" s="3" t="inlineStr">
        <is>
          <t>MK-MN-M-014</t>
        </is>
      </c>
      <c r="D44"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MK-NW-M-015 · MK-PL-M-008 · MK-PL-M-009 · MK-PL-M-011 · MK-PL-M-026 · MK-PL-M-029 · MK-PL-M-033 · MK-PL-M-034 · MK-XS-M-002 · MK-XS-M-005 · MK-XS-M-006</t>
        </is>
      </c>
      <c r="E44"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MK-NW-M-015, MK-PL-M-008, MK-PL-M-009, MK-PL-M-011, MK-PL-M-026, MK-PL-M-029, MK-PL-M-033, MK-PL-M-034, MK-XS-M-002, MK-XS-M-005, MK-XS-M-006</t>
        </is>
      </c>
    </row>
    <row r="45">
      <c r="A45" s="3" t="inlineStr">
        <is>
          <t>MK-XS-I-044</t>
        </is>
      </c>
      <c r="B45" s="3" t="inlineStr">
        <is>
          <t>the person’s own plan overrides</t>
        </is>
      </c>
      <c r="C45" s="3" t="inlineStr">
        <is>
          <t>MK-PL-M-008 · MK-PL-M-011 · MK-PL-M-029</t>
        </is>
      </c>
      <c r="D45" s="3" t="inlineStr">
        <is>
          <t>MK-NW-M-004 · MK-NW-M-009 · MK-NW-M-016 · MK-NW-M-017 · MK-PL-M-008 · MK-PL-M-009 · MK-PL-M-011 · MK-PL-M-029 · MK-PL-M-034 · MK-XS-M-001 · MK-XS-M-002</t>
        </is>
      </c>
      <c r="E45" s="3" t="inlineStr">
        <is>
          <t>PARTLY AGREES — reached but not declared: MK-NW-M-004, MK-NW-M-009, MK-NW-M-016, MK-NW-M-017, MK-PL-M-009, MK-PL-M-034, MK-XS-M-001, MK-XS-M-002</t>
        </is>
      </c>
    </row>
    <row r="46">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c r="A49" s="3" t="inlineStr">
        <is>
          <t>MK-XS-I-048</t>
        </is>
      </c>
      <c r="B49" s="3" t="inlineStr">
        <is>
          <t>the person’s own asset-class answer</t>
        </is>
      </c>
      <c r="C49" s="3" t="inlineStr">
        <is>
          <t>MK-MN-M-016 · MK-NW-M-005 · MK-NW-M-007 · MK-NW-M-014 · MK-XS-M-003</t>
        </is>
      </c>
      <c r="D49" s="3" t="inlineStr">
        <is>
          <t>MK-CF-M-022 · MK-MN-M-016 · MK-NW-M-004 · MK-NW-M-005 · MK-NW-M-007 · MK-NW-M-008 · MK-NW-M-009 · MK-NW-M-014 · MK-NW-M-016 · MK-NW-M-017 · MK-NW-M-020 · MK-PF-M-001 · MK-PF-M-004 · MK-PL-M-001 · MK-PL-M-002 · MK-PL-M-008 · MK-PL-M-009 · MK-PL-M-011 · MK-PL-M-029 · MK-PL-M-034 · MK-XS-M-001 · MK-XS-M-002 · MK-XS-M-003</t>
        </is>
      </c>
      <c r="E49" s="3" t="inlineStr">
        <is>
          <t>PARTLY AGREES — reached but not declared: MK-CF-M-022, MK-NW-M-004, MK-NW-M-008, MK-NW-M-009, MK-NW-M-016, MK-NW-M-017, MK-NW-M-020, MK-PF-M-001, MK-PF-M-004, MK-PL-M-001, MK-PL-M-002, MK-PL-M-008, MK-PL-M-009, MK-PL-M-011, MK-PL-M-029, MK-PL-M-034, MK-XS-M-001, MK-XS-M-002</t>
        </is>
      </c>
    </row>
    <row r="50">
      <c r="A50" s="3" t="inlineStr">
        <is>
          <t>MK-XS-I-049</t>
        </is>
      </c>
      <c r="B50" s="3" t="inlineStr">
        <is>
          <t>bond price — what the bond is worth today</t>
        </is>
      </c>
      <c r="C50" s="3" t="inlineStr">
        <is>
          <t>—</t>
        </is>
      </c>
      <c r="D50" s="3" t="inlineStr">
        <is>
          <t>MK-NW-M-023 · MK-NW-M-024 · MK-NW-M-026 · MK-NW-M-027 · MK-NW-M-028 · MK-NW-M-041 · MK-NW-M-042 · MK-NW-M-043 · MK-NW-M-044 · MK-NW-M-045</t>
        </is>
      </c>
      <c r="E50" s="3" t="inlineStr">
        <is>
          <t>REACHED BUT NOT DECLARED — functions reading this input serve these figures, but no figure lists it among its inputs.</t>
        </is>
      </c>
    </row>
    <row r="51">
      <c r="A51" s="3" t="inlineStr">
        <is>
          <t>MK-XS-I-050</t>
        </is>
      </c>
      <c r="B51" s="3" t="inlineStr">
        <is>
          <t>the share of an account earmarked for retirement</t>
        </is>
      </c>
      <c r="C51" s="3" t="inlineStr">
        <is>
          <t>—</t>
        </is>
      </c>
      <c r="D51" s="3" t="inlineStr">
        <is>
          <t>MK-CF-M-022 · MK-PL-M-001 · MK-PL-M-002 · MK-PL-M-008 · MK-PL-M-009 · MK-PL-M-011 · MK-PL-M-029 · MK-PL-M-034 · MK-XS-M-002</t>
        </is>
      </c>
      <c r="E51" s="3" t="inlineStr">
        <is>
          <t>REACHED BUT NOT DECLARED — functions reading this input serve these figures, but no figure lists it among its inputs.</t>
        </is>
      </c>
    </row>
    <row r="52">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c r="A53" s="3" t="inlineStr">
        <is>
          <t>MK-XS-I-052</t>
        </is>
      </c>
      <c r="B53" s="3" t="inlineStr">
        <is>
          <t>the day of the month a debt payment is due</t>
        </is>
      </c>
      <c r="C53" s="3" t="inlineStr">
        <is>
          <t>—</t>
        </is>
      </c>
      <c r="D53" s="3" t="inlineStr">
        <is>
          <t>MK-CF-M-022</t>
        </is>
      </c>
      <c r="E53" s="3" t="inlineStr">
        <is>
          <t>REACHED BUT NOT DECLARED — functions reading this input serve these figures, but no figure lists it among its inputs.</t>
        </is>
      </c>
    </row>
    <row r="54">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c r="A56" s="3" t="inlineStr">
        <is>
          <t>MK-XS-I-055</t>
        </is>
      </c>
      <c r="B56" s="3" t="inlineStr">
        <is>
          <t>the wrapper an account sits in — ISA, 401(k), IRA and the rest</t>
        </is>
      </c>
      <c r="C56" s="3" t="inlineStr">
        <is>
          <t>—</t>
        </is>
      </c>
      <c r="D56"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MK-NW-M-032 · MK-NW-M-033 · MK-NW-M-040 · MK-PF-M-005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c r="A57" s="3" t="inlineStr">
        <is>
          <t>MK-XS-I-056</t>
        </is>
      </c>
      <c r="B57" s="3" t="inlineStr">
        <is>
          <t>how a holding was classified, and by whom</t>
        </is>
      </c>
      <c r="C57" s="3" t="inlineStr">
        <is>
          <t>—</t>
        </is>
      </c>
      <c r="D57" s="3" t="inlineStr">
        <is>
          <t>MK-NW-M-004 · MK-NW-M-009 · MK-NW-M-016 · MK-NW-M-017 · MK-XS-M-001</t>
        </is>
      </c>
      <c r="E57" s="3" t="inlineStr">
        <is>
          <t>REACHED BUT NOT DECLARED — functions reading this input serve these figures, but no figure lists it among its inputs.</t>
        </is>
      </c>
    </row>
    <row r="58">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c r="A60" s="3" t="inlineStr">
        <is>
          <t>MK-XS-I-059</t>
        </is>
      </c>
      <c r="B60" s="3" t="inlineStr">
        <is>
          <t>the month a bonus lands</t>
        </is>
      </c>
      <c r="C60" s="3" t="inlineStr">
        <is>
          <t>—</t>
        </is>
      </c>
      <c r="D60" s="3" t="inlineStr">
        <is>
          <t>MK-CF-M-006 · MK-CF-M-007 · MK-CF-M-008 · MK-CF-M-013 · MK-CF-M-014 · MK-CF-M-015 · MK-CF-M-018 · MK-CF-M-019 · MK-CF-M-022 · MK-CF-M-027 · MK-CF-M-037 · MK-CF-M-038 · MK-CF-M-039 · MK-CF-M-040 · MK-CF-M-041 · MK-CF-M-042 · MK-CF-M-043 · MK-CF-M-044 · MK-CF-M-047 · MK-CF-M-048 · MK-CF-M-049 · MK-CF-M-050 · MK-CF-M-051 · MK-CF-M-052 · MK-CF-M-053 · MK-CF-M-054 · MK-MN-M-007 · MK-MN-M-011 · MK-MN-M-012 · MK-MN-M-013 · MK-MN-M-024 · MK-MN-M-025 · MK-XS-M-005 · MK-XS-M-006</t>
        </is>
      </c>
      <c r="E60" s="3" t="inlineStr">
        <is>
          <t>REACHED BUT NOT DECLARED — functions reading this input serve these figures, but no figure lists it among its inputs.</t>
        </is>
      </c>
    </row>
    <row r="61">
      <c r="A61" s="3" t="inlineStr">
        <is>
          <t>MK-XS-I-060</t>
        </is>
      </c>
      <c r="B61" s="3" t="inlineStr">
        <is>
          <t>how a person is paid — weekly, fortnightly, monthly</t>
        </is>
      </c>
      <c r="C61" s="3" t="inlineStr">
        <is>
          <t>—</t>
        </is>
      </c>
      <c r="D61"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E61" s="3" t="inlineStr">
        <is>
          <t>REACHED BUT NOT DECLARED — functions reading this input serve these figures, but no figure lists it among its inputs.</t>
        </is>
      </c>
    </row>
    <row r="62">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c r="A64" s="3" t="inlineStr">
        <is>
          <t>MK-XS-I-063</t>
        </is>
      </c>
      <c r="B64" s="3" t="inlineStr">
        <is>
          <t>option contract multiplier — 100 unless the broker or the person states otherwise</t>
        </is>
      </c>
      <c r="C64" s="3" t="inlineStr">
        <is>
          <t>—</t>
        </is>
      </c>
      <c r="D64" s="3" t="inlineStr">
        <is>
          <t>MK-NW-M-004 · MK-NW-M-009 · MK-NW-M-016 · MK-NW-M-017 · MK-NW-M-030 · MK-NW-M-032 · MK-NW-M-033 · MK-NW-M-040 · MK-PF-M-005 · MK-PF-M-006 · MK-PF-M-007 · MK-PF-M-008 · MK-XS-M-001 · MK-XS-M-004</t>
        </is>
      </c>
      <c r="E64" s="3" t="inlineStr">
        <is>
          <t>REACHED BUT NOT DECLARED — functions reading this input serve these figures, but no figure lists it among its inputs.</t>
        </is>
      </c>
    </row>
    <row r="65">
      <c r="A65" s="3" t="inlineStr">
        <is>
          <t>MK-XS-I-064</t>
        </is>
      </c>
      <c r="B65" s="3" t="inlineStr">
        <is>
          <t>the unit beside a quantity — shares, coins, contracts, ounces or units</t>
        </is>
      </c>
      <c r="C65" s="3" t="inlineStr">
        <is>
          <t>—</t>
        </is>
      </c>
      <c r="D65" s="3" t="inlineStr">
        <is>
          <t>MK-CF-M-006 · MK-CF-M-007 · MK-CF-M-008 · MK-CF-M-013 · MK-CF-M-014 · MK-CF-M-015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MK-MN-M-010 · MK-MN-M-011 · MK-MN-M-012 · MK-MN-M-013 · MK-MN-M-024 · MK-MN-M-025 · MK-XS-M-005</t>
        </is>
      </c>
      <c r="E65" s="3" t="inlineStr">
        <is>
          <t>REACHED BUT NOT DECLARED — functions reading this input serve these figures, but no figure lists it among its inputs.</t>
        </is>
      </c>
    </row>
    <row r="66">
      <c r="A66" s="3" t="inlineStr">
        <is>
          <t>MK-XS-I-065</t>
        </is>
      </c>
      <c r="B66" s="3" t="inlineStr">
        <is>
          <t>accrued interest on a bond — interest earned since the last coupon</t>
        </is>
      </c>
      <c r="C66" s="3" t="inlineStr">
        <is>
          <t>—</t>
        </is>
      </c>
      <c r="D66" s="3" t="inlineStr">
        <is>
          <t>MK-NW-M-023 · MK-NW-M-027 · MK-NW-M-041 · MK-NW-M-042 · MK-NW-M-044 · MK-NW-M-045</t>
        </is>
      </c>
      <c r="E66" s="3" t="inlineStr">
        <is>
          <t>REACHED BUT NOT DECLARED — functions reading this input serve these figures, but no figure lists it among its inputs.</t>
        </is>
      </c>
    </row>
    <row r="67">
      <c r="A67" s="3" t="n"/>
      <c r="B67" s="3" t="n"/>
      <c r="C67" s="3" t="n"/>
      <c r="D67" s="3" t="n"/>
      <c r="E67" s="3" t="n"/>
    </row>
    <row r="68">
      <c r="A68" s="12" t="inlineStr">
        <is>
          <t>GAPS — inputs an function names that are on NO row of the inputs tab.</t>
        </is>
      </c>
      <c r="B68" s="3" t="inlineStr">
        <is>
          <t>Each one is either a missing input, or the same input under another name.</t>
        </is>
      </c>
      <c r="C68" s="3" t="inlineStr"/>
      <c r="D68" s="3" t="inlineStr"/>
      <c r="E68" s="3"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37"/>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effectiveRate, src/domain/income</t>
        </is>
      </c>
      <c r="C3" s="3" t="inlineStr">
        <is>
          <t>NOT DETERMINED — no source line on record</t>
        </is>
      </c>
      <c r="D3" s="3" t="inlineStr">
        <is>
          <t>—</t>
        </is>
      </c>
      <c r="E3" s="3" t="inlineStr">
        <is>
          <t>MK-CF-M-029</t>
        </is>
      </c>
      <c r="F3" s="3" t="inlineStr">
        <is>
          <t>Named by 1 figure(s)</t>
        </is>
      </c>
    </row>
    <row r="4">
      <c r="A4" s="3" t="inlineStr">
        <is>
          <t>MK-CF-E-003</t>
        </is>
      </c>
      <c r="B4" s="3" t="inlineStr">
        <is>
          <t>NOT IN OLD MASTER — the equity schedule, src/domain/income</t>
        </is>
      </c>
      <c r="C4" s="3" t="inlineStr">
        <is>
          <t>NOT DETERMINED — no source line on record</t>
        </is>
      </c>
      <c r="D4" s="3" t="inlineStr">
        <is>
          <t>—</t>
        </is>
      </c>
      <c r="E4" s="3" t="inlineStr">
        <is>
          <t>MK-CF-M-009</t>
        </is>
      </c>
      <c r="F4" s="3" t="inlineStr">
        <is>
          <t>Named by 1 figure(s)</t>
        </is>
      </c>
    </row>
    <row r="5">
      <c r="A5" s="3" t="inlineStr">
        <is>
          <t>MK-CF-E-004</t>
        </is>
      </c>
      <c r="B5" s="3" t="inlineStr">
        <is>
          <t>NOT IN OLD MASTER — the received list, src/domain/income</t>
        </is>
      </c>
      <c r="C5" s="3" t="inlineStr">
        <is>
          <t>NOT DETERMINED — no source line on record</t>
        </is>
      </c>
      <c r="D5" s="3" t="inlineStr">
        <is>
          <t>—</t>
        </is>
      </c>
      <c r="E5" s="3" t="inlineStr">
        <is>
          <t>MK-CF-M-012</t>
        </is>
      </c>
      <c r="F5" s="3" t="inlineStr">
        <is>
          <t>Named by 1 figure(s)</t>
        </is>
      </c>
    </row>
    <row r="6">
      <c r="A6" s="3" t="inlineStr">
        <is>
          <t>MK-CF-E-005</t>
        </is>
      </c>
      <c r="B6" s="3" t="inlineStr">
        <is>
          <t>PLANNED_SPENDING</t>
        </is>
      </c>
      <c r="C6" s="3" t="inlineStr">
        <is>
          <t>src/domain/budget/index.ts:45</t>
        </is>
      </c>
      <c r="D6" s="3" t="inlineStr">
        <is>
          <t>What does this person plan to spend each month?</t>
        </is>
      </c>
      <c r="E6" s="3" t="inlineStr">
        <is>
          <t>MK-CF-M-015 · MK-MN-M-007 · MK-MN-M-026</t>
        </is>
      </c>
      <c r="F6" s="3" t="inlineStr">
        <is>
          <t>Named by 3 figure(s)</t>
        </is>
      </c>
    </row>
    <row r="7">
      <c r="A7" s="3" t="inlineStr">
        <is>
          <t>MK-CF-E-006</t>
        </is>
      </c>
      <c r="B7" s="3" t="inlineStr">
        <is>
          <t>NOT IN OLD MASTER — the big-bill radar, src/domain/cashflow</t>
        </is>
      </c>
      <c r="C7" s="3" t="inlineStr">
        <is>
          <t>NOT DETERMINED — no source line on record</t>
        </is>
      </c>
      <c r="D7" s="3" t="inlineStr">
        <is>
          <t>—</t>
        </is>
      </c>
      <c r="E7" s="3" t="inlineStr">
        <is>
          <t>MK-CF-M-016</t>
        </is>
      </c>
      <c r="F7" s="3" t="inlineStr">
        <is>
          <t>Named by 1 figure(s)</t>
        </is>
      </c>
    </row>
    <row r="8">
      <c r="A8" s="3" t="inlineStr">
        <is>
          <t>MK-CF-E-007</t>
        </is>
      </c>
      <c r="B8" s="3" t="inlineStr">
        <is>
          <t>NOT IN OLD MASTER — the unusual-spend check, src/domain/budget</t>
        </is>
      </c>
      <c r="C8" s="3" t="inlineStr">
        <is>
          <t>NOT DETERMINED — no source line on record</t>
        </is>
      </c>
      <c r="D8" s="3" t="inlineStr">
        <is>
          <t>—</t>
        </is>
      </c>
      <c r="E8" s="3" t="inlineStr">
        <is>
          <t>MK-CF-M-017</t>
        </is>
      </c>
      <c r="F8" s="3" t="inlineStr">
        <is>
          <t>Named by 1 figure(s)</t>
        </is>
      </c>
    </row>
    <row r="9">
      <c r="A9" s="3" t="inlineStr">
        <is>
          <t>MK-CF-E-008</t>
        </is>
      </c>
      <c r="B9" s="3" t="inlineStr">
        <is>
          <t>SPENDING_BY_KIND · DEBT_REQUIRED_PAYMENT</t>
        </is>
      </c>
      <c r="C9" s="3" t="inlineStr">
        <is>
          <t>NOT DETERMINED — no source line on record</t>
        </is>
      </c>
      <c r="D9" s="3" t="inlineStr">
        <is>
          <t>—</t>
        </is>
      </c>
      <c r="E9" s="3" t="inlineStr">
        <is>
          <t>MK-CF-M-019</t>
        </is>
      </c>
      <c r="F9" s="3" t="inlineStr">
        <is>
          <t>Named by 1 figure(s)</t>
        </is>
      </c>
    </row>
    <row r="10">
      <c r="A10" s="3" t="inlineStr">
        <is>
          <t>MK-CF-E-009</t>
        </is>
      </c>
      <c r="B10" s="3" t="inlineStr">
        <is>
          <t>NOT IN OLD MASTER — plan commitments, src/domain/planning</t>
        </is>
      </c>
      <c r="C10" s="3" t="inlineStr">
        <is>
          <t>NOT DETERMINED — no source line on record</t>
        </is>
      </c>
      <c r="D10" s="3" t="inlineStr">
        <is>
          <t>—</t>
        </is>
      </c>
      <c r="E10" s="3" t="inlineStr">
        <is>
          <t>MK-CF-M-021</t>
        </is>
      </c>
      <c r="F10" s="3" t="inlineStr">
        <is>
          <t>Named by 1 figure(s)</t>
        </is>
      </c>
    </row>
    <row r="11">
      <c r="A11" s="3" t="inlineStr">
        <is>
          <t>MK-CF-E-010</t>
        </is>
      </c>
      <c r="B11" s="3" t="inlineStr">
        <is>
          <t>the by-month grid</t>
        </is>
      </c>
      <c r="C11" s="3" t="inlineStr">
        <is>
          <t>NOT DETERMINED — no source line on record</t>
        </is>
      </c>
      <c r="D11" s="3" t="inlineStr">
        <is>
          <t>—</t>
        </is>
      </c>
      <c r="E11" s="3" t="inlineStr">
        <is>
          <t>MK-CF-M-025</t>
        </is>
      </c>
      <c r="F11" s="3" t="inlineStr">
        <is>
          <t>Named by 1 figure(s)</t>
        </is>
      </c>
    </row>
    <row r="12">
      <c r="A12" s="3" t="inlineStr">
        <is>
          <t>MK-CF-E-011</t>
        </is>
      </c>
      <c r="B12" s="3" t="inlineStr">
        <is>
          <t>RETIREMENT_PAYCHECK</t>
        </is>
      </c>
      <c r="C12" s="3" t="inlineStr">
        <is>
          <t>NOT DETERMINED — no source line on record</t>
        </is>
      </c>
      <c r="D12" s="3" t="inlineStr">
        <is>
          <t>—</t>
        </is>
      </c>
      <c r="E12" s="3" t="inlineStr">
        <is>
          <t>MK-CF-M-026</t>
        </is>
      </c>
      <c r="F12" s="3" t="inlineStr">
        <is>
          <t>Named by 1 figure(s)</t>
        </is>
      </c>
    </row>
    <row r="13">
      <c r="A13" s="3" t="inlineStr">
        <is>
          <t>MK-CF-E-012</t>
        </is>
      </c>
      <c r="B13" s="3" t="inlineStr">
        <is>
          <t>THE_BILL_CALENDAR</t>
        </is>
      </c>
      <c r="C13" s="3" t="inlineStr">
        <is>
          <t>NOT DETERMINED — no source line on record</t>
        </is>
      </c>
      <c r="D13" s="3" t="inlineStr">
        <is>
          <t>—</t>
        </is>
      </c>
      <c r="E13" s="3" t="inlineStr">
        <is>
          <t>MK-CF-M-028</t>
        </is>
      </c>
      <c r="F13" s="3" t="inlineStr">
        <is>
          <t>Named by 1 figure(s)</t>
        </is>
      </c>
    </row>
    <row r="14">
      <c r="A14" s="3" t="inlineStr">
        <is>
          <t>MK-HM-E-001</t>
        </is>
      </c>
      <c r="B14" s="3" t="inlineStr">
        <is>
          <t>PRICE_FRESHNESS</t>
        </is>
      </c>
      <c r="C14" s="3" t="inlineStr">
        <is>
          <t>src/services/marketData.ts:60</t>
        </is>
      </c>
      <c r="D14" s="3" t="inlineStr">
        <is>
          <t>How old is the price we are showing?</t>
        </is>
      </c>
      <c r="E14" s="3" t="inlineStr">
        <is>
          <t>MK-HM-M-001</t>
        </is>
      </c>
      <c r="F14" s="3" t="inlineStr">
        <is>
          <t>Named by 1 figure(s)</t>
        </is>
      </c>
    </row>
    <row r="15">
      <c r="A15" s="3" t="inlineStr">
        <is>
          <t>MK-HM-E-002</t>
        </is>
      </c>
      <c r="B15" s="3" t="inlineStr">
        <is>
          <t>NOT IN OLD MASTER — milestoneCrossed, src/domain/milestones.ts</t>
        </is>
      </c>
      <c r="C15" s="3" t="inlineStr">
        <is>
          <t>NOT DETERMINED — no source line on record</t>
        </is>
      </c>
      <c r="D15" s="3" t="inlineStr">
        <is>
          <t>—</t>
        </is>
      </c>
      <c r="E15" s="3" t="inlineStr">
        <is>
          <t>MK-HM-M-002</t>
        </is>
      </c>
      <c r="F15" s="3" t="inlineStr">
        <is>
          <t>Named by 1 figure(s)</t>
        </is>
      </c>
    </row>
    <row r="16">
      <c r="A16" s="3" t="inlineStr">
        <is>
          <t>MK-HM-E-003</t>
        </is>
      </c>
      <c r="B16" s="3" t="inlineStr">
        <is>
          <t>NOT IN OLD MASTER — useInsights, src/domain/insights</t>
        </is>
      </c>
      <c r="C16" s="3" t="inlineStr">
        <is>
          <t>NOT DETERMINED — no source line on record</t>
        </is>
      </c>
      <c r="D16" s="3" t="inlineStr">
        <is>
          <t>—</t>
        </is>
      </c>
      <c r="E16" s="3" t="inlineStr">
        <is>
          <t>MK-HM-M-003 · MK-MN-M-015</t>
        </is>
      </c>
      <c r="F16" s="3" t="inlineStr">
        <is>
          <t>Named by 2 figure(s)</t>
        </is>
      </c>
    </row>
    <row r="17">
      <c r="A17" s="3" t="inlineStr">
        <is>
          <t>MK-MN-E-001</t>
        </is>
      </c>
      <c r="B17" s="3" t="inlineStr">
        <is>
          <t>BIG_COSTS</t>
        </is>
      </c>
      <c r="C17" s="3" t="inlineStr">
        <is>
          <t>NOT DETERMINED — no source line on record</t>
        </is>
      </c>
      <c r="D17" s="3" t="inlineStr">
        <is>
          <t>—</t>
        </is>
      </c>
      <c r="E17" s="3" t="inlineStr">
        <is>
          <t>MK-MN-M-001 · MK-MN-M-002</t>
        </is>
      </c>
      <c r="F17" s="3" t="inlineStr">
        <is>
          <t>Named by 2 figure(s)</t>
        </is>
      </c>
    </row>
    <row r="18">
      <c r="A18" s="3" t="inlineStr">
        <is>
          <t>MK-MN-E-002</t>
        </is>
      </c>
      <c r="B18" s="3" t="inlineStr">
        <is>
          <t>CONTRIBUTION_ROOM</t>
        </is>
      </c>
      <c r="C18" s="3" t="inlineStr">
        <is>
          <t>NOT DETERMINED — no source line on record</t>
        </is>
      </c>
      <c r="D18" s="3" t="inlineStr">
        <is>
          <t>—</t>
        </is>
      </c>
      <c r="E18" s="3" t="inlineStr">
        <is>
          <t>MK-MN-M-003 · MK-MN-M-004 · MK-MN-M-029</t>
        </is>
      </c>
      <c r="F18" s="3" t="inlineStr">
        <is>
          <t>Named by 3 figure(s)</t>
        </is>
      </c>
    </row>
    <row r="19">
      <c r="A19" s="3" t="inlineStr">
        <is>
          <t>MK-MN-E-003</t>
        </is>
      </c>
      <c r="B19" s="3" t="inlineStr">
        <is>
          <t>CREDIT_USE</t>
        </is>
      </c>
      <c r="C19" s="3" t="inlineStr">
        <is>
          <t>NOT DETERMINED — no source line on record</t>
        </is>
      </c>
      <c r="D19" s="3" t="inlineStr">
        <is>
          <t>—</t>
        </is>
      </c>
      <c r="E19" s="3" t="inlineStr">
        <is>
          <t>MK-MN-M-006</t>
        </is>
      </c>
      <c r="F19" s="3" t="inlineStr">
        <is>
          <t>Named by 1 figure(s)</t>
        </is>
      </c>
    </row>
    <row r="20">
      <c r="A20" s="3" t="inlineStr">
        <is>
          <t>MK-MN-E-004</t>
        </is>
      </c>
      <c r="B20" s="3" t="inlineStr">
        <is>
          <t>GOAL_CAPACITY</t>
        </is>
      </c>
      <c r="C20" s="3" t="inlineStr">
        <is>
          <t>NOT DETERMINED — no source line on record</t>
        </is>
      </c>
      <c r="D20" s="3" t="inlineStr">
        <is>
          <t>—</t>
        </is>
      </c>
      <c r="E20" s="3" t="inlineStr">
        <is>
          <t>MK-MN-M-008</t>
        </is>
      </c>
      <c r="F20" s="3" t="inlineStr">
        <is>
          <t>Named by 1 figure(s)</t>
        </is>
      </c>
    </row>
    <row r="21">
      <c r="A21" s="3" t="inlineStr">
        <is>
          <t>MK-MN-E-005</t>
        </is>
      </c>
      <c r="B21" s="3" t="inlineStr">
        <is>
          <t>GOAL_PROGRESS</t>
        </is>
      </c>
      <c r="C21" s="3" t="inlineStr">
        <is>
          <t>NOT DETERMINED — no source line on record</t>
        </is>
      </c>
      <c r="D21" s="3" t="inlineStr">
        <is>
          <t>—</t>
        </is>
      </c>
      <c r="E21" s="3" t="inlineStr">
        <is>
          <t>MK-MN-M-009</t>
        </is>
      </c>
      <c r="F21" s="3" t="inlineStr">
        <is>
          <t>Named by 1 figure(s)</t>
        </is>
      </c>
    </row>
    <row r="22">
      <c r="A22" s="3" t="inlineStr">
        <is>
          <t>MK-MN-E-006</t>
        </is>
      </c>
      <c r="B22" s="3" t="inlineStr">
        <is>
          <t>SINKING_FUNDS</t>
        </is>
      </c>
      <c r="C22" s="3" t="inlineStr">
        <is>
          <t>NOT DETERMINED — no source line on record</t>
        </is>
      </c>
      <c r="D22" s="3" t="inlineStr">
        <is>
          <t>—</t>
        </is>
      </c>
      <c r="E22" s="3" t="inlineStr">
        <is>
          <t>MK-MN-M-010</t>
        </is>
      </c>
      <c r="F22" s="3" t="inlineStr">
        <is>
          <t>Named by 1 figure(s)</t>
        </is>
      </c>
    </row>
    <row r="23">
      <c r="A23" s="3" t="inlineStr">
        <is>
          <t>MK-MN-E-007</t>
        </is>
      </c>
      <c r="B23" s="3" t="inlineStr">
        <is>
          <t>EMPLOYER_MATCH</t>
        </is>
      </c>
      <c r="C23" s="3" t="inlineStr">
        <is>
          <t>src/domain/income/onboarding.ts:263</t>
        </is>
      </c>
      <c r="D23" s="3" t="inlineStr">
        <is>
          <t>How much does the employer add each month?</t>
        </is>
      </c>
      <c r="E23" s="3" t="inlineStr">
        <is>
          <t>MK-MN-M-014</t>
        </is>
      </c>
      <c r="F23" s="3" t="inlineStr">
        <is>
          <t>Named by 1 figure(s)</t>
        </is>
      </c>
    </row>
    <row r="24">
      <c r="A24" s="3" t="inlineStr">
        <is>
          <t>MK-MN-E-008</t>
        </is>
      </c>
      <c r="B24" s="3" t="inlineStr">
        <is>
          <t>TOTAL_INVESTABLE · TOTAL_CASH</t>
        </is>
      </c>
      <c r="C24" s="3" t="inlineStr">
        <is>
          <t>NOT DETERMINED — no source line on record</t>
        </is>
      </c>
      <c r="D24" s="3" t="inlineStr">
        <is>
          <t>—</t>
        </is>
      </c>
      <c r="E24" s="3" t="inlineStr">
        <is>
          <t>MK-MN-M-016</t>
        </is>
      </c>
      <c r="F24" s="3" t="inlineStr">
        <is>
          <t>Named by 1 figure(s)</t>
        </is>
      </c>
    </row>
    <row r="25">
      <c r="A25" s="3" t="inlineStr">
        <is>
          <t>MK-MN-E-009</t>
        </is>
      </c>
      <c r="B25" s="3" t="inlineStr">
        <is>
          <t>INSURANCE_NEED</t>
        </is>
      </c>
      <c r="C25" s="3" t="inlineStr">
        <is>
          <t>NOT DETERMINED — no source line on record</t>
        </is>
      </c>
      <c r="D25" s="3" t="inlineStr">
        <is>
          <t>—</t>
        </is>
      </c>
      <c r="E25" s="3" t="inlineStr">
        <is>
          <t>MK-MN-M-017 · MK-MN-M-018 · MK-MN-M-019</t>
        </is>
      </c>
      <c r="F25" s="3" t="inlineStr">
        <is>
          <t>Named by 3 figure(s)</t>
        </is>
      </c>
    </row>
    <row r="26">
      <c r="A26" s="3" t="inlineStr">
        <is>
          <t>MK-MN-E-010</t>
        </is>
      </c>
      <c r="B26" s="3" t="inlineStr">
        <is>
          <t>JOB_SAFETY_RUNWAY</t>
        </is>
      </c>
      <c r="C26" s="3" t="inlineStr">
        <is>
          <t>NOT DETERMINED — no source line on record</t>
        </is>
      </c>
      <c r="D26" s="3" t="inlineStr">
        <is>
          <t>—</t>
        </is>
      </c>
      <c r="E26" s="3" t="inlineStr">
        <is>
          <t>MK-MN-M-020</t>
        </is>
      </c>
      <c r="F26" s="3" t="inlineStr">
        <is>
          <t>Named by 1 figure(s)</t>
        </is>
      </c>
    </row>
    <row r="27">
      <c r="A27" s="3" t="inlineStr">
        <is>
          <t>MK-MN-E-011</t>
        </is>
      </c>
      <c r="B27" s="3" t="inlineStr">
        <is>
          <t>ALTERNATIVES_TOTAL</t>
        </is>
      </c>
      <c r="C27" s="3" t="inlineStr">
        <is>
          <t>NOT DETERMINED — no source line on record</t>
        </is>
      </c>
      <c r="D27" s="3" t="inlineStr">
        <is>
          <t>—</t>
        </is>
      </c>
      <c r="E27" s="3" t="inlineStr">
        <is>
          <t>MK-MN-M-022</t>
        </is>
      </c>
      <c r="F27" s="3" t="inlineStr">
        <is>
          <t>Named by 1 figure(s)</t>
        </is>
      </c>
    </row>
    <row r="28">
      <c r="A28" s="3" t="inlineStr">
        <is>
          <t>MK-MN-E-012</t>
        </is>
      </c>
      <c r="B28" s="3" t="inlineStr">
        <is>
          <t>ALTERNATIVES_GROWTH</t>
        </is>
      </c>
      <c r="C28" s="3" t="inlineStr">
        <is>
          <t>NOT DETERMINED — no source line on record</t>
        </is>
      </c>
      <c r="D28" s="3" t="inlineStr">
        <is>
          <t>—</t>
        </is>
      </c>
      <c r="E28" s="3" t="inlineStr">
        <is>
          <t>MK-MN-M-023</t>
        </is>
      </c>
      <c r="F28" s="3" t="inlineStr">
        <is>
          <t>Named by 1 figure(s)</t>
        </is>
      </c>
    </row>
    <row r="29">
      <c r="A29" s="3" t="inlineStr">
        <is>
          <t>MK-MN-E-013</t>
        </is>
      </c>
      <c r="B29" s="3" t="inlineStr">
        <is>
          <t>STRESS_TEST</t>
        </is>
      </c>
      <c r="C29" s="3" t="inlineStr">
        <is>
          <t>NOT DETERMINED — no source line on record</t>
        </is>
      </c>
      <c r="D29" s="3" t="inlineStr">
        <is>
          <t>—</t>
        </is>
      </c>
      <c r="E29" s="3" t="inlineStr">
        <is>
          <t>MK-MN-M-024 · MK-MN-M-025</t>
        </is>
      </c>
      <c r="F29" s="3" t="inlineStr">
        <is>
          <t>Named by 2 figure(s)</t>
        </is>
      </c>
    </row>
    <row r="30">
      <c r="A30" s="3" t="inlineStr">
        <is>
          <t>MK-MN-E-014</t>
        </is>
      </c>
      <c r="B30" s="3" t="inlineStr">
        <is>
          <t>TAXABLE_INCOME</t>
        </is>
      </c>
      <c r="C30" s="3" t="inlineStr">
        <is>
          <t>src/domain/income/tax.ts:110</t>
        </is>
      </c>
      <c r="D30" s="3" t="inlineStr">
        <is>
          <t>What income is taxed, given how this person files?</t>
        </is>
      </c>
      <c r="E30" s="3" t="inlineStr">
        <is>
          <t>MK-MN-M-027 · MK-MN-M-028</t>
        </is>
      </c>
      <c r="F30" s="3" t="inlineStr">
        <is>
          <t>Named by 2 figure(s)</t>
        </is>
      </c>
    </row>
    <row r="31">
      <c r="A31" s="3" t="inlineStr">
        <is>
          <t>MK-MN-E-015</t>
        </is>
      </c>
      <c r="B31" s="3" t="inlineStr">
        <is>
          <t>NOT IN OLD MASTER — the outflow watch, src/domain/insights</t>
        </is>
      </c>
      <c r="C31" s="3" t="inlineStr">
        <is>
          <t>NOT DETERMINED — no source line on record</t>
        </is>
      </c>
      <c r="D31" s="3" t="inlineStr">
        <is>
          <t>—</t>
        </is>
      </c>
      <c r="E31" s="3" t="inlineStr">
        <is>
          <t>MK-MN-M-030</t>
        </is>
      </c>
      <c r="F31" s="3" t="inlineStr">
        <is>
          <t>Named by 1 figure(s)</t>
        </is>
      </c>
    </row>
    <row r="32">
      <c r="A32" s="3" t="inlineStr">
        <is>
          <t>MK-NW-E-001</t>
        </is>
      </c>
      <c r="B32" s="3" t="inlineStr">
        <is>
          <t>TREND_SERIES</t>
        </is>
      </c>
      <c r="C32" s="3" t="inlineStr">
        <is>
          <t>src/domain/history.ts:43</t>
        </is>
      </c>
      <c r="D32" s="3" t="inlineStr">
        <is>
          <t>What points does the net-worth graph draw?</t>
        </is>
      </c>
      <c r="E32" s="3" t="inlineStr">
        <is>
          <t>MK-NW-M-001 · MK-NW-M-003</t>
        </is>
      </c>
      <c r="F32" s="3" t="inlineStr">
        <is>
          <t>Named by 2 figure(s)</t>
        </is>
      </c>
    </row>
    <row r="33">
      <c r="A33" s="3" t="inlineStr">
        <is>
          <t>MK-NW-E-002</t>
        </is>
      </c>
      <c r="B33" s="3" t="inlineStr">
        <is>
          <t>NW_CHANGE_PCT</t>
        </is>
      </c>
      <c r="C33" s="3" t="inlineStr">
        <is>
          <t>src/domain/history.ts:118</t>
        </is>
      </c>
      <c r="D33" s="3" t="inlineStr">
        <is>
          <t>What is my return on cash and investments since the baseline?</t>
        </is>
      </c>
      <c r="E33" s="3" t="inlineStr">
        <is>
          <t>MK-NW-M-002</t>
        </is>
      </c>
      <c r="F33" s="3" t="inlineStr">
        <is>
          <t>Named by 1 figure(s)</t>
        </is>
      </c>
    </row>
    <row r="34">
      <c r="A34" s="3" t="inlineStr">
        <is>
          <t>MK-NW-E-003</t>
        </is>
      </c>
      <c r="B34" s="3" t="inlineStr">
        <is>
          <t>ACCOUNT_SHARE_OF_TOTAL</t>
        </is>
      </c>
      <c r="C34" s="3" t="inlineStr">
        <is>
          <t>src/domain/assets/index.ts:663</t>
        </is>
      </c>
      <c r="D34" s="3" t="inlineStr">
        <is>
          <t>How much of everything sits in each account, and what return do they blend to?</t>
        </is>
      </c>
      <c r="E34" s="3" t="inlineStr">
        <is>
          <t>MK-NW-M-004</t>
        </is>
      </c>
      <c r="F34" s="3" t="inlineStr">
        <is>
          <t>Named by 1 figure(s)</t>
        </is>
      </c>
    </row>
    <row r="35">
      <c r="A35" s="3" t="inlineStr">
        <is>
          <t>MK-NW-E-004</t>
        </is>
      </c>
      <c r="B35" s="3" t="inlineStr">
        <is>
          <t>TOTAL_CASH</t>
        </is>
      </c>
      <c r="C35" s="3" t="inlineStr">
        <is>
          <t>src/domain/assets/index.ts:271</t>
        </is>
      </c>
      <c r="D35" s="3" t="inlineStr">
        <is>
          <t>How much actual cash do I have?</t>
        </is>
      </c>
      <c r="E35" s="3" t="inlineStr">
        <is>
          <t>MK-NW-M-005</t>
        </is>
      </c>
      <c r="F35" s="3" t="inlineStr">
        <is>
          <t>Named by 1 figure(s)</t>
        </is>
      </c>
    </row>
    <row r="36">
      <c r="A36" s="3" t="inlineStr">
        <is>
          <t>MK-NW-E-005</t>
        </is>
      </c>
      <c r="B36" s="3" t="inlineStr">
        <is>
          <t>ALLOCATION_BY_CLASS</t>
        </is>
      </c>
      <c r="C36" s="3" t="inlineStr">
        <is>
          <t>src/domain/assets/index.ts:502</t>
        </is>
      </c>
      <c r="D36" s="3" t="inlineStr">
        <is>
          <t>How much money sits in each of the seven classes?</t>
        </is>
      </c>
      <c r="E36" s="3" t="inlineStr">
        <is>
          <t>MK-NW-M-007</t>
        </is>
      </c>
      <c r="F36" s="3" t="inlineStr">
        <is>
          <t>Named by 1 figure(s)</t>
        </is>
      </c>
    </row>
    <row r="37">
      <c r="A37" s="3" t="inlineStr">
        <is>
          <t>MK-NW-E-006</t>
        </is>
      </c>
      <c r="B37" s="3" t="inlineStr">
        <is>
          <t>DEBT_PICTURE</t>
        </is>
      </c>
      <c r="C37" s="3" t="inlineStr">
        <is>
          <t>src/domain/debt/index.ts:214</t>
        </is>
      </c>
      <c r="D37" s="3" t="inlineStr">
        <is>
          <t>What is the whole debt picture?</t>
        </is>
      </c>
      <c r="E37" s="3" t="inlineStr">
        <is>
          <t>MK-NW-M-009 · MK-NW-M-010 · MK-NW-M-012</t>
        </is>
      </c>
      <c r="F37" s="3" t="inlineStr">
        <is>
          <t>Named by 3 figure(s)</t>
        </is>
      </c>
    </row>
    <row r="38">
      <c r="A38" s="3" t="inlineStr">
        <is>
          <t>MK-NW-E-007</t>
        </is>
      </c>
      <c r="B38" s="3" t="inlineStr">
        <is>
          <t>DEBT_REQUIRED_PAYMENT</t>
        </is>
      </c>
      <c r="C38" s="3" t="inlineStr">
        <is>
          <t>src/domain/debt/index.ts:44</t>
        </is>
      </c>
      <c r="D38" s="3" t="inlineStr">
        <is>
          <t>What must I pay on this each month?</t>
        </is>
      </c>
      <c r="E38" s="3" t="inlineStr">
        <is>
          <t>MK-NW-M-011</t>
        </is>
      </c>
      <c r="F38" s="3" t="inlineStr">
        <is>
          <t>Named by 1 figure(s)</t>
        </is>
      </c>
    </row>
    <row r="39">
      <c r="A39" s="3" t="inlineStr">
        <is>
          <t>MK-NW-E-008</t>
        </is>
      </c>
      <c r="B39" s="3" t="inlineStr">
        <is>
          <t>TOTAL_CASH · PLANNED_SPENDING</t>
        </is>
      </c>
      <c r="C39" s="3" t="inlineStr">
        <is>
          <t>NOT DETERMINED — no source line on record</t>
        </is>
      </c>
      <c r="D39" s="3" t="inlineStr">
        <is>
          <t>—</t>
        </is>
      </c>
      <c r="E39" s="3" t="inlineStr">
        <is>
          <t>MK-NW-M-014</t>
        </is>
      </c>
      <c r="F39" s="3" t="inlineStr">
        <is>
          <t>Named by 1 figure(s)</t>
        </is>
      </c>
    </row>
    <row r="40">
      <c r="A40" s="3" t="inlineStr">
        <is>
          <t>MK-NW-E-009</t>
        </is>
      </c>
      <c r="B40" s="3" t="inlineStr">
        <is>
          <t>POT_AT_RETIREMENT</t>
        </is>
      </c>
      <c r="C40" s="3" t="inlineStr">
        <is>
          <t>src/domain/retirement/index.ts:324</t>
        </is>
      </c>
      <c r="D40" s="3" t="inlineStr">
        <is>
          <t>What will the pot be worth at retirement, and how big does it need to be?</t>
        </is>
      </c>
      <c r="E40" s="3" t="inlineStr">
        <is>
          <t>MK-CF-M-022 · MK-NW-M-015 · MK-PL-M-026 · MK-PL-M-033</t>
        </is>
      </c>
      <c r="F40" s="3" t="inlineStr">
        <is>
          <t>Named by 4 figure(s)</t>
        </is>
      </c>
    </row>
    <row r="41">
      <c r="A41" s="3" t="inlineStr">
        <is>
          <t>MK-NW-E-010</t>
        </is>
      </c>
      <c r="B41" s="3" t="inlineStr">
        <is>
          <t>NET_WORTH · DEBT_PICTURE</t>
        </is>
      </c>
      <c r="C41" s="3" t="inlineStr">
        <is>
          <t>NOT DETERMINED — no source line on record</t>
        </is>
      </c>
      <c r="D41" s="3" t="inlineStr">
        <is>
          <t>—</t>
        </is>
      </c>
      <c r="E41" s="3" t="inlineStr">
        <is>
          <t>MK-NW-M-017</t>
        </is>
      </c>
      <c r="F41" s="3" t="inlineStr">
        <is>
          <t>Named by 1 figure(s)</t>
        </is>
      </c>
    </row>
    <row r="42">
      <c r="A42" s="3" t="inlineStr">
        <is>
          <t>MK-NW-E-011</t>
        </is>
      </c>
      <c r="B42" s="3" t="inlineStr">
        <is>
          <t>HAND_VALUE_AGE</t>
        </is>
      </c>
      <c r="C42" s="3" t="inlineStr">
        <is>
          <t>src/domain/assets/index.ts:97</t>
        </is>
      </c>
      <c r="D42" s="3" t="inlineStr">
        <is>
          <t>How old is this hand-entered value?</t>
        </is>
      </c>
      <c r="E42" s="3" t="inlineStr">
        <is>
          <t>MK-NW-M-018 · MK-PL-M-016</t>
        </is>
      </c>
      <c r="F42" s="3" t="inlineStr">
        <is>
          <t>Named by 2 figure(s)</t>
        </is>
      </c>
    </row>
    <row r="43">
      <c r="A43" s="3" t="inlineStr">
        <is>
          <t>MK-NW-E-012</t>
        </is>
      </c>
      <c r="B43" s="3" t="inlineStr">
        <is>
          <t>the ledger sum of interest and dividends for the account</t>
        </is>
      </c>
      <c r="C43" s="3" t="inlineStr">
        <is>
          <t>NOT DETERMINED — no source line on record</t>
        </is>
      </c>
      <c r="D43" s="3" t="inlineStr">
        <is>
          <t>—</t>
        </is>
      </c>
      <c r="E43" s="3" t="inlineStr">
        <is>
          <t>MK-NW-M-019</t>
        </is>
      </c>
      <c r="F43" s="3" t="inlineStr">
        <is>
          <t>Named by 1 figure(s)</t>
        </is>
      </c>
    </row>
    <row r="44">
      <c r="A44" s="3" t="inlineStr">
        <is>
          <t>MK-NW-E-013</t>
        </is>
      </c>
      <c r="B44" s="3" t="inlineStr">
        <is>
          <t>the ledger sum for that holding</t>
        </is>
      </c>
      <c r="C44" s="3" t="inlineStr">
        <is>
          <t>NOT DETERMINED — no source line on record</t>
        </is>
      </c>
      <c r="D44" s="3" t="inlineStr">
        <is>
          <t>—</t>
        </is>
      </c>
      <c r="E44" s="3" t="inlineStr">
        <is>
          <t>MK-NW-M-021</t>
        </is>
      </c>
      <c r="F44" s="3" t="inlineStr">
        <is>
          <t>Named by 1 figure(s)</t>
        </is>
      </c>
    </row>
    <row r="45">
      <c r="A45" s="3" t="inlineStr">
        <is>
          <t>MK-NW-E-014</t>
        </is>
      </c>
      <c r="B45" s="3" t="inlineStr">
        <is>
          <t>HISTORY_DEPTH</t>
        </is>
      </c>
      <c r="C45" s="3" t="inlineStr">
        <is>
          <t>src/services/sync/snaptrade.ts:284</t>
        </is>
      </c>
      <c r="D45" s="3" t="inlineStr">
        <is>
          <t>How far back does this source's activity history go?</t>
        </is>
      </c>
      <c r="E45" s="3" t="inlineStr">
        <is>
          <t>MK-NW-M-022</t>
        </is>
      </c>
      <c r="F45" s="3" t="inlineStr">
        <is>
          <t>Named by 1 figure(s)</t>
        </is>
      </c>
    </row>
    <row r="46">
      <c r="A46" s="3" t="inlineStr">
        <is>
          <t>MK-NW-E-015</t>
        </is>
      </c>
      <c r="B46" s="3" t="inlineStr">
        <is>
          <t>BOND_FACTS</t>
        </is>
      </c>
      <c r="C46" s="3" t="inlineStr">
        <is>
          <t>src/domain/bonds/index.ts:16</t>
        </is>
      </c>
      <c r="D46" s="3" t="inlineStr">
        <is>
          <t>What are this holding's bond facts?</t>
        </is>
      </c>
      <c r="E46" s="3" t="inlineStr">
        <is>
          <t>MK-NW-M-023 · MK-NW-M-041 · MK-NW-M-042</t>
        </is>
      </c>
      <c r="F46" s="3" t="inlineStr">
        <is>
          <t>Named by 3 figure(s)</t>
        </is>
      </c>
    </row>
    <row r="47">
      <c r="A47" s="3" t="inlineStr">
        <is>
          <t>MK-NW-E-016</t>
        </is>
      </c>
      <c r="B47" s="3" t="inlineStr">
        <is>
          <t>BOND_COUPON</t>
        </is>
      </c>
      <c r="C47" s="3" t="inlineStr">
        <is>
          <t>src/domain/bonds/index.ts:21</t>
        </is>
      </c>
      <c r="D47" s="3" t="inlineStr">
        <is>
          <t>How much income does this bond pay in a year?</t>
        </is>
      </c>
      <c r="E47" s="3" t="inlineStr">
        <is>
          <t>MK-NW-M-024 · MK-NW-M-043</t>
        </is>
      </c>
      <c r="F47" s="3" t="inlineStr">
        <is>
          <t>Named by 2 figure(s)</t>
        </is>
      </c>
    </row>
    <row r="48">
      <c r="A48" s="3" t="inlineStr">
        <is>
          <t>MK-NW-E-017</t>
        </is>
      </c>
      <c r="B48" s="3" t="inlineStr">
        <is>
          <t>BOND_YEARS_LEFT</t>
        </is>
      </c>
      <c r="C48" s="3" t="inlineStr">
        <is>
          <t>src/domain/bonds/index.ts:24</t>
        </is>
      </c>
      <c r="D48" s="3" t="inlineStr">
        <is>
          <t>How long until this bond pays back?</t>
        </is>
      </c>
      <c r="E48" s="3" t="inlineStr">
        <is>
          <t>MK-NW-M-025</t>
        </is>
      </c>
      <c r="F48" s="3" t="inlineStr">
        <is>
          <t>Named by 1 figure(s)</t>
        </is>
      </c>
    </row>
    <row r="49">
      <c r="A49" s="3" t="inlineStr">
        <is>
          <t>MK-NW-E-018</t>
        </is>
      </c>
      <c r="B49" s="3" t="inlineStr">
        <is>
          <t>BOND_YIELD_TO_MATURITY</t>
        </is>
      </c>
      <c r="C49" s="3" t="inlineStr">
        <is>
          <t>src/domain/bonds/index.ts:33</t>
        </is>
      </c>
      <c r="D49" s="3" t="inlineStr">
        <is>
          <t>What will this bond earn me a year if I hold it to the end?</t>
        </is>
      </c>
      <c r="E49" s="3" t="inlineStr">
        <is>
          <t>MK-NW-M-026</t>
        </is>
      </c>
      <c r="F49" s="3" t="inlineStr">
        <is>
          <t>Named by 1 figure(s)</t>
        </is>
      </c>
    </row>
    <row r="50">
      <c r="A50" s="3" t="inlineStr">
        <is>
          <t>MK-NW-E-019</t>
        </is>
      </c>
      <c r="B50" s="3" t="inlineStr">
        <is>
          <t>BOND_CURRENT_YIELD</t>
        </is>
      </c>
      <c r="C50" s="3" t="inlineStr">
        <is>
          <t>src/domain/bonds/index.ts:29</t>
        </is>
      </c>
      <c r="D50" s="3" t="inlineStr">
        <is>
          <t>What is this bond paying me, measured against what it is worth today?</t>
        </is>
      </c>
      <c r="E50" s="3" t="inlineStr">
        <is>
          <t>MK-NW-M-027 · MK-NW-M-044</t>
        </is>
      </c>
      <c r="F50" s="3" t="inlineStr">
        <is>
          <t>Named by 2 figure(s)</t>
        </is>
      </c>
    </row>
    <row r="51">
      <c r="A51" s="3" t="inlineStr">
        <is>
          <t>MK-NW-E-020</t>
        </is>
      </c>
      <c r="B51" s="3" t="inlineStr">
        <is>
          <t>BOND_RATE_SENSITIVITY</t>
        </is>
      </c>
      <c r="C51" s="3" t="inlineStr">
        <is>
          <t>NOT DETERMINED — no source line on record</t>
        </is>
      </c>
      <c r="D51" s="3" t="inlineStr">
        <is>
          <t>—</t>
        </is>
      </c>
      <c r="E51" s="3" t="inlineStr">
        <is>
          <t>MK-NW-M-028</t>
        </is>
      </c>
      <c r="F51" s="3" t="inlineStr">
        <is>
          <t>Named by 1 figure(s)</t>
        </is>
      </c>
    </row>
    <row r="52">
      <c r="A52" s="3" t="inlineStr">
        <is>
          <t>MK-NW-E-021</t>
        </is>
      </c>
      <c r="B52" s="3" t="inlineStr">
        <is>
          <t>the price feed, with its freshness</t>
        </is>
      </c>
      <c r="C52" s="3" t="inlineStr">
        <is>
          <t>NOT DETERMINED — no source line on record</t>
        </is>
      </c>
      <c r="D52" s="3" t="inlineStr">
        <is>
          <t>—</t>
        </is>
      </c>
      <c r="E52" s="3" t="inlineStr">
        <is>
          <t>MK-NW-M-029</t>
        </is>
      </c>
      <c r="F52" s="3" t="inlineStr">
        <is>
          <t>Named by 1 figure(s)</t>
        </is>
      </c>
    </row>
    <row r="53">
      <c r="A53" s="3" t="inlineStr">
        <is>
          <t>MK-NW-E-022</t>
        </is>
      </c>
      <c r="B53" s="3" t="inlineStr">
        <is>
          <t>HOLDING_MARKET_VALUE</t>
        </is>
      </c>
      <c r="C53" s="3" t="inlineStr">
        <is>
          <t>src/domain/performance/index.ts:47</t>
        </is>
      </c>
      <c r="D53" s="3" t="inlineStr">
        <is>
          <t>What is this holding worth right now?</t>
        </is>
      </c>
      <c r="E53" s="3" t="inlineStr">
        <is>
          <t>MK-NW-M-030 · MK-NW-M-040</t>
        </is>
      </c>
      <c r="F53" s="3" t="inlineStr">
        <is>
          <t>Named by 2 figure(s)</t>
        </is>
      </c>
    </row>
    <row r="54">
      <c r="A54" s="3" t="inlineStr">
        <is>
          <t>MK-NW-E-023</t>
        </is>
      </c>
      <c r="B54" s="3" t="inlineStr">
        <is>
          <t>HOLDING_COST_BASIS</t>
        </is>
      </c>
      <c r="C54" s="3" t="inlineStr">
        <is>
          <t>src/domain/performance/index.ts:40</t>
        </is>
      </c>
      <c r="D54" s="3" t="inlineStr">
        <is>
          <t>What did I pay for this in total?</t>
        </is>
      </c>
      <c r="E54" s="3" t="inlineStr">
        <is>
          <t>MK-NW-M-032 · MK-NW-M-033</t>
        </is>
      </c>
      <c r="F54" s="3" t="inlineStr">
        <is>
          <t>Named by 2 figure(s)</t>
        </is>
      </c>
    </row>
    <row r="55">
      <c r="A55" s="3" t="inlineStr">
        <is>
          <t>MK-NW-E-024</t>
        </is>
      </c>
      <c r="B55" s="3" t="inlineStr">
        <is>
          <t>the ledger sum of dividends over twelve months</t>
        </is>
      </c>
      <c r="C55" s="3" t="inlineStr">
        <is>
          <t>NOT DETERMINED — no source line on record</t>
        </is>
      </c>
      <c r="D55" s="3" t="inlineStr">
        <is>
          <t>—</t>
        </is>
      </c>
      <c r="E55" s="3" t="inlineStr">
        <is>
          <t>MK-NW-M-034</t>
        </is>
      </c>
      <c r="F55" s="3" t="inlineStr">
        <is>
          <t>Named by 1 figure(s)</t>
        </is>
      </c>
    </row>
    <row r="56">
      <c r="A56" s="3" t="inlineStr">
        <is>
          <t>MK-NW-E-025</t>
        </is>
      </c>
      <c r="B56" s="3" t="inlineStr">
        <is>
          <t>REALISED_GAIN</t>
        </is>
      </c>
      <c r="C56" s="3" t="inlineStr">
        <is>
          <t>src/domain/performance/realized.ts:14</t>
        </is>
      </c>
      <c r="D56" s="3" t="inlineStr">
        <is>
          <t>How much profit have I actually taken?</t>
        </is>
      </c>
      <c r="E56" s="3" t="inlineStr">
        <is>
          <t>MK-NW-M-035</t>
        </is>
      </c>
      <c r="F56" s="3" t="inlineStr">
        <is>
          <t>Named by 1 figure(s)</t>
        </is>
      </c>
    </row>
    <row r="57">
      <c r="A57" s="3" t="inlineStr">
        <is>
          <t>MK-NW-E-026</t>
        </is>
      </c>
      <c r="B57" s="3" t="inlineStr">
        <is>
          <t>HOLDING_CAP_GAINS</t>
        </is>
      </c>
      <c r="C57" s="3" t="inlineStr">
        <is>
          <t>src/domain/performance/index.ts:63</t>
        </is>
      </c>
      <c r="D57" s="3" t="inlineStr">
        <is>
          <t>If I sold this today, how much of the gain is long-term and how much short-term?</t>
        </is>
      </c>
      <c r="E57" s="3" t="inlineStr">
        <is>
          <t>MK-NW-M-036 · MK-NW-M-037</t>
        </is>
      </c>
      <c r="F57" s="3" t="inlineStr">
        <is>
          <t>Named by 2 figure(s)</t>
        </is>
      </c>
    </row>
    <row r="58">
      <c r="A58" s="3" t="inlineStr">
        <is>
          <t>MK-NW-E-027</t>
        </is>
      </c>
      <c r="B58" s="3" t="inlineStr">
        <is>
          <t>the account balance being itemised</t>
        </is>
      </c>
      <c r="C58" s="3" t="inlineStr">
        <is>
          <t>NOT DETERMINED — no source line on record</t>
        </is>
      </c>
      <c r="D58" s="3" t="inlineStr">
        <is>
          <t>—</t>
        </is>
      </c>
      <c r="E58" s="3" t="inlineStr">
        <is>
          <t>MK-NW-M-038</t>
        </is>
      </c>
      <c r="F58" s="3" t="inlineStr">
        <is>
          <t>Named by 1 figure(s)</t>
        </is>
      </c>
    </row>
    <row r="59">
      <c r="A59" s="3" t="inlineStr">
        <is>
          <t>MK-NW-E-028</t>
        </is>
      </c>
      <c r="B59" s="3" t="inlineStr">
        <is>
          <t>BOND_FACTS · BOND_COUPON</t>
        </is>
      </c>
      <c r="C59" s="3" t="inlineStr">
        <is>
          <t>NOT DETERMINED — no source line on record</t>
        </is>
      </c>
      <c r="D59" s="3" t="inlineStr">
        <is>
          <t>—</t>
        </is>
      </c>
      <c r="E59" s="3" t="inlineStr">
        <is>
          <t>MK-NW-M-045</t>
        </is>
      </c>
      <c r="F59" s="3" t="inlineStr">
        <is>
          <t>Named by 1 figure(s)</t>
        </is>
      </c>
    </row>
    <row r="60">
      <c r="A60" s="3" t="inlineStr">
        <is>
          <t>MK-PF-E-001</t>
        </is>
      </c>
      <c r="B60" s="3" t="inlineStr">
        <is>
          <t>NW_CHANGE_WALK</t>
        </is>
      </c>
      <c r="C60" s="3" t="inlineStr">
        <is>
          <t>src/domain/history.ts:144</t>
        </is>
      </c>
      <c r="D60" s="3" t="inlineStr">
        <is>
          <t>My net worth changed since last time — what actually caused it?</t>
        </is>
      </c>
      <c r="E60" s="3" t="inlineStr">
        <is>
          <t>MK-PF-M-001 · MK-PF-M-002 · MK-PF-M-003 · MK-PF-M-004</t>
        </is>
      </c>
      <c r="F60" s="3" t="inlineStr">
        <is>
          <t>Named by 4 figure(s)</t>
        </is>
      </c>
    </row>
    <row r="61">
      <c r="A61" s="3" t="inlineStr">
        <is>
          <t>MK-PF-E-002</t>
        </is>
      </c>
      <c r="B61" s="3" t="inlineStr">
        <is>
          <t>PERFORMANCE_TABLE</t>
        </is>
      </c>
      <c r="C61" s="3" t="inlineStr">
        <is>
          <t>src/domain/performance/index.ts:191</t>
        </is>
      </c>
      <c r="D61" s="3" t="inlineStr">
        <is>
          <t>What is the full picture for every holding?</t>
        </is>
      </c>
      <c r="E61" s="3" t="inlineStr">
        <is>
          <t>MK-PF-M-005 · MK-PF-M-006 · MK-PF-M-007</t>
        </is>
      </c>
      <c r="F61" s="3" t="inlineStr">
        <is>
          <t>Named by 3 figure(s)</t>
        </is>
      </c>
    </row>
    <row r="62">
      <c r="A62" s="3" t="inlineStr">
        <is>
          <t>MK-PF-E-003</t>
        </is>
      </c>
      <c r="B62" s="3" t="inlineStr">
        <is>
          <t>BENCHMARK_RETURN_BLENDED</t>
        </is>
      </c>
      <c r="C62" s="3" t="inlineStr">
        <is>
          <t>src/domain/performance/index.ts:293</t>
        </is>
      </c>
      <c r="D62" s="3" t="inlineStr">
        <is>
          <t>What would the matching benchmarks have done over the same period?</t>
        </is>
      </c>
      <c r="E62" s="3" t="inlineStr">
        <is>
          <t>MK-PF-M-008</t>
        </is>
      </c>
      <c r="F62" s="3" t="inlineStr">
        <is>
          <t>Named by 1 figure(s)</t>
        </is>
      </c>
    </row>
    <row r="63">
      <c r="A63" s="3" t="inlineStr">
        <is>
          <t>MK-PF-E-004</t>
        </is>
      </c>
      <c r="B63" s="3" t="inlineStr">
        <is>
          <t>MODIFIED_DIETZ (Calculation Module code/engines/window-return.ts)</t>
        </is>
      </c>
      <c r="C63" s="3" t="inlineStr">
        <is>
          <t>NOT DETERMINED — no source line on record</t>
        </is>
      </c>
      <c r="D63" s="3" t="inlineStr">
        <is>
          <t>—</t>
        </is>
      </c>
      <c r="E63" s="3" t="inlineStr">
        <is>
          <t>MK-PF-M-009</t>
        </is>
      </c>
      <c r="F63" s="3" t="inlineStr">
        <is>
          <t>Named by 1 figure(s)</t>
        </is>
      </c>
    </row>
    <row r="64">
      <c r="A64" s="3" t="inlineStr">
        <is>
          <t>MK-PF-E-005</t>
        </is>
      </c>
      <c r="B64" s="3" t="inlineStr">
        <is>
          <t>LOOK_BACK</t>
        </is>
      </c>
      <c r="C64" s="3" t="inlineStr">
        <is>
          <t>src/domain/performance/lookBack.ts:32</t>
        </is>
      </c>
      <c r="D64" s="3" t="inlineStr">
        <is>
          <t>What if I had moved this money?</t>
        </is>
      </c>
      <c r="E64" s="3" t="inlineStr">
        <is>
          <t>MK-PF-M-010 · MK-PF-M-011 · MK-PF-M-012</t>
        </is>
      </c>
      <c r="F64" s="3" t="inlineStr">
        <is>
          <t>Named by 3 figure(s)</t>
        </is>
      </c>
    </row>
    <row r="65">
      <c r="A65" s="3" t="inlineStr">
        <is>
          <t>MK-PL-E-001</t>
        </is>
      </c>
      <c r="B65" s="3" t="inlineStr">
        <is>
          <t>WHAT_THE_PLAN_STILL_NEEDS</t>
        </is>
      </c>
      <c r="C65" s="3" t="inlineStr">
        <is>
          <t>src/domain/planning/hub.ts:44</t>
        </is>
      </c>
      <c r="D65" s="3" t="inlineStr">
        <is>
          <t>Is there enough to show this person their own odds?</t>
        </is>
      </c>
      <c r="E65" s="3" t="inlineStr">
        <is>
          <t>MK-PL-M-001 · MK-PL-M-002</t>
        </is>
      </c>
      <c r="F65" s="3" t="inlineStr">
        <is>
          <t>Named by 2 figure(s)</t>
        </is>
      </c>
    </row>
    <row r="66">
      <c r="A66" s="3" t="inlineStr">
        <is>
          <t>MK-PL-E-002</t>
        </is>
      </c>
      <c r="B66" s="3" t="inlineStr">
        <is>
          <t>NOT IN OLD MASTER — retirementPaycheckYear, src/domain/paycheck</t>
        </is>
      </c>
      <c r="C66" s="3" t="inlineStr">
        <is>
          <t>NOT DETERMINED — no source line on record</t>
        </is>
      </c>
      <c r="D66" s="3" t="inlineStr">
        <is>
          <t>—</t>
        </is>
      </c>
      <c r="E66" s="3" t="inlineStr">
        <is>
          <t>MK-PL-M-003 · MK-PL-M-004 · MK-PL-M-005</t>
        </is>
      </c>
      <c r="F66" s="3" t="inlineStr">
        <is>
          <t>Named by 3 figure(s)</t>
        </is>
      </c>
    </row>
    <row r="67">
      <c r="A67" s="3" t="inlineStr">
        <is>
          <t>MK-PL-E-003</t>
        </is>
      </c>
      <c r="B67" s="3" t="inlineStr">
        <is>
          <t>NOT IN OLD MASTER — saved scenarios, src/domain/scenarios</t>
        </is>
      </c>
      <c r="C67" s="3" t="inlineStr">
        <is>
          <t>NOT DETERMINED — no source line on record</t>
        </is>
      </c>
      <c r="D67" s="3" t="inlineStr">
        <is>
          <t>—</t>
        </is>
      </c>
      <c r="E67" s="3" t="inlineStr">
        <is>
          <t>MK-PL-M-007</t>
        </is>
      </c>
      <c r="F67" s="3" t="inlineStr">
        <is>
          <t>Named by 1 figure(s)</t>
        </is>
      </c>
    </row>
    <row r="68">
      <c r="A68" s="3" t="inlineStr">
        <is>
          <t>MK-PL-E-004</t>
        </is>
      </c>
      <c r="B68" s="3" t="inlineStr">
        <is>
          <t>GUARANTEED_STREAMS (engines: B1 rebuild)</t>
        </is>
      </c>
      <c r="C68" s="3" t="inlineStr">
        <is>
          <t>NOT DETERMINED — no source line on record</t>
        </is>
      </c>
      <c r="D68" s="3" t="inlineStr">
        <is>
          <t>—</t>
        </is>
      </c>
      <c r="E68" s="3" t="inlineStr">
        <is>
          <t>MK-PL-M-010</t>
        </is>
      </c>
      <c r="F68" s="3" t="inlineStr">
        <is>
          <t>Named by 1 figure(s)</t>
        </is>
      </c>
    </row>
    <row r="69">
      <c r="A69" s="3" t="inlineStr">
        <is>
          <t>MK-PL-E-005</t>
        </is>
      </c>
      <c r="B69" s="3" t="inlineStr">
        <is>
          <t>RMD_START_AGE (Calculation Module code/engines/rmd.ts)</t>
        </is>
      </c>
      <c r="C69" s="3" t="inlineStr">
        <is>
          <t>NOT DETERMINED — no source line on record</t>
        </is>
      </c>
      <c r="D69" s="3" t="inlineStr">
        <is>
          <t>—</t>
        </is>
      </c>
      <c r="E69" s="3" t="inlineStr">
        <is>
          <t>MK-PL-M-012</t>
        </is>
      </c>
      <c r="F69" s="3" t="inlineStr">
        <is>
          <t>Named by 1 figure(s)</t>
        </is>
      </c>
    </row>
    <row r="70">
      <c r="A70" s="3" t="inlineStr">
        <is>
          <t>MK-PL-E-006</t>
        </is>
      </c>
      <c r="B70" s="3" t="inlineStr">
        <is>
          <t>REQUIRED_WITHDRAWAL</t>
        </is>
      </c>
      <c r="C70" s="3" t="inlineStr">
        <is>
          <t>NOT DETERMINED — no source line on record</t>
        </is>
      </c>
      <c r="D70" s="3" t="inlineStr">
        <is>
          <t>—</t>
        </is>
      </c>
      <c r="E70" s="3" t="inlineStr">
        <is>
          <t>MK-PL-M-013 · MK-PL-M-015</t>
        </is>
      </c>
      <c r="F70" s="3" t="inlineStr">
        <is>
          <t>Named by 2 figure(s)</t>
        </is>
      </c>
    </row>
    <row r="71">
      <c r="A71" s="3" t="inlineStr">
        <is>
          <t>MK-PL-E-007</t>
        </is>
      </c>
      <c r="B71" s="3" t="inlineStr">
        <is>
          <t>RETIREMENT_INCOME_NOW</t>
        </is>
      </c>
      <c r="C71" s="3" t="inlineStr">
        <is>
          <t>src/domain/income/onboarding.ts:191</t>
        </is>
      </c>
      <c r="D71" s="3" t="inlineStr">
        <is>
          <t>How much retirement income is arriving TODAY?</t>
        </is>
      </c>
      <c r="E71" s="3" t="inlineStr">
        <is>
          <t>MK-CF-M-011 · MK-CF-M-024 · MK-PL-M-018 · MK-PL-M-032</t>
        </is>
      </c>
      <c r="F71" s="3" t="inlineStr">
        <is>
          <t>Named by 4 figure(s)</t>
        </is>
      </c>
    </row>
    <row r="72">
      <c r="A72" s="3" t="inlineStr">
        <is>
          <t>MK-PL-E-008</t>
        </is>
      </c>
      <c r="B72" s="3" t="inlineStr">
        <is>
          <t>SS_CLAIM_FACTOR · SS_BENEFIT_AT_AGE</t>
        </is>
      </c>
      <c r="C72" s="3" t="inlineStr">
        <is>
          <t>NOT DETERMINED — no source line on record</t>
        </is>
      </c>
      <c r="D72" s="3" t="inlineStr">
        <is>
          <t>—</t>
        </is>
      </c>
      <c r="E72" s="3" t="inlineStr">
        <is>
          <t>MK-PL-M-019</t>
        </is>
      </c>
      <c r="F72" s="3" t="inlineStr">
        <is>
          <t>Named by 1 figure(s)</t>
        </is>
      </c>
    </row>
    <row r="73">
      <c r="A73" s="3" t="inlineStr">
        <is>
          <t>MK-PL-E-009</t>
        </is>
      </c>
      <c r="B73" s="3" t="inlineStr">
        <is>
          <t>SS_LIFETIME_TOTAL</t>
        </is>
      </c>
      <c r="C73" s="3" t="inlineStr">
        <is>
          <t>NOT DETERMINED — no source line on record</t>
        </is>
      </c>
      <c r="D73" s="3" t="inlineStr">
        <is>
          <t>—</t>
        </is>
      </c>
      <c r="E73" s="3" t="inlineStr">
        <is>
          <t>MK-PL-M-020</t>
        </is>
      </c>
      <c r="F73" s="3" t="inlineStr">
        <is>
          <t>Named by 1 figure(s)</t>
        </is>
      </c>
    </row>
    <row r="74">
      <c r="A74" s="3" t="inlineStr">
        <is>
          <t>MK-PL-E-010</t>
        </is>
      </c>
      <c r="B74" s="3" t="inlineStr">
        <is>
          <t>the worked example used until a real statement goes in</t>
        </is>
      </c>
      <c r="C74" s="3" t="inlineStr">
        <is>
          <t>NOT DETERMINED — no source line on record</t>
        </is>
      </c>
      <c r="D74" s="3" t="inlineStr">
        <is>
          <t>—</t>
        </is>
      </c>
      <c r="E74" s="3" t="inlineStr">
        <is>
          <t>MK-PL-M-021</t>
        </is>
      </c>
      <c r="F74" s="3" t="inlineStr">
        <is>
          <t>Named by 1 figure(s)</t>
        </is>
      </c>
    </row>
    <row r="75">
      <c r="A75" s="3" t="inlineStr">
        <is>
          <t>MK-PL-E-011</t>
        </is>
      </c>
      <c r="B75" s="3" t="inlineStr">
        <is>
          <t>the amount the person chose</t>
        </is>
      </c>
      <c r="C75" s="3" t="inlineStr">
        <is>
          <t>On the screen itself — no engine file</t>
        </is>
      </c>
      <c r="D75" s="3" t="inlineStr">
        <is>
          <t>—</t>
        </is>
      </c>
      <c r="E75" s="3" t="inlineStr">
        <is>
          <t>MK-PL-M-022 · MK-PL-M-025 · MK-PL-M-030</t>
        </is>
      </c>
      <c r="F75" s="3" t="inlineStr">
        <is>
          <t>Named by 3 figure(s)</t>
        </is>
      </c>
    </row>
    <row r="76">
      <c r="A76" s="3" t="inlineStr">
        <is>
          <t>MK-PL-E-012</t>
        </is>
      </c>
      <c r="B76" s="3" t="inlineStr">
        <is>
          <t>TAX_ON_CONVERSION</t>
        </is>
      </c>
      <c r="C76" s="3" t="inlineStr">
        <is>
          <t>NOT DETERMINED — no source line on record</t>
        </is>
      </c>
      <c r="D76" s="3" t="inlineStr">
        <is>
          <t>—</t>
        </is>
      </c>
      <c r="E76" s="3" t="inlineStr">
        <is>
          <t>MK-PL-M-023</t>
        </is>
      </c>
      <c r="F76" s="3" t="inlineStr">
        <is>
          <t>Named by 1 figure(s)</t>
        </is>
      </c>
    </row>
    <row r="77">
      <c r="A77" s="3" t="inlineStr">
        <is>
          <t>MK-PL-E-013</t>
        </is>
      </c>
      <c r="B77" s="3" t="inlineStr">
        <is>
          <t>PRE_TAX_BALANCE</t>
        </is>
      </c>
      <c r="C77" s="3" t="inlineStr">
        <is>
          <t>NOT DETERMINED — no source line on record</t>
        </is>
      </c>
      <c r="D77" s="3" t="inlineStr">
        <is>
          <t>—</t>
        </is>
      </c>
      <c r="E77" s="3" t="inlineStr">
        <is>
          <t>MK-PL-M-024</t>
        </is>
      </c>
      <c r="F77" s="3" t="inlineStr">
        <is>
          <t>Named by 1 figure(s)</t>
        </is>
      </c>
    </row>
    <row r="78">
      <c r="A78" s="3" t="inlineStr">
        <is>
          <t>MK-PL-E-014</t>
        </is>
      </c>
      <c r="B78" s="3" t="inlineStr">
        <is>
          <t>the amounts the person chose</t>
        </is>
      </c>
      <c r="C78" s="3" t="inlineStr">
        <is>
          <t>On the screen itself — no engine file</t>
        </is>
      </c>
      <c r="D78" s="3" t="inlineStr">
        <is>
          <t>—</t>
        </is>
      </c>
      <c r="E78" s="3" t="inlineStr">
        <is>
          <t>MK-PL-M-028</t>
        </is>
      </c>
      <c r="F78" s="3" t="inlineStr">
        <is>
          <t>Named by 1 figure(s)</t>
        </is>
      </c>
    </row>
    <row r="79">
      <c r="A79" s="3" t="inlineStr">
        <is>
          <t>MK-PL-E-015</t>
        </is>
      </c>
      <c r="B79" s="3" t="inlineStr">
        <is>
          <t>DEBT_PAYOFF</t>
        </is>
      </c>
      <c r="C79" s="3" t="inlineStr">
        <is>
          <t>NOT DETERMINED — no source line on record</t>
        </is>
      </c>
      <c r="D79" s="3" t="inlineStr">
        <is>
          <t>—</t>
        </is>
      </c>
      <c r="E79" s="3" t="inlineStr">
        <is>
          <t>MK-PL-M-031</t>
        </is>
      </c>
      <c r="F79" s="3" t="inlineStr">
        <is>
          <t>Named by 1 figure(s)</t>
        </is>
      </c>
    </row>
    <row r="80">
      <c r="A80" s="3" t="inlineStr">
        <is>
          <t>MK-PL-E-016</t>
        </is>
      </c>
      <c r="B80" s="3" t="inlineStr">
        <is>
          <t>the age the person chose</t>
        </is>
      </c>
      <c r="C80" s="3" t="inlineStr">
        <is>
          <t>On the screen itself — no engine file</t>
        </is>
      </c>
      <c r="D80" s="3" t="inlineStr">
        <is>
          <t>—</t>
        </is>
      </c>
      <c r="E80" s="3" t="inlineStr">
        <is>
          <t>MK-PL-M-035</t>
        </is>
      </c>
      <c r="F80" s="3" t="inlineStr">
        <is>
          <t>Named by 1 figure(s)</t>
        </is>
      </c>
    </row>
    <row r="81">
      <c r="A81" s="3" t="inlineStr">
        <is>
          <t>MK-PL-E-017</t>
        </is>
      </c>
      <c r="B81" s="3" t="inlineStr">
        <is>
          <t>EDUCATION_COST</t>
        </is>
      </c>
      <c r="C81" s="3" t="inlineStr">
        <is>
          <t>NOT DETERMINED — no source line on record</t>
        </is>
      </c>
      <c r="D81" s="3" t="inlineStr">
        <is>
          <t>—</t>
        </is>
      </c>
      <c r="E81" s="3" t="inlineStr">
        <is>
          <t>MK-PL-M-036 · MK-PL-M-037</t>
        </is>
      </c>
      <c r="F81" s="3" t="inlineStr">
        <is>
          <t>Named by 2 figure(s)</t>
        </is>
      </c>
    </row>
    <row r="82">
      <c r="A82" s="3" t="inlineStr">
        <is>
          <t>MK-XS-E-001</t>
        </is>
      </c>
      <c r="B82" s="3" t="inlineStr">
        <is>
          <t>NET_WORTH</t>
        </is>
      </c>
      <c r="C82" s="3" t="inlineStr">
        <is>
          <t>src/domain/networth/index.ts:12</t>
        </is>
      </c>
      <c r="D82" s="3" t="inlineStr">
        <is>
          <t>What is this household worth?</t>
        </is>
      </c>
      <c r="E82" s="3" t="inlineStr">
        <is>
          <t>MK-NW-M-016 · MK-XS-M-001</t>
        </is>
      </c>
      <c r="F82" s="3" t="inlineStr">
        <is>
          <t>Named by 2 figure(s)</t>
        </is>
      </c>
    </row>
    <row r="83">
      <c r="A83" s="3" t="inlineStr">
        <is>
          <t>MK-XS-E-002</t>
        </is>
      </c>
      <c r="B83" s="3" t="inlineStr">
        <is>
          <t>NEST_EGG</t>
        </is>
      </c>
      <c r="C83" s="3" t="inlineStr">
        <is>
          <t>src/domain/assets/index.ts:548</t>
        </is>
      </c>
      <c r="D83" s="3" t="inlineStr">
        <is>
          <t>What is my retirement pot worth?</t>
        </is>
      </c>
      <c r="E83" s="3" t="inlineStr">
        <is>
          <t>—</t>
        </is>
      </c>
      <c r="F83" s="3" t="inlineStr">
        <is>
          <t>Only as another engine’s dependency — no figure names it directly</t>
        </is>
      </c>
    </row>
    <row r="84">
      <c r="A84" s="3" t="inlineStr">
        <is>
          <t>MK-XS-E-003</t>
        </is>
      </c>
      <c r="B84" s="3" t="inlineStr">
        <is>
          <t>ODDS_DISPLAY</t>
        </is>
      </c>
      <c r="C84" s="3" t="inlineStr">
        <is>
          <t>src/domain/retirement/willItLast.ts:55</t>
        </is>
      </c>
      <c r="D84" s="3" t="inlineStr">
        <is>
          <t>The retirement odds a person actually sees. Answers: 0, 5, 10 … 100 — the exact simulation</t>
        </is>
      </c>
      <c r="E84" s="3" t="inlineStr">
        <is>
          <t>—</t>
        </is>
      </c>
      <c r="F84" s="3" t="inlineStr">
        <is>
          <t>Only as another engine’s dependency — no figure names it directly</t>
        </is>
      </c>
    </row>
    <row r="85">
      <c r="A85" s="3" t="inlineStr">
        <is>
          <t>MK-XS-E-004</t>
        </is>
      </c>
      <c r="B85" s="3" t="inlineStr">
        <is>
          <t>RETIREMENT_SPENDING</t>
        </is>
      </c>
      <c r="C85" s="3" t="inlineStr">
        <is>
          <t>src/domain/retirement/index.ts:49</t>
        </is>
      </c>
      <c r="D85" s="3" t="inlineStr">
        <is>
          <t>What will be spent each month in retirement?</t>
        </is>
      </c>
      <c r="E85" s="3" t="inlineStr">
        <is>
          <t>MK-PL-M-009</t>
        </is>
      </c>
      <c r="F85" s="3" t="inlineStr">
        <is>
          <t>Named by 1 figure(s)</t>
        </is>
      </c>
    </row>
    <row r="86">
      <c r="A86" s="3" t="inlineStr">
        <is>
          <t>MK-XS-E-005</t>
        </is>
      </c>
      <c r="B86" s="3" t="inlineStr">
        <is>
          <t>WILL_IT_LAST</t>
        </is>
      </c>
      <c r="C86" s="3" t="inlineStr">
        <is>
          <t>src/domain/retirement/index.ts:156</t>
        </is>
      </c>
      <c r="D86" s="3" t="inlineStr">
        <is>
          <t>Will my money last?</t>
        </is>
      </c>
      <c r="E86" s="3" t="inlineStr">
        <is>
          <t>—</t>
        </is>
      </c>
      <c r="F86" s="3" t="inlineStr">
        <is>
          <t>Only as another engine’s dependency — no figure names it directly</t>
        </is>
      </c>
    </row>
    <row r="87">
      <c r="A87" s="3" t="inlineStr">
        <is>
          <t>MK-XS-E-006</t>
        </is>
      </c>
      <c r="B87" s="3" t="inlineStr">
        <is>
          <t>WILL_IT_LAST_INPUTS</t>
        </is>
      </c>
      <c r="C87" s="3" t="inlineStr">
        <is>
          <t>src/domain/retirement/willItLast.ts:62</t>
        </is>
      </c>
      <c r="D87" s="3" t="inlineStr">
        <is>
          <t>What goes into working out the odds?</t>
        </is>
      </c>
      <c r="E87" s="3" t="inlineStr">
        <is>
          <t>MK-PL-M-008 · MK-PL-M-011 · MK-PL-M-029</t>
        </is>
      </c>
      <c r="F87" s="3" t="inlineStr">
        <is>
          <t>Named by 3 figure(s)</t>
        </is>
      </c>
    </row>
    <row r="88">
      <c r="A88" s="3" t="inlineStr">
        <is>
          <t>MK-XS-E-007</t>
        </is>
      </c>
      <c r="B88" s="3" t="inlineStr">
        <is>
          <t>WILL_IT_LAST_RESULT</t>
        </is>
      </c>
      <c r="C88" s="3" t="inlineStr">
        <is>
          <t>src/domain/retirement/willItLast.ts:149</t>
        </is>
      </c>
      <c r="D88" s="3" t="inlineStr">
        <is>
          <t>What are the odds, and can we honestly show them?</t>
        </is>
      </c>
      <c r="E88" s="3" t="inlineStr">
        <is>
          <t>MK-PL-M-034 · MK-XS-M-002</t>
        </is>
      </c>
      <c r="F88" s="3" t="inlineStr">
        <is>
          <t>Named by 2 figure(s)</t>
        </is>
      </c>
    </row>
    <row r="89">
      <c r="A89" s="3" t="inlineStr">
        <is>
          <t>MK-XS-E-008</t>
        </is>
      </c>
      <c r="B89" s="3" t="inlineStr">
        <is>
          <t>ASSET_CLASS_OF_ACCOUNT</t>
        </is>
      </c>
      <c r="C89" s="3" t="inlineStr">
        <is>
          <t>src/domain/assets/index.ts:221</t>
        </is>
      </c>
      <c r="D89" s="3" t="inlineStr">
        <is>
          <t>What kind of thing is this account — cash, a bond, shares, or something else?</t>
        </is>
      </c>
      <c r="E89" s="3" t="inlineStr">
        <is>
          <t>—</t>
        </is>
      </c>
      <c r="F89" s="3" t="inlineStr">
        <is>
          <t>Only as another engine’s dependency — no figure names it directly</t>
        </is>
      </c>
    </row>
    <row r="90">
      <c r="A90" s="3" t="inlineStr">
        <is>
          <t>MK-XS-E-009</t>
        </is>
      </c>
      <c r="B90" s="3" t="inlineStr">
        <is>
          <t>TOTAL_INVESTMENTS</t>
        </is>
      </c>
      <c r="C90" s="3" t="inlineStr">
        <is>
          <t>src/domain/assets/index.ts:291</t>
        </is>
      </c>
      <c r="D90" s="3" t="inlineStr">
        <is>
          <t>How much do I have invested?</t>
        </is>
      </c>
      <c r="E90" s="3" t="inlineStr">
        <is>
          <t>MK-XS-M-003</t>
        </is>
      </c>
      <c r="F90" s="3" t="inlineStr">
        <is>
          <t>Named by 1 figure(s)</t>
        </is>
      </c>
    </row>
    <row r="91">
      <c r="A91" s="3" t="inlineStr">
        <is>
          <t>MK-XS-E-010</t>
        </is>
      </c>
      <c r="B91" s="3" t="inlineStr">
        <is>
          <t>VALUE_WEIGHTED_RETURN</t>
        </is>
      </c>
      <c r="C91" s="3" t="inlineStr">
        <is>
          <t>src/domain/performance/index.ts:283</t>
        </is>
      </c>
      <c r="D91" s="3" t="inlineStr">
        <is>
          <t>How did everything I hold do over the chosen period?</t>
        </is>
      </c>
      <c r="E91" s="3" t="inlineStr">
        <is>
          <t>MK-XS-M-004</t>
        </is>
      </c>
      <c r="F91" s="3" t="inlineStr">
        <is>
          <t>Named by 1 figure(s)</t>
        </is>
      </c>
    </row>
    <row r="92">
      <c r="A92" s="3" t="inlineStr">
        <is>
          <t>MK-XS-E-011</t>
        </is>
      </c>
      <c r="B92" s="3" t="inlineStr">
        <is>
          <t>NOT IN OLD MASTER — budgetVsActual, src/domain/budget</t>
        </is>
      </c>
      <c r="C92" s="3" t="inlineStr">
        <is>
          <t>NOT DETERMINED — no source line on record</t>
        </is>
      </c>
      <c r="D92" s="3" t="inlineStr">
        <is>
          <t>—</t>
        </is>
      </c>
      <c r="E92" s="3" t="inlineStr">
        <is>
          <t>MK-CF-M-004 · MK-XS-M-005</t>
        </is>
      </c>
      <c r="F92" s="3" t="inlineStr">
        <is>
          <t>Named by 2 figure(s)</t>
        </is>
      </c>
    </row>
    <row r="93">
      <c r="A93" s="3" t="inlineStr">
        <is>
          <t>MK-XS-E-012</t>
        </is>
      </c>
      <c r="B93" s="3" t="inlineStr">
        <is>
          <t>NOT IN OLD MASTER — incomeMonthlyGrid, src/domain/income</t>
        </is>
      </c>
      <c r="C93" s="3" t="inlineStr">
        <is>
          <t>NOT DETERMINED — no source line on record</t>
        </is>
      </c>
      <c r="D93" s="3" t="inlineStr">
        <is>
          <t>—</t>
        </is>
      </c>
      <c r="E93" s="3" t="inlineStr">
        <is>
          <t>MK-CF-M-018 · MK-XS-M-006</t>
        </is>
      </c>
      <c r="F93" s="3" t="inlineStr">
        <is>
          <t>Named by 2 figure(s)</t>
        </is>
      </c>
    </row>
    <row r="94">
      <c r="A94" s="3" t="inlineStr">
        <is>
          <t>MK-XS-E-013</t>
        </is>
      </c>
      <c r="B94" s="3" t="inlineStr">
        <is>
          <t>FETCH_PRICES</t>
        </is>
      </c>
      <c r="C94" s="3" t="inlineStr">
        <is>
          <t>src/services/marketData.ts:71</t>
        </is>
      </c>
      <c r="D94" s="3" t="inlineStr">
        <is>
          <t>What are these holdings worth?</t>
        </is>
      </c>
      <c r="E94" s="3" t="inlineStr">
        <is>
          <t>—</t>
        </is>
      </c>
      <c r="F94" s="3" t="inlineStr">
        <is>
          <t>Only as another engine’s dependency — no figure names it directly</t>
        </is>
      </c>
    </row>
    <row r="95">
      <c r="A95" s="3" t="inlineStr">
        <is>
          <t>MK-XS-E-014</t>
        </is>
      </c>
      <c r="B95" s="3" t="inlineStr">
        <is>
          <t>SNAPSHOT_READ_ALL</t>
        </is>
      </c>
      <c r="C95" s="3" t="inlineStr">
        <is>
          <t>src/domain/history.ts:107</t>
        </is>
      </c>
      <c r="D95" s="3" t="inlineStr">
        <is>
          <t>What history do we hold?</t>
        </is>
      </c>
      <c r="E95" s="3" t="inlineStr">
        <is>
          <t>—</t>
        </is>
      </c>
      <c r="F95" s="3" t="inlineStr">
        <is>
          <t>Only as another engine’s dependency — no figure names it directly</t>
        </is>
      </c>
    </row>
    <row r="96">
      <c r="A96" s="3" t="inlineStr">
        <is>
          <t>MK-XS-E-015</t>
        </is>
      </c>
      <c r="B96" s="3" t="inlineStr">
        <is>
          <t>ACCOUNT_SPLIT</t>
        </is>
      </c>
      <c r="C96" s="3" t="inlineStr">
        <is>
          <t>src/domain/assets/index.ts:401</t>
        </is>
      </c>
      <c r="D96" s="3" t="inlineStr">
        <is>
          <t>This one brokerage account holds several different things — how much of it is each?</t>
        </is>
      </c>
      <c r="E96" s="3" t="inlineStr">
        <is>
          <t>MK-NW-M-008 · MK-NW-M-020</t>
        </is>
      </c>
      <c r="F96" s="3" t="inlineStr">
        <is>
          <t>Named by 2 figure(s)</t>
        </is>
      </c>
    </row>
    <row r="97">
      <c r="A97" s="3" t="inlineStr">
        <is>
          <t>MK-XS-E-016</t>
        </is>
      </c>
      <c r="B97" s="3" t="inlineStr">
        <is>
          <t>CLASS_FROM_NAME_TEXT</t>
        </is>
      </c>
      <c r="C97" s="3" t="inlineStr">
        <is>
          <t>src/domain/assets/index.ts:193</t>
        </is>
      </c>
      <c r="D97" s="3" t="inlineStr">
        <is>
          <t>Reading the NAME alone, is this cash, a money-market fund, or a CD / T-bill?</t>
        </is>
      </c>
      <c r="E97" s="3" t="inlineStr">
        <is>
          <t>—</t>
        </is>
      </c>
      <c r="F97" s="3" t="inlineStr">
        <is>
          <t>Only as another engine’s dependency — no figure names it directly</t>
        </is>
      </c>
    </row>
    <row r="98">
      <c r="A98" s="3" t="inlineStr">
        <is>
          <t>MK-XS-E-017</t>
        </is>
      </c>
      <c r="B98" s="3" t="inlineStr">
        <is>
          <t>DEBT_MINIMUM_TOTAL</t>
        </is>
      </c>
      <c r="C98" s="3" t="inlineStr">
        <is>
          <t>src/domain/debt/index.ts:55</t>
        </is>
      </c>
      <c r="D98" s="3" t="inlineStr">
        <is>
          <t>What must I pay across all debts to stay current?</t>
        </is>
      </c>
      <c r="E98" s="3" t="inlineStr">
        <is>
          <t>—</t>
        </is>
      </c>
      <c r="F98" s="3" t="inlineStr">
        <is>
          <t>Only as another engine’s dependency — no figure names it directly</t>
        </is>
      </c>
    </row>
    <row r="99">
      <c r="A99" s="3" t="inlineStr">
        <is>
          <t>MK-XS-E-018</t>
        </is>
      </c>
      <c r="B99" s="3" t="inlineStr">
        <is>
          <t>DEBT_PAYMENTS_ACTUAL</t>
        </is>
      </c>
      <c r="C99" s="3" t="inlineStr">
        <is>
          <t>src/domain/debt/index.ts:59</t>
        </is>
      </c>
      <c r="D99" s="3" t="inlineStr">
        <is>
          <t>What is actually going out on debt each month?</t>
        </is>
      </c>
      <c r="E99" s="3" t="inlineStr">
        <is>
          <t>—</t>
        </is>
      </c>
      <c r="F99" s="3" t="inlineStr">
        <is>
          <t>Only as another engine’s dependency — no figure names it directly</t>
        </is>
      </c>
    </row>
    <row r="100">
      <c r="A100" s="3" t="inlineStr">
        <is>
          <t>MK-XS-E-019</t>
        </is>
      </c>
      <c r="B100" s="3" t="inlineStr">
        <is>
          <t>DEBT_SHAPE</t>
        </is>
      </c>
      <c r="C100" s="3" t="inlineStr">
        <is>
          <t>src/domain/debt/index.ts:38</t>
        </is>
      </c>
      <c r="D100" s="3" t="inlineStr">
        <is>
          <t>How is THIS debt repaid?</t>
        </is>
      </c>
      <c r="E100" s="3" t="inlineStr">
        <is>
          <t>—</t>
        </is>
      </c>
      <c r="F100" s="3" t="inlineStr">
        <is>
          <t>Only as another engine’s dependency — no figure names it directly</t>
        </is>
      </c>
    </row>
    <row r="101">
      <c r="A101" s="3" t="inlineStr">
        <is>
          <t>MK-XS-E-020</t>
        </is>
      </c>
      <c r="B101" s="3" t="inlineStr">
        <is>
          <t>READ_A_NUMBER</t>
        </is>
      </c>
      <c r="C101" s="3" t="inlineStr">
        <is>
          <t>src/domain/_shared/num.ts:4</t>
        </is>
      </c>
      <c r="D101" s="3" t="inlineStr">
        <is>
          <t>What number did the person actually type?</t>
        </is>
      </c>
      <c r="E101" s="3" t="inlineStr">
        <is>
          <t>—</t>
        </is>
      </c>
      <c r="F101" s="3" t="inlineStr">
        <is>
          <t>Only as another engine’s dependency — no figure names it directly</t>
        </is>
      </c>
    </row>
    <row r="102">
      <c r="A102" s="3" t="inlineStr">
        <is>
          <t>MK-XS-E-021</t>
        </is>
      </c>
      <c r="B102" s="3" t="inlineStr">
        <is>
          <t>SPENDING_BY_KIND</t>
        </is>
      </c>
      <c r="C102" s="3" t="inlineStr">
        <is>
          <t>src/domain/budget/index.ts:72</t>
        </is>
      </c>
      <c r="D102" s="3" t="inlineStr">
        <is>
          <t>What is spent each month, split by kind?</t>
        </is>
      </c>
      <c r="E102" s="3" t="inlineStr">
        <is>
          <t>MK-CF-M-013 · MK-CF-M-014 · MK-MN-M-021</t>
        </is>
      </c>
      <c r="F102" s="3" t="inlineStr">
        <is>
          <t>Named by 3 figure(s)</t>
        </is>
      </c>
    </row>
    <row r="103">
      <c r="A103" s="3" t="inlineStr">
        <is>
          <t>MK-XS-E-022</t>
        </is>
      </c>
      <c r="B103" s="3" t="inlineStr">
        <is>
          <t>HOLDING_SHARES</t>
        </is>
      </c>
      <c r="C103" s="3" t="inlineStr">
        <is>
          <t>src/domain/performance/index.ts:37</t>
        </is>
      </c>
      <c r="D103" s="3" t="inlineStr">
        <is>
          <t>How many shares of this do I own?</t>
        </is>
      </c>
      <c r="E103" s="3" t="inlineStr">
        <is>
          <t>MK-NW-M-031</t>
        </is>
      </c>
      <c r="F103" s="3" t="inlineStr">
        <is>
          <t>Named by 1 figure(s)</t>
        </is>
      </c>
    </row>
    <row r="104">
      <c r="A104" s="3" t="inlineStr">
        <is>
          <t>MK-XS-E-023</t>
        </is>
      </c>
      <c r="B104" s="3" t="inlineStr">
        <is>
          <t>BENCHMARK_FOR_KIND</t>
        </is>
      </c>
      <c r="C104" s="3" t="inlineStr">
        <is>
          <t>src/domain/performance/index.ts:167</t>
        </is>
      </c>
      <c r="D104" s="3" t="inlineStr">
        <is>
          <t>What should this holding be compared against?</t>
        </is>
      </c>
      <c r="E104" s="3" t="inlineStr">
        <is>
          <t>—</t>
        </is>
      </c>
      <c r="F104" s="3" t="inlineStr">
        <is>
          <t>Only as another engine’s dependency — no figure names it directly</t>
        </is>
      </c>
    </row>
    <row r="105">
      <c r="A105" s="3" t="inlineStr">
        <is>
          <t>MK-XS-E-024</t>
        </is>
      </c>
      <c r="B105" s="3" t="inlineStr">
        <is>
          <t>HOLDING_FIRST_BOUGHT</t>
        </is>
      </c>
      <c r="C105" s="3" t="inlineStr">
        <is>
          <t>src/domain/performance/index.ts:146</t>
        </is>
      </c>
      <c r="D105" s="3" t="inlineStr">
        <is>
          <t>When did I first buy this?</t>
        </is>
      </c>
      <c r="E105" s="3" t="inlineStr">
        <is>
          <t>—</t>
        </is>
      </c>
      <c r="F105" s="3" t="inlineStr">
        <is>
          <t>Only as another engine’s dependency — no figure names it directly</t>
        </is>
      </c>
    </row>
    <row r="106">
      <c r="A106" s="3" t="inlineStr">
        <is>
          <t>MK-XS-E-025</t>
        </is>
      </c>
      <c r="B106" s="3" t="inlineStr">
        <is>
          <t>HOLDING_TOTAL_ROI</t>
        </is>
      </c>
      <c r="C106" s="3" t="inlineStr">
        <is>
          <t>src/domain/performance/index.ts:89</t>
        </is>
      </c>
      <c r="D106" s="3" t="inlineStr">
        <is>
          <t>How much am I up on this in percentage terms, since I bought it?</t>
        </is>
      </c>
      <c r="E106" s="3" t="inlineStr">
        <is>
          <t>—</t>
        </is>
      </c>
      <c r="F106" s="3" t="inlineStr">
        <is>
          <t>Only as another engine’s dependency — no figure names it directly</t>
        </is>
      </c>
    </row>
    <row r="107">
      <c r="A107" s="3" t="inlineStr">
        <is>
          <t>MK-XS-E-026</t>
        </is>
      </c>
      <c r="B107" s="3" t="inlineStr">
        <is>
          <t>HOLDING_UNREALISED_GAIN</t>
        </is>
      </c>
      <c r="C107" s="3" t="inlineStr">
        <is>
          <t>src/domain/performance/index.ts:51</t>
        </is>
      </c>
      <c r="D107" s="3" t="inlineStr">
        <is>
          <t>How much am I up or down on this?</t>
        </is>
      </c>
      <c r="E107" s="3" t="inlineStr">
        <is>
          <t>—</t>
        </is>
      </c>
      <c r="F107" s="3" t="inlineStr">
        <is>
          <t>Only as another engine’s dependency — no figure names it directly</t>
        </is>
      </c>
    </row>
    <row r="108">
      <c r="A108" s="3" t="inlineStr">
        <is>
          <t>MK-XS-E-027</t>
        </is>
      </c>
      <c r="B108" s="3" t="inlineStr">
        <is>
          <t>PERIOD_RETURN</t>
        </is>
      </c>
      <c r="C108" s="3" t="inlineStr">
        <is>
          <t>src/domain/performance/index.ts:122</t>
        </is>
      </c>
      <c r="D108" s="3" t="inlineStr">
        <is>
          <t>What did this holding do over the chosen period?</t>
        </is>
      </c>
      <c r="E108" s="3" t="inlineStr">
        <is>
          <t>—</t>
        </is>
      </c>
      <c r="F108" s="3" t="inlineStr">
        <is>
          <t>Only as another engine’s dependency — no figure names it directly</t>
        </is>
      </c>
    </row>
    <row r="109">
      <c r="A109" s="3" t="inlineStr">
        <is>
          <t>MK-XS-E-028</t>
        </is>
      </c>
      <c r="B109" s="3" t="inlineStr">
        <is>
          <t>PERIOD_START_DATE</t>
        </is>
      </c>
      <c r="C109" s="3" t="inlineStr">
        <is>
          <t>src/domain/performance/index.ts:96</t>
        </is>
      </c>
      <c r="D109" s="3" t="inlineStr">
        <is>
          <t>Which date does the chosen period start from?</t>
        </is>
      </c>
      <c r="E109" s="3" t="inlineStr">
        <is>
          <t>—</t>
        </is>
      </c>
      <c r="F109" s="3" t="inlineStr">
        <is>
          <t>Only as another engine’s dependency — no figure names it directly</t>
        </is>
      </c>
    </row>
    <row r="110">
      <c r="A110" s="3" t="inlineStr">
        <is>
          <t>MK-XS-E-029</t>
        </is>
      </c>
      <c r="B110" s="3" t="inlineStr">
        <is>
          <t>PRICE_LATEST</t>
        </is>
      </c>
      <c r="C110" s="3" t="inlineStr">
        <is>
          <t>src/domain/performance/index.ts:117</t>
        </is>
      </c>
      <c r="D110" s="3" t="inlineStr">
        <is>
          <t>What is the most recent price we hold for this?</t>
        </is>
      </c>
      <c r="E110" s="3" t="inlineStr">
        <is>
          <t>—</t>
        </is>
      </c>
      <c r="F110" s="3" t="inlineStr">
        <is>
          <t>Only as another engine’s dependency — no figure names it directly</t>
        </is>
      </c>
    </row>
    <row r="111">
      <c r="A111" s="3" t="inlineStr">
        <is>
          <t>MK-XS-E-030</t>
        </is>
      </c>
      <c r="B111" s="3" t="inlineStr">
        <is>
          <t>RETURN_SINCE_A_DATE</t>
        </is>
      </c>
      <c r="C111" s="3" t="inlineStr">
        <is>
          <t>src/domain/performance/index.ts:137</t>
        </is>
      </c>
      <c r="D111" s="3" t="inlineStr">
        <is>
          <t>What did this do between a given date and today?</t>
        </is>
      </c>
      <c r="E111" s="3" t="inlineStr">
        <is>
          <t>—</t>
        </is>
      </c>
      <c r="F111" s="3" t="inlineStr">
        <is>
          <t>Only as another engine’s dependency — no figure names it directly</t>
        </is>
      </c>
    </row>
    <row r="112">
      <c r="A112" s="3" t="inlineStr">
        <is>
          <t>MK-XS-E-031</t>
        </is>
      </c>
      <c r="B112" s="3" t="inlineStr">
        <is>
          <t>PRICE_FACTOR_OVER_WINDOW</t>
        </is>
      </c>
      <c r="C112" s="3" t="inlineStr">
        <is>
          <t>src/domain/performance/lookBack.ts:19</t>
        </is>
      </c>
      <c r="D112" s="3" t="inlineStr">
        <is>
          <t>By what multiple did this price move over the last N months?</t>
        </is>
      </c>
      <c r="E112" s="3" t="inlineStr">
        <is>
          <t>—</t>
        </is>
      </c>
      <c r="F112" s="3" t="inlineStr">
        <is>
          <t>Only as another engine’s dependency — no figure names it directly</t>
        </is>
      </c>
    </row>
    <row r="113">
      <c r="A113" s="3" t="inlineStr">
        <is>
          <t>MK-XS-E-032</t>
        </is>
      </c>
      <c r="B113" s="3" t="inlineStr">
        <is>
          <t>EFFECTIVE_TAX_RATE</t>
        </is>
      </c>
      <c r="C113" s="3" t="inlineStr">
        <is>
          <t>src/domain/income/tax.ts:130</t>
        </is>
      </c>
      <c r="D113" s="3" t="inlineStr">
        <is>
          <t>What share of my income actually goes in tax?</t>
        </is>
      </c>
      <c r="E113" s="3" t="inlineStr">
        <is>
          <t>—</t>
        </is>
      </c>
      <c r="F113" s="3" t="inlineStr">
        <is>
          <t>Only as another engine’s dependency — no figure names it directly</t>
        </is>
      </c>
    </row>
    <row r="114">
      <c r="A114" s="3" t="inlineStr">
        <is>
          <t>MK-XS-E-033</t>
        </is>
      </c>
      <c r="B114" s="3" t="inlineStr">
        <is>
          <t>EXPECTED_RETURN_BLENDED</t>
        </is>
      </c>
      <c r="C114" s="3" t="inlineStr">
        <is>
          <t>src/domain/assets/index.ts:638</t>
        </is>
      </c>
      <c r="D114" s="3" t="inlineStr">
        <is>
          <t>What return should I expect on everything I hold together?</t>
        </is>
      </c>
      <c r="E114" s="3" t="inlineStr">
        <is>
          <t>—</t>
        </is>
      </c>
      <c r="F114" s="3" t="inlineStr">
        <is>
          <t>Only as another engine’s dependency — no figure names it directly</t>
        </is>
      </c>
    </row>
    <row r="115">
      <c r="A115" s="3" t="inlineStr">
        <is>
          <t>MK-XS-E-034</t>
        </is>
      </c>
      <c r="B115" s="3" t="inlineStr">
        <is>
          <t>EXPECTED_SWING_BLENDED</t>
        </is>
      </c>
      <c r="C115" s="3" t="inlineStr">
        <is>
          <t>src/domain/assets/index.ts:597</t>
        </is>
      </c>
      <c r="D115" s="3" t="inlineStr">
        <is>
          <t>How much does a year's return typically swing around that average?</t>
        </is>
      </c>
      <c r="E115" s="3" t="inlineStr">
        <is>
          <t>—</t>
        </is>
      </c>
      <c r="F115" s="3" t="inlineStr">
        <is>
          <t>Only as another engine’s dependency — no figure names it directly</t>
        </is>
      </c>
    </row>
    <row r="116">
      <c r="A116" s="3" t="inlineStr">
        <is>
          <t>MK-XS-E-035</t>
        </is>
      </c>
      <c r="B116" s="3" t="inlineStr">
        <is>
          <t>FILING_STATUS</t>
        </is>
      </c>
      <c r="C116" s="3" t="inlineStr">
        <is>
          <t>src/domain/income/onboarding.ts:354</t>
        </is>
      </c>
      <c r="D116" s="3" t="inlineStr">
        <is>
          <t>How does this person file?</t>
        </is>
      </c>
      <c r="E116" s="3" t="inlineStr">
        <is>
          <t>—</t>
        </is>
      </c>
      <c r="F116" s="3" t="inlineStr">
        <is>
          <t>Only as another engine’s dependency — no figure names it directly</t>
        </is>
      </c>
    </row>
    <row r="117">
      <c r="A117" s="3" t="inlineStr">
        <is>
          <t>MK-XS-E-036</t>
        </is>
      </c>
      <c r="B117" s="3" t="inlineStr">
        <is>
          <t>GUARANTEED_OUTSIDE_STREAMS</t>
        </is>
      </c>
      <c r="C117" s="3" t="inlineStr">
        <is>
          <t>src/domain/income/onboarding.ts:227</t>
        </is>
      </c>
      <c r="D117" s="3" t="inlineStr">
        <is>
          <t>The plan's guaranteed-income input as separate streams of OUTSIDE money only. Answers: zer</t>
        </is>
      </c>
      <c r="E117" s="3" t="inlineStr">
        <is>
          <t>—</t>
        </is>
      </c>
      <c r="F117" s="3" t="inlineStr">
        <is>
          <t>Only as another engine’s dependency — no figure names it directly</t>
        </is>
      </c>
    </row>
    <row r="118">
      <c r="A118" s="3" t="inlineStr">
        <is>
          <t>MK-XS-E-037</t>
        </is>
      </c>
      <c r="B118" s="3" t="inlineStr">
        <is>
          <t>MONTHLY_SAVING</t>
        </is>
      </c>
      <c r="C118" s="3" t="inlineStr">
        <is>
          <t>src/domain/assets/index.ts:695</t>
        </is>
      </c>
      <c r="D118" s="3" t="inlineStr">
        <is>
          <t>How much goes in each month?</t>
        </is>
      </c>
      <c r="E118" s="3" t="inlineStr">
        <is>
          <t>—</t>
        </is>
      </c>
      <c r="F118" s="3" t="inlineStr">
        <is>
          <t>Only as another engine’s dependency — no figure names it directly</t>
        </is>
      </c>
    </row>
    <row r="119">
      <c r="A119" s="3" t="inlineStr">
        <is>
          <t>MK-XS-E-038</t>
        </is>
      </c>
      <c r="B119" s="3" t="inlineStr">
        <is>
          <t>REPORTED_RETURN</t>
        </is>
      </c>
      <c r="C119" s="3" t="inlineStr">
        <is>
          <t>src/domain/assets/index.ts:108</t>
        </is>
      </c>
      <c r="D119" s="3" t="inlineStr">
        <is>
          <t>What return did the person say they actually earned over the past year?</t>
        </is>
      </c>
      <c r="E119" s="3" t="inlineStr">
        <is>
          <t>—</t>
        </is>
      </c>
      <c r="F119" s="3" t="inlineStr">
        <is>
          <t>Only as another engine’s dependency — no figure names it directly</t>
        </is>
      </c>
    </row>
    <row r="120">
      <c r="A120" s="3" t="inlineStr">
        <is>
          <t>MK-XS-E-039</t>
        </is>
      </c>
      <c r="B120" s="3" t="inlineStr">
        <is>
          <t>SPLIT_BY_HOW_IT_IS_TAXED</t>
        </is>
      </c>
      <c r="C120" s="3" t="inlineStr">
        <is>
          <t>src/domain/decumulation/index.ts:11</t>
        </is>
      </c>
      <c r="D120" s="3" t="inlineStr">
        <is>
          <t>How is the retirement money split by the tax that will be owed on it?</t>
        </is>
      </c>
      <c r="E120" s="3" t="inlineStr">
        <is>
          <t>—</t>
        </is>
      </c>
      <c r="F120" s="3" t="inlineStr">
        <is>
          <t>Only as another engine’s dependency — no figure names it directly</t>
        </is>
      </c>
    </row>
    <row r="121">
      <c r="A121" s="3" t="inlineStr">
        <is>
          <t>MK-XS-E-040</t>
        </is>
      </c>
      <c r="B121" s="3" t="inlineStr">
        <is>
          <t>SS_BENEFIT_AT_AGE</t>
        </is>
      </c>
      <c r="C121" s="3" t="inlineStr">
        <is>
          <t>src/domain/retirement/ssTiming.ts:54</t>
        </is>
      </c>
      <c r="D121" s="3" t="inlineStr">
        <is>
          <t>The monthly Social Security check at a chosen claim age, in today's dollars. Answers: a wh</t>
        </is>
      </c>
      <c r="E121" s="3" t="inlineStr">
        <is>
          <t>MK-PL-M-017</t>
        </is>
      </c>
      <c r="F121" s="3" t="inlineStr">
        <is>
          <t>Named by 1 figure(s)</t>
        </is>
      </c>
    </row>
    <row r="122">
      <c r="A122" s="3" t="inlineStr">
        <is>
          <t>MK-XS-E-041</t>
        </is>
      </c>
      <c r="B122" s="3" t="inlineStr">
        <is>
          <t>STATE_TAX_RATE</t>
        </is>
      </c>
      <c r="C122" s="3" t="inlineStr">
        <is>
          <t>src/domain/income/onboarding.ts:358</t>
        </is>
      </c>
      <c r="D122" s="3" t="inlineStr">
        <is>
          <t>What state tax rate applies?</t>
        </is>
      </c>
      <c r="E122" s="3" t="inlineStr">
        <is>
          <t>—</t>
        </is>
      </c>
      <c r="F122" s="3" t="inlineStr">
        <is>
          <t>Only as another engine’s dependency — no figure names it directly</t>
        </is>
      </c>
    </row>
    <row r="123">
      <c r="A123" s="3" t="inlineStr">
        <is>
          <t>MK-XS-E-042</t>
        </is>
      </c>
      <c r="B123" s="3" t="inlineStr">
        <is>
          <t>SWING_FROM_RETURN</t>
        </is>
      </c>
      <c r="C123" s="3" t="inlineStr">
        <is>
          <t>src/domain/retirement/willItLast.ts:19</t>
        </is>
      </c>
      <c r="D123" s="3" t="inlineStr">
        <is>
          <t>How much might a year's return swing, judged from the return alone?</t>
        </is>
      </c>
      <c r="E123" s="3" t="inlineStr">
        <is>
          <t>—</t>
        </is>
      </c>
      <c r="F123" s="3" t="inlineStr">
        <is>
          <t>Only as another engine’s dependency — no figure names it directly</t>
        </is>
      </c>
    </row>
    <row r="124">
      <c r="A124" s="3" t="inlineStr">
        <is>
          <t>MK-XS-E-043</t>
        </is>
      </c>
      <c r="B124" s="3" t="inlineStr">
        <is>
          <t>TAX_OVER65_COUNT</t>
        </is>
      </c>
      <c r="C124" s="3" t="inlineStr">
        <is>
          <t>src/domain/income/onboarding.ts:405</t>
        </is>
      </c>
      <c r="D124" s="3" t="inlineStr">
        <is>
          <t xml:space="preserve">How many people on the tax return are 65 or older — the input the over-65 deduction needs </t>
        </is>
      </c>
      <c r="E124" s="3" t="inlineStr">
        <is>
          <t>—</t>
        </is>
      </c>
      <c r="F124" s="3" t="inlineStr">
        <is>
          <t>Only as another engine’s dependency — no figure names it directly</t>
        </is>
      </c>
    </row>
    <row r="125">
      <c r="A125" s="3" t="inlineStr">
        <is>
          <t>MK-XS-E-044</t>
        </is>
      </c>
      <c r="B125" s="3" t="inlineStr">
        <is>
          <t>TOTAL_INCOME</t>
        </is>
      </c>
      <c r="C125" s="3" t="inlineStr">
        <is>
          <t>src/domain/income/onboarding.ts:337</t>
        </is>
      </c>
      <c r="D125" s="3" t="inlineStr">
        <is>
          <t>What is the whole household income for the year, before tax?</t>
        </is>
      </c>
      <c r="E125" s="3" t="inlineStr">
        <is>
          <t>MK-CF-M-006 · MK-CF-M-007 · MK-CF-M-008 · MK-CF-M-027 · MK-MN-M-011 · MK-MN-M-012 · MK-MN-M-013</t>
        </is>
      </c>
      <c r="F125" s="3" t="inlineStr">
        <is>
          <t>Named by 7 figure(s)</t>
        </is>
      </c>
    </row>
    <row r="126">
      <c r="A126" s="3" t="inlineStr">
        <is>
          <t>MK-XS-E-045</t>
        </is>
      </c>
      <c r="B126" s="3" t="inlineStr">
        <is>
          <t>COST_OF_LIVING</t>
        </is>
      </c>
      <c r="C126" s="3" t="inlineStr">
        <is>
          <t>src/domain/retirement/col.ts:53</t>
        </is>
      </c>
      <c r="D126" s="3" t="inlineStr">
        <is>
          <t>How much more or less does life cost where they plan to live?</t>
        </is>
      </c>
      <c r="E126" s="3" t="inlineStr">
        <is>
          <t>—</t>
        </is>
      </c>
      <c r="F126" s="3" t="inlineStr">
        <is>
          <t>Only as another engine’s dependency — no figure names it directly</t>
        </is>
      </c>
    </row>
    <row r="127">
      <c r="A127" s="3" t="inlineStr">
        <is>
          <t>MK-XS-E-046</t>
        </is>
      </c>
      <c r="B127" s="3" t="inlineStr">
        <is>
          <t>SS_CLAIM_FACTOR</t>
        </is>
      </c>
      <c r="C127" s="3" t="inlineStr">
        <is>
          <t>src/domain/retirement/ssTiming.ts:34</t>
        </is>
      </c>
      <c r="D127" s="3" t="inlineStr">
        <is>
          <t>How much of the statement amount a claim age actually pays, anchored at the person's OWN f</t>
        </is>
      </c>
      <c r="E127" s="3" t="inlineStr">
        <is>
          <t>—</t>
        </is>
      </c>
      <c r="F127" s="3" t="inlineStr">
        <is>
          <t>Only as another engine’s dependency — no figure names it directly</t>
        </is>
      </c>
    </row>
    <row r="128">
      <c r="A128" s="3" t="inlineStr">
        <is>
          <t>MK-XS-E-047</t>
        </is>
      </c>
      <c r="B128" s="3" t="inlineStr">
        <is>
          <t>RETIREMENT_INCOME</t>
        </is>
      </c>
      <c r="C128" s="3" t="inlineStr">
        <is>
          <t>src/domain/income/onboarding.ts:213</t>
        </is>
      </c>
      <c r="D128" s="3" t="inlineStr">
        <is>
          <t>How much retirement income arrives monthly?</t>
        </is>
      </c>
      <c r="E128" s="3" t="inlineStr">
        <is>
          <t>MK-CF-M-023</t>
        </is>
      </c>
      <c r="F128" s="3" t="inlineStr">
        <is>
          <t>Named by 1 figure(s)</t>
        </is>
      </c>
    </row>
    <row r="129">
      <c r="A129" s="3" t="inlineStr">
        <is>
          <t>MK-XS-E-048</t>
        </is>
      </c>
      <c r="B129" s="3" t="inlineStr">
        <is>
          <t>SS_FULL_RETIREMENT_AGE</t>
        </is>
      </c>
      <c r="C129" s="3" t="inlineStr">
        <is>
          <t>src/domain/retirement/ssTiming.ts:23</t>
        </is>
      </c>
      <c r="D129" s="3" t="inlineStr">
        <is>
          <t>The person's own Social Security full retirement age. Answers: 66 (born through 1954) · 66</t>
        </is>
      </c>
      <c r="E129" s="3" t="inlineStr">
        <is>
          <t>—</t>
        </is>
      </c>
      <c r="F129" s="3" t="inlineStr">
        <is>
          <t>Only as another engine’s dependency — no figure names it directly</t>
        </is>
      </c>
    </row>
    <row r="130">
      <c r="A130" s="3" t="inlineStr">
        <is>
          <t>MK-XS-E-049</t>
        </is>
      </c>
      <c r="B130" s="3" t="inlineStr">
        <is>
          <t>EQUITY_THIS_YEAR</t>
        </is>
      </c>
      <c r="C130" s="3" t="inlineStr">
        <is>
          <t>src/domain/income/onboarding.ts:114</t>
        </is>
      </c>
      <c r="D130" s="3" t="inlineStr">
        <is>
          <t>How much equity vests this year?</t>
        </is>
      </c>
      <c r="E130" s="3" t="inlineStr">
        <is>
          <t>—</t>
        </is>
      </c>
      <c r="F130" s="3" t="inlineStr">
        <is>
          <t>Only as another engine’s dependency — no figure names it directly</t>
        </is>
      </c>
    </row>
    <row r="131">
      <c r="A131" s="3" t="inlineStr">
        <is>
          <t>MK-XS-E-050</t>
        </is>
      </c>
      <c r="B131" s="3" t="inlineStr">
        <is>
          <t>OTHER_INCOME</t>
        </is>
      </c>
      <c r="C131" s="3" t="inlineStr">
        <is>
          <t>src/domain/income/onboarding.ts:161</t>
        </is>
      </c>
      <c r="D131" s="3" t="inlineStr">
        <is>
          <t>What else comes in?</t>
        </is>
      </c>
      <c r="E131" s="3" t="inlineStr">
        <is>
          <t>—</t>
        </is>
      </c>
      <c r="F131" s="3" t="inlineStr">
        <is>
          <t>Only as another engine’s dependency — no figure names it directly</t>
        </is>
      </c>
    </row>
    <row r="132">
      <c r="A132" s="3" t="inlineStr">
        <is>
          <t>MK-XS-E-051</t>
        </is>
      </c>
      <c r="B132" s="3" t="inlineStr">
        <is>
          <t>RENTAL_INCOME_A_YEAR</t>
        </is>
      </c>
      <c r="C132" s="3" t="inlineStr">
        <is>
          <t>src/domain/income/onboarding.ts:142</t>
        </is>
      </c>
      <c r="D132" s="3" t="inlineStr">
        <is>
          <t>What do the rentals net over a year?</t>
        </is>
      </c>
      <c r="E132" s="3" t="inlineStr">
        <is>
          <t>MK-CF-M-010</t>
        </is>
      </c>
      <c r="F132" s="3" t="inlineStr">
        <is>
          <t>Named by 1 figure(s)</t>
        </is>
      </c>
    </row>
    <row r="133">
      <c r="A133" s="3" t="inlineStr">
        <is>
          <t>MK-XS-E-052</t>
        </is>
      </c>
      <c r="B133" s="3" t="inlineStr">
        <is>
          <t>SALARY_A_YEAR</t>
        </is>
      </c>
      <c r="C133" s="3" t="inlineStr">
        <is>
          <t>src/domain/income/onboarding.ts:331</t>
        </is>
      </c>
      <c r="D133" s="3" t="inlineStr">
        <is>
          <t>What is the salary for the year?</t>
        </is>
      </c>
      <c r="E133" s="3" t="inlineStr">
        <is>
          <t>—</t>
        </is>
      </c>
      <c r="F133" s="3" t="inlineStr">
        <is>
          <t>Only as another engine’s dependency — no figure names it directly</t>
        </is>
      </c>
    </row>
    <row r="134">
      <c r="A134" s="3" t="inlineStr">
        <is>
          <t>MK-XS-E-053</t>
        </is>
      </c>
      <c r="B134" s="3" t="inlineStr">
        <is>
          <t>TIPS_A_YEAR</t>
        </is>
      </c>
      <c r="C134" s="3" t="inlineStr">
        <is>
          <t>src/domain/income/onboarding.ts:204</t>
        </is>
      </c>
      <c r="D134" s="3" t="inlineStr">
        <is>
          <t>What do tips come to over the year?</t>
        </is>
      </c>
      <c r="E134" s="3" t="inlineStr">
        <is>
          <t>—</t>
        </is>
      </c>
      <c r="F134" s="3" t="inlineStr">
        <is>
          <t>Only as another engine’s dependency — no figure names it directly</t>
        </is>
      </c>
    </row>
    <row r="135">
      <c r="A135" s="3" t="inlineStr">
        <is>
          <t>MK-XS-E-054</t>
        </is>
      </c>
      <c r="B135" s="3" t="inlineStr">
        <is>
          <t>RENTALS</t>
        </is>
      </c>
      <c r="C135" s="3" t="inlineStr">
        <is>
          <t>src/domain/income/onboarding.ts:129</t>
        </is>
      </c>
      <c r="D135" s="3" t="inlineStr">
        <is>
          <t>What rental properties are there, and what does each bring in?</t>
        </is>
      </c>
      <c r="E135" s="3" t="inlineStr">
        <is>
          <t>—</t>
        </is>
      </c>
      <c r="F135" s="3" t="inlineStr">
        <is>
          <t>Only as another engine’s dependency — no figure names it directly</t>
        </is>
      </c>
    </row>
    <row r="136">
      <c r="A136" s="3" t="inlineStr">
        <is>
          <t>MK-XS-E-055</t>
        </is>
      </c>
      <c r="B136" s="3" t="inlineStr">
        <is>
          <t>IS_PHYSICAL_ASSET</t>
        </is>
      </c>
      <c r="C136" s="3" t="inlineStr">
        <is>
          <t>src/domain/assets/index.ts:253</t>
        </is>
      </c>
      <c r="D136" s="3" t="inlineStr">
        <is>
          <t>Is this something physical you own rather than money you could spend?</t>
        </is>
      </c>
      <c r="E136" s="3" t="inlineStr">
        <is>
          <t>—</t>
        </is>
      </c>
      <c r="F136" s="3" t="inlineStr">
        <is>
          <t>Only as another engine’s dependency — no figure names it directly</t>
        </is>
      </c>
    </row>
    <row r="137">
      <c r="A137" s="3" t="inlineStr">
        <is>
          <t>MK-XS-E-056</t>
        </is>
      </c>
      <c r="B137" s="3" t="inlineStr">
        <is>
          <t>TAX_DEDUCTION</t>
        </is>
      </c>
      <c r="C137" s="3" t="inlineStr">
        <is>
          <t>src/domain/income/tax.ts:105</t>
        </is>
      </c>
      <c r="D137" s="3" t="inlineStr">
        <is>
          <t>What amount of income is tax-free before the brackets start. Answers: $16,100 single · $32</t>
        </is>
      </c>
      <c r="E137" s="3" t="inlineStr">
        <is>
          <t>—</t>
        </is>
      </c>
      <c r="F137" s="3" t="inlineStr">
        <is>
          <t>Only as another engine’s dependency — no figure names it directly</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62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60" customWidth="1" min="7" max="7"/>
    <col width="64" customWidth="1" min="8" max="8"/>
    <col width="34" customWidth="1" min="9" max="9"/>
    <col width="42" customWidth="1" min="10" max="10"/>
    <col width="30" customWidth="1" min="11" max="11"/>
    <col width="62" customWidth="1" min="12" max="12"/>
    <col width="54" customWidth="1" min="13" max="13"/>
    <col width="14" customWidth="1" min="14" max="14"/>
    <col width="34" customWidth="1" min="15" max="15"/>
    <col width="12" customWidth="1" min="16" max="16"/>
    <col width="52" customWidth="1" min="17" max="17"/>
    <col width="66" customWidth="1" min="18" max="18"/>
    <col width="26" customWidth="1" min="19" max="19"/>
    <col width="22" customWidth="1" min="20" max="20"/>
    <col width="34" customWidth="1" min="21" max="21"/>
    <col width="20" customWidth="1" min="22" max="22"/>
    <col width="70" customWidth="1" min="24" max="24"/>
    <col width="30" customWidth="1" min="25" max="25"/>
  </cols>
  <sheetData>
    <row r="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0" t="inlineStr">
        <is>
          <t>Founder comment — 2026-08-26 (the column and metric row it was written on)</t>
        </is>
      </c>
      <c r="X1" s="10" t="inlineStr">
        <is>
          <t>Answer to the founder comment — checked against the code, 2026-09-08 (what the code does · verdict · fix)</t>
        </is>
      </c>
      <c r="Y1" s="10" t="inlineStr">
        <is>
          <t>STATUS — this row</t>
        </is>
      </c>
    </row>
    <row r="2">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row>
    <row r="3">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3"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Y3" s="3" t="inlineStr">
        <is>
          <t>NOTHING OPEN</t>
        </is>
      </c>
    </row>
    <row r="4">
      <c r="A4" s="3" t="inlineStr">
        <is>
          <t>MK-CF-F-002</t>
        </is>
      </c>
      <c r="B4" s="3" t="inlineStr">
        <is>
          <t>plannedMonthlySpend</t>
        </is>
      </c>
      <c r="C4" s="3" t="inlineStr">
        <is>
          <t>src/domain/budget/index.ts</t>
        </is>
      </c>
      <c r="D4" s="3" t="n">
        <v>87</v>
      </c>
      <c r="E4" s="3" t="inlineStr">
        <is>
          <t>2 · DISPLAYED</t>
        </is>
      </c>
      <c r="F4" s="3" t="inlineStr">
        <is>
          <t>The single canonical "planned monthly spend": the itemized buckets OR the stated total, whichever is larger (the stated total can include an uncategorized remainder the buckets don't capture).</t>
        </is>
      </c>
      <c r="G4" s="13"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54</v>
      </c>
      <c r="Q4" s="3" t="inlineStr">
        <is>
          <t>1. MK-CF-F-092 incomeMonthlyGrid
2. MK-CF-F-004 spendBuckets
3. MK-XS-F-027 takeHomeMonthly
4. MK-ST-F-052 toNum
5. MK-CF-F-069 benefitActiveMonths
6. MK-CF-F-072 currentRetirementIncomeMonthly
7. MK-CF-F-065 equityVestWeights
8. MK-CF-F-071 extraIncome
9. MK-ST-F-056 has
10. MK-CF-F-132 map
11. MK-CF-F-087 monthlyTaxRates
12. MK-CF-F-073 otherIncomeMonth
13. MK-CF-F-181 rateInForce
14. MK-CF-F-068 rentalNetAnnual
15. MK-CF-F-066 rsuAnnual
16. MK-CF-F-060 salaryGrossByMonth
17. MK-CF-F-077 scholarshipByCalendarMonth
18. MK-CF-F-088 taxableByCalendarMonth
19. MK-PL-F-012 waterfall
20. MK-CF-F-003 categoryMonthly
21. MK-CF-F-011 savingsByMonth
22. MK-XS-F-122 n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MK-CF-F-120 pctBaseMonthly
42. MK-CF-F-008 spendByMonth
43. MK-CF-F-101 taxOwedFor
44. MK-CF-F-100 taxableIncomeFor
45. MK-CF-F-172 hasWage
46. MK-CF-F-074 tipsAnnual
47. MK-CF-F-130 enteredMonthlyRaw
48. MK-CF-F-166 hasMonthlySalaryTable
49. MK-ST-F-036 reconcile
50. MK-CF-F-167 salaryCalendarYear
51. MK-CF-F-099 deductionFor
52. MK-CF-F-081 salaryActiveMonths
53. MK-CF-F-165 salaryMonths
54. MK-CF-F-187 seniorDeductionFor</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Y4" s="3" t="inlineStr">
        <is>
          <t>NOTHING OPEN</t>
        </is>
      </c>
    </row>
    <row r="5">
      <c r="A5" s="3" t="inlineStr">
        <is>
          <t>MK-CF-F-003</t>
        </is>
      </c>
      <c r="B5" s="3" t="inlineStr">
        <is>
          <t>categoryMonthly</t>
        </is>
      </c>
      <c r="C5" s="3" t="inlineStr">
        <is>
          <t>src/domain/budget/index.ts</t>
        </is>
      </c>
      <c r="D5" s="3" t="n">
        <v>169</v>
      </c>
      <c r="E5" s="3" t="inlineStr">
        <is>
          <t>2 · DISPLAYED</t>
        </is>
      </c>
      <c r="F5" s="3" t="inlineStr">
        <is>
          <t>Canonical per-category planned $/month — the ONE conversion the buckets AND the Budget screen share, so a category's on-screen line item ALWAYS reconciles with its bucket total (build-34 #3).</t>
        </is>
      </c>
      <c r="G5" s="13"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53</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MK-CF-F-132 map
13. MK-CF-F-087 monthlyTaxRates
14. MK-CF-F-073 otherIncomeMonth
15. MK-CF-F-181 rateInForce
16. MK-CF-F-068 rentalNetAnnual
17. MK-CF-F-066 rsuAnnual
18. MK-CF-F-060 salaryGrossByMonth
19. MK-CF-F-077 scholarshipByCalendarMonth
20. MK-CF-F-088 taxableByCalendarMonth
21. MK-PL-F-012 waterfall
22. MK-CF-F-008 spendByMonth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MK-CF-F-004 spendBuckets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Y5" s="3" t="inlineStr">
        <is>
          <t>NOTHING OPEN</t>
        </is>
      </c>
    </row>
    <row r="6">
      <c r="A6" s="3" t="inlineStr">
        <is>
          <t>MK-CF-F-004</t>
        </is>
      </c>
      <c r="B6" s="3" t="inlineStr">
        <is>
          <t>spendBuckets</t>
        </is>
      </c>
      <c r="C6" s="3" t="inlineStr">
        <is>
          <t>src/domain/budget/index.ts</t>
        </is>
      </c>
      <c r="D6" s="3" t="n">
        <v>220</v>
      </c>
      <c r="E6" s="3" t="inlineStr">
        <is>
          <t>2 · DISPLAYED</t>
        </is>
      </c>
      <c r="F6" s="3" t="inlineStr">
        <is>
          <t>Roll the per-category expenses up into the three monthly-normalized buckets.</t>
        </is>
      </c>
      <c r="G6" s="13"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53</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MK-CF-F-067 rentalList
39. MK-CF-F-063 rowVestYear
40. MK-CF-F-176 sumMonthsOverEarners
41. MK-CF-F-177 wageGrossByMonth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Y6" s="3" t="inlineStr">
        <is>
          <t>NOTHING OPEN</t>
        </is>
      </c>
    </row>
    <row r="7">
      <c r="A7" s="3" t="inlineStr">
        <is>
          <t>MK-CF-F-005</t>
        </is>
      </c>
      <c r="B7" s="3" t="inlineStr">
        <is>
          <t>actualMonthFlow</t>
        </is>
      </c>
      <c r="C7" s="3" t="inlineStr">
        <is>
          <t>MoneyKeel/functions/cashflow/this-month.ts</t>
        </is>
      </c>
      <c r="D7" s="3" t="n">
        <v>242</v>
      </c>
      <c r="E7" s="3" t="inlineStr">
        <is>
          <t>2 · DISPLAYED</t>
        </is>
      </c>
      <c r="F7" s="3" t="inlineStr">
        <is>
          <t>WHAT HAS ACTUALLY HAPPENED: what landed, less only the debts confirmed paid, less what was really spent.</t>
        </is>
      </c>
      <c r="G7" s="13" t="inlineStr">
        <is>
          <t>logged = expenses (or none when missing) where in month(each, ym)
paid for = debt payments by debt(m)
lines = [{ label: inflow label('actual inflow', inflow sources), amount: (take home monthly), kind: 'in' }]
paid = paid for.get(debt id) (or 0 when missing)
matched = Σ over [...paid for.values()] of (each)
unmatched = all debt paid − matched
expenses = logged where category ! = DEBT_CATEGORY
spent = Σ over expenses of (amount read as a number (0 when it is not one))
the answer:
lines = lines
surplus = cash(lines.reduce((t, l) =&gt; t + amount, 0))</t>
        </is>
      </c>
      <c r="H7" s="3" t="inlineStr">
        <is>
          <t>Logged is expenses (or none — when missing) where in month(each, ym). Paid for is debt payments by debt(m). Lines is [{ label: inflow label('actual inflow', inflow sources), amount: (take home monthly), kind: 'in' }]. Paid is paid for.get(debt id) (or 0 — when missing). Matched: the each added up across [...paid for.values()]. Unmatched is all debt paid minus matched. Expenses is logged where category ! = DEBT_CATEGORY. Spent: the amount read as a number (0 — when it is one is missing) added up across expenses. The answer is lines = lines; surplus = cash(lines.reduce((t, l) =&gt; t plus amount, 0)).</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MK-CF-F-155 cash
2. MK-CF-F-157 debtPaymentsByDebt
3. MK-CF-F-148 inMonth
4. MK-CF-F-192 inflowLabel
5. MK-CF-F-023 requiredPayment
6. MK-XS-F-027 takeHomeMonthly
7. MK-ST-F-052 toNum
8. MK-CF-F-191 ym</t>
        </is>
      </c>
      <c r="P7" s="3" t="n">
        <v>64</v>
      </c>
      <c r="Q7" s="3" t="inlineStr">
        <is>
          <t>1. MK-CF-F-155 cash
2. MK-CF-F-157 debtPaymentsByDebt
3. MK-CF-F-148 inMonth
4. MK-CF-F-192 inflowLabel
5. MK-CF-F-023 requiredPayment
6. MK-XS-F-027 takeHomeMonthly
7. MK-ST-F-052 toNum
8. MK-CF-F-191 ym
9. MK-XS-F-122 n
10. MK-XS-F-180 declareFigures
11. MK-CF-F-132 map
12. MK-CF-F-193 inflowSourceWord
13. MK-CF-F-022 paymentShape
14. MK-CF-F-092 incomeMonthlyGrid
15. MK-CF-F-011 savingsByMonth
16. MK-CF-F-021 defaultPaymentType
17. MK-CF-F-069 benefitActiveMonths
18. MK-CF-F-072 currentRetirementIncomeMonthly
19. MK-CF-F-065 equityVestWeights
20. MK-CF-F-071 extraIncome
21. MK-ST-F-056 has
22. MK-CF-F-087 monthlyTaxRates
23. MK-CF-F-073 otherIncomeMonth
24. MK-CF-F-181 rateInForce
25. MK-CF-F-068 rentalNetAnnual
26. MK-CF-F-066 rsuAnnual
27. MK-CF-F-060 salaryGrossByMonth
28. MK-CF-F-077 scholarshipByCalendarMonth
29. MK-CF-F-088 taxableByCalendarMonth
30. MK-PL-F-012 waterfall
31. MK-CF-F-008 spendByMonth
32. MK-CF-F-075 retirementIncomeMonthly
33. MK-CF-F-062 equityRowValue
34. MK-CF-F-070 benefitAnnual
35. MK-ST-F-039 on
36. MK-CF-F-090 effectiveRate
37. MK-CF-F-085 filingStatusOf
38. MK-CF-F-089 over65CountOf
39. MK-CF-F-098 progressiveMonthlyTax
40. MK-CF-F-086 stateRateOf
41. MK-CF-F-173 earnerWages
42. MK-CF-F-102 effectiveRateOnGrossFor
43. MK-CF-F-180 enteredLandsAnnual
44. MK-CF-F-082 salaryAnnual
45. MK-CF-F-084 taxableAnnual
46. MK-CF-F-067 rentalList
47. MK-CF-F-063 rowVestYear
48. MK-CF-F-176 sumMonthsOverEarners
49. MK-CF-F-177 wageGrossByMonth
50. MK-CF-F-120 pctBaseMonthly
51. MK-CF-F-004 spendBuckets
52. MK-CF-F-101 taxOwedFor
53. MK-CF-F-100 taxableIncomeFor
54. MK-CF-F-172 hasWage
55. MK-CF-F-074 tipsAnnual
56. MK-CF-F-130 enteredMonthlyRaw
57. MK-CF-F-166 hasMonthlySalaryTable
58. MK-ST-F-036 reconcile
59. MK-CF-F-167 salaryCalendarYear
60. MK-CF-F-003 categoryMonthly
61. MK-CF-F-099 deductionFor
62. MK-CF-F-081 salaryActiveMonths
63. MK-CF-F-165 salaryMonths
64. MK-CF-F-187 seniorDeductionFor</t>
        </is>
      </c>
      <c r="R7" s="3" t="inlineStr">
        <is>
          <t>1. MK-XS-F-122 n → MK-CF-F-155 cash → MK-CF-F-005 actualMonthFlow
2. MK-XS-F-180 declareFigures → MK-CF-F-157 debtPaymentsByDebt → MK-CF-F-005 actualMonthFlow
3. MK-CF-F-191 ym → MK-CF-F-148 inMonth → MK-CF-F-157 debtPaymentsByDebt → MK-CF-F-005 actualMonthFlow
4. MK-CF-F-132 map → MK-CF-F-157 debtPaymentsByDebt → MK-CF-F-005 actualMonthFlow
5. MK-XS-F-122 n → MK-ST-F-052 toNum → MK-CF-F-157 debtPaymentsByDebt → MK-CF-F-005 actualMonthFlow
6. MK-CF-F-191 ym → MK-CF-F-157 debtPaymentsByDebt → MK-CF-F-005 actualMonthFlow
7. MK-CF-F-191 ym → MK-CF-F-148 inMonth → MK-CF-F-005 actualMonthFlow
8. MK-CF-F-193 inflowSourceWord → MK-CF-F-192 inflowLabel → MK-CF-F-005 actualMonthFlow
9. … and 5 more paths</t>
        </is>
      </c>
      <c r="S7" s="3" t="inlineStr">
        <is>
          <t>—</t>
        </is>
      </c>
      <c r="T7" s="3" t="inlineStr">
        <is>
          <t>—</t>
        </is>
      </c>
      <c r="U7" s="3" t="inlineStr">
        <is>
          <t>ACTIVE</t>
        </is>
      </c>
      <c r="V7" s="3" t="inlineStr">
        <is>
          <t>2026-09-12</t>
        </is>
      </c>
      <c r="Y7" s="3" t="inlineStr">
        <is>
          <t>NOTHING OPEN</t>
        </is>
      </c>
    </row>
    <row r="8">
      <c r="A8" s="3" t="inlineStr">
        <is>
          <t>MK-CF-F-006</t>
        </is>
      </c>
      <c r="B8" s="3" t="inlineStr">
        <is>
          <t>allocatableThisMonth</t>
        </is>
      </c>
      <c r="C8" s="3" t="inlineStr">
        <is>
          <t>src/domain/budget/index.ts</t>
        </is>
      </c>
      <c r="D8" s="3" t="n">
        <v>257</v>
      </c>
      <c r="E8" s="3" t="inlineStr">
        <is>
          <t>2 · DISPLAYED</t>
        </is>
      </c>
      <c r="F8" s="3" t="inlineStr">
        <is>
          <t>What's LEFT of this month's surplus to put to work = surplus − already-allocated this month (never &lt; 0).</t>
        </is>
      </c>
      <c r="G8" s="13"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Y8" s="3" t="inlineStr">
        <is>
          <t>NOTHING OPEN</t>
        </is>
      </c>
    </row>
    <row r="9">
      <c r="A9" s="3" t="inlineStr">
        <is>
          <t>MK-CF-F-007</t>
        </is>
      </c>
      <c r="B9" s="3" t="inlineStr">
        <is>
          <t>nonMonthlyBasis</t>
        </is>
      </c>
      <c r="C9" s="3" t="inlineStr">
        <is>
          <t>src/domain/budget/index.ts</t>
        </is>
      </c>
      <c r="D9" s="3" t="n">
        <v>290</v>
      </c>
      <c r="E9" s="3" t="inlineStr">
        <is>
          <t>2 · DISPLAYED</t>
        </is>
      </c>
      <c r="F9" s="3" t="inlineStr">
        <is>
          <t>Label basis for the non-monthly bucket (e.g.</t>
        </is>
      </c>
      <c r="G9" s="13"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Y9" s="3" t="inlineStr">
        <is>
          <t>NOTHING OPEN</t>
        </is>
      </c>
    </row>
    <row r="10">
      <c r="A10" s="3" t="inlineStr">
        <is>
          <t>MK-CF-F-008</t>
        </is>
      </c>
      <c r="B10" s="3" t="inlineStr">
        <is>
          <t>spendByMonth</t>
        </is>
      </c>
      <c r="C10" s="3" t="inlineStr">
        <is>
          <t>src/domain/budget/index.ts</t>
        </is>
      </c>
      <c r="D10" s="3" t="n">
        <v>344</v>
      </c>
      <c r="E10" s="3" t="inlineStr">
        <is>
          <t>3 · DEPENDENT</t>
        </is>
      </c>
      <c r="F10" s="3" t="inlineStr">
        <is>
          <t>Expenses placed in the calendar months it's actually due (Jan→Dec) — NOT averaged.</t>
        </is>
      </c>
      <c r="G10" s="13"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53</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MK-CF-F-087 monthlyTaxRates
14. MK-CF-F-073 otherIncomeMonth
15. MK-CF-F-181 rateInForce
16. MK-CF-F-068 rentalNetAnnual
17. MK-CF-F-066 rsuAnnual
18. MK-CF-F-060 salaryGrossByMonth
19. MK-CF-F-077 scholarshipByCalendarMonth
20. MK-CF-F-088 taxableByCalendarMonth
21. MK-PL-F-012 waterfall
22. MK-XS-F-027 takeHomeMonthly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MK-CF-F-011 savingsByMonth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Y10" s="3" t="inlineStr">
        <is>
          <t>NOTHING OPEN</t>
        </is>
      </c>
    </row>
    <row r="11">
      <c r="A11" s="3" t="inlineStr">
        <is>
          <t>MK-CF-F-009</t>
        </is>
      </c>
      <c r="B11" s="3" t="inlineStr">
        <is>
          <t>monthlyEssentials</t>
        </is>
      </c>
      <c r="C11" s="3" t="inlineStr">
        <is>
          <t>src/domain/budget/index.ts</t>
        </is>
      </c>
      <c r="D11" s="3" t="n">
        <v>406</v>
      </c>
      <c r="E11" s="3" t="inlineStr">
        <is>
          <t>2 · DISPLAYED</t>
        </is>
      </c>
      <c r="F11" s="3" t="inlineStr">
        <is>
          <t>Monthly money you MUST keep paying — the recurring (non-monthly excluded) Critical + Important bills.</t>
        </is>
      </c>
      <c r="G11" s="13"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1. "If you lost your income" — on the Stress test screen
2. "Your emergency fund" — on the Stress test screen</t>
        </is>
      </c>
      <c r="M11" s="3" t="inlineStr">
        <is>
          <t>· Uses a built-in ess of 0.</t>
        </is>
      </c>
      <c r="N11" s="3" t="inlineStr">
        <is>
          <t>Yes</t>
        </is>
      </c>
      <c r="O11" s="3" t="inlineStr">
        <is>
          <t>1. MK-CF-F-120 pctBaseMonthly
2. MK-CF-F-002 plannedMonthlySpend
3. MK-CF-F-004 spendBuckets
4. MK-ST-F-052 toNum</t>
        </is>
      </c>
      <c r="P11" s="3" t="n">
        <v>55</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MK-CF-F-011 savingsByMonth
25. MK-CF-F-075 retirementIncomeMonthly
26. MK-CF-F-062 equityRowValue
27. MK-CF-F-070 benefitAnnual
28. MK-ST-F-039 on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MK-CF-F-067 rentalList
40. MK-CF-F-063 rowVestYear
41. MK-CF-F-176 sumMonthsOverEarners
42. MK-CF-F-177 wageGrossByMonth
43. MK-CF-F-008 spendByMonth
44. MK-CF-F-101 taxOwedFor
45. MK-CF-F-100 taxableIncomeFor
46. MK-CF-F-172 hasWage
47. MK-CF-F-074 tipsAnnual
48. MK-CF-F-130 enteredMonthlyRaw
49. MK-CF-F-166 hasMonthlySalaryTable
50. MK-ST-F-036 reconcile
51. MK-CF-F-167 salaryCalendarYear
52. MK-CF-F-099 deductionFor
53. MK-CF-F-081 salaryActiveMonths
54. MK-CF-F-165 salaryMonths
55. MK-CF-F-187 seniorDeductionFor</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2026-09-12</t>
        </is>
      </c>
      <c r="Y11" s="3" t="inlineStr">
        <is>
          <t>NOTHING OPEN</t>
        </is>
      </c>
    </row>
    <row r="12">
      <c r="A12" s="3" t="inlineStr">
        <is>
          <t>MK-CF-F-010</t>
        </is>
      </c>
      <c r="B12" s="3" t="inlineStr">
        <is>
          <t>emergencyTest</t>
        </is>
      </c>
      <c r="C12" s="3" t="inlineStr">
        <is>
          <t>src/domain/budget/index.ts</t>
        </is>
      </c>
      <c r="D12" s="3" t="n">
        <v>459</v>
      </c>
      <c r="E12" s="3" t="inlineStr">
        <is>
          <t>2 · DISPLAYED</t>
        </is>
      </c>
      <c r="F12" s="3" t="inlineStr">
        <is>
          <t>"What if a $X emergency hit right now?" — can your cash absorb it, and how long would you last.</t>
        </is>
      </c>
      <c r="G12" s="13"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1. "If you lost your income" — on the Stress test screen
2. "Your emergency fund" — on the Stress test screen</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57</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MK-CF-F-132 map
17. MK-CF-F-087 monthlyTaxRates
18. MK-CF-F-073 otherIncomeMonth
19. MK-CF-F-181 rateInForce
20. MK-CF-F-068 rentalNetAnnual
21. MK-CF-F-066 rsuAnnual
22. MK-CF-F-060 salaryGrossByMonth
23. MK-CF-F-077 scholarshipByCalendarMonth
24. MK-CF-F-088 taxableByCalendarMonth
25. MK-PL-F-012 waterfall
26. MK-CF-F-011 savingsByMonth
27. MK-CF-F-075 retirementIncomeMonthly
28. MK-CF-F-062 equityRowValue
29. MK-CF-F-070 benefitAnnual
30. MK-ST-F-039 on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MK-CF-F-067 rentalList
42. MK-CF-F-063 rowVestYear
43. MK-CF-F-176 sumMonthsOverEarners
44. MK-CF-F-177 wageGrossByMonth
45. MK-CF-F-008 spendByMonth
46. MK-CF-F-101 taxOwedFor
47. MK-CF-F-100 taxableIncomeFor
48. MK-CF-F-172 hasWage
49. MK-CF-F-074 tipsAnnual
50. MK-CF-F-130 enteredMonthlyRaw
51. MK-CF-F-166 hasMonthlySalaryTable
52. MK-ST-F-036 reconcile
53. MK-CF-F-167 salaryCalendarYear
54. MK-CF-F-099 deductionFor
55. MK-CF-F-081 salaryActiveMonths
56. MK-CF-F-165 salaryMonths
57. MK-CF-F-187 seniorDeductionFor</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2026-09-09</t>
        </is>
      </c>
      <c r="Y12" s="6" t="inlineStr">
        <is>
          <t>TESTED, NOT VERIFIED (G21 / Q47)</t>
        </is>
      </c>
    </row>
    <row r="13">
      <c r="A13" s="3" t="inlineStr">
        <is>
          <t>MK-CF-F-011</t>
        </is>
      </c>
      <c r="B13" s="3" t="inlineStr">
        <is>
          <t>savingsByMonth</t>
        </is>
      </c>
      <c r="C13" s="3" t="inlineStr">
        <is>
          <t>src/domain/budget/index.ts</t>
        </is>
      </c>
      <c r="D13" s="3" t="n">
        <v>513</v>
      </c>
      <c r="E13" s="3" t="inlineStr">
        <is>
          <t>2 · DISPLAYED</t>
        </is>
      </c>
      <c r="F13" s="3" t="inlineStr">
        <is>
          <t>Discretionary amount free to save each month = take-home that month (after tax &amp; 401k) minus the expenses due that month.</t>
        </is>
      </c>
      <c r="G13" s="13"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53</v>
      </c>
      <c r="Q13" s="3" t="inlineStr">
        <is>
          <t>1. MK-CF-F-092 incomeMonthlyGrid
2. MK-CF-F-132 map
3. MK-CF-F-008 spendByMonth
4. MK-CF-F-069 benefitActiveMonths
5. MK-CF-F-072 currentRetirementIncomeMonthly
6. MK-CF-F-065 equityVestWeights
7. MK-CF-F-071 extraIncome
8. MK-ST-F-056 has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MK-CF-F-120 pctBaseMonthly
20. MK-CF-F-004 spendBuckets
21. MK-CF-F-075 retirementIncomeMonthly
22. MK-CF-F-062 equityRowValue
23. MK-CF-F-070 benefitAnnual
24. MK-ST-F-039 on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MK-XS-F-122 n
40. MK-CF-F-003 categoryMonthly
41. MK-CF-F-101 taxOwedFor
42. MK-CF-F-100 taxableIncomeFor
43. MK-CF-F-172 hasWage
44. MK-CF-F-074 tipsAnnual
45. MK-CF-F-130 enteredMonthlyRaw
46. MK-CF-F-166 hasMonthlySalaryTable
47. MK-ST-F-036 reconcile
48. MK-CF-F-167 salaryCalendarYear
49. MK-XS-F-027 takeHomeMonthly
50. MK-CF-F-099 deductionFor
51. MK-CF-F-081 salaryActiveMonths
52. MK-CF-F-165 salaryMonths
53. MK-CF-F-187 seniorDeductionFor</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Y13" s="3" t="inlineStr">
        <is>
          <t>NOTHING OPEN</t>
        </is>
      </c>
    </row>
    <row r="14">
      <c r="A14" s="3" t="inlineStr">
        <is>
          <t>MK-CF-F-012</t>
        </is>
      </c>
      <c r="B14" s="3" t="inlineStr">
        <is>
          <t>annualCashflow</t>
        </is>
      </c>
      <c r="C14" s="3" t="inlineStr">
        <is>
          <t>src/domain/budget/index.ts</t>
        </is>
      </c>
      <c r="D14" s="3" t="n">
        <v>543</v>
      </c>
      <c r="E14" s="3" t="inlineStr">
        <is>
          <t>2 · DISPLAYED</t>
        </is>
      </c>
      <c r="F14" s="3" t="inlineStr">
        <is>
          <t>ONE annual cash-flow roll-up, derived entirely from the per-month income grid + spendByMonth — the SAME bases the savings-plan and budget already use.</t>
        </is>
      </c>
      <c r="G14" s="13"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54</v>
      </c>
      <c r="Q14" s="3" t="inlineStr">
        <is>
          <t>1. MK-CF-F-092 incomeMonthlyGrid
2. MK-CF-F-008 spendByMonth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MK-CF-F-120 pctBaseMonthly
20. MK-CF-F-004 spendBuckets
21. MK-CF-F-075 retirementIncomeMonthly
22. MK-CF-F-062 equityRowValue
23. MK-CF-F-070 benefitAnnual
24. MK-ST-F-039 on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MK-XS-F-122 n
40. MK-CF-F-003 categoryMonthly
41. MK-CF-F-101 taxOwedFor
42. MK-CF-F-100 taxableIncomeFor
43. MK-CF-F-172 hasWage
44. MK-CF-F-074 tipsAnnual
45. MK-CF-F-130 enteredMonthlyRaw
46. MK-CF-F-166 hasMonthlySalaryTable
47. MK-ST-F-036 reconcile
48. MK-CF-F-167 salaryCalendarYear
49. MK-XS-F-027 takeHomeMonthly
50. MK-CF-F-099 deductionFor
51. MK-CF-F-081 salaryActiveMonths
52. MK-CF-F-165 salaryMonths
53. MK-CF-F-011 savingsByMonth
54. MK-CF-F-187 seniorDeductionFor</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Y14" s="3" t="inlineStr">
        <is>
          <t>NOTHING OPEN</t>
        </is>
      </c>
    </row>
    <row r="15">
      <c r="A15" s="3" t="inlineStr">
        <is>
          <t>MK-CF-F-013</t>
        </is>
      </c>
      <c r="B15" s="3" t="inlineStr">
        <is>
          <t>budgetFromOnboarding</t>
        </is>
      </c>
      <c r="C15" s="3" t="inlineStr">
        <is>
          <t>src/domain/budget/index.ts</t>
        </is>
      </c>
      <c r="D15" s="3" t="n">
        <v>581</v>
      </c>
      <c r="E15" s="3" t="inlineStr">
        <is>
          <t>3 · DEPENDENT</t>
        </is>
      </c>
      <c r="F15" s="3" t="inlineStr">
        <is>
          <t>NOT DETERMINED — the code carries no note saying what this is for, and it has no row in the old inventory. Needs reading.</t>
        </is>
      </c>
      <c r="G15" s="13"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122</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MK-CF-F-087 monthlyTaxRates
39. MK-CF-F-073 otherIncomeMonth
40. MK-CF-F-181 rateInForce
41. MK-CF-F-068 rentalNetAnnual
42. MK-CF-F-066 rsuAnnual
43. MK-CF-F-060 salaryGrossByMonth
44. MK-CF-F-077 scholarshipByCalendarMonth
45. MK-CF-F-088 taxableByCalendarMonth
46. MK-PL-F-012 waterfall
47. MK-CF-F-011 savingsByMonth
48. MK-CF-F-120 pctBaseMonthly
49. MK-CF-F-138 addLot
50. MK-CF-F-136 bumpCash
51. MK-CF-F-137 findPos
52. MK-CF-F-139 removeShares
53. MK-PF-F-001 totalShares
54. MK-ST-F-053 money
55. MK-CF-F-085 filingStatusOf
56. MK-CF-F-097 grossFromNet
57. MK-CF-F-185 needsTakeHomeConversion
58. MK-CF-F-089 over65CountOf
59. MK-CF-F-037 inferDebtType
60. MK-ST-F-069 amountOf
61. MK-CF-F-133 cashOf
62. MK-ST-F-066 isDayKey
63. MK-ST-F-070 isOpening
64. MK-ST-F-071 rebuildableFrom
65. MK-ST-F-068 stepDay
66. MK-ST-F-072 undo
67. MK-NW-F-053 correctClassOf
68. MK-NW-F-008 incomeBearingClassOf
69. MK-PF-F-002 costBasis
70. MK-PF-F-009 latestClose
71. MK-PF-F-004 marketValue
72. MK-ST-F-030 record
73. MK-XS-F-024 resolveLens
74. MK-ST-F-055 round2
75. MK-CF-F-162 daysApart
76. MK-CF-F-108 isMoneyOut
77. MK-PL-F-074 median
78. MK-CF-F-131 normPayee
79. MK-CF-F-113 affectedAccountIds
80. MK-CF-F-075 retirementIncomeMonthly
81. MK-CF-F-062 equityRowValue
82. MK-CF-F-070 benefitAnnual
83. MK-ST-F-039 on
84. MK-CF-F-090 effectiveRate
85. MK-CF-F-098 progressiveMonthlyTax
86. MK-CF-F-086 stateRateOf
87. MK-CF-F-173 earnerWages
88. MK-CF-F-102 effectiveRateOnGrossFor
89. MK-CF-F-180 enteredLandsAnnual
90. MK-CF-F-082 salaryAnnual
91. MK-CF-F-084 taxableAnnual
92. MK-CF-F-067 rentalList
93. MK-CF-F-063 rowVestYear
94. MK-CF-F-176 sumMonthsOverEarners
95. MK-CF-F-177 wageGrossByMonth
96. MK-CF-F-008 spendByMonth
97. MK-CF-F-134 usesSleeve
98. MK-ST-F-049 formatMoney
99. MK-CF-F-101 taxOwedFor
100. MK-ST-F-067 utcOfDay
101. MK-CF-F-155 cash
102. MK-ST-F-035 covers
103. MK-NW-F-009 maturityClass
104. MK-ST-F-010 nameEvidence
105. MK-PF-F-031 contractMultiplier
106. MK-CF-F-100 taxableIncomeFor
107. MK-CF-F-172 hasWage
108. MK-CF-F-074 tipsAnnual
109. MK-CF-F-130 enteredMonthlyRaw
110. MK-CF-F-166 hasMonthlySalaryTable
111. MK-ST-F-036 reconcile
112. MK-CF-F-167 salaryCalendarYear
113. MK-ST-F-048 currencySymbol
114. MK-ST-F-034 firstDate
115. MK-XS-F-147 call
116. MK-CF-F-099 deductionFor
117. MK-CF-F-081 salaryActiveMonths
118. MK-CF-F-165 salaryMonths
119. MK-ST-F-047 activeCurrency
120. MK-XS-F-064 currentIdToken
121. MK-XS-F-112 relayUrl
122. MK-CF-F-187 seniorDeductionFor</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Y15" s="3" t="inlineStr">
        <is>
          <t>NOTHING OPEN</t>
        </is>
      </c>
    </row>
    <row r="16">
      <c r="A16" s="3" t="inlineStr">
        <is>
          <t>MK-CF-F-014</t>
        </is>
      </c>
      <c r="B16" s="3" t="inlineStr">
        <is>
          <t>budgetVsActual</t>
        </is>
      </c>
      <c r="C16" s="3" t="inlineStr">
        <is>
          <t>src/domain/budget/index.ts</t>
        </is>
      </c>
      <c r="D16" s="3" t="n">
        <v>635</v>
      </c>
      <c r="E16" s="3" t="inlineStr">
        <is>
          <t>2 · DISPLAYED</t>
        </is>
      </c>
      <c r="F16" s="3" t="inlineStr">
        <is>
          <t>Month-to-date actual expenses vs the planned budget, bucketed.</t>
        </is>
      </c>
      <c r="G16" s="13"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55</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MK-CF-F-087 monthlyTaxRates
17. MK-CF-F-073 otherIncomeMonth
18. MK-CF-F-181 rateInForce
19. MK-CF-F-068 rentalNetAnnual
20. MK-CF-F-066 rsuAnnual
21. MK-CF-F-060 salaryGrossByMonth
22. MK-CF-F-077 scholarshipByCalendarMonth
23. MK-CF-F-088 taxableByCalendarMonth
24. MK-PL-F-012 waterfall
25. MK-CF-F-008 spendByMonth
26. MK-CF-F-075 retirementIncomeMonthly
27. MK-CF-F-062 equityRowValue
28. MK-CF-F-070 benefitAnnual
29. MK-ST-F-039 on
30. MK-CF-F-090 effectiveRate
31. MK-CF-F-085 filingStatusOf
32. MK-CF-F-089 over65CountOf
33. MK-CF-F-098 progressiveMonthlyTax
34. MK-CF-F-086 stateRateOf
35. MK-CF-F-173 earnerWages
36. MK-CF-F-102 effectiveRateOnGrossFor
37. MK-CF-F-180 enteredLandsAnnual
38. MK-CF-F-082 salaryAnnual
39. MK-CF-F-084 taxableAnnual
40. MK-CF-F-067 rentalList
41. MK-CF-F-063 rowVestYear
42. MK-CF-F-176 sumMonthsOverEarners
43. MK-CF-F-177 wageGrossByMonth
44. MK-CF-F-101 taxOwedFor
45. MK-CF-F-100 taxableIncomeFor
46. MK-CF-F-172 hasWage
47. MK-CF-F-074 tipsAnnual
48. MK-CF-F-130 enteredMonthlyRaw
49. MK-CF-F-166 hasMonthlySalaryTable
50. MK-ST-F-036 reconcile
51. MK-CF-F-167 salaryCalendarYear
52. MK-CF-F-099 deductionFor
53. MK-CF-F-081 salaryActiveMonths
54. MK-CF-F-165 salaryMonths
55. MK-CF-F-187 seniorDeductionFor</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Y16" s="3" t="inlineStr">
        <is>
          <t>NOTHING OPEN</t>
        </is>
      </c>
    </row>
    <row r="17">
      <c r="A17" s="3" t="inlineStr">
        <is>
          <t>MK-CF-F-015</t>
        </is>
      </c>
      <c r="B17" s="3" t="inlineStr">
        <is>
          <t>loadBudget</t>
        </is>
      </c>
      <c r="C17" s="3" t="inlineStr">
        <is>
          <t>src/domain/budget/index.ts</t>
        </is>
      </c>
      <c r="D17" s="3" t="n">
        <v>673</v>
      </c>
      <c r="E17" s="3" t="inlineStr">
        <is>
          <t>3 · DEPENDENT (feeds an action only)</t>
        </is>
      </c>
      <c r="F17" s="3" t="inlineStr">
        <is>
          <t>NOT DETERMINED — the code carries no note saying what this is for, and it has no row in the old inventory. Needs reading.</t>
        </is>
      </c>
      <c r="G17" s="13"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Y17" s="3" t="inlineStr">
        <is>
          <t>NOTHING OPEN</t>
        </is>
      </c>
    </row>
    <row r="18">
      <c r="A18" s="3" t="inlineStr">
        <is>
          <t>MK-CF-F-016</t>
        </is>
      </c>
      <c r="B18" s="3" t="inlineStr">
        <is>
          <t>saveBudget</t>
        </is>
      </c>
      <c r="C18" s="3" t="inlineStr">
        <is>
          <t>src/domain/budget/index.ts</t>
        </is>
      </c>
      <c r="D18" s="3" t="n">
        <v>689</v>
      </c>
      <c r="E18" s="3" t="inlineStr">
        <is>
          <t>1 · ACTION</t>
        </is>
      </c>
      <c r="F18" s="3" t="inlineStr">
        <is>
          <t>NOT DETERMINED — the code carries no note saying what this is for, and it has no row in the old inventory. Needs reading.</t>
        </is>
      </c>
      <c r="G18" s="13"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Y18" s="3" t="inlineStr">
        <is>
          <t>NOTHING OPEN</t>
        </is>
      </c>
    </row>
    <row r="19">
      <c r="A19" s="3" t="inlineStr">
        <is>
          <t>MK-CF-F-017</t>
        </is>
      </c>
      <c r="B19" s="3" t="inlineStr">
        <is>
          <t>publishSurplus</t>
        </is>
      </c>
      <c r="C19" s="3" t="inlineStr">
        <is>
          <t>src/domain/budget/index.ts</t>
        </is>
      </c>
      <c r="D19" s="3" t="n">
        <v>706</v>
      </c>
      <c r="E19" s="3" t="inlineStr">
        <is>
          <t>1 · ACTION</t>
        </is>
      </c>
      <c r="F19" s="3" t="inlineStr">
        <is>
          <t>Publish the authoritative surplus for Goals/Retirement to consume.</t>
        </is>
      </c>
      <c r="G19" s="13"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Y19" s="3" t="inlineStr">
        <is>
          <t>NOTHING OPEN</t>
        </is>
      </c>
    </row>
    <row r="20">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3"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Y20" s="3" t="inlineStr">
        <is>
          <t>NOTHING OPEN</t>
        </is>
      </c>
    </row>
    <row r="21">
      <c r="A21" s="3" t="inlineStr">
        <is>
          <t>MK-CF-F-019</t>
        </is>
      </c>
      <c r="B21" s="3" t="inlineStr">
        <is>
          <t>upcomingBills</t>
        </is>
      </c>
      <c r="C21" s="3" t="inlineStr">
        <is>
          <t>src/domain/cashflow/index.ts</t>
        </is>
      </c>
      <c r="D21" s="3" t="n">
        <v>218</v>
      </c>
      <c r="E21" s="3" t="inlineStr">
        <is>
          <t>2 · DISPLAYED</t>
        </is>
      </c>
      <c r="F21" s="3" t="inlineStr">
        <is>
          <t>NOT DETERMINED — the code carries no note saying what this is for, and it has no row in the old inventory. Needs reading.</t>
        </is>
      </c>
      <c r="G21" s="13"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1. "Bill calendar" — on the Bill calendar screen
2. "If you can't pay everything, pay these first" — on the Bill calendar screen</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60</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MK-CF-F-067 rentalList
20. MK-CF-F-003 categoryMonthly
21. MK-CF-F-071 extraIncome
22. MK-CF-F-066 rsuAnnual
23. MK-CF-F-082 salaryAnnual
24. MK-CF-F-074 tipsAnnual
25. MK-XS-F-122 n
26. MK-CF-F-173 earnerWages
27. MK-CF-F-102 effectiveRateOnGrossFor
28. MK-CF-F-180 enteredLandsAnnual
29. MK-CF-F-085 filingStatusOf
30. MK-CF-F-089 over65CountOf
31. MK-CF-F-086 stateRateOf
32. MK-CF-F-176 sumMonthsOverEarners
33. MK-CF-F-177 wageGrossByMonth
34. MK-CF-F-120 pctBaseMonthly
35. MK-XS-F-027 takeHomeMonthly
36. MK-ST-F-039 on
37. MK-CF-F-062 equityRowValue
38. MK-CF-F-063 rowVestYear
39. MK-CF-F-081 salaryActiveMonths
40. MK-CF-F-172 hasWage
41. MK-CF-F-101 taxOwedFor
42. MK-CF-F-130 enteredMonthlyRaw
43. MK-CF-F-166 hasMonthlySalaryTable
44. MK-ST-F-036 reconcile
45. MK-CF-F-167 salaryCalendarYear
46. MK-CF-F-092 incomeMonthlyGrid
47. MK-CF-F-011 savingsByMonth
48. MK-ST-F-056 has
49. MK-CF-F-100 taxableIncomeFor
50. MK-CF-F-165 salaryMonths
51. MK-CF-F-065 equityVestWeights
52. MK-CF-F-087 monthlyTaxRates
53. MK-CF-F-073 otherIncomeMonth
54. MK-CF-F-077 scholarshipByCalendarMonth
55. MK-CF-F-088 taxableByCalendarMonth
56. MK-PL-F-012 waterfall
57. MK-CF-F-008 spendByMonth
58. MK-CF-F-099 deductionFor
59. MK-CF-F-098 progressiveMonthlyTax
60. MK-CF-F-187 seniorDeductionFor</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2026-09-12</t>
        </is>
      </c>
      <c r="Y21" s="3" t="inlineStr">
        <is>
          <t>NOTHING OPEN</t>
        </is>
      </c>
    </row>
    <row r="22">
      <c r="A22" s="3" t="inlineStr">
        <is>
          <t>MK-CF-F-020</t>
        </is>
      </c>
      <c r="B22" s="3" t="inlineStr">
        <is>
          <t>cashflowYear</t>
        </is>
      </c>
      <c r="C22" s="3" t="inlineStr">
        <is>
          <t>src/domain/cashflow/index.ts</t>
        </is>
      </c>
      <c r="D22" s="3" t="n">
        <v>337</v>
      </c>
      <c r="E22" s="3" t="inlineStr">
        <is>
          <t>3 · DEPENDENT (feeds an action only)</t>
        </is>
      </c>
      <c r="F22" s="3" t="inlineStr">
        <is>
          <t>Build the 12-month cash-flow picture.</t>
        </is>
      </c>
      <c r="G22" s="13"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56</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MK-CF-F-067 rentalList
18. MK-CF-F-176 sumMonthsOverEarners
19. MK-CF-F-177 wageGrossByMonth
20. MK-CF-F-120 pctBaseMonthly
21. MK-CF-F-004 spendBuckets
22. MK-XS-F-122 n
23. MK-CF-F-173 earnerWages
24. MK-CF-F-102 effectiveRateOnGrossFor
25. MK-CF-F-180 enteredLandsAnnual
26. MK-CF-F-085 filingStatusOf
27. MK-CF-F-089 over65CountOf
28. MK-CF-F-082 salaryAnnual
29. MK-CF-F-086 stateRateOf
30. MK-CF-F-084 taxableAnnual
31. MK-CF-F-063 rowVestYear
32. MK-CF-F-130 enteredMonthlyRaw
33. MK-CF-F-166 hasMonthlySalaryTable
34. MK-ST-F-036 reconcile
35. MK-CF-F-167 salaryCalendarYear
36. MK-CF-F-092 incomeMonthlyGrid
37. MK-CF-F-003 categoryMonthly
38. MK-CF-F-172 hasWage
39. MK-CF-F-101 taxOwedFor
40. MK-CF-F-071 extraIncome
41. MK-CF-F-074 tipsAnnual
42. MK-CF-F-165 salaryMonths
43. MK-CF-F-065 equityVestWeights
44. MK-CF-F-087 monthlyTaxRates
45. MK-CF-F-077 scholarshipByCalendarMonth
46. MK-CF-F-088 taxableByCalendarMonth
47. MK-PL-F-012 waterfall
48. MK-XS-F-027 takeHomeMonthly
49. MK-CF-F-100 taxableIncomeFor
50. MK-CF-F-070 benefitAnnual
51. MK-ST-F-039 on
52. MK-CF-F-081 salaryActiveMonths
53. MK-CF-F-098 progressiveMonthlyTax
54. MK-CF-F-011 savingsByMonth
55. MK-CF-F-099 deductionFor
56. MK-CF-F-187 seniorDeductionFor</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Y22" s="3" t="inlineStr">
        <is>
          <t>NOTHING OPEN</t>
        </is>
      </c>
    </row>
    <row r="23">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3"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Y23" s="3" t="inlineStr">
        <is>
          <t>NOTHING OPEN</t>
        </is>
      </c>
    </row>
    <row r="24">
      <c r="A24" s="3" t="inlineStr">
        <is>
          <t>MK-CF-F-022</t>
        </is>
      </c>
      <c r="B24" s="3" t="inlineStr">
        <is>
          <t>paymentShape</t>
        </is>
      </c>
      <c r="C24" s="3" t="inlineStr">
        <is>
          <t>src/domain/debt/index.ts</t>
        </is>
      </c>
      <c r="D24" s="3" t="n">
        <v>98</v>
      </c>
      <c r="E24" s="3" t="inlineStr">
        <is>
          <t>2 · DISPLAYED</t>
        </is>
      </c>
      <c r="F24" s="3" t="inlineStr">
        <is>
          <t>How is THIS debt repaid?</t>
        </is>
      </c>
      <c r="G24" s="13"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Y24" s="3" t="inlineStr">
        <is>
          <t>NOTHING OPEN</t>
        </is>
      </c>
    </row>
    <row r="25">
      <c r="A25" s="3" t="inlineStr">
        <is>
          <t>MK-CF-F-023</t>
        </is>
      </c>
      <c r="B25" s="3" t="inlineStr">
        <is>
          <t>requiredPayment</t>
        </is>
      </c>
      <c r="C25" s="3" t="inlineStr">
        <is>
          <t>src/domain/debt/index.ts</t>
        </is>
      </c>
      <c r="D25" s="3" t="n">
        <v>140</v>
      </c>
      <c r="E25" s="3" t="inlineStr">
        <is>
          <t>2 · DISPLAYED</t>
        </is>
      </c>
      <c r="F25" s="3" t="inlineStr">
        <is>
          <t>The payment reserved/required each month for a debt (planned payment, else the minimum).</t>
        </is>
      </c>
      <c r="G25" s="13"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 · MK-NW-M-011</t>
        </is>
      </c>
      <c r="T25" s="3" t="inlineStr">
        <is>
          <t>DEBT_REQUIRED_PAYMENT</t>
        </is>
      </c>
      <c r="U25" s="3" t="inlineStr">
        <is>
          <t>ACTIVE</t>
        </is>
      </c>
      <c r="V25" s="3" t="inlineStr">
        <is>
          <t>2026-08-27</t>
        </is>
      </c>
      <c r="Y25" s="3" t="inlineStr">
        <is>
          <t>NOTHING OPEN</t>
        </is>
      </c>
    </row>
    <row r="26">
      <c r="A26" s="3" t="inlineStr">
        <is>
          <t>MK-CF-F-024</t>
        </is>
      </c>
      <c r="B26" s="3" t="inlineStr">
        <is>
          <t>totalDebtMonthly</t>
        </is>
      </c>
      <c r="C26" s="3" t="inlineStr">
        <is>
          <t>src/domain/debt/index.ts</t>
        </is>
      </c>
      <c r="D26" s="3" t="n">
        <v>166</v>
      </c>
      <c r="E26" s="3" t="inlineStr">
        <is>
          <t>2 · DISPLAYED</t>
        </is>
      </c>
      <c r="F26" s="3" t="inlineStr">
        <is>
          <t>Total monthly debt obligation across all debts (override-aware).</t>
        </is>
      </c>
      <c r="G26" s="13"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MK-CF-F-023 requiredPayment</t>
        </is>
      </c>
      <c r="P26" s="3" t="n">
        <v>3</v>
      </c>
      <c r="Q26" s="3" t="inlineStr">
        <is>
          <t>1. MK-CF-F-023 requiredPayment
2. MK-CF-F-022 paymentShape
3. MK-CF-F-021 defaultPaymentType</t>
        </is>
      </c>
      <c r="R26" s="3" t="inlineStr">
        <is>
          <t>MK-CF-F-021 defaultPaymentType → MK-CF-F-022 paymentShape → MK-CF-F-023 requiredPayment → MK-CF-F-024 totalDebtMonthly</t>
        </is>
      </c>
      <c r="S26" s="3" t="inlineStr">
        <is>
          <t>MK-NW-M-012</t>
        </is>
      </c>
      <c r="T26" s="3" t="inlineStr">
        <is>
          <t>DEBT_ACTUAL_TOTAL</t>
        </is>
      </c>
      <c r="U26" s="3" t="inlineStr">
        <is>
          <t>ACTIVE</t>
        </is>
      </c>
      <c r="V26" s="3" t="inlineStr">
        <is>
          <t>2026-08-27</t>
        </is>
      </c>
      <c r="Y26" s="3" t="inlineStr">
        <is>
          <t>NOTHING OPEN</t>
        </is>
      </c>
    </row>
    <row r="27">
      <c r="A27" s="3" t="inlineStr">
        <is>
          <t>MK-CF-F-025</t>
        </is>
      </c>
      <c r="B27" s="3" t="inlineStr">
        <is>
          <t>minimumDebtService</t>
        </is>
      </c>
      <c r="C27" s="3" t="inlineStr">
        <is>
          <t>src/domain/debt/index.ts</t>
        </is>
      </c>
      <c r="D27" s="3" t="n">
        <v>197</v>
      </c>
      <c r="E27" s="3" t="inlineStr">
        <is>
          <t>2 · DISPLAYED</t>
        </is>
      </c>
      <c r="F27" s="3" t="inlineStr">
        <is>
          <t>Term #9 — TWO clearly-named monthly-debt numbers (they're different concepts, not a bug to pick one): Σ MINIMUM required payments — the contractual obligation.</t>
        </is>
      </c>
      <c r="G27" s="13"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Y27" s="3" t="inlineStr">
        <is>
          <t>NOTHING OPEN</t>
        </is>
      </c>
    </row>
    <row r="28">
      <c r="A28" s="3" t="inlineStr">
        <is>
          <t>MK-CF-F-026</t>
        </is>
      </c>
      <c r="B28" s="3" t="inlineStr">
        <is>
          <t>actualDebtPayment</t>
        </is>
      </c>
      <c r="C28" s="3" t="inlineStr">
        <is>
          <t>src/domain/debt/index.ts</t>
        </is>
      </c>
      <c r="D28" s="3" t="n">
        <v>221</v>
      </c>
      <c r="E28" s="3" t="inlineStr">
        <is>
          <t>2 · DISPLAYED</t>
        </is>
      </c>
      <c r="F28" s="3" t="inlineStr">
        <is>
          <t>Σ ACTUAL payments (override ≥ minimum) — what actually leaves your account.</t>
        </is>
      </c>
      <c r="G28" s="13"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4</v>
      </c>
      <c r="Q28" s="3" t="inlineStr">
        <is>
          <t>1. MK-CF-F-024 totalDebtMonthly
2. MK-CF-F-023 requiredPayment
3. MK-CF-F-022 paymentShape
4. MK-CF-F-021 defaultPaymentType</t>
        </is>
      </c>
      <c r="R28" s="3" t="inlineStr">
        <is>
          <t>MK-CF-F-021 defaultPaymentType → MK-CF-F-022 paymentShape → MK-CF-F-023 requiredPayment → MK-CF-F-024 totalDebtMonthly → MK-CF-F-026 actualDebtPayment</t>
        </is>
      </c>
      <c r="S28" s="3" t="inlineStr">
        <is>
          <t>—</t>
        </is>
      </c>
      <c r="T28" s="3" t="inlineStr">
        <is>
          <t>DEBT_PAYMENTS_ACTUAL</t>
        </is>
      </c>
      <c r="U28" s="3" t="inlineStr">
        <is>
          <t>ACTIVE</t>
        </is>
      </c>
      <c r="V28" s="3" t="inlineStr">
        <is>
          <t>2026-09-09</t>
        </is>
      </c>
      <c r="Y28" s="3" t="inlineStr">
        <is>
          <t>NOTHING OPEN</t>
        </is>
      </c>
    </row>
    <row r="29">
      <c r="A29" s="3" t="inlineStr">
        <is>
          <t>MK-CF-F-027</t>
        </is>
      </c>
      <c r="B29" s="3" t="inlineStr">
        <is>
          <t>totalDebtBalance</t>
        </is>
      </c>
      <c r="C29" s="3" t="inlineStr">
        <is>
          <t>src/domain/debt/index.ts</t>
        </is>
      </c>
      <c r="D29" s="3" t="n">
        <v>245</v>
      </c>
      <c r="E29" s="3" t="inlineStr">
        <is>
          <t>2 · DISPLAYED</t>
        </is>
      </c>
      <c r="F29" s="3" t="inlineStr">
        <is>
          <t>Σ outstanding debt BALANCE — what you still owe (not a monthly payment).</t>
        </is>
      </c>
      <c r="G29" s="13"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Y29" s="3" t="inlineStr">
        <is>
          <t>NOTHING OPEN</t>
        </is>
      </c>
    </row>
    <row r="30">
      <c r="A30" s="3" t="inlineStr">
        <is>
          <t>MK-CF-F-028</t>
        </is>
      </c>
      <c r="B30" s="3" t="inlineStr">
        <is>
          <t>loanPayment</t>
        </is>
      </c>
      <c r="C30" s="3" t="inlineStr">
        <is>
          <t>src/domain/debt/index.ts</t>
        </is>
      </c>
      <c r="D30" s="3" t="n">
        <v>286</v>
      </c>
      <c r="E30" s="3" t="inlineStr">
        <is>
          <t>2 · DISPLAYED</t>
        </is>
      </c>
      <c r="F30" s="3" t="inlineStr">
        <is>
          <t>UNIT LANDMINE (P0): `aprPct` is a PERCENT (7 = 7%), unlike Debt.interest_rate_apr which is a DECIMAL (0.07).</t>
        </is>
      </c>
      <c r="G30" s="13"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Y30" s="3" t="inlineStr">
        <is>
          <t>NOTHING OPEN</t>
        </is>
      </c>
    </row>
    <row r="31">
      <c r="A31" s="3" t="inlineStr">
        <is>
          <t>MK-CF-F-029</t>
        </is>
      </c>
      <c r="B31" s="3" t="inlineStr">
        <is>
          <t>monthsToClear</t>
        </is>
      </c>
      <c r="C31" s="3" t="inlineStr">
        <is>
          <t>src/domain/debt/index.ts</t>
        </is>
      </c>
      <c r="D31" s="3" t="n">
        <v>324</v>
      </c>
      <c r="E31" s="3" t="inlineStr">
        <is>
          <t>2 · DISPLAYED</t>
        </is>
      </c>
      <c r="F31" s="3" t="inlineStr">
        <is>
          <t>── B47 finding 11: the installment two-way math — enter the payment OR the end date, the app computes the other.</t>
        </is>
      </c>
      <c r="G31" s="13"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Y31" s="3" t="inlineStr">
        <is>
          <t>NOTHING OPEN</t>
        </is>
      </c>
    </row>
    <row r="32">
      <c r="A32" s="3" t="inlineStr">
        <is>
          <t>MK-CF-F-030</t>
        </is>
      </c>
      <c r="B32" s="3" t="inlineStr">
        <is>
          <t>paymentToClearBy</t>
        </is>
      </c>
      <c r="C32" s="3" t="inlineStr">
        <is>
          <t>src/domain/debt/index.ts</t>
        </is>
      </c>
      <c r="D32" s="3" t="n">
        <v>353</v>
      </c>
      <c r="E32" s="3" t="inlineStr">
        <is>
          <t>2 · DISPLAYED</t>
        </is>
      </c>
      <c r="F32" s="3" t="inlineStr">
        <is>
          <t>Monthly payment that clears `principal` in `months` at decimal APR (amortization).</t>
        </is>
      </c>
      <c r="G32" s="13"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Y32" s="3" t="inlineStr">
        <is>
          <t>NOTHING OPEN</t>
        </is>
      </c>
    </row>
    <row r="33">
      <c r="A33" s="3" t="inlineStr">
        <is>
          <t>MK-CF-F-031</t>
        </is>
      </c>
      <c r="B33" s="3" t="inlineStr">
        <is>
          <t>creditUtilization</t>
        </is>
      </c>
      <c r="C33" s="3" t="inlineStr">
        <is>
          <t>src/domain/debt/index.ts</t>
        </is>
      </c>
      <c r="D33" s="3" t="n">
        <v>388</v>
      </c>
      <c r="E33" s="3" t="inlineStr">
        <is>
          <t>2 · DISPLAYED</t>
        </is>
      </c>
      <c r="F33" s="3" t="inlineStr">
        <is>
          <t>NOT DETERMINED — the code carries no note saying what this is for, and it has no row in the old inventory. Needs reading.</t>
        </is>
      </c>
      <c r="G33" s="13"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"Total credit limit" — on the Credit screen</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2026-08-27</t>
        </is>
      </c>
      <c r="Y33" s="3" t="inlineStr">
        <is>
          <t>NOTHING OPEN</t>
        </is>
      </c>
    </row>
    <row r="34">
      <c r="A34" s="3" t="inlineStr">
        <is>
          <t>MK-CF-F-032</t>
        </is>
      </c>
      <c r="B34" s="3" t="inlineStr">
        <is>
          <t>creditScoreBand</t>
        </is>
      </c>
      <c r="C34" s="3" t="inlineStr">
        <is>
          <t>src/domain/debt/index.ts</t>
        </is>
      </c>
      <c r="D34" s="3" t="n">
        <v>417</v>
      </c>
      <c r="E34" s="3" t="inlineStr">
        <is>
          <t>2 · DISPLAYED</t>
        </is>
      </c>
      <c r="F34" s="3" t="inlineStr">
        <is>
          <t>NOT DETERMINED — the code carries no note saying what this is for, and it has no row in the old inventory. Needs reading.</t>
        </is>
      </c>
      <c r="G34" s="13"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Y34" s="3" t="inlineStr">
        <is>
          <t>NOTHING OPEN</t>
        </is>
      </c>
    </row>
    <row r="35">
      <c r="A35" s="3" t="inlineStr">
        <is>
          <t>MK-CF-F-033</t>
        </is>
      </c>
      <c r="B35" s="3" t="inlineStr">
        <is>
          <t>debtToIncome</t>
        </is>
      </c>
      <c r="C35" s="3" t="inlineStr">
        <is>
          <t>src/domain/debt/index.ts</t>
        </is>
      </c>
      <c r="D35" s="3" t="n">
        <v>457</v>
      </c>
      <c r="E35" s="3" t="inlineStr">
        <is>
          <t>2 · DISPLAYED</t>
        </is>
      </c>
      <c r="F35" s="3" t="inlineStr">
        <is>
          <t>NOT DETERMINED — the code carries no note saying what this is for, and it has no row in the old inventory. Needs reading.</t>
        </is>
      </c>
      <c r="G35" s="13"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Y35" s="3" t="inlineStr">
        <is>
          <t>NOTHING OPEN</t>
        </is>
      </c>
    </row>
    <row r="36">
      <c r="A36" s="3" t="inlineStr">
        <is>
          <t>MK-CF-F-034</t>
        </is>
      </c>
      <c r="B36" s="3" t="inlineStr">
        <is>
          <t>payoffPlan</t>
        </is>
      </c>
      <c r="C36" s="3" t="inlineStr">
        <is>
          <t>src/domain/debt/index.ts</t>
        </is>
      </c>
      <c r="D36" s="3" t="n">
        <v>510</v>
      </c>
      <c r="E36" s="3" t="inlineStr">
        <is>
          <t>2 · DISPLAYED</t>
        </is>
      </c>
      <c r="F36" s="3" t="inlineStr">
        <is>
          <t>Simulate paying off debts with a constant monthly budget (sum of minimums + extra), rolling each cleared debt's freed-up payment into the next per the chosen method.</t>
        </is>
      </c>
      <c r="G36" s="13"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Y36" s="3" t="inlineStr">
        <is>
          <t>NOTHING OPEN</t>
        </is>
      </c>
    </row>
    <row r="37">
      <c r="A37" s="3" t="inlineStr">
        <is>
          <t>MK-CF-F-035</t>
        </is>
      </c>
      <c r="B37" s="3" t="inlineStr">
        <is>
          <t>debtKind</t>
        </is>
      </c>
      <c r="C37" s="3" t="inlineStr">
        <is>
          <t>src/domain/debt/index.ts</t>
        </is>
      </c>
      <c r="D37" s="3" t="n">
        <v>585</v>
      </c>
      <c r="E37" s="3" t="inlineStr">
        <is>
          <t>2 · DISPLAYED</t>
        </is>
      </c>
      <c r="F37" s="3" t="inlineStr">
        <is>
          <t>What do we know about this kind of debt?</t>
        </is>
      </c>
      <c r="G37" s="13"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Y37" s="3" t="inlineStr">
        <is>
          <t>NOTHING OPEN</t>
        </is>
      </c>
    </row>
    <row r="38">
      <c r="A38" s="3" t="inlineStr">
        <is>
          <t>MK-CF-F-036</t>
        </is>
      </c>
      <c r="B38" s="3" t="inlineStr">
        <is>
          <t>buildDebtState</t>
        </is>
      </c>
      <c r="C38" s="3" t="inlineStr">
        <is>
          <t>src/domain/debt/index.ts</t>
        </is>
      </c>
      <c r="D38" s="3" t="n">
        <v>625</v>
      </c>
      <c r="E38" s="3" t="inlineStr">
        <is>
          <t>2 · DISPLAYED</t>
        </is>
      </c>
      <c r="F38" s="3" t="inlineStr">
        <is>
          <t>What is the whole debt picture?</t>
        </is>
      </c>
      <c r="G38" s="13"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"Monthly debt payments" — on the Net worth screen, under "💳  DEBTS"
3.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86</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MK-CF-F-023 requiredPayment
33. MK-CF-F-021 defaultPaymentType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38" s="3"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S38" s="3" t="inlineStr">
        <is>
          <t>MK-NW-M-009 · MK-NW-M-017</t>
        </is>
      </c>
      <c r="T38" s="3" t="inlineStr">
        <is>
          <t>DEBT_PICTURE</t>
        </is>
      </c>
      <c r="U38" s="3" t="inlineStr">
        <is>
          <t>ACTIVE</t>
        </is>
      </c>
      <c r="V38" s="3" t="inlineStr">
        <is>
          <t>2026-08-27</t>
        </is>
      </c>
      <c r="Y38" s="3" t="inlineStr">
        <is>
          <t>NOTHING OPEN</t>
        </is>
      </c>
    </row>
    <row r="39">
      <c r="A39" s="3" t="inlineStr">
        <is>
          <t>MK-CF-F-037</t>
        </is>
      </c>
      <c r="B39" s="3" t="inlineStr">
        <is>
          <t>inferDebtType</t>
        </is>
      </c>
      <c r="C39" s="3" t="inlineStr">
        <is>
          <t>src/domain/debt/index.ts</t>
        </is>
      </c>
      <c r="D39" s="3" t="n">
        <v>674</v>
      </c>
      <c r="E39" s="3" t="inlineStr">
        <is>
          <t>3 · DEPENDENT</t>
        </is>
      </c>
      <c r="F39" s="3" t="inlineStr">
        <is>
          <t>B-30: infer the debt type from its name so a "Mortgage" is treated as a mortgage (homeowner DTI guideline), not lumped into OTHER (renter guideline).</t>
        </is>
      </c>
      <c r="G39" s="13"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Y39" s="3" t="inlineStr">
        <is>
          <t>NOTHING OPEN</t>
        </is>
      </c>
    </row>
    <row r="40">
      <c r="A40" s="3" t="inlineStr">
        <is>
          <t>MK-CF-F-038</t>
        </is>
      </c>
      <c r="B40" s="3" t="inlineStr">
        <is>
          <t>debtsFromOnboarding</t>
        </is>
      </c>
      <c r="C40" s="3" t="inlineStr">
        <is>
          <t>src/domain/debt/index.ts</t>
        </is>
      </c>
      <c r="D40" s="3" t="n">
        <v>723</v>
      </c>
      <c r="E40" s="3" t="inlineStr">
        <is>
          <t>3 · DEPENDENT</t>
        </is>
      </c>
      <c r="F40" s="3" t="inlineStr">
        <is>
          <t>What debts should exist from the setup answers?</t>
        </is>
      </c>
      <c r="G40" s="13"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Y40" s="3" t="inlineStr">
        <is>
          <t>NOTHING OPEN</t>
        </is>
      </c>
    </row>
    <row r="41">
      <c r="A41" s="3" t="inlineStr">
        <is>
          <t>MK-CF-F-039</t>
        </is>
      </c>
      <c r="B41" s="3" t="inlineStr">
        <is>
          <t>loadDebt</t>
        </is>
      </c>
      <c r="C41" s="3" t="inlineStr">
        <is>
          <t>src/domain/debt/index.ts</t>
        </is>
      </c>
      <c r="D41" s="3" t="n">
        <v>758</v>
      </c>
      <c r="E41" s="3" t="inlineStr">
        <is>
          <t>3 · DEPENDENT (feeds an action only)</t>
        </is>
      </c>
      <c r="F41" s="3" t="inlineStr">
        <is>
          <t>NOT DETERMINED — the code carries no note saying what this is for, and it has no row in the old inventory. Needs reading.</t>
        </is>
      </c>
      <c r="G41" s="13"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Y41" s="3" t="inlineStr">
        <is>
          <t>NOTHING OPEN</t>
        </is>
      </c>
    </row>
    <row r="42">
      <c r="A42" s="3" t="inlineStr">
        <is>
          <t>MK-CF-F-040</t>
        </is>
      </c>
      <c r="B42" s="3" t="inlineStr">
        <is>
          <t>saveDebt</t>
        </is>
      </c>
      <c r="C42" s="3" t="inlineStr">
        <is>
          <t>src/domain/debt/index.ts</t>
        </is>
      </c>
      <c r="D42" s="3" t="n">
        <v>774</v>
      </c>
      <c r="E42" s="3" t="inlineStr">
        <is>
          <t>1 · ACTION</t>
        </is>
      </c>
      <c r="F42" s="3" t="inlineStr">
        <is>
          <t>NOT DETERMINED — the code carries no note saying what this is for, and it has no row in the old inventory. Needs reading.</t>
        </is>
      </c>
      <c r="G42" s="13"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Y42" s="3" t="inlineStr">
        <is>
          <t>NOTHING OPEN</t>
        </is>
      </c>
    </row>
    <row r="43">
      <c r="A43" s="3" t="inlineStr">
        <is>
          <t>MK-CF-F-041</t>
        </is>
      </c>
      <c r="B43" s="3" t="inlineStr">
        <is>
          <t>getDebtState</t>
        </is>
      </c>
      <c r="C43" s="3" t="inlineStr">
        <is>
          <t>src/domain/debt/index.ts</t>
        </is>
      </c>
      <c r="D43" s="3" t="n">
        <v>791</v>
      </c>
      <c r="E43" s="3" t="inlineStr">
        <is>
          <t>3 · DEPENDENT (feeds an action only)</t>
        </is>
      </c>
      <c r="F43" s="3" t="inlineStr">
        <is>
          <t>NOT DETERMINED — the code carries no note saying what this is for, and it has no row in the old inventory. Needs reading.</t>
        </is>
      </c>
      <c r="G43" s="13"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88</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MK-CF-F-023 requiredPayment
67. MK-CF-F-021 defaultPaymentType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43" s="3" t="inlineStr">
        <is>
          <t>1. MK-CF-F-022 paymentShape → MK-CF-F-023 requiredPayment → MK-CF-F-024 totalDebtMonthly → MK-CF-F-026 actualDebtPayment → MK-CF-F-036 buildDebtState → MK-CF-F-041 getDebtState
2. MK-CF-F-021 defaultPaymentType → MK-CF-F-022 paymentShape → MK-CF-F-025 minimumDebtService → MK-CF-F-036 buildDebtState → MK-CF-F-041 getDebtState
3. MK-ST-F-027 accountId → MK-XS-F-175 uid → MK-CF-F-036 buildDebtState → MK-CF-F-041 getDebtState
4. MK-CF-F-137 findPos → MK-CF-F-138 addLot → MK-CF-F-111 applyTransaction → MK-XS-F-175 uid → MK-CF-F-036 buildDebtState → MK-CF-F-041 getDebtState
5. MK-CF-F-132 map → MK-CF-F-138 addLot → MK-CF-F-111 applyTransaction → MK-XS-F-175 uid → MK-CF-F-036 buildDebtState → MK-CF-F-041 getDebtState
6. MK-ST-F-043 newEntityId → MK-CF-F-138 addLot → MK-CF-F-111 applyTransaction → MK-XS-F-175 uid → MK-CF-F-036 buildDebtState → MK-CF-F-041 getDebtState
7. MK-CF-F-134 usesSleeve → MK-CF-F-136 bumpCash → MK-CF-F-111 applyTransaction → MK-XS-F-175 uid → MK-CF-F-036 buildDebtState → MK-CF-F-041 getDebtState
8. MK-CF-F-137 findPos → MK-CF-F-111 applyTransaction → MK-XS-F-175 uid → MK-CF-F-036 buildDebtState → MK-CF-F-041 getDebtState
9. … and 5 more paths</t>
        </is>
      </c>
      <c r="S43" s="3" t="inlineStr">
        <is>
          <t>—</t>
        </is>
      </c>
      <c r="T43" s="3" t="inlineStr">
        <is>
          <t>—</t>
        </is>
      </c>
      <c r="U43" s="3" t="inlineStr">
        <is>
          <t>ACTIVE</t>
        </is>
      </c>
      <c r="V43" s="3" t="inlineStr">
        <is>
          <t>2026-08-27</t>
        </is>
      </c>
      <c r="Y43" s="3" t="inlineStr">
        <is>
          <t>NOTHING OPEN</t>
        </is>
      </c>
    </row>
    <row r="44">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3"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11</v>
      </c>
      <c r="Q44" s="3" t="inlineStr">
        <is>
          <t>1. MK-CF-F-029 monthsToClear
2. MK-PL-F-050 simulate
3. MK-CF-F-132 map
4. MK-PL-F-074 median
5. MK-PL-F-072 mulberry32
6. MK-XS-F-122 n
7. MK-PL-F-073 normal
8. MK-PL-F-075 pctOfSorted
9. MK-ST-F-025 rmdStartAgeFromAge
10. MK-ST-F-024 rmdStartAge
11. MK-ST-F-056 has</t>
        </is>
      </c>
      <c r="R44" s="3" t="inlineStr">
        <is>
          <t>1. MK-CF-F-029 monthsToClear → MK-CF-F-042 mortgageOddsEffect
2. MK-CF-F-132 map → MK-PL-F-050 simulate → MK-CF-F-042 mortgageOddsEffect
3. MK-PL-F-074 median → MK-PL-F-050 simulate → MK-CF-F-042 mortgageOddsEffect
4. MK-PL-F-072 mulberry32 → MK-PL-F-050 simulate → MK-CF-F-042 mortgageOddsEffect
5. MK-XS-F-122 n → MK-PL-F-050 simulate → MK-CF-F-042 mortgageOddsEffect
6. MK-PL-F-073 normal → MK-PL-F-050 simulate → MK-CF-F-042 mortgageOddsEffect
7. MK-PL-F-075 pctOfSorted → MK-PL-F-050 simulate → MK-CF-F-042 mortgageOddsEffect
8. MK-ST-F-056 has → MK-ST-F-024 rmdStartAge → MK-ST-F-025 rmdStartAgeFromAge → MK-PL-F-050 simulate → MK-CF-F-042 mortgageOddsEffect</t>
        </is>
      </c>
      <c r="S44" s="3" t="inlineStr">
        <is>
          <t>—</t>
        </is>
      </c>
      <c r="T44" s="3" t="inlineStr">
        <is>
          <t>—</t>
        </is>
      </c>
      <c r="U44" s="3" t="inlineStr">
        <is>
          <t>ACTIVE</t>
        </is>
      </c>
      <c r="V44" s="3" t="inlineStr">
        <is>
          <t>2026-08-27</t>
        </is>
      </c>
      <c r="Y44" s="3" t="inlineStr">
        <is>
          <t>NOTHING OPEN</t>
        </is>
      </c>
    </row>
    <row r="45">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3"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Y45" s="3" t="inlineStr">
        <is>
          <t>NOTHING OPEN</t>
        </is>
      </c>
    </row>
    <row r="46">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3"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MK-CF-F-127 isRental</t>
        </is>
      </c>
      <c r="P46" s="3" t="n">
        <v>1</v>
      </c>
      <c r="Q46" s="3" t="inlineStr">
        <is>
          <t>MK-CF-F-127 isRental</t>
        </is>
      </c>
      <c r="R46" s="3" t="inlineStr">
        <is>
          <t>MK-CF-F-127 isRental → MK-CF-F-044 annualNet</t>
        </is>
      </c>
      <c r="S46" s="3" t="inlineStr">
        <is>
          <t>—</t>
        </is>
      </c>
      <c r="T46" s="3" t="inlineStr">
        <is>
          <t>—</t>
        </is>
      </c>
      <c r="U46" s="3" t="inlineStr">
        <is>
          <t>ACTIVE</t>
        </is>
      </c>
      <c r="V46" s="3" t="inlineStr">
        <is>
          <t>2026-08-27</t>
        </is>
      </c>
      <c r="Y46" s="3" t="inlineStr">
        <is>
          <t>NOTHING OPEN</t>
        </is>
      </c>
    </row>
    <row r="47">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3"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2</v>
      </c>
      <c r="Q47" s="3" t="inlineStr">
        <is>
          <t>1. MK-CF-F-044 annualNet
2. MK-CF-F-127 isRental</t>
        </is>
      </c>
      <c r="R47" s="3" t="inlineStr">
        <is>
          <t>MK-CF-F-127 isRental → MK-CF-F-044 annualNet → MK-CF-F-045 grossAnnualBaseline</t>
        </is>
      </c>
      <c r="S47" s="3" t="inlineStr">
        <is>
          <t>—</t>
        </is>
      </c>
      <c r="T47" s="3" t="inlineStr">
        <is>
          <t>—</t>
        </is>
      </c>
      <c r="U47" s="3" t="inlineStr">
        <is>
          <t>ACTIVE</t>
        </is>
      </c>
      <c r="V47" s="3" t="inlineStr">
        <is>
          <t>2026-08-27</t>
        </is>
      </c>
      <c r="Y47" s="3" t="inlineStr">
        <is>
          <t>NOTHING OPEN</t>
        </is>
      </c>
    </row>
    <row r="48">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3"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Y48" s="3" t="inlineStr">
        <is>
          <t>NOTHING OPEN</t>
        </is>
      </c>
    </row>
    <row r="49">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3"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Y49" s="3" t="inlineStr">
        <is>
          <t>NOTHING OPEN</t>
        </is>
      </c>
    </row>
    <row r="50">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3"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15</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MK-CF-F-099 deductionFor
15. MK-CF-F-187 seniorDeductionFor</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MK-CF-F-127 isRental → MK-CF-F-044 annualNet → MK-CF-F-045 grossAnnualBaseline → MK-CF-F-049 buildIncomeState
4. MK-CF-F-132 map → MK-CF-F-049 buildIncomeState
5. MK-CF-F-127 isRental → MK-CF-F-161 monthlyGrossOfSource → MK-CF-F-049 buildIncomeState
6. MK-CF-F-132 map → MK-CF-F-098 progressiveMonthlyTax → MK-CF-F-049 buildIncomeState
7. MK-CF-F-187 seniorDeductionFor → MK-CF-F-099 deductionFor → MK-CF-F-100 taxableIncomeFor → MK-CF-F-101 taxOwedFor → MK-CF-F-098 progressiveMonthlyTax → MK-CF-F-049 buildIncomeState
8. MK-CF-F-187 seniorDeductionFor → MK-CF-F-099 deductionFor → MK-CF-F-100 taxableIncomeFor → MK-CF-F-098 progressiveMonthlyTax → MK-CF-F-049 buildIncomeState
9. … and 1 more paths</t>
        </is>
      </c>
      <c r="S50" s="3" t="inlineStr">
        <is>
          <t>—</t>
        </is>
      </c>
      <c r="T50" s="3" t="inlineStr">
        <is>
          <t>—</t>
        </is>
      </c>
      <c r="U50" s="3" t="inlineStr">
        <is>
          <t>ACTIVE</t>
        </is>
      </c>
      <c r="V50" s="3" t="inlineStr">
        <is>
          <t>2026-08-27</t>
        </is>
      </c>
      <c r="Y50" s="3" t="inlineStr">
        <is>
          <t>NOTHING OPEN</t>
        </is>
      </c>
    </row>
    <row r="5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3"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Y51" s="3" t="inlineStr">
        <is>
          <t>NOTHING OPEN</t>
        </is>
      </c>
    </row>
    <row r="52">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3"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Y52" s="3" t="inlineStr">
        <is>
          <t>NOTHING OPEN</t>
        </is>
      </c>
    </row>
    <row r="53">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3"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91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MK-CF-F-099 deductionFor
74. MK-CF-F-134 usesSleeve
75. MK-ST-F-049 formatMoney
76. MK-ST-F-067 utcOfDay
77. MK-CF-F-155 cash
78. MK-ST-F-035 covers
79. MK-NW-F-009 maturityClass
80. MK-ST-F-010 nameEvidence
81. MK-PF-F-031 contractMultiplier
82. MK-CF-F-072 currentRetirementIncomeMonthly
83. MK-CF-F-187 seniorDeductionFor
84. MK-ST-F-048 currencySymbol
85. MK-ST-F-039 on
86. MK-ST-F-034 firstDate
87. MK-XS-F-147 call
88. MK-CF-F-075 retirementIncomeMonthly
89. MK-ST-F-047 activeCurrency
90. MK-XS-F-064 currentIdToken
91.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MK-CF-F-127 isRental → MK-CF-F-044 annualNet → MK-CF-F-045 grossAnnualBaseline → MK-CF-F-049 buildIncomeState → MK-CF-F-052 getIncomeState
4. MK-CF-F-132 map → MK-CF-F-049 buildIncomeState → MK-CF-F-052 getIncomeState
5. MK-CF-F-127 isRental → MK-CF-F-161 monthlyGrossOfSource → MK-CF-F-049 buildIncomeState → MK-CF-F-052 getIncomeState
6. MK-CF-F-132 map → MK-CF-F-098 progressiveMonthlyTax → MK-CF-F-049 buildIncomeState → MK-CF-F-052 getIncomeState
7. MK-CF-F-099 deductionFor → MK-CF-F-100 taxableIncomeFor → MK-CF-F-101 taxOwedFor → MK-CF-F-098 progressiveMonthlyTax → MK-CF-F-049 buildIncomeState → MK-CF-F-052 getIncomeState
8. MK-CF-F-187 seniorDeductionFor → MK-CF-F-099 deductionFor → MK-CF-F-100 taxableIncomeFor → MK-CF-F-098 progressiveMonthlyTax → MK-CF-F-049 buildIncomeState → MK-CF-F-052 getIncomeState
9. … and 5 more paths</t>
        </is>
      </c>
      <c r="S53" s="3" t="inlineStr">
        <is>
          <t>—</t>
        </is>
      </c>
      <c r="T53" s="3" t="inlineStr">
        <is>
          <t>—</t>
        </is>
      </c>
      <c r="U53" s="3" t="inlineStr">
        <is>
          <t>ACTIVE</t>
        </is>
      </c>
      <c r="V53" s="3" t="inlineStr">
        <is>
          <t>2026-08-27</t>
        </is>
      </c>
      <c r="Y53" s="3" t="inlineStr">
        <is>
          <t>NOTHING OPEN</t>
        </is>
      </c>
    </row>
    <row r="54">
      <c r="A54" s="3" t="inlineStr">
        <is>
          <t>MK-CF-F-053</t>
        </is>
      </c>
      <c r="B54" s="3" t="inlineStr">
        <is>
          <t>annual401kLimit</t>
        </is>
      </c>
      <c r="C54" s="3" t="inlineStr">
        <is>
          <t>src/domain/income/limits.ts</t>
        </is>
      </c>
      <c r="D54" s="3" t="n">
        <v>130</v>
      </c>
      <c r="E54" s="3" t="inlineStr">
        <is>
          <t>2 · DISPLAYED</t>
        </is>
      </c>
      <c r="F54" s="3" t="inlineStr">
        <is>
          <t>Annual employee 401(k) limit for the user's age (adds the 50+ catch-up).</t>
        </is>
      </c>
      <c r="G54" s="13"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Y54" s="6" t="inlineStr">
        <is>
          <t>TESTED, NOT VERIFIED (G1)</t>
        </is>
      </c>
    </row>
    <row r="55">
      <c r="A55" s="3" t="inlineStr">
        <is>
          <t>MK-CF-F-054</t>
        </is>
      </c>
      <c r="B55" s="3" t="inlineStr">
        <is>
          <t>annualIraLimit</t>
        </is>
      </c>
      <c r="C55" s="3" t="inlineStr">
        <is>
          <t>src/domain/income/limits.ts</t>
        </is>
      </c>
      <c r="D55" s="3" t="n">
        <v>155</v>
      </c>
      <c r="E55" s="3" t="inlineStr">
        <is>
          <t>2 · DISPLAYED</t>
        </is>
      </c>
      <c r="F55" s="3" t="inlineStr">
        <is>
          <t>NOT DETERMINED — the code carries no note saying what this is for, and it has no row in the old inventory. Needs reading.</t>
        </is>
      </c>
      <c r="G55" s="13"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Y55" s="6" t="inlineStr">
        <is>
          <t>TESTED, NOT VERIFIED (G1)</t>
        </is>
      </c>
    </row>
    <row r="56">
      <c r="A56" s="3" t="inlineStr">
        <is>
          <t>MK-CF-F-055</t>
        </is>
      </c>
      <c r="B56" s="3" t="inlineStr">
        <is>
          <t>annualHsaLimit</t>
        </is>
      </c>
      <c r="C56" s="3" t="inlineStr">
        <is>
          <t>src/domain/income/limits.ts</t>
        </is>
      </c>
      <c r="D56" s="3" t="n">
        <v>180</v>
      </c>
      <c r="E56" s="3" t="inlineStr">
        <is>
          <t>2 · DISPLAYED</t>
        </is>
      </c>
      <c r="F56" s="3" t="inlineStr">
        <is>
          <t>How much can this person put into a health savings account this year?</t>
        </is>
      </c>
      <c r="G56" s="13"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NOT FOUND — a screen calls it, but the words printed beside its answer could not be traced automatically. Needs reading.</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2026-09-08</t>
        </is>
      </c>
      <c r="Y56" s="6" t="inlineStr">
        <is>
          <t>TESTED, NOT VERIFIED (G1, G10)</t>
        </is>
      </c>
    </row>
    <row r="57">
      <c r="A57" s="3" t="inlineStr">
        <is>
          <t>MK-CF-F-056</t>
        </is>
      </c>
      <c r="B57" s="3" t="inlineStr">
        <is>
          <t>k401Headroom</t>
        </is>
      </c>
      <c r="C57" s="3" t="inlineStr">
        <is>
          <t>src/domain/income/limits.ts</t>
        </is>
      </c>
      <c r="D57" s="3" t="n">
        <v>211</v>
      </c>
      <c r="E57" s="3" t="inlineStr">
        <is>
          <t>2 · DISPLAYED</t>
        </is>
      </c>
      <c r="F57" s="3" t="inlineStr">
        <is>
          <t>How much more you can still put into your 401(k) this year (incl.</t>
        </is>
      </c>
      <c r="G57" s="13"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Y57" s="3" t="inlineStr">
        <is>
          <t>NOTHING OPEN</t>
        </is>
      </c>
    </row>
    <row r="58">
      <c r="A58" s="3" t="inlineStr">
        <is>
          <t>MK-CF-F-057</t>
        </is>
      </c>
      <c r="B58" s="3" t="inlineStr">
        <is>
          <t>rothVsTraditional</t>
        </is>
      </c>
      <c r="C58" s="3" t="inlineStr">
        <is>
          <t>src/domain/income/limits.ts</t>
        </is>
      </c>
      <c r="D58" s="3" t="n">
        <v>235</v>
      </c>
      <c r="E58" s="3" t="inlineStr">
        <is>
          <t>2 · DISPLAYED</t>
        </is>
      </c>
      <c r="F58" s="3" t="inlineStr">
        <is>
          <t>Roth vs Traditional lean from current vs expected-retirement marginal rate (decimals).</t>
        </is>
      </c>
      <c r="G58" s="13"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Y58" s="6" t="inlineStr">
        <is>
          <t>TESTED, NOT VERIFIED (G35)</t>
        </is>
      </c>
    </row>
    <row r="59">
      <c r="A59" s="3" t="inlineStr">
        <is>
          <t>MK-CF-F-058</t>
        </is>
      </c>
      <c r="B59" s="3" t="inlineStr">
        <is>
          <t>rothConversionWindow</t>
        </is>
      </c>
      <c r="C59" s="3" t="inlineStr">
        <is>
          <t>src/domain/income/limits.ts</t>
        </is>
      </c>
      <c r="D59" s="3" t="n">
        <v>259</v>
      </c>
      <c r="E59" s="3" t="inlineStr">
        <is>
          <t>2 · DISPLAYED</t>
        </is>
      </c>
      <c r="F59" s="3" t="inlineStr">
        <is>
          <t>Are you in the low-income "Roth conversion window" (retired, before RMDs/SS push income up)?</t>
        </is>
      </c>
      <c r="G59" s="13"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Y59" s="3" t="inlineStr">
        <is>
          <t>NOTHING OPEN</t>
        </is>
      </c>
    </row>
    <row r="60">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3"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Y60" s="3" t="inlineStr">
        <is>
          <t>NOTHING OPEN</t>
        </is>
      </c>
    </row>
    <row r="6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3"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Y61" s="3" t="inlineStr">
        <is>
          <t>NOTHING OPEN</t>
        </is>
      </c>
    </row>
    <row r="62">
      <c r="A62" s="3" t="inlineStr">
        <is>
          <t>MK-CF-F-061</t>
        </is>
      </c>
      <c r="B62" s="3" t="inlineStr">
        <is>
          <t>grossSalaryMonthly</t>
        </is>
      </c>
      <c r="C62" s="3" t="inlineStr">
        <is>
          <t>src/domain/income/onboarding.ts</t>
        </is>
      </c>
      <c r="D62" s="3" t="n">
        <v>213</v>
      </c>
      <c r="E62" s="3" t="inlineStr">
        <is>
          <t>3 · DEPENDENT</t>
        </is>
      </c>
      <c r="F62" s="3" t="inlineStr">
        <is>
          <t>A representative full-month GROSS salary (the highest month — undiluted by $0 gap months).</t>
        </is>
      </c>
      <c r="G62" s="13"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Y62" s="3" t="inlineStr">
        <is>
          <t>NOTHING OPEN</t>
        </is>
      </c>
    </row>
    <row r="63">
      <c r="A63" s="3" t="inlineStr">
        <is>
          <t>MK-CF-F-062</t>
        </is>
      </c>
      <c r="B63" s="3" t="inlineStr">
        <is>
          <t>equityRowValue</t>
        </is>
      </c>
      <c r="C63" s="3" t="inlineStr">
        <is>
          <t>src/domain/income/onboarding.ts</t>
        </is>
      </c>
      <c r="D63" s="3" t="n">
        <v>252</v>
      </c>
      <c r="E63" s="3" t="inlineStr">
        <is>
          <t>3 · DEPENDENT</t>
        </is>
      </c>
      <c r="F63" s="3" t="inlineStr">
        <is>
          <t>Value of one vesting-schedule row.</t>
        </is>
      </c>
      <c r="G63" s="13"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Y63" s="3" t="inlineStr">
        <is>
          <t>NOTHING OPEN</t>
        </is>
      </c>
    </row>
    <row r="64">
      <c r="A64" s="3" t="inlineStr">
        <is>
          <t>MK-CF-F-063</t>
        </is>
      </c>
      <c r="B64" s="3" t="inlineStr">
        <is>
          <t>rowVestYear</t>
        </is>
      </c>
      <c r="C64" s="3" t="inlineStr">
        <is>
          <t>src/domain/income/onboarding.ts</t>
        </is>
      </c>
      <c r="D64" s="3" t="n">
        <v>291</v>
      </c>
      <c r="E64" s="3" t="inlineStr">
        <is>
          <t>3 · DEPENDENT</t>
        </is>
      </c>
      <c r="F64" s="3" t="inlineStr">
        <is>
          <t>Calendar year a row vests (first 4 digits of its date; this year if blank).</t>
        </is>
      </c>
      <c r="G64" s="13"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Y64" s="3" t="inlineStr">
        <is>
          <t>NOTHING OPEN</t>
        </is>
      </c>
    </row>
    <row r="65">
      <c r="A65" s="3" t="inlineStr">
        <is>
          <t>MK-CF-F-064</t>
        </is>
      </c>
      <c r="B65" s="3" t="inlineStr">
        <is>
          <t>equityCashFlow</t>
        </is>
      </c>
      <c r="C65" s="3" t="inlineStr">
        <is>
          <t>src/domain/income/onboarding.ts</t>
        </is>
      </c>
      <c r="D65" s="3" t="n">
        <v>318</v>
      </c>
      <c r="E65" s="3" t="inlineStr">
        <is>
          <t>2 · DISPLAYED</t>
        </is>
      </c>
      <c r="F65" s="3" t="inlineStr">
        <is>
          <t>Per-calendar-year vesting cash flow across all schedule rows — drives the chart &amp; table.</t>
        </is>
      </c>
      <c r="G65" s="13"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Y65" s="3" t="inlineStr">
        <is>
          <t>NOTHING OPEN</t>
        </is>
      </c>
    </row>
    <row r="66">
      <c r="A66" s="3" t="inlineStr">
        <is>
          <t>MK-CF-F-065</t>
        </is>
      </c>
      <c r="B66" s="3" t="inlineStr">
        <is>
          <t>equityVestWeights</t>
        </is>
      </c>
      <c r="C66" s="3" t="inlineStr">
        <is>
          <t>src/domain/income/onboarding.ts</t>
        </is>
      </c>
      <c r="D66" s="3" t="n">
        <v>375</v>
      </c>
      <c r="E66" s="3" t="inlineStr">
        <is>
          <t>3 · DEPENDENT</t>
        </is>
      </c>
      <c r="F66" s="3" t="inlineStr">
        <is>
          <t>Vest-month weights (Jan→Dec, summing to 1) from the equity grant rows — THE one placement rule.</t>
        </is>
      </c>
      <c r="G66" s="13"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Y66" s="3" t="inlineStr">
        <is>
          <t>NOTHING OPEN</t>
        </is>
      </c>
    </row>
    <row r="67">
      <c r="A67" s="3" t="inlineStr">
        <is>
          <t>MK-CF-F-066</t>
        </is>
      </c>
      <c r="B67" s="3" t="inlineStr">
        <is>
          <t>rsuAnnual</t>
        </is>
      </c>
      <c r="C67" s="3" t="inlineStr">
        <is>
          <t>src/domain/income/onboarding.ts</t>
        </is>
      </c>
      <c r="D67" s="3" t="n">
        <v>431</v>
      </c>
      <c r="E67" s="3" t="inlineStr">
        <is>
          <t>2 · DISPLAYED</t>
        </is>
      </c>
      <c r="F67" s="3" t="inlineStr">
        <is>
          <t>Annual equity-comp run-rate: total scheduled value spread over the years it vests across (a level annual figure for the income estimate).</t>
        </is>
      </c>
      <c r="G67" s="13"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Y67" s="3" t="inlineStr">
        <is>
          <t>NOTHING OPEN</t>
        </is>
      </c>
    </row>
    <row r="68">
      <c r="A68" s="3" t="inlineStr">
        <is>
          <t>MK-CF-F-067</t>
        </is>
      </c>
      <c r="B68" s="3" t="inlineStr">
        <is>
          <t>rentalList</t>
        </is>
      </c>
      <c r="C68" s="3" t="inlineStr">
        <is>
          <t>src/domain/income/onboarding.ts</t>
        </is>
      </c>
      <c r="D68" s="3" t="n">
        <v>477</v>
      </c>
      <c r="E68" s="3" t="inlineStr">
        <is>
          <t>3 · DEPENDENT</t>
        </is>
      </c>
      <c r="F68" s="3" t="inlineStr">
        <is>
          <t>Normalized list of rental properties.</t>
        </is>
      </c>
      <c r="G68" s="13"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MK-CF-F-132 map
2. MK-ST-F-052 toNum</t>
        </is>
      </c>
      <c r="P68" s="3" t="n">
        <v>3</v>
      </c>
      <c r="Q68" s="3" t="inlineStr">
        <is>
          <t>1. MK-CF-F-132 map
2. MK-ST-F-052 toNum
3. MK-XS-F-122 n</t>
        </is>
      </c>
      <c r="R68" s="3" t="inlineStr">
        <is>
          <t>1. MK-CF-F-132 map → MK-CF-F-067 rentalList
2. MK-XS-F-122 n → MK-ST-F-052 toNum → MK-CF-F-067 rentalList</t>
        </is>
      </c>
      <c r="S68" s="3" t="inlineStr">
        <is>
          <t>—</t>
        </is>
      </c>
      <c r="T68" s="3" t="inlineStr">
        <is>
          <t>RENTALS</t>
        </is>
      </c>
      <c r="U68" s="3" t="inlineStr">
        <is>
          <t>ACTIVE</t>
        </is>
      </c>
      <c r="V68" s="3" t="inlineStr">
        <is>
          <t>2026-08-27</t>
        </is>
      </c>
      <c r="Y68" s="3" t="inlineStr">
        <is>
          <t>NOTHING OPEN</t>
        </is>
      </c>
    </row>
    <row r="69">
      <c r="A69" s="3" t="inlineStr">
        <is>
          <t>MK-CF-F-068</t>
        </is>
      </c>
      <c r="B69" s="3" t="inlineStr">
        <is>
          <t>rentalNetAnnual</t>
        </is>
      </c>
      <c r="C69" s="3" t="inlineStr">
        <is>
          <t>src/domain/income/onboarding.ts</t>
        </is>
      </c>
      <c r="D69" s="3" t="n">
        <v>525</v>
      </c>
      <c r="E69" s="3" t="inlineStr">
        <is>
          <t>2 · DISPLAYED</t>
        </is>
      </c>
      <c r="F69" s="3" t="inlineStr">
        <is>
          <t>Total net rental income per year, across all properties (income − operating expenses).</t>
        </is>
      </c>
      <c r="G69" s="13"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MK-CF-F-067 rentalList</t>
        </is>
      </c>
      <c r="P69" s="3" t="n">
        <v>4</v>
      </c>
      <c r="Q69" s="3" t="inlineStr">
        <is>
          <t>1. MK-CF-F-067 rentalList
2. MK-CF-F-132 map
3. MK-ST-F-052 toNum
4. MK-XS-F-122 n</t>
        </is>
      </c>
      <c r="R69" s="3" t="inlineStr">
        <is>
          <t>1. MK-CF-F-132 map → MK-CF-F-067 rentalList → MK-CF-F-068 rentalNetAnnual
2. MK-XS-F-122 n → MK-ST-F-052 toNum → MK-CF-F-067 rentalList → MK-CF-F-068 rentalNetAnnual</t>
        </is>
      </c>
      <c r="S69" s="3" t="inlineStr">
        <is>
          <t>MK-CF-M-010</t>
        </is>
      </c>
      <c r="T69" s="3" t="inlineStr">
        <is>
          <t>RENTAL_INCOME_A_YEAR</t>
        </is>
      </c>
      <c r="U69" s="3" t="inlineStr">
        <is>
          <t>ACTIVE</t>
        </is>
      </c>
      <c r="V69" s="3" t="inlineStr">
        <is>
          <t>2026-08-27</t>
        </is>
      </c>
      <c r="Y69" s="3" t="inlineStr">
        <is>
          <t>NOTHING OPEN</t>
        </is>
      </c>
    </row>
    <row r="70">
      <c r="A70" s="3" t="inlineStr">
        <is>
          <t>MK-CF-F-069</t>
        </is>
      </c>
      <c r="B70" s="3" t="inlineStr">
        <is>
          <t>benefitActiveMonths</t>
        </is>
      </c>
      <c r="C70" s="3" t="inlineStr">
        <is>
          <t>src/domain/income/onboarding.ts</t>
        </is>
      </c>
      <c r="D70" s="3" t="n">
        <v>562</v>
      </c>
      <c r="E70" s="3" t="inlineStr">
        <is>
          <t>3 · DEPENDENT</t>
        </is>
      </c>
      <c r="F70" s="3" t="inlineStr">
        <is>
          <t>Calendar months (1-12) benefits are received — e.g.</t>
        </is>
      </c>
      <c r="G70" s="13"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Y70" s="3" t="inlineStr">
        <is>
          <t>NOTHING OPEN</t>
        </is>
      </c>
    </row>
    <row r="71">
      <c r="A71" s="3" t="inlineStr">
        <is>
          <t>MK-CF-F-070</t>
        </is>
      </c>
      <c r="B71" s="3" t="inlineStr">
        <is>
          <t>benefitAnnual</t>
        </is>
      </c>
      <c r="C71" s="3" t="inlineStr">
        <is>
          <t>src/domain/income/onboarding.ts</t>
        </is>
      </c>
      <c r="D71" s="3" t="n">
        <v>596</v>
      </c>
      <c r="E71" s="3" t="inlineStr">
        <is>
          <t>2 · DISPLAYED</t>
        </is>
      </c>
      <c r="F71" s="3" t="inlineStr">
        <is>
          <t>Annual benefits = monthly amount × the months it's actually received.</t>
        </is>
      </c>
      <c r="G71" s="13"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Y71" s="3" t="inlineStr">
        <is>
          <t>NOTHING OPEN</t>
        </is>
      </c>
    </row>
    <row r="72">
      <c r="A72" s="3" t="inlineStr">
        <is>
          <t>MK-CF-F-071</t>
        </is>
      </c>
      <c r="B72" s="3" t="inlineStr">
        <is>
          <t>extraIncome</t>
        </is>
      </c>
      <c r="C72" s="3" t="inlineStr">
        <is>
          <t>src/domain/income/onboarding.ts</t>
        </is>
      </c>
      <c r="D72" s="3" t="n">
        <v>650</v>
      </c>
      <c r="E72" s="3" t="inlineStr">
        <is>
          <t>2 · DISPLAYED</t>
        </is>
      </c>
      <c r="F72" s="3" t="inlineStr">
        <is>
          <t>Extra income sources beyond salary/rental/equity (self-employment, investment, benefits, support, scholarship, other), split into taxable vs non-taxable steady monthly amounts + a one-time Jan amount.</t>
        </is>
      </c>
      <c r="G72" s="13"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Y72" s="3" t="inlineStr">
        <is>
          <t>NOTHING OPEN</t>
        </is>
      </c>
    </row>
    <row r="73">
      <c r="A73" s="3" t="inlineStr">
        <is>
          <t>MK-CF-F-072</t>
        </is>
      </c>
      <c r="B73" s="3" t="inlineStr">
        <is>
          <t>currentRetirementIncomeMonthly</t>
        </is>
      </c>
      <c r="C73" s="3" t="inlineStr">
        <is>
          <t>src/domain/income/onboarding.ts</t>
        </is>
      </c>
      <c r="D73" s="3" t="n">
        <v>728</v>
      </c>
      <c r="E73" s="3" t="inlineStr">
        <is>
          <t>2 · DISPLAYED</t>
        </is>
      </c>
      <c r="F73" s="3" t="inlineStr">
        <is>
          <t>Retirement income (ri_*) counts as CURRENT income only when the user actually receives it now — i.e.</t>
        </is>
      </c>
      <c r="G73" s="13"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Y73" s="3" t="inlineStr">
        <is>
          <t>NOTHING OPEN</t>
        </is>
      </c>
    </row>
    <row r="74">
      <c r="A74" s="3" t="inlineStr">
        <is>
          <t>MK-CF-F-073</t>
        </is>
      </c>
      <c r="B74" s="3" t="inlineStr">
        <is>
          <t>otherIncomeMonth</t>
        </is>
      </c>
      <c r="C74" s="3" t="inlineStr">
        <is>
          <t>src/domain/income/onboarding.ts</t>
        </is>
      </c>
      <c r="D74" s="3" t="n">
        <v>763</v>
      </c>
      <c r="E74" s="3" t="inlineStr">
        <is>
          <t>3 · DEPENDENT</t>
        </is>
      </c>
      <c r="F74" s="3" t="inlineStr">
        <is>
          <t>Calendar month (1-12) a one-time "other income" lands in (default January).</t>
        </is>
      </c>
      <c r="G74" s="13"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Y74" s="3" t="inlineStr">
        <is>
          <t>NOTHING OPEN</t>
        </is>
      </c>
    </row>
    <row r="75">
      <c r="A75" s="3" t="inlineStr">
        <is>
          <t>MK-CF-F-074</t>
        </is>
      </c>
      <c r="B75" s="3" t="inlineStr">
        <is>
          <t>tipsAnnual</t>
        </is>
      </c>
      <c r="C75" s="3" t="inlineStr">
        <is>
          <t>src/domain/income/onboarding.ts</t>
        </is>
      </c>
      <c r="D75" s="3" t="n">
        <v>802</v>
      </c>
      <c r="E75" s="3" t="inlineStr">
        <is>
          <t>3 · DEPENDENT</t>
        </is>
      </c>
      <c r="F75" s="3" t="inlineStr">
        <is>
          <t>Tips are part of employment income — they only count in the months the job is active, and the annual figure is prorated like salary (a temp job that ends stops the tips too).</t>
        </is>
      </c>
      <c r="G75" s="13"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Y75" s="3" t="inlineStr">
        <is>
          <t>NOTHING OPEN</t>
        </is>
      </c>
    </row>
    <row r="76">
      <c r="A76" s="3" t="inlineStr">
        <is>
          <t>MK-CF-F-075</t>
        </is>
      </c>
      <c r="B76" s="3" t="inlineStr">
        <is>
          <t>retirementIncomeMonthly</t>
        </is>
      </c>
      <c r="C76" s="3" t="inlineStr">
        <is>
          <t>src/domain/income/onboarding.ts</t>
        </is>
      </c>
      <c r="D76" s="3" t="n">
        <v>846</v>
      </c>
      <c r="E76" s="3" t="inlineStr">
        <is>
          <t>2 · DISPLAYED</t>
        </is>
      </c>
      <c r="F76" s="3" t="inlineStr">
        <is>
          <t>Retirement income (Social Security, pension, withdrawals, RMDs, annuities) per month — taxable.</t>
        </is>
      </c>
      <c r="G76" s="13"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Y76" s="3" t="inlineStr">
        <is>
          <t>NOTHING OPEN</t>
        </is>
      </c>
    </row>
    <row r="77">
      <c r="A77" s="3" t="inlineStr">
        <is>
          <t>MK-CF-F-076</t>
        </is>
      </c>
      <c r="B77" s="3" t="inlineStr">
        <is>
          <t>guaranteedOutsideStreams</t>
        </is>
      </c>
      <c r="C77" s="3" t="inlineStr">
        <is>
          <t>src/domain/income/onboarding.ts</t>
        </is>
      </c>
      <c r="D77" s="3" t="n">
        <v>888</v>
      </c>
      <c r="E77" s="3" t="inlineStr">
        <is>
          <t>2 · DISPLAYED</t>
        </is>
      </c>
      <c r="F77" s="3" t="inlineStr">
        <is>
          <t>The plan's guaranteed-income input as separate streams of OUTSIDE money only. Answers: zer</t>
        </is>
      </c>
      <c r="G77" s="13"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Y77" s="6" t="inlineStr">
        <is>
          <t>TESTED, NOT VERIFIED (G13, G14)</t>
        </is>
      </c>
    </row>
    <row r="78">
      <c r="A78" s="3" t="inlineStr">
        <is>
          <t>MK-CF-F-077</t>
        </is>
      </c>
      <c r="B78" s="3" t="inlineStr">
        <is>
          <t>scholarshipByCalendarMonth</t>
        </is>
      </c>
      <c r="C78" s="3" t="inlineStr">
        <is>
          <t>src/domain/income/onboarding.ts</t>
        </is>
      </c>
      <c r="D78" s="3" t="n">
        <v>938</v>
      </c>
      <c r="E78" s="3" t="inlineStr">
        <is>
          <t>3 · DEPENDENT</t>
        </is>
      </c>
      <c r="F78" s="3" t="inlineStr">
        <is>
          <t>Scholarships/grants placed in the calendar months they actually land (Jan→Dec) — NOT averaged.</t>
        </is>
      </c>
      <c r="G78" s="13"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Y78" s="3" t="inlineStr">
        <is>
          <t>NOTHING OPEN</t>
        </is>
      </c>
    </row>
    <row r="79">
      <c r="A79" s="3" t="inlineStr">
        <is>
          <t>MK-CF-F-078</t>
        </is>
      </c>
      <c r="B79" s="3" t="inlineStr">
        <is>
          <t>employerMatchMonthly</t>
        </is>
      </c>
      <c r="C79" s="3" t="inlineStr">
        <is>
          <t>src/domain/income/onboarding.ts</t>
        </is>
      </c>
      <c r="D79" s="3" t="n">
        <v>980</v>
      </c>
      <c r="E79" s="3" t="inlineStr">
        <is>
          <t>2 · DISPLAYED</t>
        </is>
      </c>
      <c r="F79" s="3" t="inlineStr">
        <is>
          <t>Employer match resolved to $/month.</t>
        </is>
      </c>
      <c r="G79" s="13"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Y79" s="3" t="inlineStr">
        <is>
          <t>NOTHING OPEN</t>
        </is>
      </c>
    </row>
    <row r="80">
      <c r="A80" s="3" t="inlineStr">
        <is>
          <t>MK-CF-F-079</t>
        </is>
      </c>
      <c r="B80" s="3" t="inlineStr">
        <is>
          <t>incomeFromOnboarding</t>
        </is>
      </c>
      <c r="C80" s="3" t="inlineStr">
        <is>
          <t>src/domain/income/onboarding.ts</t>
        </is>
      </c>
      <c r="D80" s="3" t="n">
        <v>1049</v>
      </c>
      <c r="E80" s="3" t="inlineStr">
        <is>
          <t>2 · DISPLAYED</t>
        </is>
      </c>
      <c r="F80" s="3" t="inlineStr">
        <is>
          <t>NOT DETERMINED — the code carries no note saying what this is for, and it has no row in the old inventory. Needs reading.</t>
        </is>
      </c>
      <c r="G80" s="13"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MK-XS-F-175 uid</t>
        </is>
      </c>
      <c r="P80" s="3" t="n">
        <v>103</v>
      </c>
      <c r="Q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MK-XS-F-175 uid
13. MK-CF-F-069 benefitActiveMonths
14. MK-CF-F-075 retirementIncomeMonthly
15. MK-CF-F-175 sumOverEarners
16. MK-CF-F-178 wageMatchMonthly
17. MK-CF-F-062 equityRowValue
18. MK-CF-F-063 rowVestYear
19. MK-CF-F-060 salaryGrossByMonth
20. MK-CF-F-081 salaryActiveMonths
21. MK-XS-F-122 n
22. MK-ST-F-027 accountId
23. MK-CF-F-111 applyTransaction
24. MK-NW-F-040 assetsFromOnboarding
25. MK-PF-F-013 benchmarkTicker
26. MK-ST-F-028 buildDayFromAccounts
27. MK-PF-F-034 closeOnOrBefore
28. MK-CF-F-186 convertTakeHomeMode
29. MK-CF-F-038 debtsFromOnboarding
30. MK-XS-F-083 fetchPriceSeries
31. MK-PL-F-013 goalsFromOnboarding
32. MK-ST-F-056 has
33. MK-CF-F-116 inverseOf
34. MK-ST-F-065 isoLocalDate
35. MK-CF-F-112 makeTransaction
36. MK-XS-F-006 pruneDaily
37. MK-ST-F-073 rebuildDays
38. MK-NW-F-054 reclassifyAccounts
39. MK-XS-F-174 recomputeBalances
40. MK-CF-F-115 restoreUndo
41. MK-CF-F-109 reviewTransactions
42. MK-ST-F-044 setMoneyFormat
43. MK-CF-F-114 undoSnapshot
44. MK-CF-F-191 ym
45. MK-CF-F-173 earnerWages
46. MK-CF-F-176 sumMonthsOverEarners
47. MK-CF-F-177 wageGrossByMonth
48. MK-CF-F-138 addLot
49. MK-CF-F-136 bumpCash
50. MK-CF-F-137 findPos
51. MK-CF-F-139 removeShares
52. MK-PF-F-001 totalShares
53. MK-ST-F-053 money
54. MK-CF-F-085 filingStatusOf
55. MK-CF-F-097 grossFromNet
56. MK-CF-F-185 needsTakeHomeConversion
57. MK-CF-F-089 over65CountOf
58. MK-CF-F-037 inferDebtType
59. MK-ST-F-069 amountOf
60. MK-CF-F-133 cashOf
61. MK-ST-F-066 isDayKey
62. MK-ST-F-070 isOpening
63. MK-ST-F-071 rebuildableFrom
64. MK-ST-F-068 stepDay
65. MK-ST-F-072 undo
66. MK-NW-F-053 correctClassOf
67. MK-NW-F-008 incomeBearingClassOf
68. MK-PF-F-002 costBasis
69. MK-PF-F-009 latestClose
70. MK-PF-F-004 marketValue
71. MK-ST-F-030 record
72. MK-XS-F-024 resolveLens
73. MK-ST-F-055 round2
74. MK-CF-F-162 daysApart
75. MK-CF-F-108 isMoneyOut
76. MK-PL-F-074 median
77. MK-CF-F-131 normPayee
78. MK-CF-F-113 affectedAccountIds
79. MK-CF-F-172 hasWage
80. MK-CF-F-130 enteredMonthlyRaw
81. MK-CF-F-166 hasMonthlySalaryTable
82. MK-ST-F-036 reconcile
83. MK-CF-F-167 salaryCalendarYear
84. MK-CF-F-134 usesSleeve
85. MK-ST-F-049 formatMoney
86. MK-CF-F-101 taxOwedFor
87. MK-ST-F-067 utcOfDay
88. MK-CF-F-155 cash
89. MK-ST-F-035 covers
90. MK-NW-F-009 maturityClass
91. MK-ST-F-010 nameEvidence
92. MK-PF-F-031 contractMultiplier
93. MK-CF-F-165 salaryMonths
94. MK-ST-F-048 currencySymbol
95. MK-ST-F-039 on
96. MK-CF-F-100 taxableIncomeFor
97. MK-ST-F-034 firstDate
98. MK-XS-F-147 call
99. MK-ST-F-047 activeCurrency
100. MK-CF-F-099 deductionFor
101. MK-XS-F-064 currentIdToken
102. MK-XS-F-112 relayUrl
103.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MK-CF-F-132 map → MK-CF-F-079 incomeFromOnboarding
9. … and 5 more paths</t>
        </is>
      </c>
      <c r="S80" s="3" t="inlineStr">
        <is>
          <t>—</t>
        </is>
      </c>
      <c r="T80" s="3" t="inlineStr">
        <is>
          <t>—</t>
        </is>
      </c>
      <c r="U80" s="3" t="inlineStr">
        <is>
          <t>ACTIVE</t>
        </is>
      </c>
      <c r="V80" s="3" t="inlineStr">
        <is>
          <t>2026-08-27</t>
        </is>
      </c>
      <c r="Y80" s="3" t="inlineStr">
        <is>
          <t>NOTHING OPEN</t>
        </is>
      </c>
    </row>
    <row r="81">
      <c r="A81" s="3" t="inlineStr">
        <is>
          <t>MK-CF-F-080</t>
        </is>
      </c>
      <c r="B81" s="3" t="inlineStr">
        <is>
          <t>jobActiveMonth</t>
        </is>
      </c>
      <c r="C81" s="3" t="inlineStr">
        <is>
          <t>src/domain/income/onboarding.ts</t>
        </is>
      </c>
      <c r="D81" s="3" t="n">
        <v>1121</v>
      </c>
      <c r="E81" s="3" t="inlineStr">
        <is>
          <t>3 · DEPENDENT (feeds an action only)</t>
        </is>
      </c>
      <c r="F81" s="3" t="inlineStr">
        <is>
          <t>Is base salary present in calendar month i (0-11)?</t>
        </is>
      </c>
      <c r="G81" s="13"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Y81" s="3" t="inlineStr">
        <is>
          <t>NOTHING OPEN</t>
        </is>
      </c>
    </row>
    <row r="82">
      <c r="A82" s="3" t="inlineStr">
        <is>
          <t>MK-CF-F-081</t>
        </is>
      </c>
      <c r="B82" s="3" t="inlineStr">
        <is>
          <t>salaryActiveMonths</t>
        </is>
      </c>
      <c r="C82" s="3" t="inlineStr">
        <is>
          <t>src/domain/income/onboarding.ts</t>
        </is>
      </c>
      <c r="D82" s="3" t="n">
        <v>1155</v>
      </c>
      <c r="E82" s="3" t="inlineStr">
        <is>
          <t>3 · DEPENDENT</t>
        </is>
      </c>
      <c r="F82" s="3" t="inlineStr">
        <is>
          <t>How many months of the year you draw a salary.</t>
        </is>
      </c>
      <c r="G82" s="13"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Y82" s="3" t="inlineStr">
        <is>
          <t>NOTHING OPEN</t>
        </is>
      </c>
    </row>
    <row r="83">
      <c r="A83" s="3" t="inlineStr">
        <is>
          <t>MK-CF-F-082</t>
        </is>
      </c>
      <c r="B83" s="3" t="inlineStr">
        <is>
          <t>salaryAnnual</t>
        </is>
      </c>
      <c r="C83" s="3" t="inlineStr">
        <is>
          <t>src/domain/income/onboarding.ts</t>
        </is>
      </c>
      <c r="D83" s="3" t="n">
        <v>1192</v>
      </c>
      <c r="E83" s="3" t="inlineStr">
        <is>
          <t>2 · DISPLAYED</t>
        </is>
      </c>
      <c r="F83" s="3" t="inlineStr">
        <is>
          <t>Salary income for the year = sum of the per-month gross salary.</t>
        </is>
      </c>
      <c r="G83" s="13"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Y83" s="3" t="inlineStr">
        <is>
          <t>NOTHING OPEN</t>
        </is>
      </c>
    </row>
    <row r="84">
      <c r="A84" s="3" t="inlineStr">
        <is>
          <t>MK-CF-F-083</t>
        </is>
      </c>
      <c r="B84" s="3" t="inlineStr">
        <is>
          <t>totalGrossAnnual</t>
        </is>
      </c>
      <c r="C84" s="3" t="inlineStr">
        <is>
          <t>src/domain/income/onboarding.ts</t>
        </is>
      </c>
      <c r="D84" s="3" t="n">
        <v>1224</v>
      </c>
      <c r="E84" s="3" t="inlineStr">
        <is>
          <t>2 · DISPLAYED</t>
        </is>
      </c>
      <c r="F84" s="3" t="inlineStr">
        <is>
          <t>Total annual income across every inflow (salary for months worked + bonus + signing + equity + net rental + self-employment/investment/benefits/support/scholarship/other).</t>
        </is>
      </c>
      <c r="G84" s="13"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 mo" — on the setup questions, which appear on more than one screen
3. "Pay off over (years)" — on the setup questions, which appear on more than one screen
4. "STUDENT LOAN OUTLOOK" — on the Goals screen, under "STUDENT LOAN OUTLOOK"
5. "Total income / yr"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28</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MK-CF-F-067 rentalList
12. MK-CF-F-062 equityRowValue
13. MK-CF-F-132 map
14. MK-CF-F-063 rowVestYear
15. MK-CF-F-060 salaryGrossByMonth
16. MK-CF-F-081 salaryActiveMonths
17. MK-XS-F-122 n
18. MK-CF-F-069 benefitActiveMonths
19. MK-CF-F-176 sumMonthsOverEarners
20. MK-CF-F-177 wageGrossByMonth
21. MK-CF-F-173 earnerWages
22. MK-CF-F-130 enteredMonthlyRaw
23. MK-CF-F-166 hasMonthlySalaryTable
24. MK-ST-F-036 reconcile
25. MK-CF-F-167 salaryCalendarYear
26. MK-CF-F-172 hasWage
27. MK-CF-F-165 salaryMonths
28. MK-ST-F-056 has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S84" s="3" t="inlineStr">
        <is>
          <t>—</t>
        </is>
      </c>
      <c r="T84" s="3" t="inlineStr">
        <is>
          <t>TOTAL_INCOME</t>
        </is>
      </c>
      <c r="U84" s="3" t="inlineStr">
        <is>
          <t>ACTIVE</t>
        </is>
      </c>
      <c r="V84" s="3" t="inlineStr">
        <is>
          <t>2026-08-27</t>
        </is>
      </c>
      <c r="Y84" s="3" t="inlineStr">
        <is>
          <t>NOTHING OPEN</t>
        </is>
      </c>
    </row>
    <row r="85">
      <c r="A85" s="3" t="inlineStr">
        <is>
          <t>MK-CF-F-084</t>
        </is>
      </c>
      <c r="B85" s="3" t="inlineStr">
        <is>
          <t>taxableAnnual</t>
        </is>
      </c>
      <c r="C85" s="3" t="inlineStr">
        <is>
          <t>src/domain/income/onboarding.ts</t>
        </is>
      </c>
      <c r="D85" s="3" t="n">
        <v>1266</v>
      </c>
      <c r="E85" s="3" t="inlineStr">
        <is>
          <t>2 · DISPLAYED</t>
        </is>
      </c>
      <c r="F85" s="3" t="inlineStr">
        <is>
          <t>Taxable annual income (excludes non-taxable benefits/support/scholarships) — the base for tax estimates.</t>
        </is>
      </c>
      <c r="G85" s="13"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28</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MK-CF-F-067 rentalList
12. MK-CF-F-062 equityRowValue
13. MK-CF-F-132 map
14. MK-CF-F-063 rowVestYear
15. MK-CF-F-060 salaryGrossByMonth
16. MK-CF-F-081 salaryActiveMonths
17. MK-XS-F-122 n
18. MK-CF-F-069 benefitActiveMonths
19. MK-CF-F-176 sumMonthsOverEarners
20. MK-CF-F-177 wageGrossByMonth
21. MK-CF-F-173 earnerWages
22. MK-CF-F-130 enteredMonthlyRaw
23. MK-CF-F-166 hasMonthlySalaryTable
24. MK-ST-F-036 reconcile
25. MK-CF-F-167 salaryCalendarYear
26. MK-CF-F-172 hasWage
27. MK-CF-F-165 salaryMonths
28. MK-ST-F-056 has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MK-CF-F-132 map → MK-CF-F-067 rentalList → MK-CF-F-068 rentalNetAnnual → MK-CF-F-084 taxableAnnual
7. MK-XS-F-122 n → MK-ST-F-052 toNum → MK-CF-F-067 rentalList → MK-CF-F-068 rentalNetAnnual → MK-CF-F-084 taxableAnnual
8. MK-XS-F-122 n → MK-ST-F-052 toNum → MK-CF-F-062 equityRowValue → MK-CF-F-066 rsuAnnual → MK-CF-F-084 taxableAnnual
9. … and 5 more paths</t>
        </is>
      </c>
      <c r="S85" s="3" t="inlineStr">
        <is>
          <t>—</t>
        </is>
      </c>
      <c r="T85" s="3" t="inlineStr">
        <is>
          <t>—</t>
        </is>
      </c>
      <c r="U85" s="3" t="inlineStr">
        <is>
          <t>ACTIVE</t>
        </is>
      </c>
      <c r="V85" s="3" t="inlineStr">
        <is>
          <t>2026-08-27</t>
        </is>
      </c>
      <c r="Y85" s="3" t="inlineStr">
        <is>
          <t>NOTHING OPEN</t>
        </is>
      </c>
    </row>
    <row r="86">
      <c r="A86" s="3" t="inlineStr">
        <is>
          <t>MK-CF-F-085</t>
        </is>
      </c>
      <c r="B86" s="3" t="inlineStr">
        <is>
          <t>filingStatusOf</t>
        </is>
      </c>
      <c r="C86" s="3" t="inlineStr">
        <is>
          <t>src/domain/income/onboarding.ts</t>
        </is>
      </c>
      <c r="D86" s="3" t="n">
        <v>1311</v>
      </c>
      <c r="E86" s="3" t="inlineStr">
        <is>
          <t>2 · DISPLAYED</t>
        </is>
      </c>
      <c r="F86" s="3" t="inlineStr">
        <is>
          <t>Effective tax rate in use: the user's manual rate, else the IRS-schedule estimate on taxable income.</t>
        </is>
      </c>
      <c r="G86" s="13"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Y86" s="3" t="inlineStr">
        <is>
          <t>NOTHING OPEN</t>
        </is>
      </c>
    </row>
    <row r="87">
      <c r="A87" s="3" t="inlineStr">
        <is>
          <t>MK-CF-F-086</t>
        </is>
      </c>
      <c r="B87" s="3" t="inlineStr">
        <is>
          <t>stateRateOf</t>
        </is>
      </c>
      <c r="C87" s="3" t="inlineStr">
        <is>
          <t>src/domain/income/onboarding.ts</t>
        </is>
      </c>
      <c r="D87" s="3" t="n">
        <v>1357</v>
      </c>
      <c r="E87" s="3" t="inlineStr">
        <is>
          <t>2 · DISPLAYED</t>
        </is>
      </c>
      <c r="F87" s="3" t="inlineStr">
        <is>
          <t>What state tax rate applies?</t>
        </is>
      </c>
      <c r="G87" s="13"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Y87" s="3" t="inlineStr">
        <is>
          <t>NOTHING OPEN</t>
        </is>
      </c>
    </row>
    <row r="88">
      <c r="A88" s="3" t="inlineStr">
        <is>
          <t>MK-CF-F-087</t>
        </is>
      </c>
      <c r="B88" s="3" t="inlineStr">
        <is>
          <t>monthlyTaxRates</t>
        </is>
      </c>
      <c r="C88" s="3" t="inlineStr">
        <is>
          <t>src/domain/income/onboarding.ts</t>
        </is>
      </c>
      <c r="D88" s="3" t="n">
        <v>1401</v>
      </c>
      <c r="E88" s="3" t="inlineStr">
        <is>
          <t>2 · DISPLAYED</t>
        </is>
      </c>
      <c r="F88" s="3" t="inlineStr">
        <is>
          <t>PRD F2#11 — the ONE per-calendar-month effective tax-rate vector (Jan→Dec).</t>
        </is>
      </c>
      <c r="G88" s="13"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MK-CF-F-090 effectiveRate
2. MK-CF-F-085 filingStatusOf
3. MK-CF-F-132 map
4. MK-CF-F-089 over65CountOf
5. MK-CF-F-098 progressiveMonthlyTax
6. MK-CF-F-181 rateInForce
7. MK-CF-F-086 stateRateOf
8. MK-CF-F-088 taxableByCalendarMonth</t>
        </is>
      </c>
      <c r="P88" s="3" t="n">
        <v>44</v>
      </c>
      <c r="Q88" s="3" t="inlineStr">
        <is>
          <t>1. MK-CF-F-090 effectiveRate
2. MK-CF-F-085 filingStatusOf
3. MK-CF-F-132 map
4. MK-CF-F-089 over65CountOf
5. MK-CF-F-098 progressiveMonthlyTax
6. MK-CF-F-181 rateInForce
7. MK-CF-F-086 stateRateOf
8. MK-CF-F-088 taxableByCalendarMonth
9. MK-ST-F-052 toNum
10. MK-CF-F-101 taxOwedFor
11. MK-CF-F-100 taxableIncomeFor
12. MK-CF-F-173 earnerWages
13. MK-CF-F-102 effectiveRateOnGrossFor
14. MK-CF-F-180 enteredLandsAnnual
15. MK-CF-F-082 salaryAnnual
16. MK-CF-F-084 taxableAnnual
17. MK-CF-F-072 currentRetirementIncomeMonthly
18. MK-CF-F-065 equityVestWeights
19. MK-CF-F-071 extraIncome
20. MK-CF-F-073 otherIncomeMonth
21. MK-CF-F-068 rentalNetAnnual
22. MK-CF-F-066 rsuAnnual
23. MK-CF-F-060 salaryGrossByMonth
24. MK-XS-F-122 n
25. MK-CF-F-099 deductionFor
26. MK-CF-F-172 hasWage
27. MK-CF-F-074 tipsAnnual
28. MK-CF-F-075 retirementIncomeMonthly
29. MK-CF-F-062 equityRowValue
30. MK-CF-F-070 benefitAnnual
31. MK-ST-F-039 on
32. MK-CF-F-067 rentalList
33. MK-CF-F-063 rowVestYear
34. MK-CF-F-176 sumMonthsOverEarners
35. MK-CF-F-177 wageGrossByMonth
36. MK-CF-F-187 seniorDeductionFor
37. MK-ST-F-056 has
38. MK-CF-F-081 salaryActiveMonths
39. MK-CF-F-069 benefitActiveMonths
40. MK-CF-F-130 enteredMonthlyRaw
41. MK-CF-F-166 hasMonthlySalaryTable
42. MK-ST-F-036 reconcile
43. MK-CF-F-167 salaryCalendarYear
44. MK-CF-F-165 salaryMonths</t>
        </is>
      </c>
      <c r="R88" s="3" t="inlineStr">
        <is>
          <t>1. MK-ST-F-056 has → MK-CF-F-172 hasWage → MK-CF-F-173 earnerWages → MK-CF-F-181 rateInForce → MK-CF-F-090 effectiveRate → MK-CF-F-087 monthlyTaxRates
2. MK-CF-F-100 taxableIncomeFor → MK-CF-F-101 taxOwedFor → MK-CF-F-102 effectiveRateOnGrossFor → MK-CF-F-181 rateInForce → MK-CF-F-090 effectiveRate → MK-CF-F-087 monthlyTaxRates
3. MK-CF-F-172 hasWage → MK-CF-F-173 earnerWages → MK-CF-F-180 enteredLandsAnnual → MK-CF-F-181 rateInForce → MK-CF-F-090 effectiveRate → MK-CF-F-087 monthlyTaxRates
4. MK-XS-F-122 n → MK-ST-F-052 toNum → MK-CF-F-180 enteredLandsAnnual → MK-CF-F-181 rateInForce → MK-CF-F-090 effectiveRate → MK-CF-F-087 monthlyTaxRates
5. MK-CF-F-085 filingStatusOf → MK-CF-F-181 rateInForce → MK-CF-F-090 effectiveRate → MK-CF-F-087 monthlyTaxRates
6. MK-XS-F-122 n → MK-ST-F-052 toNum → MK-CF-F-089 over65CountOf → MK-CF-F-181 rateInForce → MK-CF-F-090 effectiveRate → MK-CF-F-087 monthlyTaxRates
7. MK-CF-F-176 sumMonthsOverEarners → MK-CF-F-060 salaryGrossByMonth → MK-CF-F-082 salaryAnnual → MK-CF-F-181 rateInForce → MK-CF-F-090 effectiveRate → MK-CF-F-087 monthlyTaxRates
8. MK-CF-F-177 wageGrossByMonth → MK-CF-F-060 salaryGrossByMonth → MK-CF-F-082 salaryAnnual → MK-CF-F-181 rateInForce → MK-CF-F-090 effectiveRate → MK-CF-F-087 monthlyTaxRates
9. … and 5 more paths</t>
        </is>
      </c>
      <c r="S88" s="3" t="inlineStr">
        <is>
          <t>—</t>
        </is>
      </c>
      <c r="T88" s="3" t="inlineStr">
        <is>
          <t>—</t>
        </is>
      </c>
      <c r="U88" s="3" t="inlineStr">
        <is>
          <t>ACTIVE</t>
        </is>
      </c>
      <c r="V88" s="3" t="inlineStr">
        <is>
          <t>2026-09-08</t>
        </is>
      </c>
      <c r="Y88" s="6" t="inlineStr">
        <is>
          <t>TESTED, NOT VERIFIED (G35)</t>
        </is>
      </c>
    </row>
    <row r="89">
      <c r="A89" s="3" t="inlineStr">
        <is>
          <t>MK-CF-F-088</t>
        </is>
      </c>
      <c r="B89" s="3" t="inlineStr">
        <is>
          <t>taxableByCalendarMonth</t>
        </is>
      </c>
      <c r="C89" s="3" t="inlineStr">
        <is>
          <t>src/domain/income/onboarding.ts</t>
        </is>
      </c>
      <c r="D89" s="3" t="n">
        <v>1466</v>
      </c>
      <c r="E89" s="3" t="inlineStr">
        <is>
          <t>3 · DEPENDENT</t>
        </is>
      </c>
      <c r="F89" s="3" t="inlineStr">
        <is>
          <t>The calendar-year TAXABLE profile (Jan→Dec) — the same placement rules incomeMonthlyGrid uses, extracted so the rate vector and the grid can never drift apart.</t>
        </is>
      </c>
      <c r="G89" s="13"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MK-CF-F-132 map
5. MK-CF-F-073 otherIncomeMonth
6. MK-CF-F-068 rentalNetAnnual
7. MK-CF-F-066 rsuAnnual
8. MK-CF-F-060 salaryGrossByMonth
9. MK-ST-F-052 toNum</t>
        </is>
      </c>
      <c r="P89" s="3" t="n">
        <v>27</v>
      </c>
      <c r="Q89" s="3" t="inlineStr">
        <is>
          <t>1. MK-CF-F-072 currentRetirementIncomeMonthly
2. MK-CF-F-065 equityVestWeights
3. MK-CF-F-071 extraIncome
4. MK-CF-F-132 map
5. MK-CF-F-073 otherIncomeMonth
6. MK-CF-F-068 rentalNetAnnual
7. MK-CF-F-066 rsuAnnual
8. MK-CF-F-060 salaryGrossByMonth
9. MK-ST-F-052 toNum
10. MK-CF-F-075 retirementIncomeMonthly
11. MK-CF-F-062 equityRowValue
12. MK-CF-F-070 benefitAnnual
13. MK-ST-F-039 on
14. MK-CF-F-067 rentalList
15. MK-CF-F-063 rowVestYear
16. MK-CF-F-176 sumMonthsOverEarners
17. MK-CF-F-177 wageGrossByMonth
18. MK-XS-F-122 n
19. MK-CF-F-069 benefitActiveMonths
20. MK-CF-F-173 earnerWages
21. MK-CF-F-130 enteredMonthlyRaw
22. MK-CF-F-166 hasMonthlySalaryTable
23. MK-ST-F-036 reconcile
24. MK-CF-F-167 salaryCalendarYear
25. MK-CF-F-172 hasWage
26. MK-CF-F-165 salaryMonths
27. MK-ST-F-056 has</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MK-CF-F-088 taxableByCalendarMonth
9. … and 5 more paths</t>
        </is>
      </c>
      <c r="S89" s="3" t="inlineStr">
        <is>
          <t>—</t>
        </is>
      </c>
      <c r="T89" s="3" t="inlineStr">
        <is>
          <t>—</t>
        </is>
      </c>
      <c r="U89" s="3" t="inlineStr">
        <is>
          <t>ACTIVE</t>
        </is>
      </c>
      <c r="V89" s="3" t="inlineStr">
        <is>
          <t>2026-08-27</t>
        </is>
      </c>
      <c r="Y89" s="3" t="inlineStr">
        <is>
          <t>NOTHING OPEN</t>
        </is>
      </c>
    </row>
    <row r="90">
      <c r="A90" s="3" t="inlineStr">
        <is>
          <t>MK-CF-F-089</t>
        </is>
      </c>
      <c r="B90" s="3" t="inlineStr">
        <is>
          <t>over65CountOf</t>
        </is>
      </c>
      <c r="C90" s="3" t="inlineStr">
        <is>
          <t>src/domain/income/onboarding.ts</t>
        </is>
      </c>
      <c r="D90" s="3" t="n">
        <v>1539</v>
      </c>
      <c r="E90" s="3" t="inlineStr">
        <is>
          <t>2 · DISPLAYED</t>
        </is>
      </c>
      <c r="F90" s="3" t="inlineStr">
        <is>
          <t>E8 (founder brief 2026-08-20): how many people on the return are 65+.</t>
        </is>
      </c>
      <c r="G90" s="13"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Y90" s="3" t="inlineStr">
        <is>
          <t>NOTHING OPEN</t>
        </is>
      </c>
    </row>
    <row r="91">
      <c r="A91" s="3" t="inlineStr">
        <is>
          <t>MK-CF-F-090</t>
        </is>
      </c>
      <c r="B91" s="3" t="inlineStr">
        <is>
          <t>effectiveRate</t>
        </is>
      </c>
      <c r="C91" s="3" t="inlineStr">
        <is>
          <t>src/domain/income/onboarding.ts</t>
        </is>
      </c>
      <c r="D91" s="3" t="n">
        <v>1582</v>
      </c>
      <c r="E91" s="3" t="inlineStr">
        <is>
          <t>3 · DEPENDENT</t>
        </is>
      </c>
      <c r="F91" s="3" t="inlineStr">
        <is>
          <t>NOT DETERMINED — the code carries no note saying what this is for, and it has no row in the old inventory. Needs reading.</t>
        </is>
      </c>
      <c r="G91" s="13"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39</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MK-CF-F-187 seniorDeductionFor
39. MK-CF-F-165 salaryMonths</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Y91" s="3" t="inlineStr">
        <is>
          <t>NOTHING OPEN</t>
        </is>
      </c>
    </row>
    <row r="92">
      <c r="A92" s="3" t="inlineStr">
        <is>
          <t>MK-CF-F-091</t>
        </is>
      </c>
      <c r="B92" s="3" t="inlineStr">
        <is>
          <t>userCapGainsRates</t>
        </is>
      </c>
      <c r="C92" s="3" t="inlineStr">
        <is>
          <t>src/domain/income/onboarding.ts</t>
        </is>
      </c>
      <c r="D92" s="3" t="n">
        <v>1616</v>
      </c>
      <c r="E92" s="3" t="inlineStr">
        <is>
          <t>3 · DEPENDENT (feeds an action only)</t>
        </is>
      </c>
      <c r="F92" s="3" t="inlineStr">
        <is>
          <t>PRD F3#17 — the user's OWN capital-gains rates (long: 0/15/20 ladder by filing status; short: their marginal bracket), each plus the flat state rate.</t>
        </is>
      </c>
      <c r="G92" s="13"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37</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MK-CF-F-067 rentalList
21. MK-CF-F-062 equityRowValue
22. MK-CF-F-132 map
23. MK-CF-F-063 rowVestYear
24. MK-CF-F-060 salaryGrossByMonth
25. MK-CF-F-081 salaryActiveMonths
26. MK-CF-F-187 seniorDeductionFor
27. MK-CF-F-069 benefitActiveMonths
28. MK-CF-F-176 sumMonthsOverEarners
29. MK-CF-F-177 wageGrossByMonth
30. MK-CF-F-173 earnerWages
31. MK-CF-F-130 enteredMonthlyRaw
32. MK-CF-F-166 hasMonthlySalaryTable
33. MK-ST-F-036 reconcile
34. MK-CF-F-167 salaryCalendarYear
35. MK-CF-F-172 hasWage
36. MK-CF-F-165 salaryMonths
37. MK-ST-F-056 has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Y92" s="3" t="inlineStr">
        <is>
          <t>NOTHING OPEN</t>
        </is>
      </c>
    </row>
    <row r="93">
      <c r="A93" s="3" t="inlineStr">
        <is>
          <t>MK-CF-F-092</t>
        </is>
      </c>
      <c r="B93" s="3" t="inlineStr">
        <is>
          <t>incomeMonthlyGrid</t>
        </is>
      </c>
      <c r="C93" s="3" t="inlineStr">
        <is>
          <t>src/domain/income/onboarding.ts</t>
        </is>
      </c>
      <c r="D93" s="3" t="n">
        <v>1676</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3"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c401k m = c 401k read as a number (0 when it is not one)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C401k m is c 401k read as a number (0 — when it is one is missing).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MK-CF-F-066 rsuAnnual
12. MK-CF-F-060 salaryGrossByMonth
13. MK-CF-F-077 scholarshipByCalendarMonth
14. MK-CF-F-088 taxableByCalendarMonth
15. MK-ST-F-052 toNum
16. MK-PL-F-012 waterfall</t>
        </is>
      </c>
      <c r="P93" s="3" t="n">
        <v>47</v>
      </c>
      <c r="Q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MK-CF-F-066 rsuAnnual
12. MK-CF-F-060 salaryGrossByMonth
13. MK-CF-F-077 scholarshipByCalendarMonth
14. MK-CF-F-088 taxableByCalendarMonth
15. MK-ST-F-052 toNum
16. MK-PL-F-012 waterfall
17. MK-CF-F-075 retirementIncomeMonthly
18. MK-CF-F-062 equityRowValue
19. MK-CF-F-070 benefitAnnual
20. MK-ST-F-039 on
21. MK-CF-F-090 effectiveRate
22. MK-CF-F-085 filingStatusOf
23. MK-CF-F-089 over65CountOf
24. MK-CF-F-098 progressiveMonthlyTax
25. MK-CF-F-086 stateRateOf
26. MK-CF-F-173 earnerWages
27. MK-CF-F-102 effectiveRateOnGrossFor
28. MK-CF-F-180 enteredLandsAnnual
29. MK-CF-F-082 salaryAnnual
30. MK-CF-F-084 taxableAnnual
31. MK-CF-F-067 rentalList
32. MK-CF-F-063 rowVestYear
33. MK-CF-F-176 sumMonthsOverEarners
34. MK-CF-F-177 wageGrossByMonth
35. MK-XS-F-122 n
36. MK-CF-F-101 taxOwedFor
37. MK-CF-F-100 taxableIncomeFor
38. MK-CF-F-172 hasWage
39. MK-CF-F-074 tipsAnnual
40. MK-CF-F-130 enteredMonthlyRaw
41. MK-CF-F-166 hasMonthlySalaryTable
42. MK-ST-F-036 reconcile
43. MK-CF-F-167 salaryCalendarYear
44. MK-CF-F-099 deductionFor
45. MK-CF-F-081 salaryActiveMonths
46. MK-CF-F-165 salaryMonths
47. MK-CF-F-187 seniorDeductionFor</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2026-08-27</t>
        </is>
      </c>
      <c r="Y93" s="3" t="inlineStr">
        <is>
          <t>NOTHING OPEN</t>
        </is>
      </c>
    </row>
    <row r="94">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3"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Y94" s="6" t="inlineStr">
        <is>
          <t>TESTED, NOT VERIFIED (G35)</t>
        </is>
      </c>
    </row>
    <row r="95">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3"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Y95" s="3" t="inlineStr">
        <is>
          <t>NOTHING OPEN</t>
        </is>
      </c>
    </row>
    <row r="96">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3"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Y96" s="6" t="inlineStr">
        <is>
          <t>TESTED, NOT VERIFIED (G3)</t>
        </is>
      </c>
    </row>
    <row r="97">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3"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Y97" s="6" t="inlineStr">
        <is>
          <t>TESTED, NOT VERIFIED (G3)</t>
        </is>
      </c>
    </row>
    <row r="98">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3"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Y98" s="6" t="inlineStr">
        <is>
          <t>TESTED, NOT VERIFIED (G23, G35)</t>
        </is>
      </c>
    </row>
    <row r="99">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3"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Y99" s="3" t="inlineStr">
        <is>
          <t>NOTHING OPEN</t>
        </is>
      </c>
    </row>
    <row r="100">
      <c r="A100" s="3" t="inlineStr">
        <is>
          <t>MK-CF-F-103</t>
        </is>
      </c>
      <c r="B100" s="3" t="inlineStr">
        <is>
          <t>marginalBracketFor</t>
        </is>
      </c>
      <c r="C100" s="3" t="inlineStr">
        <is>
          <t>src/domain/income/tax.ts</t>
        </is>
      </c>
      <c r="D100" s="3" t="n">
        <v>407</v>
      </c>
      <c r="E100" s="3" t="inlineStr">
        <is>
          <t>2 · DISPLAYED</t>
        </is>
      </c>
      <c r="F100" s="3" t="inlineStr">
        <is>
          <t>Which federal band does this person's last dollar fall in?</t>
        </is>
      </c>
      <c r="G100" s="13"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Y100" s="6" t="inlineStr">
        <is>
          <t>TESTED, NOT VERIFIED (G23)</t>
        </is>
      </c>
    </row>
    <row r="101">
      <c r="A101" s="3" t="inlineStr">
        <is>
          <t>MK-CF-F-104</t>
        </is>
      </c>
      <c r="B101" s="3" t="inlineStr">
        <is>
          <t>ltcgRateFor</t>
        </is>
      </c>
      <c r="C101" s="3" t="inlineStr">
        <is>
          <t>src/domain/income/tax.ts</t>
        </is>
      </c>
      <c r="D101" s="3" t="n">
        <v>445</v>
      </c>
      <c r="E101" s="3" t="inlineStr">
        <is>
          <t>2 · DISPLAYED</t>
        </is>
      </c>
      <c r="F101" s="3" t="inlineStr">
        <is>
          <t>The user's own long-term capital-gains rate, from their income + filing status (federal).</t>
        </is>
      </c>
      <c r="G101" s="13"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Y101" s="3" t="inlineStr">
        <is>
          <t>NOTHING OPEN</t>
        </is>
      </c>
    </row>
    <row r="102">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3"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Y102" s="3" t="inlineStr">
        <is>
          <t>NOTHING OPEN</t>
        </is>
      </c>
    </row>
    <row r="103">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3"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10</v>
      </c>
      <c r="Q103" s="3" t="inlineStr">
        <is>
          <t>1. MK-PL-F-050 simulate
2. MK-CF-F-132 map
3. MK-PL-F-074 median
4. MK-PL-F-072 mulberry32
5. MK-XS-F-122 n
6. MK-PL-F-073 normal
7. MK-PL-F-075 pctOfSorted
8. MK-ST-F-025 rmdStartAgeFromAge
9. MK-ST-F-024 rmdStartAge
10. MK-ST-F-056 has</t>
        </is>
      </c>
      <c r="R103" s="3" t="inlineStr">
        <is>
          <t>1. MK-CF-F-132 map → MK-PL-F-050 simulate → MK-CF-F-106 solveSafeDraw
2. MK-PL-F-074 median → MK-PL-F-050 simulate → MK-CF-F-106 solveSafeDraw
3. MK-PL-F-072 mulberry32 → MK-PL-F-050 simulate → MK-CF-F-106 solveSafeDraw
4. MK-XS-F-122 n → MK-PL-F-050 simulate → MK-CF-F-106 solveSafeDraw
5. MK-PL-F-073 normal → MK-PL-F-050 simulate → MK-CF-F-106 solveSafeDraw
6. MK-PL-F-075 pctOfSorted → MK-PL-F-050 simulate → MK-CF-F-106 solveSafeDraw
7. MK-ST-F-056 has → MK-ST-F-024 rmdStartAge → MK-ST-F-025 rmdStartAgeFromAge → MK-PL-F-050 simulate → MK-CF-F-106 solveSafeDraw</t>
        </is>
      </c>
      <c r="S103" s="3" t="inlineStr">
        <is>
          <t>—</t>
        </is>
      </c>
      <c r="T103" s="3" t="inlineStr">
        <is>
          <t>—</t>
        </is>
      </c>
      <c r="U103" s="3" t="inlineStr">
        <is>
          <t>ACTIVE</t>
        </is>
      </c>
      <c r="V103" s="3" t="inlineStr">
        <is>
          <t>2026-09-09</t>
        </is>
      </c>
      <c r="Y103" s="3" t="inlineStr">
        <is>
          <t>NOTHING OPEN</t>
        </is>
      </c>
    </row>
    <row r="104">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3"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86</v>
      </c>
      <c r="Q104" s="3" t="inlineStr">
        <is>
          <t>1. MK-XS-F-004 buildDatedGrid
2. MK-CF-F-105 guaranteedRows
3. MK-CF-F-132 map
4. MK-NW-F-033 retirementEarmarkedValue
5. MK-CF-F-106 solveSafeDraw
6. MK-CF-F-069 benefitActiveMonths
7. MK-CF-F-072 currentRetirementIncomeMonthly
8. MK-CF-F-018 equityByMonth
9. MK-ST-F-056 has
10. MK-ST-F-053 money
11. MK-CF-F-087 monthlyTaxRates
12. MK-CF-F-073 otherIncomeMonth
13. MK-CF-F-022 paymentShape
14. MK-CF-F-068 rentalNetAnnual
15. MK-CF-F-023 requiredPayment
16. MK-CF-F-060 salaryGrossByMonth
17. MK-CF-F-008 spendByMonth
18. MK-ST-F-052 toNum
19. MK-NW-F-032 earmarkedAmount
20. MK-NW-F-031 primaryCarIdOf
21. MK-PL-F-050 simulate
22. MK-CF-F-075 retirementIncomeMonthly
23. MK-CF-F-062 equityRowValue
24. MK-CF-F-066 rsuAnnual
25. MK-CF-F-121 zero12
26. MK-ST-F-049 formatMoney
27. MK-XS-F-122 n
28. MK-CF-F-090 effectiveRate
29. MK-CF-F-085 filingStatusOf
30. MK-CF-F-089 over65CountOf
31. MK-CF-F-098 progressiveMonthlyTax
32. MK-CF-F-181 rateInForce
33. MK-CF-F-086 stateRateOf
34. MK-CF-F-088 taxableByCalendarMonth
35. MK-CF-F-021 defaultPaymentType
36. MK-CF-F-067 rentalList
37. MK-CF-F-176 sumMonthsOverEarners
38. MK-CF-F-177 wageGrossByMonth
39. MK-CF-F-120 pctBaseMonthly
40. MK-CF-F-004 spendBuckets
41. MK-NW-F-030 earmarkDefault
42. MK-NW-F-011 assetClassOf
43. MK-PL-F-074 median
44. MK-PL-F-072 mulberry32
45. MK-PL-F-073 normal
46. MK-PL-F-075 pctOfSorted
47. MK-ST-F-025 rmdStartAgeFromAge
48. MK-CF-F-063 rowVestYear
49. MK-ST-F-048 currencySymbol
50. MK-ST-F-039 on
51. MK-CF-F-101 taxOwedFor
52. MK-CF-F-100 taxableIncomeFor
53. MK-CF-F-173 earnerWages
54. MK-CF-F-102 effectiveRateOnGrossFor
55. MK-CF-F-180 enteredLandsAnnual
56. MK-CF-F-082 salaryAnnual
57. MK-CF-F-084 taxableAnnual
58. MK-CF-F-065 equityVestWeights
59. MK-CF-F-071 extraIncome
60. MK-CF-F-130 enteredMonthlyRaw
61. MK-CF-F-166 hasMonthlySalaryTable
62. MK-ST-F-036 reconcile
63. MK-CF-F-167 salaryCalendarYear
64. MK-CF-F-092 incomeMonthlyGrid
65. MK-CF-F-003 categoryMonthly
66. MK-NW-F-013 realEstateUseOf
67. MK-NW-F-008 incomeBearingClassOf
68. MK-ST-F-024 rmdStartAge
69. MK-ST-F-047 activeCurrency
70. MK-CF-F-099 deductionFor
71. MK-CF-F-172 hasWage
72. MK-CF-F-074 tipsAnnual
73. MK-CF-F-070 benefitAnnual
74. MK-CF-F-165 salaryMonths
75. MK-CF-F-077 scholarshipByCalendarMonth
76. MK-PL-F-012 waterfall
77. MK-XS-F-027 takeHomeMonthly
78. MK-CF-F-155 cash
79. MK-ST-F-010 nameEvidence
80. MK-CF-F-187 seniorDeductionFor
81. MK-CF-F-081 salaryActiveMonths
82. MK-CF-F-011 savingsByMonth
83. MK-XS-F-147 call
84. MK-ST-F-027 accountId
85. MK-XS-F-064 currentIdToken
86. MK-XS-F-112 relayUrl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Y104" s="6" t="inlineStr">
        <is>
          <t>TESTED, NOT VERIFIED (G14)</t>
        </is>
      </c>
    </row>
    <row r="105">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3"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Y105" s="3" t="inlineStr">
        <is>
          <t>NOTHING OPEN</t>
        </is>
      </c>
    </row>
    <row r="106">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3"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Y106" s="3" t="inlineStr">
        <is>
          <t>NOTHING OPEN</t>
        </is>
      </c>
    </row>
    <row r="107">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3"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Y107" s="3" t="inlineStr">
        <is>
          <t>NOTHING OPEN</t>
        </is>
      </c>
    </row>
    <row r="108">
      <c r="A108" s="3" t="inlineStr">
        <is>
          <t>MK-CF-F-111</t>
        </is>
      </c>
      <c r="B108" s="3" t="inlineStr">
        <is>
          <t>applyTransaction</t>
        </is>
      </c>
      <c r="C108" s="3" t="inlineStr">
        <is>
          <t>src/domain/transactions/index.ts</t>
        </is>
      </c>
      <c r="D108" s="3" t="n">
        <v>452</v>
      </c>
      <c r="E108" s="3" t="inlineStr">
        <is>
          <t>3 · DEPENDENT</t>
        </is>
      </c>
      <c r="F108" s="3" t="inlineStr">
        <is>
          <t>Apply one transaction to the accounts (pure).</t>
        </is>
      </c>
      <c r="G108" s="13"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Y108" s="3" t="inlineStr">
        <is>
          <t>NOTHING OPEN</t>
        </is>
      </c>
    </row>
    <row r="109">
      <c r="A109" s="3" t="inlineStr">
        <is>
          <t>MK-CF-F-112</t>
        </is>
      </c>
      <c r="B109" s="3" t="inlineStr">
        <is>
          <t>makeTransaction</t>
        </is>
      </c>
      <c r="C109" s="3" t="inlineStr">
        <is>
          <t>src/domain/transactions/index.ts</t>
        </is>
      </c>
      <c r="D109" s="3" t="n">
        <v>540</v>
      </c>
      <c r="E109" s="3" t="inlineStr">
        <is>
          <t>3 · DEPENDENT</t>
        </is>
      </c>
      <c r="F109" s="3" t="inlineStr">
        <is>
          <t>Build a full transaction (id + created_at) from a partial.</t>
        </is>
      </c>
      <c r="G109" s="13"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Y109" s="3" t="inlineStr">
        <is>
          <t>NOTHING OPEN</t>
        </is>
      </c>
    </row>
    <row r="110">
      <c r="A110" s="3" t="inlineStr">
        <is>
          <t>MK-CF-F-113</t>
        </is>
      </c>
      <c r="B110" s="3" t="inlineStr">
        <is>
          <t>affectedAccountIds</t>
        </is>
      </c>
      <c r="C110" s="3" t="inlineStr">
        <is>
          <t>src/domain/transactions/index.ts</t>
        </is>
      </c>
      <c r="D110" s="3" t="n">
        <v>579</v>
      </c>
      <c r="E110" s="3" t="inlineStr">
        <is>
          <t>3 · DEPENDENT</t>
        </is>
      </c>
      <c r="F110" s="3" t="inlineStr">
        <is>
          <t>The account ids a transaction can touch.</t>
        </is>
      </c>
      <c r="G110" s="13"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Y110" s="3" t="inlineStr">
        <is>
          <t>NOTHING OPEN</t>
        </is>
      </c>
    </row>
    <row r="111">
      <c r="A111" s="3" t="inlineStr">
        <is>
          <t>MK-CF-F-114</t>
        </is>
      </c>
      <c r="B111" s="3" t="inlineStr">
        <is>
          <t>undoSnapshot</t>
        </is>
      </c>
      <c r="C111" s="3" t="inlineStr">
        <is>
          <t>src/domain/transactions/index.ts</t>
        </is>
      </c>
      <c r="D111" s="3" t="n">
        <v>612</v>
      </c>
      <c r="E111" s="3" t="inlineStr">
        <is>
          <t>3 · DEPENDENT</t>
        </is>
      </c>
      <c r="F111" s="3" t="inlineStr">
        <is>
          <t>Deep copies of the affected accounts, taken BEFORE applyTransaction.</t>
        </is>
      </c>
      <c r="G111" s="13"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Y111" s="3" t="inlineStr">
        <is>
          <t>NOTHING OPEN</t>
        </is>
      </c>
    </row>
    <row r="112">
      <c r="A112" s="3" t="inlineStr">
        <is>
          <t>MK-CF-F-115</t>
        </is>
      </c>
      <c r="B112" s="3" t="inlineStr">
        <is>
          <t>restoreUndo</t>
        </is>
      </c>
      <c r="C112" s="3" t="inlineStr">
        <is>
          <t>src/domain/transactions/index.ts</t>
        </is>
      </c>
      <c r="D112" s="3" t="n">
        <v>648</v>
      </c>
      <c r="E112" s="3" t="inlineStr">
        <is>
          <t>3 · DEPENDENT</t>
        </is>
      </c>
      <c r="F112" s="3" t="inlineStr">
        <is>
          <t>Restore the affected accounts to the transaction's pre-apply copies (pure).</t>
        </is>
      </c>
      <c r="G112" s="13"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Y112" s="3" t="inlineStr">
        <is>
          <t>NOTHING OPEN</t>
        </is>
      </c>
    </row>
    <row r="113">
      <c r="A113" s="3" t="inlineStr">
        <is>
          <t>MK-CF-F-116</t>
        </is>
      </c>
      <c r="B113" s="3" t="inlineStr">
        <is>
          <t>inverseOf</t>
        </is>
      </c>
      <c r="C113" s="3" t="inlineStr">
        <is>
          <t>src/domain/transactions/index.ts</t>
        </is>
      </c>
      <c r="D113" s="3" t="n">
        <v>690</v>
      </c>
      <c r="E113" s="3" t="inlineStr">
        <is>
          <t>3 · DEPENDENT</t>
        </is>
      </c>
      <c r="F113" s="3" t="inlineStr">
        <is>
          <t>Legacy fallback for rows recorded before undo_prev: a synthetic opposite transaction.</t>
        </is>
      </c>
      <c r="G113" s="13"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Y113" s="3" t="inlineStr">
        <is>
          <t>NOTHING OPEN</t>
        </is>
      </c>
    </row>
    <row r="114">
      <c r="A114" s="3" t="inlineStr">
        <is>
          <t>MK-CF-F-117</t>
        </is>
      </c>
      <c r="B114" s="3" t="inlineStr">
        <is>
          <t>txnLabel</t>
        </is>
      </c>
      <c r="C114" s="3" t="inlineStr">
        <is>
          <t>src/domain/transactions/index.ts</t>
        </is>
      </c>
      <c r="D114" s="3" t="n">
        <v>730</v>
      </c>
      <c r="E114" s="3" t="inlineStr">
        <is>
          <t>2 · DISPLAYED</t>
        </is>
      </c>
      <c r="F114" s="3" t="inlineStr">
        <is>
          <t>What do we call this kind of row on screen?</t>
        </is>
      </c>
      <c r="G114" s="13"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Y114" s="3" t="inlineStr">
        <is>
          <t>NOTHING OPEN</t>
        </is>
      </c>
    </row>
    <row r="115">
      <c r="A115" s="3" t="inlineStr">
        <is>
          <t>MK-CF-F-118</t>
        </is>
      </c>
      <c r="B115" s="3" t="inlineStr">
        <is>
          <t>cashEffect</t>
        </is>
      </c>
      <c r="C115" s="3" t="inlineStr">
        <is>
          <t>src/domain/transactions/index.ts</t>
        </is>
      </c>
      <c r="D115" s="3" t="n">
        <v>760</v>
      </c>
      <c r="E115" s="3" t="inlineStr">
        <is>
          <t>2 · DISPLAYED</t>
        </is>
      </c>
      <c r="F115" s="3" t="inlineStr">
        <is>
          <t>Signed cash effect on the primary account (for display).</t>
        </is>
      </c>
      <c r="G115" s="13"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Y115" s="3" t="inlineStr">
        <is>
          <t>NOTHING OPEN</t>
        </is>
      </c>
    </row>
    <row r="116">
      <c r="A116" s="3" t="inlineStr">
        <is>
          <t>MK-CF-F-119</t>
        </is>
      </c>
      <c r="B116" s="3" t="inlineStr">
        <is>
          <t>investmentIncomeAnnual</t>
        </is>
      </c>
      <c r="C116" s="3" t="inlineStr">
        <is>
          <t>src/domain/transactions/index.ts</t>
        </is>
      </c>
      <c r="D116" s="3" t="n">
        <v>795</v>
      </c>
      <c r="E116" s="3" t="inlineStr">
        <is>
          <t>3 · DEPENDENT (feeds an action only)</t>
        </is>
      </c>
      <c r="F116" s="3" t="inlineStr">
        <is>
          <t>Investment income (cash dividends/interest/coupons, not reinvested) over the trailing window — feeds the Income module.</t>
        </is>
      </c>
      <c r="G116" s="13"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Y116" s="3" t="inlineStr">
        <is>
          <t>NOTHING OPEN</t>
        </is>
      </c>
    </row>
    <row r="117">
      <c r="A117" s="3" t="inlineStr">
        <is>
          <t>MK-CF-F-120</t>
        </is>
      </c>
      <c r="B117" s="3" t="inlineStr">
        <is>
          <t>pctBaseMonthly</t>
        </is>
      </c>
      <c r="C117" s="3" t="inlineStr">
        <is>
          <t>src/domain/budget/index.ts</t>
        </is>
      </c>
      <c r="D117" s="3" t="n">
        <v>124</v>
      </c>
      <c r="E117" s="3" t="inlineStr">
        <is>
          <t>3 · DEPENDENT</t>
        </is>
      </c>
      <c r="F117" s="3" t="inlineStr">
        <is>
          <t>A-1: the %-of-income base = true take-home (after tax AND 401k) — the SAME base the expenses-plan screen uses (modules.tsx SpendingEditor → takeHomeMonthly).</t>
        </is>
      </c>
      <c r="G117" s="13"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48</v>
      </c>
      <c r="Q117" s="3" t="inlineStr">
        <is>
          <t>1. MK-CF-F-092 incomeMonthlyGrid
2. MK-CF-F-069 benefitActiveMonths
3. MK-CF-F-072 currentRetirementIncomeMonthly
4. MK-CF-F-065 equityVestWeights
5. MK-CF-F-071 extraIncome
6. MK-ST-F-056 has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MK-CF-F-090 effectiveRate
23. MK-CF-F-085 filingStatusOf
24. MK-CF-F-089 over65CountOf
25. MK-CF-F-098 progressiveMonthlyTax
26. MK-CF-F-086 stateRateOf
27. MK-CF-F-173 earnerWages
28. MK-CF-F-102 effectiveRateOnGrossFor
29. MK-CF-F-180 enteredLandsAnnual
30. MK-CF-F-082 salaryAnnual
31. MK-CF-F-084 taxableAnnual
32. MK-CF-F-067 rentalList
33. MK-CF-F-063 rowVestYear
34. MK-CF-F-176 sumMonthsOverEarners
35. MK-CF-F-177 wageGrossByMonth
36. MK-XS-F-122 n
37. MK-CF-F-101 taxOwedFor
38. MK-CF-F-100 taxableIncomeFor
39. MK-CF-F-172 hasWage
40. MK-CF-F-074 tipsAnnual
41. MK-CF-F-130 enteredMonthlyRaw
42. MK-CF-F-166 hasMonthlySalaryTable
43. MK-ST-F-036 reconcile
44. MK-CF-F-167 salaryCalendarYear
45. MK-CF-F-099 deductionFor
46. MK-CF-F-081 salaryActiveMonths
47. MK-CF-F-165 salaryMonths
48. MK-CF-F-187 seniorDeductionFor</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Y117" s="3" t="inlineStr">
        <is>
          <t>NOTHING OPEN</t>
        </is>
      </c>
    </row>
    <row r="118">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3"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Y118" s="3" t="inlineStr">
        <is>
          <t>NOTHING OPEN</t>
        </is>
      </c>
    </row>
    <row r="119">
      <c r="A119" s="3" t="inlineStr">
        <is>
          <t>MK-CF-F-122</t>
        </is>
      </c>
      <c r="B119" s="3" t="inlineStr">
        <is>
          <t>addDays</t>
        </is>
      </c>
      <c r="C119" s="3" t="inlineStr">
        <is>
          <t>src/domain/cashflow/index.ts</t>
        </is>
      </c>
      <c r="D119" s="3" t="n">
        <v>131</v>
      </c>
      <c r="E119" s="3" t="inlineStr">
        <is>
          <t>2 · DISPLAYED</t>
        </is>
      </c>
      <c r="F119" s="3" t="inlineStr">
        <is>
          <t>NOT DETERMINED — the code carries no note saying what this is for, and it has no row in the old inventory. Needs reading.</t>
        </is>
      </c>
      <c r="G119" s="13"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Y119" s="3" t="inlineStr">
        <is>
          <t>NOTHING OPEN</t>
        </is>
      </c>
    </row>
    <row r="120">
      <c r="A120" s="3" t="inlineStr">
        <is>
          <t>MK-CF-F-124</t>
        </is>
      </c>
      <c r="B120" s="3" t="inlineStr">
        <is>
          <t>nextOccurrence</t>
        </is>
      </c>
      <c r="C120" s="3" t="inlineStr">
        <is>
          <t>src/domain/cashflow/index.ts</t>
        </is>
      </c>
      <c r="D120" s="3" t="n">
        <v>156</v>
      </c>
      <c r="E120" s="3" t="inlineStr">
        <is>
          <t>3 · DEPENDENT</t>
        </is>
      </c>
      <c r="F120" s="3" t="inlineStr">
        <is>
          <t>The next time (month, day) occurs on/after `now`, unless an explicit year is given.</t>
        </is>
      </c>
      <c r="G120" s="13"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Y120" s="3" t="inlineStr">
        <is>
          <t>NOTHING OPEN</t>
        </is>
      </c>
    </row>
    <row r="12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3"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Y121" s="3" t="inlineStr">
        <is>
          <t>NOTHING OPEN</t>
        </is>
      </c>
    </row>
    <row r="122">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3"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Y122" s="3" t="inlineStr">
        <is>
          <t>NOTHING OPEN</t>
        </is>
      </c>
    </row>
    <row r="123">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3"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Y123" s="3" t="inlineStr">
        <is>
          <t>NOTHING OPEN</t>
        </is>
      </c>
    </row>
    <row r="124">
      <c r="A124" s="3" t="inlineStr">
        <is>
          <t>MK-CF-F-128</t>
        </is>
      </c>
      <c r="B124" s="3" t="inlineStr">
        <is>
          <t>grossByMonth</t>
        </is>
      </c>
      <c r="C124" s="3" t="inlineStr">
        <is>
          <t>MoneyKeel/functions/cashflow/base-pay.ts</t>
        </is>
      </c>
      <c r="D124" s="3" t="n">
        <v>161</v>
      </c>
      <c r="E124" s="3" t="inlineStr">
        <is>
          <t>3 · DEPENDENT</t>
        </is>
      </c>
      <c r="F124" s="3" t="inlineStr">
        <is>
          <t>GROSS pay for each month the table covers, or twelve identical months when pay is steady.</t>
        </is>
      </c>
      <c r="G124" s="13"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Y124" s="3" t="inlineStr">
        <is>
          <t>NOTHING OPEN</t>
        </is>
      </c>
    </row>
    <row r="125">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3"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Y125" s="3" t="inlineStr">
        <is>
          <t>NOTHING OPEN</t>
        </is>
      </c>
    </row>
    <row r="126">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3"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Y126" s="3" t="inlineStr">
        <is>
          <t>NOTHING OPEN</t>
        </is>
      </c>
    </row>
    <row r="127">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3"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Y127" s="3" t="inlineStr">
        <is>
          <t>NOTHING OPEN</t>
        </is>
      </c>
    </row>
    <row r="128">
      <c r="A128" s="3" t="inlineStr">
        <is>
          <t>MK-CF-F-132</t>
        </is>
      </c>
      <c r="B128" s="3" t="inlineStr">
        <is>
          <t>map</t>
        </is>
      </c>
      <c r="C128" s="3" t="inlineStr">
        <is>
          <t>src/domain/transactions/index.ts</t>
        </is>
      </c>
      <c r="D128" s="3" t="n">
        <v>116</v>
      </c>
      <c r="E128" s="3" t="inlineStr">
        <is>
          <t>1 · ACTION</t>
        </is>
      </c>
      <c r="F128" s="3" t="inlineStr">
        <is>
          <t>NOT DETERMINED — the code carries no note saying what this is for, and it has no row in the old inventory. Needs reading.</t>
        </is>
      </c>
      <c r="G128" s="13"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"AVG YIELD" — on the Bonds screen, under "BONDS &amp; CDS"
4. "Account name" — on the Import holdings screen, under "REVIEW YOUR HOLDINGS"
5. "Add a goal ›" — on the Goals together screen, under "TRY THESE TOGETHER"
6. "Add your income ›" — on the income summary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Y128" s="3" t="inlineStr">
        <is>
          <t>NOTHING OPEN</t>
        </is>
      </c>
    </row>
    <row r="129">
      <c r="A129" s="3" t="inlineStr">
        <is>
          <t>MK-CF-F-133</t>
        </is>
      </c>
      <c r="B129" s="3" t="inlineStr">
        <is>
          <t>cashOf</t>
        </is>
      </c>
      <c r="C129" s="3" t="inlineStr">
        <is>
          <t>src/domain/transactions/index.ts</t>
        </is>
      </c>
      <c r="D129" s="3" t="n">
        <v>149</v>
      </c>
      <c r="E129" s="3" t="inlineStr">
        <is>
          <t>1 · ACTION</t>
        </is>
      </c>
      <c r="F129" s="3" t="inlineStr">
        <is>
          <t>NOT DETERMINED — the code carries no note saying what this is for, and it has no row in the old inventory. Needs reading.</t>
        </is>
      </c>
      <c r="G129" s="13"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Y129" s="3" t="inlineStr">
        <is>
          <t>NOTHING OPEN</t>
        </is>
      </c>
    </row>
    <row r="130">
      <c r="A130" s="3" t="inlineStr">
        <is>
          <t>MK-CF-F-134</t>
        </is>
      </c>
      <c r="B130" s="3" t="inlineStr">
        <is>
          <t>usesSleeve</t>
        </is>
      </c>
      <c r="C130" s="3" t="inlineStr">
        <is>
          <t>src/domain/transactions/index.ts</t>
        </is>
      </c>
      <c r="D130" s="3" t="n">
        <v>185</v>
      </c>
      <c r="E130" s="3" t="inlineStr">
        <is>
          <t>1 · ACTION</t>
        </is>
      </c>
      <c r="F130" s="3" t="inlineStr">
        <is>
          <t>Where an account's spendable cash lives: investment accounts use the cash_balance SLEEVE; cash accounts (checking/savings) and property hold their money in `balance`.</t>
        </is>
      </c>
      <c r="G130" s="13"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Y130" s="3" t="inlineStr">
        <is>
          <t>NOTHING OPEN</t>
        </is>
      </c>
    </row>
    <row r="131">
      <c r="A131" s="3" t="inlineStr">
        <is>
          <t>MK-CF-F-135</t>
        </is>
      </c>
      <c r="B131" s="3" t="inlineStr">
        <is>
          <t>availableCash</t>
        </is>
      </c>
      <c r="C131" s="3" t="inlineStr">
        <is>
          <t>src/domain/transactions/index.ts</t>
        </is>
      </c>
      <c r="D131" s="3" t="n">
        <v>208</v>
      </c>
      <c r="E131" s="3" t="inlineStr">
        <is>
          <t>1 · ACTION</t>
        </is>
      </c>
      <c r="F131" s="3" t="inlineStr">
        <is>
          <t>NOT DETERMINED — the code carries no note saying what this is for, and it has no row in the old inventory. Needs reading.</t>
        </is>
      </c>
      <c r="G131" s="13"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Y131" s="3" t="inlineStr">
        <is>
          <t>NOTHING OPEN</t>
        </is>
      </c>
    </row>
    <row r="132">
      <c r="A132" s="3" t="inlineStr">
        <is>
          <t>MK-CF-F-136</t>
        </is>
      </c>
      <c r="B132" s="3" t="inlineStr">
        <is>
          <t>bumpCash</t>
        </is>
      </c>
      <c r="C132" s="3" t="inlineStr">
        <is>
          <t>src/domain/transactions/index.ts</t>
        </is>
      </c>
      <c r="D132" s="3" t="n">
        <v>248</v>
      </c>
      <c r="E132" s="3" t="inlineStr">
        <is>
          <t>3 · DEPENDENT</t>
        </is>
      </c>
      <c r="F132" s="3" t="inlineStr">
        <is>
          <t>NOT DETERMINED — the code carries no note saying what this is for, and it has no row in the old inventory. Needs reading.</t>
        </is>
      </c>
      <c r="G132" s="13"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Y132" s="3" t="inlineStr">
        <is>
          <t>NOTHING OPEN</t>
        </is>
      </c>
    </row>
    <row r="133">
      <c r="A133" s="3" t="inlineStr">
        <is>
          <t>MK-CF-F-137</t>
        </is>
      </c>
      <c r="B133" s="3" t="inlineStr">
        <is>
          <t>findPos</t>
        </is>
      </c>
      <c r="C133" s="3" t="inlineStr">
        <is>
          <t>src/domain/transactions/index.ts</t>
        </is>
      </c>
      <c r="D133" s="3" t="n">
        <v>297</v>
      </c>
      <c r="E133" s="3" t="inlineStr">
        <is>
          <t>1 · ACTION</t>
        </is>
      </c>
      <c r="F133" s="3" t="inlineStr">
        <is>
          <t>NOT DETERMINED — the code carries no note saying what this is for, and it has no row in the old inventory. Needs reading.</t>
        </is>
      </c>
      <c r="G133" s="13"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Y133" s="3" t="inlineStr">
        <is>
          <t>NOTHING OPEN</t>
        </is>
      </c>
    </row>
    <row r="134">
      <c r="A134" s="3" t="inlineStr">
        <is>
          <t>MK-CF-F-138</t>
        </is>
      </c>
      <c r="B134" s="3" t="inlineStr">
        <is>
          <t>addLot</t>
        </is>
      </c>
      <c r="C134" s="3" t="inlineStr">
        <is>
          <t>src/domain/transactions/index.ts</t>
        </is>
      </c>
      <c r="D134" s="3" t="n">
        <v>345</v>
      </c>
      <c r="E134" s="3" t="inlineStr">
        <is>
          <t>3 · DEPENDENT</t>
        </is>
      </c>
      <c r="F134" s="3" t="inlineStr">
        <is>
          <t>Add shares to a position (creating it if needed) at a cost basis — used by BUY and reinvested dividends.</t>
        </is>
      </c>
      <c r="G134" s="13"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Y134" s="3" t="inlineStr">
        <is>
          <t>NOTHING OPEN</t>
        </is>
      </c>
    </row>
    <row r="135">
      <c r="A135" s="3" t="inlineStr">
        <is>
          <t>MK-CF-F-139</t>
        </is>
      </c>
      <c r="B135" s="3" t="inlineStr">
        <is>
          <t>removeShares</t>
        </is>
      </c>
      <c r="C135" s="3" t="inlineStr">
        <is>
          <t>src/domain/transactions/index.ts</t>
        </is>
      </c>
      <c r="D135" s="3" t="n">
        <v>390</v>
      </c>
      <c r="E135" s="3" t="inlineStr">
        <is>
          <t>3 · DEPENDENT</t>
        </is>
      </c>
      <c r="F135" s="3" t="inlineStr">
        <is>
          <t>Remove `shares` from a position FIFO (oldest lots first); returns updated account.</t>
        </is>
      </c>
      <c r="G135" s="13"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Y135" s="3" t="inlineStr">
        <is>
          <t>NOTHING OPEN</t>
        </is>
      </c>
    </row>
    <row r="136">
      <c r="A136" s="3" t="inlineStr">
        <is>
          <t>MK-CF-F-140</t>
        </is>
      </c>
      <c r="B136" s="3" t="inlineStr">
        <is>
          <t>periodsAYear</t>
        </is>
      </c>
      <c r="C136" s="3" t="inlineStr">
        <is>
          <t>MoneyKeel/functions/cashflow/base-pay.ts</t>
        </is>
      </c>
      <c r="D136" s="3" t="n">
        <v>74</v>
      </c>
      <c r="E136" s="3" t="inlineStr">
        <is>
          <t>1 · ACTION</t>
        </is>
      </c>
      <c r="F136" s="3" t="inlineStr">
        <is>
          <t>NOT DETERMINED — the code carries no note saying what this is for, and it has no row in the old inventory. Needs reading.</t>
        </is>
      </c>
      <c r="G136" s="13"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Y136" s="3" t="inlineStr">
        <is>
          <t>NOTHING OPEN</t>
        </is>
      </c>
    </row>
    <row r="137">
      <c r="A137" s="3" t="inlineStr">
        <is>
          <t>MK-CF-F-141</t>
        </is>
      </c>
      <c r="B137" s="3" t="inlineStr">
        <is>
          <t>perMonth</t>
        </is>
      </c>
      <c r="C137" s="3" t="inlineStr">
        <is>
          <t>MoneyKeel/functions/cashflow/base-pay.ts</t>
        </is>
      </c>
      <c r="D137" s="3" t="n">
        <v>101</v>
      </c>
      <c r="E137" s="3" t="inlineStr">
        <is>
          <t>3 · DEPENDENT</t>
        </is>
      </c>
      <c r="F137" s="3" t="inlineStr">
        <is>
          <t>One period of pay expressed as a month.</t>
        </is>
      </c>
      <c r="G137" s="13"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Y137" s="3" t="inlineStr">
        <is>
          <t>NOTHING OPEN</t>
        </is>
      </c>
    </row>
    <row r="138">
      <c r="A138" s="3" t="inlineStr">
        <is>
          <t>MK-CF-F-142</t>
        </is>
      </c>
      <c r="B138" s="3" t="inlineStr">
        <is>
          <t>monthsOf</t>
        </is>
      </c>
      <c r="C138" s="3" t="inlineStr">
        <is>
          <t>MoneyKeel/functions/cashflow/base-pay.ts</t>
        </is>
      </c>
      <c r="D138" s="3" t="n">
        <v>131</v>
      </c>
      <c r="E138" s="3" t="inlineStr">
        <is>
          <t>3 · DEPENDENT</t>
        </is>
      </c>
      <c r="F138" s="3" t="inlineStr">
        <is>
          <t>The months the person filled in, in order.</t>
        </is>
      </c>
      <c r="G138" s="13"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Y138" s="3" t="inlineStr">
        <is>
          <t>NOTHING OPEN</t>
        </is>
      </c>
    </row>
    <row r="139">
      <c r="A139" s="3" t="inlineStr">
        <is>
          <t>MK-CF-F-143</t>
        </is>
      </c>
      <c r="B139" s="3" t="inlineStr">
        <is>
          <t>annualisedGross</t>
        </is>
      </c>
      <c r="C139" s="3" t="inlineStr">
        <is>
          <t>MoneyKeel/functions/cashflow/base-pay.ts</t>
        </is>
      </c>
      <c r="D139" s="3" t="n">
        <v>203</v>
      </c>
      <c r="E139" s="3" t="inlineStr">
        <is>
          <t>3 · DEPENDENT</t>
        </is>
      </c>
      <c r="F139" s="3" t="inlineStr">
        <is>
          <t>GROSS PAY ANNUALISED — the figure a tax bracket is read from.</t>
        </is>
      </c>
      <c r="G139" s="13"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Y139" s="3" t="inlineStr">
        <is>
          <t>NOTHING OPEN</t>
        </is>
      </c>
    </row>
    <row r="140">
      <c r="A140" s="3" t="inlineStr">
        <is>
          <t>MK-CF-F-144</t>
        </is>
      </c>
      <c r="B140" s="3" t="inlineStr">
        <is>
          <t>takeHomeAsEntered</t>
        </is>
      </c>
      <c r="C140" s="3" t="inlineStr">
        <is>
          <t>MoneyKeel/functions/cashflow/base-pay.ts</t>
        </is>
      </c>
      <c r="D140" s="3" t="n">
        <v>253</v>
      </c>
      <c r="E140" s="3" t="inlineStr">
        <is>
          <t>3 · DEPENDENT</t>
        </is>
      </c>
      <c r="F140" s="3" t="inlineStr">
        <is>
          <t>NOT DETERMINED — the code carries no note saying what this is for, and it has no row in the old inventory. Needs reading.</t>
        </is>
      </c>
      <c r="G140" s="13"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Y140" s="3" t="inlineStr">
        <is>
          <t>NOTHING OPEN</t>
        </is>
      </c>
    </row>
    <row r="141">
      <c r="A141" s="3" t="inlineStr">
        <is>
          <t>MK-CF-F-145</t>
        </is>
      </c>
      <c r="B141" s="3" t="inlineStr">
        <is>
          <t>deductionsFromPay</t>
        </is>
      </c>
      <c r="C141" s="3" t="inlineStr">
        <is>
          <t>MoneyKeel/functions/cashflow/base-pay.ts</t>
        </is>
      </c>
      <c r="D141" s="3" t="n">
        <v>323</v>
      </c>
      <c r="E141" s="3" t="inlineStr">
        <is>
          <t>3 · DEPENDENT</t>
        </is>
      </c>
      <c r="F141" s="3" t="inlineStr">
        <is>
          <t>EVERYTHING ELSE TAKEN OUT — gross, less the 401(k), less the take-home.</t>
        </is>
      </c>
      <c r="G141" s="13"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Y141" s="3" t="inlineStr">
        <is>
          <t>NOTHING OPEN</t>
        </is>
      </c>
    </row>
    <row r="142">
      <c r="A142" s="3" t="inlineStr">
        <is>
          <t>MK-CF-F-146</t>
        </is>
      </c>
      <c r="B142" s="3" t="inlineStr">
        <is>
          <t>payFiguresAgree</t>
        </is>
      </c>
      <c r="C142" s="3" t="inlineStr">
        <is>
          <t>MoneyKeel/functions/cashflow/base-pay.ts</t>
        </is>
      </c>
      <c r="D142" s="3" t="n">
        <v>382</v>
      </c>
      <c r="E142" s="3" t="inlineStr">
        <is>
          <t>3 · DEPENDENT</t>
        </is>
      </c>
      <c r="F142" s="3" t="inlineStr">
        <is>
          <t>NOT DETERMINED — the code carries no note saying what this is for, and it has no row in the old inventory. Needs reading.</t>
        </is>
      </c>
      <c r="G142" s="13"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Y142" s="3" t="inlineStr">
        <is>
          <t>NOTHING OPEN</t>
        </is>
      </c>
    </row>
    <row r="143">
      <c r="A143" s="3" t="inlineStr">
        <is>
          <t>MK-CF-F-148</t>
        </is>
      </c>
      <c r="B143" s="3" t="inlineStr">
        <is>
          <t>inMonth</t>
        </is>
      </c>
      <c r="C143" s="3" t="inlineStr">
        <is>
          <t>MoneyKeel/functions/cashflow/logged-expenses.ts</t>
        </is>
      </c>
      <c r="D143" s="3" t="n">
        <v>42</v>
      </c>
      <c r="E143" s="3" t="inlineStr">
        <is>
          <t>1 · ACTION</t>
        </is>
      </c>
      <c r="F143" s="3" t="inlineStr">
        <is>
          <t>Does this logged expense fall in the month `ym` ("2026-08")?</t>
        </is>
      </c>
      <c r="G143" s="13"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Y143" s="3" t="inlineStr">
        <is>
          <t>NOTHING OPEN</t>
        </is>
      </c>
    </row>
    <row r="144">
      <c r="A144" s="3" t="inlineStr">
        <is>
          <t>MK-CF-F-149</t>
        </is>
      </c>
      <c r="B144" s="3" t="inlineStr">
        <is>
          <t>recurringDebtPayments</t>
        </is>
      </c>
      <c r="C144" s="3" t="inlineStr">
        <is>
          <t>MoneyKeel/functions/cashflow/spending.ts</t>
        </is>
      </c>
      <c r="D144" s="3" t="n">
        <v>52</v>
      </c>
      <c r="E144" s="3" t="inlineStr">
        <is>
          <t>3 · DEPENDENT (feeds an action only)</t>
        </is>
      </c>
      <c r="F144" s="3" t="inlineStr">
        <is>
          <t>RECURRING DEBT PAYMENTS — the installment debts, one row each.</t>
        </is>
      </c>
      <c r="G144" s="13"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SpendingInput</t>
        </is>
      </c>
      <c r="K144" s="3" t="inlineStr">
        <is>
          <t>NOT DECLARED — the code does not say what it gives back</t>
        </is>
      </c>
      <c r="L144" s="3" t="inlineStr">
        <is>
          <t>—</t>
        </is>
      </c>
      <c r="M144" s="3" t="inlineStr">
        <is>
          <t>None found in this function — anything it assumes comes from the functions it depends on.</t>
        </is>
      </c>
      <c r="N144" s="3" t="inlineStr">
        <is>
          <t>No</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2026-09-12</t>
        </is>
      </c>
      <c r="Y144" s="3" t="inlineStr">
        <is>
          <t>NOTHING OPEN</t>
        </is>
      </c>
    </row>
    <row r="145">
      <c r="A145" s="3" t="inlineStr">
        <is>
          <t>MK-CF-F-150</t>
        </is>
      </c>
      <c r="B145" s="3" t="inlineStr">
        <is>
          <t>debtPaymentsCountedAsExpenses</t>
        </is>
      </c>
      <c r="C145" s="3" t="inlineStr">
        <is>
          <t>MoneyKeel/functions/cashflow/spending.ts</t>
        </is>
      </c>
      <c r="D145" s="3" t="n">
        <v>90</v>
      </c>
      <c r="E145" s="3" t="inlineStr">
        <is>
          <t>3 · DEPENDENT (feeds an action only)</t>
        </is>
      </c>
      <c r="F145" s="3" t="inlineStr">
        <is>
          <t>DEBT PAYMENTS THAT ARE COUNTED AS EXPENSES — revolving and due-in-full.</t>
        </is>
      </c>
      <c r="G145" s="13"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No</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2026-09-12</t>
        </is>
      </c>
      <c r="Y145" s="3" t="inlineStr">
        <is>
          <t>NOTHING OPEN</t>
        </is>
      </c>
    </row>
    <row r="146">
      <c r="A146" s="3" t="inlineStr">
        <is>
          <t>MK-CF-F-151</t>
        </is>
      </c>
      <c r="B146" s="3" t="inlineStr">
        <is>
          <t>actualSpending</t>
        </is>
      </c>
      <c r="C146" s="3" t="inlineStr">
        <is>
          <t>MoneyKeel/functions/cashflow/spending.ts</t>
        </is>
      </c>
      <c r="D146" s="3" t="n">
        <v>134</v>
      </c>
      <c r="E146" s="3" t="inlineStr">
        <is>
          <t>3 · DEPENDENT (feeds an action only)</t>
        </is>
      </c>
      <c r="F146" s="3" t="inlineStr">
        <is>
          <t>NOT DETERMINED — the code carries no note saying what this is for, and it has no row in the old inventory. Needs reading.</t>
        </is>
      </c>
      <c r="G146" s="13"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SpendingInput</t>
        </is>
      </c>
      <c r="K146" s="3" t="inlineStr">
        <is>
          <t>SpentList</t>
        </is>
      </c>
      <c r="L146" s="3" t="inlineStr">
        <is>
          <t>—</t>
        </is>
      </c>
      <c r="M146" s="3" t="inlineStr">
        <is>
          <t>None found in this function — anything it assumes comes from the functions it depends on.</t>
        </is>
      </c>
      <c r="N146" s="3" t="inlineStr">
        <is>
          <t>No</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2026-09-12</t>
        </is>
      </c>
      <c r="Y146" s="3" t="inlineStr">
        <is>
          <t>NOTHING OPEN</t>
        </is>
      </c>
    </row>
    <row r="147">
      <c r="A147" s="3" t="inlineStr">
        <is>
          <t>MK-CF-F-152</t>
        </is>
      </c>
      <c r="B147" s="3" t="inlineStr">
        <is>
          <t>isRadarItem</t>
        </is>
      </c>
      <c r="C147" s="3" t="inlineStr">
        <is>
          <t>MoneyKeel/functions/cashflow/spending.ts</t>
        </is>
      </c>
      <c r="D147" s="3" t="n">
        <v>178</v>
      </c>
      <c r="E147" s="3" t="inlineStr">
        <is>
          <t>3 · DEPENDENT (feeds an action only)</t>
        </is>
      </c>
      <c r="F147" s="3" t="inlineStr">
        <is>
          <t>NOT DETERMINED — the code carries no note saying what this is for, and it has no row in the old inventory. Needs reading.</t>
        </is>
      </c>
      <c r="G147" s="13"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No</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2026-09-12</t>
        </is>
      </c>
      <c r="Y147" s="3" t="inlineStr">
        <is>
          <t>NOTHING OPEN</t>
        </is>
      </c>
    </row>
    <row r="148">
      <c r="A148" s="3" t="inlineStr">
        <is>
          <t>MK-CF-F-153</t>
        </is>
      </c>
      <c r="B148" s="3" t="inlineStr">
        <is>
          <t>radar</t>
        </is>
      </c>
      <c r="C148" s="3" t="inlineStr">
        <is>
          <t>MoneyKeel/functions/cashflow/spending.ts</t>
        </is>
      </c>
      <c r="D148" s="3" t="n">
        <v>209</v>
      </c>
      <c r="E148" s="3" t="inlineStr">
        <is>
          <t>3 · DEPENDENT (feeds an action only)</t>
        </is>
      </c>
      <c r="F148" s="3" t="inlineStr">
        <is>
          <t>NOT DETERMINED — the code carries no note saying what this is for, and it has no row in the old inventory. Needs reading.</t>
        </is>
      </c>
      <c r="G148" s="13"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SpendingInput
2. purchasesCaptured: Set&lt;string&gt; = new Set()</t>
        </is>
      </c>
      <c r="K148" s="3" t="inlineStr">
        <is>
          <t>RadarItem[]</t>
        </is>
      </c>
      <c r="L148" s="3" t="inlineStr">
        <is>
          <t>—</t>
        </is>
      </c>
      <c r="M148" s="3" t="inlineStr">
        <is>
          <t>None found in this function — anything it assumes comes from the functions it depends on.</t>
        </is>
      </c>
      <c r="N148" s="3" t="inlineStr">
        <is>
          <t>No</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2026-09-12</t>
        </is>
      </c>
      <c r="Y148" s="3" t="inlineStr">
        <is>
          <t>NOTHING OPEN</t>
        </is>
      </c>
    </row>
    <row r="149">
      <c r="A149" s="3" t="inlineStr">
        <is>
          <t>MK-CF-F-155</t>
        </is>
      </c>
      <c r="B149" s="3" t="inlineStr">
        <is>
          <t>cash</t>
        </is>
      </c>
      <c r="C149" s="3" t="inlineStr">
        <is>
          <t>MoneyKeel/functions/cashflow/this-month.ts</t>
        </is>
      </c>
      <c r="D149" s="3" t="n">
        <v>166</v>
      </c>
      <c r="E149" s="3" t="inlineStr">
        <is>
          <t>1 · ACTION</t>
        </is>
      </c>
      <c r="F149" s="3" t="inlineStr">
        <is>
          <t>Negating zero in JavaScript gives NEGATIVE zero, which formats as "−$0" — and a person looking at "−$0" beside an unpaid car loan reasonably wonders what it means.</t>
        </is>
      </c>
      <c r="G149" s="13"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Y149" s="3" t="inlineStr">
        <is>
          <t>NOTHING OPEN</t>
        </is>
      </c>
    </row>
    <row r="150">
      <c r="A150" s="3" t="inlineStr">
        <is>
          <t>MK-CF-F-156</t>
        </is>
      </c>
      <c r="B150" s="3" t="inlineStr">
        <is>
          <t>plannedMonthFlow</t>
        </is>
      </c>
      <c r="C150" s="3" t="inlineStr">
        <is>
          <t>MoneyKeel/functions/cashflow/this-month.ts</t>
        </is>
      </c>
      <c r="D150" s="3" t="n">
        <v>196</v>
      </c>
      <c r="E150" s="3" t="inlineStr">
        <is>
          <t>3 · DEPENDENT (feeds an action only)</t>
        </is>
      </c>
      <c r="F150" s="3" t="inlineStr">
        <is>
          <t>THE PLAN for this month: the take-home, less each debt, less planned expenses.</t>
        </is>
      </c>
      <c r="G150" s="13" t="inlineStr">
        <is>
          <t>lines = [{ label: inflow label('Inflow', inflow sources), amount: (take home monthly), kind: 'in' }]
due = required payment(d)
the answer:
lines = lines
surplus = cash(lines.reduce((t, l) =&gt; t + amount, 0))</t>
        </is>
      </c>
      <c r="H150" s="3" t="inlineStr">
        <is>
          <t>Lines is [{ label: inflow label('Inflow', inflow sources), amount: (take home monthly), kind: 'in' }]. Due is required payment(d).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No</t>
        </is>
      </c>
      <c r="O150" s="3" t="inlineStr">
        <is>
          <t>1. MK-CF-F-155 cash
2. MK-CF-F-192 inflowLabel
3. MK-CF-F-023 requiredPayment
4. MK-XS-F-027 takeHomeMonthly</t>
        </is>
      </c>
      <c r="P150" s="3" t="n">
        <v>60</v>
      </c>
      <c r="Q150" s="3" t="inlineStr">
        <is>
          <t>1. MK-CF-F-155 cash
2. MK-CF-F-192 inflowLabel
3. MK-CF-F-023 requiredPayment
4. MK-XS-F-027 takeHomeMonthly
5. MK-XS-F-122 n
6. MK-CF-F-193 inflowSourceWord
7. MK-CF-F-022 paymentShape
8. MK-CF-F-092 incomeMonthlyGrid
9. MK-CF-F-011 savingsByMonth
10. MK-CF-F-021 defaultPaymentType
11. MK-CF-F-069 benefitActiveMonths
12. MK-CF-F-072 currentRetirementIncomeMonthly
13. MK-CF-F-065 equityVestWeights
14. MK-CF-F-071 extraIncome
15. MK-ST-F-056 has
16. MK-CF-F-132 map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MK-CF-F-008 spendByMonth
28. MK-CF-F-075 retirementIncomeMonthly
29. MK-CF-F-062 equityRowValue
30. MK-CF-F-070 benefitAnnual
31. MK-ST-F-039 on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MK-CF-F-067 rentalList
43. MK-CF-F-063 rowVestYear
44. MK-CF-F-176 sumMonthsOverEarners
45. MK-CF-F-177 wageGrossByMonth
46. MK-CF-F-120 pctBaseMonthly
47. MK-CF-F-004 spendBuckets
48. MK-CF-F-101 taxOwedFor
49. MK-CF-F-100 taxableIncomeFor
50. MK-CF-F-172 hasWage
51. MK-CF-F-074 tipsAnnual
52. MK-CF-F-130 enteredMonthlyRaw
53. MK-CF-F-166 hasMonthlySalaryTable
54. MK-ST-F-036 reconcile
55. MK-CF-F-167 salaryCalendarYear
56. MK-CF-F-003 categoryMonthly
57. MK-CF-F-099 deductionFor
58. MK-CF-F-081 salaryActiveMonths
59. MK-CF-F-165 salaryMonths
60. MK-CF-F-187 seniorDeductionFor</t>
        </is>
      </c>
      <c r="R150" s="3" t="inlineStr">
        <is>
          <t>1. MK-XS-F-122 n → MK-CF-F-155 cash → MK-CF-F-156 plannedMonthFlow
2. MK-CF-F-193 inflowSourceWord → MK-CF-F-192 inflowLabel → MK-CF-F-156 plannedMonthFlow
3. MK-CF-F-021 defaultPaymentType → MK-CF-F-022 paymentShape → MK-CF-F-023 requiredPayment → MK-CF-F-156 plannedMonthFlow
4. MK-CF-F-069 benefitActiveMonths → MK-CF-F-092 incomeMonthlyGrid → MK-XS-F-027 takeHomeMonthly → MK-CF-F-156 plannedMonthFlow
5. MK-ST-F-052 toNum → MK-CF-F-075 retirementIncomeMonthly → MK-CF-F-072 currentRetirementIncomeMonthly → MK-CF-F-092 incomeMonthlyGrid → MK-XS-F-027 takeHomeMonthly → MK-CF-F-156 plannedMonthFlow
6. MK-ST-F-052 toNum → MK-CF-F-062 equityRowValue → MK-CF-F-065 equityVestWeights → MK-CF-F-092 incomeMonthlyGrid → MK-XS-F-027 takeHomeMonthly → MK-CF-F-156 plannedMonthFlow
7. MK-CF-F-132 map → MK-CF-F-065 equityVestWeights → MK-CF-F-092 incomeMonthlyGrid → MK-XS-F-027 takeHomeMonthly → MK-CF-F-156 plannedMonthFlow
8. MK-CF-F-069 benefitActiveMonths → MK-CF-F-070 benefitAnnual → MK-CF-F-071 extraIncome → MK-CF-F-092 incomeMonthlyGrid → MK-XS-F-027 takeHomeMonthly → MK-CF-F-156 plannedMonthFlow
9. … and 4 more paths</t>
        </is>
      </c>
      <c r="S150" s="3" t="inlineStr">
        <is>
          <t>—</t>
        </is>
      </c>
      <c r="T150" s="3" t="inlineStr">
        <is>
          <t>—</t>
        </is>
      </c>
      <c r="U150" s="3" t="inlineStr">
        <is>
          <t>ACTIVE</t>
        </is>
      </c>
      <c r="V150" s="3" t="inlineStr">
        <is>
          <t>2026-09-11</t>
        </is>
      </c>
      <c r="Y150" s="3" t="inlineStr">
        <is>
          <t>NOTHING OPEN</t>
        </is>
      </c>
    </row>
    <row r="151">
      <c r="A151" s="3" t="inlineStr">
        <is>
          <t>MK-CF-F-157</t>
        </is>
      </c>
      <c r="B151" s="3" t="inlineStr">
        <is>
          <t>debtPaymentsByDebt</t>
        </is>
      </c>
      <c r="C151" s="3" t="inlineStr">
        <is>
          <t>MoneyKeel/functions/cashflow/this-month.ts</t>
        </is>
      </c>
      <c r="D151" s="3" t="n">
        <v>299</v>
      </c>
      <c r="E151" s="3" t="inlineStr">
        <is>
          <t>3 · DEPENDENT</t>
        </is>
      </c>
      <c r="F151" s="3" t="inlineStr">
        <is>
          <t>WHICH DEBTS HAVE ACTUALLY BEEN PAID this month, and how much each.</t>
        </is>
      </c>
      <c r="G151" s="13"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MK-XS-F-180 declareFigures
2. MK-CF-F-148 inMonth
3. MK-CF-F-132 map
4. MK-ST-F-052 toNum
5. MK-CF-F-191 ym</t>
        </is>
      </c>
      <c r="P151" s="3" t="n">
        <v>6</v>
      </c>
      <c r="Q151" s="3" t="inlineStr">
        <is>
          <t>1. MK-XS-F-180 declareFigures
2. MK-CF-F-148 inMonth
3. MK-CF-F-132 map
4. MK-ST-F-052 toNum
5. MK-CF-F-191 ym
6. MK-XS-F-122 n</t>
        </is>
      </c>
      <c r="R151" s="3" t="inlineStr">
        <is>
          <t>1. MK-XS-F-180 declareFigures → MK-CF-F-157 debtPaymentsByDebt
2. MK-CF-F-191 ym → MK-CF-F-148 inMonth → MK-CF-F-157 debtPaymentsByDebt
3. MK-CF-F-132 map → MK-CF-F-157 debtPaymentsByDebt
4. MK-XS-F-122 n → MK-ST-F-052 toNum → MK-CF-F-157 debtPaymentsByDebt
5. MK-CF-F-191 ym → MK-CF-F-157 debtPaymentsByDebt</t>
        </is>
      </c>
      <c r="S151" s="3" t="inlineStr">
        <is>
          <t>—</t>
        </is>
      </c>
      <c r="T151" s="3" t="inlineStr">
        <is>
          <t>—</t>
        </is>
      </c>
      <c r="U151" s="3" t="inlineStr">
        <is>
          <t>ACTIVE</t>
        </is>
      </c>
      <c r="V151" s="3" t="inlineStr">
        <is>
          <t>2026-08-27</t>
        </is>
      </c>
      <c r="Y151" s="3" t="inlineStr">
        <is>
          <t>NOTHING OPEN</t>
        </is>
      </c>
    </row>
    <row r="152">
      <c r="A152" s="3" t="inlineStr">
        <is>
          <t>MK-CF-F-159</t>
        </is>
      </c>
      <c r="B152" s="3" t="inlineStr">
        <is>
          <t>isRecurringDebt</t>
        </is>
      </c>
      <c r="C152" s="3" t="inlineStr">
        <is>
          <t>MoneyKeel/functions/cashflow/this-month.ts</t>
        </is>
      </c>
      <c r="D152" s="3" t="n">
        <v>439</v>
      </c>
      <c r="E152" s="3" t="inlineStr">
        <is>
          <t>1 · ACTION</t>
        </is>
      </c>
      <c r="F152" s="3" t="inlineStr">
        <is>
          <t>Is this debt one that repeats unchanged every month?</t>
        </is>
      </c>
      <c r="G152" s="13"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Y152" s="3" t="inlineStr">
        <is>
          <t>NOTHING OPEN</t>
        </is>
      </c>
    </row>
    <row r="153">
      <c r="A153" s="3" t="inlineStr">
        <is>
          <t>MK-CF-F-160</t>
        </is>
      </c>
      <c r="B153" s="3" t="inlineStr">
        <is>
          <t>daysBetweenDates</t>
        </is>
      </c>
      <c r="C153" s="3" t="inlineStr">
        <is>
          <t>src/domain/cashflow/index.ts</t>
        </is>
      </c>
      <c r="D153" s="3" t="n">
        <v>112</v>
      </c>
      <c r="E153" s="3" t="inlineStr">
        <is>
          <t>3 · DEPENDENT</t>
        </is>
      </c>
      <c r="F153" s="3" t="inlineStr">
        <is>
          <t>NOT DETERMINED — the code carries no note saying what this is for, and it has no row in the old inventory. Needs reading.</t>
        </is>
      </c>
      <c r="G153" s="13"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Y153" s="3" t="inlineStr">
        <is>
          <t>NOTHING OPEN</t>
        </is>
      </c>
    </row>
    <row r="154">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3"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Y154" s="3" t="inlineStr">
        <is>
          <t>NOTHING OPEN</t>
        </is>
      </c>
    </row>
    <row r="155">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3"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Y155" s="3" t="inlineStr">
        <is>
          <t>NOTHING OPEN</t>
        </is>
      </c>
    </row>
    <row r="156">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3"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Y156" s="3" t="inlineStr">
        <is>
          <t>NOTHING OPEN</t>
        </is>
      </c>
    </row>
    <row r="157">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3"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Y157" s="3" t="inlineStr">
        <is>
          <t>NOTHING OPEN</t>
        </is>
      </c>
    </row>
    <row r="158">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3"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Y158" s="3" t="inlineStr">
        <is>
          <t>NOTHING OPEN</t>
        </is>
      </c>
    </row>
    <row r="159">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3"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Y159" s="3" t="inlineStr">
        <is>
          <t>NOTHING OPEN</t>
        </is>
      </c>
    </row>
    <row r="160">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3"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Y160" s="3" t="inlineStr">
        <is>
          <t>NOTHING OPEN</t>
        </is>
      </c>
    </row>
    <row r="16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3"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Y161" s="3" t="inlineStr">
        <is>
          <t>NOTHING OPEN</t>
        </is>
      </c>
    </row>
    <row r="162">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3"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Y162" s="3" t="inlineStr">
        <is>
          <t>NOTHING OPEN</t>
        </is>
      </c>
    </row>
    <row r="163">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3"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Y163" s="3" t="inlineStr">
        <is>
          <t>NOTHING OPEN</t>
        </is>
      </c>
    </row>
    <row r="164">
      <c r="A164" s="3" t="inlineStr">
        <is>
          <t>MK-CF-F-171</t>
        </is>
      </c>
      <c r="B164" s="3" t="inlineStr">
        <is>
          <t>earnerPay</t>
        </is>
      </c>
      <c r="C164" s="3" t="inlineStr">
        <is>
          <t>MoneyKeel/functions/cashflow/base-pay.ts</t>
        </is>
      </c>
      <c r="D164" s="3" t="n">
        <v>467</v>
      </c>
      <c r="E164" s="3" t="inlineStr">
        <is>
          <t>3 · DEPENDENT</t>
        </is>
      </c>
      <c r="F164" s="3" t="inlineStr">
        <is>
          <t>NOT DETERMINED — the code carries no note saying what this is for, and it has no row in the old inventory. Needs reading.</t>
        </is>
      </c>
      <c r="G164" s="13"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MK-XS-F-180 declareFigures
3. MK-CF-F-145 deductionsFromPay
4. MK-CF-F-128 grossByMonth
5. MK-ST-F-053 money
6. MK-ST-F-039 on
7. MK-CF-F-146 payFiguresAgree
8. MK-CF-F-144 takeHomeAsEntered
9. MK-ST-F-052 toNum</t>
        </is>
      </c>
      <c r="P164" s="3" t="n">
        <v>24</v>
      </c>
      <c r="Q164" s="3" t="inlineStr">
        <is>
          <t>1. MK-CF-F-143 annualisedGross
2. MK-XS-F-180 declareFigures
3. MK-CF-F-145 deductionsFromPay
4. MK-CF-F-128 grossByMonth
5. MK-ST-F-053 money
6. MK-ST-F-039 on
7. MK-CF-F-146 payFiguresAgree
8. MK-CF-F-144 takeHomeAsEntered
9. MK-ST-F-052 toNum
10. MK-CF-F-142 monthsOf
11. MK-CF-F-141 perMonth
12. MK-ST-F-049 formatMoney
13. MK-XS-F-122 n
14. MK-ST-F-056 has
15. MK-CF-F-132 map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MK-XS-F-180 declareFigures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Y164" s="3" t="inlineStr">
        <is>
          <t>NOTHING OPEN</t>
        </is>
      </c>
    </row>
    <row r="165">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3"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Y165" s="3" t="inlineStr">
        <is>
          <t>NOTHING OPEN</t>
        </is>
      </c>
    </row>
    <row r="166">
      <c r="A166" s="3" t="inlineStr">
        <is>
          <t>MK-CF-F-173</t>
        </is>
      </c>
      <c r="B166" s="3" t="inlineStr">
        <is>
          <t>earnerWages</t>
        </is>
      </c>
      <c r="C166" s="3" t="inlineStr">
        <is>
          <t>src/domain/income/earners.ts</t>
        </is>
      </c>
      <c r="D166" s="3" t="n">
        <v>104</v>
      </c>
      <c r="E166" s="3" t="inlineStr">
        <is>
          <t>2 · DISPLAYED</t>
        </is>
      </c>
      <c r="F166" s="3" t="inlineStr">
        <is>
          <t>The wages this household actually has, in the order the screen shows them.</t>
        </is>
      </c>
      <c r="G166" s="13"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Y166" s="3" t="inlineStr">
        <is>
          <t>NOTHING OPEN</t>
        </is>
      </c>
    </row>
    <row r="167">
      <c r="A167" s="3" t="inlineStr">
        <is>
          <t>MK-CF-F-174</t>
        </is>
      </c>
      <c r="B167" s="3" t="inlineStr">
        <is>
          <t>hasTwoEarners</t>
        </is>
      </c>
      <c r="C167" s="3" t="inlineStr">
        <is>
          <t>src/domain/income/earners.ts</t>
        </is>
      </c>
      <c r="D167" s="3" t="n">
        <v>136</v>
      </c>
      <c r="E167" s="3" t="inlineStr">
        <is>
          <t>3 · DEPENDENT (feeds an action only)</t>
        </is>
      </c>
      <c r="F167" s="3" t="inlineStr">
        <is>
          <t>Does this household have a second wage on record?</t>
        </is>
      </c>
      <c r="G167" s="13"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Y167" s="3" t="inlineStr">
        <is>
          <t>NOTHING OPEN</t>
        </is>
      </c>
    </row>
    <row r="168">
      <c r="A168" s="3" t="inlineStr">
        <is>
          <t>MK-CF-F-175</t>
        </is>
      </c>
      <c r="B168" s="3" t="inlineStr">
        <is>
          <t>sumOverEarners</t>
        </is>
      </c>
      <c r="C168" s="3" t="inlineStr">
        <is>
          <t>src/domain/income/earners.ts</t>
        </is>
      </c>
      <c r="D168" s="3" t="n">
        <v>164</v>
      </c>
      <c r="E168" s="3" t="inlineStr">
        <is>
          <t>3 · DEPENDENT</t>
        </is>
      </c>
      <c r="F168" s="3" t="inlineStr">
        <is>
          <t>Add up one number per earner.</t>
        </is>
      </c>
      <c r="G168" s="13"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Y168" s="3" t="inlineStr">
        <is>
          <t>NOTHING OPEN</t>
        </is>
      </c>
    </row>
    <row r="169">
      <c r="A169" s="3" t="inlineStr">
        <is>
          <t>MK-CF-F-176</t>
        </is>
      </c>
      <c r="B169" s="3" t="inlineStr">
        <is>
          <t>sumMonthsOverEarners</t>
        </is>
      </c>
      <c r="C169" s="3" t="inlineStr">
        <is>
          <t>src/domain/income/earners.ts</t>
        </is>
      </c>
      <c r="D169" s="3" t="n">
        <v>200</v>
      </c>
      <c r="E169" s="3" t="inlineStr">
        <is>
          <t>3 · DEPENDENT</t>
        </is>
      </c>
      <c r="F169" s="3" t="inlineStr">
        <is>
          <t>Add up twelve numbers per earner, month by month.</t>
        </is>
      </c>
      <c r="G169" s="13"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Y169" s="3" t="inlineStr">
        <is>
          <t>NOTHING OPEN</t>
        </is>
      </c>
    </row>
    <row r="170">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3"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Y170" s="3" t="inlineStr">
        <is>
          <t>NOTHING OPEN</t>
        </is>
      </c>
    </row>
    <row r="171">
      <c r="A171" s="3" t="inlineStr">
        <is>
          <t>MK-CF-F-178</t>
        </is>
      </c>
      <c r="B171" s="3" t="inlineStr">
        <is>
          <t>wageMatchMonthly</t>
        </is>
      </c>
      <c r="C171" s="3" t="inlineStr">
        <is>
          <t>src/domain/income/onboarding.ts</t>
        </is>
      </c>
      <c r="D171" s="3" t="n">
        <v>1014</v>
      </c>
      <c r="E171" s="3" t="inlineStr">
        <is>
          <t>3 · DEPENDENT (feeds an action only)</t>
        </is>
      </c>
      <c r="F171" s="3" t="inlineStr">
        <is>
          <t>ONE person's employer match: a share of their own contribution, or a flat amount.</t>
        </is>
      </c>
      <c r="G171" s="13"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Y171" s="3" t="inlineStr">
        <is>
          <t>NOTHING OPEN</t>
        </is>
      </c>
    </row>
    <row r="172">
      <c r="A172" s="3" t="inlineStr">
        <is>
          <t>MK-CF-F-179</t>
        </is>
      </c>
      <c r="B172" s="3" t="inlineStr">
        <is>
          <t>entryFromWage</t>
        </is>
      </c>
      <c r="C172" s="3" t="inlineStr">
        <is>
          <t>MoneyKeel/functions/cashflow/base-pay.ts</t>
        </is>
      </c>
      <c r="D172" s="3" t="n">
        <v>839</v>
      </c>
      <c r="E172" s="3" t="inlineStr">
        <is>
          <t>2 · DISPLAYED</t>
        </is>
      </c>
      <c r="F172" s="3" t="inlineStr">
        <is>
          <t>WHAT IS STORED → WHAT THIS FILE READS.</t>
        </is>
      </c>
      <c r="G172" s="13"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Y172" s="3" t="inlineStr">
        <is>
          <t>NOTHING OPEN</t>
        </is>
      </c>
    </row>
    <row r="173">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3"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Y173" s="3" t="inlineStr">
        <is>
          <t>NOTHING OPEN</t>
        </is>
      </c>
    </row>
    <row r="174">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3"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38</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MK-CF-F-067 rentalList
27. MK-CF-F-062 equityRowValue
28. MK-CF-F-132 map
29. MK-CF-F-063 rowVestYear
30. MK-CF-F-081 salaryActiveMonths
31. MK-CF-F-099 deductionFor
32. MK-CF-F-130 enteredMonthlyRaw
33. MK-CF-F-166 hasMonthlySalaryTable
34. MK-ST-F-036 reconcile
35. MK-CF-F-167 salaryCalendarYear
36. MK-CF-F-069 benefitActiveMonths
37. MK-CF-F-187 seniorDeductionFor
38. MK-CF-F-165 salaryMonths</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Y174" s="3" t="inlineStr">
        <is>
          <t>NOTHING OPEN</t>
        </is>
      </c>
    </row>
    <row r="175">
      <c r="A175" s="3" t="inlineStr">
        <is>
          <t>MK-CF-F-182</t>
        </is>
      </c>
      <c r="B175" s="3" t="inlineStr">
        <is>
          <t>asPercent</t>
        </is>
      </c>
      <c r="C175" s="3" t="inlineStr">
        <is>
          <t>src/domain/income/from-accounts.ts</t>
        </is>
      </c>
      <c r="D175" s="3" t="n">
        <v>55</v>
      </c>
      <c r="E175" s="3" t="inlineStr">
        <is>
          <t>1 · ACTION</t>
        </is>
      </c>
      <c r="F175" s="3" t="inlineStr">
        <is>
          <t>A rate as the person would say it: 3.8%, not 0.038.</t>
        </is>
      </c>
      <c r="G175" s="13"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Y175" s="3" t="inlineStr">
        <is>
          <t>NOTHING OPEN</t>
        </is>
      </c>
    </row>
    <row r="176">
      <c r="A176" s="3" t="inlineStr">
        <is>
          <t>MK-CF-F-183</t>
        </is>
      </c>
      <c r="B176" s="3" t="inlineStr">
        <is>
          <t>paidOutByAccount</t>
        </is>
      </c>
      <c r="C176" s="3" t="inlineStr">
        <is>
          <t>src/domain/income/from-accounts.ts</t>
        </is>
      </c>
      <c r="D176" s="3" t="n">
        <v>85</v>
      </c>
      <c r="E176" s="3" t="inlineStr">
        <is>
          <t>3 · DEPENDENT</t>
        </is>
      </c>
      <c r="F176" s="3" t="inlineStr">
        <is>
          <t>What each account actually PAID OUT in the last year, by account.</t>
        </is>
      </c>
      <c r="G176" s="13"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Y176" s="3" t="inlineStr">
        <is>
          <t>NOTHING OPEN</t>
        </is>
      </c>
    </row>
    <row r="177">
      <c r="A177" s="3" t="inlineStr">
        <is>
          <t>MK-CF-F-184</t>
        </is>
      </c>
      <c r="B177" s="3" t="inlineStr">
        <is>
          <t>incomeFromAccounts</t>
        </is>
      </c>
      <c r="C177" s="3" t="inlineStr">
        <is>
          <t>src/domain/income/from-accounts.ts</t>
        </is>
      </c>
      <c r="D177" s="3" t="n">
        <v>141</v>
      </c>
      <c r="E177" s="3" t="inlineStr">
        <is>
          <t>2 · DISPLAYED</t>
        </is>
      </c>
      <c r="F177" s="3" t="inlineStr">
        <is>
          <t>One line per account that pays something, and the total.</t>
        </is>
      </c>
      <c r="G177" s="13"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Y177" s="6" t="inlineStr">
        <is>
          <t>TESTED, NOT VERIFIED (A46)</t>
        </is>
      </c>
    </row>
    <row r="178">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3"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Y178" s="3" t="inlineStr">
        <is>
          <t>NOTHING OPEN</t>
        </is>
      </c>
    </row>
    <row r="179">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3"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Y179" s="3" t="inlineStr">
        <is>
          <t>NOTHING OPEN</t>
        </is>
      </c>
    </row>
    <row r="180">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3"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Y180" s="6" t="inlineStr">
        <is>
          <t>TESTED, NOT VERIFIED (Brief E8, G3)</t>
        </is>
      </c>
    </row>
    <row r="181">
      <c r="A181" s="3" t="inlineStr">
        <is>
          <t>MK-CF-F-188</t>
        </is>
      </c>
      <c r="B181" s="3" t="inlineStr">
        <is>
          <t>householdPreTaxContributionsAnnual</t>
        </is>
      </c>
      <c r="C181" s="3" t="inlineStr">
        <is>
          <t>src/domain/income/earners.ts</t>
        </is>
      </c>
      <c r="D181" s="3" t="n">
        <v>231</v>
      </c>
      <c r="E181" s="3" t="inlineStr">
        <is>
          <t>3 · DEPENDENT</t>
        </is>
      </c>
      <c r="F181" s="3" t="inlineStr">
        <is>
          <t>The household's pre-tax 401(k) contributions for the year — every earner's, added up.</t>
        </is>
      </c>
      <c r="G181" s="13"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Y181" s="6" t="inlineStr">
        <is>
          <t>TESTED, NOT VERIFIED (G22 / Q46)</t>
        </is>
      </c>
    </row>
    <row r="182">
      <c r="A182" s="3" t="inlineStr">
        <is>
          <t>MK-CF-F-189</t>
        </is>
      </c>
      <c r="B182" s="3" t="inlineStr">
        <is>
          <t>essentialsFromLoggedSpending</t>
        </is>
      </c>
      <c r="C182" s="3" t="inlineStr">
        <is>
          <t>MoneyKeel/functions/cashflow/essentials.ts</t>
        </is>
      </c>
      <c r="D182" s="3" t="n">
        <v>87</v>
      </c>
      <c r="E182" s="3" t="inlineStr">
        <is>
          <t>2 · DISPLAYED</t>
        </is>
      </c>
      <c r="F182" s="3" t="inlineStr">
        <is>
          <t>What does a month actually cost, from what has been logged?</t>
        </is>
      </c>
      <c r="G182" s="13"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"Estimates from your logged expenses — not advice." — on the Job safety screen, under "WHAT WOULD CLOSE IT"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2026-09-08</t>
        </is>
      </c>
      <c r="Y182" s="6" t="inlineStr">
        <is>
          <t>TESTED, NOT VERIFIED (G21 / Q47)</t>
        </is>
      </c>
    </row>
    <row r="183">
      <c r="A183" s="3" t="inlineStr">
        <is>
          <t>MK-CF-F-190</t>
        </is>
      </c>
      <c r="B183" s="3" t="inlineStr">
        <is>
          <t>essentialsMonthly</t>
        </is>
      </c>
      <c r="C183" s="3" t="inlineStr">
        <is>
          <t>MoneyKeel/functions/cashflow/essentials.ts</t>
        </is>
      </c>
      <c r="D183" s="3" t="n">
        <v>132</v>
      </c>
      <c r="E183" s="3" t="inlineStr">
        <is>
          <t>2 · DISPLAYED</t>
        </is>
      </c>
      <c r="F183" s="3" t="inlineStr">
        <is>
          <t>The one essentials-a-month figure a screen divides by, and where it came from.</t>
        </is>
      </c>
      <c r="G183" s="13"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1. "If you lost your income" — on the Stress test screen
2. "Your emergency fund" — on the Stress test screen</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MK-CF-F-189 essentialsFromLoggedSpending</t>
        </is>
      </c>
      <c r="P183" s="3" t="n">
        <v>5</v>
      </c>
      <c r="Q183" s="3" t="inlineStr">
        <is>
          <t>1. MK-CF-F-189 essentialsFromLoggedSpending
2. MK-ST-F-056 has
3. MK-XS-F-122 n
4. MK-ST-F-052 toNum
5. MK-CF-F-191 ym</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t>
        </is>
      </c>
      <c r="S183" s="3" t="inlineStr">
        <is>
          <t>MK-MN-M-024 · MK-MN-M-025 · MK-MN-M-026 · MK-NW-M-013 · MK-NW-M-014</t>
        </is>
      </c>
      <c r="T183" s="3" t="inlineStr">
        <is>
          <t>—</t>
        </is>
      </c>
      <c r="U183" s="3" t="inlineStr">
        <is>
          <t>ACTIVE</t>
        </is>
      </c>
      <c r="V183" s="3" t="inlineStr">
        <is>
          <t>2026-09-12</t>
        </is>
      </c>
      <c r="Y183" s="6" t="inlineStr">
        <is>
          <t>TESTED, NOT VERIFIED (G21 / Q47)</t>
        </is>
      </c>
    </row>
    <row r="184">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3"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Y184" s="3" t="inlineStr">
        <is>
          <t>NOTHING OPEN</t>
        </is>
      </c>
    </row>
    <row r="185">
      <c r="A185" s="3" t="inlineStr">
        <is>
          <t>MK-CF-F-192</t>
        </is>
      </c>
      <c r="B185" s="3" t="inlineStr">
        <is>
          <t>inflowLabel</t>
        </is>
      </c>
      <c r="C185" s="3" t="inlineStr">
        <is>
          <t>MoneyKeel/functions/cashflow/this-month.ts</t>
        </is>
      </c>
      <c r="D185" s="3" t="n">
        <v>82</v>
      </c>
      <c r="E185" s="3" t="inlineStr">
        <is>
          <t>2 · DISPLAYED</t>
        </is>
      </c>
      <c r="F185" s="3" t="inlineStr">
        <is>
          <t>The inflow line names what is inside it — founder's cluster #5 ruling (2026-09-10): the words in the brackets are the sources, "Inflow (income (take-home) + rent)".</t>
        </is>
      </c>
      <c r="G185" s="13"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Y185" s="6" t="inlineStr">
        <is>
          <t>TESTED, NOT VERIFIED (Synonym cluster #5)</t>
        </is>
      </c>
    </row>
    <row r="186">
      <c r="A186" s="3" t="inlineStr">
        <is>
          <t>MK-CF-F-193</t>
        </is>
      </c>
      <c r="B186" s="3" t="inlineStr">
        <is>
          <t>inflowSourceWord</t>
        </is>
      </c>
      <c r="C186" s="3" t="inlineStr">
        <is>
          <t>MoneyKeel/functions/cashflow/this-month.ts</t>
        </is>
      </c>
      <c r="D186" s="3" t="n">
        <v>117</v>
      </c>
      <c r="E186" s="3" t="inlineStr">
        <is>
          <t>3 · DEPENDENT</t>
        </is>
      </c>
      <c r="F186" s="3" t="inlineStr">
        <is>
          <t>One source of money arriving, as the bracket says it: pay is "income (take-home)", a rental is "rent", Social Security keeps its name, anything else is its own name in lower case.</t>
        </is>
      </c>
      <c r="G186" s="13"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Y186" s="6" t="inlineStr">
        <is>
          <t>TESTED, NOT VERIFIED (Synonym cluster #5)</t>
        </is>
      </c>
    </row>
    <row r="187">
      <c r="A187" s="3" t="inlineStr">
        <is>
          <t>MK-CF-F-194</t>
        </is>
      </c>
      <c r="B187" s="3" t="inlineStr">
        <is>
          <t>monthOutflow</t>
        </is>
      </c>
      <c r="C187" s="3" t="inlineStr">
        <is>
          <t>MoneyKeel/functions/cashflow/this-month.ts</t>
        </is>
      </c>
      <c r="D187" s="3" t="n">
        <v>53</v>
      </c>
      <c r="E187" s="3" t="inlineStr">
        <is>
          <t>2 · DISPLAYED</t>
        </is>
      </c>
      <c r="F187" s="3" t="inlineStr">
        <is>
          <t>THE MONTH'S OUTFLOW — expenses plus the debt actually paid — from one place.</t>
        </is>
      </c>
      <c r="G187" s="13"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PLAN BY CATEGORY"</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Y187" s="6" t="inlineStr">
        <is>
          <t>TESTED, NOT VERIFIED (G12)</t>
        </is>
      </c>
    </row>
    <row r="188">
      <c r="A188" s="3" t="inlineStr">
        <is>
          <t>MK-CF-F-195</t>
        </is>
      </c>
      <c r="B188" s="3" t="inlineStr">
        <is>
          <t>monthsLeftInYear</t>
        </is>
      </c>
      <c r="C188" s="3" t="inlineStr">
        <is>
          <t>src/domain/income/limits.ts</t>
        </is>
      </c>
      <c r="D188" s="3" t="n">
        <v>79</v>
      </c>
      <c r="E188" s="3" t="inlineStr">
        <is>
          <t>2 · DISPLAYED</t>
        </is>
      </c>
      <c r="F188" s="3" t="inlineStr">
        <is>
          <t>Months left in the year INCLUDING the current one — December counts as 1, never 0.</t>
        </is>
      </c>
      <c r="G188" s="13"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NOT FOUND — a screen calls it, but the words printed beside its answer could not be traced automatically. Needs reading.</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2026-09-12</t>
        </is>
      </c>
      <c r="Y188" s="6" t="inlineStr">
        <is>
          <t>TESTED, NOT VERIFIED (G36)</t>
        </is>
      </c>
    </row>
    <row r="189">
      <c r="A189" s="3" t="inlineStr">
        <is>
          <t>MK-CF-F-196</t>
        </is>
      </c>
      <c r="B189" s="3" t="inlineStr">
        <is>
          <t>perMonthToFill</t>
        </is>
      </c>
      <c r="C189" s="3" t="inlineStr">
        <is>
          <t>src/domain/income/limits.ts</t>
        </is>
      </c>
      <c r="D189" s="3" t="n">
        <v>103</v>
      </c>
      <c r="E189" s="3" t="inlineStr">
        <is>
          <t>2 · DISPLAYED</t>
        </is>
      </c>
      <c r="F189" s="3" t="inlineStr">
        <is>
          <t>What to put in each remaining month to use the room left this year, rounded to $100 for display.</t>
        </is>
      </c>
      <c r="G189" s="13"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NOT FOUND — a screen calls it, but the words printed beside its answer could not be traced automatically. Needs reading.</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2026-09-12</t>
        </is>
      </c>
      <c r="Y189" s="6" t="inlineStr">
        <is>
          <t>TESTED, NOT VERIFIED (G36)</t>
        </is>
      </c>
    </row>
    <row r="190">
      <c r="A190" s="3" t="inlineStr">
        <is>
          <t>MK-CF-F-197</t>
        </is>
      </c>
      <c r="B190" s="3" t="inlineStr">
        <is>
          <t>ageAttainedInYear</t>
        </is>
      </c>
      <c r="C190" s="3" t="inlineStr">
        <is>
          <t>src/domain/income/limits.ts</t>
        </is>
      </c>
      <c r="D190" s="3" t="n">
        <v>48</v>
      </c>
      <c r="E190" s="3" t="inlineStr">
        <is>
          <t>2 · DISPLAYED</t>
        </is>
      </c>
      <c r="F190" s="3" t="inlineStr">
        <is>
          <t>THE AGE THE LIMITS USE — the age a person attains at any time in the calendar year, which is this year minus the birth year.</t>
        </is>
      </c>
      <c r="G190" s="13"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Y190" s="3" t="inlineStr">
        <is>
          <t>NOTHING OPEN</t>
        </is>
      </c>
    </row>
    <row r="191">
      <c r="A191" s="3" t="inlineStr">
        <is>
          <t>MK-CF-F-198</t>
        </is>
      </c>
      <c r="B191" s="3" t="inlineStr">
        <is>
          <t>payrollTaxWithheld</t>
        </is>
      </c>
      <c r="C191" s="3" t="inlineStr">
        <is>
          <t>MoneyKeel/functions/cashflow/base-pay.ts</t>
        </is>
      </c>
      <c r="D191" s="3" t="n">
        <v>804</v>
      </c>
      <c r="E191" s="3" t="inlineStr">
        <is>
          <t>3 · DEPENDENT</t>
        </is>
      </c>
      <c r="F191" s="3" t="inlineStr">
        <is>
          <t>NOT DETERMINED — the code carries no note saying what this is for, and it has no row in the old inventory. Needs reading.</t>
        </is>
      </c>
      <c r="G191" s="13"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Y191" s="3" t="inlineStr">
        <is>
          <t>NOTHING OPEN</t>
        </is>
      </c>
    </row>
    <row r="192">
      <c r="A192" s="3" t="inlineStr">
        <is>
          <t>MK-CF-O-001</t>
        </is>
      </c>
      <c r="B192" s="3" t="inlineStr">
        <is>
          <t>basePay</t>
        </is>
      </c>
      <c r="C192" s="3" t="inlineStr">
        <is>
          <t>MoneyKeel/functions/cashflow/base-pay.ts</t>
        </is>
      </c>
      <c r="D192" s="3" t="n">
        <v>675</v>
      </c>
      <c r="E192" s="3" t="inlineStr">
        <is>
          <t>2 · DISPLAYED</t>
        </is>
      </c>
      <c r="F192" s="3" t="inlineStr">
        <is>
          <t>NOT DETERMINED — the code carries no note saying what this is for, and it has no row in the old inventory. Needs reading.</t>
        </is>
      </c>
      <c r="G192" s="13"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192"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192" s="3" t="inlineStr">
        <is>
          <t>PARTLY READ — some of the code is still showing through; needs a hand pass</t>
        </is>
      </c>
      <c r="J192" s="3" t="inlineStr">
        <is>
          <t>h: HouseholdPayInput</t>
        </is>
      </c>
      <c r="K192" s="3" t="inlineStr">
        <is>
          <t>BasePay</t>
        </is>
      </c>
      <c r="L192"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192" s="3" t="inlineStr">
        <is>
          <t>1. If over65 is missing it uses 0.
2. If gross annualised is missing it uses 0.
3. Uses a built-in f i c a s h a r e of 7.65%.
4. Rounds the answer to a whole number.</t>
        </is>
      </c>
      <c r="N192" s="3" t="inlineStr">
        <is>
          <t>Yes</t>
        </is>
      </c>
      <c r="O192" s="3" t="inlineStr">
        <is>
          <t>1. MK-ST-F-035 covers
2. MK-CF-F-171 earnerPay
3. MK-CF-F-132 map
4. MK-CF-F-103 marginalBracketFor
5. MK-ST-F-053 money
6. MK-HM-F-006 money0
7. MK-XS-F-122 n
8. MK-CF-F-198 payrollTaxWithheld
9. MK-CF-F-181 rateInForce</t>
        </is>
      </c>
      <c r="P192" s="3" t="n">
        <v>60</v>
      </c>
      <c r="Q192" s="3" t="inlineStr">
        <is>
          <t>1. MK-ST-F-035 covers
2. MK-CF-F-171 earnerPay
3. MK-CF-F-132 map
4. MK-CF-F-103 marginalBracketFor
5. MK-ST-F-053 money
6. MK-HM-F-006 money0
7. MK-XS-F-122 n
8. MK-CF-F-198 payrollTaxWithheld
9. MK-CF-F-181 rateInForce
10. MK-ST-F-034 firstDate
11. MK-CF-F-143 annualisedGross
12. MK-XS-F-180 declareFigures
13. MK-CF-F-145 deductionsFromPay
14. MK-CF-F-128 grossByMonth
15. MK-ST-F-039 on
16. MK-CF-F-146 payFiguresAgree
17. MK-CF-F-144 takeHomeAsEntered
18. MK-ST-F-052 toNum
19. MK-CF-F-100 taxableIncomeFor
20. MK-ST-F-049 formatMoney
21. MK-CF-F-155 cash
22. MK-HM-F-005 pctTxt
23. MK-CF-F-173 earnerWages
24. MK-CF-F-102 effectiveRateOnGrossFor
25. MK-CF-F-180 enteredLandsAnnual
26. MK-CF-F-085 filingStatusOf
27. MK-CF-F-089 over65CountOf
28. MK-CF-F-082 salaryAnnual
29. MK-CF-F-086 stateRateOf
30. MK-CF-F-084 taxableAnnual
31. MK-CF-F-142 monthsOf
32. MK-CF-F-141 perMonth
33. MK-ST-F-056 has
34. MK-CF-F-101 taxOwedFor
35. MK-CF-F-099 deductionFor
36. MK-ST-F-048 currencySymbol
37. MK-CF-F-172 hasWage
38. MK-CF-F-060 salaryGrossByMonth
39. MK-CF-F-072 currentRetirementIncomeMonthly
40. MK-CF-F-071 extraIncome
41. MK-CF-F-068 rentalNetAnnual
42. MK-CF-F-066 rsuAnnual
43. MK-CF-F-074 tipsAnnual
44. MK-CF-F-140 periodsAYear
45. MK-CF-F-187 seniorDeductionFor
46. MK-ST-F-047 activeCurrency
47. MK-CF-F-176 sumMonthsOverEarners
48. MK-CF-F-177 wageGrossByMonth
49. MK-CF-F-075 retirementIncomeMonthly
50. MK-CF-F-070 benefitAnnual
51. MK-CF-F-067 rentalList
52. MK-CF-F-062 equityRowValue
53. MK-CF-F-063 rowVestYear
54. MK-CF-F-081 salaryActiveMonths
55. MK-CF-F-130 enteredMonthlyRaw
56. MK-CF-F-166 hasMonthlySalaryTable
57. MK-ST-F-036 reconcile
58. MK-CF-F-167 salaryCalendarYear
59. MK-CF-F-069 benefitActiveMonths
60. MK-CF-F-165 salaryMonths</t>
        </is>
      </c>
      <c r="R192"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MK-XS-F-180 declareFigures → MK-CF-F-171 earnerPay → MK-CF-O-001 basePay
8. MK-CF-F-142 monthsOf → MK-CF-F-128 grossByMonth → MK-CF-F-143 annualisedGross → MK-CF-F-145 deductionsFromPay → MK-CF-F-171 earnerPay → MK-CF-O-001 basePay
9. … and 5 more paths</t>
        </is>
      </c>
      <c r="S192" s="3" t="inlineStr">
        <is>
          <t>MK-CF-M-030 · MK-CF-M-031 · MK-CF-M-032 · MK-CF-M-033 · MK-CF-M-034 · MK-CF-M-035 · MK-CF-M-036 · MK-CF-M-045 · MK-CF-M-046</t>
        </is>
      </c>
      <c r="T192" s="3" t="inlineStr">
        <is>
          <t>—</t>
        </is>
      </c>
      <c r="U192" s="3" t="inlineStr">
        <is>
          <t>ACTIVE</t>
        </is>
      </c>
      <c r="V192" s="3" t="inlineStr">
        <is>
          <t>2026-09-09</t>
        </is>
      </c>
      <c r="Y192" s="6" t="inlineStr">
        <is>
          <t>TESTED, NOT VERIFIED (G4)</t>
        </is>
      </c>
    </row>
    <row r="193">
      <c r="A193" s="3" t="inlineStr">
        <is>
          <t>MK-CF-O-002</t>
        </is>
      </c>
      <c r="B193" s="3" t="inlineStr">
        <is>
          <t>spending</t>
        </is>
      </c>
      <c r="C193" s="3" t="inlineStr">
        <is>
          <t>MoneyKeel/functions/cashflow/spending.ts</t>
        </is>
      </c>
      <c r="D193" s="3" t="n">
        <v>268</v>
      </c>
      <c r="E193" s="3" t="inlineStr">
        <is>
          <t>3 · DEPENDENT (feeds an action only)</t>
        </is>
      </c>
      <c r="F193" s="3" t="inlineStr">
        <is>
          <t>NOT DETERMINED — the code carries no note saying what this is for, and it has no row in the old inventory. Needs reading.</t>
        </is>
      </c>
      <c r="G193" s="13" t="inlineStr">
        <is>
          <t>rec = recurring debt payments(s)
act = actual expenses(s)
debt exp = debt payments counted as expenses(s, purchases captured)</t>
        </is>
      </c>
      <c r="H193" s="3" t="inlineStr">
        <is>
          <t>Rec is recurring debt payments(s). Act is actual expenses(s). Debt exp is debt payments counted as expenses(s, purchases captured).</t>
        </is>
      </c>
      <c r="I193" s="3" t="inlineStr">
        <is>
          <t>READ FROM THE CODE — rendered from the expressions the function runs</t>
        </is>
      </c>
      <c r="J193" s="3" t="inlineStr">
        <is>
          <t>1. s: SpendingInput
2. purchasesCaptured: Set&lt;string&gt; = new Set()</t>
        </is>
      </c>
      <c r="K193" s="3" t="inlineStr">
        <is>
          <t>Expenses</t>
        </is>
      </c>
      <c r="L193" s="3" t="inlineStr">
        <is>
          <t>—</t>
        </is>
      </c>
      <c r="M193" s="3" t="inlineStr">
        <is>
          <t>None found in this function — anything it assumes comes from the functions it depends on.</t>
        </is>
      </c>
      <c r="N193" s="3" t="inlineStr">
        <is>
          <t>No</t>
        </is>
      </c>
      <c r="O193" s="3" t="inlineStr">
        <is>
          <t>1. MK-CF-F-151 actualSpending
2. MK-CF-F-150 debtPaymentsCountedAsExpenses
3. MK-CF-F-153 radar
4. MK-CF-F-149 recurringDebtPayments</t>
        </is>
      </c>
      <c r="P193" s="3" t="n">
        <v>14</v>
      </c>
      <c r="Q193"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193" s="3" t="inlineStr">
        <is>
          <t>1. MK-CF-F-191 ym → MK-CF-F-148 inMonth → MK-CF-F-151 actualSpending → MK-CF-O-002 spending
2. MK-XS-F-122 n → MK-ST-F-052 toNum → MK-CF-F-151 actualSpending → MK-CF-O-002 spending
3. MK-CF-F-191 ym → MK-CF-F-151 actualSpending → MK-CF-O-002 spending
4. MK-ST-F-056 has → MK-CF-F-150 debtPaymentsCountedAsExpenses → MK-CF-O-002 spending
5. MK-CF-F-191 ym → MK-CF-F-148 inMonth → MK-CF-F-150 debtPaymentsCountedAsExpenses → MK-CF-O-002 spending
6. MK-CF-F-021 defaultPaymentType → MK-CF-F-022 paymentShape → MK-CF-F-150 debtPaymentsCountedAsExpenses → MK-CF-O-002 spending
7. MK-XS-F-122 n → MK-ST-F-052 toNum → MK-CF-F-150 debtPaymentsCountedAsExpenses → MK-CF-O-002 spending
8. MK-CF-F-191 ym → MK-CF-F-150 debtPaymentsCountedAsExpenses → MK-CF-O-002 spending
9. … and 5 more paths</t>
        </is>
      </c>
      <c r="S193" s="3" t="inlineStr">
        <is>
          <t>—</t>
        </is>
      </c>
      <c r="T193" s="3" t="inlineStr">
        <is>
          <t>—</t>
        </is>
      </c>
      <c r="U193" s="3" t="inlineStr">
        <is>
          <t>ACTIVE</t>
        </is>
      </c>
      <c r="V193" s="3" t="inlineStr">
        <is>
          <t>2026-09-12</t>
        </is>
      </c>
      <c r="Y193" s="7" t="inlineStr">
        <is>
          <t>CODED, NOT TESTED (Cash-flow worked example)</t>
        </is>
      </c>
    </row>
    <row r="194">
      <c r="A194" s="3" t="inlineStr">
        <is>
          <t>MK-CF-O-003</t>
        </is>
      </c>
      <c r="B194" s="3" t="inlineStr">
        <is>
          <t>thisMonth</t>
        </is>
      </c>
      <c r="C194" s="3" t="inlineStr">
        <is>
          <t>MoneyKeel/functions/cashflow/this-month.ts</t>
        </is>
      </c>
      <c r="D194" s="3" t="n">
        <v>417</v>
      </c>
      <c r="E194" s="3" t="inlineStr">
        <is>
          <t>3 · DEPENDENT (feeds an action only)</t>
        </is>
      </c>
      <c r="F194" s="3" t="inlineStr">
        <is>
          <t>NOT DETERMINED — the code carries no note saying what this is for, and it has no row in the old inventory. Needs reading.</t>
        </is>
      </c>
      <c r="G194" s="13" t="inlineStr">
        <is>
          <t>planned = planned month flow(m)
actual = actual month flow(m)</t>
        </is>
      </c>
      <c r="H194" s="3" t="inlineStr">
        <is>
          <t>planned = planned month flow(m); actual = actual month flow(m).</t>
        </is>
      </c>
      <c r="I194" s="3" t="inlineStr">
        <is>
          <t>READ FROM THE CODE — rendered from the expressions the function runs</t>
        </is>
      </c>
      <c r="J194" s="3" t="inlineStr">
        <is>
          <t>m: MonthInput</t>
        </is>
      </c>
      <c r="K194" s="3" t="inlineStr">
        <is>
          <t>ThisMonth</t>
        </is>
      </c>
      <c r="L194" s="3" t="inlineStr">
        <is>
          <t>—</t>
        </is>
      </c>
      <c r="M194" s="3" t="inlineStr">
        <is>
          <t>None found in this function — anything it assumes comes from the functions it depends on.</t>
        </is>
      </c>
      <c r="N194" s="3" t="inlineStr">
        <is>
          <t>No</t>
        </is>
      </c>
      <c r="O194" s="3" t="inlineStr">
        <is>
          <t>1. MK-CF-F-005 actualMonthFlow
2. MK-CF-F-156 plannedMonthFlow</t>
        </is>
      </c>
      <c r="P194" s="3" t="n">
        <v>66</v>
      </c>
      <c r="Q194" s="3" t="inlineStr">
        <is>
          <t>1. MK-CF-F-005 actualMonthFlow
2. MK-CF-F-156 plannedMonthFlow
3. MK-CF-F-155 cash
4. MK-CF-F-157 debtPaymentsByDebt
5. MK-CF-F-148 inMonth
6. MK-CF-F-192 inflowLabel
7. MK-CF-F-023 requiredPayment
8. MK-XS-F-027 takeHomeMonthly
9. MK-ST-F-052 toNum
10. MK-CF-F-191 ym
11. MK-XS-F-122 n
12. MK-XS-F-180 declareFigures
13. MK-CF-F-132 map
14. MK-CF-F-193 inflowSourceWord
15. MK-CF-F-022 paymentShape
16. MK-CF-F-092 incomeMonthlyGrid
17. MK-CF-F-011 savingsByMonth
18. MK-CF-F-021 defaultPaymentType
19. MK-CF-F-069 benefitActiveMonths
20. MK-CF-F-072 currentRetirementIncomeMonthly
21. MK-CF-F-065 equityVestWeights
22. MK-CF-F-071 extraIncome
23. MK-ST-F-056 has
24. MK-CF-F-087 monthlyTaxRates
25. MK-CF-F-073 otherIncomeMonth
26. MK-CF-F-181 rateInForce
27. MK-CF-F-068 rentalNetAnnual
28. MK-CF-F-066 rsuAnnual
29. MK-CF-F-060 salaryGrossByMonth
30. MK-CF-F-077 scholarshipByCalendarMonth
31. MK-CF-F-088 taxableByCalendarMonth
32. MK-PL-F-012 waterfall
33. MK-CF-F-008 spendByMonth
34. MK-CF-F-075 retirementIncomeMonthly
35. MK-CF-F-062 equityRowValue
36. MK-CF-F-070 benefitAnnual
37. MK-ST-F-039 on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MK-CF-F-067 rentalList
49. MK-CF-F-063 rowVestYear
50. MK-CF-F-176 sumMonthsOverEarners
51. MK-CF-F-177 wageGrossByMonth
52. MK-CF-F-120 pctBaseMonthly
53. MK-CF-F-004 spendBuckets
54. MK-CF-F-101 taxOwedFor
55. MK-CF-F-100 taxableIncomeFor
56. MK-CF-F-172 hasWage
57. MK-CF-F-074 tipsAnnual
58. MK-CF-F-130 enteredMonthlyRaw
59. MK-CF-F-166 hasMonthlySalaryTable
60. MK-ST-F-036 reconcile
61. MK-CF-F-167 salaryCalendarYear
62. MK-CF-F-003 categoryMonthly
63. MK-CF-F-099 deductionFor
64. MK-CF-F-081 salaryActiveMonths
65. MK-CF-F-165 salaryMonths
66. MK-CF-F-187 seniorDeductionFor</t>
        </is>
      </c>
      <c r="R194" s="3" t="inlineStr">
        <is>
          <t>1. MK-XS-F-122 n → MK-CF-F-155 cash → MK-CF-F-005 actualMonthFlow → MK-CF-O-003 thisMonth
2. MK-XS-F-180 declareFigures → MK-CF-F-157 debtPaymentsByDebt → MK-CF-F-005 actualMonthFlow → MK-CF-O-003 thisMonth
3. MK-CF-F-191 ym → MK-CF-F-148 inMonth → MK-CF-F-157 debtPaymentsByDebt → MK-CF-F-005 actualMonthFlow → MK-CF-O-003 thisMonth
4. MK-CF-F-132 map → MK-CF-F-157 debtPaymentsByDebt → MK-CF-F-005 actualMonthFlow → MK-CF-O-003 thisMonth
5. MK-XS-F-122 n → MK-ST-F-052 toNum → MK-CF-F-157 debtPaymentsByDebt → MK-CF-F-005 actualMonthFlow → MK-CF-O-003 thisMonth
6. MK-CF-F-191 ym → MK-CF-F-157 debtPaymentsByDebt → MK-CF-F-005 actualMonthFlow → MK-CF-O-003 thisMonth
7. MK-CF-F-191 ym → MK-CF-F-148 inMonth → MK-CF-F-005 actualMonthFlow → MK-CF-O-003 thisMonth
8. MK-CF-F-193 inflowSourceWord → MK-CF-F-192 inflowLabel → MK-CF-F-005 actualMonthFlow → MK-CF-O-003 thisMonth
9. … and 5 more paths</t>
        </is>
      </c>
      <c r="S194" s="3" t="inlineStr">
        <is>
          <t>MK-CF-M-047 · MK-CF-M-048 · MK-CF-M-049 · MK-CF-M-050 · MK-CF-M-051 · MK-CF-M-052 · MK-CF-M-053 · MK-CF-M-054</t>
        </is>
      </c>
      <c r="T194" s="3" t="inlineStr">
        <is>
          <t>—</t>
        </is>
      </c>
      <c r="U194" s="3" t="inlineStr">
        <is>
          <t>ACTIVE</t>
        </is>
      </c>
      <c r="V194" s="3" t="inlineStr">
        <is>
          <t>2026-08-27</t>
        </is>
      </c>
      <c r="Y194" s="7" t="inlineStr">
        <is>
          <t>CODED, NOT TESTED (Cash-flow worked example)</t>
        </is>
      </c>
    </row>
    <row r="195">
      <c r="A195" s="3" t="inlineStr">
        <is>
          <t>MK-CF-O-004</t>
        </is>
      </c>
      <c r="B195" s="3" t="inlineStr">
        <is>
          <t>incomeSummary</t>
        </is>
      </c>
      <c r="C195" s="3" t="inlineStr">
        <is>
          <t>MoneyKeel/functions/cashflow/income-summary.ts</t>
        </is>
      </c>
      <c r="D195" s="3" t="n">
        <v>150</v>
      </c>
      <c r="E195" s="3" t="inlineStr">
        <is>
          <t>2 · DISPLAYED</t>
        </is>
      </c>
      <c r="F195" s="3" t="inlineStr">
        <is>
          <t>── ORCHESTRATOR ──────────────────────────────────────────────────────────────────────────── WHAT IS THIS HOUSEHOLD'S INCOME?</t>
        </is>
      </c>
      <c r="G195" s="13"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195"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195" s="3" t="inlineStr">
        <is>
          <t>PARTLY READ — some of the code is still showing through; needs a hand pass</t>
        </is>
      </c>
      <c r="J195" s="3" t="inlineStr">
        <is>
          <t>op: Record&lt;string, any&gt; | null</t>
        </is>
      </c>
      <c r="K195" s="3" t="inlineStr">
        <is>
          <t>IncomeSummary</t>
        </is>
      </c>
      <c r="L195" s="3" t="inlineStr">
        <is>
          <t>1. "Add your income ›" — on the income summary screen
2. "Federal tax bracket" — on the income summary screen
3. "Take-home each month" — on the income summary screen
4. "What it is taxed on" — on the income summary screen</t>
        </is>
      </c>
      <c r="M195" s="3" t="inlineStr">
        <is>
          <t>None found in this function — anything it assumes comes from the functions it depends on.</t>
        </is>
      </c>
      <c r="N195" s="3" t="inlineStr">
        <is>
          <t>Yes</t>
        </is>
      </c>
      <c r="O195"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195" s="3" t="n">
        <v>71</v>
      </c>
      <c r="Q195"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MK-ST-F-053 money
18. MK-HM-F-006 money0
19. MK-XS-F-122 n
20. MK-CF-F-198 payrollTaxWithheld
21. MK-CF-F-172 hasWage
22. MK-CF-F-165 salaryMonths
23. MK-CF-F-070 benefitAnnual
24. MK-ST-F-039 on
25. MK-CF-F-069 benefitActiveMonths
26. MK-CF-F-072 currentRetirementIncomeMonthly
27. MK-CF-F-065 equityVestWeights
28. MK-ST-F-056 has
29. MK-CF-F-087 monthlyTaxRates
30. MK-CF-F-073 otherIncomeMonth
31. MK-CF-F-066 rsuAnnual
32. MK-CF-F-060 salaryGrossByMonth
33. MK-CF-F-077 scholarshipByCalendarMonth
34. MK-CF-F-088 taxableByCalendarMonth
35. MK-PL-F-012 waterfall
36. MK-CF-F-100 taxableIncomeFor
37. MK-CF-F-102 effectiveRateOnGrossFor
38. MK-CF-F-180 enteredLandsAnnual
39. MK-CF-F-086 stateRateOf
40. MK-CF-F-067 rentalList
41. MK-CF-F-074 tipsAnnual
42. MK-ST-F-034 firstDate
43. MK-CF-F-143 annualisedGross
44. MK-XS-F-180 declareFigures
45. MK-CF-F-145 deductionsFromPay
46. MK-CF-F-128 grossByMonth
47. MK-CF-F-146 payFiguresAgree
48. MK-CF-F-144 takeHomeAsEntered
49. MK-ST-F-049 formatMoney
50. MK-CF-F-155 cash
51. MK-HM-F-005 pctTxt
52. MK-CF-F-075 retirementIncomeMonthly
53. MK-CF-F-062 equityRowValue
54. MK-CF-F-090 effectiveRate
55. MK-CF-F-098 progressiveMonthlyTax
56. MK-CF-F-063 rowVestYear
57. MK-CF-F-176 sumMonthsOverEarners
58. MK-CF-F-177 wageGrossByMonth
59. MK-CF-F-099 deductionFor
60. MK-CF-F-101 taxOwedFor
61. MK-CF-F-081 salaryActiveMonths
62. MK-CF-F-142 monthsOf
63. MK-CF-F-141 perMonth
64. MK-ST-F-048 currencySymbol
65. MK-CF-F-130 enteredMonthlyRaw
66. MK-CF-F-166 hasMonthlySalaryTable
67. MK-ST-F-036 reconcile
68. MK-CF-F-167 salaryCalendarYear
69. MK-CF-F-187 seniorDeductionFor
70. MK-CF-F-140 periodsAYear
71. MK-ST-F-047 activeCurrency</t>
        </is>
      </c>
      <c r="R195"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MK-XS-F-180 declareFigures → MK-CF-F-171 earnerPay → MK-CF-O-001 basePay → MK-CF-O-004 incomeSummary
5. MK-CF-F-128 grossByMonth → MK-CF-F-143 annualisedGross → MK-CF-F-145 deductionsFromPay → MK-CF-F-171 earnerPay → MK-CF-O-001 basePay → MK-CF-O-004 incomeSummary
6. MK-CF-F-143 annualisedGross → MK-CF-F-144 takeHomeAsEntered → MK-CF-F-145 deductionsFromPay → MK-CF-F-171 earnerPay → MK-CF-O-001 basePay → MK-CF-O-004 incomeSummary
7. MK-CF-F-142 monthsOf → MK-CF-F-144 takeHomeAsEntered → MK-CF-F-145 deductionsFromPay → MK-CF-F-171 earnerPay → MK-CF-O-001 basePay → MK-CF-O-004 incomeSummary
8. MK-ST-F-039 on → MK-CF-F-144 takeHomeAsEntered → MK-CF-F-145 deductionsFromPay → MK-CF-F-171 earnerPay → MK-CF-O-001 basePay → MK-CF-O-004 incomeSummary
9. … and 5 more paths</t>
        </is>
      </c>
      <c r="S195" s="3" t="inlineStr">
        <is>
          <t>MK-CF-M-006 · MK-CF-M-007 · MK-CF-M-008 · MK-CF-M-027 · MK-CF-M-037 · MK-CF-M-038 · MK-CF-M-039 · MK-CF-M-040 · MK-CF-M-041 · MK-CF-M-042 · MK-CF-M-043 · MK-CF-M-044 · MK-MN-M-011 · MK-MN-M-012 · MK-MN-M-013</t>
        </is>
      </c>
      <c r="T195" s="3" t="inlineStr">
        <is>
          <t>—</t>
        </is>
      </c>
      <c r="U195" s="3" t="inlineStr">
        <is>
          <t>ACTIVE</t>
        </is>
      </c>
      <c r="V195" s="3" t="inlineStr">
        <is>
          <t>2026-09-09</t>
        </is>
      </c>
      <c r="Y195" s="3" t="inlineStr">
        <is>
          <t>NOTHING OPEN</t>
        </is>
      </c>
    </row>
    <row r="196">
      <c r="A196" s="3" t="inlineStr">
        <is>
          <t>MK-HM-F-001</t>
        </is>
      </c>
      <c r="B196" s="3" t="inlineStr">
        <is>
          <t>buildInsights</t>
        </is>
      </c>
      <c r="C196" s="3" t="inlineStr">
        <is>
          <t>src/domain/insights/index.ts</t>
        </is>
      </c>
      <c r="D196" s="3" t="n">
        <v>164</v>
      </c>
      <c r="E196" s="3" t="inlineStr">
        <is>
          <t>2 · DISPLAYED</t>
        </is>
      </c>
      <c r="F196" s="3" t="inlineStr">
        <is>
          <t>Ranked insights (highest priority first).</t>
        </is>
      </c>
      <c r="G196" s="13" t="inlineStr">
        <is>
          <t>the first limit of out   if limit ≠ nothing
out   otherwise</t>
        </is>
      </c>
      <c r="H196" s="3" t="inlineStr">
        <is>
          <t>the first limit of out — when limit is not no answer; out — otherwise.</t>
        </is>
      </c>
      <c r="I196" s="3" t="inlineStr">
        <is>
          <t>READ FROM THE CODE — rendered from the expressions the function runs</t>
        </is>
      </c>
      <c r="J196" s="3" t="inlineStr">
        <is>
          <t>1. input: InsightInput
2. limit?: number</t>
        </is>
      </c>
      <c r="K196" s="3" t="inlineStr">
        <is>
          <t>Insight[]</t>
        </is>
      </c>
      <c r="L196" s="3" t="inlineStr">
        <is>
          <t>NOT FOUND — a screen calls it, but the words printed beside its answer could not be traced automatically. Needs reading.</t>
        </is>
      </c>
      <c r="M196" s="3" t="inlineStr">
        <is>
          <t>None found in this function — anything it assumes comes from the functions it depends on.</t>
        </is>
      </c>
      <c r="N196" s="3" t="inlineStr">
        <is>
          <t>Yes</t>
        </is>
      </c>
      <c r="O196" s="3" t="inlineStr">
        <is>
          <t>MK-CF-F-132 map</t>
        </is>
      </c>
      <c r="P196" s="3" t="n">
        <v>1</v>
      </c>
      <c r="Q196" s="3" t="inlineStr">
        <is>
          <t>MK-CF-F-132 map</t>
        </is>
      </c>
      <c r="R196" s="3" t="inlineStr">
        <is>
          <t>MK-CF-F-132 map → MK-HM-F-001 buildInsights</t>
        </is>
      </c>
      <c r="S196" s="3" t="inlineStr">
        <is>
          <t>—</t>
        </is>
      </c>
      <c r="T196" s="3" t="inlineStr">
        <is>
          <t>—</t>
        </is>
      </c>
      <c r="U196" s="3" t="inlineStr">
        <is>
          <t>ACTIVE</t>
        </is>
      </c>
      <c r="V196" s="3" t="inlineStr">
        <is>
          <t>2026-08-27</t>
        </is>
      </c>
      <c r="Y196" s="3" t="inlineStr">
        <is>
          <t>NOTHING OPEN</t>
        </is>
      </c>
    </row>
    <row r="197">
      <c r="A197" s="3" t="inlineStr">
        <is>
          <t>MK-HM-F-002</t>
        </is>
      </c>
      <c r="B197" s="3" t="inlineStr">
        <is>
          <t>milestoneLabel</t>
        </is>
      </c>
      <c r="C197" s="3" t="inlineStr">
        <is>
          <t>src/domain/milestones.ts</t>
        </is>
      </c>
      <c r="D197" s="3" t="n">
        <v>34</v>
      </c>
      <c r="E197" s="3" t="inlineStr">
        <is>
          <t>2 · DISPLAYED</t>
        </is>
      </c>
      <c r="F197" s="3" t="inlineStr">
        <is>
          <t>'$500k' / '$1M' — the label the celebration line uses.</t>
        </is>
      </c>
      <c r="G197" s="13" t="inlineStr">
        <is>
          <t>m = threshold ÷ 1000000
the answer = `$${number.is integer(m) ? m : to fixed(1)}M`</t>
        </is>
      </c>
      <c r="H197" s="3" t="inlineStr">
        <is>
          <t>M is threshold divided by 1000000. The answer is `$${number.is integer(m) ? m : to fixed(1)}M`.</t>
        </is>
      </c>
      <c r="I197" s="3" t="inlineStr">
        <is>
          <t>PARTLY READ — some of the code is still showing through; needs a hand pass</t>
        </is>
      </c>
      <c r="J197" s="3" t="inlineStr">
        <is>
          <t>threshold: number</t>
        </is>
      </c>
      <c r="K197" s="3" t="inlineStr">
        <is>
          <t>string</t>
        </is>
      </c>
      <c r="L197" s="3" t="inlineStr">
        <is>
          <t>NOT FOUND — a screen calls it, but the words printed beside its answer could not be traced automatically. Needs reading.</t>
        </is>
      </c>
      <c r="M197" s="3" t="inlineStr">
        <is>
          <t>1. Rounds the answer to a whole number.
2. Shows 1 decimal place.</t>
        </is>
      </c>
      <c r="N197" s="3" t="inlineStr">
        <is>
          <t>Yes</t>
        </is>
      </c>
      <c r="O197" s="3" t="inlineStr">
        <is>
          <t>—</t>
        </is>
      </c>
      <c r="P197" s="3" t="n">
        <v>0</v>
      </c>
      <c r="Q197" s="3" t="inlineStr">
        <is>
          <t>None — no dependent function stands behind it</t>
        </is>
      </c>
      <c r="R197" s="3" t="inlineStr">
        <is>
          <t>No dependent function — it reads its inputs and answers</t>
        </is>
      </c>
      <c r="S197" s="3" t="inlineStr">
        <is>
          <t>—</t>
        </is>
      </c>
      <c r="T197" s="3" t="inlineStr">
        <is>
          <t>—</t>
        </is>
      </c>
      <c r="U197" s="3" t="inlineStr">
        <is>
          <t>ACTIVE</t>
        </is>
      </c>
      <c r="V197" s="3" t="inlineStr">
        <is>
          <t>2026-08-27</t>
        </is>
      </c>
      <c r="Y197" s="3" t="inlineStr">
        <is>
          <t>NOTHING OPEN</t>
        </is>
      </c>
    </row>
    <row r="198">
      <c r="A198" s="3" t="inlineStr">
        <is>
          <t>MK-HM-F-003</t>
        </is>
      </c>
      <c r="B198" s="3" t="inlineStr">
        <is>
          <t>milestoneFloor</t>
        </is>
      </c>
      <c r="C198" s="3" t="inlineStr">
        <is>
          <t>src/domain/milestones.ts</t>
        </is>
      </c>
      <c r="D198" s="3" t="n">
        <v>65</v>
      </c>
      <c r="E198" s="3" t="inlineStr">
        <is>
          <t>2 · DISPLAYED</t>
        </is>
      </c>
      <c r="F198" s="3" t="inlineStr">
        <is>
          <t>The highest ladder rung at or below `netWorth` (0 when below the first rung).</t>
        </is>
      </c>
      <c r="G198" s="13" t="inlineStr">
        <is>
          <t>floor = 0
the answer = floor</t>
        </is>
      </c>
      <c r="H198" s="3" t="inlineStr">
        <is>
          <t>Floor is 0. The answer is floor.</t>
        </is>
      </c>
      <c r="I198" s="3" t="inlineStr">
        <is>
          <t>READ FROM THE CODE — rendered from the expressions the function runs</t>
        </is>
      </c>
      <c r="J198" s="3" t="inlineStr">
        <is>
          <t>netWorth: number</t>
        </is>
      </c>
      <c r="K198" s="3" t="inlineStr">
        <is>
          <t>number</t>
        </is>
      </c>
      <c r="L198" s="3" t="inlineStr">
        <is>
          <t>NOT FOUND — a screen calls it, but the words printed beside its answer could not be traced automatically. Needs reading.</t>
        </is>
      </c>
      <c r="M198" s="3" t="inlineStr">
        <is>
          <t>· Uses a built-in floor of 0.</t>
        </is>
      </c>
      <c r="N198" s="3" t="inlineStr">
        <is>
          <t>Yes</t>
        </is>
      </c>
      <c r="O198" s="3" t="inlineStr">
        <is>
          <t>—</t>
        </is>
      </c>
      <c r="P198" s="3" t="n">
        <v>0</v>
      </c>
      <c r="Q198" s="3" t="inlineStr">
        <is>
          <t>None — no dependent function stands behind it</t>
        </is>
      </c>
      <c r="R198" s="3" t="inlineStr">
        <is>
          <t>No dependent function — it reads its inputs and answers</t>
        </is>
      </c>
      <c r="S198" s="3" t="inlineStr">
        <is>
          <t>—</t>
        </is>
      </c>
      <c r="T198" s="3" t="inlineStr">
        <is>
          <t>—</t>
        </is>
      </c>
      <c r="U198" s="3" t="inlineStr">
        <is>
          <t>ACTIVE</t>
        </is>
      </c>
      <c r="V198" s="3" t="inlineStr">
        <is>
          <t>2026-08-27</t>
        </is>
      </c>
      <c r="Y198" s="3" t="inlineStr">
        <is>
          <t>NOTHING OPEN</t>
        </is>
      </c>
    </row>
    <row r="199">
      <c r="A199" s="3" t="inlineStr">
        <is>
          <t>MK-HM-F-004</t>
        </is>
      </c>
      <c r="B199" s="3" t="inlineStr">
        <is>
          <t>milestoneCrossed</t>
        </is>
      </c>
      <c r="C199" s="3" t="inlineStr">
        <is>
          <t>src/domain/milestones.ts</t>
        </is>
      </c>
      <c r="D199" s="3" t="n">
        <v>95</v>
      </c>
      <c r="E199" s="3" t="inlineStr">
        <is>
          <t>2 · DISPLAYED</t>
        </is>
      </c>
      <c r="F199" s="3" t="inlineStr">
        <is>
          <t>The one decision rule.</t>
        </is>
      </c>
      <c r="G199" s="13" t="inlineStr">
        <is>
          <t>nothing   when high seen = nothing
floor = milestone floor(net worth)
the answer:
floor   if floor &gt; high seen
nothing   otherwise</t>
        </is>
      </c>
      <c r="H199" s="3" t="inlineStr">
        <is>
          <t>When high seen is missing, it answers no answer. Floor is milestone floor(net worth). The answer is floor — when floor &gt; high seen; no answer — otherwise.</t>
        </is>
      </c>
      <c r="I199" s="3" t="inlineStr">
        <is>
          <t>READ FROM THE CODE — rendered from the expressions the function runs</t>
        </is>
      </c>
      <c r="J199" s="3" t="inlineStr">
        <is>
          <t>1. netWorth: number
2. highSeen: number | null</t>
        </is>
      </c>
      <c r="K199" s="3" t="inlineStr">
        <is>
          <t>number | null</t>
        </is>
      </c>
      <c r="L199" s="3" t="inlineStr">
        <is>
          <t>NOT FOUND — a screen calls it, but the words printed beside its answer could not be traced automatically. Needs reading.</t>
        </is>
      </c>
      <c r="M199" s="3" t="inlineStr">
        <is>
          <t>None found in this function — anything it assumes comes from the functions it depends on.</t>
        </is>
      </c>
      <c r="N199" s="3" t="inlineStr">
        <is>
          <t>Yes</t>
        </is>
      </c>
      <c r="O199" s="3" t="inlineStr">
        <is>
          <t>MK-HM-F-003 milestoneFloor</t>
        </is>
      </c>
      <c r="P199" s="3" t="n">
        <v>1</v>
      </c>
      <c r="Q199" s="3" t="inlineStr">
        <is>
          <t>MK-HM-F-003 milestoneFloor</t>
        </is>
      </c>
      <c r="R199" s="3" t="inlineStr">
        <is>
          <t>MK-HM-F-003 milestoneFloor → MK-HM-F-004 milestoneCrossed</t>
        </is>
      </c>
      <c r="S199" s="3" t="inlineStr">
        <is>
          <t>MK-HM-M-002</t>
        </is>
      </c>
      <c r="T199" s="3" t="inlineStr">
        <is>
          <t>—</t>
        </is>
      </c>
      <c r="U199" s="3" t="inlineStr">
        <is>
          <t>ACTIVE</t>
        </is>
      </c>
      <c r="V199" s="3" t="inlineStr">
        <is>
          <t>2026-08-27</t>
        </is>
      </c>
      <c r="Y199" s="3" t="inlineStr">
        <is>
          <t>NOTHING OPEN</t>
        </is>
      </c>
    </row>
    <row r="200">
      <c r="A200" s="3" t="inlineStr">
        <is>
          <t>MK-HM-F-005</t>
        </is>
      </c>
      <c r="B200" s="3" t="inlineStr">
        <is>
          <t>pctTxt</t>
        </is>
      </c>
      <c r="C200" s="3" t="inlineStr">
        <is>
          <t>src/domain/insights/index.ts</t>
        </is>
      </c>
      <c r="D200" s="3" t="n">
        <v>61</v>
      </c>
      <c r="E200" s="3" t="inlineStr">
        <is>
          <t>1 · ACTION</t>
        </is>
      </c>
      <c r="F200" s="3" t="inlineStr">
        <is>
          <t>NOT DETERMINED — the code carries no note saying what this is for, and it has no row in the old inventory. Needs reading.</t>
        </is>
      </c>
      <c r="G200" s="13" t="inlineStr">
        <is>
          <t>the answer = round(d × 100) followed by '%'</t>
        </is>
      </c>
      <c r="H200" s="3" t="inlineStr">
        <is>
          <t>A share written as a whole percent — 0.234 becomes 23%. Display only.</t>
        </is>
      </c>
      <c r="I200" s="3" t="inlineStr">
        <is>
          <t>READ BY HAND 2026-08-26 — checked line by line against the code</t>
        </is>
      </c>
      <c r="J200" s="3" t="inlineStr">
        <is>
          <t>d: number</t>
        </is>
      </c>
      <c r="K200" s="3" t="inlineStr">
        <is>
          <t>NOT DECLARED — the code does not say what it gives back</t>
        </is>
      </c>
      <c r="L200" s="3" t="inlineStr">
        <is>
          <t>—</t>
        </is>
      </c>
      <c r="M200" s="3" t="inlineStr">
        <is>
          <t>· Rounds the answer to a whole number.</t>
        </is>
      </c>
      <c r="N200" s="3" t="inlineStr">
        <is>
          <t>Yes</t>
        </is>
      </c>
      <c r="O200" s="3" t="inlineStr">
        <is>
          <t>—</t>
        </is>
      </c>
      <c r="P200" s="3" t="n">
        <v>0</v>
      </c>
      <c r="Q200" s="3" t="inlineStr">
        <is>
          <t>None — no dependent function stands behind it</t>
        </is>
      </c>
      <c r="R200" s="3" t="inlineStr">
        <is>
          <t>No dependent function — it reads its inputs and answers</t>
        </is>
      </c>
      <c r="S200" s="3" t="inlineStr">
        <is>
          <t>—</t>
        </is>
      </c>
      <c r="T200" s="3" t="inlineStr">
        <is>
          <t>—</t>
        </is>
      </c>
      <c r="U200" s="3" t="inlineStr">
        <is>
          <t>ACTIVE</t>
        </is>
      </c>
      <c r="V200" s="3" t="inlineStr">
        <is>
          <t>2026-09-12</t>
        </is>
      </c>
      <c r="Y200" s="3" t="inlineStr">
        <is>
          <t>NOTHING OPEN</t>
        </is>
      </c>
    </row>
    <row r="201">
      <c r="A201" s="3" t="inlineStr">
        <is>
          <t>MK-HM-F-006</t>
        </is>
      </c>
      <c r="B201" s="3" t="inlineStr">
        <is>
          <t>money0</t>
        </is>
      </c>
      <c r="C201" s="3" t="inlineStr">
        <is>
          <t>src/domain/insights/index.ts</t>
        </is>
      </c>
      <c r="D201" s="3" t="n">
        <v>86</v>
      </c>
      <c r="E201" s="3" t="inlineStr">
        <is>
          <t>3 · DEPENDENT</t>
        </is>
      </c>
      <c r="F201" s="3" t="inlineStr">
        <is>
          <t>NOT DETERMINED — the code carries no note saying what this is for, and it has no row in the old inventory. Needs reading.</t>
        </is>
      </c>
      <c r="G201" s="13" t="inlineStr">
        <is>
          <t>the answer = '$' + round(n) with thousands separators</t>
        </is>
      </c>
      <c r="H201" s="3" t="inlineStr">
        <is>
          <t>A dollar amount to the whole dollar with thousands separators, for the insight sentences. Display only.</t>
        </is>
      </c>
      <c r="I201" s="3" t="inlineStr">
        <is>
          <t>READ BY HAND 2026-08-26 — checked line by line against the code</t>
        </is>
      </c>
      <c r="J201" s="3" t="inlineStr">
        <is>
          <t>n: number</t>
        </is>
      </c>
      <c r="K201" s="3" t="inlineStr">
        <is>
          <t>NOT DECLARED — the code does not say what it gives back</t>
        </is>
      </c>
      <c r="L201" s="3" t="inlineStr">
        <is>
          <t>—</t>
        </is>
      </c>
      <c r="M201" s="3" t="inlineStr">
        <is>
          <t>1. Rounds the answer to a whole number.
2. Shows 1 decimal place.</t>
        </is>
      </c>
      <c r="N201" s="3" t="inlineStr">
        <is>
          <t>Yes</t>
        </is>
      </c>
      <c r="O201" s="3" t="inlineStr">
        <is>
          <t>1. MK-CF-F-155 cash
2. MK-XS-F-122 n
3. MK-HM-F-005 pctTxt</t>
        </is>
      </c>
      <c r="P201" s="3" t="n">
        <v>3</v>
      </c>
      <c r="Q201" s="3" t="inlineStr">
        <is>
          <t>1. MK-CF-F-155 cash
2. MK-XS-F-122 n
3. MK-HM-F-005 pctTxt</t>
        </is>
      </c>
      <c r="R201" s="3" t="inlineStr">
        <is>
          <t>1. MK-XS-F-122 n → MK-CF-F-155 cash → MK-HM-F-006 money0
2. MK-XS-F-122 n → MK-HM-F-006 money0
3. MK-HM-F-005 pctTxt → MK-HM-F-006 money0</t>
        </is>
      </c>
      <c r="S201" s="3" t="inlineStr">
        <is>
          <t>—</t>
        </is>
      </c>
      <c r="T201" s="3" t="inlineStr">
        <is>
          <t>—</t>
        </is>
      </c>
      <c r="U201" s="3" t="inlineStr">
        <is>
          <t>ACTIVE</t>
        </is>
      </c>
      <c r="V201" s="3" t="inlineStr">
        <is>
          <t>2026-09-12</t>
        </is>
      </c>
      <c r="Y201" s="3" t="inlineStr">
        <is>
          <t>NOTHING OPEN</t>
        </is>
      </c>
    </row>
    <row r="202">
      <c r="A202" s="3" t="inlineStr">
        <is>
          <t>MK-NW-F-001</t>
        </is>
      </c>
      <c r="B202" s="3" t="inlineStr">
        <is>
          <t>isAlternative</t>
        </is>
      </c>
      <c r="C202" s="3" t="inlineStr">
        <is>
          <t>src/domain/alternatives/index.ts</t>
        </is>
      </c>
      <c r="D202" s="3" t="n">
        <v>35</v>
      </c>
      <c r="E202" s="3" t="inlineStr">
        <is>
          <t>2 · DISPLAYED</t>
        </is>
      </c>
      <c r="F202" s="3" t="inlineStr">
        <is>
          <t>Is this account an "other investment" — an alternative held at a manual value (not a bond, not cash/property)?</t>
        </is>
      </c>
      <c r="G202" s="13" t="inlineStr">
        <is>
          <t>ALT_KINDS.includes((kind ?? '') as alt kind) and !maturity date and tax bucket ! = 'PROPERTY'</t>
        </is>
      </c>
      <c r="H202" s="3" t="inlineStr">
        <is>
          <t>ALT_KINDS.includes((kind ?? '') as alt kind) and !maturity date and tax bucket ! = 'PROPERTY'.</t>
        </is>
      </c>
      <c r="I202" s="3" t="inlineStr">
        <is>
          <t>PARTLY READ — some of the code is still showing through; needs a hand pass</t>
        </is>
      </c>
      <c r="J202" s="3" t="inlineStr">
        <is>
          <t>a: AssetAccount</t>
        </is>
      </c>
      <c r="K202" s="3" t="inlineStr">
        <is>
          <t>boolean</t>
        </is>
      </c>
      <c r="L202" s="3" t="inlineStr">
        <is>
          <t>NOT FOUND — a screen calls it, but the words printed beside its answer could not be traced automatically. Needs reading.</t>
        </is>
      </c>
      <c r="M202" s="3" t="inlineStr">
        <is>
          <t>None found in this function — anything it assumes comes from the functions it depends on.</t>
        </is>
      </c>
      <c r="N202" s="3" t="inlineStr">
        <is>
          <t>Yes</t>
        </is>
      </c>
      <c r="O202" s="3" t="inlineStr">
        <is>
          <t>—</t>
        </is>
      </c>
      <c r="P202" s="3" t="n">
        <v>0</v>
      </c>
      <c r="Q202" s="3" t="inlineStr">
        <is>
          <t>None — no dependent function stands behind it</t>
        </is>
      </c>
      <c r="R202" s="3" t="inlineStr">
        <is>
          <t>No dependent function — it reads its inputs and answers</t>
        </is>
      </c>
      <c r="S202" s="3" t="inlineStr">
        <is>
          <t>—</t>
        </is>
      </c>
      <c r="T202" s="3" t="inlineStr">
        <is>
          <t>IS_ALTERNATIVE</t>
        </is>
      </c>
      <c r="U202" s="3" t="inlineStr">
        <is>
          <t>ACTIVE</t>
        </is>
      </c>
      <c r="V202" s="3" t="inlineStr">
        <is>
          <t>2026-08-27</t>
        </is>
      </c>
      <c r="Y202" s="3" t="inlineStr">
        <is>
          <t>NOTHING OPEN</t>
        </is>
      </c>
    </row>
    <row r="203">
      <c r="A203" s="3" t="inlineStr">
        <is>
          <t>MK-NW-F-002</t>
        </is>
      </c>
      <c r="B203" s="3" t="inlineStr">
        <is>
          <t>alternativesSummary</t>
        </is>
      </c>
      <c r="C203" s="3" t="inlineStr">
        <is>
          <t>src/domain/alternatives/index.ts</t>
        </is>
      </c>
      <c r="D203" s="3" t="n">
        <v>62</v>
      </c>
      <c r="E203" s="3" t="inlineStr">
        <is>
          <t>2 · DISPLAYED</t>
        </is>
      </c>
      <c r="F203" s="3" t="inlineStr">
        <is>
          <t>NOT DETERMINED — the code carries no note saying what this is for, and it has no row in the old inventory. Needs reading.</t>
        </is>
      </c>
      <c r="G203" s="13" t="inlineStr">
        <is>
          <t>alts = accounts (or none when missing) where is alternative
total = Σ over alts of (balance (or 0 when missing or zero))
weighted = Σ over total &gt; 0 ? alts of ((balance or 0) × benchmark return(kind))÷ total : 0</t>
        </is>
      </c>
      <c r="H203" s="3" t="inlineStr">
        <is>
          <t>Alts is accounts (or none — when missing) where is alternative. Total: the balance (or 0 — when missing or zero) added up across alts. Weighted: the (balance or 0 added up across total &gt; 0 ? alts times benchmark return(kind))÷ total : 0.</t>
        </is>
      </c>
      <c r="I203" s="3" t="inlineStr">
        <is>
          <t>READ FROM THE CODE — rendered from the expressions the function runs</t>
        </is>
      </c>
      <c r="J203" s="3" t="inlineStr">
        <is>
          <t>accounts: AssetAccount[]</t>
        </is>
      </c>
      <c r="K203" s="3" t="inlineStr">
        <is>
          <t>AltSummary</t>
        </is>
      </c>
      <c r="L203" s="3" t="inlineStr">
        <is>
          <t>1. "EST. GROWTH / YR" — on the Other investments screen, under "ALTERNATIVES"
2. "EXP. RETURN" — on the Other investments screen, under "ALTERNATIVES"</t>
        </is>
      </c>
      <c r="M203" s="3" t="inlineStr">
        <is>
          <t>· If balance is missing it counts as zero, so nothing recorded and a real zero look the same.</t>
        </is>
      </c>
      <c r="N203" s="3" t="inlineStr">
        <is>
          <t>Yes</t>
        </is>
      </c>
      <c r="O203" s="3" t="inlineStr">
        <is>
          <t>1. MK-NW-F-034 benchmarkReturn
2. MK-NW-F-001 isAlternative</t>
        </is>
      </c>
      <c r="P203" s="3" t="n">
        <v>14</v>
      </c>
      <c r="Q203"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03"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03" s="3" t="inlineStr">
        <is>
          <t>—</t>
        </is>
      </c>
      <c r="T203" s="3" t="inlineStr">
        <is>
          <t>—</t>
        </is>
      </c>
      <c r="U203" s="3" t="inlineStr">
        <is>
          <t>ACTIVE</t>
        </is>
      </c>
      <c r="V203" s="3" t="inlineStr">
        <is>
          <t>2026-08-27</t>
        </is>
      </c>
      <c r="Y203" s="3" t="inlineStr">
        <is>
          <t>NOTHING OPEN</t>
        </is>
      </c>
    </row>
    <row r="204">
      <c r="A204" s="3" t="inlineStr">
        <is>
          <t>MK-NW-F-003</t>
        </is>
      </c>
      <c r="B204" s="3" t="inlineStr">
        <is>
          <t>valueFreshness</t>
        </is>
      </c>
      <c r="C204" s="3" t="inlineStr">
        <is>
          <t>src/domain/assets/index.ts</t>
        </is>
      </c>
      <c r="D204" s="3" t="n">
        <v>126</v>
      </c>
      <c r="E204" s="3" t="inlineStr">
        <is>
          <t>2 · DISPLAYED</t>
        </is>
      </c>
      <c r="F204" s="3" t="inlineStr">
        <is>
          <t>Manual-value freshness (FCC): how old a hand-entered value is, and whether it needs a nudge.</t>
        </is>
      </c>
      <c r="G204" s="13"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04"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04" s="3" t="inlineStr">
        <is>
          <t>PARTLY READ — some of the code is still showing through; needs a hand pass</t>
        </is>
      </c>
      <c r="J204" s="3" t="inlineStr">
        <is>
          <t>1. a: AssetAccount
2. now: Date = new Date()</t>
        </is>
      </c>
      <c r="K204" s="3" t="inlineStr">
        <is>
          <t>NOT DECLARED — the code does not say what it gives back</t>
        </is>
      </c>
      <c r="L204" s="3" t="inlineStr">
        <is>
          <t>NOT FOUND — a screen calls it, but the words printed beside its answer could not be traced automatically. Needs reading.</t>
        </is>
      </c>
      <c r="M204" s="3" t="inlineStr">
        <is>
          <t>1. Turns a monthly figure into a year by multiplying by twelve.
2. Uses today's date from the device clock, so the answer changes by itself overnight.</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HAND_VALUE_AGE</t>
        </is>
      </c>
      <c r="U204" s="3" t="inlineStr">
        <is>
          <t>ACTIVE</t>
        </is>
      </c>
      <c r="V204" s="3" t="inlineStr">
        <is>
          <t>2026-08-27</t>
        </is>
      </c>
      <c r="Y204" s="3" t="inlineStr">
        <is>
          <t>NOTHING OPEN</t>
        </is>
      </c>
    </row>
    <row r="205">
      <c r="A205" s="3" t="inlineStr">
        <is>
          <t>MK-NW-F-004</t>
        </is>
      </c>
      <c r="B205" s="3" t="inlineStr">
        <is>
          <t>portfolioActualReturn</t>
        </is>
      </c>
      <c r="C205" s="3" t="inlineStr">
        <is>
          <t>src/domain/assets/index.ts</t>
        </is>
      </c>
      <c r="D205" s="3" t="n">
        <v>161</v>
      </c>
      <c r="E205" s="3" t="inlineStr">
        <is>
          <t>2 · DISPLAYED</t>
        </is>
      </c>
      <c r="F205" s="3" t="inlineStr">
        <is>
          <t>Value-weighted ACTUAL trailing-12mo return across holdings that have one reported.</t>
        </is>
      </c>
      <c r="G205" s="13"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05"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05" s="3" t="inlineStr">
        <is>
          <t>READ FROM THE CODE — rendered from the expressions the function runs</t>
        </is>
      </c>
      <c r="J205" s="3" t="inlineStr">
        <is>
          <t>accounts: AssetAccount[]</t>
        </is>
      </c>
      <c r="K205" s="3" t="inlineStr">
        <is>
          <t>number | null</t>
        </is>
      </c>
      <c r="L205" s="3" t="inlineStr">
        <is>
          <t>"Expected return" — on the Retirement cockpit screen, under "scRetired ?"</t>
        </is>
      </c>
      <c r="M205" s="3" t="inlineStr">
        <is>
          <t>None found in this function — anything it assumes comes from the functions it depends on.</t>
        </is>
      </c>
      <c r="N205" s="3" t="inlineStr">
        <is>
          <t>Yes</t>
        </is>
      </c>
      <c r="O205" s="3" t="inlineStr">
        <is>
          <t>1. MK-CF-F-155 cash
2. MK-NW-F-032 earmarkedAmount</t>
        </is>
      </c>
      <c r="P205" s="3" t="n">
        <v>14</v>
      </c>
      <c r="Q205"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05"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05" s="3" t="inlineStr">
        <is>
          <t>—</t>
        </is>
      </c>
      <c r="T205" s="3" t="inlineStr">
        <is>
          <t>REPORTED_RETURN</t>
        </is>
      </c>
      <c r="U205" s="3" t="inlineStr">
        <is>
          <t>ACTIVE</t>
        </is>
      </c>
      <c r="V205" s="3" t="inlineStr">
        <is>
          <t>2026-09-09</t>
        </is>
      </c>
      <c r="Y205" s="3" t="inlineStr">
        <is>
          <t>NOTHING OPEN</t>
        </is>
      </c>
    </row>
    <row r="206">
      <c r="A206" s="3" t="inlineStr">
        <is>
          <t>MK-NW-F-005</t>
        </is>
      </c>
      <c r="B206" s="3" t="inlineStr">
        <is>
          <t>accountAllowsTicker</t>
        </is>
      </c>
      <c r="C206" s="3" t="inlineStr">
        <is>
          <t>src/domain/assets/index.ts</t>
        </is>
      </c>
      <c r="D206" s="3" t="n">
        <v>193</v>
      </c>
      <c r="E206" s="3" t="inlineStr">
        <is>
          <t>2 · DISPLAYED</t>
        </is>
      </c>
      <c r="F206" s="3" t="inlineStr">
        <is>
          <t>Can this account hold individual ticker securities?</t>
        </is>
      </c>
      <c r="G206" s="13"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06"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06" s="3" t="inlineStr">
        <is>
          <t>READ FROM THE CODE — rendered from the expressions the function runs</t>
        </is>
      </c>
      <c r="J206" s="3" t="inlineStr">
        <is>
          <t>a: AssetAccount</t>
        </is>
      </c>
      <c r="K206" s="3" t="inlineStr">
        <is>
          <t>boolean</t>
        </is>
      </c>
      <c r="L206" s="3" t="inlineStr">
        <is>
          <t>NOT FOUND — a screen calls it, but the words printed beside its answer could not be traced automatically. Needs reading.</t>
        </is>
      </c>
      <c r="M206" s="3" t="inlineStr">
        <is>
          <t>None found in this function — anything it assumes comes from the functions it depends on.</t>
        </is>
      </c>
      <c r="N206" s="3" t="inlineStr">
        <is>
          <t>Yes</t>
        </is>
      </c>
      <c r="O206" s="3" t="inlineStr">
        <is>
          <t>1. MK-NW-F-011 assetClassOf
2. MK-CF-F-155 cash</t>
        </is>
      </c>
      <c r="P206" s="3" t="n">
        <v>11</v>
      </c>
      <c r="Q206" s="3" t="inlineStr">
        <is>
          <t>1. MK-NW-F-011 assetClassOf
2. MK-CF-F-155 cash
3. MK-NW-F-008 incomeBearingClassOf
4. MK-XS-F-122 n
5. MK-ST-F-010 nameEvidence
6. MK-XS-F-147 call
7. MK-ST-F-056 has
8. MK-CF-F-132 map
9. MK-ST-F-027 accountId
10. MK-XS-F-064 currentIdToken
11. MK-XS-F-112 relayUrl</t>
        </is>
      </c>
      <c r="R206"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06" s="3" t="inlineStr">
        <is>
          <t>—</t>
        </is>
      </c>
      <c r="T206" s="3" t="inlineStr">
        <is>
          <t>CAN_HOLD_TICKERS</t>
        </is>
      </c>
      <c r="U206" s="3" t="inlineStr">
        <is>
          <t>ACTIVE</t>
        </is>
      </c>
      <c r="V206" s="3" t="inlineStr">
        <is>
          <t>2026-08-27</t>
        </is>
      </c>
      <c r="Y206" s="3" t="inlineStr">
        <is>
          <t>NOTHING OPEN</t>
        </is>
      </c>
    </row>
    <row r="207">
      <c r="A207" s="3" t="inlineStr">
        <is>
          <t>MK-NW-F-006</t>
        </is>
      </c>
      <c r="B207" s="3" t="inlineStr">
        <is>
          <t>isCashKind</t>
        </is>
      </c>
      <c r="C207" s="3" t="inlineStr">
        <is>
          <t>src/domain/assets/index.ts</t>
        </is>
      </c>
      <c r="D207" s="3" t="n">
        <v>260</v>
      </c>
      <c r="E207" s="3" t="inlineStr">
        <is>
          <t>1 · ACTION</t>
        </is>
      </c>
      <c r="F207" s="3" t="inlineStr">
        <is>
          <t>Does this account type sit under the Cash heading on screen?</t>
        </is>
      </c>
      <c r="G207" s="13" t="inlineStr">
        <is>
          <t>asset kind(kind).bucket = 'CASH'</t>
        </is>
      </c>
      <c r="H207" s="3" t="inlineStr">
        <is>
          <t>asset kind(kind).bucket = 'CASH'</t>
        </is>
      </c>
      <c r="I207" s="3" t="inlineStr">
        <is>
          <t>PARTLY READ — some of the code is still showing through; needs a hand pass</t>
        </is>
      </c>
      <c r="J207" s="3" t="inlineStr">
        <is>
          <t>kind?: string</t>
        </is>
      </c>
      <c r="K207" s="3" t="inlineStr">
        <is>
          <t>NOT DECLARED — the code does not say what it gives back</t>
        </is>
      </c>
      <c r="L207" s="3" t="inlineStr">
        <is>
          <t>—</t>
        </is>
      </c>
      <c r="M207" s="3" t="inlineStr">
        <is>
          <t>None found in this function — anything it assumes comes from the functions it depends on.</t>
        </is>
      </c>
      <c r="N207" s="3" t="inlineStr">
        <is>
          <t>No</t>
        </is>
      </c>
      <c r="O207" s="3" t="inlineStr">
        <is>
          <t>MK-NW-F-007 assetKind</t>
        </is>
      </c>
      <c r="P207" s="3" t="n">
        <v>12</v>
      </c>
      <c r="Q207" s="3" t="inlineStr">
        <is>
          <t>1. MK-NW-F-007 assetKind
2. MK-NW-F-011 assetClassOf
3. MK-CF-F-155 cash
4. MK-NW-F-008 incomeBearingClassOf
5. MK-XS-F-122 n
6. MK-ST-F-010 nameEvidence
7. MK-XS-F-147 call
8. MK-ST-F-056 has
9. MK-CF-F-132 map
10. MK-ST-F-027 accountId
11. MK-XS-F-064 currentIdToken
12. MK-XS-F-112 relayUrl</t>
        </is>
      </c>
      <c r="R207"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07" s="3" t="inlineStr">
        <is>
          <t>—</t>
        </is>
      </c>
      <c r="T207" s="3" t="inlineStr">
        <is>
          <t>KIND_IS_CASH</t>
        </is>
      </c>
      <c r="U207" s="3" t="inlineStr">
        <is>
          <t>ACTIVE</t>
        </is>
      </c>
      <c r="V207" s="3" t="inlineStr">
        <is>
          <t>2026-08-27</t>
        </is>
      </c>
      <c r="Y207" s="3" t="inlineStr">
        <is>
          <t>NOTHING OPEN</t>
        </is>
      </c>
    </row>
    <row r="208">
      <c r="A208" s="3" t="inlineStr">
        <is>
          <t>MK-NW-F-007</t>
        </is>
      </c>
      <c r="B208" s="3" t="inlineStr">
        <is>
          <t>assetKind</t>
        </is>
      </c>
      <c r="C208" s="3" t="inlineStr">
        <is>
          <t>src/domain/assets/index.ts</t>
        </is>
      </c>
      <c r="D208" s="3" t="n">
        <v>283</v>
      </c>
      <c r="E208" s="3" t="inlineStr">
        <is>
          <t>2 · DISPLAYED</t>
        </is>
      </c>
      <c r="F208" s="3" t="inlineStr">
        <is>
          <t>What do we know about this kind of account?</t>
        </is>
      </c>
      <c r="G208" s="13" t="inlineStr">
        <is>
          <t>id = id); }</t>
        </is>
      </c>
      <c r="H208" s="3" t="inlineStr">
        <is>
          <t>id = id); }</t>
        </is>
      </c>
      <c r="I208" s="3" t="inlineStr">
        <is>
          <t>READ FROM THE CODE — rendered from the expressions the function runs</t>
        </is>
      </c>
      <c r="J208" s="3" t="inlineStr">
        <is>
          <t>id?: string</t>
        </is>
      </c>
      <c r="K208" s="3" t="inlineStr">
        <is>
          <t>NOT DECLARED — the code does not say what it gives back</t>
        </is>
      </c>
      <c r="L208" s="3" t="inlineStr">
        <is>
          <t>1. "ACCOUNTS / INVESTING" — on a card used on more than one screen (MoneySheets)
2. "EST. GROWTH / YR" — on the Other investments screen, under "ALTERNATIVES"
3. "Type" — on the Account detail screen
4. "Type" — on the Other investments screen</t>
        </is>
      </c>
      <c r="M208" s="3" t="inlineStr">
        <is>
          <t>None found in this function — anything it assumes comes from the functions it depends on.</t>
        </is>
      </c>
      <c r="N208" s="3" t="inlineStr">
        <is>
          <t>Yes</t>
        </is>
      </c>
      <c r="O208" s="3" t="inlineStr">
        <is>
          <t>1. MK-NW-F-011 assetClassOf
2. MK-CF-F-155 cash</t>
        </is>
      </c>
      <c r="P208" s="3" t="n">
        <v>11</v>
      </c>
      <c r="Q208" s="3" t="inlineStr">
        <is>
          <t>1. MK-NW-F-011 assetClassOf
2. MK-CF-F-155 cash
3. MK-NW-F-008 incomeBearingClassOf
4. MK-XS-F-122 n
5. MK-ST-F-010 nameEvidence
6. MK-XS-F-147 call
7. MK-ST-F-056 has
8. MK-CF-F-132 map
9. MK-ST-F-027 accountId
10. MK-XS-F-064 currentIdToken
11. MK-XS-F-112 relayUrl</t>
        </is>
      </c>
      <c r="R208"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08" s="3" t="inlineStr">
        <is>
          <t>—</t>
        </is>
      </c>
      <c r="T208" s="3" t="inlineStr">
        <is>
          <t>ACCOUNT_TYPE_FACTS</t>
        </is>
      </c>
      <c r="U208" s="3" t="inlineStr">
        <is>
          <t>ACTIVE</t>
        </is>
      </c>
      <c r="V208" s="3" t="inlineStr">
        <is>
          <t>2026-08-27</t>
        </is>
      </c>
      <c r="Y208" s="3" t="inlineStr">
        <is>
          <t>NOTHING OPEN</t>
        </is>
      </c>
    </row>
    <row r="209">
      <c r="A209" s="3" t="inlineStr">
        <is>
          <t>MK-NW-F-008</t>
        </is>
      </c>
      <c r="B209" s="3" t="inlineStr">
        <is>
          <t>incomeBearingClassOf</t>
        </is>
      </c>
      <c r="C209" s="3" t="inlineStr">
        <is>
          <t>src/domain/assets/index.ts</t>
        </is>
      </c>
      <c r="D209" s="3" t="n">
        <v>338</v>
      </c>
      <c r="E209" s="3" t="inlineStr">
        <is>
          <t>3 · DEPENDENT</t>
        </is>
      </c>
      <c r="F209" s="3" t="inlineStr">
        <is>
          <t>FOUNDER RULE 2026-08-04 (supersedes the money-market=cash rule and the 12-month CD split): CASH means cash only — a sweep/settlement balance.</t>
        </is>
      </c>
      <c r="G209" s="13" t="inlineStr">
        <is>
          <t>name evidence(label)</t>
        </is>
      </c>
      <c r="H209" s="3" t="inlineStr">
        <is>
          <t>name evidence(label).</t>
        </is>
      </c>
      <c r="I209" s="3" t="inlineStr">
        <is>
          <t>READ FROM THE CODE — rendered from the expressions the function runs</t>
        </is>
      </c>
      <c r="J209" s="3" t="inlineStr">
        <is>
          <t>label?: string</t>
        </is>
      </c>
      <c r="K209" s="3" t="inlineStr">
        <is>
          <t>AssetClass | null</t>
        </is>
      </c>
      <c r="L209" s="3" t="inlineStr">
        <is>
          <t>—</t>
        </is>
      </c>
      <c r="M209" s="3" t="inlineStr">
        <is>
          <t>None found in this function — anything it assumes comes from the functions it depends on.</t>
        </is>
      </c>
      <c r="N209" s="3" t="inlineStr">
        <is>
          <t>Yes</t>
        </is>
      </c>
      <c r="O209" s="3" t="inlineStr">
        <is>
          <t>1. MK-CF-F-155 cash
2. MK-ST-F-010 nameEvidence</t>
        </is>
      </c>
      <c r="P209" s="3" t="n">
        <v>9</v>
      </c>
      <c r="Q209" s="3" t="inlineStr">
        <is>
          <t>1. MK-CF-F-155 cash
2. MK-ST-F-010 nameEvidence
3. MK-XS-F-122 n
4. MK-XS-F-147 call
5. MK-ST-F-056 has
6. MK-CF-F-132 map
7. MK-ST-F-027 accountId
8. MK-XS-F-064 currentIdToken
9. MK-XS-F-112 relayUrl</t>
        </is>
      </c>
      <c r="R209"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09" s="3" t="inlineStr">
        <is>
          <t>—</t>
        </is>
      </c>
      <c r="T209" s="3" t="inlineStr">
        <is>
          <t>CLASS_FROM_NAME_TEXT</t>
        </is>
      </c>
      <c r="U209" s="3" t="inlineStr">
        <is>
          <t>ACTIVE</t>
        </is>
      </c>
      <c r="V209" s="3" t="inlineStr">
        <is>
          <t>2026-08-27</t>
        </is>
      </c>
      <c r="Y209" s="3" t="inlineStr">
        <is>
          <t>NOTHING OPEN</t>
        </is>
      </c>
    </row>
    <row r="210">
      <c r="A210" s="3" t="inlineStr">
        <is>
          <t>MK-NW-F-009</t>
        </is>
      </c>
      <c r="B210" s="3" t="inlineStr">
        <is>
          <t>maturityClass</t>
        </is>
      </c>
      <c r="C210" s="3" t="inlineStr">
        <is>
          <t>src/domain/assets/index.ts</t>
        </is>
      </c>
      <c r="D210" s="3" t="n">
        <v>373</v>
      </c>
      <c r="E210" s="3" t="inlineStr">
        <is>
          <t>2 · DISPLAYED</t>
        </is>
      </c>
      <c r="F210" s="3" t="inlineStr">
        <is>
          <t>FOUNDER RULE 2026-08-04 (supersedes build-34 #8's 12-month split): ANY maturity-dated instrument is a BOND — it pays interest, so it must sit in the measured bucket regardless of how soon it matures.</t>
        </is>
      </c>
      <c r="G210" s="13" t="inlineStr">
        <is>
          <t>'bonds'   if maturity date and string(maturity date).trim()
'cash'   otherwise</t>
        </is>
      </c>
      <c r="H210" s="3" t="inlineStr">
        <is>
          <t>'bonds' — when maturity date and string(maturity date).trim(); 'cash' — otherwise.</t>
        </is>
      </c>
      <c r="I210" s="3" t="inlineStr">
        <is>
          <t>PARTLY READ — some of the code is still showing through; needs a hand pass</t>
        </is>
      </c>
      <c r="J210" s="3" t="inlineStr">
        <is>
          <t>maturityDate?: string | null</t>
        </is>
      </c>
      <c r="K210" s="3" t="inlineStr">
        <is>
          <t>'cash' | 'bonds'</t>
        </is>
      </c>
      <c r="L210" s="3" t="inlineStr">
        <is>
          <t>NOT FOUND — a screen calls it, but the words printed beside its answer could not be traced automatically. Needs reading.</t>
        </is>
      </c>
      <c r="M210" s="3" t="inlineStr">
        <is>
          <t>None found in this function — anything it assumes comes from the functions it depends on.</t>
        </is>
      </c>
      <c r="N210" s="3" t="inlineStr">
        <is>
          <t>Yes</t>
        </is>
      </c>
      <c r="O210" s="3" t="inlineStr">
        <is>
          <t>—</t>
        </is>
      </c>
      <c r="P210" s="3" t="n">
        <v>0</v>
      </c>
      <c r="Q210" s="3" t="inlineStr">
        <is>
          <t>None — no dependent function stands behind it</t>
        </is>
      </c>
      <c r="R210" s="3" t="inlineStr">
        <is>
          <t>No dependent function — it reads its inputs and answers</t>
        </is>
      </c>
      <c r="S210" s="3" t="inlineStr">
        <is>
          <t>—</t>
        </is>
      </c>
      <c r="T210" s="3" t="inlineStr">
        <is>
          <t>MATURITY_MEANS_BOND</t>
        </is>
      </c>
      <c r="U210" s="3" t="inlineStr">
        <is>
          <t>ACTIVE</t>
        </is>
      </c>
      <c r="V210" s="3" t="inlineStr">
        <is>
          <t>2026-08-27</t>
        </is>
      </c>
      <c r="Y210" s="3" t="inlineStr">
        <is>
          <t>NOTHING OPEN</t>
        </is>
      </c>
    </row>
    <row r="211">
      <c r="A211" s="3" t="inlineStr">
        <is>
          <t>MK-NW-F-010</t>
        </is>
      </c>
      <c r="B211" s="3" t="inlineStr">
        <is>
          <t>wrapperAccount</t>
        </is>
      </c>
      <c r="C211" s="3" t="inlineStr">
        <is>
          <t>src/domain/assets/index.ts</t>
        </is>
      </c>
      <c r="D211" s="3" t="n">
        <v>402</v>
      </c>
      <c r="E211" s="3" t="inlineStr">
        <is>
          <t>2 · DISPLAYED</t>
        </is>
      </c>
      <c r="F211" s="3" t="inlineStr">
        <is>
          <t>The person picked how this account is taxed — what does that make it?</t>
        </is>
      </c>
      <c r="G211" s="13" t="inlineStr">
        <is>
          <t>401k → kind '401k', bucket PRE_TAX
trad_ira → 'trad_ira', PRE_TAX
roth → 'roth_ira', ROTH
hsa → 'hsa', PRE_TAX
anything else → 'brokerage', TAXABLE</t>
        </is>
      </c>
      <c r="H211" s="3" t="inlineStr">
        <is>
          <t>The account kind and tax bucket for the wrapper a person picked when adding an account — a 401(k), traditional IRA and HSA are pre-tax, a Roth is tax-free, anything else (or nothing) is a taxable brokerage. No arithmetic.</t>
        </is>
      </c>
      <c r="I211" s="3" t="inlineStr">
        <is>
          <t>READ BY HAND 2026-08-26 — checked line by line against the code</t>
        </is>
      </c>
      <c r="J211" s="3" t="inlineStr">
        <is>
          <t>w?: AddWrapper | null</t>
        </is>
      </c>
      <c r="K211" s="3" t="inlineStr">
        <is>
          <t>NOT DECLARED — the code does not say what it gives back</t>
        </is>
      </c>
      <c r="L211" s="3" t="inlineStr">
        <is>
          <t>NOT FOUND — a screen calls it, but the words printed beside its answer could not be traced automatically. Needs reading.</t>
        </is>
      </c>
      <c r="M211" s="3" t="inlineStr">
        <is>
          <t>None found in this function — anything it assumes comes from the functions it depends on.</t>
        </is>
      </c>
      <c r="N211" s="3" t="inlineStr">
        <is>
          <t>Yes</t>
        </is>
      </c>
      <c r="O211" s="3" t="inlineStr">
        <is>
          <t>MK-CF-F-155 cash</t>
        </is>
      </c>
      <c r="P211" s="3" t="n">
        <v>2</v>
      </c>
      <c r="Q211" s="3" t="inlineStr">
        <is>
          <t>1. MK-CF-F-155 cash
2. MK-XS-F-122 n</t>
        </is>
      </c>
      <c r="R211" s="3" t="inlineStr">
        <is>
          <t>MK-XS-F-122 n → MK-CF-F-155 cash → MK-NW-F-010 wrapperAccount</t>
        </is>
      </c>
      <c r="S211" s="3" t="inlineStr">
        <is>
          <t>—</t>
        </is>
      </c>
      <c r="T211" s="3" t="inlineStr">
        <is>
          <t>TAX_TYPE_TO_ACCOUNT</t>
        </is>
      </c>
      <c r="U211" s="3" t="inlineStr">
        <is>
          <t>ACTIVE</t>
        </is>
      </c>
      <c r="V211" s="3" t="inlineStr">
        <is>
          <t>2026-09-12</t>
        </is>
      </c>
      <c r="Y211" s="3" t="inlineStr">
        <is>
          <t>NOTHING OPEN</t>
        </is>
      </c>
    </row>
    <row r="212">
      <c r="A212" s="3" t="inlineStr">
        <is>
          <t>MK-NW-F-011</t>
        </is>
      </c>
      <c r="B212" s="3" t="inlineStr">
        <is>
          <t>assetClassOf</t>
        </is>
      </c>
      <c r="C212" s="3" t="inlineStr">
        <is>
          <t>src/domain/assets/index.ts</t>
        </is>
      </c>
      <c r="D212" s="3" t="n">
        <v>463</v>
      </c>
      <c r="E212" s="3" t="inlineStr">
        <is>
          <t>2 · DISPLAYED</t>
        </is>
      </c>
      <c r="F212" s="3" t="inlineStr">
        <is>
          <t>WHAT the account is (asset class).</t>
        </is>
      </c>
      <c r="G212" s="13"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12"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12" s="3" t="inlineStr">
        <is>
          <t>PARTLY READ — some of the code is still showing through; needs a hand pass</t>
        </is>
      </c>
      <c r="J212" s="3" t="inlineStr">
        <is>
          <t>a: AssetAccount</t>
        </is>
      </c>
      <c r="K212" s="3" t="inlineStr">
        <is>
          <t>AssetClass</t>
        </is>
      </c>
      <c r="L212" s="3" t="inlineStr">
        <is>
          <t>1. "Bonds &amp; alternatives — recorded on their own pages" — on the Performance screen
2. "Nothing entered yet." — on the Net worth screen, under "DEBTS"</t>
        </is>
      </c>
      <c r="M212" s="3" t="inlineStr">
        <is>
          <t>None found in this function — anything it assumes comes from the functions it depends on.</t>
        </is>
      </c>
      <c r="N212" s="3" t="inlineStr">
        <is>
          <t>Yes</t>
        </is>
      </c>
      <c r="O212" s="3" t="inlineStr">
        <is>
          <t>MK-NW-F-008 incomeBearingClassOf</t>
        </is>
      </c>
      <c r="P212" s="3" t="n">
        <v>10</v>
      </c>
      <c r="Q212" s="3" t="inlineStr">
        <is>
          <t>1. MK-NW-F-008 incomeBearingClassOf
2. MK-CF-F-155 cash
3. MK-ST-F-010 nameEvidence
4. MK-XS-F-122 n
5. MK-XS-F-147 call
6. MK-ST-F-056 has
7. MK-CF-F-132 map
8. MK-ST-F-027 accountId
9. MK-XS-F-064 currentIdToken
10. MK-XS-F-112 relayUrl</t>
        </is>
      </c>
      <c r="R212"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12" s="3" t="inlineStr">
        <is>
          <t>—</t>
        </is>
      </c>
      <c r="T212" s="3" t="inlineStr">
        <is>
          <t>ASSET_CLASS_OF_ACCOUNT</t>
        </is>
      </c>
      <c r="U212" s="3" t="inlineStr">
        <is>
          <t>ACTIVE</t>
        </is>
      </c>
      <c r="V212" s="3" t="inlineStr">
        <is>
          <t>2026-08-27</t>
        </is>
      </c>
      <c r="Y212" s="3" t="inlineStr">
        <is>
          <t>NOTHING OPEN</t>
        </is>
      </c>
    </row>
    <row r="213">
      <c r="A213" s="3" t="inlineStr">
        <is>
          <t>MK-NW-F-012</t>
        </is>
      </c>
      <c r="B213" s="3" t="inlineStr">
        <is>
          <t>taxTreatmentOf</t>
        </is>
      </c>
      <c r="C213" s="3" t="inlineStr">
        <is>
          <t>src/domain/assets/index.ts</t>
        </is>
      </c>
      <c r="D213" s="3" t="n">
        <v>504</v>
      </c>
      <c r="E213" s="3" t="inlineStr">
        <is>
          <t>2 · DISPLAYED</t>
        </is>
      </c>
      <c r="F213" s="3" t="inlineStr">
        <is>
          <t>HOW the account is taxed (wrapper).</t>
        </is>
      </c>
      <c r="G213" s="13" t="inlineStr">
        <is>
          <t>tax treatment   when tax treatment
'tax_deferred'   when tax bucket = 'PRE_TAX'
'tax_free'   when tax bucket = 'ROTH'
'taxable'</t>
        </is>
      </c>
      <c r="H213" s="3" t="inlineStr">
        <is>
          <t>When tax treatment, it answers tax treatment. When tax bucket = 'PRE_TAX', it answers 'tax_deferred'. When tax bucket = 'ROTH', it answers 'tax_free'. 'taxable'.</t>
        </is>
      </c>
      <c r="I213" s="3" t="inlineStr">
        <is>
          <t>READ FROM THE CODE — rendered from the expressions the function runs</t>
        </is>
      </c>
      <c r="J213" s="3" t="inlineStr">
        <is>
          <t>a: AssetAccount</t>
        </is>
      </c>
      <c r="K213" s="3" t="inlineStr">
        <is>
          <t>TaxTreatment</t>
        </is>
      </c>
      <c r="L213" s="3" t="inlineStr">
        <is>
          <t>NOT FOUND — a screen calls it, but the words printed beside its answer could not be traced automatically. Needs reading.</t>
        </is>
      </c>
      <c r="M213" s="3" t="inlineStr">
        <is>
          <t>None found in this function — anything it assumes comes from the functions it depends on.</t>
        </is>
      </c>
      <c r="N213" s="3" t="inlineStr">
        <is>
          <t>Yes</t>
        </is>
      </c>
      <c r="O213" s="3" t="inlineStr">
        <is>
          <t>—</t>
        </is>
      </c>
      <c r="P213" s="3" t="n">
        <v>0</v>
      </c>
      <c r="Q213" s="3" t="inlineStr">
        <is>
          <t>None — no dependent function stands behind it</t>
        </is>
      </c>
      <c r="R213" s="3" t="inlineStr">
        <is>
          <t>No dependent function — it reads its inputs and answers</t>
        </is>
      </c>
      <c r="S213" s="3" t="inlineStr">
        <is>
          <t>—</t>
        </is>
      </c>
      <c r="T213" s="3" t="inlineStr">
        <is>
          <t>TAX_TREATMENT</t>
        </is>
      </c>
      <c r="U213" s="3" t="inlineStr">
        <is>
          <t>ACTIVE</t>
        </is>
      </c>
      <c r="V213" s="3" t="inlineStr">
        <is>
          <t>2026-08-27</t>
        </is>
      </c>
      <c r="Y213" s="3" t="inlineStr">
        <is>
          <t>NOTHING OPEN</t>
        </is>
      </c>
    </row>
    <row r="214">
      <c r="A214" s="3" t="inlineStr">
        <is>
          <t>MK-NW-F-013</t>
        </is>
      </c>
      <c r="B214" s="3" t="inlineStr">
        <is>
          <t>realEstateUseOf</t>
        </is>
      </c>
      <c r="C214" s="3" t="inlineStr">
        <is>
          <t>src/domain/assets/index.ts</t>
        </is>
      </c>
      <c r="D214" s="3" t="n">
        <v>539</v>
      </c>
      <c r="E214" s="3" t="inlineStr">
        <is>
          <t>3 · DEPENDENT</t>
        </is>
      </c>
      <c r="F214" s="3" t="inlineStr">
        <is>
          <t>Real-estate use (primary/rental/secondary/land); only meaningful when assetClassOf === 'real_estate'.</t>
        </is>
      </c>
      <c r="G214" s="13" t="inlineStr">
        <is>
          <t>re use (or 'primary' when missing)</t>
        </is>
      </c>
      <c r="H214" s="3" t="inlineStr">
        <is>
          <t>re use (or 'primary' — when missing).</t>
        </is>
      </c>
      <c r="I214" s="3" t="inlineStr">
        <is>
          <t>READ FROM THE CODE — rendered from the expressions the function runs</t>
        </is>
      </c>
      <c r="J214" s="3" t="inlineStr">
        <is>
          <t>a: AssetAccount</t>
        </is>
      </c>
      <c r="K214" s="3" t="inlineStr">
        <is>
          <t>RealEstateUse</t>
        </is>
      </c>
      <c r="L214" s="3" t="inlineStr">
        <is>
          <t>—</t>
        </is>
      </c>
      <c r="M214" s="3" t="inlineStr">
        <is>
          <t>None found in this function — anything it assumes comes from the functions it depends on.</t>
        </is>
      </c>
      <c r="N214" s="3" t="inlineStr">
        <is>
          <t>Yes</t>
        </is>
      </c>
      <c r="O214" s="3" t="inlineStr">
        <is>
          <t>—</t>
        </is>
      </c>
      <c r="P214" s="3" t="n">
        <v>0</v>
      </c>
      <c r="Q214" s="3" t="inlineStr">
        <is>
          <t>None — no dependent function stands behind it</t>
        </is>
      </c>
      <c r="R214" s="3" t="inlineStr">
        <is>
          <t>No dependent function — it reads its inputs and answers</t>
        </is>
      </c>
      <c r="S214" s="3" t="inlineStr">
        <is>
          <t>—</t>
        </is>
      </c>
      <c r="T214" s="3" t="inlineStr">
        <is>
          <t>HOW_A_HOME_IS_USED</t>
        </is>
      </c>
      <c r="U214" s="3" t="inlineStr">
        <is>
          <t>ACTIVE</t>
        </is>
      </c>
      <c r="V214" s="3" t="inlineStr">
        <is>
          <t>2026-08-27</t>
        </is>
      </c>
      <c r="Y214" s="3" t="inlineStr">
        <is>
          <t>NOTHING OPEN</t>
        </is>
      </c>
    </row>
    <row r="215">
      <c r="A215" s="3" t="inlineStr">
        <is>
          <t>MK-NW-F-014</t>
        </is>
      </c>
      <c r="B215" s="3" t="inlineStr">
        <is>
          <t>isRealAsset</t>
        </is>
      </c>
      <c r="C215" s="3" t="inlineStr">
        <is>
          <t>src/domain/assets/index.ts</t>
        </is>
      </c>
      <c r="D215" s="3" t="n">
        <v>564</v>
      </c>
      <c r="E215" s="3" t="inlineStr">
        <is>
          <t>3 · DEPENDENT</t>
        </is>
      </c>
      <c r="F215" s="3" t="inlineStr">
        <is>
          <t>True when the asset is a real/physical asset (real estate or personal property) — excluded from investable assets and the nest egg (Term #4/#7).</t>
        </is>
      </c>
      <c r="G215" s="13" t="inlineStr">
        <is>
          <t>c = asset class of(a)
the answer = c = 'real_estate' (or c = 'personal_property' when missing or zero)</t>
        </is>
      </c>
      <c r="H215" s="3" t="inlineStr">
        <is>
          <t>C is asset class of(a). The answer is c = 'real_estate' (or c = 'personal_property' — when missing or zero).</t>
        </is>
      </c>
      <c r="I215" s="3" t="inlineStr">
        <is>
          <t>READ FROM THE CODE — rendered from the expressions the function runs</t>
        </is>
      </c>
      <c r="J215" s="3" t="inlineStr">
        <is>
          <t>a: AssetAccount</t>
        </is>
      </c>
      <c r="K215" s="3" t="inlineStr">
        <is>
          <t>boolean</t>
        </is>
      </c>
      <c r="L215" s="3" t="inlineStr">
        <is>
          <t>—</t>
        </is>
      </c>
      <c r="M215" s="3" t="inlineStr">
        <is>
          <t>None found in this function — anything it assumes comes from the functions it depends on.</t>
        </is>
      </c>
      <c r="N215" s="3" t="inlineStr">
        <is>
          <t>Yes</t>
        </is>
      </c>
      <c r="O215" s="3" t="inlineStr">
        <is>
          <t>MK-NW-F-011 assetClassOf</t>
        </is>
      </c>
      <c r="P215" s="3" t="n">
        <v>11</v>
      </c>
      <c r="Q215" s="3" t="inlineStr">
        <is>
          <t>1. MK-NW-F-011 assetClassOf
2. MK-NW-F-008 incomeBearingClassOf
3. MK-CF-F-155 cash
4. MK-ST-F-010 nameEvidence
5. MK-XS-F-122 n
6. MK-XS-F-147 call
7. MK-ST-F-056 has
8. MK-CF-F-132 map
9. MK-ST-F-027 accountId
10. MK-XS-F-064 currentIdToken
11. MK-XS-F-112 relayUrl</t>
        </is>
      </c>
      <c r="R215"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15" s="3" t="inlineStr">
        <is>
          <t>—</t>
        </is>
      </c>
      <c r="T215" s="3" t="inlineStr">
        <is>
          <t>IS_PHYSICAL_ASSET</t>
        </is>
      </c>
      <c r="U215" s="3" t="inlineStr">
        <is>
          <t>ACTIVE</t>
        </is>
      </c>
      <c r="V215" s="3" t="inlineStr">
        <is>
          <t>2026-08-27</t>
        </is>
      </c>
      <c r="Y215" s="3" t="inlineStr">
        <is>
          <t>NOTHING OPEN</t>
        </is>
      </c>
    </row>
    <row r="216">
      <c r="A216" s="3" t="inlineStr">
        <is>
          <t>MK-NW-F-015</t>
        </is>
      </c>
      <c r="B216" s="3" t="inlineStr">
        <is>
          <t>totalAssets</t>
        </is>
      </c>
      <c r="C216" s="3" t="inlineStr">
        <is>
          <t>src/domain/assets/index.ts</t>
        </is>
      </c>
      <c r="D216" s="3" t="n">
        <v>623</v>
      </c>
      <c r="E216" s="3" t="inlineStr">
        <is>
          <t>3 · DEPENDENT</t>
        </is>
      </c>
      <c r="F216" s="3" t="inlineStr">
        <is>
          <t>NOT DETERMINED — the code carries no note saying what this is for, and it has no row in the old inventory. Needs reading.</t>
        </is>
      </c>
      <c r="G216" s="13" t="inlineStr">
        <is>
          <t>Σ over accounts (or none when missing) of (balance (or 0 when missing or zero))</t>
        </is>
      </c>
      <c r="H216" s="3" t="inlineStr">
        <is>
          <t>the balance (or 0 — when missing or zero) added up across accounts (or none — when missing).</t>
        </is>
      </c>
      <c r="I216" s="3" t="inlineStr">
        <is>
          <t>READ FROM THE CODE — rendered from the expressions the function runs</t>
        </is>
      </c>
      <c r="J216" s="3" t="inlineStr">
        <is>
          <t>accounts: AssetAccount[]</t>
        </is>
      </c>
      <c r="K216" s="3" t="inlineStr">
        <is>
          <t>number</t>
        </is>
      </c>
      <c r="L216" s="3" t="inlineStr">
        <is>
          <t>—</t>
        </is>
      </c>
      <c r="M216" s="3" t="inlineStr">
        <is>
          <t>· If balance is missing it counts as zero, so nothing recorded and a real zero look the same.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2026-09-09</t>
        </is>
      </c>
      <c r="Y216" s="3" t="inlineStr">
        <is>
          <t>NOTHING OPEN</t>
        </is>
      </c>
    </row>
    <row r="217">
      <c r="A217" s="3" t="inlineStr">
        <is>
          <t>MK-NW-F-016</t>
        </is>
      </c>
      <c r="B217" s="3" t="inlineStr">
        <is>
          <t>cashTotal</t>
        </is>
      </c>
      <c r="C217" s="3" t="inlineStr">
        <is>
          <t>src/domain/assets/index.ts</t>
        </is>
      </c>
      <c r="D217" s="3" t="n">
        <v>650</v>
      </c>
      <c r="E217" s="3" t="inlineStr">
        <is>
          <t>2 · DISPLAYED</t>
        </is>
      </c>
      <c r="F217" s="3" t="inlineStr">
        <is>
          <t>Cash &amp; cash equivalents (Term #3) — THE cash number, and the same one the Net Worth CASH group shows.</t>
        </is>
      </c>
      <c r="G217" s="13" t="inlineStr">
        <is>
          <t>b = account class breakdown(a)
the answer = t + (b ? cash : asset class of(a) = 'cash' ? (balance or 0) : 0)</t>
        </is>
      </c>
      <c r="H217" s="3" t="inlineStr">
        <is>
          <t>B is account class breakdown(a). The answer is t plus (b ? cash : asset class of(a) = 'cash' ? (balance or 0) : 0).</t>
        </is>
      </c>
      <c r="I217" s="3" t="inlineStr">
        <is>
          <t>READ FROM THE CODE — rendered from the expressions the function runs</t>
        </is>
      </c>
      <c r="J217" s="3" t="inlineStr">
        <is>
          <t>accounts: AssetAccount[]</t>
        </is>
      </c>
      <c r="K217" s="3" t="inlineStr">
        <is>
          <t>number</t>
        </is>
      </c>
      <c r="L217" s="3" t="inlineStr">
        <is>
          <t>1. "Cash on hand now" — on the Bill calendar screen
2. "EMERGENCY FUND" — on the Net worth screen, under "EMERGENCY FUND"</t>
        </is>
      </c>
      <c r="M217" s="3" t="inlineStr">
        <is>
          <t>· If balance is missing it counts as zero, so nothing recorded and a real zero look the same.</t>
        </is>
      </c>
      <c r="N217" s="3" t="inlineStr">
        <is>
          <t>Yes</t>
        </is>
      </c>
      <c r="O217" s="3" t="inlineStr">
        <is>
          <t>1. MK-NW-F-027 accountClassBreakdown
2. MK-NW-F-011 assetClassOf</t>
        </is>
      </c>
      <c r="P217" s="3" t="n">
        <v>12</v>
      </c>
      <c r="Q217"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17"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17" s="3" t="inlineStr">
        <is>
          <t>MK-MN-M-016 · MK-NW-M-005 · MK-NW-M-014</t>
        </is>
      </c>
      <c r="T217" s="3" t="inlineStr">
        <is>
          <t>TOTAL_CASH</t>
        </is>
      </c>
      <c r="U217" s="3" t="inlineStr">
        <is>
          <t>ACTIVE</t>
        </is>
      </c>
      <c r="V217" s="3" t="inlineStr">
        <is>
          <t>2026-08-27</t>
        </is>
      </c>
      <c r="Y217" s="3" t="inlineStr">
        <is>
          <t>NOTHING OPEN</t>
        </is>
      </c>
    </row>
    <row r="218">
      <c r="A218" s="3" t="inlineStr">
        <is>
          <t>MK-NW-F-017</t>
        </is>
      </c>
      <c r="B218" s="3" t="inlineStr">
        <is>
          <t>equitiesTotal</t>
        </is>
      </c>
      <c r="C218" s="3" t="inlineStr">
        <is>
          <t>src/domain/assets/index.ts</t>
        </is>
      </c>
      <c r="D218" s="3" t="n">
        <v>671</v>
      </c>
      <c r="E218" s="3" t="inlineStr">
        <is>
          <t>3 · DEPENDENT (feeds an action only)</t>
        </is>
      </c>
      <c r="F218" s="3" t="inlineStr">
        <is>
          <t>NOT DETERMINED — the code carries no note saying what this is for, and it has no row in the old inventory. Needs reading.</t>
        </is>
      </c>
      <c r="G218" s="13" t="inlineStr">
        <is>
          <t>sum where(accounts, (a) =&gt; asset class of(a) = 'stocks_etf')</t>
        </is>
      </c>
      <c r="H218" s="3" t="inlineStr">
        <is>
          <t>sum where(accounts, (a) =&gt; asset class of(a) = 'stocks_etf').</t>
        </is>
      </c>
      <c r="I218" s="3" t="inlineStr">
        <is>
          <t>PARTLY READ — some of the code is still showing through; needs a hand pass</t>
        </is>
      </c>
      <c r="J218" s="3" t="inlineStr">
        <is>
          <t>accounts: AssetAccount[]</t>
        </is>
      </c>
      <c r="K218" s="3" t="inlineStr">
        <is>
          <t>number</t>
        </is>
      </c>
      <c r="L218" s="3" t="inlineStr">
        <is>
          <t>—</t>
        </is>
      </c>
      <c r="M218" s="3" t="inlineStr">
        <is>
          <t>None found in this function — anything it assumes comes from the functions it depends on.</t>
        </is>
      </c>
      <c r="N218" s="3" t="inlineStr">
        <is>
          <t>No</t>
        </is>
      </c>
      <c r="O218" s="3" t="inlineStr">
        <is>
          <t>1. MK-NW-F-011 assetClassOf
2. MK-NW-F-066 sumWhere</t>
        </is>
      </c>
      <c r="P218" s="3" t="n">
        <v>12</v>
      </c>
      <c r="Q218" s="3" t="inlineStr">
        <is>
          <t>1. MK-NW-F-011 assetClassOf
2. MK-NW-F-066 sumWhere
3. MK-NW-F-008 incomeBearingClassOf
4. MK-CF-F-155 cash
5. MK-ST-F-010 nameEvidence
6. MK-XS-F-122 n
7. MK-XS-F-147 call
8. MK-ST-F-056 has
9. MK-CF-F-132 map
10. MK-ST-F-027 accountId
11. MK-XS-F-064 currentIdToken
12. MK-XS-F-112 relayUrl</t>
        </is>
      </c>
      <c r="R218"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18" s="3" t="inlineStr">
        <is>
          <t>—</t>
        </is>
      </c>
      <c r="T218" s="3" t="inlineStr">
        <is>
          <t>—</t>
        </is>
      </c>
      <c r="U218" s="3" t="inlineStr">
        <is>
          <t>ACTIVE</t>
        </is>
      </c>
      <c r="V218" s="3" t="inlineStr">
        <is>
          <t>2026-08-27</t>
        </is>
      </c>
      <c r="Y218" s="3" t="inlineStr">
        <is>
          <t>NOTHING OPEN</t>
        </is>
      </c>
    </row>
    <row r="219">
      <c r="A219" s="3" t="inlineStr">
        <is>
          <t>MK-NW-F-018</t>
        </is>
      </c>
      <c r="B219" s="3" t="inlineStr">
        <is>
          <t>fixedIncomeTotal</t>
        </is>
      </c>
      <c r="C219" s="3" t="inlineStr">
        <is>
          <t>src/domain/assets/index.ts</t>
        </is>
      </c>
      <c r="D219" s="3" t="n">
        <v>689</v>
      </c>
      <c r="E219" s="3" t="inlineStr">
        <is>
          <t>3 · DEPENDENT (feeds an action only)</t>
        </is>
      </c>
      <c r="F219" s="3" t="inlineStr">
        <is>
          <t>NOT DETERMINED — the code carries no note saying what this is for, and it has no row in the old inventory. Needs reading.</t>
        </is>
      </c>
      <c r="G219" s="13" t="inlineStr">
        <is>
          <t>sum where(accounts, (a) =&gt; asset class of(a) = 'bonds')</t>
        </is>
      </c>
      <c r="H219" s="3" t="inlineStr">
        <is>
          <t>sum where(accounts, (a) =&gt; asset class of(a) = 'bonds').</t>
        </is>
      </c>
      <c r="I219" s="3" t="inlineStr">
        <is>
          <t>PARTLY READ — some of the code is still showing through; needs a hand pass</t>
        </is>
      </c>
      <c r="J219" s="3" t="inlineStr">
        <is>
          <t>accounts: AssetAccount[]</t>
        </is>
      </c>
      <c r="K219" s="3" t="inlineStr">
        <is>
          <t>number</t>
        </is>
      </c>
      <c r="L219" s="3" t="inlineStr">
        <is>
          <t>—</t>
        </is>
      </c>
      <c r="M219" s="3" t="inlineStr">
        <is>
          <t>None found in this function — anything it assumes comes from the functions it depends on.</t>
        </is>
      </c>
      <c r="N219" s="3" t="inlineStr">
        <is>
          <t>No</t>
        </is>
      </c>
      <c r="O219" s="3" t="inlineStr">
        <is>
          <t>1. MK-NW-F-011 assetClassOf
2. MK-NW-F-066 sumWhere</t>
        </is>
      </c>
      <c r="P219" s="3" t="n">
        <v>12</v>
      </c>
      <c r="Q219" s="3" t="inlineStr">
        <is>
          <t>1. MK-NW-F-011 assetClassOf
2. MK-NW-F-066 sumWhere
3. MK-NW-F-008 incomeBearingClassOf
4. MK-CF-F-155 cash
5. MK-ST-F-010 nameEvidence
6. MK-XS-F-122 n
7. MK-XS-F-147 call
8. MK-ST-F-056 has
9. MK-CF-F-132 map
10. MK-ST-F-027 accountId
11. MK-XS-F-064 currentIdToken
12. MK-XS-F-112 relayUrl</t>
        </is>
      </c>
      <c r="R219"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19" s="3" t="inlineStr">
        <is>
          <t>—</t>
        </is>
      </c>
      <c r="T219" s="3" t="inlineStr">
        <is>
          <t>—</t>
        </is>
      </c>
      <c r="U219" s="3" t="inlineStr">
        <is>
          <t>ACTIVE</t>
        </is>
      </c>
      <c r="V219" s="3" t="inlineStr">
        <is>
          <t>2026-08-27</t>
        </is>
      </c>
      <c r="Y219" s="3" t="inlineStr">
        <is>
          <t>NOTHING OPEN</t>
        </is>
      </c>
    </row>
    <row r="220">
      <c r="A220" s="3" t="inlineStr">
        <is>
          <t>MK-NW-F-019</t>
        </is>
      </c>
      <c r="B220" s="3" t="inlineStr">
        <is>
          <t>alternativesTotal</t>
        </is>
      </c>
      <c r="C220" s="3" t="inlineStr">
        <is>
          <t>src/domain/assets/index.ts</t>
        </is>
      </c>
      <c r="D220" s="3" t="n">
        <v>707</v>
      </c>
      <c r="E220" s="3" t="inlineStr">
        <is>
          <t>3 · DEPENDENT (feeds an action only)</t>
        </is>
      </c>
      <c r="F220" s="3" t="inlineStr">
        <is>
          <t>NOT DETERMINED — the code carries no note saying what this is for, and it has no row in the old inventory. Needs reading.</t>
        </is>
      </c>
      <c r="G220" s="13" t="inlineStr">
        <is>
          <t>sum where(accounts, (a) =&gt; asset class of(a) = 'alternatives')</t>
        </is>
      </c>
      <c r="H220" s="3" t="inlineStr">
        <is>
          <t>sum where(accounts, (a) =&gt; asset class of(a) = 'alternatives').</t>
        </is>
      </c>
      <c r="I220" s="3" t="inlineStr">
        <is>
          <t>PARTLY READ — some of the code is still showing through; needs a hand pass</t>
        </is>
      </c>
      <c r="J220" s="3" t="inlineStr">
        <is>
          <t>accounts: AssetAccount[]</t>
        </is>
      </c>
      <c r="K220" s="3" t="inlineStr">
        <is>
          <t>number</t>
        </is>
      </c>
      <c r="L220" s="3" t="inlineStr">
        <is>
          <t>—</t>
        </is>
      </c>
      <c r="M220" s="3" t="inlineStr">
        <is>
          <t>None found in this function — anything it assumes comes from the functions it depends on.</t>
        </is>
      </c>
      <c r="N220" s="3" t="inlineStr">
        <is>
          <t>No</t>
        </is>
      </c>
      <c r="O220" s="3" t="inlineStr">
        <is>
          <t>1. MK-NW-F-011 assetClassOf
2. MK-NW-F-066 sumWhere</t>
        </is>
      </c>
      <c r="P220" s="3" t="n">
        <v>12</v>
      </c>
      <c r="Q220" s="3" t="inlineStr">
        <is>
          <t>1. MK-NW-F-011 assetClassOf
2. MK-NW-F-066 sumWhere
3. MK-NW-F-008 incomeBearingClassOf
4. MK-CF-F-155 cash
5. MK-ST-F-010 nameEvidence
6. MK-XS-F-122 n
7. MK-XS-F-147 call
8. MK-ST-F-056 has
9. MK-CF-F-132 map
10. MK-ST-F-027 accountId
11. MK-XS-F-064 currentIdToken
12. MK-XS-F-112 relayUrl</t>
        </is>
      </c>
      <c r="R220"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20" s="3" t="inlineStr">
        <is>
          <t>—</t>
        </is>
      </c>
      <c r="T220" s="3" t="inlineStr">
        <is>
          <t>—</t>
        </is>
      </c>
      <c r="U220" s="3" t="inlineStr">
        <is>
          <t>ACTIVE</t>
        </is>
      </c>
      <c r="V220" s="3" t="inlineStr">
        <is>
          <t>2026-08-27</t>
        </is>
      </c>
      <c r="Y220" s="3" t="inlineStr">
        <is>
          <t>NOTHING OPEN</t>
        </is>
      </c>
    </row>
    <row r="221">
      <c r="A221" s="3" t="inlineStr">
        <is>
          <t>MK-NW-F-020</t>
        </is>
      </c>
      <c r="B221" s="3" t="inlineStr">
        <is>
          <t>realEstateTotal</t>
        </is>
      </c>
      <c r="C221" s="3" t="inlineStr">
        <is>
          <t>src/domain/assets/index.ts</t>
        </is>
      </c>
      <c r="D221" s="3" t="n">
        <v>725</v>
      </c>
      <c r="E221" s="3" t="inlineStr">
        <is>
          <t>3 · DEPENDENT (feeds an action only)</t>
        </is>
      </c>
      <c r="F221" s="3" t="inlineStr">
        <is>
          <t>NOT DETERMINED — the code carries no note saying what this is for, and it has no row in the old inventory. Needs reading.</t>
        </is>
      </c>
      <c r="G221" s="13" t="inlineStr">
        <is>
          <t>sum where(accounts, (a) =&gt; asset class of(a) = 'real_estate')</t>
        </is>
      </c>
      <c r="H221" s="3" t="inlineStr">
        <is>
          <t>sum where(accounts, (a) =&gt; asset class of(a) = 'real_estate').</t>
        </is>
      </c>
      <c r="I221" s="3" t="inlineStr">
        <is>
          <t>PARTLY READ — some of the code is still showing through; needs a hand pass</t>
        </is>
      </c>
      <c r="J221" s="3" t="inlineStr">
        <is>
          <t>accounts: AssetAccount[]</t>
        </is>
      </c>
      <c r="K221" s="3" t="inlineStr">
        <is>
          <t>number</t>
        </is>
      </c>
      <c r="L221" s="3" t="inlineStr">
        <is>
          <t>—</t>
        </is>
      </c>
      <c r="M221" s="3" t="inlineStr">
        <is>
          <t>None found in this function — anything it assumes comes from the functions it depends on.</t>
        </is>
      </c>
      <c r="N221" s="3" t="inlineStr">
        <is>
          <t>No</t>
        </is>
      </c>
      <c r="O221" s="3" t="inlineStr">
        <is>
          <t>1. MK-NW-F-011 assetClassOf
2. MK-NW-F-066 sumWhere</t>
        </is>
      </c>
      <c r="P221" s="3" t="n">
        <v>12</v>
      </c>
      <c r="Q221" s="3" t="inlineStr">
        <is>
          <t>1. MK-NW-F-011 assetClassOf
2. MK-NW-F-066 sumWhere
3. MK-NW-F-008 incomeBearingClassOf
4. MK-CF-F-155 cash
5. MK-ST-F-010 nameEvidence
6. MK-XS-F-122 n
7. MK-XS-F-147 call
8. MK-ST-F-056 has
9. MK-CF-F-132 map
10. MK-ST-F-027 accountId
11. MK-XS-F-064 currentIdToken
12. MK-XS-F-112 relayUrl</t>
        </is>
      </c>
      <c r="R221"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21" s="3" t="inlineStr">
        <is>
          <t>—</t>
        </is>
      </c>
      <c r="T221" s="3" t="inlineStr">
        <is>
          <t>—</t>
        </is>
      </c>
      <c r="U221" s="3" t="inlineStr">
        <is>
          <t>ACTIVE</t>
        </is>
      </c>
      <c r="V221" s="3" t="inlineStr">
        <is>
          <t>2026-08-27</t>
        </is>
      </c>
      <c r="Y221" s="3" t="inlineStr">
        <is>
          <t>NOTHING OPEN</t>
        </is>
      </c>
    </row>
    <row r="222">
      <c r="A222" s="3" t="inlineStr">
        <is>
          <t>MK-NW-F-021</t>
        </is>
      </c>
      <c r="B222" s="3" t="inlineStr">
        <is>
          <t>investmentsTotal</t>
        </is>
      </c>
      <c r="C222" s="3" t="inlineStr">
        <is>
          <t>src/domain/assets/index.ts</t>
        </is>
      </c>
      <c r="D222" s="3" t="n">
        <v>745</v>
      </c>
      <c r="E222" s="3" t="inlineStr">
        <is>
          <t>2 · DISPLAYED</t>
        </is>
      </c>
      <c r="F222" s="3" t="inlineStr">
        <is>
          <t>Investments / holdings (allocation view, Term #4) = equities + fixed income + alternatives, ACROSS all wrappers (so a 401(k)'s stocks count).</t>
        </is>
      </c>
      <c r="G222" s="13" t="inlineStr">
        <is>
          <t>sum where(accounts, (a) =&gt; { const c = asset class of(a); return c = 'stocks_etf' or c = 'bonds' or c = 'alternatives' or c = 'mixed'; })</t>
        </is>
      </c>
      <c r="H222" s="3" t="inlineStr">
        <is>
          <t>sum where(accounts, (a) =&gt; { const c = asset class of(a); return c = 'stocks_etf' or c = 'bonds' or c = 'alternatives' or c = 'mixed'; }).</t>
        </is>
      </c>
      <c r="I222" s="3" t="inlineStr">
        <is>
          <t>PARTLY READ — some of the code is still showing through; needs a hand pass</t>
        </is>
      </c>
      <c r="J222" s="3" t="inlineStr">
        <is>
          <t>accounts: AssetAccount[]</t>
        </is>
      </c>
      <c r="K222" s="3" t="inlineStr">
        <is>
          <t>number</t>
        </is>
      </c>
      <c r="L222" s="3" t="inlineStr">
        <is>
          <t>"YOUR INVESTMENTS" — on the Home screen, under "WHAT YOU"</t>
        </is>
      </c>
      <c r="M222" s="3" t="inlineStr">
        <is>
          <t>None found in this function — anything it assumes comes from the functions it depends on.</t>
        </is>
      </c>
      <c r="N222" s="3" t="inlineStr">
        <is>
          <t>Yes</t>
        </is>
      </c>
      <c r="O222" s="3" t="inlineStr">
        <is>
          <t>1. MK-NW-F-011 assetClassOf
2. MK-NW-F-066 sumWhere</t>
        </is>
      </c>
      <c r="P222" s="3" t="n">
        <v>12</v>
      </c>
      <c r="Q222" s="3" t="inlineStr">
        <is>
          <t>1. MK-NW-F-011 assetClassOf
2. MK-NW-F-066 sumWhere
3. MK-NW-F-008 incomeBearingClassOf
4. MK-CF-F-155 cash
5. MK-ST-F-010 nameEvidence
6. MK-XS-F-122 n
7. MK-XS-F-147 call
8. MK-ST-F-056 has
9. MK-CF-F-132 map
10. MK-ST-F-027 accountId
11. MK-XS-F-064 currentIdToken
12. MK-XS-F-112 relayUrl</t>
        </is>
      </c>
      <c r="R222"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22" s="3" t="inlineStr">
        <is>
          <t>MK-XS-M-003</t>
        </is>
      </c>
      <c r="T222" s="3" t="inlineStr">
        <is>
          <t>TOTAL_INVESTMENTS</t>
        </is>
      </c>
      <c r="U222" s="3" t="inlineStr">
        <is>
          <t>ACTIVE</t>
        </is>
      </c>
      <c r="V222" s="3" t="inlineStr">
        <is>
          <t>2026-08-27</t>
        </is>
      </c>
      <c r="Y222" s="6" t="inlineStr">
        <is>
          <t>TESTED, NOT VERIFIED (C3)</t>
        </is>
      </c>
    </row>
    <row r="223">
      <c r="A223" s="3" t="inlineStr">
        <is>
          <t>MK-NW-F-022</t>
        </is>
      </c>
      <c r="B223" s="3" t="inlineStr">
        <is>
          <t>investableAssets</t>
        </is>
      </c>
      <c r="C223" s="3" t="inlineStr">
        <is>
          <t>src/domain/assets/index.ts</t>
        </is>
      </c>
      <c r="D223" s="3" t="n">
        <v>765</v>
      </c>
      <c r="E223" s="3" t="inlineStr">
        <is>
          <t>2 · DISPLAYED</t>
        </is>
      </c>
      <c r="F223" s="3" t="inlineStr">
        <is>
          <t>Investable assets (Term #4) = all financial assets (cash + investments + retirement balances), EXCLUDING real estate + personal property.</t>
        </is>
      </c>
      <c r="G223" s="13" t="inlineStr">
        <is>
          <t>sum where(accounts, (a) =&gt; !is real asset(a))</t>
        </is>
      </c>
      <c r="H223" s="3" t="inlineStr">
        <is>
          <t>sum where(accounts, (a) =&gt; !is real asset(a)).</t>
        </is>
      </c>
      <c r="I223" s="3" t="inlineStr">
        <is>
          <t>PARTLY READ — some of the code is still showing through; needs a hand pass</t>
        </is>
      </c>
      <c r="J223" s="3" t="inlineStr">
        <is>
          <t>accounts: AssetAccount[]</t>
        </is>
      </c>
      <c r="K223" s="3" t="inlineStr">
        <is>
          <t>number</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1. MK-NW-F-014 isRealAsset
2. MK-NW-F-066 sumWhere
3. MK-NW-F-015 totalAssets</t>
        </is>
      </c>
      <c r="P223" s="3" t="n">
        <v>14</v>
      </c>
      <c r="Q223"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23"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23" s="3" t="inlineStr">
        <is>
          <t>MK-MN-M-016</t>
        </is>
      </c>
      <c r="T223" s="3" t="inlineStr">
        <is>
          <t>TOTAL_INVESTABLE</t>
        </is>
      </c>
      <c r="U223" s="3" t="inlineStr">
        <is>
          <t>ACTIVE</t>
        </is>
      </c>
      <c r="V223" s="3" t="inlineStr">
        <is>
          <t>2026-08-27</t>
        </is>
      </c>
      <c r="Y223" s="3" t="inlineStr">
        <is>
          <t>NOTHING OPEN</t>
        </is>
      </c>
    </row>
    <row r="224">
      <c r="A224" s="3" t="inlineStr">
        <is>
          <t>MK-NW-F-023</t>
        </is>
      </c>
      <c r="B224" s="3" t="inlineStr">
        <is>
          <t>wrapperWord</t>
        </is>
      </c>
      <c r="C224" s="3" t="inlineStr">
        <is>
          <t>src/domain/assets/index.ts</t>
        </is>
      </c>
      <c r="D224" s="3" t="n">
        <v>806</v>
      </c>
      <c r="E224" s="3" t="inlineStr">
        <is>
          <t>1 · ACTION</t>
        </is>
      </c>
      <c r="F224" s="3" t="inlineStr">
        <is>
          <t>NOT DETERMINED — the code carries no note saying what this is for, and it has no row in the old inventory. Needs reading.</t>
        </is>
      </c>
      <c r="G224" s="13" t="inlineStr">
        <is>
          <t>KIND_TO_WRAPPER[kind] (or '' when missing)   if kind
''   otherwise</t>
        </is>
      </c>
      <c r="H224" s="3" t="inlineStr">
        <is>
          <t>KIND_TO_WRAPPER[kind] (or '' when missing) — when kind; '' — otherwise</t>
        </is>
      </c>
      <c r="I224" s="3" t="inlineStr">
        <is>
          <t>READ FROM THE CODE — rendered from the expressions the function runs</t>
        </is>
      </c>
      <c r="J224" s="3" t="inlineStr">
        <is>
          <t>kind?: string</t>
        </is>
      </c>
      <c r="K224" s="3" t="inlineStr">
        <is>
          <t>string</t>
        </is>
      </c>
      <c r="L224" s="3" t="inlineStr">
        <is>
          <t>—</t>
        </is>
      </c>
      <c r="M224" s="3" t="inlineStr">
        <is>
          <t>None found in this function — anything it assumes comes from the functions it depends on.</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Y224" s="3" t="inlineStr">
        <is>
          <t>NOTHING OPEN</t>
        </is>
      </c>
    </row>
    <row r="225">
      <c r="A225" s="3" t="inlineStr">
        <is>
          <t>MK-NW-F-024</t>
        </is>
      </c>
      <c r="B225" s="3" t="inlineStr">
        <is>
          <t>accountLastFour</t>
        </is>
      </c>
      <c r="C225" s="3" t="inlineStr">
        <is>
          <t>src/domain/assets/index.ts</t>
        </is>
      </c>
      <c r="D225" s="3" t="n">
        <v>834</v>
      </c>
      <c r="E225" s="3" t="inlineStr">
        <is>
          <t>3 · DEPENDENT</t>
        </is>
      </c>
      <c r="F225" s="3" t="inlineStr">
        <is>
          <t>The last four digits of an account, or null when we genuinely don't have them.</t>
        </is>
      </c>
      <c r="G225" s="13" t="inlineStr">
        <is>
          <t>digits = string(raw ?? '').replace( ÷ \D ÷ g, '')
digits.slice(-4)   when digits.length ≥ 4
[LOOP — the answer is found inside a loop the extractor cannot render; the steps above are the ones before it. Read by hand.]</t>
        </is>
      </c>
      <c r="H225" s="3" t="inlineStr">
        <is>
          <t>Digits is string(raw ?? '').replace( divided by \D divided by g, ''). When digits.length is at least 4, it answers digits.slice(-4). The answer is no answer. The answer is found inside a loop that cannot be rendered here; read the code by hand.</t>
        </is>
      </c>
      <c r="I225" s="3" t="inlineStr">
        <is>
          <t>PARTLY READ — the body has a loop the extractor cannot render; the steps shown are the ones before it. Needs a hand pass (G23).</t>
        </is>
      </c>
      <c r="J225" s="3" t="inlineStr">
        <is>
          <t>a: { mask?: string; account_number?: string }</t>
        </is>
      </c>
      <c r="K225" s="3" t="inlineStr">
        <is>
          <t>string | null</t>
        </is>
      </c>
      <c r="L225" s="3" t="inlineStr">
        <is>
          <t>—</t>
        </is>
      </c>
      <c r="M225" s="3" t="inlineStr">
        <is>
          <t>None found in this function — anything it assumes comes from the functions it depends on.</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2026-09-08</t>
        </is>
      </c>
      <c r="Y225" s="3" t="inlineStr">
        <is>
          <t>NOTHING OPEN</t>
        </is>
      </c>
    </row>
    <row r="226">
      <c r="A226" s="3" t="inlineStr">
        <is>
          <t>MK-NW-F-025</t>
        </is>
      </c>
      <c r="B226" s="3" t="inlineStr">
        <is>
          <t>accountDisplayName</t>
        </is>
      </c>
      <c r="C226" s="3" t="inlineStr">
        <is>
          <t>src/domain/assets/index.ts</t>
        </is>
      </c>
      <c r="D226" s="3" t="n">
        <v>881</v>
      </c>
      <c r="E226" s="3" t="inlineStr">
        <is>
          <t>3 · DEPENDENT</t>
        </is>
      </c>
      <c r="F226"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26" s="13"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26"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26" s="3" t="inlineStr">
        <is>
          <t>PARTLY READ — some of the code is still showing through; needs a hand pass</t>
        </is>
      </c>
      <c r="J226" s="3" t="inlineStr">
        <is>
          <t>a: Pick&lt;AssetAccount, 'label' | 'institution' | 'mask'&gt; &amp; { positions?: unknown[]; kind?: string; tax_bucket?: TaxBucket; tax_treatment?: TaxTreatment }</t>
        </is>
      </c>
      <c r="K226" s="3" t="inlineStr">
        <is>
          <t>string</t>
        </is>
      </c>
      <c r="L226" s="3" t="inlineStr">
        <is>
          <t>—</t>
        </is>
      </c>
      <c r="M226" s="3" t="inlineStr">
        <is>
          <t>None found in this function — anything it assumes comes from the functions it depends on.</t>
        </is>
      </c>
      <c r="N226" s="3" t="inlineStr">
        <is>
          <t>Yes</t>
        </is>
      </c>
      <c r="O226" s="3" t="inlineStr">
        <is>
          <t>1. MK-NW-F-026 accountDisplayNames
2. MK-NW-F-024 accountLastFour
3. MK-NW-F-012 taxTreatmentOf
4. MK-NW-F-023 wrapperWord</t>
        </is>
      </c>
      <c r="P226" s="3" t="n">
        <v>7</v>
      </c>
      <c r="Q226" s="3" t="inlineStr">
        <is>
          <t>1. MK-NW-F-026 accountDisplayNames
2. MK-NW-F-024 accountLastFour
3. MK-NW-F-012 taxTreatmentOf
4. MK-NW-F-023 wrapperWord
5. MK-CF-F-155 cash
6. MK-CF-F-132 map
7. MK-XS-F-122 n</t>
        </is>
      </c>
      <c r="R226"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26" s="3" t="inlineStr">
        <is>
          <t>—</t>
        </is>
      </c>
      <c r="T226" s="3" t="inlineStr">
        <is>
          <t>—</t>
        </is>
      </c>
      <c r="U226" s="3" t="inlineStr">
        <is>
          <t>ACTIVE</t>
        </is>
      </c>
      <c r="V226" s="3" t="inlineStr">
        <is>
          <t>2026-08-27</t>
        </is>
      </c>
      <c r="Y226" s="3" t="inlineStr">
        <is>
          <t>NOTHING OPEN</t>
        </is>
      </c>
    </row>
    <row r="227">
      <c r="A227" s="3" t="inlineStr">
        <is>
          <t>MK-NW-F-026</t>
        </is>
      </c>
      <c r="B227" s="3" t="inlineStr">
        <is>
          <t>accountDisplayNames</t>
        </is>
      </c>
      <c r="C227" s="3" t="inlineStr">
        <is>
          <t>src/domain/assets/index.ts</t>
        </is>
      </c>
      <c r="D227" s="3" t="n">
        <v>955</v>
      </c>
      <c r="E227" s="3" t="inlineStr">
        <is>
          <t>2 · DISPLAYED</t>
        </is>
      </c>
      <c r="F227" s="3" t="inlineStr">
        <is>
          <t>Display names for a whole LIST of accounts.</t>
        </is>
      </c>
      <c r="G227" s="13" t="inlineStr">
        <is>
          <t>base = a lookup of for each of accounts: [asset id, account display name(each)]
counts = new map&lt;string, number&gt;()
seen = new map&lt;string, number&gt;()
out = new map&lt;string, string&gt;()
n = base.get(asset id)!
i = (seen.get(n) ?? 0) + 1
the answer = out</t>
        </is>
      </c>
      <c r="H227" s="3" t="inlineStr">
        <is>
          <t>Base is a lookup of for each of accounts: [asset id, account display name(each)]. Counts is new map&lt;string, number&gt;(). Seen is new map&lt;string, number&gt;(). Out is new map&lt;string, string&gt;(). N is base.get(asset id)!. I is (seen.get(n) ?? 0) plus 1. The answer is out.</t>
        </is>
      </c>
      <c r="I227" s="3" t="inlineStr">
        <is>
          <t>PARTLY READ — some of the code is still showing through; needs a hand pass</t>
        </is>
      </c>
      <c r="J227" s="3" t="inlineStr">
        <is>
          <t>accounts: (Pick&lt;AssetAccount, 'asset_id' | 'label' | 'institution' | 'mask'&gt; &amp; { positions?: unknown[] })[]</t>
        </is>
      </c>
      <c r="K227" s="3" t="inlineStr">
        <is>
          <t>Map&lt;string, string&gt;</t>
        </is>
      </c>
      <c r="L227" s="3" t="inlineStr">
        <is>
          <t>"Bonds &amp; alternatives — recorded on their own pages" — on the Performance screen</t>
        </is>
      </c>
      <c r="M227" s="3" t="inlineStr">
        <is>
          <t>None found in this function — anything it assumes comes from the functions it depends on.</t>
        </is>
      </c>
      <c r="N227" s="3" t="inlineStr">
        <is>
          <t>Yes</t>
        </is>
      </c>
      <c r="O227" s="3" t="inlineStr">
        <is>
          <t>1. MK-NW-F-025 accountDisplayName
2. MK-CF-F-155 cash
3. MK-CF-F-132 map
4. MK-XS-F-122 n</t>
        </is>
      </c>
      <c r="P227" s="3" t="n">
        <v>7</v>
      </c>
      <c r="Q227" s="3" t="inlineStr">
        <is>
          <t>1. MK-NW-F-025 accountDisplayName
2. MK-CF-F-155 cash
3. MK-CF-F-132 map
4. MK-XS-F-122 n
5. MK-NW-F-024 accountLastFour
6. MK-NW-F-012 taxTreatmentOf
7. MK-NW-F-023 wrapperWord</t>
        </is>
      </c>
      <c r="R227"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27" s="3" t="inlineStr">
        <is>
          <t>—</t>
        </is>
      </c>
      <c r="T227" s="3" t="inlineStr">
        <is>
          <t>ACCOUNT_NAMES</t>
        </is>
      </c>
      <c r="U227" s="3" t="inlineStr">
        <is>
          <t>ACTIVE</t>
        </is>
      </c>
      <c r="V227" s="3" t="inlineStr">
        <is>
          <t>2026-08-27</t>
        </is>
      </c>
      <c r="Y227" s="3" t="inlineStr">
        <is>
          <t>NOTHING OPEN</t>
        </is>
      </c>
    </row>
    <row r="228">
      <c r="A228" s="3" t="inlineStr">
        <is>
          <t>MK-NW-F-027</t>
        </is>
      </c>
      <c r="B228" s="3" t="inlineStr">
        <is>
          <t>accountClassBreakdown</t>
        </is>
      </c>
      <c r="C228" s="3" t="inlineStr">
        <is>
          <t>src/domain/assets/index.ts</t>
        </is>
      </c>
      <c r="D228" s="3" t="n">
        <v>1024</v>
      </c>
      <c r="E228" s="3" t="inlineStr">
        <is>
          <t>2 · DISPLAYED</t>
        </is>
      </c>
      <c r="F228"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28" s="13"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28"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28" s="3" t="inlineStr">
        <is>
          <t>PARTLY READ — some of the code is still showing through; needs a hand pass</t>
        </is>
      </c>
      <c r="J228" s="3" t="inlineStr">
        <is>
          <t>a: AssetAccount</t>
        </is>
      </c>
      <c r="K228" s="3" t="inlineStr">
        <is>
          <t>Record&lt;AssetClass, number&gt; | null</t>
        </is>
      </c>
      <c r="L228" s="3" t="inlineStr">
        <is>
          <t>NOT FOUND — a screen calls it, but the words printed beside its answer could not be traced automatically. Needs reading.</t>
        </is>
      </c>
      <c r="M228"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28" s="3" t="inlineStr">
        <is>
          <t>Yes</t>
        </is>
      </c>
      <c r="O228" s="3" t="inlineStr">
        <is>
          <t>1. MK-NW-F-011 assetClassOf
2. MK-CF-F-155 cash
3. MK-NW-F-008 incomeBearingClassOf</t>
        </is>
      </c>
      <c r="P228" s="3" t="n">
        <v>11</v>
      </c>
      <c r="Q228" s="3" t="inlineStr">
        <is>
          <t>1. MK-NW-F-011 assetClassOf
2. MK-CF-F-155 cash
3. MK-NW-F-008 incomeBearingClassOf
4. MK-XS-F-122 n
5. MK-ST-F-010 nameEvidence
6. MK-XS-F-147 call
7. MK-ST-F-056 has
8. MK-CF-F-132 map
9. MK-ST-F-027 accountId
10. MK-XS-F-064 currentIdToken
11. MK-XS-F-112 relayUrl</t>
        </is>
      </c>
      <c r="R228"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28" s="3" t="inlineStr">
        <is>
          <t>MK-NW-M-008 · MK-NW-M-020</t>
        </is>
      </c>
      <c r="T228" s="3" t="inlineStr">
        <is>
          <t>ACCOUNT_SPLIT</t>
        </is>
      </c>
      <c r="U228" s="3" t="inlineStr">
        <is>
          <t>ACTIVE</t>
        </is>
      </c>
      <c r="V228" s="3" t="inlineStr">
        <is>
          <t>2026-09-09</t>
        </is>
      </c>
      <c r="Y228" s="3" t="inlineStr">
        <is>
          <t>NOTHING OPEN</t>
        </is>
      </c>
    </row>
    <row r="229">
      <c r="A229" s="3" t="inlineStr">
        <is>
          <t>MK-NW-F-028</t>
        </is>
      </c>
      <c r="B229" s="3" t="inlineStr">
        <is>
          <t>classPortionLabel</t>
        </is>
      </c>
      <c r="C229" s="3" t="inlineStr">
        <is>
          <t>src/domain/assets/index.ts</t>
        </is>
      </c>
      <c r="D229" s="3" t="n">
        <v>1134</v>
      </c>
      <c r="E229" s="3" t="inlineStr">
        <is>
          <t>2 · DISPLAYED</t>
        </is>
      </c>
      <c r="F229" s="3" t="inlineStr">
        <is>
          <t>Plain words for an account's slice inside a class row.</t>
        </is>
      </c>
      <c r="G229" s="13"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29"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29" s="3" t="inlineStr">
        <is>
          <t>PARTLY READ — some of the code is still showing through; needs a hand pass</t>
        </is>
      </c>
      <c r="J229" s="3" t="inlineStr">
        <is>
          <t>1. a: AssetAccount
2. cls: AssetClass</t>
        </is>
      </c>
      <c r="K229" s="3" t="inlineStr">
        <is>
          <t>string</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1. MK-XS-F-120 nameOf
2. MK-NW-F-067 plural</t>
        </is>
      </c>
      <c r="P229" s="3" t="n">
        <v>2</v>
      </c>
      <c r="Q229" s="3" t="inlineStr">
        <is>
          <t>1. MK-XS-F-120 nameOf
2. MK-NW-F-067 plural</t>
        </is>
      </c>
      <c r="R229" s="3" t="inlineStr">
        <is>
          <t>1. MK-XS-F-120 nameOf → MK-NW-F-028 classPortionLabel
2. MK-NW-F-067 plural → MK-NW-F-028 classPortionLabel</t>
        </is>
      </c>
      <c r="S229" s="3" t="inlineStr">
        <is>
          <t>—</t>
        </is>
      </c>
      <c r="T229" s="3" t="inlineStr">
        <is>
          <t>SLICE_WORDING</t>
        </is>
      </c>
      <c r="U229" s="3" t="inlineStr">
        <is>
          <t>ACTIVE</t>
        </is>
      </c>
      <c r="V229" s="3" t="inlineStr">
        <is>
          <t>2026-08-27</t>
        </is>
      </c>
      <c r="Y229" s="3" t="inlineStr">
        <is>
          <t>NOTHING OPEN</t>
        </is>
      </c>
    </row>
    <row r="230">
      <c r="A230" s="3" t="inlineStr">
        <is>
          <t>MK-NW-F-029</t>
        </is>
      </c>
      <c r="B230" s="3" t="inlineStr">
        <is>
          <t>assetAllocation</t>
        </is>
      </c>
      <c r="C230" s="3" t="inlineStr">
        <is>
          <t>src/domain/assets/index.ts</t>
        </is>
      </c>
      <c r="D230" s="3" t="n">
        <v>1198</v>
      </c>
      <c r="E230" s="3" t="inlineStr">
        <is>
          <t>2 · DISPLAYED</t>
        </is>
      </c>
      <c r="F230" s="3" t="inlineStr">
        <is>
          <t>How much money sits in each of the seven classes?</t>
        </is>
      </c>
      <c r="G230" s="13" t="inlineStr">
        <is>
          <t>out = cash = 0
bonds = 0
stocks etf = 0
alternatives = 0
real estate = 0
personal property = 0
mixed = 0
b = account class breakdown(a)
the answer = out</t>
        </is>
      </c>
      <c r="H230" s="3" t="inlineStr">
        <is>
          <t>Out is cash = 0; bonds = 0; stocks etf = 0; alternatives = 0; real estate = 0; personal property = 0; mixed = 0. B is account class breakdown(a). The answer is out.</t>
        </is>
      </c>
      <c r="I230" s="3" t="inlineStr">
        <is>
          <t>READ FROM THE CODE — rendered from the expressions the function runs</t>
        </is>
      </c>
      <c r="J230" s="3" t="inlineStr">
        <is>
          <t>accounts: AssetAccount[]</t>
        </is>
      </c>
      <c r="K230" s="3" t="inlineStr">
        <is>
          <t>Record&lt;AssetClass, number&gt;</t>
        </is>
      </c>
      <c r="L230" s="3" t="inlineStr">
        <is>
          <t>NOT FOUND — a screen calls it, but the words printed beside its answer could not be traced automatically. Needs reading.</t>
        </is>
      </c>
      <c r="M230" s="3" t="inlineStr">
        <is>
          <t>· If balance is missing it counts as zero, so nothing recorded and a real zero look the same.</t>
        </is>
      </c>
      <c r="N230" s="3" t="inlineStr">
        <is>
          <t>Yes</t>
        </is>
      </c>
      <c r="O230" s="3" t="inlineStr">
        <is>
          <t>1. MK-NW-F-027 accountClassBreakdown
2. MK-NW-F-011 assetClassOf</t>
        </is>
      </c>
      <c r="P230" s="3" t="n">
        <v>12</v>
      </c>
      <c r="Q230"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0"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30" s="3" t="inlineStr">
        <is>
          <t>MK-NW-M-007</t>
        </is>
      </c>
      <c r="T230" s="3" t="inlineStr">
        <is>
          <t>ALLOCATION_BY_CLASS</t>
        </is>
      </c>
      <c r="U230" s="3" t="inlineStr">
        <is>
          <t>ACTIVE</t>
        </is>
      </c>
      <c r="V230" s="3" t="inlineStr">
        <is>
          <t>2026-08-27</t>
        </is>
      </c>
      <c r="Y230" s="3" t="inlineStr">
        <is>
          <t>NOTHING OPEN</t>
        </is>
      </c>
    </row>
    <row r="231">
      <c r="A231" s="3" t="inlineStr">
        <is>
          <t>MK-NW-F-030</t>
        </is>
      </c>
      <c r="B231" s="3" t="inlineStr">
        <is>
          <t>earmarkDefault</t>
        </is>
      </c>
      <c r="C231" s="3" t="inlineStr">
        <is>
          <t>src/domain/assets/index.ts</t>
        </is>
      </c>
      <c r="D231" s="3" t="n">
        <v>1254</v>
      </c>
      <c r="E231" s="3" t="inlineStr">
        <is>
          <t>2 · DISPLAYED</t>
        </is>
      </c>
      <c r="F231" s="3" t="inlineStr">
        <is>
          <t>Default % of an account that's earmarked for retirement (rest funds other goals).</t>
        </is>
      </c>
      <c r="G231" s="13" t="inlineStr">
        <is>
          <t>0   when kind = 'college_529'
0   when asset class of(a) = 'real_estate' and real estate use of(a) = 'primary'
0   when asset id = primary car id
100</t>
        </is>
      </c>
      <c r="H231" s="3" t="inlineStr">
        <is>
          <t>When kind = 'college_529', it answers 0. When asset class of(a) = 'real_estate' and real estate use of(a) = 'primary', it answers 0. When asset id = primary car id, it answers 0. 100.</t>
        </is>
      </c>
      <c r="I231" s="3" t="inlineStr">
        <is>
          <t>READ FROM THE CODE — rendered from the expressions the function runs</t>
        </is>
      </c>
      <c r="J231" s="3" t="inlineStr">
        <is>
          <t>1. a: AssetAccount
2. primaryCarId?: string</t>
        </is>
      </c>
      <c r="K231" s="3" t="inlineStr">
        <is>
          <t>number</t>
        </is>
      </c>
      <c r="L231"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31" s="3" t="inlineStr">
        <is>
          <t>None found in this function — anything it assumes comes from the functions it depends on.</t>
        </is>
      </c>
      <c r="N231" s="3" t="inlineStr">
        <is>
          <t>Yes</t>
        </is>
      </c>
      <c r="O231" s="3" t="inlineStr">
        <is>
          <t>1. MK-NW-F-011 assetClassOf
2. MK-NW-F-013 realEstateUseOf</t>
        </is>
      </c>
      <c r="P231" s="3" t="n">
        <v>12</v>
      </c>
      <c r="Q231"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31"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31" s="3" t="inlineStr">
        <is>
          <t>—</t>
        </is>
      </c>
      <c r="T231" s="3" t="inlineStr">
        <is>
          <t>RETIREMENT_SHARE_DEFAULT</t>
        </is>
      </c>
      <c r="U231" s="3" t="inlineStr">
        <is>
          <t>ACTIVE</t>
        </is>
      </c>
      <c r="V231" s="3" t="inlineStr">
        <is>
          <t>2026-08-27</t>
        </is>
      </c>
      <c r="Y231" s="3" t="inlineStr">
        <is>
          <t>NOTHING OPEN</t>
        </is>
      </c>
    </row>
    <row r="232">
      <c r="A232" s="3" t="inlineStr">
        <is>
          <t>MK-NW-F-031</t>
        </is>
      </c>
      <c r="B232" s="3" t="inlineStr">
        <is>
          <t>primaryCarIdOf</t>
        </is>
      </c>
      <c r="C232" s="3" t="inlineStr">
        <is>
          <t>src/domain/assets/index.ts</t>
        </is>
      </c>
      <c r="D232" s="3" t="n">
        <v>1294</v>
      </c>
      <c r="E232" s="3" t="inlineStr">
        <is>
          <t>2 · DISPLAYED</t>
        </is>
      </c>
      <c r="F232" s="3" t="inlineStr">
        <is>
          <t>The vehicle treated as "the car you drive" — the most valuable one, so a second car stays a real asset.</t>
        </is>
      </c>
      <c r="G232" s="13"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32"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32" s="3" t="inlineStr">
        <is>
          <t>PARTLY READ — some of the code is still showing through; needs a hand pass</t>
        </is>
      </c>
      <c r="J232" s="3" t="inlineStr">
        <is>
          <t>accounts: AssetAccount[]</t>
        </is>
      </c>
      <c r="K232" s="3" t="inlineStr">
        <is>
          <t>string | undefined</t>
        </is>
      </c>
      <c r="L232" s="3" t="inlineStr">
        <is>
          <t>"WHAT COUNTS TOWARD RETIREMENT" — on a card used on more than one screen (PlanInputs), under "WHAT COUNTS TOWARD RETIREMENT"</t>
        </is>
      </c>
      <c r="M232" s="3" t="inlineStr">
        <is>
          <t>· If balance is missing it counts as zero, so nothing recorded and a real zero look the same.</t>
        </is>
      </c>
      <c r="N232" s="3" t="inlineStr">
        <is>
          <t>Yes</t>
        </is>
      </c>
      <c r="O232" s="3" t="inlineStr">
        <is>
          <t>MK-NW-F-011 assetClassOf</t>
        </is>
      </c>
      <c r="P232" s="3" t="n">
        <v>11</v>
      </c>
      <c r="Q232" s="3" t="inlineStr">
        <is>
          <t>1. MK-NW-F-011 assetClassOf
2. MK-NW-F-008 incomeBearingClassOf
3. MK-CF-F-155 cash
4. MK-ST-F-010 nameEvidence
5. MK-XS-F-122 n
6. MK-XS-F-147 call
7. MK-ST-F-056 has
8. MK-CF-F-132 map
9. MK-ST-F-027 accountId
10. MK-XS-F-064 currentIdToken
11. MK-XS-F-112 relayUrl</t>
        </is>
      </c>
      <c r="R232"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32" s="3" t="inlineStr">
        <is>
          <t>—</t>
        </is>
      </c>
      <c r="T232" s="3" t="inlineStr">
        <is>
          <t>PRIMARY_CAR</t>
        </is>
      </c>
      <c r="U232" s="3" t="inlineStr">
        <is>
          <t>ACTIVE</t>
        </is>
      </c>
      <c r="V232" s="3" t="inlineStr">
        <is>
          <t>2026-08-27</t>
        </is>
      </c>
      <c r="Y232" s="3" t="inlineStr">
        <is>
          <t>NOTHING OPEN</t>
        </is>
      </c>
    </row>
    <row r="233">
      <c r="A233" s="3" t="inlineStr">
        <is>
          <t>MK-NW-F-032</t>
        </is>
      </c>
      <c r="B233" s="3" t="inlineStr">
        <is>
          <t>earmarkedAmount</t>
        </is>
      </c>
      <c r="C233" s="3" t="inlineStr">
        <is>
          <t>src/domain/assets/index.ts</t>
        </is>
      </c>
      <c r="D233" s="3" t="n">
        <v>1335</v>
      </c>
      <c r="E233" s="3" t="inlineStr">
        <is>
          <t>2 · DISPLAYED</t>
        </is>
      </c>
      <c r="F233" s="3" t="inlineStr">
        <is>
          <t>The retirement-earmarked $ for one account (uses the saved % or the smart default).</t>
        </is>
      </c>
      <c r="G233" s="13" t="inlineStr">
        <is>
          <t>pct = earmark default(a, primary car id)   if retirement pct = nothing
retirement pct   otherwise
the answer = (balance or 0) × max(0, min(100, pct)) ÷ 100</t>
        </is>
      </c>
      <c r="H233" s="3" t="inlineStr">
        <is>
          <t>Pct is earmark default(a, primary car id) — when retirement pct is missing; retirement pct — otherwise. The answer is (balance or 0) times the smaller of 100 and pct, never below zero divided by 100.</t>
        </is>
      </c>
      <c r="I233" s="3" t="inlineStr">
        <is>
          <t>READ FROM THE CODE — rendered from the expressions the function runs</t>
        </is>
      </c>
      <c r="J233" s="3" t="inlineStr">
        <is>
          <t>1. a: AssetAccount
2. primaryCarId?: string</t>
        </is>
      </c>
      <c r="K233" s="3" t="inlineStr">
        <is>
          <t>number</t>
        </is>
      </c>
      <c r="L233" s="3" t="inlineStr">
        <is>
          <t>"WHAT COUNTS TOWARD RETIREMENT" — on a card used on more than one screen (PlanInputs), under "WHAT COUNTS TOWARD RETIREMENT"</t>
        </is>
      </c>
      <c r="M233" s="3" t="inlineStr">
        <is>
          <t>1. If balance is missing it counts as zero, so nothing recorded and a real zero look the same.
2. Caps percent at 100.</t>
        </is>
      </c>
      <c r="N233" s="3" t="inlineStr">
        <is>
          <t>Yes</t>
        </is>
      </c>
      <c r="O233" s="3" t="inlineStr">
        <is>
          <t>MK-NW-F-030 earmarkDefault</t>
        </is>
      </c>
      <c r="P233" s="3" t="n">
        <v>13</v>
      </c>
      <c r="Q233"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33"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33" s="3" t="inlineStr">
        <is>
          <t>—</t>
        </is>
      </c>
      <c r="T233" s="3" t="inlineStr">
        <is>
          <t>RETIREMENT_SHARE_AMOUNT</t>
        </is>
      </c>
      <c r="U233" s="3" t="inlineStr">
        <is>
          <t>ACTIVE</t>
        </is>
      </c>
      <c r="V233" s="3" t="inlineStr">
        <is>
          <t>2026-09-09</t>
        </is>
      </c>
      <c r="Y233" s="3" t="inlineStr">
        <is>
          <t>NOTHING OPEN</t>
        </is>
      </c>
    </row>
    <row r="234">
      <c r="A234" s="3" t="inlineStr">
        <is>
          <t>MK-NW-F-033</t>
        </is>
      </c>
      <c r="B234" s="3" t="inlineStr">
        <is>
          <t>retirementEarmarkedValue</t>
        </is>
      </c>
      <c r="C234" s="3" t="inlineStr">
        <is>
          <t>src/domain/assets/index.ts</t>
        </is>
      </c>
      <c r="D234" s="3" t="n">
        <v>1363</v>
      </c>
      <c r="E234" s="3" t="inlineStr">
        <is>
          <t>2 · DISPLAYED</t>
        </is>
      </c>
      <c r="F234" s="3" t="inlineStr">
        <is>
          <t>Total nest egg = sum of each account's retirement-earmarked portion.</t>
        </is>
      </c>
      <c r="G234" s="13" t="inlineStr">
        <is>
          <t>car = primary car id of(accounts)
the answer = Σ over accounts (or none when missing) of (earmarked amount(each, car))</t>
        </is>
      </c>
      <c r="H234" s="3" t="inlineStr">
        <is>
          <t>Car is primary car id of(accounts). The answer: the earmarked amount(each, car) added up across accounts (or none — when missing).</t>
        </is>
      </c>
      <c r="I234" s="3" t="inlineStr">
        <is>
          <t>READ FROM THE CODE — rendered from the expressions the function runs</t>
        </is>
      </c>
      <c r="J234" s="3" t="inlineStr">
        <is>
          <t>accounts: AssetAccount[]</t>
        </is>
      </c>
      <c r="K234" s="3" t="inlineStr">
        <is>
          <t>number</t>
        </is>
      </c>
      <c r="L234"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34" s="3" t="inlineStr">
        <is>
          <t>None found in this function — anything it assumes comes from the functions it depends on.</t>
        </is>
      </c>
      <c r="N234" s="3" t="inlineStr">
        <is>
          <t>Yes</t>
        </is>
      </c>
      <c r="O234" s="3" t="inlineStr">
        <is>
          <t>1. MK-NW-F-032 earmarkedAmount
2. MK-NW-F-031 primaryCarIdOf</t>
        </is>
      </c>
      <c r="P234" s="3" t="n">
        <v>15</v>
      </c>
      <c r="Q234"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34"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34" s="3" t="inlineStr">
        <is>
          <t>—</t>
        </is>
      </c>
      <c r="T234" s="3" t="inlineStr">
        <is>
          <t>NEST_EGG</t>
        </is>
      </c>
      <c r="U234" s="3" t="inlineStr">
        <is>
          <t>ACTIVE</t>
        </is>
      </c>
      <c r="V234" s="3" t="inlineStr">
        <is>
          <t>2026-09-09</t>
        </is>
      </c>
      <c r="Y234" s="3" t="inlineStr">
        <is>
          <t>NOTHING OPEN</t>
        </is>
      </c>
    </row>
    <row r="235">
      <c r="A235" s="3" t="inlineStr">
        <is>
          <t>MK-NW-F-034</t>
        </is>
      </c>
      <c r="B235" s="3" t="inlineStr">
        <is>
          <t>benchmarkReturn</t>
        </is>
      </c>
      <c r="C235" s="3" t="inlineStr">
        <is>
          <t>src/domain/assets/index.ts</t>
        </is>
      </c>
      <c r="D235" s="3" t="n">
        <v>1396</v>
      </c>
      <c r="E235" s="3" t="inlineStr">
        <is>
          <t>2 · DISPLAYED</t>
        </is>
      </c>
      <c r="F235" s="3" t="inlineStr">
        <is>
          <t>Benchmark expected annual return for an asset kind — user override if set, else the ASSET_KINDS default.</t>
        </is>
      </c>
      <c r="G235" s="13" t="inlineStr">
        <is>
          <t>overrides[kind]   when kind and overrides and overrides[kind] ≠ nothing
asset kind(kind).ret (or 0.06 when missing)</t>
        </is>
      </c>
      <c r="H235" s="3" t="inlineStr">
        <is>
          <t>When kind and overrides and overrides[kind] is not no answer, it answers overrides[kind]. asset kind(kind).ret (or 0.06 — when missing).</t>
        </is>
      </c>
      <c r="I235" s="3" t="inlineStr">
        <is>
          <t>PARTLY READ — some of the code is still showing through; needs a hand pass</t>
        </is>
      </c>
      <c r="J235" s="3" t="inlineStr">
        <is>
          <t>1. kind: string | undefined
2. overrides?: Record&lt;string, number&gt;</t>
        </is>
      </c>
      <c r="K235" s="3" t="inlineStr">
        <is>
          <t>number</t>
        </is>
      </c>
      <c r="L235" s="3" t="inlineStr">
        <is>
          <t>1. "EST. GROWTH / YR" — on the Other investments screen, under "ALTERNATIVES"
2. "Type" — on the Other investments screen
3. "Typical yearly return for this type" — on the Account detail screen</t>
        </is>
      </c>
      <c r="M235" s="3" t="inlineStr">
        <is>
          <t>· If return is missing it uses 6%.</t>
        </is>
      </c>
      <c r="N235" s="3" t="inlineStr">
        <is>
          <t>Yes</t>
        </is>
      </c>
      <c r="O235" s="3" t="inlineStr">
        <is>
          <t>MK-NW-F-007 assetKind</t>
        </is>
      </c>
      <c r="P235" s="3" t="n">
        <v>12</v>
      </c>
      <c r="Q235" s="3" t="inlineStr">
        <is>
          <t>1. MK-NW-F-007 assetKind
2. MK-NW-F-011 assetClassOf
3. MK-CF-F-155 cash
4. MK-NW-F-008 incomeBearingClassOf
5. MK-XS-F-122 n
6. MK-ST-F-010 nameEvidence
7. MK-XS-F-147 call
8. MK-ST-F-056 has
9. MK-CF-F-132 map
10. MK-ST-F-027 accountId
11. MK-XS-F-064 currentIdToken
12. MK-XS-F-112 relayUrl</t>
        </is>
      </c>
      <c r="R235"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35" s="3" t="inlineStr">
        <is>
          <t>—</t>
        </is>
      </c>
      <c r="T235" s="3" t="inlineStr">
        <is>
          <t>EXPECTED_RETURN_BY_KIND</t>
        </is>
      </c>
      <c r="U235" s="3" t="inlineStr">
        <is>
          <t>ACTIVE</t>
        </is>
      </c>
      <c r="V235" s="3" t="inlineStr">
        <is>
          <t>2026-08-27</t>
        </is>
      </c>
      <c r="Y235" s="3" t="inlineStr">
        <is>
          <t>NOTHING OPEN</t>
        </is>
      </c>
    </row>
    <row r="236">
      <c r="A236" s="3" t="inlineStr">
        <is>
          <t>MK-NW-F-035</t>
        </is>
      </c>
      <c r="B236" s="3" t="inlineStr">
        <is>
          <t>blendedVolatility</t>
        </is>
      </c>
      <c r="C236" s="3" t="inlineStr">
        <is>
          <t>src/domain/assets/index.ts</t>
        </is>
      </c>
      <c r="D236" s="3" t="n">
        <v>1472</v>
      </c>
      <c r="E236" s="3" t="inlineStr">
        <is>
          <t>3 · DEPENDENT</t>
        </is>
      </c>
      <c r="F236" s="3" t="inlineStr">
        <is>
          <t>The volatility of THIS portfolio — each account's own class volatility, weighted the way the money actually is (the same weighting `blendedReturn` uses, so the pair always describes one portfolio).</t>
        </is>
      </c>
      <c r="G236" s="13"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36"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36" s="3" t="inlineStr">
        <is>
          <t>PARTLY READ — some of the code is still showing through; needs a hand pass</t>
        </is>
      </c>
      <c r="J236" s="3" t="inlineStr">
        <is>
          <t>1. accounts: AssetAccount[]
2. overrides?: Record&lt;string, number&gt;</t>
        </is>
      </c>
      <c r="K236" s="3" t="inlineStr">
        <is>
          <t>number</t>
        </is>
      </c>
      <c r="L236" s="3" t="inlineStr">
        <is>
          <t>—</t>
        </is>
      </c>
      <c r="M236" s="3" t="inlineStr">
        <is>
          <t>· If v is missing it uses 12%.</t>
        </is>
      </c>
      <c r="N236" s="3" t="inlineStr">
        <is>
          <t>Yes</t>
        </is>
      </c>
      <c r="O236" s="3" t="inlineStr">
        <is>
          <t>1. MK-CF-F-155 cash
2. MK-NW-F-032 earmarkedAmount
3. MK-NW-F-031 primaryCarIdOf</t>
        </is>
      </c>
      <c r="P236" s="3" t="n">
        <v>15</v>
      </c>
      <c r="Q236"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36"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36" s="3" t="inlineStr">
        <is>
          <t>—</t>
        </is>
      </c>
      <c r="T236" s="3" t="inlineStr">
        <is>
          <t>EXPECTED_SWING_BLENDED</t>
        </is>
      </c>
      <c r="U236" s="3" t="inlineStr">
        <is>
          <t>ACTIVE</t>
        </is>
      </c>
      <c r="V236" s="3" t="inlineStr">
        <is>
          <t>2026-08-27</t>
        </is>
      </c>
      <c r="Y236" s="6" t="inlineStr">
        <is>
          <t>TESTED, NOT VERIFIED (G24)</t>
        </is>
      </c>
    </row>
    <row r="237">
      <c r="A237" s="3" t="inlineStr">
        <is>
          <t>MK-NW-F-036</t>
        </is>
      </c>
      <c r="B237" s="3" t="inlineStr">
        <is>
          <t>benchmarkInfo</t>
        </is>
      </c>
      <c r="C237" s="3" t="inlineStr">
        <is>
          <t>src/domain/assets/index.ts</t>
        </is>
      </c>
      <c r="D237" s="3" t="n">
        <v>1532</v>
      </c>
      <c r="E237" s="3" t="inlineStr">
        <is>
          <t>2 · DISPLAYED</t>
        </is>
      </c>
      <c r="F237" s="3" t="inlineStr">
        <is>
          <t>Benchmark return + its source/period for an asset kind.</t>
        </is>
      </c>
      <c r="G237" s="13"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37"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37" s="3" t="inlineStr">
        <is>
          <t>PARTLY READ — some of the code is still showing through; needs a hand pass</t>
        </is>
      </c>
      <c r="J237" s="3" t="inlineStr">
        <is>
          <t>1. kind: string | undefined
2. overrides?: Record&lt;string, number&gt;</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MK-NW-F-034 benchmarkReturn</t>
        </is>
      </c>
      <c r="P237" s="3" t="n">
        <v>13</v>
      </c>
      <c r="Q237"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37"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37" s="3" t="inlineStr">
        <is>
          <t>—</t>
        </is>
      </c>
      <c r="T237" s="3" t="inlineStr">
        <is>
          <t>—</t>
        </is>
      </c>
      <c r="U237" s="3" t="inlineStr">
        <is>
          <t>ACTIVE</t>
        </is>
      </c>
      <c r="V237" s="3" t="inlineStr">
        <is>
          <t>2026-08-27</t>
        </is>
      </c>
      <c r="Y237" s="3" t="inlineStr">
        <is>
          <t>NOTHING OPEN</t>
        </is>
      </c>
    </row>
    <row r="238">
      <c r="A238" s="3" t="inlineStr">
        <is>
          <t>MK-NW-F-037</t>
        </is>
      </c>
      <c r="B238" s="3" t="inlineStr">
        <is>
          <t>blendedReturn</t>
        </is>
      </c>
      <c r="C238" s="3" t="inlineStr">
        <is>
          <t>src/domain/assets/index.ts</t>
        </is>
      </c>
      <c r="D238" s="3" t="n">
        <v>1566</v>
      </c>
      <c r="E238" s="3" t="inlineStr">
        <is>
          <t>2 · DISPLAYED</t>
        </is>
      </c>
      <c r="F238" s="3" t="inlineStr">
        <is>
          <t>Blended expected return across the EARMARKED nest egg, weighted by each holding's share.</t>
        </is>
      </c>
      <c r="G238" s="13"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38"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38" s="3" t="inlineStr">
        <is>
          <t>READ FROM THE CODE — rendered from the expressions the function runs</t>
        </is>
      </c>
      <c r="J238" s="3" t="inlineStr">
        <is>
          <t>1. accounts: AssetAccount[]
2. overrides?: Record&lt;string, number&gt;</t>
        </is>
      </c>
      <c r="K238" s="3" t="inlineStr">
        <is>
          <t>number</t>
        </is>
      </c>
      <c r="L238" s="3" t="inlineStr">
        <is>
          <t>1. "Expected return" — on the Retirement cockpit screen, under "scRetired ?"
2. "Weighted average" — on the Retirement cockpit screen</t>
        </is>
      </c>
      <c r="M238" s="3" t="inlineStr">
        <is>
          <t>None found in this function — anything it assumes comes from the functions it depends on.</t>
        </is>
      </c>
      <c r="N238" s="3" t="inlineStr">
        <is>
          <t>Yes</t>
        </is>
      </c>
      <c r="O238" s="3" t="inlineStr">
        <is>
          <t>1. MK-NW-F-034 benchmarkReturn
2. MK-NW-F-032 earmarkedAmount
3. MK-NW-F-031 primaryCarIdOf</t>
        </is>
      </c>
      <c r="P238" s="3" t="n">
        <v>17</v>
      </c>
      <c r="Q238"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38"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38" s="3" t="inlineStr">
        <is>
          <t>—</t>
        </is>
      </c>
      <c r="T238" s="3" t="inlineStr">
        <is>
          <t>EXPECTED_RETURN_BLENDED</t>
        </is>
      </c>
      <c r="U238" s="3" t="inlineStr">
        <is>
          <t>ACTIVE</t>
        </is>
      </c>
      <c r="V238" s="3" t="inlineStr">
        <is>
          <t>2026-09-09</t>
        </is>
      </c>
      <c r="Y238" s="6" t="inlineStr">
        <is>
          <t>TESTED, NOT VERIFIED (G24)</t>
        </is>
      </c>
    </row>
    <row r="239">
      <c r="A239" s="3" t="inlineStr">
        <is>
          <t>MK-NW-F-038</t>
        </is>
      </c>
      <c r="B239" s="3" t="inlineStr">
        <is>
          <t>earmarkedKinds</t>
        </is>
      </c>
      <c r="C239" s="3" t="inlineStr">
        <is>
          <t>src/domain/assets/index.ts</t>
        </is>
      </c>
      <c r="D239" s="3" t="n">
        <v>1597</v>
      </c>
      <c r="E239" s="3" t="inlineStr">
        <is>
          <t>3 · DEPENDENT (feeds an action only)</t>
        </is>
      </c>
      <c r="F239" s="3" t="inlineStr">
        <is>
          <t>Distinct investment kinds present in the earmarked nest egg (for the benchmark editor).</t>
        </is>
      </c>
      <c r="G239" s="13" t="inlineStr">
        <is>
          <t>seen = new set&lt;string&gt;()
the answer = array.from(seen)</t>
        </is>
      </c>
      <c r="H239" s="3" t="inlineStr">
        <is>
          <t>Seen is new set&lt;string&gt;(). The answer is array.from(seen).</t>
        </is>
      </c>
      <c r="I239" s="3" t="inlineStr">
        <is>
          <t>PARTLY READ — some of the code is still showing through; needs a hand pass</t>
        </is>
      </c>
      <c r="J239" s="3" t="inlineStr">
        <is>
          <t>accounts: AssetAccount[]</t>
        </is>
      </c>
      <c r="K239" s="3" t="inlineStr">
        <is>
          <t>string[]</t>
        </is>
      </c>
      <c r="L239" s="3" t="inlineStr">
        <is>
          <t>—</t>
        </is>
      </c>
      <c r="M239" s="3" t="inlineStr">
        <is>
          <t>· Uses a built-in d e f a u l t r e t u r n of 7%.</t>
        </is>
      </c>
      <c r="N239" s="3" t="inlineStr">
        <is>
          <t>No</t>
        </is>
      </c>
      <c r="O239" s="3" t="inlineStr">
        <is>
          <t>MK-NW-F-032 earmarkedAmount</t>
        </is>
      </c>
      <c r="P239" s="3" t="n">
        <v>14</v>
      </c>
      <c r="Q239"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39"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39" s="3" t="inlineStr">
        <is>
          <t>—</t>
        </is>
      </c>
      <c r="T239" s="3" t="inlineStr">
        <is>
          <t>—</t>
        </is>
      </c>
      <c r="U239" s="3" t="inlineStr">
        <is>
          <t>ACTIVE</t>
        </is>
      </c>
      <c r="V239" s="3" t="inlineStr">
        <is>
          <t>2026-08-27</t>
        </is>
      </c>
      <c r="Y239" s="3" t="inlineStr">
        <is>
          <t>NOTHING OPEN</t>
        </is>
      </c>
    </row>
    <row r="240">
      <c r="A240" s="3" t="inlineStr">
        <is>
          <t>MK-NW-F-039</t>
        </is>
      </c>
      <c r="B240" s="3" t="inlineStr">
        <is>
          <t>buildAssetsState</t>
        </is>
      </c>
      <c r="C240" s="3" t="inlineStr">
        <is>
          <t>src/domain/assets/index.ts</t>
        </is>
      </c>
      <c r="D240" s="3" t="n">
        <v>1636</v>
      </c>
      <c r="E240" s="3" t="inlineStr">
        <is>
          <t>2 · DISPLAYED</t>
        </is>
      </c>
      <c r="F240" s="3" t="inlineStr">
        <is>
          <t>How much of everything sits in each account, and what return do they blend to?</t>
        </is>
      </c>
      <c r="G240" s="13" t="inlineStr">
        <is>
          <t>total asset value      = round(Σ over every account of (balance), 2 dp)
share of portfolio (a) = round(balance of a ÷ total × 100, 2 dp)
average target return  = round(Σ(target return × balance) ÷ total, 4 dp)</t>
        </is>
      </c>
      <c r="H240"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40" s="3" t="inlineStr">
        <is>
          <t>READ BY HAND 2026-08-26 — checked line by line against the code</t>
        </is>
      </c>
      <c r="J240" s="3" t="inlineStr">
        <is>
          <t>1. uid: UserId
2. accounts: AssetAccount[]</t>
        </is>
      </c>
      <c r="K240" s="3" t="inlineStr">
        <is>
          <t>AssetsState</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MK-CF-F-132 map
2. MK-XS-F-175 uid</t>
        </is>
      </c>
      <c r="P240" s="3" t="n">
        <v>80</v>
      </c>
      <c r="Q240"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40"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40" s="3" t="inlineStr">
        <is>
          <t>MK-NW-M-004</t>
        </is>
      </c>
      <c r="T240" s="3" t="inlineStr">
        <is>
          <t>ACCOUNT_SHARE_OF_TOTAL</t>
        </is>
      </c>
      <c r="U240" s="3" t="inlineStr">
        <is>
          <t>ACTIVE</t>
        </is>
      </c>
      <c r="V240" s="3" t="inlineStr">
        <is>
          <t>2026-08-27</t>
        </is>
      </c>
      <c r="Y240" s="3" t="inlineStr">
        <is>
          <t>NOTHING OPEN</t>
        </is>
      </c>
    </row>
    <row r="241">
      <c r="A241" s="3" t="inlineStr">
        <is>
          <t>MK-NW-F-040</t>
        </is>
      </c>
      <c r="B241" s="3" t="inlineStr">
        <is>
          <t>assetsFromOnboarding</t>
        </is>
      </c>
      <c r="C241" s="3" t="inlineStr">
        <is>
          <t>src/domain/assets/index.ts</t>
        </is>
      </c>
      <c r="D241" s="3" t="n">
        <v>1685</v>
      </c>
      <c r="E241" s="3" t="inlineStr">
        <is>
          <t>3 · DEPENDENT</t>
        </is>
      </c>
      <c r="F241" s="3" t="inlineStr">
        <is>
          <t>Build asset accounts from onboarding answers (accumulation: retirement savings + holdings).</t>
        </is>
      </c>
      <c r="G241" s="13" t="inlineStr">
        <is>
          <t>a = op (or none when missing)
accounts = []
bal = raw read as a number (0 when it is not one)
the answer:
user id = uid
accounts = accounts</t>
        </is>
      </c>
      <c r="H241" s="3" t="inlineStr">
        <is>
          <t>A is op (or none — when missing). Accounts is []. Bal is raw read as a number (0 — when it is one is missing). The answer is user id = uid; accounts = accounts.</t>
        </is>
      </c>
      <c r="I241" s="3" t="inlineStr">
        <is>
          <t>READ FROM THE CODE — rendered from the expressions the function runs</t>
        </is>
      </c>
      <c r="J241" s="3" t="inlineStr">
        <is>
          <t>1. uid: UserId
2. op: Record&lt;string, any&gt; | null</t>
        </is>
      </c>
      <c r="K241" s="3" t="inlineStr">
        <is>
          <t>AssetsDoc</t>
        </is>
      </c>
      <c r="L241" s="3" t="inlineStr">
        <is>
          <t>—</t>
        </is>
      </c>
      <c r="M241" s="3" t="inlineStr">
        <is>
          <t>None found in this function — anything it assumes comes from the functions it depends on.</t>
        </is>
      </c>
      <c r="N241" s="3" t="inlineStr">
        <is>
          <t>Yes</t>
        </is>
      </c>
      <c r="O241" s="3" t="inlineStr">
        <is>
          <t>1. MK-ST-F-043 newEntityId
2. MK-ST-F-052 toNum
3. MK-XS-F-175 uid</t>
        </is>
      </c>
      <c r="P241" s="3" t="n">
        <v>79</v>
      </c>
      <c r="Q241"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41"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41" s="3" t="inlineStr">
        <is>
          <t>—</t>
        </is>
      </c>
      <c r="T241" s="3" t="inlineStr">
        <is>
          <t>ACCOUNTS_FROM_SETUP</t>
        </is>
      </c>
      <c r="U241" s="3" t="inlineStr">
        <is>
          <t>ACTIVE</t>
        </is>
      </c>
      <c r="V241" s="3" t="inlineStr">
        <is>
          <t>2026-08-27</t>
        </is>
      </c>
      <c r="Y241" s="3" t="inlineStr">
        <is>
          <t>NOTHING OPEN</t>
        </is>
      </c>
    </row>
    <row r="242">
      <c r="A242" s="3" t="inlineStr">
        <is>
          <t>MK-NW-F-041</t>
        </is>
      </c>
      <c r="B242" s="3" t="inlineStr">
        <is>
          <t>monthlyContributionsFromOnboarding</t>
        </is>
      </c>
      <c r="C242" s="3" t="inlineStr">
        <is>
          <t>src/domain/assets/index.ts</t>
        </is>
      </c>
      <c r="D242" s="3" t="n">
        <v>1727</v>
      </c>
      <c r="E242" s="3" t="inlineStr">
        <is>
          <t>2 · DISPLAYED</t>
        </is>
      </c>
      <c r="F242" s="3" t="inlineStr">
        <is>
          <t>Total monthly contributions across types + employer match (feeds the retirement projection).</t>
        </is>
      </c>
      <c r="G242" s="13" t="inlineStr">
        <is>
          <t>a = op (or none when missing)
the answer = Σ over ['c_401k', 'c_roth', 'c_invest', 'c_property'] of (a[each] read as a number (0 when it is not one))+ employer match monthly(op)</t>
        </is>
      </c>
      <c r="H242" s="3" t="inlineStr">
        <is>
          <t>A is op (or none — when missing). The answer: the a[each] read as a number (0 — when it is one is missing))+ employer match monthly(op added up across ['c_401k', 'c_roth', 'c_invest', 'c_property'].</t>
        </is>
      </c>
      <c r="I242" s="3" t="inlineStr">
        <is>
          <t>PARTLY READ — some of the code is still showing through; needs a hand pass</t>
        </is>
      </c>
      <c r="J242" s="3" t="inlineStr">
        <is>
          <t>op: Record&lt;string, any&gt; | null</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MK-CF-F-078 employerMatchMonthly
2. MK-ST-F-052 toNum</t>
        </is>
      </c>
      <c r="P242" s="3" t="n">
        <v>8</v>
      </c>
      <c r="Q242" s="3" t="inlineStr">
        <is>
          <t>1. MK-CF-F-078 employerMatchMonthly
2. MK-ST-F-052 toNum
3. MK-CF-F-175 sumOverEarners
4. MK-CF-F-178 wageMatchMonthly
5. MK-XS-F-122 n
6. MK-CF-F-173 earnerWages
7. MK-CF-F-172 hasWage
8. MK-ST-F-056 has</t>
        </is>
      </c>
      <c r="R242"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42" s="3" t="inlineStr">
        <is>
          <t>—</t>
        </is>
      </c>
      <c r="T242" s="3" t="inlineStr">
        <is>
          <t>MONTHLY_SAVING</t>
        </is>
      </c>
      <c r="U242" s="3" t="inlineStr">
        <is>
          <t>ACTIVE</t>
        </is>
      </c>
      <c r="V242" s="3" t="inlineStr">
        <is>
          <t>2026-08-27</t>
        </is>
      </c>
      <c r="Y242" s="3" t="inlineStr">
        <is>
          <t>NOTHING OPEN</t>
        </is>
      </c>
    </row>
    <row r="243">
      <c r="A243" s="3" t="inlineStr">
        <is>
          <t>MK-NW-F-042</t>
        </is>
      </c>
      <c r="B243" s="3" t="inlineStr">
        <is>
          <t>loadAssets</t>
        </is>
      </c>
      <c r="C243" s="3" t="inlineStr">
        <is>
          <t>src/domain/assets/index.ts</t>
        </is>
      </c>
      <c r="D243" s="3" t="n">
        <v>1752</v>
      </c>
      <c r="E243" s="3" t="inlineStr">
        <is>
          <t>3 · DEPENDENT (feeds an action only)</t>
        </is>
      </c>
      <c r="F243" s="3" t="inlineStr">
        <is>
          <t>NOT DETERMINED — the code carries no note saying what this is for, and it has no row in the old inventory. Needs reading.</t>
        </is>
      </c>
      <c r="G243" s="13" t="inlineStr">
        <is>
          <t>It reaches outside the app for data and hands back what came back — no arithmetic of its own.</t>
        </is>
      </c>
      <c r="H243" s="3" t="inlineStr">
        <is>
          <t>It reaches outside the app for data and hands back what came back — no arithmetic of its own.</t>
        </is>
      </c>
      <c r="I243" s="3" t="inlineStr">
        <is>
          <t>NO ARITHMETIC — there is no formula to state</t>
        </is>
      </c>
      <c r="J243" s="3" t="inlineStr">
        <is>
          <t>uid: UserId</t>
        </is>
      </c>
      <c r="K243" s="3" t="inlineStr">
        <is>
          <t>NOT DECLARED — the code does not say what it gives back</t>
        </is>
      </c>
      <c r="L243" s="3" t="inlineStr">
        <is>
          <t>—</t>
        </is>
      </c>
      <c r="M243" s="3" t="inlineStr">
        <is>
          <t>None found in this function — anything it assumes comes from the functions it depends on.</t>
        </is>
      </c>
      <c r="N243" s="3" t="inlineStr">
        <is>
          <t>No</t>
        </is>
      </c>
      <c r="O243" s="3" t="inlineStr">
        <is>
          <t>MK-XS-F-175 uid</t>
        </is>
      </c>
      <c r="P243" s="3" t="n">
        <v>80</v>
      </c>
      <c r="Q24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43"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43" s="3" t="inlineStr">
        <is>
          <t>—</t>
        </is>
      </c>
      <c r="T243" s="3" t="inlineStr">
        <is>
          <t>—</t>
        </is>
      </c>
      <c r="U243" s="3" t="inlineStr">
        <is>
          <t>ACTIVE</t>
        </is>
      </c>
      <c r="V243" s="3" t="inlineStr">
        <is>
          <t>2026-08-27</t>
        </is>
      </c>
      <c r="Y243" s="3" t="inlineStr">
        <is>
          <t>NOTHING OPEN</t>
        </is>
      </c>
    </row>
    <row r="244">
      <c r="A244" s="3" t="inlineStr">
        <is>
          <t>MK-NW-F-043</t>
        </is>
      </c>
      <c r="B244" s="3" t="inlineStr">
        <is>
          <t>saveAssets</t>
        </is>
      </c>
      <c r="C244" s="3" t="inlineStr">
        <is>
          <t>src/domain/assets/index.ts</t>
        </is>
      </c>
      <c r="D244" s="3" t="n">
        <v>1768</v>
      </c>
      <c r="E244" s="3" t="inlineStr">
        <is>
          <t>1 · ACTION</t>
        </is>
      </c>
      <c r="F244" s="3" t="inlineStr">
        <is>
          <t>NOT DETERMINED — the code carries no note saying what this is for, and it has no row in the old inventory. Needs reading.</t>
        </is>
      </c>
      <c r="G244" s="13" t="inlineStr">
        <is>
          <t>It records or announces something and returns no figure — no arithmetic of its own.</t>
        </is>
      </c>
      <c r="H244" s="3" t="inlineStr">
        <is>
          <t>It records or announces something and returns no figure — no arithmetic of its own.</t>
        </is>
      </c>
      <c r="I244" s="3" t="inlineStr">
        <is>
          <t>NO ARITHMETIC — there is no formula to state</t>
        </is>
      </c>
      <c r="J244" s="3" t="inlineStr">
        <is>
          <t>d: AssetsDoc</t>
        </is>
      </c>
      <c r="K244" s="3" t="inlineStr">
        <is>
          <t>d.user_id }); }</t>
        </is>
      </c>
      <c r="L244" s="3" t="inlineStr">
        <is>
          <t>—</t>
        </is>
      </c>
      <c r="M244" s="3" t="inlineStr">
        <is>
          <t>None found in this function — anything it assumes comes from the functions it depends on.</t>
        </is>
      </c>
      <c r="N244" s="3" t="inlineStr">
        <is>
          <t>No</t>
        </is>
      </c>
      <c r="O244" s="3" t="inlineStr">
        <is>
          <t>1. MK-ST-F-040 emit
2. MK-ST-F-042 setUserDoc</t>
        </is>
      </c>
      <c r="P244" s="3" t="n">
        <v>82</v>
      </c>
      <c r="Q244"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44"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44" s="3" t="inlineStr">
        <is>
          <t>—</t>
        </is>
      </c>
      <c r="T244" s="3" t="inlineStr">
        <is>
          <t>—</t>
        </is>
      </c>
      <c r="U244" s="3" t="inlineStr">
        <is>
          <t>ACTIVE</t>
        </is>
      </c>
      <c r="V244" s="3" t="inlineStr">
        <is>
          <t>2026-08-27</t>
        </is>
      </c>
      <c r="Y244" s="3" t="inlineStr">
        <is>
          <t>NOTHING OPEN</t>
        </is>
      </c>
    </row>
    <row r="245">
      <c r="A245" s="3" t="inlineStr">
        <is>
          <t>MK-NW-F-044</t>
        </is>
      </c>
      <c r="B245" s="3" t="inlineStr">
        <is>
          <t>getAssetsState</t>
        </is>
      </c>
      <c r="C245" s="3" t="inlineStr">
        <is>
          <t>src/domain/assets/index.ts</t>
        </is>
      </c>
      <c r="D245" s="3" t="n">
        <v>1785</v>
      </c>
      <c r="E245" s="3" t="inlineStr">
        <is>
          <t>3 · DEPENDENT (feeds an action only)</t>
        </is>
      </c>
      <c r="F245" s="3" t="inlineStr">
        <is>
          <t>NOT DETERMINED — the code carries no note saying what this is for, and it has no row in the old inventory. Needs reading.</t>
        </is>
      </c>
      <c r="G245" s="13" t="inlineStr">
        <is>
          <t>d = build assets state(uid, accounts ?? [])   if await load assets(uid); return d
nothing   otherwise</t>
        </is>
      </c>
      <c r="H245" s="3" t="inlineStr">
        <is>
          <t>D is build assets state(uid, accounts ?? []) — when await load assets(uid); return d; no answer — otherwise.</t>
        </is>
      </c>
      <c r="I245" s="3" t="inlineStr">
        <is>
          <t>PARTLY READ — some of the code is still showing through; needs a hand pass</t>
        </is>
      </c>
      <c r="J245" s="3" t="inlineStr">
        <is>
          <t>uid: UserId</t>
        </is>
      </c>
      <c r="K245" s="3" t="inlineStr">
        <is>
          <t>NOT DECLARED — the code does not say what it gives back</t>
        </is>
      </c>
      <c r="L245" s="3" t="inlineStr">
        <is>
          <t>—</t>
        </is>
      </c>
      <c r="M245" s="3" t="inlineStr">
        <is>
          <t>None found in this function — anything it assumes comes from the functions it depends on.</t>
        </is>
      </c>
      <c r="N245" s="3" t="inlineStr">
        <is>
          <t>No</t>
        </is>
      </c>
      <c r="O245" s="3" t="inlineStr">
        <is>
          <t>1. MK-NW-F-039 buildAssetsState
2. MK-NW-F-042 loadAssets
3. MK-XS-F-175 uid</t>
        </is>
      </c>
      <c r="P245" s="3" t="n">
        <v>82</v>
      </c>
      <c r="Q245"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45"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45" s="3" t="inlineStr">
        <is>
          <t>—</t>
        </is>
      </c>
      <c r="T245" s="3" t="inlineStr">
        <is>
          <t>—</t>
        </is>
      </c>
      <c r="U245" s="3" t="inlineStr">
        <is>
          <t>ACTIVE</t>
        </is>
      </c>
      <c r="V245" s="3" t="inlineStr">
        <is>
          <t>2026-08-27</t>
        </is>
      </c>
      <c r="Y245" s="3" t="inlineStr">
        <is>
          <t>NOTHING OPEN</t>
        </is>
      </c>
    </row>
    <row r="246">
      <c r="A246" s="3" t="inlineStr">
        <is>
          <t>MK-NW-F-045</t>
        </is>
      </c>
      <c r="B246" s="3" t="inlineStr">
        <is>
          <t>sourceWording</t>
        </is>
      </c>
      <c r="C246" s="3" t="inlineStr">
        <is>
          <t>src/domain/assets/index.ts</t>
        </is>
      </c>
      <c r="D246" s="3" t="n">
        <v>1814</v>
      </c>
      <c r="E246" s="3" t="inlineStr">
        <is>
          <t>2 · DISPLAYED</t>
        </is>
      </c>
      <c r="F246" s="3" t="inlineStr">
        <is>
          <t>THE source wording (Build-47 walk row 8, audit Strategy #9): one sentence per source, used by every screen that names where an account's numbers come from.</t>
        </is>
      </c>
      <c r="G246" s="13" t="inlineStr">
        <is>
          <t>day = the first 10 of string(last synced)   if last synced
''   otherwise
`linked · ${day}`   if day
'Linked'   otherwise   when source = 'connected'
`imported · ${day or '—'}`   when source = 'imported'
the answer = 'by hand · you update it'</t>
        </is>
      </c>
      <c r="H246" s="3" t="inlineStr">
        <is>
          <t>Day: the first 10 of string(last synced) — when last synced; '' — otherwise. When source = 'connected', it answers `linked · ${day}` — when day; 'Linked' — otherwise. When source = 'imported', it answers `imported · ${day or '—'}`. The answer is 'by hand · you update it'.</t>
        </is>
      </c>
      <c r="I246" s="3" t="inlineStr">
        <is>
          <t>PARTLY READ — some of the code is still showing through; needs a hand pass</t>
        </is>
      </c>
      <c r="J246" s="3" t="inlineStr">
        <is>
          <t>a: AssetAccount</t>
        </is>
      </c>
      <c r="K246" s="3" t="inlineStr">
        <is>
          <t>string</t>
        </is>
      </c>
      <c r="L246" s="3" t="inlineStr">
        <is>
          <t>NOT FOUND — a screen calls it, but the words printed beside its answer could not be traced automatically. Needs reading.</t>
        </is>
      </c>
      <c r="M246" s="3" t="inlineStr">
        <is>
          <t>None found in this function — anything it assumes comes from the functions it depends on.</t>
        </is>
      </c>
      <c r="N246" s="3" t="inlineStr">
        <is>
          <t>Yes</t>
        </is>
      </c>
      <c r="O246" s="3" t="inlineStr">
        <is>
          <t>—</t>
        </is>
      </c>
      <c r="P246" s="3" t="n">
        <v>0</v>
      </c>
      <c r="Q246" s="3" t="inlineStr">
        <is>
          <t>None — no dependent function stands behind it</t>
        </is>
      </c>
      <c r="R246" s="3" t="inlineStr">
        <is>
          <t>No dependent function — it reads its inputs and answers</t>
        </is>
      </c>
      <c r="S246" s="3" t="inlineStr">
        <is>
          <t>—</t>
        </is>
      </c>
      <c r="T246" s="3" t="inlineStr">
        <is>
          <t>WHERE_THE_VALUE_CAME_FROM</t>
        </is>
      </c>
      <c r="U246" s="3" t="inlineStr">
        <is>
          <t>ACTIVE</t>
        </is>
      </c>
      <c r="V246" s="3" t="inlineStr">
        <is>
          <t>2026-09-14</t>
        </is>
      </c>
      <c r="Y246" s="3" t="inlineStr">
        <is>
          <t>NOTHING OPEN</t>
        </is>
      </c>
    </row>
    <row r="247">
      <c r="A247" s="3" t="inlineStr">
        <is>
          <t>MK-NW-F-046</t>
        </is>
      </c>
      <c r="B247" s="3" t="inlineStr">
        <is>
          <t>historyCoverage</t>
        </is>
      </c>
      <c r="C247" s="3" t="inlineStr">
        <is>
          <t>src/domain/assets/index.ts</t>
        </is>
      </c>
      <c r="D247" s="3" t="n">
        <v>1862</v>
      </c>
      <c r="E247" s="3" t="inlineStr">
        <is>
          <t>2 · DISPLAYED</t>
        </is>
      </c>
      <c r="F247" s="3" t="inlineStr">
        <is>
          <t>NOT DETERMINED — the code carries no note saying what this is for, and it has no row in the old inventory. Needs reading.</t>
        </is>
      </c>
      <c r="G247" s="13"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47"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47" s="3" t="inlineStr">
        <is>
          <t>PARTLY READ — some of the code is still showing through; needs a hand pass</t>
        </is>
      </c>
      <c r="J247" s="3" t="inlineStr">
        <is>
          <t>Nothing is handed to it</t>
        </is>
      </c>
      <c r="K247" s="3" t="inlineStr">
        <is>
          <t>NOT DECLARED — the code does not say what it gives back</t>
        </is>
      </c>
      <c r="L247" s="3" t="inlineStr">
        <is>
          <t>NOT FOUND — a screen calls it, but the words printed beside its answer could not be traced automatically. Needs reading.</t>
        </is>
      </c>
      <c r="M247" s="3" t="inlineStr">
        <is>
          <t>1. Turns a monthly figure into a year by multiplying by twelve.
2. Uses today's date from the device clock, so the answer changes by itself overnight.
3. Rounds the answer to 1 decimal place.</t>
        </is>
      </c>
      <c r="N247" s="3" t="inlineStr">
        <is>
          <t>Yes</t>
        </is>
      </c>
      <c r="O247" s="3" t="inlineStr">
        <is>
          <t>1. MK-CF-F-132 map
2. MK-NW-F-068 prettyDay</t>
        </is>
      </c>
      <c r="P247" s="3" t="n">
        <v>2</v>
      </c>
      <c r="Q247" s="3" t="inlineStr">
        <is>
          <t>1. MK-CF-F-132 map
2. MK-NW-F-068 prettyDay</t>
        </is>
      </c>
      <c r="R247" s="3" t="inlineStr">
        <is>
          <t>1. MK-CF-F-132 map → MK-NW-F-046 historyCoverage
2. MK-CF-F-132 map → MK-NW-F-068 prettyDay → MK-NW-F-046 historyCoverage</t>
        </is>
      </c>
      <c r="S247" s="3" t="inlineStr">
        <is>
          <t>—</t>
        </is>
      </c>
      <c r="T247" s="3" t="inlineStr">
        <is>
          <t>—</t>
        </is>
      </c>
      <c r="U247" s="3" t="inlineStr">
        <is>
          <t>ACTIVE</t>
        </is>
      </c>
      <c r="V247" s="3" t="inlineStr">
        <is>
          <t>2026-08-27</t>
        </is>
      </c>
      <c r="Y247" s="3" t="inlineStr">
        <is>
          <t>NOTHING OPEN</t>
        </is>
      </c>
    </row>
    <row r="248">
      <c r="A248" s="3" t="inlineStr">
        <is>
          <t>MK-NW-F-047</t>
        </is>
      </c>
      <c r="B248" s="3" t="inlineStr">
        <is>
          <t>uberGroupOf</t>
        </is>
      </c>
      <c r="C248" s="3" t="inlineStr">
        <is>
          <t>src/domain/assets/index.ts</t>
        </is>
      </c>
      <c r="D248" s="3" t="n">
        <v>1945</v>
      </c>
      <c r="E248" s="3" t="inlineStr">
        <is>
          <t>1 · ACTION</t>
        </is>
      </c>
      <c r="F248" s="3" t="inlineStr">
        <is>
          <t>NOT DETERMINED — the code carries no note saying what this is for, and it has no row in the old inventory. Needs reading.</t>
        </is>
      </c>
      <c r="G248" s="13" t="inlineStr">
        <is>
          <t>CLASS_UBER[cls] (or 'investments' when missing)</t>
        </is>
      </c>
      <c r="H248" s="3" t="inlineStr">
        <is>
          <t>CLASS_UBER[cls] (or 'investments' — when missing)</t>
        </is>
      </c>
      <c r="I248" s="3" t="inlineStr">
        <is>
          <t>READ FROM THE CODE — rendered from the expressions the function runs</t>
        </is>
      </c>
      <c r="J248" s="3" t="inlineStr">
        <is>
          <t>cls: AssetClass</t>
        </is>
      </c>
      <c r="K248" s="3" t="inlineStr">
        <is>
          <t>UberGroup</t>
        </is>
      </c>
      <c r="L248" s="3" t="inlineStr">
        <is>
          <t>"Nothing entered yet." — on the Net worth screen, under "DEBTS"</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2026-08-27</t>
        </is>
      </c>
      <c r="Y248" s="3" t="inlineStr">
        <is>
          <t>NOTHING OPEN</t>
        </is>
      </c>
    </row>
    <row r="249">
      <c r="A249" s="3" t="inlineStr">
        <is>
          <t>MK-NW-F-048</t>
        </is>
      </c>
      <c r="B249" s="3" t="inlineStr">
        <is>
          <t>uberGroupRows</t>
        </is>
      </c>
      <c r="C249" s="3" t="inlineStr">
        <is>
          <t>src/domain/assets/index.ts</t>
        </is>
      </c>
      <c r="D249" s="3" t="n">
        <v>1963</v>
      </c>
      <c r="E249" s="3" t="inlineStr">
        <is>
          <t>2 · DISPLAYED</t>
        </is>
      </c>
      <c r="F249" s="3" t="inlineStr">
        <is>
          <t>Group per-class totals into the three uber-groups, keeping class order inside each.</t>
        </is>
      </c>
      <c r="G249" s="13" t="inlineStr">
        <is>
          <t>classes = class rows where uber group of(key) = group</t>
        </is>
      </c>
      <c r="H249" s="3" t="inlineStr">
        <is>
          <t>Classes is class rows where uber group of(key) = group.</t>
        </is>
      </c>
      <c r="I249" s="3" t="inlineStr">
        <is>
          <t>READ FROM THE CODE — rendered from the expressions the function runs</t>
        </is>
      </c>
      <c r="J249" s="3" t="inlineStr">
        <is>
          <t>Nothing is handed to it</t>
        </is>
      </c>
      <c r="K249" s="3" t="inlineStr">
        <is>
          <t>NOT DECLARED — the code does not say what it gives back</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MK-CF-F-132 map
2. MK-NW-F-047 uberGroupOf</t>
        </is>
      </c>
      <c r="P249" s="3" t="n">
        <v>2</v>
      </c>
      <c r="Q249" s="3" t="inlineStr">
        <is>
          <t>1. MK-CF-F-132 map
2. MK-NW-F-047 uberGroupOf</t>
        </is>
      </c>
      <c r="R249" s="3" t="inlineStr">
        <is>
          <t>1. MK-CF-F-132 map → MK-NW-F-048 uberGroupRows
2. MK-NW-F-047 uberGroupOf → MK-NW-F-048 uberGroupRows</t>
        </is>
      </c>
      <c r="S249" s="3" t="inlineStr">
        <is>
          <t>—</t>
        </is>
      </c>
      <c r="T249" s="3" t="inlineStr">
        <is>
          <t>NET_WORTH_GROUPING</t>
        </is>
      </c>
      <c r="U249" s="3" t="inlineStr">
        <is>
          <t>ACTIVE</t>
        </is>
      </c>
      <c r="V249" s="3" t="inlineStr">
        <is>
          <t>2026-08-27</t>
        </is>
      </c>
      <c r="Y249" s="3" t="inlineStr">
        <is>
          <t>NOTHING OPEN</t>
        </is>
      </c>
    </row>
    <row r="250">
      <c r="A250" s="3" t="inlineStr">
        <is>
          <t>MK-NW-F-049</t>
        </is>
      </c>
      <c r="B250" s="3" t="inlineStr">
        <is>
          <t>itemizedTotal</t>
        </is>
      </c>
      <c r="C250" s="3" t="inlineStr">
        <is>
          <t>src/domain/assets/itemize.ts</t>
        </is>
      </c>
      <c r="D250" s="3" t="n">
        <v>49</v>
      </c>
      <c r="E250" s="3" t="inlineStr">
        <is>
          <t>1 · ACTION</t>
        </is>
      </c>
      <c r="F250" s="3" t="inlineStr">
        <is>
          <t>Σ of the itemized holding values.</t>
        </is>
      </c>
      <c r="G250" s="13" t="inlineStr">
        <is>
          <t>the answer = Σ over items of (value, or 0 when missing)</t>
        </is>
      </c>
      <c r="H250" s="3" t="inlineStr">
        <is>
          <t>Adds up the value of every holding entered while itemising an account.</t>
        </is>
      </c>
      <c r="I250" s="3" t="inlineStr">
        <is>
          <t>READ BY HAND 2026-08-26 — checked line by line against the code</t>
        </is>
      </c>
      <c r="J250" s="3" t="inlineStr">
        <is>
          <t>items: ItemHolding[]</t>
        </is>
      </c>
      <c r="K250" s="3" t="inlineStr">
        <is>
          <t>number</t>
        </is>
      </c>
      <c r="L250" s="3" t="inlineStr">
        <is>
          <t>"Unallocated" — on the Itemise an account screen</t>
        </is>
      </c>
      <c r="M250" s="3" t="inlineStr">
        <is>
          <t>· If value is missing it counts as zero, so nothing recorded and a real zero look the same.</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ITEMISED_TOTAL</t>
        </is>
      </c>
      <c r="U250" s="3" t="inlineStr">
        <is>
          <t>ACTIVE</t>
        </is>
      </c>
      <c r="V250" s="3" t="inlineStr">
        <is>
          <t>2026-09-12</t>
        </is>
      </c>
      <c r="Y250" s="3" t="inlineStr">
        <is>
          <t>NOTHING OPEN</t>
        </is>
      </c>
    </row>
    <row r="251">
      <c r="A251" s="3" t="inlineStr">
        <is>
          <t>MK-NW-F-050</t>
        </is>
      </c>
      <c r="B251" s="3" t="inlineStr">
        <is>
          <t>itemizeRemainder</t>
        </is>
      </c>
      <c r="C251" s="3" t="inlineStr">
        <is>
          <t>src/domain/assets/itemize.ts</t>
        </is>
      </c>
      <c r="D251" s="3" t="n">
        <v>74</v>
      </c>
      <c r="E251" s="3" t="inlineStr">
        <is>
          <t>1 · ACTION</t>
        </is>
      </c>
      <c r="F251" s="3" t="inlineStr">
        <is>
          <t>Lump balance − Σ holdings.</t>
        </is>
      </c>
      <c r="G251" s="13" t="inlineStr">
        <is>
          <t>the answer = (lump balance, or 0) − itemized total(items)</t>
        </is>
      </c>
      <c r="H251" s="3" t="inlineStr">
        <is>
          <t>The lump balance less the holdings entered so far: positive means money still unallocated, negative means the holdings exceed the entered total.</t>
        </is>
      </c>
      <c r="I251" s="3" t="inlineStr">
        <is>
          <t>READ BY HAND 2026-08-26 — checked line by line against the code</t>
        </is>
      </c>
      <c r="J251" s="3" t="inlineStr">
        <is>
          <t>1. lumpBalance: number
2. items: ItemHolding[]</t>
        </is>
      </c>
      <c r="K251" s="3" t="inlineStr">
        <is>
          <t>number</t>
        </is>
      </c>
      <c r="L251" s="3" t="inlineStr">
        <is>
          <t>"Unallocated" — on the Itemise an account screen</t>
        </is>
      </c>
      <c r="M251" s="3" t="inlineStr">
        <is>
          <t>· If lump balance is missing it counts as zero, so nothing recorded and a real zero look the same.</t>
        </is>
      </c>
      <c r="N251" s="3" t="inlineStr">
        <is>
          <t>Yes</t>
        </is>
      </c>
      <c r="O251" s="3" t="inlineStr">
        <is>
          <t>MK-NW-F-049 itemizedTotal</t>
        </is>
      </c>
      <c r="P251" s="3" t="n">
        <v>1</v>
      </c>
      <c r="Q251" s="3" t="inlineStr">
        <is>
          <t>MK-NW-F-049 itemizedTotal</t>
        </is>
      </c>
      <c r="R251" s="3" t="inlineStr">
        <is>
          <t>MK-NW-F-049 itemizedTotal → MK-NW-F-050 itemizeRemainder</t>
        </is>
      </c>
      <c r="S251" s="3" t="inlineStr">
        <is>
          <t>—</t>
        </is>
      </c>
      <c r="T251" s="3" t="inlineStr">
        <is>
          <t>ITEMISED_REMAINDER</t>
        </is>
      </c>
      <c r="U251" s="3" t="inlineStr">
        <is>
          <t>ACTIVE</t>
        </is>
      </c>
      <c r="V251" s="3" t="inlineStr">
        <is>
          <t>2026-09-12</t>
        </is>
      </c>
      <c r="Y251" s="3" t="inlineStr">
        <is>
          <t>NOTHING OPEN</t>
        </is>
      </c>
    </row>
    <row r="252">
      <c r="A252" s="3" t="inlineStr">
        <is>
          <t>MK-NW-F-051</t>
        </is>
      </c>
      <c r="B252" s="3" t="inlineStr">
        <is>
          <t>itemizedResultTotal</t>
        </is>
      </c>
      <c r="C252" s="3" t="inlineStr">
        <is>
          <t>src/domain/assets/itemize.ts</t>
        </is>
      </c>
      <c r="D252" s="3" t="n">
        <v>99</v>
      </c>
      <c r="E252" s="3" t="inlineStr">
        <is>
          <t>2 · DISPLAYED</t>
        </is>
      </c>
      <c r="F252" s="3" t="inlineStr">
        <is>
          <t>The account total AFTER itemizing.</t>
        </is>
      </c>
      <c r="G252" s="13" t="inlineStr">
        <is>
          <t>sum = itemized total(items)
remainder = itemize remainder(lump.balance, items)
the answer:
sum + remainder   if keep remainder as cash and remainder &gt; 0
sum   otherwise</t>
        </is>
      </c>
      <c r="H252" s="3" t="inlineStr">
        <is>
          <t>Sum is itemized total(items). Remainder is itemize remainder(lump.balance, items). The answer is sum plus remainder — when keep remainder as cash and remainder &gt; 0; sum — otherwise.</t>
        </is>
      </c>
      <c r="I252" s="3" t="inlineStr">
        <is>
          <t>READ FROM THE CODE — rendered from the expressions the function runs</t>
        </is>
      </c>
      <c r="J252" s="3" t="inlineStr">
        <is>
          <t>Nothing is handed to it</t>
        </is>
      </c>
      <c r="K252" s="3" t="inlineStr">
        <is>
          <t>NOT DECLARED — the code does not say what it gives back</t>
        </is>
      </c>
      <c r="L252" s="3" t="inlineStr">
        <is>
          <t>NOT FOUND — a screen calls it, but the words printed beside its answer could not be traced automatically. Needs reading.</t>
        </is>
      </c>
      <c r="M252" s="3" t="inlineStr">
        <is>
          <t>None found in this function — anything it assumes comes from the functions it depends on.</t>
        </is>
      </c>
      <c r="N252" s="3" t="inlineStr">
        <is>
          <t>Yes</t>
        </is>
      </c>
      <c r="O252" s="3" t="inlineStr">
        <is>
          <t>1. MK-NW-F-050 itemizeRemainder
2. MK-NW-F-049 itemizedTotal</t>
        </is>
      </c>
      <c r="P252" s="3" t="n">
        <v>2</v>
      </c>
      <c r="Q252" s="3" t="inlineStr">
        <is>
          <t>1. MK-NW-F-050 itemizeRemainder
2. MK-NW-F-049 itemizedTotal</t>
        </is>
      </c>
      <c r="R252" s="3" t="inlineStr">
        <is>
          <t>1. MK-NW-F-049 itemizedTotal → MK-NW-F-050 itemizeRemainder → MK-NW-F-051 itemizedResultTotal
2. MK-NW-F-049 itemizedTotal → MK-NW-F-051 itemizedResultTotal</t>
        </is>
      </c>
      <c r="S252" s="3" t="inlineStr">
        <is>
          <t>—</t>
        </is>
      </c>
      <c r="T252" s="3" t="inlineStr">
        <is>
          <t>—</t>
        </is>
      </c>
      <c r="U252" s="3" t="inlineStr">
        <is>
          <t>ACTIVE</t>
        </is>
      </c>
      <c r="V252" s="3" t="inlineStr">
        <is>
          <t>2026-09-09</t>
        </is>
      </c>
      <c r="Y252" s="3" t="inlineStr">
        <is>
          <t>NOTHING OPEN</t>
        </is>
      </c>
    </row>
    <row r="253">
      <c r="A253" s="3" t="inlineStr">
        <is>
          <t>MK-NW-F-052</t>
        </is>
      </c>
      <c r="B253" s="3" t="inlineStr">
        <is>
          <t>buildItemizedAccounts</t>
        </is>
      </c>
      <c r="C253" s="3" t="inlineStr">
        <is>
          <t>src/domain/assets/itemize.ts</t>
        </is>
      </c>
      <c r="D253" s="3" t="n">
        <v>140</v>
      </c>
      <c r="E253" s="3" t="inlineStr">
        <is>
          <t>2 · DISPLAYED</t>
        </is>
      </c>
      <c r="F253" s="3" t="inlineStr">
        <is>
          <t>Build the new accounts to CREATE when committing an itemization.</t>
        </is>
      </c>
      <c r="G253" s="13" t="inlineStr">
        <is>
          <t>institution = (lump.institution or lump.label or '').trim() (or undefined when missing or zero)
bucket = lump.tax bucket
the answer = acct
remainder = itemize remainder(lump.balance, items)</t>
        </is>
      </c>
      <c r="H253" s="3" t="inlineStr">
        <is>
          <t>Institution is (lump.institution or lump.label or '').trim() (or undefined — when missing or zero). Bucket is lump.tax bucket. The answer is acct. Remainder is itemize remainder(lump.balance, items).</t>
        </is>
      </c>
      <c r="I253" s="3" t="inlineStr">
        <is>
          <t>PARTLY READ — some of the code is still showing through; needs a hand pass</t>
        </is>
      </c>
      <c r="J253" s="3" t="inlineStr">
        <is>
          <t>Nothing is handed to it</t>
        </is>
      </c>
      <c r="K253" s="3" t="inlineStr">
        <is>
          <t>NOT DECLARED — the code does not say what it gives back</t>
        </is>
      </c>
      <c r="L253" s="3" t="inlineStr">
        <is>
          <t>NOT FOUND — a screen calls it, but the words printed beside its answer could not be traced automatically. Needs reading.</t>
        </is>
      </c>
      <c r="M253" s="3" t="inlineStr">
        <is>
          <t>1. If value is missing it counts as zero, so nothing recorded and a real zero look the same.
2. If coupon rate is missing it counts as zero, so nothing recorded and a real zero look the same.</t>
        </is>
      </c>
      <c r="N253" s="3" t="inlineStr">
        <is>
          <t>Yes</t>
        </is>
      </c>
      <c r="O253" s="3" t="inlineStr">
        <is>
          <t>1. MK-NW-F-050 itemizeRemainder
2. MK-CF-F-132 map</t>
        </is>
      </c>
      <c r="P253" s="3" t="n">
        <v>3</v>
      </c>
      <c r="Q253" s="3" t="inlineStr">
        <is>
          <t>1. MK-NW-F-050 itemizeRemainder
2. MK-CF-F-132 map
3. MK-NW-F-049 itemizedTotal</t>
        </is>
      </c>
      <c r="R253" s="3" t="inlineStr">
        <is>
          <t>1. MK-NW-F-049 itemizedTotal → MK-NW-F-050 itemizeRemainder → MK-NW-F-052 buildItemizedAccounts
2. MK-CF-F-132 map → MK-NW-F-052 buildItemizedAccounts</t>
        </is>
      </c>
      <c r="S253" s="3" t="inlineStr">
        <is>
          <t>—</t>
        </is>
      </c>
      <c r="T253" s="3" t="inlineStr">
        <is>
          <t>ITEMISE_AN_ACCOUNT</t>
        </is>
      </c>
      <c r="U253" s="3" t="inlineStr">
        <is>
          <t>ACTIVE</t>
        </is>
      </c>
      <c r="V253" s="3" t="inlineStr">
        <is>
          <t>2026-08-27</t>
        </is>
      </c>
      <c r="Y253" s="3" t="inlineStr">
        <is>
          <t>NOTHING OPEN</t>
        </is>
      </c>
    </row>
    <row r="254">
      <c r="A254" s="3" t="inlineStr">
        <is>
          <t>MK-NW-F-053</t>
        </is>
      </c>
      <c r="B254" s="3" t="inlineStr">
        <is>
          <t>correctClassOf</t>
        </is>
      </c>
      <c r="C254" s="3" t="inlineStr">
        <is>
          <t>src/domain/assets/reclassify.ts</t>
        </is>
      </c>
      <c r="D254" s="3" t="n">
        <v>45</v>
      </c>
      <c r="E254" s="3" t="inlineStr">
        <is>
          <t>3 · DEPENDENT</t>
        </is>
      </c>
      <c r="F254" s="3" t="inlineStr">
        <is>
          <t>The class an account SHOULD carry under the current rule.</t>
        </is>
      </c>
      <c r="G254" s="13" t="inlineStr">
        <is>
          <t>by label = income bearing class of(label)
by label   when by label
maturity class(maturity date)   when maturity date
'stocks_etf'   when kind = 'money_market'
'bonds'   when kind = 'cd'
the answer = nothing</t>
        </is>
      </c>
      <c r="H254" s="3" t="inlineStr">
        <is>
          <t>By label is income bearing class of(label). When by label, it answers by label. When maturity date, it answers maturity class(maturity date). When kind = 'money_market', it answers 'stocks_etf'. When kind = 'cd', it answers 'bonds'. The answer is no answer.</t>
        </is>
      </c>
      <c r="I254" s="3" t="inlineStr">
        <is>
          <t>READ FROM THE CODE — rendered from the expressions the function runs</t>
        </is>
      </c>
      <c r="J254" s="3" t="inlineStr">
        <is>
          <t>a: AssetAccount</t>
        </is>
      </c>
      <c r="K254" s="3" t="inlineStr">
        <is>
          <t>AssetClass | null</t>
        </is>
      </c>
      <c r="L254" s="3" t="inlineStr">
        <is>
          <t>—</t>
        </is>
      </c>
      <c r="M254" s="3" t="inlineStr">
        <is>
          <t>None found in this function — anything it assumes comes from the functions it depends on.</t>
        </is>
      </c>
      <c r="N254" s="3" t="inlineStr">
        <is>
          <t>Yes</t>
        </is>
      </c>
      <c r="O254" s="3" t="inlineStr">
        <is>
          <t>1. MK-NW-F-008 incomeBearingClassOf
2. MK-NW-F-009 maturityClass</t>
        </is>
      </c>
      <c r="P254" s="3" t="n">
        <v>11</v>
      </c>
      <c r="Q254" s="3" t="inlineStr">
        <is>
          <t>1. MK-NW-F-008 incomeBearingClassOf
2. MK-NW-F-009 maturityClass
3. MK-CF-F-155 cash
4. MK-ST-F-010 nameEvidence
5. MK-XS-F-122 n
6. MK-XS-F-147 call
7. MK-ST-F-056 has
8. MK-CF-F-132 map
9. MK-ST-F-027 accountId
10. MK-XS-F-064 currentIdToken
11. MK-XS-F-112 relayUrl</t>
        </is>
      </c>
      <c r="R254"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54" s="3" t="inlineStr">
        <is>
          <t>—</t>
        </is>
      </c>
      <c r="T254" s="3" t="inlineStr">
        <is>
          <t>—</t>
        </is>
      </c>
      <c r="U254" s="3" t="inlineStr">
        <is>
          <t>ACTIVE</t>
        </is>
      </c>
      <c r="V254" s="3" t="inlineStr">
        <is>
          <t>2026-09-12</t>
        </is>
      </c>
      <c r="Y254" s="3" t="inlineStr">
        <is>
          <t>NOTHING OPEN</t>
        </is>
      </c>
    </row>
    <row r="255">
      <c r="A255" s="3" t="inlineStr">
        <is>
          <t>MK-NW-F-054</t>
        </is>
      </c>
      <c r="B255" s="3" t="inlineStr">
        <is>
          <t>reclassifyAccounts</t>
        </is>
      </c>
      <c r="C255" s="3" t="inlineStr">
        <is>
          <t>src/domain/assets/reclassify.ts</t>
        </is>
      </c>
      <c r="D255" s="3" t="n">
        <v>91</v>
      </c>
      <c r="E255" s="3" t="inlineStr">
        <is>
          <t>3 · DEPENDENT</t>
        </is>
      </c>
      <c r="F255" s="3" t="inlineStr">
        <is>
          <t>NOT DETERMINED — the code carries no note saying what this is for, and it has no row in the old inventory. Needs reading.</t>
        </is>
      </c>
      <c r="G255" s="13" t="inlineStr">
        <is>
          <t>changed = 0
want = correct class of(a)
next = a
ps = (next.positions ?? []) as any[]
the answer = p</t>
        </is>
      </c>
      <c r="H255" s="3" t="inlineStr">
        <is>
          <t>Changed is 0. Want is correct class of(a). Next is a. Ps is (next.positions ?? []) as any[]. The answer is p.</t>
        </is>
      </c>
      <c r="I255" s="3" t="inlineStr">
        <is>
          <t>PARTLY READ — some of the code is still showing through; needs a hand pass</t>
        </is>
      </c>
      <c r="J255" s="3" t="inlineStr">
        <is>
          <t>accounts: AssetAccount[]</t>
        </is>
      </c>
      <c r="K255" s="3" t="inlineStr">
        <is>
          <t>NOT DECLARED — the code does not say what it gives back</t>
        </is>
      </c>
      <c r="L255" s="3" t="inlineStr">
        <is>
          <t>—</t>
        </is>
      </c>
      <c r="M255" s="3" t="inlineStr">
        <is>
          <t>· Uses a built-in changed of 0.</t>
        </is>
      </c>
      <c r="N255" s="3" t="inlineStr">
        <is>
          <t>Yes</t>
        </is>
      </c>
      <c r="O255" s="3" t="inlineStr">
        <is>
          <t>1. MK-NW-F-053 correctClassOf
2. MK-NW-F-008 incomeBearingClassOf
3. MK-CF-F-132 map</t>
        </is>
      </c>
      <c r="P255" s="3" t="n">
        <v>12</v>
      </c>
      <c r="Q255"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55"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55" s="3" t="inlineStr">
        <is>
          <t>—</t>
        </is>
      </c>
      <c r="T255" s="3" t="inlineStr">
        <is>
          <t>—</t>
        </is>
      </c>
      <c r="U255" s="3" t="inlineStr">
        <is>
          <t>ACTIVE</t>
        </is>
      </c>
      <c r="V255" s="3" t="inlineStr">
        <is>
          <t>2026-09-12</t>
        </is>
      </c>
      <c r="Y255" s="3" t="inlineStr">
        <is>
          <t>NOTHING OPEN</t>
        </is>
      </c>
    </row>
    <row r="256">
      <c r="A256" s="3" t="inlineStr">
        <is>
          <t>MK-NW-F-055</t>
        </is>
      </c>
      <c r="B256" s="3" t="inlineStr">
        <is>
          <t>isBond</t>
        </is>
      </c>
      <c r="C256" s="3" t="inlineStr">
        <is>
          <t>src/domain/bonds/index.ts</t>
        </is>
      </c>
      <c r="D256" s="3" t="n">
        <v>30</v>
      </c>
      <c r="E256" s="3" t="inlineStr">
        <is>
          <t>2 · DISPLAYED</t>
        </is>
      </c>
      <c r="F256" s="3" t="inlineStr">
        <is>
          <t>An AssetAccount is a bond if its ASSET CLASS is bonds (spec §2: "detected by assetClass, NOT maturity date").</t>
        </is>
      </c>
      <c r="G256" s="13" t="inlineStr">
        <is>
          <t>asset class of(a) = 'bonds'</t>
        </is>
      </c>
      <c r="H256" s="3" t="inlineStr">
        <is>
          <t>asset class of(a) = 'bonds'.</t>
        </is>
      </c>
      <c r="I256" s="3" t="inlineStr">
        <is>
          <t>READ FROM THE CODE — rendered from the expressions the function runs</t>
        </is>
      </c>
      <c r="J256" s="3" t="inlineStr">
        <is>
          <t>a: AssetAccount</t>
        </is>
      </c>
      <c r="K256" s="3" t="inlineStr">
        <is>
          <t>boolean</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MK-NW-F-011 assetClassOf</t>
        </is>
      </c>
      <c r="P256" s="3" t="n">
        <v>11</v>
      </c>
      <c r="Q256" s="3" t="inlineStr">
        <is>
          <t>1. MK-NW-F-011 assetClassOf
2. MK-NW-F-008 incomeBearingClassOf
3. MK-CF-F-155 cash
4. MK-ST-F-010 nameEvidence
5. MK-XS-F-122 n
6. MK-XS-F-147 call
7. MK-ST-F-056 has
8. MK-CF-F-132 map
9. MK-ST-F-027 accountId
10. MK-XS-F-064 currentIdToken
11. MK-XS-F-112 relayUrl</t>
        </is>
      </c>
      <c r="R256"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56" s="3" t="inlineStr">
        <is>
          <t>—</t>
        </is>
      </c>
      <c r="T256" s="3" t="inlineStr">
        <is>
          <t>IS_BOND</t>
        </is>
      </c>
      <c r="U256" s="3" t="inlineStr">
        <is>
          <t>ACTIVE</t>
        </is>
      </c>
      <c r="V256" s="3" t="inlineStr">
        <is>
          <t>2026-08-27</t>
        </is>
      </c>
      <c r="Y256" s="3" t="inlineStr">
        <is>
          <t>NOTHING OPEN</t>
        </is>
      </c>
    </row>
    <row r="257">
      <c r="A257" s="3" t="inlineStr">
        <is>
          <t>MK-NW-F-056</t>
        </is>
      </c>
      <c r="B257" s="3" t="inlineStr">
        <is>
          <t>bondInfo</t>
        </is>
      </c>
      <c r="C257" s="3" t="inlineStr">
        <is>
          <t>src/domain/bonds/index.ts</t>
        </is>
      </c>
      <c r="D257" s="3" t="n">
        <v>66</v>
      </c>
      <c r="E257" s="3" t="inlineStr">
        <is>
          <t>2 · DISPLAYED</t>
        </is>
      </c>
      <c r="F257" s="3" t="inlineStr">
        <is>
          <t>What are this holding's bond facts?</t>
        </is>
      </c>
      <c r="G257" s="13" t="inlineStr">
        <is>
          <t>face = face value or 0
coupon rate = coupon rate or 0
maturity = maturity date or ''
value = balance or 0
accrued interest = the entered figure, or nothing when not entered</t>
        </is>
      </c>
      <c r="H257" s="3" t="inlineStr">
        <is>
          <t>Reads the bond's facts off the account record — face value, coupon rate, maturity date, the value as entered, and the accrued interest when the person entered it (MK-XS-I-065). No arithmetic.</t>
        </is>
      </c>
      <c r="I257" s="3" t="inlineStr">
        <is>
          <t>READ BY HAND 2026-08-26 — checked line by line against the code</t>
        </is>
      </c>
      <c r="J257" s="3" t="inlineStr">
        <is>
          <t>a: AssetAccount</t>
        </is>
      </c>
      <c r="K257" s="3" t="inlineStr">
        <is>
          <t>BondInfo</t>
        </is>
      </c>
      <c r="L257" s="3" t="inlineStr">
        <is>
          <t>1. "Face value" — on the Account detail screen
2. "IF INTEREST RATES MOVE" — on the Account detail screen
3. "Interest payments" — on the Account detail screen
4. "Matures" — on the Account detail screen</t>
        </is>
      </c>
      <c r="M257"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57" s="3" t="inlineStr">
        <is>
          <t>Yes</t>
        </is>
      </c>
      <c r="O257" s="3" t="inlineStr">
        <is>
          <t>MK-CF-F-155 cash</t>
        </is>
      </c>
      <c r="P257" s="3" t="n">
        <v>2</v>
      </c>
      <c r="Q257" s="3" t="inlineStr">
        <is>
          <t>1. MK-CF-F-155 cash
2. MK-XS-F-122 n</t>
        </is>
      </c>
      <c r="R257" s="3" t="inlineStr">
        <is>
          <t>MK-XS-F-122 n → MK-CF-F-155 cash → MK-NW-F-056 bondInfo</t>
        </is>
      </c>
      <c r="S257" s="3" t="inlineStr">
        <is>
          <t>MK-NW-M-023 · MK-NW-M-041 · MK-NW-M-042 · MK-NW-M-045</t>
        </is>
      </c>
      <c r="T257" s="3" t="inlineStr">
        <is>
          <t>BOND_FACTS</t>
        </is>
      </c>
      <c r="U257" s="3" t="inlineStr">
        <is>
          <t>ACTIVE</t>
        </is>
      </c>
      <c r="V257" s="3" t="inlineStr">
        <is>
          <t>2026-09-12</t>
        </is>
      </c>
      <c r="W257" t="inlineStr">
        <is>
          <t>[from MK-NW-M-041 / M-042 / M-045] bond display rule (nine facts; value current → cost → face; else 'need more information'); why compute yield when the coupon rate is an input?</t>
        </is>
      </c>
      <c r="X257"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57" s="6" t="inlineStr">
        <is>
          <t>WAITING ON YOU — answer to read</t>
        </is>
      </c>
    </row>
    <row r="258">
      <c r="A258" s="3" t="inlineStr">
        <is>
          <t>MK-NW-F-057</t>
        </is>
      </c>
      <c r="B258" s="3" t="inlineStr">
        <is>
          <t>annualCoupon</t>
        </is>
      </c>
      <c r="C258" s="3" t="inlineStr">
        <is>
          <t>src/domain/bonds/index.ts</t>
        </is>
      </c>
      <c r="D258" s="3" t="n">
        <v>97</v>
      </c>
      <c r="E258" s="3" t="inlineStr">
        <is>
          <t>2 · DISPLAYED</t>
        </is>
      </c>
      <c r="F258" s="3" t="inlineStr">
        <is>
          <t>Annual coupon income = face value × coupon rate (paid as cash).</t>
        </is>
      </c>
      <c r="G258" s="13" t="inlineStr">
        <is>
          <t>annual coupon = face value × coupon rate</t>
        </is>
      </c>
      <c r="H258" s="3" t="inlineStr">
        <is>
          <t>What the bond pays in interest over a year: its face value times its stated rate. Paid semi-annually in practice; this figure is the yearly total.</t>
        </is>
      </c>
      <c r="I258" s="3" t="inlineStr">
        <is>
          <t>READ BY HAND 2026-08-26 — checked line by line against the code</t>
        </is>
      </c>
      <c r="J258" s="3" t="inlineStr">
        <is>
          <t>b: BondInfo</t>
        </is>
      </c>
      <c r="K258" s="3" t="inlineStr">
        <is>
          <t>number</t>
        </is>
      </c>
      <c r="L258" s="3" t="inlineStr">
        <is>
          <t>"Interest payments" — on the Account detail screen</t>
        </is>
      </c>
      <c r="M258" s="3" t="inlineStr">
        <is>
          <t>None found in this function — anything it assumes comes from the functions it depends on.</t>
        </is>
      </c>
      <c r="N258" s="3" t="inlineStr">
        <is>
          <t>Yes</t>
        </is>
      </c>
      <c r="O258" s="3" t="inlineStr">
        <is>
          <t>—</t>
        </is>
      </c>
      <c r="P258" s="3" t="n">
        <v>0</v>
      </c>
      <c r="Q258" s="3" t="inlineStr">
        <is>
          <t>None — no dependent function stands behind it</t>
        </is>
      </c>
      <c r="R258" s="3" t="inlineStr">
        <is>
          <t>No dependent function — it reads its inputs and answers</t>
        </is>
      </c>
      <c r="S258" s="3" t="inlineStr">
        <is>
          <t>MK-NW-M-024 · MK-NW-M-043 · MK-NW-M-045</t>
        </is>
      </c>
      <c r="T258" s="3" t="inlineStr">
        <is>
          <t>BOND_COUPON</t>
        </is>
      </c>
      <c r="U258" s="3" t="inlineStr">
        <is>
          <t>ACTIVE</t>
        </is>
      </c>
      <c r="V258" s="3" t="inlineStr">
        <is>
          <t>2026-09-09</t>
        </is>
      </c>
      <c r="W258" t="inlineStr">
        <is>
          <t>[from MK-NW-M-043] a matured bond must not earn a coupon; one label ('Calculated annual interest') instead of COUPON / YR and Interest payments; maturity date as an input.</t>
        </is>
      </c>
      <c r="X258" s="6" t="inlineStr">
        <is>
          <t>JJ-3: face × rate with no look at maturity — wrong for any matured bond, and inherited by F-061 and F-063. Fix: takes the maturity date and today; 0 once matured; adds MK-XS-I-013 to its inputs. Label: Q40; matured display: Q39.</t>
        </is>
      </c>
      <c r="Y258" s="6" t="inlineStr">
        <is>
          <t>WAITING ON YOU — answer to read</t>
        </is>
      </c>
    </row>
    <row r="259">
      <c r="A259" s="3" t="inlineStr">
        <is>
          <t>MK-NW-F-058</t>
        </is>
      </c>
      <c r="B259" s="3" t="inlineStr">
        <is>
          <t>yearsToMaturity</t>
        </is>
      </c>
      <c r="C259" s="3" t="inlineStr">
        <is>
          <t>src/domain/bonds/index.ts</t>
        </is>
      </c>
      <c r="D259" s="3" t="n">
        <v>124</v>
      </c>
      <c r="E259" s="3" t="inlineStr">
        <is>
          <t>2 · DISPLAYED</t>
        </is>
      </c>
      <c r="F259" s="3" t="inlineStr">
        <is>
          <t>How long until this bond pays back?</t>
        </is>
      </c>
      <c r="G259" s="13" t="inlineStr">
        <is>
          <t>years to maturity = max(0, (maturity date − today) ÷ 365.25 days)</t>
        </is>
      </c>
      <c r="H259" s="3" t="inlineStr">
        <is>
          <t>How long until the bond repays, as a fraction of a year, never negative. Uses 365.25 days — the master file says 365, which is finding A31.</t>
        </is>
      </c>
      <c r="I259" s="3" t="inlineStr">
        <is>
          <t>READ BY HAND 2026-08-26 — checked line by line against the code</t>
        </is>
      </c>
      <c r="J259" s="3" t="inlineStr">
        <is>
          <t>1. maturity: string
2. now: Date = new Date()</t>
        </is>
      </c>
      <c r="K259" s="3" t="inlineStr">
        <is>
          <t>number | null</t>
        </is>
      </c>
      <c r="L259" s="3" t="inlineStr">
        <is>
          <t>"Matures" — on the Account detail screen</t>
        </is>
      </c>
      <c r="M259" s="3" t="inlineStr">
        <is>
          <t>1. Uses today's date from the device clock, so the answer changes by itself overnight.
2. No maturity date, or an unreadable one, gives NO answer — not zero and not "due now" (G11, founder 2026-09-12); the yield to maturity and the rate sensitivity then refuse too.</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MK-NW-M-025</t>
        </is>
      </c>
      <c r="T259" s="3" t="inlineStr">
        <is>
          <t>BOND_YEARS_LEFT</t>
        </is>
      </c>
      <c r="U259" s="3" t="inlineStr">
        <is>
          <t>ACTIVE</t>
        </is>
      </c>
      <c r="V259" s="3" t="inlineStr">
        <is>
          <t>2026-08-27</t>
        </is>
      </c>
      <c r="Y259" s="6" t="inlineStr">
        <is>
          <t>TESTED, NOT VERIFIED (G11)</t>
        </is>
      </c>
    </row>
    <row r="260">
      <c r="A260" s="3" t="inlineStr">
        <is>
          <t>MK-NW-F-059</t>
        </is>
      </c>
      <c r="B260" s="3" t="inlineStr">
        <is>
          <t>currentYield</t>
        </is>
      </c>
      <c r="C260" s="3" t="inlineStr">
        <is>
          <t>src/domain/bonds/index.ts</t>
        </is>
      </c>
      <c r="D260" s="3" t="n">
        <v>151</v>
      </c>
      <c r="E260" s="3" t="inlineStr">
        <is>
          <t>2 · DISPLAYED</t>
        </is>
      </c>
      <c r="F260" s="3" t="inlineStr">
        <is>
          <t>Current yield = annual coupon ÷ current price/value.</t>
        </is>
      </c>
      <c r="G260" s="13" t="inlineStr">
        <is>
          <t>current yield = annual coupon ÷ current value</t>
        </is>
      </c>
      <c r="H260" s="3" t="inlineStr">
        <is>
          <t>The interest a year as a share of what the bond is worth now. If the recorded value is a dirty price it carries accrued interest, and the yield reads low — the file does not say which it is.</t>
        </is>
      </c>
      <c r="I260" s="3" t="inlineStr">
        <is>
          <t>READ BY HAND 2026-08-26 — checked line by line against the code</t>
        </is>
      </c>
      <c r="J260" s="3" t="inlineStr">
        <is>
          <t>b: BondInfo</t>
        </is>
      </c>
      <c r="K260" s="3" t="inlineStr">
        <is>
          <t>number | null</t>
        </is>
      </c>
      <c r="L260" s="3" t="inlineStr">
        <is>
          <t>"Yield on today" — on the Account detail screen</t>
        </is>
      </c>
      <c r="M260" s="3" t="inlineStr">
        <is>
          <t>· If accrued interest is missing it uses 0.</t>
        </is>
      </c>
      <c r="N260" s="3" t="inlineStr">
        <is>
          <t>Yes</t>
        </is>
      </c>
      <c r="O260" s="3" t="inlineStr">
        <is>
          <t>MK-NW-F-057 annualCoupon</t>
        </is>
      </c>
      <c r="P260" s="3" t="n">
        <v>1</v>
      </c>
      <c r="Q260" s="3" t="inlineStr">
        <is>
          <t>MK-NW-F-057 annualCoupon</t>
        </is>
      </c>
      <c r="R260" s="3" t="inlineStr">
        <is>
          <t>MK-NW-F-057 annualCoupon → MK-NW-F-059 currentYield</t>
        </is>
      </c>
      <c r="S260" s="3" t="inlineStr">
        <is>
          <t>MK-NW-M-027 · MK-NW-M-044</t>
        </is>
      </c>
      <c r="T260" s="3" t="inlineStr">
        <is>
          <t>BOND_CURRENT_YIELD</t>
        </is>
      </c>
      <c r="U260" s="3" t="inlineStr">
        <is>
          <t>ACTIVE</t>
        </is>
      </c>
      <c r="V260" s="3" t="inlineStr">
        <is>
          <t>2026-09-09</t>
        </is>
      </c>
      <c r="W260" t="inlineStr">
        <is>
          <t>[from MK-NW-M-044, typed A47; and K45] subtract accrued interest when recorded, caveat when not; yield always two decimals.</t>
        </is>
      </c>
      <c r="X260" s="6" t="inlineStr">
        <is>
          <t>coupon ÷ value, no accrued-interest term (no field exists yet — after brief Q-38 (2026-08-20)). Two decimals: already on the Bonds screen; account detail's two yield rows still one decimal — fix there. Caveat wording: Q45.</t>
        </is>
      </c>
      <c r="Y260" s="6" t="inlineStr">
        <is>
          <t>WAITING ON YOU — answer to read · TESTED, NOT VERIFIED (A47)</t>
        </is>
      </c>
    </row>
    <row r="261">
      <c r="A261" s="3" t="inlineStr">
        <is>
          <t>MK-NW-F-060</t>
        </is>
      </c>
      <c r="B261" s="3" t="inlineStr">
        <is>
          <t>approxYTM</t>
        </is>
      </c>
      <c r="C261" s="3" t="inlineStr">
        <is>
          <t>src/domain/bonds/index.ts</t>
        </is>
      </c>
      <c r="D261" s="3" t="n">
        <v>205</v>
      </c>
      <c r="E261" s="3" t="inlineStr">
        <is>
          <t>2 · DISPLAYED</t>
        </is>
      </c>
      <c r="F261" s="3" t="inlineStr">
        <is>
          <t>Approximate yield to maturity (standard approximation), decimal.</t>
        </is>
      </c>
      <c r="G261" s="13" t="inlineStr">
        <is>
          <t>yield to maturity ≈ round( (annual coupon + (face − value) ÷ years left)
                           ÷ ((face + value) ÷ 2), 4 dp )</t>
        </is>
      </c>
      <c r="H261"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61" s="3" t="inlineStr">
        <is>
          <t>READ BY HAND 2026-08-26 — checked line by line against the code</t>
        </is>
      </c>
      <c r="J261" s="3" t="inlineStr">
        <is>
          <t>1. b: BondInfo
2. now: Date = new Date()</t>
        </is>
      </c>
      <c r="K261" s="3" t="inlineStr">
        <is>
          <t>number | null</t>
        </is>
      </c>
      <c r="L261" s="3" t="inlineStr">
        <is>
          <t>"Yield if held to maturity" — on the Account detail screen</t>
        </is>
      </c>
      <c r="M261" s="3" t="inlineStr">
        <is>
          <t>1. Uses today's date from the device clock, so the answer changes by itself overnight.
2. 'value' is the bond's current value as entered (the balance) — the SAME total basis as face, not a price per $100 (founder question G20, 2026-09-08).</t>
        </is>
      </c>
      <c r="N261" s="3" t="inlineStr">
        <is>
          <t>Yes</t>
        </is>
      </c>
      <c r="O261" s="3" t="inlineStr">
        <is>
          <t>1. MK-NW-F-057 annualCoupon
2. MK-XS-F-122 n
3. MK-NW-F-058 yearsToMaturity</t>
        </is>
      </c>
      <c r="P261" s="3" t="n">
        <v>3</v>
      </c>
      <c r="Q261" s="3" t="inlineStr">
        <is>
          <t>1. MK-NW-F-057 annualCoupon
2. MK-XS-F-122 n
3. MK-NW-F-058 yearsToMaturity</t>
        </is>
      </c>
      <c r="R261" s="3" t="inlineStr">
        <is>
          <t>1. MK-NW-F-057 annualCoupon → MK-NW-F-060 approxYTM
2. MK-XS-F-122 n → MK-NW-F-060 approxYTM
3. MK-NW-F-058 yearsToMaturity → MK-NW-F-060 approxYTM</t>
        </is>
      </c>
      <c r="S261" s="3" t="inlineStr">
        <is>
          <t>MK-NW-M-026</t>
        </is>
      </c>
      <c r="T261" s="3" t="inlineStr">
        <is>
          <t>BOND_YIELD_TO_MATURITY</t>
        </is>
      </c>
      <c r="U261" s="3" t="inlineStr">
        <is>
          <t>ACTIVE</t>
        </is>
      </c>
      <c r="V261" s="3" t="inlineStr">
        <is>
          <t>2026-08-27</t>
        </is>
      </c>
      <c r="W261" t="inlineStr">
        <is>
          <t>[from MK-NW-M-041, Formula (in words)] why compute yield when the coupon rate is an input?</t>
        </is>
      </c>
      <c r="X261" s="6" t="inlineStr">
        <is>
          <t>Yield to maturity is derived from coupon, face, value and years left — it cannot be an input. Coupon RATE stays an input (MK-XS-I-012). Two decimals on the account-detail row still owed (K45).</t>
        </is>
      </c>
      <c r="Y261" s="6" t="inlineStr">
        <is>
          <t>WAITING ON YOU — answer to read · TESTED, NOT VERIFIED (G11, G20)</t>
        </is>
      </c>
    </row>
    <row r="262">
      <c r="A262" s="3" t="inlineStr">
        <is>
          <t>MK-NW-F-061</t>
        </is>
      </c>
      <c r="B262" s="3" t="inlineStr">
        <is>
          <t>bondSummary</t>
        </is>
      </c>
      <c r="C262" s="3" t="inlineStr">
        <is>
          <t>src/domain/bonds/index.ts</t>
        </is>
      </c>
      <c r="D262" s="3" t="n">
        <v>248</v>
      </c>
      <c r="E262" s="3" t="inlineStr">
        <is>
          <t>2 · DISPLAYED</t>
        </is>
      </c>
      <c r="F262" s="3" t="inlineStr">
        <is>
          <t>NOT DETERMINED — the code carries no note saying what this is for, and it has no row in the old inventory. Needs reading.</t>
        </is>
      </c>
      <c r="G262" s="13"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62"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62" s="3" t="inlineStr">
        <is>
          <t>PARTLY READ — some of the code is still showing through; needs a hand pass</t>
        </is>
      </c>
      <c r="J262" s="3" t="inlineStr">
        <is>
          <t>1. bonds: BondInfo[]
2. now: Date = new Date()</t>
        </is>
      </c>
      <c r="K262" s="3" t="inlineStr">
        <is>
          <t>BondSummary</t>
        </is>
      </c>
      <c r="L262" s="3" t="inlineStr">
        <is>
          <t>1. "AVG YIELD" — on the Bonds screen, under "BONDS &amp; CDS"
2. "COUPON / YR" — on the Bonds screen, under "BONDS &amp; CDS"
3. "NEXT MATURITY" — on the Bonds screen, under "BONDS &amp; CDS"</t>
        </is>
      </c>
      <c r="M262" s="3" t="inlineStr">
        <is>
          <t>· Uses today's date from the device clock, so the answer changes by itself overnight.</t>
        </is>
      </c>
      <c r="N262" s="3" t="inlineStr">
        <is>
          <t>Yes</t>
        </is>
      </c>
      <c r="O262" s="3" t="inlineStr">
        <is>
          <t>1. MK-NW-F-057 annualCoupon
2. MK-CF-F-132 map</t>
        </is>
      </c>
      <c r="P262" s="3" t="n">
        <v>2</v>
      </c>
      <c r="Q262" s="3" t="inlineStr">
        <is>
          <t>1. MK-NW-F-057 annualCoupon
2. MK-CF-F-132 map</t>
        </is>
      </c>
      <c r="R262" s="3" t="inlineStr">
        <is>
          <t>1. MK-NW-F-057 annualCoupon → MK-NW-F-061 bondSummary
2. MK-CF-F-132 map → MK-NW-F-061 bondSummary</t>
        </is>
      </c>
      <c r="S262" s="3" t="inlineStr">
        <is>
          <t>—</t>
        </is>
      </c>
      <c r="T262" s="3" t="inlineStr">
        <is>
          <t>—</t>
        </is>
      </c>
      <c r="U262" s="3" t="inlineStr">
        <is>
          <t>ACTIVE</t>
        </is>
      </c>
      <c r="V262" s="3" t="inlineStr">
        <is>
          <t>2026-09-09</t>
        </is>
      </c>
      <c r="W262" t="inlineStr">
        <is>
          <t>[from MK-NW-M-041 / M-042 / M-043] total value = sum of what? inputs should be face value; matured bonds and the coupon total.</t>
        </is>
      </c>
      <c r="X262" s="6" t="inlineStr">
        <is>
          <t>totalValue = Σ each bond's entered value (the balance); totalFace = Σ face (MK-XS-I-011); count = number of bond records; the coupon total inherits JJ-3 (matured bonds still counted). This is the real producer of MK-NW-M-041 and M-042 — both rows should name it.</t>
        </is>
      </c>
      <c r="Y262" s="6" t="inlineStr">
        <is>
          <t>WAITING ON YOU — answer to read</t>
        </is>
      </c>
    </row>
    <row r="263">
      <c r="A263" s="3" t="inlineStr">
        <is>
          <t>MK-NW-F-062</t>
        </is>
      </c>
      <c r="B263" s="3" t="inlineStr">
        <is>
          <t>couponIncomeAnnual</t>
        </is>
      </c>
      <c r="C263" s="3" t="inlineStr">
        <is>
          <t>src/domain/bonds/index.ts</t>
        </is>
      </c>
      <c r="D263" s="3" t="n">
        <v>273</v>
      </c>
      <c r="E263" s="3" t="inlineStr">
        <is>
          <t>3 · DEPENDENT (feeds an action only)</t>
        </is>
      </c>
      <c r="F263" s="3" t="inlineStr">
        <is>
          <t>Total annual coupon income across the user's INDIVIDUAL bonds (kept for the Bonds screen summary).</t>
        </is>
      </c>
      <c r="G263" s="13" t="inlineStr">
        <is>
          <t>Σ over accounts (or none when missing) where is bond of (annual coupon(bond info(each)))</t>
        </is>
      </c>
      <c r="H263" s="3" t="inlineStr">
        <is>
          <t>the annual coupon(bond info(each)) added up across accounts (or none — when missing) where is bond.</t>
        </is>
      </c>
      <c r="I263" s="3" t="inlineStr">
        <is>
          <t>READ FROM THE CODE — rendered from the expressions the function runs</t>
        </is>
      </c>
      <c r="J263" s="3" t="inlineStr">
        <is>
          <t>accounts: AssetAccount[]</t>
        </is>
      </c>
      <c r="K263" s="3" t="inlineStr">
        <is>
          <t>number</t>
        </is>
      </c>
      <c r="L263" s="3" t="inlineStr">
        <is>
          <t>—</t>
        </is>
      </c>
      <c r="M263" s="3" t="inlineStr">
        <is>
          <t>None found in this function — anything it assumes comes from the functions it depends on.</t>
        </is>
      </c>
      <c r="N263" s="3" t="inlineStr">
        <is>
          <t>No</t>
        </is>
      </c>
      <c r="O263" s="3" t="inlineStr">
        <is>
          <t>1. MK-NW-F-057 annualCoupon
2. MK-NW-F-056 bondInfo
3. MK-NW-F-055 isBond</t>
        </is>
      </c>
      <c r="P263" s="3" t="n">
        <v>14</v>
      </c>
      <c r="Q263"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63"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63" s="3" t="inlineStr">
        <is>
          <t>—</t>
        </is>
      </c>
      <c r="T263" s="3" t="inlineStr">
        <is>
          <t>—</t>
        </is>
      </c>
      <c r="U263" s="3" t="inlineStr">
        <is>
          <t>ACTIVE</t>
        </is>
      </c>
      <c r="V263" s="3" t="inlineStr">
        <is>
          <t>2026-09-09</t>
        </is>
      </c>
      <c r="Y263" s="3" t="inlineStr">
        <is>
          <t>NOTHING OPEN</t>
        </is>
      </c>
    </row>
    <row r="264">
      <c r="A264" s="3" t="inlineStr">
        <is>
          <t>MK-NW-F-063</t>
        </is>
      </c>
      <c r="B264" s="3" t="inlineStr">
        <is>
          <t>interestIncomeAnnual</t>
        </is>
      </c>
      <c r="C264" s="3" t="inlineStr">
        <is>
          <t>src/domain/bonds/index.ts</t>
        </is>
      </c>
      <c r="D264" s="3" t="n">
        <v>308</v>
      </c>
      <c r="E264" s="3" t="inlineStr">
        <is>
          <t>3 · DEPENDENT (feeds an action only)</t>
        </is>
      </c>
      <c r="F264" s="3" t="inlineStr">
        <is>
          <t>Canonical annual INTEREST income across all interest-bearing holdings (Term #6).</t>
        </is>
      </c>
      <c r="G264" s="13" t="inlineStr">
        <is>
          <t>cls = asset class of(a)
coupon = (coupon rate or 0) × (face value or 0)
t + coupon   when coupon &gt; 0
t + (balance or 0) × (coupon rate as number)   when (coupon rate or 0) &gt; 0
the answer = t</t>
        </is>
      </c>
      <c r="H264" s="3" t="inlineStr">
        <is>
          <t>Cls is asset class of(a). Coupon is (coupon rate or 0) times (face value or 0). When coupon &gt; 0, it answers t plus coupon. When (coupon rate or 0) &gt; 0, it answers t plus (balance or 0) times (coupon rate as number). The answer is t.</t>
        </is>
      </c>
      <c r="I264" s="3" t="inlineStr">
        <is>
          <t>READ FROM THE CODE — rendered from the expressions the function runs</t>
        </is>
      </c>
      <c r="J264" s="3" t="inlineStr">
        <is>
          <t>accounts: AssetAccount[]</t>
        </is>
      </c>
      <c r="K264" s="3" t="inlineStr">
        <is>
          <t>number</t>
        </is>
      </c>
      <c r="L264" s="3" t="inlineStr">
        <is>
          <t>—</t>
        </is>
      </c>
      <c r="M264"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64" s="3" t="inlineStr">
        <is>
          <t>No</t>
        </is>
      </c>
      <c r="O264" s="3" t="inlineStr">
        <is>
          <t>MK-NW-F-011 assetClassOf</t>
        </is>
      </c>
      <c r="P264" s="3" t="n">
        <v>11</v>
      </c>
      <c r="Q264" s="3" t="inlineStr">
        <is>
          <t>1. MK-NW-F-011 assetClassOf
2. MK-NW-F-008 incomeBearingClassOf
3. MK-CF-F-155 cash
4. MK-ST-F-010 nameEvidence
5. MK-XS-F-122 n
6. MK-XS-F-147 call
7. MK-ST-F-056 has
8. MK-CF-F-132 map
9. MK-ST-F-027 accountId
10. MK-XS-F-064 currentIdToken
11. MK-XS-F-112 relayUrl</t>
        </is>
      </c>
      <c r="R264"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64" s="3" t="inlineStr">
        <is>
          <t>—</t>
        </is>
      </c>
      <c r="T264" s="3" t="inlineStr">
        <is>
          <t>—</t>
        </is>
      </c>
      <c r="U264" s="3" t="inlineStr">
        <is>
          <t>ACTIVE</t>
        </is>
      </c>
      <c r="V264" s="3" t="inlineStr">
        <is>
          <t>2026-09-11</t>
        </is>
      </c>
      <c r="W264" t="inlineStr">
        <is>
          <t>[from MK-NW-M-043 / M-045, typed A46] If coupon rate is not available use 0.</t>
        </is>
      </c>
      <c r="X264" s="6" t="inlineStr">
        <is>
          <t>JJ-4: still falls back to 4.2% (DEFAULT_BOND_YIELD) for a bond fund with no rate, and the paycheck income lines do the same. Fix: 0 + 'no rate recorded'. Also inherits JJ-3 (matured bonds). The other 4.2%/4% figures are expected-return defaults, a different concept — Q44.</t>
        </is>
      </c>
      <c r="Y264" s="6" t="inlineStr">
        <is>
          <t>WAITING ON YOU — answer to read · TESTED, NOT VERIFIED (A46)</t>
        </is>
      </c>
    </row>
    <row r="265">
      <c r="A265" s="3" t="inlineStr">
        <is>
          <t>MK-NW-F-064</t>
        </is>
      </c>
      <c r="B265" s="3" t="inlineStr">
        <is>
          <t>bondRateSensitivity</t>
        </is>
      </c>
      <c r="C265" s="3" t="inlineStr">
        <is>
          <t>src/domain/bonds/index.ts</t>
        </is>
      </c>
      <c r="D265" s="3" t="n">
        <v>402</v>
      </c>
      <c r="E265" s="3" t="inlineStr">
        <is>
          <t>2 · DISPLAYED</t>
        </is>
      </c>
      <c r="F265" s="3" t="inlineStr">
        <is>
          <t>What happens to this bond if interest rates move?</t>
        </is>
      </c>
      <c r="G265" s="13" t="inlineStr">
        <is>
          <t>ytm = approx ytm(b, now)
nothing   when ytm = nothing (or face ≤ 0 (or coupon rate ≤ 0 when missing or zero) when missing or zero)
v = price at yield(b, math.max(0.0001, ytm + delta), now)
the answer:
rates up = move(0.01)
rates down = move(-0.01)</t>
        </is>
      </c>
      <c r="H265"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65" s="3" t="inlineStr">
        <is>
          <t>PARTLY READ — some of the code is still showing through; needs a hand pass</t>
        </is>
      </c>
      <c r="J265" s="3" t="inlineStr">
        <is>
          <t>1. b: BondInfo
2. now: Date = new Date()</t>
        </is>
      </c>
      <c r="K265" s="3" t="inlineStr">
        <is>
          <t>RateSensitivity | null</t>
        </is>
      </c>
      <c r="L265" s="3" t="inlineStr">
        <is>
          <t>"IF INTEREST RATES MOVE" — on the Account detail screen</t>
        </is>
      </c>
      <c r="M265" s="3" t="inlineStr">
        <is>
          <t>1. Applies a built-in rate of 99% to v.
2. Uses today's date from the device clock, so the answer changes by itself overnight.
3. Rounds the answer to a whole number.</t>
        </is>
      </c>
      <c r="N265" s="3" t="inlineStr">
        <is>
          <t>Yes</t>
        </is>
      </c>
      <c r="O265" s="3" t="inlineStr">
        <is>
          <t>1. MK-NW-F-060 approxYTM
2. MK-NW-F-069 priceAtYield</t>
        </is>
      </c>
      <c r="P265" s="3" t="n">
        <v>5</v>
      </c>
      <c r="Q265" s="3" t="inlineStr">
        <is>
          <t>1. MK-NW-F-060 approxYTM
2. MK-NW-F-069 priceAtYield
3. MK-NW-F-057 annualCoupon
4. MK-XS-F-122 n
5. MK-NW-F-058 yearsToMaturity</t>
        </is>
      </c>
      <c r="R265"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65" s="3" t="inlineStr">
        <is>
          <t>MK-NW-M-028</t>
        </is>
      </c>
      <c r="T265" s="3" t="inlineStr">
        <is>
          <t>IF_RATES_MOVE</t>
        </is>
      </c>
      <c r="U265" s="3" t="inlineStr">
        <is>
          <t>ACTIVE</t>
        </is>
      </c>
      <c r="V265" s="3" t="inlineStr">
        <is>
          <t>2026-08-27</t>
        </is>
      </c>
      <c r="Y265" s="6" t="inlineStr">
        <is>
          <t>TESTED, NOT VERIFIED (G11)</t>
        </is>
      </c>
    </row>
    <row r="266">
      <c r="A266" s="3" t="inlineStr">
        <is>
          <t>MK-NW-F-065</t>
        </is>
      </c>
      <c r="B266" s="3" t="inlineStr">
        <is>
          <t>buildNetWorth</t>
        </is>
      </c>
      <c r="C266" s="3" t="inlineStr">
        <is>
          <t>src/domain/networth/index.ts</t>
        </is>
      </c>
      <c r="D266" s="3" t="n">
        <v>31</v>
      </c>
      <c r="E266" s="3" t="inlineStr">
        <is>
          <t>2 · DISPLAYED</t>
        </is>
      </c>
      <c r="F266" s="3" t="inlineStr">
        <is>
          <t>What is this household worth?</t>
        </is>
      </c>
      <c r="G266" s="13" t="inlineStr">
        <is>
          <t>gross assets = round(assets total, 2 dp)
gross debt   = round(debt total, 2 dp)
net worth    = round(assets total − debt total, 2 dp)</t>
        </is>
      </c>
      <c r="H266"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66" s="3" t="inlineStr">
        <is>
          <t>READ BY HAND 2026-08-26 — checked line by line against the code</t>
        </is>
      </c>
      <c r="J266" s="3" t="inlineStr">
        <is>
          <t>1. uid: UserId
2. grossAssets: number
3. grossDebt: number</t>
        </is>
      </c>
      <c r="K266" s="3" t="inlineStr">
        <is>
          <t>NetWorthState</t>
        </is>
      </c>
      <c r="L266" s="3" t="inlineStr">
        <is>
          <t>"Net worth so far" — on the Net worth screen, under "EMERGENCY FUND"</t>
        </is>
      </c>
      <c r="M266" s="3" t="inlineStr">
        <is>
          <t>None found in this function — anything it assumes comes from the functions it depends on.</t>
        </is>
      </c>
      <c r="N266" s="3" t="inlineStr">
        <is>
          <t>Yes</t>
        </is>
      </c>
      <c r="O266" s="3" t="inlineStr">
        <is>
          <t>MK-XS-F-175 uid</t>
        </is>
      </c>
      <c r="P266" s="3" t="n">
        <v>80</v>
      </c>
      <c r="Q26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6"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66" s="3" t="inlineStr">
        <is>
          <t>MK-NW-M-016 · MK-NW-M-017 · MK-XS-M-001</t>
        </is>
      </c>
      <c r="T266" s="3" t="inlineStr">
        <is>
          <t>NET_WORTH</t>
        </is>
      </c>
      <c r="U266" s="3" t="inlineStr">
        <is>
          <t>ACTIVE</t>
        </is>
      </c>
      <c r="V266" s="3" t="inlineStr">
        <is>
          <t>2026-08-27</t>
        </is>
      </c>
      <c r="Y266" s="3" t="inlineStr">
        <is>
          <t>NOTHING OPEN</t>
        </is>
      </c>
    </row>
    <row r="267">
      <c r="A267" s="3" t="inlineStr">
        <is>
          <t>MK-NW-F-066</t>
        </is>
      </c>
      <c r="B267" s="3" t="inlineStr">
        <is>
          <t>sumWhere</t>
        </is>
      </c>
      <c r="C267" s="3" t="inlineStr">
        <is>
          <t>src/domain/assets/index.ts</t>
        </is>
      </c>
      <c r="D267" s="3" t="n">
        <v>598</v>
      </c>
      <c r="E267" s="3" t="inlineStr">
        <is>
          <t>3 · DEPENDENT</t>
        </is>
      </c>
      <c r="F267" s="3" t="inlineStr">
        <is>
          <t>── Canonical asset totals (Term #2/#3/#4) ──────────────────────────────────── THE single source for each total — screens read these, never re-sum inline.</t>
        </is>
      </c>
      <c r="G267" s="13" t="inlineStr">
        <is>
          <t>Σ over accounts (or none when missing) where pred of (balance (or 0 when missing or zero))</t>
        </is>
      </c>
      <c r="H267" s="3" t="inlineStr">
        <is>
          <t>the balance (or 0 — when missing or zero) added up across accounts (or none — when missing) where pred.</t>
        </is>
      </c>
      <c r="I267" s="3" t="inlineStr">
        <is>
          <t>READ FROM THE CODE — rendered from the expressions the function runs</t>
        </is>
      </c>
      <c r="J267" s="3" t="inlineStr">
        <is>
          <t>1. accounts: AssetAccount[]
2. pred: (a: AssetAccount) =&gt; boolean</t>
        </is>
      </c>
      <c r="K267" s="3" t="inlineStr">
        <is>
          <t>number</t>
        </is>
      </c>
      <c r="L267" s="3" t="inlineStr">
        <is>
          <t>—</t>
        </is>
      </c>
      <c r="M267" s="3" t="inlineStr">
        <is>
          <t>· If balance is missing it counts as zero, so nothing recorded and a real zero look the same.</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2026-09-09</t>
        </is>
      </c>
      <c r="Y267" s="3" t="inlineStr">
        <is>
          <t>NOTHING OPEN</t>
        </is>
      </c>
    </row>
    <row r="268">
      <c r="A268" s="3" t="inlineStr">
        <is>
          <t>MK-NW-F-067</t>
        </is>
      </c>
      <c r="B268" s="3" t="inlineStr">
        <is>
          <t>plural</t>
        </is>
      </c>
      <c r="C268" s="3" t="inlineStr">
        <is>
          <t>src/domain/assets/index.ts</t>
        </is>
      </c>
      <c r="D268" s="3" t="n">
        <v>1099</v>
      </c>
      <c r="E268" s="3" t="inlineStr">
        <is>
          <t>1 · ACTION</t>
        </is>
      </c>
      <c r="F268" s="3" t="inlineStr">
        <is>
          <t>NOT DETERMINED — the code carries no note saying what this is for, and it has no row in the old inventory. Needs reading.</t>
        </is>
      </c>
      <c r="G268" s="13" t="inlineStr">
        <is>
          <t>the answer = n + ' ' + (one   when n = 1;   many   otherwise)</t>
        </is>
      </c>
      <c r="H268" s="3" t="inlineStr">
        <is>
          <t>'1 account' or '3 accounts' — the word made plural when the count is not one. Display only.</t>
        </is>
      </c>
      <c r="I268" s="3" t="inlineStr">
        <is>
          <t>READ BY HAND 2026-08-26 — checked line by line against the code</t>
        </is>
      </c>
      <c r="J268" s="3" t="inlineStr">
        <is>
          <t>1. n: number
2. one: string
3. many = `${one}s`</t>
        </is>
      </c>
      <c r="K268" s="3" t="inlineStr">
        <is>
          <t>many}`;</t>
        </is>
      </c>
      <c r="L268" s="3" t="inlineStr">
        <is>
          <t>—</t>
        </is>
      </c>
      <c r="M268" s="3" t="inlineStr">
        <is>
          <t>None found in this function — anything it assumes comes from the functions it depends on.</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t>
        </is>
      </c>
      <c r="U268" s="3" t="inlineStr">
        <is>
          <t>ACTIVE</t>
        </is>
      </c>
      <c r="V268" s="3" t="inlineStr">
        <is>
          <t>2026-09-12</t>
        </is>
      </c>
      <c r="Y268" s="3" t="inlineStr">
        <is>
          <t>NOTHING OPEN</t>
        </is>
      </c>
    </row>
    <row r="269">
      <c r="A269" s="3" t="inlineStr">
        <is>
          <t>MK-NW-F-068</t>
        </is>
      </c>
      <c r="B269" s="3" t="inlineStr">
        <is>
          <t>prettyDay</t>
        </is>
      </c>
      <c r="C269" s="3" t="inlineStr">
        <is>
          <t>src/domain/assets/index.ts</t>
        </is>
      </c>
      <c r="D269" s="3" t="n">
        <v>1905</v>
      </c>
      <c r="E269" s="3" t="inlineStr">
        <is>
          <t>3 · DEPENDENT</t>
        </is>
      </c>
      <c r="F269" s="3" t="inlineStr">
        <is>
          <t>NOT DETERMINED — the code carries no note saying what this is for, and it has no row in the old inventory. Needs reading.</t>
        </is>
      </c>
      <c r="G269" s="13" t="inlineStr">
        <is>
          <t>`${MONTH_ABBR[(m or 1) − 1]} ${d}, ${y}`</t>
        </is>
      </c>
      <c r="H269" s="3" t="inlineStr">
        <is>
          <t>`${MONTH_ABBR[(m or 1) minus 1]} ${d}, ${y}`.</t>
        </is>
      </c>
      <c r="I269" s="3" t="inlineStr">
        <is>
          <t>PARTLY READ — some of the code is still showing through; needs a hand pass</t>
        </is>
      </c>
      <c r="J269" s="3" t="inlineStr">
        <is>
          <t>iso: string</t>
        </is>
      </c>
      <c r="K269" s="3" t="inlineStr">
        <is>
          <t>string</t>
        </is>
      </c>
      <c r="L269" s="3" t="inlineStr">
        <is>
          <t>—</t>
        </is>
      </c>
      <c r="M269" s="3" t="inlineStr">
        <is>
          <t>None found in this function — anything it assumes comes from the functions it depends on.</t>
        </is>
      </c>
      <c r="N269" s="3" t="inlineStr">
        <is>
          <t>Yes</t>
        </is>
      </c>
      <c r="O269" s="3" t="inlineStr">
        <is>
          <t>MK-CF-F-132 map</t>
        </is>
      </c>
      <c r="P269" s="3" t="n">
        <v>1</v>
      </c>
      <c r="Q269" s="3" t="inlineStr">
        <is>
          <t>MK-CF-F-132 map</t>
        </is>
      </c>
      <c r="R269" s="3" t="inlineStr">
        <is>
          <t>MK-CF-F-132 map → MK-NW-F-068 prettyDay</t>
        </is>
      </c>
      <c r="S269" s="3" t="inlineStr">
        <is>
          <t>—</t>
        </is>
      </c>
      <c r="T269" s="3" t="inlineStr">
        <is>
          <t>—</t>
        </is>
      </c>
      <c r="U269" s="3" t="inlineStr">
        <is>
          <t>ACTIVE</t>
        </is>
      </c>
      <c r="V269" s="3" t="inlineStr">
        <is>
          <t>2026-08-27</t>
        </is>
      </c>
      <c r="Y269" s="3" t="inlineStr">
        <is>
          <t>NOTHING OPEN</t>
        </is>
      </c>
    </row>
    <row r="270">
      <c r="A270" s="3" t="inlineStr">
        <is>
          <t>MK-NW-F-069</t>
        </is>
      </c>
      <c r="B270" s="3" t="inlineStr">
        <is>
          <t>priceAtYield</t>
        </is>
      </c>
      <c r="C270" s="3" t="inlineStr">
        <is>
          <t>src/domain/bonds/index.ts</t>
        </is>
      </c>
      <c r="D270" s="3" t="n">
        <v>363</v>
      </c>
      <c r="E270" s="3" t="inlineStr">
        <is>
          <t>3 · DEPENDENT</t>
        </is>
      </c>
      <c r="F270" s="3" t="inlineStr">
        <is>
          <t>Price the bond's future cash flows at a given annual yield (yearly approximation).</t>
        </is>
      </c>
      <c r="G270" s="13" t="inlineStr">
        <is>
          <t>years = years to maturity(maturity, now)
value   when years = nothing
n = max(1, round(years))
c = annual coupon(b)
pv = 0
[LOOP — the answer is found inside a loop the extractor cannot render; the steps above are the ones before it. Read by hand.]</t>
        </is>
      </c>
      <c r="H270"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70" s="3" t="inlineStr">
        <is>
          <t>PARTLY READ — the body has a loop the extractor cannot render; the steps shown are the ones before it. Needs a hand pass (G23).</t>
        </is>
      </c>
      <c r="J270" s="3" t="inlineStr">
        <is>
          <t>1. b: BondInfo
2. y: number
3. now: Date</t>
        </is>
      </c>
      <c r="K270" s="3" t="inlineStr">
        <is>
          <t>number</t>
        </is>
      </c>
      <c r="L270" s="3" t="inlineStr">
        <is>
          <t>—</t>
        </is>
      </c>
      <c r="M270" s="3" t="inlineStr">
        <is>
          <t>1. Uses a built-in pv of 0.
2. Rounds the answer to a whole number.</t>
        </is>
      </c>
      <c r="N270" s="3" t="inlineStr">
        <is>
          <t>Yes</t>
        </is>
      </c>
      <c r="O270" s="3" t="inlineStr">
        <is>
          <t>1. MK-NW-F-057 annualCoupon
2. MK-XS-F-122 n
3. MK-NW-F-058 yearsToMaturity</t>
        </is>
      </c>
      <c r="P270" s="3" t="n">
        <v>3</v>
      </c>
      <c r="Q270" s="3" t="inlineStr">
        <is>
          <t>1. MK-NW-F-057 annualCoupon
2. MK-XS-F-122 n
3. MK-NW-F-058 yearsToMaturity</t>
        </is>
      </c>
      <c r="R270" s="3" t="inlineStr">
        <is>
          <t>1. MK-NW-F-057 annualCoupon → MK-NW-F-069 priceAtYield
2. MK-XS-F-122 n → MK-NW-F-069 priceAtYield
3. MK-NW-F-058 yearsToMaturity → MK-NW-F-069 priceAtYield</t>
        </is>
      </c>
      <c r="S270" s="3" t="inlineStr">
        <is>
          <t>—</t>
        </is>
      </c>
      <c r="T270" s="3" t="inlineStr">
        <is>
          <t>—</t>
        </is>
      </c>
      <c r="U270" s="3" t="inlineStr">
        <is>
          <t>ACTIVE</t>
        </is>
      </c>
      <c r="V270" s="3" t="inlineStr">
        <is>
          <t>2026-09-12</t>
        </is>
      </c>
      <c r="Y270" s="3" t="inlineStr">
        <is>
          <t>NOTHING OPEN</t>
        </is>
      </c>
    </row>
    <row r="271">
      <c r="A271" s="3" t="inlineStr">
        <is>
          <t>MK-NW-F-070</t>
        </is>
      </c>
      <c r="B271" s="3" t="inlineStr">
        <is>
          <t>accruedInterestCaveat</t>
        </is>
      </c>
      <c r="C271" s="3" t="inlineStr">
        <is>
          <t>src/domain/bonds/index.ts</t>
        </is>
      </c>
      <c r="D271" s="3" t="n">
        <v>175</v>
      </c>
      <c r="E271" s="3" t="inlineStr">
        <is>
          <t>2 · DISPLAYED</t>
        </is>
      </c>
      <c r="F271" s="3" t="inlineStr">
        <is>
          <t>A47 (founder, 2026-08-26): subtract accrued interest when known; say so when not.</t>
        </is>
      </c>
      <c r="G271" s="13" t="inlineStr">
        <is>
          <t>'accrued interest not entered — the yield uses the price as you entered it'   if accrued interest = nothing
nothing   otherwise</t>
        </is>
      </c>
      <c r="H271" s="3" t="inlineStr">
        <is>
          <t>'accrued interest entered is missing — the yield uses the price as you entered it' — when accrued interest is missing; no answer — otherwise.</t>
        </is>
      </c>
      <c r="I271" s="3" t="inlineStr">
        <is>
          <t>READ FROM THE CODE — rendered from the expressions the function runs</t>
        </is>
      </c>
      <c r="J271" s="3" t="inlineStr">
        <is>
          <t>b: BondInfo</t>
        </is>
      </c>
      <c r="K271" s="3" t="inlineStr">
        <is>
          <t>string | null</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t>
        </is>
      </c>
      <c r="P271" s="3" t="n">
        <v>0</v>
      </c>
      <c r="Q271" s="3" t="inlineStr">
        <is>
          <t>None — no dependent function stands behind it</t>
        </is>
      </c>
      <c r="R271" s="3" t="inlineStr">
        <is>
          <t>No dependent function — it reads its inputs and answers</t>
        </is>
      </c>
      <c r="S271" s="3" t="inlineStr">
        <is>
          <t>—</t>
        </is>
      </c>
      <c r="T271" s="3" t="inlineStr">
        <is>
          <t>—</t>
        </is>
      </c>
      <c r="U271" s="3" t="inlineStr">
        <is>
          <t>ACTIVE</t>
        </is>
      </c>
      <c r="V271" s="3" t="inlineStr">
        <is>
          <t>2026-09-11</t>
        </is>
      </c>
      <c r="Y271" s="6" t="inlineStr">
        <is>
          <t>TESTED, NOT VERIFIED (A47)</t>
        </is>
      </c>
    </row>
    <row r="272">
      <c r="A272" s="3" t="inlineStr">
        <is>
          <t>MK-PF-F-001</t>
        </is>
      </c>
      <c r="B272" s="3" t="inlineStr">
        <is>
          <t>totalShares</t>
        </is>
      </c>
      <c r="C272" s="3" t="inlineStr">
        <is>
          <t>src/domain/performance/index.ts</t>
        </is>
      </c>
      <c r="D272" s="3" t="n">
        <v>173</v>
      </c>
      <c r="E272" s="3" t="inlineStr">
        <is>
          <t>2 · DISPLAYED</t>
        </is>
      </c>
      <c r="F272" s="3" t="inlineStr">
        <is>
          <t>---- cost basis &amp; value (lot math) ----</t>
        </is>
      </c>
      <c r="G272" s="13" t="inlineStr">
        <is>
          <t>total shares(holding) = Σ over every lot of (shares, or 0 when missing)</t>
        </is>
      </c>
      <c r="H272" s="3" t="inlineStr">
        <is>
          <t>Adds the share count of every lot. A lot with no share count counts as zero, so "nothing recorded" and "a real zero" give the same answer.</t>
        </is>
      </c>
      <c r="I272" s="3" t="inlineStr">
        <is>
          <t>READ BY HAND 2026-08-26 — checked line by line against the code</t>
        </is>
      </c>
      <c r="J272" s="3" t="inlineStr">
        <is>
          <t>p: Position</t>
        </is>
      </c>
      <c r="K272" s="3" t="inlineStr">
        <is>
          <t>number</t>
        </is>
      </c>
      <c r="L272" s="3" t="inlineStr">
        <is>
          <t>1. "Quantity" — on the Holding detail screen, under "CURRENT PRICE$"
2. "Realized from sales" — on the Holding detail screen, under "DIVIDENDS &amp; REALIZED"</t>
        </is>
      </c>
      <c r="M272" s="3" t="inlineStr">
        <is>
          <t>· If shares is missing it counts as zero, so nothing recorded and a real zero look the same.</t>
        </is>
      </c>
      <c r="N272" s="3" t="inlineStr">
        <is>
          <t>Yes</t>
        </is>
      </c>
      <c r="O272" s="3" t="inlineStr">
        <is>
          <t>—</t>
        </is>
      </c>
      <c r="P272" s="3" t="n">
        <v>0</v>
      </c>
      <c r="Q272" s="3" t="inlineStr">
        <is>
          <t>None — no dependent function stands behind it</t>
        </is>
      </c>
      <c r="R272" s="3" t="inlineStr">
        <is>
          <t>No dependent function — it reads its inputs and answers</t>
        </is>
      </c>
      <c r="S272" s="3" t="inlineStr">
        <is>
          <t>MK-NW-M-031</t>
        </is>
      </c>
      <c r="T272" s="3" t="inlineStr">
        <is>
          <t>HOLDING_SHARES</t>
        </is>
      </c>
      <c r="U272" s="3" t="inlineStr">
        <is>
          <t>ACTIVE</t>
        </is>
      </c>
      <c r="V272" s="3" t="inlineStr">
        <is>
          <t>2026-08-27</t>
        </is>
      </c>
      <c r="W272" t="inlineStr">
        <is>
          <t>[from MK-NW-M-031, typed Q07/Q09] 8 decimals for coins; always capture units.</t>
        </is>
      </c>
      <c r="X272" s="6" t="inlineStr">
        <is>
          <t>Sums raw numbers with no unit and no rounding. Fix: a unit on the position; coin quantities to 8 decimals — see MK-NW-M-031.</t>
        </is>
      </c>
      <c r="Y272" s="6" t="inlineStr">
        <is>
          <t>WAITING ON YOU — answer to read</t>
        </is>
      </c>
    </row>
    <row r="273">
      <c r="A273" s="3" t="inlineStr">
        <is>
          <t>MK-PF-F-002</t>
        </is>
      </c>
      <c r="B273" s="3" t="inlineStr">
        <is>
          <t>costBasis</t>
        </is>
      </c>
      <c r="C273" s="3" t="inlineStr">
        <is>
          <t>src/domain/performance/index.ts</t>
        </is>
      </c>
      <c r="D273" s="3" t="n">
        <v>212</v>
      </c>
      <c r="E273" s="3" t="inlineStr">
        <is>
          <t>2 · DISPLAYED</t>
        </is>
      </c>
      <c r="F273" s="3" t="inlineStr">
        <is>
          <t>What did I pay for this in total?</t>
        </is>
      </c>
      <c r="G273" s="13" t="inlineStr">
        <is>
          <t>cost basis(holding) = Σ over every lot of (shares × cost per share)</t>
        </is>
      </c>
      <c r="H273" s="3" t="inlineStr">
        <is>
          <t>What was paid, added across the lots. A lot with no cost per share contributes nothing, so a holding with neither a price nor a cost lands at $0 and quietly leaves net worth.</t>
        </is>
      </c>
      <c r="I273" s="3" t="inlineStr">
        <is>
          <t>READ BY HAND 2026-08-26 — checked line by line against the code</t>
        </is>
      </c>
      <c r="J273" s="3" t="inlineStr">
        <is>
          <t>p: Position</t>
        </is>
      </c>
      <c r="K273" s="3" t="inlineStr">
        <is>
          <t>number</t>
        </is>
      </c>
      <c r="L273" s="3" t="inlineStr">
        <is>
          <t>"Total paid" — on the Holding detail screen, under "WHAT YOU BOUGHT"</t>
        </is>
      </c>
      <c r="M273" s="3" t="inlineStr">
        <is>
          <t>1. If shares is missing it counts as zero, so nothing recorded and a real zero look the same.
2. If cost per share is missing it counts as zero, so nothing recorded and a real zero look the same.</t>
        </is>
      </c>
      <c r="N273" s="3" t="inlineStr">
        <is>
          <t>Yes</t>
        </is>
      </c>
      <c r="O273" s="3" t="inlineStr">
        <is>
          <t>MK-PF-F-031 contractMultiplier</t>
        </is>
      </c>
      <c r="P273" s="3" t="n">
        <v>1</v>
      </c>
      <c r="Q273" s="3" t="inlineStr">
        <is>
          <t>MK-PF-F-031 contractMultiplier</t>
        </is>
      </c>
      <c r="R273" s="3" t="inlineStr">
        <is>
          <t>MK-PF-F-031 contractMultiplier → MK-PF-F-002 costBasis</t>
        </is>
      </c>
      <c r="S273" s="3" t="inlineStr">
        <is>
          <t>MK-NW-M-033</t>
        </is>
      </c>
      <c r="T273" s="3" t="inlineStr">
        <is>
          <t>HOLDING_COST_BASIS</t>
        </is>
      </c>
      <c r="U273" s="3" t="inlineStr">
        <is>
          <t>ACTIVE</t>
        </is>
      </c>
      <c r="V273" s="3" t="inlineStr">
        <is>
          <t>2026-09-09</t>
        </is>
      </c>
      <c r="W273" t="inlineStr">
        <is>
          <t>[from MK-NW-M-032 / M-033] Average price must not divide by shares whose cost is missing or zero; Total paid vs Price paid (average) — two things or one?</t>
        </is>
      </c>
      <c r="X273"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273" s="6" t="inlineStr">
        <is>
          <t>WAITING ON YOU — answer to read · TESTED, NOT VERIFIED (Q06)</t>
        </is>
      </c>
    </row>
    <row r="274">
      <c r="A274" s="3" t="inlineStr">
        <is>
          <t>MK-PF-F-003</t>
        </is>
      </c>
      <c r="B274" s="3" t="inlineStr">
        <is>
          <t>avgCost</t>
        </is>
      </c>
      <c r="C274" s="3" t="inlineStr">
        <is>
          <t>src/domain/performance/index.ts</t>
        </is>
      </c>
      <c r="D274" s="3" t="n">
        <v>235</v>
      </c>
      <c r="E274" s="3" t="inlineStr">
        <is>
          <t>2 · DISPLAYED</t>
        </is>
      </c>
      <c r="F274" s="3" t="inlineStr">
        <is>
          <t>NOT DETERMINED — the code carries no note saying what this is for, and it has no row in the old inventory. Needs reading.</t>
        </is>
      </c>
      <c r="G274" s="13" t="inlineStr">
        <is>
          <t>sh = total shares(p)
the answer:
cost basis(p) ÷ sh   if sh &gt; 0
0   otherwise</t>
        </is>
      </c>
      <c r="H274" s="3" t="inlineStr">
        <is>
          <t>Sh is total shares(p). The answer is cost basis(p) divided by sh — when sh &gt; 0; 0 — otherwise.</t>
        </is>
      </c>
      <c r="I274" s="3" t="inlineStr">
        <is>
          <t>READ FROM THE CODE — rendered from the expressions the function runs</t>
        </is>
      </c>
      <c r="J274" s="3" t="inlineStr">
        <is>
          <t>p: Position</t>
        </is>
      </c>
      <c r="K274" s="3" t="inlineStr">
        <is>
          <t>number</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1. MK-PF-F-002 costBasis
2. MK-PF-F-001 totalShares</t>
        </is>
      </c>
      <c r="P274" s="3" t="n">
        <v>3</v>
      </c>
      <c r="Q274" s="3" t="inlineStr">
        <is>
          <t>1. MK-PF-F-002 costBasis
2. MK-PF-F-001 totalShares
3. MK-PF-F-031 contractMultiplier</t>
        </is>
      </c>
      <c r="R274" s="3" t="inlineStr">
        <is>
          <t>1. MK-PF-F-031 contractMultiplier → MK-PF-F-002 costBasis → MK-PF-F-003 avgCost
2. MK-PF-F-001 totalShares → MK-PF-F-003 avgCost</t>
        </is>
      </c>
      <c r="S274" s="3" t="inlineStr">
        <is>
          <t>MK-NW-M-032</t>
        </is>
      </c>
      <c r="T274" s="3" t="inlineStr">
        <is>
          <t>—</t>
        </is>
      </c>
      <c r="U274" s="3" t="inlineStr">
        <is>
          <t>ACTIVE</t>
        </is>
      </c>
      <c r="V274" s="3" t="inlineStr">
        <is>
          <t>2026-09-09</t>
        </is>
      </c>
      <c r="W274" t="inlineStr">
        <is>
          <t>[from MK-NW-M-032 / M-033] see MK-PF-F-002</t>
        </is>
      </c>
      <c r="X274" s="6" t="inlineStr">
        <is>
          <t>Unused by any screen (it clips to cents; the screen wants 3 decimals) and it divides by ALL shares. Retire it or make it the averagePricePaid of JJ-1 (cost &gt; 0 lots only, no cents clipping).</t>
        </is>
      </c>
      <c r="Y274" s="6" t="inlineStr">
        <is>
          <t>WAITING ON YOU — answer to read</t>
        </is>
      </c>
    </row>
    <row r="275">
      <c r="A275" s="3" t="inlineStr">
        <is>
          <t>MK-PF-F-004</t>
        </is>
      </c>
      <c r="B275" s="3" t="inlineStr">
        <is>
          <t>marketValue</t>
        </is>
      </c>
      <c r="C275" s="3" t="inlineStr">
        <is>
          <t>src/domain/performance/index.ts</t>
        </is>
      </c>
      <c r="D275" s="3" t="n">
        <v>272</v>
      </c>
      <c r="E275" s="3" t="inlineStr">
        <is>
          <t>3 · DEPENDENT</t>
        </is>
      </c>
      <c r="F275" s="3" t="inlineStr">
        <is>
          <t>What is this holding worth right now?</t>
        </is>
      </c>
      <c r="G275" s="13" t="inlineStr">
        <is>
          <t>market value(holding) = round(total shares × price, 2 dp)
                      = 0   when no price came back</t>
        </is>
      </c>
      <c r="H275"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275" s="3" t="inlineStr">
        <is>
          <t>READ BY HAND 2026-08-26 — checked line by line against the code</t>
        </is>
      </c>
      <c r="J275" s="3" t="inlineStr">
        <is>
          <t>1. p: Position
2. price: number | null | undefined</t>
        </is>
      </c>
      <c r="K275" s="3" t="inlineStr">
        <is>
          <t>number</t>
        </is>
      </c>
      <c r="L275" s="3" t="inlineStr">
        <is>
          <t>—</t>
        </is>
      </c>
      <c r="M275" s="3" t="inlineStr">
        <is>
          <t>None found in this function — anything it assumes comes from the functions it depends on.</t>
        </is>
      </c>
      <c r="N275" s="3" t="inlineStr">
        <is>
          <t>Yes</t>
        </is>
      </c>
      <c r="O275" s="3" t="inlineStr">
        <is>
          <t>1. MK-PF-F-031 contractMultiplier
2. MK-PF-F-001 totalShares</t>
        </is>
      </c>
      <c r="P275" s="3" t="n">
        <v>2</v>
      </c>
      <c r="Q275" s="3" t="inlineStr">
        <is>
          <t>1. MK-PF-F-031 contractMultiplier
2. MK-PF-F-001 totalShares</t>
        </is>
      </c>
      <c r="R275" s="3" t="inlineStr">
        <is>
          <t>1. MK-PF-F-031 contractMultiplier → MK-PF-F-004 marketValue
2. MK-PF-F-001 totalShares → MK-PF-F-004 marketValue</t>
        </is>
      </c>
      <c r="S275" s="3" t="inlineStr">
        <is>
          <t>MK-NW-M-030 · MK-NW-M-040</t>
        </is>
      </c>
      <c r="T275" s="3" t="inlineStr">
        <is>
          <t>HOLDING_MARKET_VALUE</t>
        </is>
      </c>
      <c r="U275" s="3" t="inlineStr">
        <is>
          <t>ACTIVE</t>
        </is>
      </c>
      <c r="V275" s="3" t="inlineStr">
        <is>
          <t>2026-08-27</t>
        </is>
      </c>
      <c r="W275" t="inlineStr">
        <is>
          <t>[from MK-NW-M-030, typed Q06] value is contracts * 100 * price unless stated otherwise by broker or user.</t>
        </is>
      </c>
      <c r="X275" s="6" t="inlineStr">
        <is>
          <t>NOT APPLIED here: market value = units × price, no multiplier. Fix: multiply by the position's multiplier (100 for a contract unless the feed or the person states another) — Q42 on MK-NW-M-030.</t>
        </is>
      </c>
      <c r="Y275" s="6" t="inlineStr">
        <is>
          <t>WAITING ON YOU — answer to read · TESTED, NOT VERIFIED (Q06)</t>
        </is>
      </c>
    </row>
    <row r="276">
      <c r="A276" s="3" t="inlineStr">
        <is>
          <t>MK-PF-F-005</t>
        </is>
      </c>
      <c r="B276" s="3" t="inlineStr">
        <is>
          <t>unrealizedGain</t>
        </is>
      </c>
      <c r="C276" s="3" t="inlineStr">
        <is>
          <t>src/domain/performance/index.ts</t>
        </is>
      </c>
      <c r="D276" s="3" t="n">
        <v>296</v>
      </c>
      <c r="E276" s="3" t="inlineStr">
        <is>
          <t>3 · DEPENDENT</t>
        </is>
      </c>
      <c r="F276" s="3" t="inlineStr">
        <is>
          <t>Unrealized gain = market value − cost basis (null price → 0).</t>
        </is>
      </c>
      <c r="G276" s="13" t="inlineStr">
        <is>
          <t>0   if price = nothing
market value(p, price) − cost basis(p)   otherwise</t>
        </is>
      </c>
      <c r="H276" s="3" t="inlineStr">
        <is>
          <t>0 — when price is missing; market value(p, price) minus cost basis(p) — otherwise.</t>
        </is>
      </c>
      <c r="I276" s="3" t="inlineStr">
        <is>
          <t>READ FROM THE CODE — rendered from the expressions the function runs</t>
        </is>
      </c>
      <c r="J276" s="3" t="inlineStr">
        <is>
          <t>1. p: Position
2. price: number | null | undefined</t>
        </is>
      </c>
      <c r="K276" s="3" t="inlineStr">
        <is>
          <t>number</t>
        </is>
      </c>
      <c r="L276" s="3" t="inlineStr">
        <is>
          <t>—</t>
        </is>
      </c>
      <c r="M276" s="3" t="inlineStr">
        <is>
          <t>None found in this function — anything it assumes comes from the functions it depends on.</t>
        </is>
      </c>
      <c r="N276" s="3" t="inlineStr">
        <is>
          <t>Yes</t>
        </is>
      </c>
      <c r="O276" s="3" t="inlineStr">
        <is>
          <t>1. MK-PF-F-002 costBasis
2. MK-PF-F-004 marketValue</t>
        </is>
      </c>
      <c r="P276" s="3" t="n">
        <v>4</v>
      </c>
      <c r="Q276" s="3" t="inlineStr">
        <is>
          <t>1. MK-PF-F-002 costBasis
2. MK-PF-F-004 marketValue
3. MK-PF-F-031 contractMultiplier
4. MK-PF-F-001 totalShares</t>
        </is>
      </c>
      <c r="R276" s="3" t="inlineStr">
        <is>
          <t>1. MK-PF-F-031 contractMultiplier → MK-PF-F-002 costBasis → MK-PF-F-005 unrealizedGain
2. MK-PF-F-031 contractMultiplier → MK-PF-F-004 marketValue → MK-PF-F-005 unrealizedGain
3. MK-PF-F-001 totalShares → MK-PF-F-004 marketValue → MK-PF-F-005 unrealizedGain</t>
        </is>
      </c>
      <c r="S276" s="3" t="inlineStr">
        <is>
          <t>—</t>
        </is>
      </c>
      <c r="T276" s="3" t="inlineStr">
        <is>
          <t>HOLDING_UNREALISED_GAIN</t>
        </is>
      </c>
      <c r="U276" s="3" t="inlineStr">
        <is>
          <t>ACTIVE</t>
        </is>
      </c>
      <c r="V276" s="3" t="inlineStr">
        <is>
          <t>2026-09-09</t>
        </is>
      </c>
      <c r="Y276" s="3" t="inlineStr">
        <is>
          <t>NOTHING OPEN</t>
        </is>
      </c>
    </row>
    <row r="277">
      <c r="A277" s="3" t="inlineStr">
        <is>
          <t>MK-PF-F-006</t>
        </is>
      </c>
      <c r="B277" s="3" t="inlineStr">
        <is>
          <t>capGains</t>
        </is>
      </c>
      <c r="C277" s="3" t="inlineStr">
        <is>
          <t>src/domain/performance/index.ts</t>
        </is>
      </c>
      <c r="D277" s="3" t="n">
        <v>330</v>
      </c>
      <c r="E277" s="3" t="inlineStr">
        <is>
          <t>2 · DISPLAYED</t>
        </is>
      </c>
      <c r="F277" s="3" t="inlineStr">
        <is>
          <t>If I sold this today, how much of the gain is long-term and how much short-term?</t>
        </is>
      </c>
      <c r="G277" s="13" t="inlineStr">
        <is>
          <t>per lot:  gain = shares × (price − cost per share)
long-term when today is LATER than the first anniversary of the purchase
short-term otherwise, and a lot with no cost recorded is skipped entirely</t>
        </is>
      </c>
      <c r="H277"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277" s="3" t="inlineStr">
        <is>
          <t>READ BY HAND 2026-08-26 — checked line by line against the code</t>
        </is>
      </c>
      <c r="J277" s="3" t="inlineStr">
        <is>
          <t>1. p: Position
2. price: number | null | undefined
3. now: Date = new Date()</t>
        </is>
      </c>
      <c r="K277" s="3" t="inlineStr">
        <is>
          <t>CapGains</t>
        </is>
      </c>
      <c r="L277" s="3" t="inlineStr">
        <is>
          <t>1. "Gain — long-term (held over 1 yr)" — on the Holding detail screen, under "IF YOU SOLD TODAY"
2. "Gain — short-term (under 1 yr)" — on the Holding detail screen, under "IF YOU SOLD TODAY"</t>
        </is>
      </c>
      <c r="M277" s="3" t="inlineStr">
        <is>
          <t>· Uses today's date from the device clock, so the answer changes by itself overnight.</t>
        </is>
      </c>
      <c r="N277" s="3" t="inlineStr">
        <is>
          <t>Yes</t>
        </is>
      </c>
      <c r="O277" s="3" t="inlineStr">
        <is>
          <t>MK-XS-F-122 n</t>
        </is>
      </c>
      <c r="P277" s="3" t="n">
        <v>1</v>
      </c>
      <c r="Q277" s="3" t="inlineStr">
        <is>
          <t>MK-XS-F-122 n</t>
        </is>
      </c>
      <c r="R277" s="3" t="inlineStr">
        <is>
          <t>MK-XS-F-122 n → MK-PF-F-006 capGains</t>
        </is>
      </c>
      <c r="S277" s="3" t="inlineStr">
        <is>
          <t>MK-NW-M-036 · MK-NW-M-037</t>
        </is>
      </c>
      <c r="T277" s="3" t="inlineStr">
        <is>
          <t>HOLDING_CAP_GAINS</t>
        </is>
      </c>
      <c r="U277" s="3" t="inlineStr">
        <is>
          <t>ACTIVE</t>
        </is>
      </c>
      <c r="V277" s="3" t="inlineStr">
        <is>
          <t>2026-08-27</t>
        </is>
      </c>
      <c r="Y277" s="6" t="inlineStr">
        <is>
          <t>TESTED, NOT VERIFIED (G2)</t>
        </is>
      </c>
    </row>
    <row r="278">
      <c r="A278" s="3" t="inlineStr">
        <is>
          <t>MK-PF-F-007</t>
        </is>
      </c>
      <c r="B278" s="3" t="inlineStr">
        <is>
          <t>totalROI</t>
        </is>
      </c>
      <c r="C278" s="3" t="inlineStr">
        <is>
          <t>src/domain/performance/index.ts</t>
        </is>
      </c>
      <c r="D278" s="3" t="n">
        <v>377</v>
      </c>
      <c r="E278" s="3" t="inlineStr">
        <is>
          <t>3 · DEPENDENT</t>
        </is>
      </c>
      <c r="F278" s="3" t="inlineStr">
        <is>
          <t>Total return since purchase = gain / cost basis (decimal).</t>
        </is>
      </c>
      <c r="G278" s="13" t="inlineStr">
        <is>
          <t>basis = cost basis(p)
nothing   when price = nothing (or basis ≤ 0 when missing or zero)
the answer = unrealized gain(p, price) ÷ basis</t>
        </is>
      </c>
      <c r="H278" s="3" t="inlineStr">
        <is>
          <t>Basis is cost basis(p). When price is missing (or basis is at most 0 — when missing or zero), it answers no answer. The answer is unrealized gain(p, price) divided by basis.</t>
        </is>
      </c>
      <c r="I278" s="3" t="inlineStr">
        <is>
          <t>READ FROM THE CODE — rendered from the expressions the function runs</t>
        </is>
      </c>
      <c r="J278" s="3" t="inlineStr">
        <is>
          <t>1. p: Position
2. price: number | null | undefined</t>
        </is>
      </c>
      <c r="K278" s="3" t="inlineStr">
        <is>
          <t>number | null</t>
        </is>
      </c>
      <c r="L278" s="3" t="inlineStr">
        <is>
          <t>—</t>
        </is>
      </c>
      <c r="M278" s="3" t="inlineStr">
        <is>
          <t>None found in this function — anything it assumes comes from the functions it depends on.</t>
        </is>
      </c>
      <c r="N278" s="3" t="inlineStr">
        <is>
          <t>Yes</t>
        </is>
      </c>
      <c r="O278" s="3" t="inlineStr">
        <is>
          <t>1. MK-PF-F-002 costBasis
2. MK-PF-F-005 unrealizedGain</t>
        </is>
      </c>
      <c r="P278" s="3" t="n">
        <v>5</v>
      </c>
      <c r="Q278" s="3" t="inlineStr">
        <is>
          <t>1. MK-PF-F-002 costBasis
2. MK-PF-F-005 unrealizedGain
3. MK-PF-F-031 contractMultiplier
4. MK-PF-F-004 marketValue
5. MK-PF-F-001 totalShares</t>
        </is>
      </c>
      <c r="R278" s="3" t="inlineStr">
        <is>
          <t>1. MK-PF-F-031 contractMultiplier → MK-PF-F-002 costBasis → MK-PF-F-007 totalROI
2. MK-PF-F-031 contractMultiplier → MK-PF-F-002 costBasis → MK-PF-F-005 unrealizedGain → MK-PF-F-007 totalROI
3. MK-PF-F-031 contractMultiplier → MK-PF-F-004 marketValue → MK-PF-F-005 unrealizedGain → MK-PF-F-007 totalROI
4. MK-PF-F-001 totalShares → MK-PF-F-004 marketValue → MK-PF-F-005 unrealizedGain → MK-PF-F-007 totalROI</t>
        </is>
      </c>
      <c r="S278" s="3" t="inlineStr">
        <is>
          <t>—</t>
        </is>
      </c>
      <c r="T278" s="3" t="inlineStr">
        <is>
          <t>HOLDING_TOTAL_ROI</t>
        </is>
      </c>
      <c r="U278" s="3" t="inlineStr">
        <is>
          <t>ACTIVE</t>
        </is>
      </c>
      <c r="V278" s="3" t="inlineStr">
        <is>
          <t>2026-09-09</t>
        </is>
      </c>
      <c r="Y278" s="3" t="inlineStr">
        <is>
          <t>NOTHING OPEN</t>
        </is>
      </c>
    </row>
    <row r="279">
      <c r="A279" s="3" t="inlineStr">
        <is>
          <t>MK-PF-F-008</t>
        </is>
      </c>
      <c r="B279" s="3" t="inlineStr">
        <is>
          <t>startDateFor</t>
        </is>
      </c>
      <c r="C279" s="3" t="inlineStr">
        <is>
          <t>src/domain/performance/index.ts</t>
        </is>
      </c>
      <c r="D279" s="3" t="n">
        <v>405</v>
      </c>
      <c r="E279" s="3" t="inlineStr">
        <is>
          <t>2 · DISPLAYED</t>
        </is>
      </c>
      <c r="F279" s="3" t="inlineStr">
        <is>
          <t>---- period returns from a price series (price return of the security itself) ----</t>
        </is>
      </c>
      <c r="G279" s="13" t="inlineStr">
        <is>
          <t>d = the date now
the answer = d</t>
        </is>
      </c>
      <c r="H279" s="3" t="inlineStr">
        <is>
          <t>D: the date now. The answer is d.</t>
        </is>
      </c>
      <c r="I279" s="3" t="inlineStr">
        <is>
          <t>READ FROM THE CODE — rendered from the expressions the function runs</t>
        </is>
      </c>
      <c r="J279" s="3" t="inlineStr">
        <is>
          <t>1. period: Period
2. now: Date</t>
        </is>
      </c>
      <c r="K279" s="3" t="inlineStr">
        <is>
          <t>Date</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t>
        </is>
      </c>
      <c r="P279" s="3" t="n">
        <v>0</v>
      </c>
      <c r="Q279" s="3" t="inlineStr">
        <is>
          <t>None — no dependent function stands behind it</t>
        </is>
      </c>
      <c r="R279" s="3" t="inlineStr">
        <is>
          <t>No dependent function — it reads its inputs and answers</t>
        </is>
      </c>
      <c r="S279" s="3" t="inlineStr">
        <is>
          <t>—</t>
        </is>
      </c>
      <c r="T279" s="3" t="inlineStr">
        <is>
          <t>PERIOD_START_DATE</t>
        </is>
      </c>
      <c r="U279" s="3" t="inlineStr">
        <is>
          <t>ACTIVE</t>
        </is>
      </c>
      <c r="V279" s="3" t="inlineStr">
        <is>
          <t>2026-08-27</t>
        </is>
      </c>
      <c r="Y279" s="3" t="inlineStr">
        <is>
          <t>NOTHING OPEN</t>
        </is>
      </c>
    </row>
    <row r="280">
      <c r="A280" s="3" t="inlineStr">
        <is>
          <t>MK-PF-F-009</t>
        </is>
      </c>
      <c r="B280" s="3" t="inlineStr">
        <is>
          <t>latestClose</t>
        </is>
      </c>
      <c r="C280" s="3" t="inlineStr">
        <is>
          <t>src/domain/performance/index.ts</t>
        </is>
      </c>
      <c r="D280" s="3" t="n">
        <v>526</v>
      </c>
      <c r="E280" s="3" t="inlineStr">
        <is>
          <t>2 · DISPLAYED</t>
        </is>
      </c>
      <c r="F280" s="3" t="inlineStr">
        <is>
          <t>What is the most recent price we hold for this?</t>
        </is>
      </c>
      <c r="G280" s="13" t="inlineStr">
        <is>
          <t>latest close = the last point in the price series
             = nothing   when the series is empty</t>
        </is>
      </c>
      <c r="H280" s="3" t="inlineStr">
        <is>
          <t>The most recent closing price held for a ticker. It carries no date with it, so nothing downstream can tell a price from this morning from one three weeks old.</t>
        </is>
      </c>
      <c r="I280" s="3" t="inlineStr">
        <is>
          <t>READ BY HAND 2026-08-26 — checked line by line against the code</t>
        </is>
      </c>
      <c r="J280" s="3" t="inlineStr">
        <is>
          <t>series: PriceSeries | null | undefined</t>
        </is>
      </c>
      <c r="K280" s="3" t="inlineStr">
        <is>
          <t>number | null</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t>
        </is>
      </c>
      <c r="P280" s="3" t="n">
        <v>0</v>
      </c>
      <c r="Q280" s="3" t="inlineStr">
        <is>
          <t>None — no dependent function stands behind it</t>
        </is>
      </c>
      <c r="R280" s="3" t="inlineStr">
        <is>
          <t>No dependent function — it reads its inputs and answers</t>
        </is>
      </c>
      <c r="S280" s="3" t="inlineStr">
        <is>
          <t>—</t>
        </is>
      </c>
      <c r="T280" s="3" t="inlineStr">
        <is>
          <t>PRICE_LATEST</t>
        </is>
      </c>
      <c r="U280" s="3" t="inlineStr">
        <is>
          <t>ACTIVE</t>
        </is>
      </c>
      <c r="V280" s="3" t="inlineStr">
        <is>
          <t>2026-09-08</t>
        </is>
      </c>
      <c r="Y280" s="3" t="inlineStr">
        <is>
          <t>NOTHING OPEN</t>
        </is>
      </c>
    </row>
    <row r="281">
      <c r="A281" s="3" t="inlineStr">
        <is>
          <t>MK-PF-F-010</t>
        </is>
      </c>
      <c r="B281" s="3" t="inlineStr">
        <is>
          <t>periodReturn</t>
        </is>
      </c>
      <c r="C281" s="3" t="inlineStr">
        <is>
          <t>src/domain/performance/index.ts</t>
        </is>
      </c>
      <c r="D281" s="3" t="n">
        <v>559</v>
      </c>
      <c r="E281" s="3" t="inlineStr">
        <is>
          <t>3 · DEPENDENT</t>
        </is>
      </c>
      <c r="F281" s="3" t="inlineStr">
        <is>
          <t>Price return of a ticker over a period (decimal).</t>
        </is>
      </c>
      <c r="G281" s="13"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281"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281" s="3" t="inlineStr">
        <is>
          <t>READ FROM THE CODE — rendered from the expressions the function runs</t>
        </is>
      </c>
      <c r="J281" s="3" t="inlineStr">
        <is>
          <t>1. series: PriceSeries | null | undefined
2. period: Period
3. now = new Date()</t>
        </is>
      </c>
      <c r="K281" s="3" t="inlineStr">
        <is>
          <t>number | null</t>
        </is>
      </c>
      <c r="L281" s="3" t="inlineStr">
        <is>
          <t>—</t>
        </is>
      </c>
      <c r="M281" s="3" t="inlineStr">
        <is>
          <t>· Uses today's date from the device clock, so the answer changes by itself overnight.</t>
        </is>
      </c>
      <c r="N281" s="3" t="inlineStr">
        <is>
          <t>Yes</t>
        </is>
      </c>
      <c r="O281" s="3" t="inlineStr">
        <is>
          <t>1. MK-PF-F-029 closeAsOf
2. MK-PF-F-009 latestClose
3. MK-PF-F-008 startDateFor</t>
        </is>
      </c>
      <c r="P281" s="3" t="n">
        <v>3</v>
      </c>
      <c r="Q281" s="3" t="inlineStr">
        <is>
          <t>1. MK-PF-F-029 closeAsOf
2. MK-PF-F-009 latestClose
3. MK-PF-F-008 startDateFor</t>
        </is>
      </c>
      <c r="R281" s="3" t="inlineStr">
        <is>
          <t>1. MK-PF-F-029 closeAsOf → MK-PF-F-010 periodReturn
2. MK-PF-F-009 latestClose → MK-PF-F-010 periodReturn
3. MK-PF-F-008 startDateFor → MK-PF-F-010 periodReturn</t>
        </is>
      </c>
      <c r="S281" s="3" t="inlineStr">
        <is>
          <t>—</t>
        </is>
      </c>
      <c r="T281" s="3" t="inlineStr">
        <is>
          <t>PERIOD_RETURN</t>
        </is>
      </c>
      <c r="U281" s="3" t="inlineStr">
        <is>
          <t>ACTIVE</t>
        </is>
      </c>
      <c r="V281" s="3" t="inlineStr">
        <is>
          <t>2026-09-09</t>
        </is>
      </c>
      <c r="Y281" s="3" t="inlineStr">
        <is>
          <t>NOTHING OPEN</t>
        </is>
      </c>
    </row>
    <row r="282">
      <c r="A282" s="3" t="inlineStr">
        <is>
          <t>MK-PF-F-011</t>
        </is>
      </c>
      <c r="B282" s="3" t="inlineStr">
        <is>
          <t>periodReturnSince</t>
        </is>
      </c>
      <c r="C282" s="3" t="inlineStr">
        <is>
          <t>src/domain/performance/index.ts</t>
        </is>
      </c>
      <c r="D282" s="3" t="n">
        <v>600</v>
      </c>
      <c r="E282" s="3" t="inlineStr">
        <is>
          <t>2 · DISPLAYED</t>
        </is>
      </c>
      <c r="F282" s="3" t="inlineStr">
        <is>
          <t>Price return from an explicit start DATE to now (for purchase-capped windows).</t>
        </is>
      </c>
      <c r="G282" s="13"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282"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282" s="3" t="inlineStr">
        <is>
          <t>PARTLY READ — some of the code is still showing through; needs a hand pass</t>
        </is>
      </c>
      <c r="J282" s="3" t="inlineStr">
        <is>
          <t>1. series: PriceSeries | null | undefined
2. sinceISO: string
3. now = new Date()</t>
        </is>
      </c>
      <c r="K282" s="3" t="inlineStr">
        <is>
          <t>number | null</t>
        </is>
      </c>
      <c r="L282" s="3" t="inlineStr">
        <is>
          <t>NOT FOUND — a screen calls it, but the words printed beside its answer could not be traced automatically. Needs reading.</t>
        </is>
      </c>
      <c r="M282" s="3" t="inlineStr">
        <is>
          <t>· Uses today's date from the device clock, so the answer changes by itself overnight.</t>
        </is>
      </c>
      <c r="N282" s="3" t="inlineStr">
        <is>
          <t>Yes</t>
        </is>
      </c>
      <c r="O282" s="3" t="inlineStr">
        <is>
          <t>1. MK-PF-F-029 closeAsOf
2. MK-PF-F-009 latestClose</t>
        </is>
      </c>
      <c r="P282" s="3" t="n">
        <v>2</v>
      </c>
      <c r="Q282" s="3" t="inlineStr">
        <is>
          <t>1. MK-PF-F-029 closeAsOf
2. MK-PF-F-009 latestClose</t>
        </is>
      </c>
      <c r="R282" s="3" t="inlineStr">
        <is>
          <t>1. MK-PF-F-029 closeAsOf → MK-PF-F-011 periodReturnSince
2. MK-PF-F-009 latestClose → MK-PF-F-011 periodReturnSince</t>
        </is>
      </c>
      <c r="S282" s="3" t="inlineStr">
        <is>
          <t>—</t>
        </is>
      </c>
      <c r="T282" s="3" t="inlineStr">
        <is>
          <t>RETURN_SINCE_A_DATE</t>
        </is>
      </c>
      <c r="U282" s="3" t="inlineStr">
        <is>
          <t>ACTIVE</t>
        </is>
      </c>
      <c r="V282" s="3" t="inlineStr">
        <is>
          <t>2026-09-26</t>
        </is>
      </c>
      <c r="Y282" s="3" t="inlineStr">
        <is>
          <t>NOTHING OPEN</t>
        </is>
      </c>
    </row>
    <row r="283">
      <c r="A283" s="3" t="inlineStr">
        <is>
          <t>MK-PF-F-012</t>
        </is>
      </c>
      <c r="B283" s="3" t="inlineStr">
        <is>
          <t>earliestPurchaseDate</t>
        </is>
      </c>
      <c r="C283" s="3" t="inlineStr">
        <is>
          <t>src/domain/performance/index.ts</t>
        </is>
      </c>
      <c r="D283" s="3" t="n">
        <v>631</v>
      </c>
      <c r="E283" s="3" t="inlineStr">
        <is>
          <t>3 · DEPENDENT</t>
        </is>
      </c>
      <c r="F283" s="3" t="inlineStr">
        <is>
          <t>Earliest dated lot — the day this holding became YOUR money.</t>
        </is>
      </c>
      <c r="G283" s="13" t="inlineStr">
        <is>
          <t>dates = for each of lots (or none when missing): purchase date where ÷ ^\each{4}-\each{2}-\each{2} ÷ .test(each ?? '')
the answer:
the first 10 of dates.sort()[0]!   if count of dates
nothing   otherwise</t>
        </is>
      </c>
      <c r="H283" s="3" t="inlineStr">
        <is>
          <t>Dates is for each of lots (or none — when missing): purchase date where divided by ^\each{4}-\each{2}-\each{2} divided by .test(each ?? ''). The answer: the first 10 of dates.sort()[0]! — when how many dates there are; no answer — otherwise.</t>
        </is>
      </c>
      <c r="I283" s="3" t="inlineStr">
        <is>
          <t>PARTLY READ — some of the code is still showing through; needs a hand pass</t>
        </is>
      </c>
      <c r="J283" s="3" t="inlineStr">
        <is>
          <t>p: Position</t>
        </is>
      </c>
      <c r="K283" s="3" t="inlineStr">
        <is>
          <t>string | null</t>
        </is>
      </c>
      <c r="L283" s="3" t="inlineStr">
        <is>
          <t>—</t>
        </is>
      </c>
      <c r="M283" s="3" t="inlineStr">
        <is>
          <t>None found in this function — anything it assumes comes from the functions it depends on.</t>
        </is>
      </c>
      <c r="N283" s="3" t="inlineStr">
        <is>
          <t>Yes</t>
        </is>
      </c>
      <c r="O283" s="3" t="inlineStr">
        <is>
          <t>MK-CF-F-132 map</t>
        </is>
      </c>
      <c r="P283" s="3" t="n">
        <v>1</v>
      </c>
      <c r="Q283" s="3" t="inlineStr">
        <is>
          <t>MK-CF-F-132 map</t>
        </is>
      </c>
      <c r="R283" s="3" t="inlineStr">
        <is>
          <t>MK-CF-F-132 map → MK-PF-F-012 earliestPurchaseDate</t>
        </is>
      </c>
      <c r="S283" s="3" t="inlineStr">
        <is>
          <t>—</t>
        </is>
      </c>
      <c r="T283" s="3" t="inlineStr">
        <is>
          <t>HOLDING_FIRST_BOUGHT</t>
        </is>
      </c>
      <c r="U283" s="3" t="inlineStr">
        <is>
          <t>ACTIVE</t>
        </is>
      </c>
      <c r="V283" s="3" t="inlineStr">
        <is>
          <t>2026-08-27</t>
        </is>
      </c>
      <c r="Y283" s="3" t="inlineStr">
        <is>
          <t>NOTHING OPEN</t>
        </is>
      </c>
    </row>
    <row r="284">
      <c r="A284" s="3" t="inlineStr">
        <is>
          <t>MK-PF-F-013</t>
        </is>
      </c>
      <c r="B284" s="3" t="inlineStr">
        <is>
          <t>benchmarkTicker</t>
        </is>
      </c>
      <c r="C284" s="3" t="inlineStr">
        <is>
          <t>src/domain/performance/index.ts</t>
        </is>
      </c>
      <c r="D284" s="3" t="n">
        <v>681</v>
      </c>
      <c r="E284" s="3" t="inlineStr">
        <is>
          <t>2 · DISPLAYED</t>
        </is>
      </c>
      <c r="F284" s="3" t="inlineStr">
        <is>
          <t>What should this holding be compared against?</t>
        </is>
      </c>
      <c r="G284" s="13" t="inlineStr">
        <is>
          <t>BENCHMARK_TICKER[kind ?? ''] (or 'SPY' when missing)</t>
        </is>
      </c>
      <c r="H284" s="3" t="inlineStr">
        <is>
          <t>BENCHMARK_TICKER[kind ?? ''] (or 'SPY' — when missing).</t>
        </is>
      </c>
      <c r="I284" s="3" t="inlineStr">
        <is>
          <t>PARTLY READ — some of the code is still showing through; needs a hand pass</t>
        </is>
      </c>
      <c r="J284" s="3" t="inlineStr">
        <is>
          <t>kind?: string</t>
        </is>
      </c>
      <c r="K284" s="3" t="inlineStr">
        <is>
          <t>string</t>
        </is>
      </c>
      <c r="L284" s="3" t="inlineStr">
        <is>
          <t>1. "Name (optional)" — on the Performance screen
2. "You are" — on the Holding detail screen, under "VS THE STOCK MARKET
3. SAME DATES"</t>
        </is>
      </c>
      <c r="M284" s="3" t="inlineStr">
        <is>
          <t>None found in this function — anything it assumes comes from the functions it depends on.</t>
        </is>
      </c>
      <c r="N284" s="3" t="inlineStr">
        <is>
          <t>Yes</t>
        </is>
      </c>
      <c r="O284" s="3" t="inlineStr">
        <is>
          <t>MK-ST-F-053 money</t>
        </is>
      </c>
      <c r="P284" s="3" t="n">
        <v>6</v>
      </c>
      <c r="Q284" s="3" t="inlineStr">
        <is>
          <t>1. MK-ST-F-053 money
2. MK-ST-F-049 formatMoney
3. MK-XS-F-122 n
4. MK-ST-F-048 currencySymbol
5. MK-ST-F-039 on
6. MK-ST-F-047 activeCurrency</t>
        </is>
      </c>
      <c r="R284"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284" s="3" t="inlineStr">
        <is>
          <t>—</t>
        </is>
      </c>
      <c r="T284" s="3" t="inlineStr">
        <is>
          <t>BENCHMARK_FOR_KIND</t>
        </is>
      </c>
      <c r="U284" s="3" t="inlineStr">
        <is>
          <t>ACTIVE</t>
        </is>
      </c>
      <c r="V284" s="3" t="inlineStr">
        <is>
          <t>2026-08-27</t>
        </is>
      </c>
      <c r="Y284" s="3" t="inlineStr">
        <is>
          <t>NOTHING OPEN</t>
        </is>
      </c>
    </row>
    <row r="285">
      <c r="A285" s="3" t="inlineStr">
        <is>
          <t>MK-PF-F-014</t>
        </is>
      </c>
      <c r="B285" s="3" t="inlineStr">
        <is>
          <t>buildPerformance</t>
        </is>
      </c>
      <c r="C285" s="3" t="inlineStr">
        <is>
          <t>src/domain/performance/index.ts</t>
        </is>
      </c>
      <c r="D285" s="3" t="n">
        <v>733</v>
      </c>
      <c r="E285" s="3" t="inlineStr">
        <is>
          <t>2 · DISPLAYED</t>
        </is>
      </c>
      <c r="F285" s="3" t="inlineStr">
        <is>
          <t>Build the per-holding rows for a period from positions + a price-series lookup.</t>
        </is>
      </c>
      <c r="G285" s="13"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285"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285" s="3" t="inlineStr">
        <is>
          <t>PARTLY READ — some of the code is still showing through; needs a hand pass</t>
        </is>
      </c>
      <c r="J285" s="3" t="inlineStr">
        <is>
          <t>Nothing is handed to it</t>
        </is>
      </c>
      <c r="K285" s="3" t="inlineStr">
        <is>
          <t>NOT DECLARED — the code does not say what it gives back</t>
        </is>
      </c>
      <c r="L285" s="3" t="inlineStr">
        <is>
          <t>NOT FOUND — a screen calls it, but the words printed beside its answer could not be traced automatically. Needs reading.</t>
        </is>
      </c>
      <c r="M285" s="3" t="inlineStr">
        <is>
          <t>· Uses today's date from the device clock, so the answer changes by itself overnight.</t>
        </is>
      </c>
      <c r="N285" s="3" t="inlineStr">
        <is>
          <t>Yes</t>
        </is>
      </c>
      <c r="O28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285" s="3" t="n">
        <v>20</v>
      </c>
      <c r="Q28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MK-ST-F-048 currencySymbol
19. MK-ST-F-039 on
20. MK-ST-F-047 activeCurrency</t>
        </is>
      </c>
      <c r="R285"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285" s="3" t="inlineStr">
        <is>
          <t>MK-PF-M-005 · MK-PF-M-006 · MK-PF-M-007</t>
        </is>
      </c>
      <c r="T285" s="3" t="inlineStr">
        <is>
          <t>PERFORMANCE_TABLE</t>
        </is>
      </c>
      <c r="U285" s="3" t="inlineStr">
        <is>
          <t>ACTIVE</t>
        </is>
      </c>
      <c r="V285" s="3" t="inlineStr">
        <is>
          <t>2026-08-27</t>
        </is>
      </c>
      <c r="Y285" s="3" t="inlineStr">
        <is>
          <t>NOTHING OPEN</t>
        </is>
      </c>
    </row>
    <row r="286">
      <c r="A286" s="3" t="inlineStr">
        <is>
          <t>MK-PF-F-015</t>
        </is>
      </c>
      <c r="B286" s="3" t="inlineStr">
        <is>
          <t>topHoldingConcentration</t>
        </is>
      </c>
      <c r="C286" s="3" t="inlineStr">
        <is>
          <t>src/domain/performance/index.ts</t>
        </is>
      </c>
      <c r="D286" s="3" t="n">
        <v>791</v>
      </c>
      <c r="E286" s="3" t="inlineStr">
        <is>
          <t>2 · DISPLAYED</t>
        </is>
      </c>
      <c r="F286" s="3" t="inlineStr">
        <is>
          <t>The holding-concentration FACT (Invest main + the insights function share this one rule): the largest single holding as a % of invested money, reported only at 25%+ with 2+ holdings — below that it isn't a fact worth a card.</t>
        </is>
      </c>
      <c r="G286" s="13"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286"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286" s="3" t="inlineStr">
        <is>
          <t>PARTLY READ — some of the code is still showing through; needs a hand pass</t>
        </is>
      </c>
      <c r="J286" s="3" t="inlineStr">
        <is>
          <t>rows: PerformanceRow[]</t>
        </is>
      </c>
      <c r="K286" s="3" t="inlineStr">
        <is>
          <t>NOT DECLARED — the code does not say what it gives back</t>
        </is>
      </c>
      <c r="L286" s="3" t="inlineStr">
        <is>
          <t>NOT FOUND — a screen calls it, but the words printed beside its answer could not be traced automatically. Needs reading.</t>
        </is>
      </c>
      <c r="M286" s="3" t="inlineStr">
        <is>
          <t>· Rounds the answer to a whole number.</t>
        </is>
      </c>
      <c r="N286" s="3" t="inlineStr">
        <is>
          <t>Yes</t>
        </is>
      </c>
      <c r="O286" s="3" t="inlineStr">
        <is>
          <t>MK-PF-F-004 marketValue</t>
        </is>
      </c>
      <c r="P286" s="3" t="n">
        <v>3</v>
      </c>
      <c r="Q286" s="3" t="inlineStr">
        <is>
          <t>1. MK-PF-F-004 marketValue
2. MK-PF-F-031 contractMultiplier
3. MK-PF-F-001 totalShares</t>
        </is>
      </c>
      <c r="R286" s="3" t="inlineStr">
        <is>
          <t>1. MK-PF-F-031 contractMultiplier → MK-PF-F-004 marketValue → MK-PF-F-015 topHoldingConcentration
2. MK-PF-F-001 totalShares → MK-PF-F-004 marketValue → MK-PF-F-015 topHoldingConcentration</t>
        </is>
      </c>
      <c r="S286" s="3" t="inlineStr">
        <is>
          <t>—</t>
        </is>
      </c>
      <c r="T286" s="3" t="inlineStr">
        <is>
          <t>CONCENTRATION</t>
        </is>
      </c>
      <c r="U286" s="3" t="inlineStr">
        <is>
          <t>ACTIVE</t>
        </is>
      </c>
      <c r="V286" s="3" t="inlineStr">
        <is>
          <t>2026-08-27</t>
        </is>
      </c>
      <c r="Y286" s="3" t="inlineStr">
        <is>
          <t>NOTHING OPEN</t>
        </is>
      </c>
    </row>
    <row r="287">
      <c r="A287" s="3" t="inlineStr">
        <is>
          <t>MK-PF-F-016</t>
        </is>
      </c>
      <c r="B287" s="3" t="inlineStr">
        <is>
          <t>attribution</t>
        </is>
      </c>
      <c r="C287" s="3" t="inlineStr">
        <is>
          <t>src/domain/performance/index.ts</t>
        </is>
      </c>
      <c r="D287" s="3" t="n">
        <v>817</v>
      </c>
      <c r="E287" s="3" t="inlineStr">
        <is>
          <t>3 · DEPENDENT (feeds an action only)</t>
        </is>
      </c>
      <c r="F287" s="3" t="inlineStr">
        <is>
          <t>Per-holding contribution to the portfolio's period return = weight × the holding's return (pts).</t>
        </is>
      </c>
      <c r="G287" s="13" t="inlineStr">
        <is>
          <t>total = Σ over rows of (market value)
[]   when total ≤ 0</t>
        </is>
      </c>
      <c r="H287" s="3" t="inlineStr">
        <is>
          <t>Total: the market value added up across rows. When total is at most 0, it answers [].</t>
        </is>
      </c>
      <c r="I287" s="3" t="inlineStr">
        <is>
          <t>READ FROM THE CODE — rendered from the expressions the function runs</t>
        </is>
      </c>
      <c r="J287" s="3" t="inlineStr">
        <is>
          <t>rows: PerformanceRow[]</t>
        </is>
      </c>
      <c r="K287" s="3" t="inlineStr">
        <is>
          <t>NOT DECLARED — the code does not say what it gives back</t>
        </is>
      </c>
      <c r="L287" s="3" t="inlineStr">
        <is>
          <t>—</t>
        </is>
      </c>
      <c r="M287" s="3" t="inlineStr">
        <is>
          <t>None found in this function — anything it assumes comes from the functions it depends on.</t>
        </is>
      </c>
      <c r="N287" s="3" t="inlineStr">
        <is>
          <t>No</t>
        </is>
      </c>
      <c r="O287" s="3" t="inlineStr">
        <is>
          <t>1. MK-CF-F-132 map
2. MK-PF-F-004 marketValue</t>
        </is>
      </c>
      <c r="P287" s="3" t="n">
        <v>4</v>
      </c>
      <c r="Q287" s="3" t="inlineStr">
        <is>
          <t>1. MK-CF-F-132 map
2. MK-PF-F-004 marketValue
3. MK-PF-F-031 contractMultiplier
4. MK-PF-F-001 totalShares</t>
        </is>
      </c>
      <c r="R287" s="3" t="inlineStr">
        <is>
          <t>1. MK-CF-F-132 map → MK-PF-F-016 attribution
2. MK-PF-F-031 contractMultiplier → MK-PF-F-004 marketValue → MK-PF-F-016 attribution
3. MK-PF-F-001 totalShares → MK-PF-F-004 marketValue → MK-PF-F-016 attribution</t>
        </is>
      </c>
      <c r="S287" s="3" t="inlineStr">
        <is>
          <t>—</t>
        </is>
      </c>
      <c r="T287" s="3" t="inlineStr">
        <is>
          <t>WHAT_DROVE_THE_RETURN</t>
        </is>
      </c>
      <c r="U287" s="3" t="inlineStr">
        <is>
          <t>ACTIVE</t>
        </is>
      </c>
      <c r="V287" s="3" t="inlineStr">
        <is>
          <t>2026-09-25</t>
        </is>
      </c>
      <c r="Y287" s="3" t="inlineStr">
        <is>
          <t>NOTHING OPEN</t>
        </is>
      </c>
    </row>
    <row r="288">
      <c r="A288" s="3" t="inlineStr">
        <is>
          <t>MK-PF-F-017</t>
        </is>
      </c>
      <c r="B288" s="3" t="inlineStr">
        <is>
          <t>allocation</t>
        </is>
      </c>
      <c r="C288" s="3" t="inlineStr">
        <is>
          <t>src/domain/performance/index.ts</t>
        </is>
      </c>
      <c r="D288" s="3" t="n">
        <v>853</v>
      </c>
      <c r="E288" s="3" t="inlineStr">
        <is>
          <t>3 · DEPENDENT (feeds an action only)</t>
        </is>
      </c>
      <c r="F288" s="3" t="inlineStr">
        <is>
          <t>How is my invested money spread?</t>
        </is>
      </c>
      <c r="G288" s="13" t="inlineStr">
        <is>
          <t>by kind = {}
total = Σ over object.values(by kind) of (each)+ max(0, cash)
[]   when total ≤ 0
slices = for each of object.entries(by kind): [key, v]) =&gt; ({ key, value: (v), pct: math.round((v ÷ total) × 1000) ÷ 10 }
the answer = slices.sort((a, b) =&gt; value − value)</t>
        </is>
      </c>
      <c r="H288"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288" s="3" t="inlineStr">
        <is>
          <t>PARTLY READ — some of the code is still showing through; needs a hand pass</t>
        </is>
      </c>
      <c r="J288" s="3" t="inlineStr">
        <is>
          <t>1. rows: PerformanceRow[]
2. cash = 0</t>
        </is>
      </c>
      <c r="K288" s="3" t="inlineStr">
        <is>
          <t>AllocSlice[]</t>
        </is>
      </c>
      <c r="L288" s="3" t="inlineStr">
        <is>
          <t>—</t>
        </is>
      </c>
      <c r="M288" s="3" t="inlineStr">
        <is>
          <t>1. If by kind[k] is missing it counts as zero, so nothing recorded and a real zero look the same.
2. Never lets cash fall below 0.</t>
        </is>
      </c>
      <c r="N288" s="3" t="inlineStr">
        <is>
          <t>No</t>
        </is>
      </c>
      <c r="O288" s="3" t="inlineStr">
        <is>
          <t>1. MK-CF-F-155 cash
2. MK-CF-F-132 map</t>
        </is>
      </c>
      <c r="P288" s="3" t="n">
        <v>3</v>
      </c>
      <c r="Q288" s="3" t="inlineStr">
        <is>
          <t>1. MK-CF-F-155 cash
2. MK-CF-F-132 map
3. MK-XS-F-122 n</t>
        </is>
      </c>
      <c r="R288" s="3" t="inlineStr">
        <is>
          <t>1. MK-XS-F-122 n → MK-CF-F-155 cash → MK-PF-F-017 allocation
2. MK-CF-F-132 map → MK-PF-F-017 allocation</t>
        </is>
      </c>
      <c r="S288" s="3" t="inlineStr">
        <is>
          <t>—</t>
        </is>
      </c>
      <c r="T288" s="3" t="inlineStr">
        <is>
          <t>ALLOCATION_BY_HOLDING_KIND</t>
        </is>
      </c>
      <c r="U288" s="3" t="inlineStr">
        <is>
          <t>ACTIVE</t>
        </is>
      </c>
      <c r="V288" s="3" t="inlineStr">
        <is>
          <t>2026-09-25</t>
        </is>
      </c>
      <c r="Y288" s="3" t="inlineStr">
        <is>
          <t>NOTHING OPEN</t>
        </is>
      </c>
    </row>
    <row r="289">
      <c r="A289" s="3" t="inlineStr">
        <is>
          <t>MK-PF-F-018</t>
        </is>
      </c>
      <c r="B289" s="3" t="inlineStr">
        <is>
          <t>portfolioTrend</t>
        </is>
      </c>
      <c r="C289" s="3" t="inlineStr">
        <is>
          <t>src/domain/performance/index.ts</t>
        </is>
      </c>
      <c r="D289" s="3" t="n">
        <v>898</v>
      </c>
      <c r="E289" s="3" t="inlineStr">
        <is>
          <t>3 · DEPENDENT (feeds an action only)</t>
        </is>
      </c>
      <c r="F289" s="3" t="inlineStr">
        <is>
          <t>How has my portfolio moved over the period, against its benchmark?</t>
        </is>
      </c>
      <c r="G289" s="13"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289"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289" s="3" t="inlineStr">
        <is>
          <t>PARTLY READ — some of the code is still showing through; needs a hand pass</t>
        </is>
      </c>
      <c r="J289" s="3" t="inlineStr">
        <is>
          <t>Nothing is handed to it</t>
        </is>
      </c>
      <c r="K289" s="3" t="inlineStr">
        <is>
          <t>NOT DECLARED — the code does not say what it gives back</t>
        </is>
      </c>
      <c r="L289" s="3" t="inlineStr">
        <is>
          <t>—</t>
        </is>
      </c>
      <c r="M289" s="3" t="inlineStr">
        <is>
          <t>1. Uses a built-in n of 12.
2. Uses today's date from the device clock, so the answer changes by itself overnight.</t>
        </is>
      </c>
      <c r="N289" s="3" t="inlineStr">
        <is>
          <t>No</t>
        </is>
      </c>
      <c r="O289" s="3" t="inlineStr">
        <is>
          <t>1. MK-PF-F-029 closeAsOf
2. MK-CF-F-132 map
3. MK-PF-F-008 startDateFor
4. MK-PF-F-001 totalShares</t>
        </is>
      </c>
      <c r="P289" s="3" t="n">
        <v>4</v>
      </c>
      <c r="Q289" s="3" t="inlineStr">
        <is>
          <t>1. MK-PF-F-029 closeAsOf
2. MK-CF-F-132 map
3. MK-PF-F-008 startDateFor
4. MK-PF-F-001 totalShares</t>
        </is>
      </c>
      <c r="R289" s="3" t="inlineStr">
        <is>
          <t>1. MK-PF-F-029 closeAsOf → MK-PF-F-018 portfolioTrend
2. MK-CF-F-132 map → MK-PF-F-018 portfolioTrend
3. MK-PF-F-008 startDateFor → MK-PF-F-018 portfolioTrend
4. MK-PF-F-001 totalShares → MK-PF-F-018 portfolioTrend</t>
        </is>
      </c>
      <c r="S289" s="3" t="inlineStr">
        <is>
          <t>—</t>
        </is>
      </c>
      <c r="T289" s="3" t="inlineStr">
        <is>
          <t>PORTFOLIO_TREND_LINE</t>
        </is>
      </c>
      <c r="U289" s="3" t="inlineStr">
        <is>
          <t>ACTIVE</t>
        </is>
      </c>
      <c r="V289" s="3" t="inlineStr">
        <is>
          <t>2026-09-25</t>
        </is>
      </c>
      <c r="Y289" s="3" t="inlineStr">
        <is>
          <t>NOTHING OPEN</t>
        </is>
      </c>
    </row>
    <row r="290">
      <c r="A290" s="3" t="inlineStr">
        <is>
          <t>MK-PF-F-019</t>
        </is>
      </c>
      <c r="B290" s="3" t="inlineStr">
        <is>
          <t>portfolioPeriodReturn</t>
        </is>
      </c>
      <c r="C290" s="3" t="inlineStr">
        <is>
          <t>src/domain/performance/index.ts</t>
        </is>
      </c>
      <c r="D290" s="3" t="n">
        <v>945</v>
      </c>
      <c r="E290" s="3" t="inlineStr">
        <is>
          <t>2 · DISPLAYED</t>
        </is>
      </c>
      <c r="F290" s="3" t="inlineStr">
        <is>
          <t>Value-weighted portfolio period return across holdings that have one (decimal), or null.</t>
        </is>
      </c>
      <c r="G290" s="13" t="inlineStr">
        <is>
          <t>usable = rows where period return ≠ nothing and market value &gt; 0
total = Σ over usable of (market value)
nothing   when total ≤ 0
the answer = Σ over usable of ((period return as number) × market value)÷ total</t>
        </is>
      </c>
      <c r="H290"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290" s="3" t="inlineStr">
        <is>
          <t>READ FROM THE CODE — rendered from the expressions the function runs</t>
        </is>
      </c>
      <c r="J290" s="3" t="inlineStr">
        <is>
          <t>rows: PerformanceRow[]</t>
        </is>
      </c>
      <c r="K290" s="3" t="inlineStr">
        <is>
          <t>number | null</t>
        </is>
      </c>
      <c r="L290" s="3" t="inlineStr">
        <is>
          <t>NOT FOUND — a screen calls it, but the words printed beside its answer could not be traced automatically. Needs reading.</t>
        </is>
      </c>
      <c r="M290" s="3" t="inlineStr">
        <is>
          <t>· Second verification G18, 2026-09-08: this is the value-weighted average of holding returns, not a Dietz return.</t>
        </is>
      </c>
      <c r="N290" s="3" t="inlineStr">
        <is>
          <t>Yes</t>
        </is>
      </c>
      <c r="O290" s="3" t="inlineStr">
        <is>
          <t>MK-PF-F-004 marketValue</t>
        </is>
      </c>
      <c r="P290" s="3" t="n">
        <v>3</v>
      </c>
      <c r="Q290" s="3" t="inlineStr">
        <is>
          <t>1. MK-PF-F-004 marketValue
2. MK-PF-F-031 contractMultiplier
3. MK-PF-F-001 totalShares</t>
        </is>
      </c>
      <c r="R290" s="3" t="inlineStr">
        <is>
          <t>1. MK-PF-F-031 contractMultiplier → MK-PF-F-004 marketValue → MK-PF-F-019 portfolioPeriodReturn
2. MK-PF-F-001 totalShares → MK-PF-F-004 marketValue → MK-PF-F-019 portfolioPeriodReturn</t>
        </is>
      </c>
      <c r="S290" s="3" t="inlineStr">
        <is>
          <t>MK-XS-M-004</t>
        </is>
      </c>
      <c r="T290" s="3" t="inlineStr">
        <is>
          <t>VALUE_WEIGHTED_RETURN</t>
        </is>
      </c>
      <c r="U290" s="3" t="inlineStr">
        <is>
          <t>ACTIVE</t>
        </is>
      </c>
      <c r="V290" s="3" t="inlineStr">
        <is>
          <t>2026-09-09</t>
        </is>
      </c>
      <c r="Y290" s="6" t="inlineStr">
        <is>
          <t>TESTED, NOT VERIFIED (C1, G18)</t>
        </is>
      </c>
    </row>
    <row r="291">
      <c r="A291" s="3" t="inlineStr">
        <is>
          <t>MK-PF-F-020</t>
        </is>
      </c>
      <c r="B291" s="3" t="inlineStr">
        <is>
          <t>portfolioBenchReturn</t>
        </is>
      </c>
      <c r="C291" s="3" t="inlineStr">
        <is>
          <t>src/domain/performance/index.ts</t>
        </is>
      </c>
      <c r="D291" s="3" t="n">
        <v>973</v>
      </c>
      <c r="E291" s="3" t="inlineStr">
        <is>
          <t>2 · DISPLAYED</t>
        </is>
      </c>
      <c r="F291" s="3" t="inlineStr">
        <is>
          <t>Value-weighted benchmark ("the market, matched to your mix") return across holdings that have one (decimal), or null.</t>
        </is>
      </c>
      <c r="G291" s="13" t="inlineStr">
        <is>
          <t>usable = rows where bench return ≠ nothing and market value &gt; 0
total = Σ over usable of (market value)
nothing   when total ≤ 0
the answer = Σ over usable of ((bench return as number) × market value)÷ total</t>
        </is>
      </c>
      <c r="H291" s="3" t="inlineStr">
        <is>
          <t>Usable is rows where bench return is not no answer and market value &gt; 0. Total: the market value added up across usable. When total is at most 0, it answers no answer. The answer: the (bench return as number added up across usable times market value)÷ total.</t>
        </is>
      </c>
      <c r="I291" s="3" t="inlineStr">
        <is>
          <t>READ FROM THE CODE — rendered from the expressions the function runs</t>
        </is>
      </c>
      <c r="J291" s="3" t="inlineStr">
        <is>
          <t>rows: PerformanceRow[]</t>
        </is>
      </c>
      <c r="K291" s="3" t="inlineStr">
        <is>
          <t>number | null</t>
        </is>
      </c>
      <c r="L291" s="3" t="inlineStr">
        <is>
          <t>NOT FOUND — a screen calls it, but the words printed beside its answer could not be traced automatically. Needs reading.</t>
        </is>
      </c>
      <c r="M291" s="3" t="inlineStr">
        <is>
          <t>None found in this function — anything it assumes comes from the functions it depends on.</t>
        </is>
      </c>
      <c r="N291" s="3" t="inlineStr">
        <is>
          <t>Yes</t>
        </is>
      </c>
      <c r="O291" s="3" t="inlineStr">
        <is>
          <t>MK-PF-F-004 marketValue</t>
        </is>
      </c>
      <c r="P291" s="3" t="n">
        <v>3</v>
      </c>
      <c r="Q291" s="3" t="inlineStr">
        <is>
          <t>1. MK-PF-F-004 marketValue
2. MK-PF-F-031 contractMultiplier
3. MK-PF-F-001 totalShares</t>
        </is>
      </c>
      <c r="R291" s="3" t="inlineStr">
        <is>
          <t>1. MK-PF-F-031 contractMultiplier → MK-PF-F-004 marketValue → MK-PF-F-020 portfolioBenchReturn
2. MK-PF-F-001 totalShares → MK-PF-F-004 marketValue → MK-PF-F-020 portfolioBenchReturn</t>
        </is>
      </c>
      <c r="S291" s="3" t="inlineStr">
        <is>
          <t>MK-PF-M-008</t>
        </is>
      </c>
      <c r="T291" s="3" t="inlineStr">
        <is>
          <t>BENCHMARK_RETURN_BLENDED</t>
        </is>
      </c>
      <c r="U291" s="3" t="inlineStr">
        <is>
          <t>ACTIVE</t>
        </is>
      </c>
      <c r="V291" s="3" t="inlineStr">
        <is>
          <t>2026-08-27</t>
        </is>
      </c>
      <c r="Y291" s="3" t="inlineStr">
        <is>
          <t>NOTHING OPEN</t>
        </is>
      </c>
    </row>
    <row r="292">
      <c r="A292" s="3" t="inlineStr">
        <is>
          <t>MK-PF-F-021</t>
        </is>
      </c>
      <c r="B292" s="3" t="inlineStr">
        <is>
          <t>periodDollarDelta</t>
        </is>
      </c>
      <c r="C292" s="3" t="inlineStr">
        <is>
          <t>src/domain/performance/index.ts</t>
        </is>
      </c>
      <c r="D292" s="3" t="n">
        <v>1003</v>
      </c>
      <c r="E292" s="3" t="inlineStr">
        <is>
          <t>2 · DISPLAYED</t>
        </is>
      </c>
      <c r="F292" s="3" t="inlineStr">
        <is>
          <t>The DOLLAR change implied by a period return on today's total — the approved Home hero shows "up $11,200 (1.4%) this month": dollars AND percent from the SAME measured return, so the two figures can never disagree (one concept, one source).</t>
        </is>
      </c>
      <c r="G292" s="13" t="inlineStr">
        <is>
          <t>0   when !number.is finite(current total) (or !number.is finite(period return) (or period return ≤ -1 when missing or zero) when missing or zero)
round(current total × period return ÷ (1 + period return))</t>
        </is>
      </c>
      <c r="H292" s="3" t="inlineStr">
        <is>
          <t>When !number.is finite(current total) (or !number.is finite(period return) (or period return is at most -1 — when missing or zero) — when missing or zero), it answers 0. current total times period return divided by (1 plus period return, to a whole number).</t>
        </is>
      </c>
      <c r="I292" s="3" t="inlineStr">
        <is>
          <t>PARTLY READ — some of the code is still showing through; needs a hand pass</t>
        </is>
      </c>
      <c r="J292" s="3" t="inlineStr">
        <is>
          <t>1. currentTotal: number
2. periodReturn: number</t>
        </is>
      </c>
      <c r="K292" s="3" t="inlineStr">
        <is>
          <t>number</t>
        </is>
      </c>
      <c r="L292" s="3" t="inlineStr">
        <is>
          <t>NOT FOUND — a screen calls it, but the words printed beside its answer could not be traced automatically. Needs reading.</t>
        </is>
      </c>
      <c r="M292" s="3" t="inlineStr">
        <is>
          <t>· Rounds the answer to a whole number.</t>
        </is>
      </c>
      <c r="N292" s="3" t="inlineStr">
        <is>
          <t>Yes</t>
        </is>
      </c>
      <c r="O292" s="3" t="inlineStr">
        <is>
          <t>MK-PF-F-010 periodReturn</t>
        </is>
      </c>
      <c r="P292" s="3" t="n">
        <v>4</v>
      </c>
      <c r="Q292" s="3" t="inlineStr">
        <is>
          <t>1. MK-PF-F-010 periodReturn
2. MK-PF-F-029 closeAsOf
3. MK-PF-F-009 latestClose
4. MK-PF-F-008 startDateFor</t>
        </is>
      </c>
      <c r="R292" s="3" t="inlineStr">
        <is>
          <t>1. MK-PF-F-029 closeAsOf → MK-PF-F-010 periodReturn → MK-PF-F-021 periodDollarDelta
2. MK-PF-F-009 latestClose → MK-PF-F-010 periodReturn → MK-PF-F-021 periodDollarDelta
3. MK-PF-F-008 startDateFor → MK-PF-F-010 periodReturn → MK-PF-F-021 periodDollarDelta</t>
        </is>
      </c>
      <c r="S292" s="3" t="inlineStr">
        <is>
          <t>—</t>
        </is>
      </c>
      <c r="T292" s="3" t="inlineStr">
        <is>
          <t>—</t>
        </is>
      </c>
      <c r="U292" s="3" t="inlineStr">
        <is>
          <t>ACTIVE</t>
        </is>
      </c>
      <c r="V292" s="3" t="inlineStr">
        <is>
          <t>2026-08-27</t>
        </is>
      </c>
      <c r="Y292" s="3" t="inlineStr">
        <is>
          <t>NOTHING OPEN</t>
        </is>
      </c>
    </row>
    <row r="293">
      <c r="A293" s="3" t="inlineStr">
        <is>
          <t>MK-PF-F-022</t>
        </is>
      </c>
      <c r="B293" s="3" t="inlineStr">
        <is>
          <t>factorOverMonths</t>
        </is>
      </c>
      <c r="C293" s="3" t="inlineStr">
        <is>
          <t>src/domain/performance/lookBack.ts</t>
        </is>
      </c>
      <c r="D293" s="3" t="n">
        <v>48</v>
      </c>
      <c r="E293" s="3" t="inlineStr">
        <is>
          <t>3 · DEPENDENT</t>
        </is>
      </c>
      <c r="F293" s="3" t="inlineStr">
        <is>
          <t>Price factor over the trailing window: last close ÷ the close at (now − months).</t>
        </is>
      </c>
      <c r="G293" s="13"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293"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293" s="3" t="inlineStr">
        <is>
          <t>READ BY HAND 2026-08-26 — checked line by line against the code</t>
        </is>
      </c>
      <c r="J293" s="3" t="inlineStr">
        <is>
          <t>1. series: PriceSeries | null | undefined
2. months: number
3. now: Date = new Date()</t>
        </is>
      </c>
      <c r="K293" s="3" t="inlineStr">
        <is>
          <t>number | null</t>
        </is>
      </c>
      <c r="L293" s="3" t="inlineStr">
        <is>
          <t>—</t>
        </is>
      </c>
      <c r="M293" s="3" t="inlineStr">
        <is>
          <t>1. Uses today's date from the device clock, so the answer changes by itself overnight.
2. The window boundary is a LOCAL calendar date (the person's own day), so the answer is the same in every timezone (TZ-1, 2026-09-08).</t>
        </is>
      </c>
      <c r="N293" s="3" t="inlineStr">
        <is>
          <t>Yes</t>
        </is>
      </c>
      <c r="O293" s="3" t="inlineStr">
        <is>
          <t>MK-ST-F-065 isoLocalDate</t>
        </is>
      </c>
      <c r="P293" s="3" t="n">
        <v>1</v>
      </c>
      <c r="Q293" s="3" t="inlineStr">
        <is>
          <t>MK-ST-F-065 isoLocalDate</t>
        </is>
      </c>
      <c r="R293" s="3" t="inlineStr">
        <is>
          <t>MK-ST-F-065 isoLocalDate → MK-PF-F-022 factorOverMonths</t>
        </is>
      </c>
      <c r="S293" s="3" t="inlineStr">
        <is>
          <t>—</t>
        </is>
      </c>
      <c r="T293" s="3" t="inlineStr">
        <is>
          <t>PRICE_FACTOR_OVER_WINDOW</t>
        </is>
      </c>
      <c r="U293" s="3" t="inlineStr">
        <is>
          <t>ACTIVE</t>
        </is>
      </c>
      <c r="V293" s="3" t="inlineStr">
        <is>
          <t>2026-09-08</t>
        </is>
      </c>
      <c r="Y293" s="6" t="inlineStr">
        <is>
          <t>TESTED, NOT VERIFIED (TZ-1)</t>
        </is>
      </c>
    </row>
    <row r="294">
      <c r="A294" s="3" t="inlineStr">
        <is>
          <t>MK-PF-F-023</t>
        </is>
      </c>
      <c r="B294" s="3" t="inlineStr">
        <is>
          <t>lookBack</t>
        </is>
      </c>
      <c r="C294" s="3" t="inlineStr">
        <is>
          <t>src/domain/performance/lookBack.ts</t>
        </is>
      </c>
      <c r="D294" s="3" t="n">
        <v>93</v>
      </c>
      <c r="E294" s="3" t="inlineStr">
        <is>
          <t>2 · DISPLAYED</t>
        </is>
      </c>
      <c r="F294" s="3" t="inlineStr">
        <is>
          <t>What if I had moved this money?</t>
        </is>
      </c>
      <c r="G294" s="13"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294"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294" s="3" t="inlineStr">
        <is>
          <t>READ FROM THE CODE — rendered from the expressions the function runs</t>
        </is>
      </c>
      <c r="J294" s="3" t="inlineStr">
        <is>
          <t>1. amount: number
2. fromSeries: PriceSeries | null | undefined
3. toSeries: PriceSeries | null | undefined
4. months: number
5. now: Date = new Date()</t>
        </is>
      </c>
      <c r="K294" s="3" t="inlineStr">
        <is>
          <t>LookBackResult | null</t>
        </is>
      </c>
      <c r="L294" s="3" t="inlineStr">
        <is>
          <t>NOT FOUND — a screen calls it, but the words printed beside its answer could not be traced automatically. Needs reading.</t>
        </is>
      </c>
      <c r="M294" s="3" t="inlineStr">
        <is>
          <t>· Uses today's date from the device clock, so the answer changes by itself overnight.</t>
        </is>
      </c>
      <c r="N294" s="3" t="inlineStr">
        <is>
          <t>Yes</t>
        </is>
      </c>
      <c r="O294" s="3" t="inlineStr">
        <is>
          <t>MK-PF-F-022 factorOverMonths</t>
        </is>
      </c>
      <c r="P294" s="3" t="n">
        <v>2</v>
      </c>
      <c r="Q294" s="3" t="inlineStr">
        <is>
          <t>1. MK-PF-F-022 factorOverMonths
2. MK-ST-F-065 isoLocalDate</t>
        </is>
      </c>
      <c r="R294" s="3" t="inlineStr">
        <is>
          <t>MK-ST-F-065 isoLocalDate → MK-PF-F-022 factorOverMonths → MK-PF-F-023 lookBack</t>
        </is>
      </c>
      <c r="S294" s="3" t="inlineStr">
        <is>
          <t>MK-PF-M-010 · MK-PF-M-011 · MK-PF-M-012</t>
        </is>
      </c>
      <c r="T294" s="3" t="inlineStr">
        <is>
          <t>LOOK_BACK</t>
        </is>
      </c>
      <c r="U294" s="3" t="inlineStr">
        <is>
          <t>ACTIVE</t>
        </is>
      </c>
      <c r="V294" s="3" t="inlineStr">
        <is>
          <t>2026-09-09</t>
        </is>
      </c>
      <c r="Y294" s="3" t="inlineStr">
        <is>
          <t>NOTHING OPEN</t>
        </is>
      </c>
    </row>
    <row r="295">
      <c r="A295" s="3" t="inlineStr">
        <is>
          <t>MK-PF-F-024</t>
        </is>
      </c>
      <c r="B295" s="3" t="inlineStr">
        <is>
          <t>userFlows</t>
        </is>
      </c>
      <c r="C295" s="3" t="inlineStr">
        <is>
          <t>src/domain/performance/moneyWeighted.ts</t>
        </is>
      </c>
      <c r="D295" s="3" t="n">
        <v>58</v>
      </c>
      <c r="E295" s="3" t="inlineStr">
        <is>
          <t>3 · DEPENDENT (feeds an action only)</t>
        </is>
      </c>
      <c r="F295" s="3" t="inlineStr">
        <is>
          <t>The user's dated flows for a measured set of accounts, investor-sign convention: money the user PUT IN is negative, money TAKEN OUT is positive.</t>
        </is>
      </c>
      <c r="G295" s="13" t="inlineStr">
        <is>
          <t>flows = []
in set = account ids.has(string(account id))
counter in set = counter account id ≠ nothing and account ids.has(string(counter account id))
when = date.parse(string(date))
the answer = flows where size of(amount) &gt; 0.004.sort((a, b) =&gt; date − date)</t>
        </is>
      </c>
      <c r="H295" s="3" t="inlineStr">
        <is>
          <t>Flows is []. In set is account ids.has(string(account id)). Counter in set is counter account id is not no answer and account ids.has(string(counter account id)). When is date.parse(string(date)). The answer is flows where size of(amount) &gt; 0.004.sort((a, b) =&gt; date minus date).</t>
        </is>
      </c>
      <c r="I295" s="3" t="inlineStr">
        <is>
          <t>PARTLY READ — some of the code is still showing through; needs a hand pass</t>
        </is>
      </c>
      <c r="J295" s="3" t="inlineStr">
        <is>
          <t>1. transactions: Transaction[]
2. accountIds: Set&lt;string&gt;</t>
        </is>
      </c>
      <c r="K295" s="3" t="inlineStr">
        <is>
          <t>NOT DECLARED — the code does not say what it gives back</t>
        </is>
      </c>
      <c r="L295" s="3" t="inlineStr">
        <is>
          <t>—</t>
        </is>
      </c>
      <c r="M295"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295" s="3" t="inlineStr">
        <is>
          <t>No</t>
        </is>
      </c>
      <c r="O295" s="3" t="inlineStr">
        <is>
          <t>MK-ST-F-056 has</t>
        </is>
      </c>
      <c r="P295" s="3" t="n">
        <v>1</v>
      </c>
      <c r="Q295" s="3" t="inlineStr">
        <is>
          <t>MK-ST-F-056 has</t>
        </is>
      </c>
      <c r="R295" s="3" t="inlineStr">
        <is>
          <t>MK-ST-F-056 has → MK-PF-F-024 userFlows</t>
        </is>
      </c>
      <c r="S295" s="3" t="inlineStr">
        <is>
          <t>—</t>
        </is>
      </c>
      <c r="T295" s="3" t="inlineStr">
        <is>
          <t>PERSONAL_FLOWS</t>
        </is>
      </c>
      <c r="U295" s="3" t="inlineStr">
        <is>
          <t>ACTIVE</t>
        </is>
      </c>
      <c r="V295" s="3" t="inlineStr">
        <is>
          <t>2026-09-25</t>
        </is>
      </c>
      <c r="Y295" s="3" t="inlineStr">
        <is>
          <t>NOTHING OPEN</t>
        </is>
      </c>
    </row>
    <row r="296">
      <c r="A296" s="3" t="inlineStr">
        <is>
          <t>MK-PF-F-025</t>
        </is>
      </c>
      <c r="B296" s="3" t="inlineStr">
        <is>
          <t>historyIsComplete</t>
        </is>
      </c>
      <c r="C296" s="3" t="inlineStr">
        <is>
          <t>src/domain/performance/moneyWeighted.ts</t>
        </is>
      </c>
      <c r="D296" s="3" t="n">
        <v>113</v>
      </c>
      <c r="E296" s="3" t="inlineStr">
        <is>
          <t>3 · DEPENDENT (feeds an action only)</t>
        </is>
      </c>
      <c r="F296" s="3" t="inlineStr">
        <is>
          <t>True iff every measured account's story begins IN the ledger (openable honestly).</t>
        </is>
      </c>
      <c r="G296" s="13" t="inlineStr">
        <is>
          <t>false   when first is missing
false   when !['OPENING_CASH', 'OPENING_POSITION', 'DEPOSIT'].includes(first.type as string)
true
[LOOP — the answer is found inside a loop the extractor cannot render; the steps above are the ones before it. Read by hand.]</t>
        </is>
      </c>
      <c r="H296" s="3" t="inlineStr">
        <is>
          <t>When first is missing, it answers false. When !['OPENING_CASH', 'OPENING_POSITION', 'DEPOSIT'].includes(first.type as string), it answers false. true. The answer is found inside a loop that cannot be rendered here; read the code by hand.</t>
        </is>
      </c>
      <c r="I296" s="3" t="inlineStr">
        <is>
          <t>PARTLY READ — the body has a loop the extractor cannot render; the steps shown are the ones before it. Needs a hand pass (G23).</t>
        </is>
      </c>
      <c r="J296" s="3" t="inlineStr">
        <is>
          <t>1. transactions: Transaction[]
2. accounts: AssetAccount[]
3. accountIds: Set&lt;string&gt;</t>
        </is>
      </c>
      <c r="K296" s="3" t="inlineStr">
        <is>
          <t>boolean</t>
        </is>
      </c>
      <c r="L296" s="3" t="inlineStr">
        <is>
          <t>—</t>
        </is>
      </c>
      <c r="M296" s="3" t="inlineStr">
        <is>
          <t>None found in this function — anything it assumes comes from the functions it depends on.</t>
        </is>
      </c>
      <c r="N296" s="3" t="inlineStr">
        <is>
          <t>No</t>
        </is>
      </c>
      <c r="O296" s="3" t="inlineStr">
        <is>
          <t>MK-ST-F-056 has</t>
        </is>
      </c>
      <c r="P296" s="3" t="n">
        <v>1</v>
      </c>
      <c r="Q296" s="3" t="inlineStr">
        <is>
          <t>MK-ST-F-056 has</t>
        </is>
      </c>
      <c r="R296" s="3" t="inlineStr">
        <is>
          <t>MK-ST-F-056 has → MK-PF-F-025 historyIsComplete</t>
        </is>
      </c>
      <c r="S296" s="3" t="inlineStr">
        <is>
          <t>—</t>
        </is>
      </c>
      <c r="T296" s="3" t="inlineStr">
        <is>
          <t>PERSONAL_RETURN_POSSIBLE</t>
        </is>
      </c>
      <c r="U296" s="3" t="inlineStr">
        <is>
          <t>ACTIVE</t>
        </is>
      </c>
      <c r="V296" s="3" t="inlineStr">
        <is>
          <t>2026-09-25</t>
        </is>
      </c>
      <c r="Y296" s="3" t="inlineStr">
        <is>
          <t>NOTHING OPEN</t>
        </is>
      </c>
    </row>
    <row r="297">
      <c r="A297" s="3" t="inlineStr">
        <is>
          <t>MK-PF-F-026</t>
        </is>
      </c>
      <c r="B297" s="3" t="inlineStr">
        <is>
          <t>moneyWeightedReturn</t>
        </is>
      </c>
      <c r="C297" s="3" t="inlineStr">
        <is>
          <t>src/domain/performance/moneyWeighted.ts</t>
        </is>
      </c>
      <c r="D297" s="3" t="n">
        <v>188</v>
      </c>
      <c r="E297" s="3" t="inlineStr">
        <is>
          <t>3 · DEPENDENT (feeds an action only)</t>
        </is>
      </c>
      <c r="F297" s="3" t="inlineStr">
        <is>
          <t>XIRR via bisection — deterministic, no derivative games.</t>
        </is>
      </c>
      <c r="G297" s="13"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297"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297" s="3" t="inlineStr">
        <is>
          <t>PARTLY READ — the body has a loop the extractor cannot render; the steps shown are the ones before it. Needs a hand pass (G23).</t>
        </is>
      </c>
      <c r="J297" s="3" t="inlineStr">
        <is>
          <t>Nothing is handed to it</t>
        </is>
      </c>
      <c r="K297" s="3" t="inlineStr">
        <is>
          <t>NOT DECLARED — the code does not say what it gives back</t>
        </is>
      </c>
      <c r="L297" s="3" t="inlineStr">
        <is>
          <t>—</t>
        </is>
      </c>
      <c r="M297" s="3" t="inlineStr">
        <is>
          <t>1. Uses today's date from the device clock, so the answer changes by itself overnight.
2. Never lets current value fall below 0.</t>
        </is>
      </c>
      <c r="N297" s="3" t="inlineStr">
        <is>
          <t>No</t>
        </is>
      </c>
      <c r="O297" s="3" t="inlineStr">
        <is>
          <t>1. MK-PF-F-025 historyIsComplete
2. MK-PF-F-030 npv
3. MK-PF-F-024 userFlows</t>
        </is>
      </c>
      <c r="P297" s="3" t="n">
        <v>4</v>
      </c>
      <c r="Q297" s="3" t="inlineStr">
        <is>
          <t>1. MK-PF-F-025 historyIsComplete
2. MK-PF-F-030 npv
3. MK-PF-F-024 userFlows
4. MK-ST-F-056 has</t>
        </is>
      </c>
      <c r="R297" s="3" t="inlineStr">
        <is>
          <t>1. MK-ST-F-056 has → MK-PF-F-025 historyIsComplete → MK-PF-F-026 moneyWeightedReturn
2. MK-PF-F-030 npv → MK-PF-F-026 moneyWeightedReturn
3. MK-ST-F-056 has → MK-PF-F-024 userFlows → MK-PF-F-026 moneyWeightedReturn</t>
        </is>
      </c>
      <c r="S297" s="3" t="inlineStr">
        <is>
          <t>—</t>
        </is>
      </c>
      <c r="T297" s="3" t="inlineStr">
        <is>
          <t>PERSONAL_RETURN</t>
        </is>
      </c>
      <c r="U297" s="3" t="inlineStr">
        <is>
          <t>ACTIVE</t>
        </is>
      </c>
      <c r="V297" s="3" t="inlineStr">
        <is>
          <t>2026-09-25</t>
        </is>
      </c>
      <c r="Y297" s="3" t="inlineStr">
        <is>
          <t>NOTHING OPEN</t>
        </is>
      </c>
    </row>
    <row r="298">
      <c r="A298" s="3" t="inlineStr">
        <is>
          <t>MK-PF-F-027</t>
        </is>
      </c>
      <c r="B298" s="3" t="inlineStr">
        <is>
          <t>isMoneyWeighted</t>
        </is>
      </c>
      <c r="C298" s="3" t="inlineStr">
        <is>
          <t>src/domain/performance/moneyWeighted.ts</t>
        </is>
      </c>
      <c r="D298" s="3" t="n">
        <v>233</v>
      </c>
      <c r="E298" s="3" t="inlineStr">
        <is>
          <t>3 · DEPENDENT (feeds an action only)</t>
        </is>
      </c>
      <c r="F298" s="3" t="inlineStr">
        <is>
          <t>Did the personal return produce a number, or a reason it could not?</t>
        </is>
      </c>
      <c r="G298" s="13" t="inlineStr">
        <is>
          <t>(r as money weighted).rate per year ! = undefined</t>
        </is>
      </c>
      <c r="H298" s="3" t="inlineStr">
        <is>
          <t>(r as money weighted).rate per year ! = undefined.</t>
        </is>
      </c>
      <c r="I298" s="3" t="inlineStr">
        <is>
          <t>PARTLY READ — some of the code is still showing through; needs a hand pass</t>
        </is>
      </c>
      <c r="J298" s="3" t="inlineStr">
        <is>
          <t>r: MoneyWeighted | MoneyWeightedMiss</t>
        </is>
      </c>
      <c r="K298" s="3" t="inlineStr">
        <is>
          <t>r is MoneyWeighted</t>
        </is>
      </c>
      <c r="L298" s="3" t="inlineStr">
        <is>
          <t>—</t>
        </is>
      </c>
      <c r="M298" s="3" t="inlineStr">
        <is>
          <t>None found in this function — anything it assumes comes from the functions it depends on.</t>
        </is>
      </c>
      <c r="N298" s="3" t="inlineStr">
        <is>
          <t>No</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PERSONAL_RETURN_ANSWERED</t>
        </is>
      </c>
      <c r="U298" s="3" t="inlineStr">
        <is>
          <t>ACTIVE</t>
        </is>
      </c>
      <c r="V298" s="3" t="inlineStr">
        <is>
          <t>2026-09-25</t>
        </is>
      </c>
      <c r="Y298" s="3" t="inlineStr">
        <is>
          <t>NOTHING OPEN</t>
        </is>
      </c>
    </row>
    <row r="299">
      <c r="A299" s="3" t="inlineStr">
        <is>
          <t>MK-PF-F-028</t>
        </is>
      </c>
      <c r="B299" s="3" t="inlineStr">
        <is>
          <t>realizedFromLedger</t>
        </is>
      </c>
      <c r="C299" s="3" t="inlineStr">
        <is>
          <t>src/domain/performance/realized.ts</t>
        </is>
      </c>
      <c r="D299" s="3" t="n">
        <v>41</v>
      </c>
      <c r="E299" s="3" t="inlineStr">
        <is>
          <t>2 · DISPLAYED</t>
        </is>
      </c>
      <c r="F299" s="3" t="inlineStr">
        <is>
          <t>How much profit have I actually taken?</t>
        </is>
      </c>
      <c r="G299" s="13"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299"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299" s="3" t="inlineStr">
        <is>
          <t>READ BY HAND 2026-08-26 — checked line by line against the code</t>
        </is>
      </c>
      <c r="J299" s="3" t="inlineStr">
        <is>
          <t>Nothing is handed to it</t>
        </is>
      </c>
      <c r="K299" s="3" t="inlineStr">
        <is>
          <t>NOT DECLARED — the code does not say what it gives back</t>
        </is>
      </c>
      <c r="L299" s="3" t="inlineStr">
        <is>
          <t>"Realized from sales" — on the Holding detail screen, under "DIVIDENDS &amp; REALIZED"</t>
        </is>
      </c>
      <c r="M299" s="3" t="inlineStr">
        <is>
          <t>1. If shares is missing it uses 0.
2. Uses today's date from the device clock, so the answer changes by itself overnight.
3. Sales dated in the current calendar year make the this-year total; the device clock decides which year that is.</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MK-NW-M-035</t>
        </is>
      </c>
      <c r="T299" s="3" t="inlineStr">
        <is>
          <t>REALISED_GAIN</t>
        </is>
      </c>
      <c r="U299" s="3" t="inlineStr">
        <is>
          <t>ACTIVE</t>
        </is>
      </c>
      <c r="V299" s="3" t="inlineStr">
        <is>
          <t>2026-09-08</t>
        </is>
      </c>
      <c r="W299"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299"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299" s="6" t="inlineStr">
        <is>
          <t>WAITING ON YOU — answer to read</t>
        </is>
      </c>
    </row>
    <row r="300">
      <c r="A300" s="3" t="inlineStr">
        <is>
          <t>MK-PF-F-029</t>
        </is>
      </c>
      <c r="B300" s="3" t="inlineStr">
        <is>
          <t>closeAsOf</t>
        </is>
      </c>
      <c r="C300" s="3" t="inlineStr">
        <is>
          <t>src/domain/performance/index.ts</t>
        </is>
      </c>
      <c r="D300" s="3" t="n">
        <v>444</v>
      </c>
      <c r="E300" s="3" t="inlineStr">
        <is>
          <t>3 · DEPENDENT</t>
        </is>
      </c>
      <c r="F300" s="3" t="inlineStr">
        <is>
          <t>Close on/just-before a target date (series oldest→newest).</t>
        </is>
      </c>
      <c r="G300" s="13" t="inlineStr">
        <is>
          <t>pts = series.points (or none when missing)
nothing   when count of pts is missing
t = target.get time()
chosen = nothing
the answer = chosen (or pts[0].close when missing)</t>
        </is>
      </c>
      <c r="H300" s="3" t="inlineStr">
        <is>
          <t>Pts is series.points (or none — when missing). When how many pts is missing there are, it answers no answer. T is target.get time(). Chosen is no answer. The answer is chosen (or pts[0].close — when missing).</t>
        </is>
      </c>
      <c r="I300" s="3" t="inlineStr">
        <is>
          <t>PARTLY READ — some of the code is still showing through; needs a hand pass</t>
        </is>
      </c>
      <c r="J300" s="3" t="inlineStr">
        <is>
          <t>1. series: PriceSeries | null | undefined
2. target: Date</t>
        </is>
      </c>
      <c r="K300" s="3" t="inlineStr">
        <is>
          <t>number | null</t>
        </is>
      </c>
      <c r="L300" s="3" t="inlineStr">
        <is>
          <t>—</t>
        </is>
      </c>
      <c r="M300" s="3" t="inlineStr">
        <is>
          <t>None found in this function — anything it assumes comes from the functions it depends on.</t>
        </is>
      </c>
      <c r="N300" s="3" t="inlineStr">
        <is>
          <t>Yes</t>
        </is>
      </c>
      <c r="O300" s="3" t="inlineStr">
        <is>
          <t>—</t>
        </is>
      </c>
      <c r="P300" s="3" t="n">
        <v>0</v>
      </c>
      <c r="Q300" s="3" t="inlineStr">
        <is>
          <t>None — no dependent function stands behind it</t>
        </is>
      </c>
      <c r="R300" s="3" t="inlineStr">
        <is>
          <t>No dependent function — it reads its inputs and answers</t>
        </is>
      </c>
      <c r="S300" s="3" t="inlineStr">
        <is>
          <t>—</t>
        </is>
      </c>
      <c r="T300" s="3" t="inlineStr">
        <is>
          <t>—</t>
        </is>
      </c>
      <c r="U300" s="3" t="inlineStr">
        <is>
          <t>ACTIVE</t>
        </is>
      </c>
      <c r="V300" s="3" t="inlineStr">
        <is>
          <t>2026-08-27</t>
        </is>
      </c>
      <c r="Y300" s="3" t="inlineStr">
        <is>
          <t>NOTHING OPEN</t>
        </is>
      </c>
    </row>
    <row r="301">
      <c r="A301" s="3" t="inlineStr">
        <is>
          <t>MK-PF-F-030</t>
        </is>
      </c>
      <c r="B301" s="3" t="inlineStr">
        <is>
          <t>npv</t>
        </is>
      </c>
      <c r="C301" s="3" t="inlineStr">
        <is>
          <t>src/domain/performance/moneyWeighted.ts</t>
        </is>
      </c>
      <c r="D301" s="3" t="n">
        <v>148</v>
      </c>
      <c r="E301" s="3" t="inlineStr">
        <is>
          <t>3 · DEPENDENT (feeds an action only)</t>
        </is>
      </c>
      <c r="F301" s="3" t="inlineStr">
        <is>
          <t>NOT DETERMINED — the code carries no note saying what this is for, and it has no row in the old inventory. Needs reading.</t>
        </is>
      </c>
      <c r="G301" s="13" t="inlineStr">
        <is>
          <t>disc = (when: number) =&gt; (1 + rate)^(-((when − t0) ÷ DAY) ÷ 365)
v = 0
[LOOP — the answer is found inside a loop the extractor cannot render; the steps above are the ones before it. Read by hand.]</t>
        </is>
      </c>
      <c r="H301" s="3" t="inlineStr">
        <is>
          <t>Disc is (when: number) =&gt; (1 plus rate)^(-((when minus t0) divided by DAY) divided by 365). V is 0. The answer is v plus end value times disc(end date). The answer is found inside a loop that cannot be rendered here; read the code by hand.</t>
        </is>
      </c>
      <c r="I301" s="3" t="inlineStr">
        <is>
          <t>PARTLY READ — the body has a loop the extractor cannot render; the steps shown are the ones before it. Needs a hand pass (G23).</t>
        </is>
      </c>
      <c r="J301" s="3" t="inlineStr">
        <is>
          <t>1. rate: number
2. flows: { date: number; amount: number }[]
3. endValue: number
4. endDate: number
5. t0: number</t>
        </is>
      </c>
      <c r="K301" s="3" t="inlineStr">
        <is>
          <t>number</t>
        </is>
      </c>
      <c r="L301" s="3" t="inlineStr">
        <is>
          <t>—</t>
        </is>
      </c>
      <c r="M301" s="3" t="inlineStr">
        <is>
          <t>· Treats a year as 365 days.</t>
        </is>
      </c>
      <c r="N301" s="3" t="inlineStr">
        <is>
          <t>No</t>
        </is>
      </c>
      <c r="O301" s="3" t="inlineStr">
        <is>
          <t>—</t>
        </is>
      </c>
      <c r="P301" s="3" t="n">
        <v>0</v>
      </c>
      <c r="Q301" s="3" t="inlineStr">
        <is>
          <t>None — no dependent function stands behind it</t>
        </is>
      </c>
      <c r="R301" s="3" t="inlineStr">
        <is>
          <t>No dependent function — it reads its inputs and answers</t>
        </is>
      </c>
      <c r="S301" s="3" t="inlineStr">
        <is>
          <t>—</t>
        </is>
      </c>
      <c r="T301" s="3" t="inlineStr">
        <is>
          <t>—</t>
        </is>
      </c>
      <c r="U301" s="3" t="inlineStr">
        <is>
          <t>ACTIVE</t>
        </is>
      </c>
      <c r="V301" s="3" t="inlineStr">
        <is>
          <t>2026-09-25</t>
        </is>
      </c>
      <c r="Y301" s="3" t="inlineStr">
        <is>
          <t>NOTHING OPEN</t>
        </is>
      </c>
    </row>
    <row r="302">
      <c r="A302" s="3" t="inlineStr">
        <is>
          <t>MK-PF-F-031</t>
        </is>
      </c>
      <c r="B302" s="3" t="inlineStr">
        <is>
          <t>contractMultiplier</t>
        </is>
      </c>
      <c r="C302" s="3" t="inlineStr">
        <is>
          <t>src/domain/performance/index.ts</t>
        </is>
      </c>
      <c r="D302" s="3" t="n">
        <v>67</v>
      </c>
      <c r="E302" s="3" t="inlineStr">
        <is>
          <t>3 · DEPENDENT</t>
        </is>
      </c>
      <c r="F302" s="3" t="inlineStr">
        <is>
          <t>NOT DETERMINED — the code carries no note saying what this is for, and it has no row in the old inventory. Needs reading.</t>
        </is>
      </c>
      <c r="G302" s="13" t="inlineStr">
        <is>
          <t>multiplier   when multiplier ≠ nothing and multiplier &gt; 0
OPTION_CONTRACT_MULTIPLIER   if kind = 'options'
1   otherwise</t>
        </is>
      </c>
      <c r="H302" s="3" t="inlineStr">
        <is>
          <t>When multiplier is not no answer and multiplier &gt; 0, it answers multiplier. OPTION_CONTRACT_MULTIPLIER — when kind = 'options'; 1 — otherwise.</t>
        </is>
      </c>
      <c r="I302" s="3" t="inlineStr">
        <is>
          <t>READ FROM THE CODE — rendered from the expressions the function runs</t>
        </is>
      </c>
      <c r="J302" s="3" t="inlineStr">
        <is>
          <t>p: Pick&lt;Position, 'kind' | 'multiplier'&gt;</t>
        </is>
      </c>
      <c r="K302" s="3" t="inlineStr">
        <is>
          <t>number</t>
        </is>
      </c>
      <c r="L302" s="3" t="inlineStr">
        <is>
          <t>—</t>
        </is>
      </c>
      <c r="M302" s="3" t="inlineStr">
        <is>
          <t>None found in this function — anything it assumes comes from the functions it depends on.</t>
        </is>
      </c>
      <c r="N302" s="3" t="inlineStr">
        <is>
          <t>Yes</t>
        </is>
      </c>
      <c r="O302" s="3" t="inlineStr">
        <is>
          <t>—</t>
        </is>
      </c>
      <c r="P302" s="3" t="n">
        <v>0</v>
      </c>
      <c r="Q302" s="3" t="inlineStr">
        <is>
          <t>None — no dependent function stands behind it</t>
        </is>
      </c>
      <c r="R302" s="3" t="inlineStr">
        <is>
          <t>No dependent function — it reads its inputs and answers</t>
        </is>
      </c>
      <c r="S302" s="3" t="inlineStr">
        <is>
          <t>—</t>
        </is>
      </c>
      <c r="T302" s="3" t="inlineStr">
        <is>
          <t>—</t>
        </is>
      </c>
      <c r="U302" s="3" t="inlineStr">
        <is>
          <t>ACTIVE</t>
        </is>
      </c>
      <c r="V302" s="3" t="inlineStr">
        <is>
          <t>2026-09-11</t>
        </is>
      </c>
      <c r="Y302" s="6" t="inlineStr">
        <is>
          <t>TESTED, NOT VERIFIED (Q06)</t>
        </is>
      </c>
    </row>
    <row r="303">
      <c r="A303" s="3" t="inlineStr">
        <is>
          <t>MK-PF-F-032</t>
        </is>
      </c>
      <c r="B303" s="3" t="inlineStr">
        <is>
          <t>quantityUnit</t>
        </is>
      </c>
      <c r="C303" s="3" t="inlineStr">
        <is>
          <t>src/domain/performance/index.ts</t>
        </is>
      </c>
      <c r="D303" s="3" t="n">
        <v>101</v>
      </c>
      <c r="E303" s="3" t="inlineStr">
        <is>
          <t>3 · DEPENDENT</t>
        </is>
      </c>
      <c r="F303" s="3" t="inlineStr">
        <is>
          <t>Q09 (founder, 2026-08-26): the unit beside a quantity — the person's when entered, else the one the kind implies: coins for crypto, contracts for options, ounces for gold and commodities, shares for everything else.</t>
        </is>
      </c>
      <c r="G303" s="13" t="inlineStr">
        <is>
          <t>unit   when unit
'coins'   when kind = 'crypto'
'contracts'   when kind = 'options'
'ounces'   when kind = 'commodities'
'shares'</t>
        </is>
      </c>
      <c r="H303" s="3" t="inlineStr">
        <is>
          <t>When unit, it answers unit. When kind = 'crypto', it answers 'coins'. When kind = 'options', it answers 'contracts'. When kind = 'commodities', it answers 'ounces'. 'shares'.</t>
        </is>
      </c>
      <c r="I303" s="3" t="inlineStr">
        <is>
          <t>READ FROM THE CODE — rendered from the expressions the function runs</t>
        </is>
      </c>
      <c r="J303" s="3" t="inlineStr">
        <is>
          <t>p: Pick&lt;Position, 'kind' | 'unit'&gt;</t>
        </is>
      </c>
      <c r="K303" s="3" t="inlineStr">
        <is>
          <t>QuantityUnit</t>
        </is>
      </c>
      <c r="L303" s="3" t="inlineStr">
        <is>
          <t>—</t>
        </is>
      </c>
      <c r="M303" s="3" t="inlineStr">
        <is>
          <t>None found in this function — anything it assumes comes from the functions it depends on.</t>
        </is>
      </c>
      <c r="N303" s="3" t="inlineStr">
        <is>
          <t>Yes</t>
        </is>
      </c>
      <c r="O303" s="3" t="inlineStr">
        <is>
          <t>—</t>
        </is>
      </c>
      <c r="P303" s="3" t="n">
        <v>0</v>
      </c>
      <c r="Q303" s="3" t="inlineStr">
        <is>
          <t>None — no dependent function stands behind it</t>
        </is>
      </c>
      <c r="R303" s="3" t="inlineStr">
        <is>
          <t>No dependent function — it reads its inputs and answers</t>
        </is>
      </c>
      <c r="S303" s="3" t="inlineStr">
        <is>
          <t>—</t>
        </is>
      </c>
      <c r="T303" s="3" t="inlineStr">
        <is>
          <t>—</t>
        </is>
      </c>
      <c r="U303" s="3" t="inlineStr">
        <is>
          <t>ACTIVE</t>
        </is>
      </c>
      <c r="V303" s="3" t="inlineStr">
        <is>
          <t>2026-09-11</t>
        </is>
      </c>
      <c r="Y303" s="6" t="inlineStr">
        <is>
          <t>TESTED, NOT VERIFIED (Q09)</t>
        </is>
      </c>
    </row>
    <row r="304">
      <c r="A304" s="3" t="inlineStr">
        <is>
          <t>MK-PF-F-033</t>
        </is>
      </c>
      <c r="B304" s="3" t="inlineStr">
        <is>
          <t>quantityWithUnit</t>
        </is>
      </c>
      <c r="C304" s="3" t="inlineStr">
        <is>
          <t>src/domain/performance/index.ts</t>
        </is>
      </c>
      <c r="D304" s="3" t="n">
        <v>129</v>
      </c>
      <c r="E304" s="3" t="inlineStr">
        <is>
          <t>2 · DISPLAYED</t>
        </is>
      </c>
      <c r="F304" s="3" t="inlineStr">
        <is>
          <t>"3 shares", "1 coin", "2 contracts" — the quantity printed with its unit, singular when it is one.</t>
        </is>
      </c>
      <c r="G304" s="13" t="inlineStr">
        <is>
          <t>unit = quantity unit(p)
the answer = `${format(qty)} ${qty = 1 ? unit.replace( ÷ s$ ÷ , '') : unit}`</t>
        </is>
      </c>
      <c r="H304" s="3" t="inlineStr">
        <is>
          <t>Unit is quantity unit(p). The answer is `${format(qty)} ${qty = 1 ? unit.replace( divided by s$ divided by , '') : unit}`.</t>
        </is>
      </c>
      <c r="I304" s="3" t="inlineStr">
        <is>
          <t>PARTLY READ — some of the code is still showing through; needs a hand pass</t>
        </is>
      </c>
      <c r="J304" s="3" t="inlineStr">
        <is>
          <t>1. p: Pick&lt;Position, 'kind' | 'unit'&gt;
2. qty: number
3. format: (n: number) =&gt; string = String</t>
        </is>
      </c>
      <c r="K304" s="3" t="inlineStr">
        <is>
          <t>string</t>
        </is>
      </c>
      <c r="L304" s="3" t="inlineStr">
        <is>
          <t>"Quantity" — on the Holding detail screen, under "CURRENT PRICE$"</t>
        </is>
      </c>
      <c r="M304" s="3" t="inlineStr">
        <is>
          <t>None found in this function — anything it assumes comes from the functions it depends on.</t>
        </is>
      </c>
      <c r="N304" s="3" t="inlineStr">
        <is>
          <t>Yes</t>
        </is>
      </c>
      <c r="O304" s="3" t="inlineStr">
        <is>
          <t>MK-PF-F-032 quantityUnit</t>
        </is>
      </c>
      <c r="P304" s="3" t="n">
        <v>1</v>
      </c>
      <c r="Q304" s="3" t="inlineStr">
        <is>
          <t>MK-PF-F-032 quantityUnit</t>
        </is>
      </c>
      <c r="R304" s="3" t="inlineStr">
        <is>
          <t>MK-PF-F-032 quantityUnit → MK-PF-F-033 quantityWithUnit</t>
        </is>
      </c>
      <c r="S304" s="3" t="inlineStr">
        <is>
          <t>—</t>
        </is>
      </c>
      <c r="T304" s="3" t="inlineStr">
        <is>
          <t>—</t>
        </is>
      </c>
      <c r="U304" s="3" t="inlineStr">
        <is>
          <t>ACTIVE</t>
        </is>
      </c>
      <c r="V304" s="3" t="inlineStr">
        <is>
          <t>2026-09-11</t>
        </is>
      </c>
      <c r="Y304" s="6" t="inlineStr">
        <is>
          <t>TESTED, NOT VERIFIED (Q09)</t>
        </is>
      </c>
    </row>
    <row r="305">
      <c r="A305" s="3" t="inlineStr">
        <is>
          <t>MK-PF-F-034</t>
        </is>
      </c>
      <c r="B305" s="3" t="inlineStr">
        <is>
          <t>closeOnOrBefore</t>
        </is>
      </c>
      <c r="C305" s="3" t="inlineStr">
        <is>
          <t>src/domain/performance/index.ts</t>
        </is>
      </c>
      <c r="D305" s="3" t="n">
        <v>489</v>
      </c>
      <c r="E305" s="3" t="inlineStr">
        <is>
          <t>3 · DEPENDENT</t>
        </is>
      </c>
      <c r="F305" s="3" t="inlineStr">
        <is>
          <t>The close ON OR BEFORE a day, with NO fallback.</t>
        </is>
      </c>
      <c r="G305" s="13" t="inlineStr">
        <is>
          <t>pts = series.points (or none when missing)
nothing   when count of pts is missing (or ! ÷ ^\d{4}-\d{2}-\d{2}$ ÷ .test(iso date) when missing or zero)
chosen = nothing
the answer = chosen</t>
        </is>
      </c>
      <c r="H305" s="3" t="inlineStr">
        <is>
          <t>Pts is series.points (or none — when missing). When how many pts is missing (or ! divided by ^\d{4}-\d{2}-\d{2}$ divided by .test(iso date) — when missing or zero) there are, it answers no answer. Chosen is no answer. The answer is chosen.</t>
        </is>
      </c>
      <c r="I305" s="3" t="inlineStr">
        <is>
          <t>PARTLY READ — some of the code is still showing through; needs a hand pass</t>
        </is>
      </c>
      <c r="J305" s="3" t="inlineStr">
        <is>
          <t>1. series: PriceSeries | null | undefined
2. isoDate: string</t>
        </is>
      </c>
      <c r="K305" s="3" t="inlineStr">
        <is>
          <t>number | null</t>
        </is>
      </c>
      <c r="L305" s="3" t="inlineStr">
        <is>
          <t>—</t>
        </is>
      </c>
      <c r="M305" s="3" t="inlineStr">
        <is>
          <t>None found in this function — anything it assumes comes from the functions it depends on.</t>
        </is>
      </c>
      <c r="N305" s="3" t="inlineStr">
        <is>
          <t>Yes</t>
        </is>
      </c>
      <c r="O305" s="3" t="inlineStr">
        <is>
          <t>—</t>
        </is>
      </c>
      <c r="P305" s="3" t="n">
        <v>0</v>
      </c>
      <c r="Q305" s="3" t="inlineStr">
        <is>
          <t>None — no dependent function stands behind it</t>
        </is>
      </c>
      <c r="R305" s="3" t="inlineStr">
        <is>
          <t>No dependent function — it reads its inputs and answers</t>
        </is>
      </c>
      <c r="S305" s="3" t="inlineStr">
        <is>
          <t>—</t>
        </is>
      </c>
      <c r="T305" s="3" t="inlineStr">
        <is>
          <t>—</t>
        </is>
      </c>
      <c r="U305" s="3" t="inlineStr">
        <is>
          <t>ACTIVE</t>
        </is>
      </c>
      <c r="V305" s="3" t="inlineStr">
        <is>
          <t>2026-09-25</t>
        </is>
      </c>
      <c r="Y305" s="3" t="inlineStr">
        <is>
          <t>NOTHING OPEN</t>
        </is>
      </c>
    </row>
    <row r="306">
      <c r="A306" s="3" t="inlineStr">
        <is>
          <t>MK-PL-F-001</t>
        </is>
      </c>
      <c r="B306" s="3" t="inlineStr">
        <is>
          <t>taxBucketSplit</t>
        </is>
      </c>
      <c r="C306" s="3" t="inlineStr">
        <is>
          <t>src/domain/decumulation/index.ts</t>
        </is>
      </c>
      <c r="D306" s="3" t="n">
        <v>38</v>
      </c>
      <c r="E306" s="3" t="inlineStr">
        <is>
          <t>2 · DISPLAYED</t>
        </is>
      </c>
      <c r="F306" s="3" t="inlineStr">
        <is>
          <t>How is the retirement money split by the tax that will be owed on it?</t>
        </is>
      </c>
      <c r="G306" s="13" t="inlineStr">
        <is>
          <t>s = taxable = 0
pre tax = 0
roth = 0
cash = 0
total = 0
v = earmarked amount(a)
the answer = s</t>
        </is>
      </c>
      <c r="H306" s="3" t="inlineStr">
        <is>
          <t>S is taxable = 0; pre tax = 0; roth = 0; cash = 0; total = 0. V is earmarked amount(a). The answer is s.</t>
        </is>
      </c>
      <c r="I306" s="3" t="inlineStr">
        <is>
          <t>READ FROM THE CODE — rendered from the expressions the function runs</t>
        </is>
      </c>
      <c r="J306" s="3" t="inlineStr">
        <is>
          <t>accounts: AssetAccount[]</t>
        </is>
      </c>
      <c r="K306" s="3" t="inlineStr">
        <is>
          <t>BucketSplit</t>
        </is>
      </c>
      <c r="L3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06" s="3" t="inlineStr">
        <is>
          <t>None found in this function — anything it assumes comes from the functions it depends on.</t>
        </is>
      </c>
      <c r="N306" s="3" t="inlineStr">
        <is>
          <t>Yes</t>
        </is>
      </c>
      <c r="O306" s="3" t="inlineStr">
        <is>
          <t>MK-NW-F-032 earmarkedAmount</t>
        </is>
      </c>
      <c r="P306" s="3" t="n">
        <v>14</v>
      </c>
      <c r="Q306"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06"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06" s="3" t="inlineStr">
        <is>
          <t>—</t>
        </is>
      </c>
      <c r="T306" s="3" t="inlineStr">
        <is>
          <t>SPLIT_BY_HOW_IT_IS_TAXED</t>
        </is>
      </c>
      <c r="U306" s="3" t="inlineStr">
        <is>
          <t>ACTIVE</t>
        </is>
      </c>
      <c r="V306" s="3" t="inlineStr">
        <is>
          <t>2026-08-27</t>
        </is>
      </c>
      <c r="Y306" s="3" t="inlineStr">
        <is>
          <t>NOTHING OPEN</t>
        </is>
      </c>
    </row>
    <row r="307">
      <c r="A307" s="3" t="inlineStr">
        <is>
          <t>MK-PL-F-002</t>
        </is>
      </c>
      <c r="B307" s="3" t="inlineStr">
        <is>
          <t>withdrawalPlan</t>
        </is>
      </c>
      <c r="C307" s="3" t="inlineStr">
        <is>
          <t>src/domain/decumulation/index.ts</t>
        </is>
      </c>
      <c r="D307" s="3" t="n">
        <v>84</v>
      </c>
      <c r="E307" s="3" t="inlineStr">
        <is>
          <t>2 · DISPLAYED</t>
        </is>
      </c>
      <c r="F307" s="3" t="inlineStr">
        <is>
          <t>NOT DETERMINED — the code carries no note saying what this is for, and it has no row in the old inventory. Needs reading.</t>
        </is>
      </c>
      <c r="G307" s="13"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07" s="3" t="inlineStr">
        <is>
          <t>READ FROM THE CODE — rendered from the expressions the function runs</t>
        </is>
      </c>
      <c r="J307" s="3" t="inlineStr">
        <is>
          <t>1. spendMonthly: number
2. guaranteedMonthly: number
3. nestEgg: number</t>
        </is>
      </c>
      <c r="K307" s="3" t="inlineStr">
        <is>
          <t>WithdrawalPlan</t>
        </is>
      </c>
      <c r="L307" s="3" t="inlineStr">
        <is>
          <t>1. "From your portfolio" — on the Retirement cockpit screen
2. "WILL YOUR MONEY LAST?" — on the Retirement cockpit screen, under "RETIREMENT
3. WHERE YOU STAND"
4. "You plan to spend" — on the Retirement cockpit screen</t>
        </is>
      </c>
      <c r="M307" s="3" t="inlineStr">
        <is>
          <t>· Turns a monthly figure into a year by multiplying by twelve.</t>
        </is>
      </c>
      <c r="N307" s="3" t="inlineStr">
        <is>
          <t>Yes</t>
        </is>
      </c>
      <c r="O307" s="3" t="inlineStr">
        <is>
          <t>—</t>
        </is>
      </c>
      <c r="P307" s="3" t="n">
        <v>0</v>
      </c>
      <c r="Q307" s="3" t="inlineStr">
        <is>
          <t>None — no dependent function stands behind it</t>
        </is>
      </c>
      <c r="R307" s="3" t="inlineStr">
        <is>
          <t>No dependent function — it reads its inputs and answers</t>
        </is>
      </c>
      <c r="S307" s="3" t="inlineStr">
        <is>
          <t>—</t>
        </is>
      </c>
      <c r="T307" s="3" t="inlineStr">
        <is>
          <t>—</t>
        </is>
      </c>
      <c r="U307" s="3" t="inlineStr">
        <is>
          <t>ACTIVE</t>
        </is>
      </c>
      <c r="V307" s="3" t="inlineStr">
        <is>
          <t>2026-09-09</t>
        </is>
      </c>
      <c r="Y307" s="3" t="inlineStr">
        <is>
          <t>NOTHING OPEN</t>
        </is>
      </c>
    </row>
    <row r="308">
      <c r="A308" s="3" t="inlineStr">
        <is>
          <t>MK-PL-F-003</t>
        </is>
      </c>
      <c r="B308" s="3" t="inlineStr">
        <is>
          <t>depletionAge</t>
        </is>
      </c>
      <c r="C308" s="3" t="inlineStr">
        <is>
          <t>src/domain/decumulation/index.ts</t>
        </is>
      </c>
      <c r="D308" s="3" t="n">
        <v>127</v>
      </c>
      <c r="E308" s="3" t="inlineStr">
        <is>
          <t>2 · DISPLAYED</t>
        </is>
      </c>
      <c r="F308" s="3" t="inlineStr">
        <is>
          <t>---- deterministic depletion ---- Age the portfolio runs out (deterministic), or null if it lasts to the horizon.</t>
        </is>
      </c>
      <c r="G308" s="13" t="inlineStr">
        <is>
          <t>bal = nest egg
net = net withdrawal now
rmd on = (pre tax share ?? 0) &gt; 0
pre tax bal = bal × min(1, max(0, pre tax share!))   if rmd on
0   otherwise
rate = min(0.6, max(0, rmd tax rate (or 0.22 when missing)))
growth = 1 + return rate
a + 1   when bal ≤ 0
the answer = nothing</t>
        </is>
      </c>
      <c r="H3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08" s="3" t="inlineStr">
        <is>
          <t>PARTLY READ — some of the code is still showing through; needs a hand pass</t>
        </is>
      </c>
      <c r="J308" s="3" t="inlineStr">
        <is>
          <t>o: { age: number; horizon: number; nestEgg: number; netWithdrawalNow: number; returnRate: number; inflation: number; preTaxShare?: number; rmdTaxRate?: number }</t>
        </is>
      </c>
      <c r="K308" s="3" t="inlineStr">
        <is>
          <t>number | null</t>
        </is>
      </c>
      <c r="L308" s="3" t="inlineStr">
        <is>
          <t>NOT FOUND — a screen calls it, but the words printed beside its answer could not be traced automatically. Needs reading.</t>
        </is>
      </c>
      <c r="M308" s="3" t="inlineStr">
        <is>
          <t>1. If pre tax share is missing it uses 0.
2. If required withdrawal tax rate is missing it uses 22%.</t>
        </is>
      </c>
      <c r="N308" s="3" t="inlineStr">
        <is>
          <t>Yes</t>
        </is>
      </c>
      <c r="O308" s="3" t="inlineStr">
        <is>
          <t>1. MK-PL-F-007 rmdAtAge
2. MK-PL-F-005 rmdStartAgeFor</t>
        </is>
      </c>
      <c r="P308" s="3" t="n">
        <v>6</v>
      </c>
      <c r="Q308" s="3" t="inlineStr">
        <is>
          <t>1. MK-PL-F-007 rmdAtAge
2. MK-PL-F-005 rmdStartAgeFor
3. MK-PL-F-078 rmdDivisorAtAge
4. MK-ST-F-025 rmdStartAgeFromAge
5. MK-ST-F-024 rmdStartAge
6. MK-ST-F-056 has</t>
        </is>
      </c>
      <c r="R308" s="3" t="inlineStr">
        <is>
          <t>1. MK-PL-F-078 rmdDivisorAtAge → MK-PL-F-007 rmdAtAge → MK-PL-F-003 depletionAge
2. MK-ST-F-056 has → MK-ST-F-024 rmdStartAge → MK-ST-F-025 rmdStartAgeFromAge → MK-PL-F-005 rmdStartAgeFor → MK-PL-F-003 depletionAge</t>
        </is>
      </c>
      <c r="S308" s="3" t="inlineStr">
        <is>
          <t>—</t>
        </is>
      </c>
      <c r="T308" s="3" t="inlineStr">
        <is>
          <t>—</t>
        </is>
      </c>
      <c r="U308" s="3" t="inlineStr">
        <is>
          <t>ACTIVE</t>
        </is>
      </c>
      <c r="V308" s="3" t="inlineStr">
        <is>
          <t>2026-08-27</t>
        </is>
      </c>
      <c r="Y308" s="3" t="inlineStr">
        <is>
          <t>NOTHING OPEN</t>
        </is>
      </c>
    </row>
    <row r="309">
      <c r="A309" s="3" t="inlineStr">
        <is>
          <t>MK-PL-F-004</t>
        </is>
      </c>
      <c r="B309" s="3" t="inlineStr">
        <is>
          <t>withdrawalOrder</t>
        </is>
      </c>
      <c r="C309" s="3" t="inlineStr">
        <is>
          <t>src/domain/decumulation/index.ts</t>
        </is>
      </c>
      <c r="D309" s="3" t="n">
        <v>178</v>
      </c>
      <c r="E309" s="3" t="inlineStr">
        <is>
          <t>2 · DISPLAYED</t>
        </is>
      </c>
      <c r="F309" s="3" t="inlineStr">
        <is>
          <t>NOT DETERMINED — the code carries no note saying what this is for, and it has no row in the old inventory. Needs reading.</t>
        </is>
      </c>
      <c r="G309" s="13" t="inlineStr">
        <is>
          <t>steps = seq where split[bucket] &gt; 0for each of : ...each = ...each
amount = split[bucket]
pre = steps.find((s) =&gt; bucket = 'preTax')
the answer = steps</t>
        </is>
      </c>
      <c r="H309" s="3" t="inlineStr">
        <is>
          <t>Steps is seq where split[bucket] &gt; 0for each of : ...each = ...each; amount = split[bucket]. Pre is steps.find((s) =&gt; bucket = 'preTax'). The answer is steps.</t>
        </is>
      </c>
      <c r="I309" s="3" t="inlineStr">
        <is>
          <t>PARTLY READ — some of the code is still showing through; needs a hand pass</t>
        </is>
      </c>
      <c r="J309" s="3" t="inlineStr">
        <is>
          <t>1. split: BucketSplit
2. age = 0
3. userOrder?: DrawBucket[] | null</t>
        </is>
      </c>
      <c r="K309" s="3" t="inlineStr">
        <is>
          <t>OrderStep[]</t>
        </is>
      </c>
      <c r="L309" s="3" t="inlineStr">
        <is>
          <t>1. "Why this order?" — on the Cash flow screen
2. "Why? ›" — on the Cash flow screen, under "BIG-TICKET RADAR"</t>
        </is>
      </c>
      <c r="M309" s="3" t="inlineStr">
        <is>
          <t>None found in this function — anything it assumes comes from the functions it depends on.</t>
        </is>
      </c>
      <c r="N309" s="3" t="inlineStr">
        <is>
          <t>Yes</t>
        </is>
      </c>
      <c r="O309" s="3" t="inlineStr">
        <is>
          <t>1. MK-CF-F-132 map
2. MK-ST-F-039 on
3. MK-PL-F-007 rmdAtAge
4. MK-PL-F-005 rmdStartAgeFor</t>
        </is>
      </c>
      <c r="P309" s="3" t="n">
        <v>8</v>
      </c>
      <c r="Q309" s="3" t="inlineStr">
        <is>
          <t>1. MK-CF-F-132 map
2. MK-ST-F-039 on
3. MK-PL-F-007 rmdAtAge
4. MK-PL-F-005 rmdStartAgeFor
5. MK-PL-F-078 rmdDivisorAtAge
6. MK-ST-F-025 rmdStartAgeFromAge
7. MK-ST-F-024 rmdStartAge
8. MK-ST-F-056 has</t>
        </is>
      </c>
      <c r="R3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09" s="3" t="inlineStr">
        <is>
          <t>—</t>
        </is>
      </c>
      <c r="T309" s="3" t="inlineStr">
        <is>
          <t>—</t>
        </is>
      </c>
      <c r="U309" s="3" t="inlineStr">
        <is>
          <t>ACTIVE</t>
        </is>
      </c>
      <c r="V309" s="3" t="inlineStr">
        <is>
          <t>2026-08-27</t>
        </is>
      </c>
      <c r="Y309" s="3" t="inlineStr">
        <is>
          <t>NOTHING OPEN</t>
        </is>
      </c>
    </row>
    <row r="310">
      <c r="A310" s="3" t="inlineStr">
        <is>
          <t>MK-PL-F-005</t>
        </is>
      </c>
      <c r="B310" s="3" t="inlineStr">
        <is>
          <t>rmdStartAgeFor</t>
        </is>
      </c>
      <c r="C310" s="3" t="inlineStr">
        <is>
          <t>src/domain/decumulation/index.ts</t>
        </is>
      </c>
      <c r="D310" s="3" t="n">
        <v>232</v>
      </c>
      <c r="E310" s="3" t="inlineStr">
        <is>
          <t>2 · DISPLAYED</t>
        </is>
      </c>
      <c r="F310" s="3" t="inlineStr">
        <is>
          <t>---- Required Minimum Distributions ---- B4 (founder brief 2026-08-20): the rule lives in ONE dated, sourced table — the Calculation Module's rmd function.</t>
        </is>
      </c>
      <c r="G310" s="13" t="inlineStr">
        <is>
          <t>73   if age = nothing
rmd start age from age(age, now year)   otherwise</t>
        </is>
      </c>
      <c r="H310" s="3" t="inlineStr">
        <is>
          <t>73 — when age is missing; rmd start age from age(age, now year) — otherwise.</t>
        </is>
      </c>
      <c r="I310" s="3" t="inlineStr">
        <is>
          <t>READ FROM THE CODE — rendered from the expressions the function runs</t>
        </is>
      </c>
      <c r="J310" s="3" t="inlineStr">
        <is>
          <t>1. age?: number | null
2. nowYear = new Date().getFullYear()</t>
        </is>
      </c>
      <c r="K310" s="3" t="inlineStr">
        <is>
          <t>number</t>
        </is>
      </c>
      <c r="L3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10" s="3" t="inlineStr">
        <is>
          <t>· Uses today's date from the device clock, so the answer changes by itself overnight.</t>
        </is>
      </c>
      <c r="N310" s="3" t="inlineStr">
        <is>
          <t>Yes</t>
        </is>
      </c>
      <c r="O310" s="3" t="inlineStr">
        <is>
          <t>MK-ST-F-025 rmdStartAgeFromAge</t>
        </is>
      </c>
      <c r="P310" s="3" t="n">
        <v>3</v>
      </c>
      <c r="Q310" s="3" t="inlineStr">
        <is>
          <t>1. MK-ST-F-025 rmdStartAgeFromAge
2. MK-ST-F-024 rmdStartAge
3. MK-ST-F-056 has</t>
        </is>
      </c>
      <c r="R310" s="3" t="inlineStr">
        <is>
          <t>MK-ST-F-056 has → MK-ST-F-024 rmdStartAge → MK-ST-F-025 rmdStartAgeFromAge → MK-PL-F-005 rmdStartAgeFor</t>
        </is>
      </c>
      <c r="S310" s="3" t="inlineStr">
        <is>
          <t>—</t>
        </is>
      </c>
      <c r="T310" s="3" t="inlineStr">
        <is>
          <t>—</t>
        </is>
      </c>
      <c r="U310" s="3" t="inlineStr">
        <is>
          <t>ACTIVE</t>
        </is>
      </c>
      <c r="V310" s="3" t="inlineStr">
        <is>
          <t>2026-08-27</t>
        </is>
      </c>
      <c r="Y310" s="3" t="inlineStr">
        <is>
          <t>NOTHING OPEN</t>
        </is>
      </c>
    </row>
    <row r="311">
      <c r="A311" s="3" t="inlineStr">
        <is>
          <t>MK-PL-F-006</t>
        </is>
      </c>
      <c r="B311" s="3" t="inlineStr">
        <is>
          <t>rmdDivisor</t>
        </is>
      </c>
      <c r="C311" s="3" t="inlineStr">
        <is>
          <t>Calculation Module code/engines/rmd.ts</t>
        </is>
      </c>
      <c r="D311" s="3" t="n">
        <v>133</v>
      </c>
      <c r="E311" s="3" t="inlineStr">
        <is>
          <t>3 · DEPENDENT (feeds an action only)</t>
        </is>
      </c>
      <c r="F311" s="3" t="inlineStr">
        <is>
          <t>Divisor at an age, 0 before that person's start age.</t>
        </is>
      </c>
      <c r="G311" s="13" t="inlineStr">
        <is>
          <t>divisor(age) = 0                        when age is below the start age
               the table value at age   when the table lists that age
               straight-line between the two nearest listed ages   otherwise</t>
        </is>
      </c>
      <c r="H3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11" s="3" t="inlineStr">
        <is>
          <t>READ BY HAND 2026-08-26 — checked line by line against the code</t>
        </is>
      </c>
      <c r="J311" s="3" t="inlineStr">
        <is>
          <t>1. age: number
2. birthYear?: number | null</t>
        </is>
      </c>
      <c r="K311" s="3" t="inlineStr">
        <is>
          <t>number</t>
        </is>
      </c>
      <c r="L311" s="3" t="inlineStr">
        <is>
          <t>—</t>
        </is>
      </c>
      <c r="M311" s="3" t="inlineStr">
        <is>
          <t>None found in this function — anything it assumes comes from the functions it depends on.</t>
        </is>
      </c>
      <c r="N311" s="3" t="inlineStr">
        <is>
          <t>No</t>
        </is>
      </c>
      <c r="O311" s="3" t="inlineStr">
        <is>
          <t>MK-ST-F-024 rmdStartAge</t>
        </is>
      </c>
      <c r="P311" s="3" t="n">
        <v>2</v>
      </c>
      <c r="Q311" s="3" t="inlineStr">
        <is>
          <t>1. MK-ST-F-024 rmdStartAge
2. MK-ST-F-056 has</t>
        </is>
      </c>
      <c r="R311" s="3" t="inlineStr">
        <is>
          <t>MK-ST-F-056 has → MK-ST-F-024 rmdStartAge → MK-PL-F-006 rmdDivisor</t>
        </is>
      </c>
      <c r="S311" s="3" t="inlineStr">
        <is>
          <t>—</t>
        </is>
      </c>
      <c r="T311" s="3" t="inlineStr">
        <is>
          <t>—</t>
        </is>
      </c>
      <c r="U311" s="3" t="inlineStr">
        <is>
          <t>ACTIVE</t>
        </is>
      </c>
      <c r="V311" s="3" t="inlineStr">
        <is>
          <t>2026-08-27</t>
        </is>
      </c>
      <c r="Y311" s="3" t="inlineStr">
        <is>
          <t>NOTHING OPEN</t>
        </is>
      </c>
    </row>
    <row r="312">
      <c r="A312" s="3" t="inlineStr">
        <is>
          <t>MK-PL-F-007</t>
        </is>
      </c>
      <c r="B312" s="3" t="inlineStr">
        <is>
          <t>rmdAtAge</t>
        </is>
      </c>
      <c r="C312" s="3" t="inlineStr">
        <is>
          <t>src/domain/decumulation/index.ts</t>
        </is>
      </c>
      <c r="D312" s="3" t="n">
        <v>289</v>
      </c>
      <c r="E312" s="3" t="inlineStr">
        <is>
          <t>2 · DISPLAYED</t>
        </is>
      </c>
      <c r="F312" s="3" t="inlineStr">
        <is>
          <t>Required minimum distribution from pre-tax balances at a given age (0 before the start age).</t>
        </is>
      </c>
      <c r="G312" s="13" t="inlineStr">
        <is>
          <t>required withdrawal = round(pre-tax balance ÷ divisor(age), 2 dp)
                    = 0   when the divisor is 0</t>
        </is>
      </c>
      <c r="H3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12" s="3" t="inlineStr">
        <is>
          <t>READ BY HAND 2026-08-26 — checked line by line against the code</t>
        </is>
      </c>
      <c r="J312" s="3" t="inlineStr">
        <is>
          <t>1. preTaxBalance: number
2. age: number</t>
        </is>
      </c>
      <c r="K312" s="3" t="inlineStr">
        <is>
          <t>number</t>
        </is>
      </c>
      <c r="L3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12" s="3" t="inlineStr">
        <is>
          <t>Yes</t>
        </is>
      </c>
      <c r="O312" s="3" t="inlineStr">
        <is>
          <t>MK-PL-F-078 rmdDivisorAtAge</t>
        </is>
      </c>
      <c r="P312" s="3" t="n">
        <v>1</v>
      </c>
      <c r="Q312" s="3" t="inlineStr">
        <is>
          <t>MK-PL-F-078 rmdDivisorAtAge</t>
        </is>
      </c>
      <c r="R312" s="3" t="inlineStr">
        <is>
          <t>MK-PL-F-078 rmdDivisorAtAge → MK-PL-F-007 rmdAtAge</t>
        </is>
      </c>
      <c r="S312" s="3" t="inlineStr">
        <is>
          <t>—</t>
        </is>
      </c>
      <c r="T312" s="3" t="inlineStr">
        <is>
          <t>—</t>
        </is>
      </c>
      <c r="U312" s="3" t="inlineStr">
        <is>
          <t>ACTIVE</t>
        </is>
      </c>
      <c r="V312" s="3" t="inlineStr">
        <is>
          <t>2026-08-27</t>
        </is>
      </c>
      <c r="Y312" s="3" t="inlineStr">
        <is>
          <t>NOTHING OPEN</t>
        </is>
      </c>
    </row>
    <row r="313">
      <c r="A313" s="3" t="inlineStr">
        <is>
          <t>MK-PL-F-008</t>
        </is>
      </c>
      <c r="B313" s="3" t="inlineStr">
        <is>
          <t>rmdSchedule</t>
        </is>
      </c>
      <c r="C313" s="3" t="inlineStr">
        <is>
          <t>src/domain/decumulation/index.ts</t>
        </is>
      </c>
      <c r="D313" s="3" t="n">
        <v>370</v>
      </c>
      <c r="E313" s="3" t="inlineStr">
        <is>
          <t>2 · DISPLAYED</t>
        </is>
      </c>
      <c r="F313" s="3" t="inlineStr">
        <is>
          <t>Year-by-year mandated-withdrawal schedule (ESTIMATES: future balances move with returns).</t>
        </is>
      </c>
      <c r="G313" s="13" t="inlineStr">
        <is>
          <t>rows = []
rows   when pre tax now ≤ 0
start age = max(rmd start age for(age now, now year), age now)
bal = pre tax now
r = max(0, exp return (or 0 when missing or zero))
age = start age + i
amount = rmd at age(bal, age)
the answer = rows</t>
        </is>
      </c>
      <c r="H3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13" s="3" t="inlineStr">
        <is>
          <t>READ FROM THE CODE — rendered from the expressions the function runs</t>
        </is>
      </c>
      <c r="J313" s="3" t="inlineStr">
        <is>
          <t>1. preTaxNow: number
2. ageNow: number
3. expReturn: number
4. years = 15
5. nowYear = new Date().getFullYear()</t>
        </is>
      </c>
      <c r="K313" s="3" t="inlineStr">
        <is>
          <t>RmdYearRow[]</t>
        </is>
      </c>
      <c r="L313" s="3" t="inlineStr">
        <is>
          <t>NOT FOUND — a screen calls it, but the words printed beside its answer could not be traced automatically. Needs reading.</t>
        </is>
      </c>
      <c r="M313" s="3" t="inlineStr">
        <is>
          <t>1. If exp return is missing it counts as zero, so nothing recorded and a real zero look the same.
2. Uses today's date from the device clock, so the answer changes by itself overnight.
3. Rounds the answer to a whole number.</t>
        </is>
      </c>
      <c r="N313" s="3" t="inlineStr">
        <is>
          <t>Yes</t>
        </is>
      </c>
      <c r="O313" s="3" t="inlineStr">
        <is>
          <t>1. MK-PL-F-077 clamp
2. MK-PL-F-054 growOneYear
3. MK-PL-F-007 rmdAtAge
4. MK-PL-F-078 rmdDivisorAtAge
5. MK-PL-F-005 rmdStartAgeFor</t>
        </is>
      </c>
      <c r="P313" s="3" t="n">
        <v>23</v>
      </c>
      <c r="Q313"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13"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13" s="3" t="inlineStr">
        <is>
          <t>—</t>
        </is>
      </c>
      <c r="T313" s="3" t="inlineStr">
        <is>
          <t>—</t>
        </is>
      </c>
      <c r="U313" s="3" t="inlineStr">
        <is>
          <t>ACTIVE</t>
        </is>
      </c>
      <c r="V313" s="3" t="inlineStr">
        <is>
          <t>2026-08-27</t>
        </is>
      </c>
      <c r="Y313" s="3" t="inlineStr">
        <is>
          <t>NOTHING OPEN</t>
        </is>
      </c>
    </row>
    <row r="314">
      <c r="A314" s="3" t="inlineStr">
        <is>
          <t>MK-PL-F-009</t>
        </is>
      </c>
      <c r="B314" s="3" t="inlineStr">
        <is>
          <t>rmdTakenThisYear</t>
        </is>
      </c>
      <c r="C314" s="3" t="inlineStr">
        <is>
          <t>src/domain/decumulation/index.ts</t>
        </is>
      </c>
      <c r="D314" s="3" t="n">
        <v>415</v>
      </c>
      <c r="E314" s="3" t="inlineStr">
        <is>
          <t>2 · DISPLAYED</t>
        </is>
      </c>
      <c r="F314" s="3" t="inlineStr">
        <is>
          <t>Withdrawals already taken THIS year from the pre-tax accounts (the one ledger — no side lists).</t>
        </is>
      </c>
      <c r="G314" s="13" t="inlineStr">
        <is>
          <t>ids = a list with no repeats of for each of pre tax account ids: string</t>
        </is>
      </c>
      <c r="H314" s="3" t="inlineStr">
        <is>
          <t>Ids is a list with no repeats of for each of pre tax account ids: string.</t>
        </is>
      </c>
      <c r="I314" s="3" t="inlineStr">
        <is>
          <t>READ FROM THE CODE — rendered from the expressions the function runs</t>
        </is>
      </c>
      <c r="J314" s="3" t="inlineStr">
        <is>
          <t>1. transactions: { type?: string; account_id?: string; amount?: number; date?: string }[]
2. preTaxAccountIds: string[]
3. nowYear = new Date().getFullYear()</t>
        </is>
      </c>
      <c r="K314" s="3" t="inlineStr">
        <is>
          <t>number</t>
        </is>
      </c>
      <c r="L314" s="3" t="inlineStr">
        <is>
          <t>NOT FOUND — a screen calls it, but the words printed beside its answer could not be traced automatically. Needs reading.</t>
        </is>
      </c>
      <c r="M314" s="3" t="inlineStr">
        <is>
          <t>1. If amount is missing it counts as zero, so nothing recorded and a real zero look the same.
2. Uses today's date from the device clock, so the answer changes by itself overnight.</t>
        </is>
      </c>
      <c r="N314" s="3" t="inlineStr">
        <is>
          <t>Yes</t>
        </is>
      </c>
      <c r="O314" s="3" t="inlineStr">
        <is>
          <t>1. MK-ST-F-056 has
2. MK-CF-F-132 map</t>
        </is>
      </c>
      <c r="P314" s="3" t="n">
        <v>2</v>
      </c>
      <c r="Q314" s="3" t="inlineStr">
        <is>
          <t>1. MK-ST-F-056 has
2. MK-CF-F-132 map</t>
        </is>
      </c>
      <c r="R314" s="3" t="inlineStr">
        <is>
          <t>1. MK-ST-F-056 has → MK-PL-F-009 rmdTakenThisYear
2. MK-CF-F-132 map → MK-PL-F-009 rmdTakenThisYear</t>
        </is>
      </c>
      <c r="S314" s="3" t="inlineStr">
        <is>
          <t>—</t>
        </is>
      </c>
      <c r="T314" s="3" t="inlineStr">
        <is>
          <t>—</t>
        </is>
      </c>
      <c r="U314" s="3" t="inlineStr">
        <is>
          <t>ACTIVE</t>
        </is>
      </c>
      <c r="V314" s="3" t="inlineStr">
        <is>
          <t>2026-08-27</t>
        </is>
      </c>
      <c r="Y314" s="3" t="inlineStr">
        <is>
          <t>NOTHING OPEN</t>
        </is>
      </c>
    </row>
    <row r="315">
      <c r="A315" s="3" t="inlineStr">
        <is>
          <t>MK-PL-F-010</t>
        </is>
      </c>
      <c r="B315" s="3" t="inlineStr">
        <is>
          <t>drawOrderOutcome</t>
        </is>
      </c>
      <c r="C315" s="3" t="inlineStr">
        <is>
          <t>src/domain/decumulation/index.ts</t>
        </is>
      </c>
      <c r="D315" s="3" t="n">
        <v>464</v>
      </c>
      <c r="E315" s="3" t="inlineStr">
        <is>
          <t>2 · DISPLAYED</t>
        </is>
      </c>
      <c r="F315" s="3" t="inlineStr">
        <is>
          <t>If the draw came from the accounts in this order, how long would the money last and what tax would it cost?</t>
        </is>
      </c>
      <c r="G315" s="13"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15" s="3" t="inlineStr">
        <is>
          <t>READ BY HAND 2026-08-26 — checked line by line against the code</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15" s="3" t="inlineStr">
        <is>
          <t>Yes</t>
        </is>
      </c>
      <c r="O315" s="3" t="inlineStr">
        <is>
          <t>1. MK-CF-F-155 cash
2. MK-PL-F-007 rmdAtAge
3. MK-PL-F-005 rmdStartAgeFor</t>
        </is>
      </c>
      <c r="P315" s="3" t="n">
        <v>8</v>
      </c>
      <c r="Q315" s="3" t="inlineStr">
        <is>
          <t>1. MK-CF-F-155 cash
2. MK-PL-F-007 rmdAtAge
3. MK-PL-F-005 rmdStartAgeFor
4. MK-XS-F-122 n
5. MK-PL-F-078 rmdDivisorAtAge
6. MK-ST-F-025 rmdStartAgeFromAge
7. MK-ST-F-024 rmdStartAge
8. MK-ST-F-056 has</t>
        </is>
      </c>
      <c r="R315" s="3" t="inlineStr">
        <is>
          <t>1. MK-XS-F-122 n → MK-CF-F-155 cash → MK-PL-F-010 drawOrderOutcome
2. MK-PL-F-078 rmdDivisorAtAge → MK-PL-F-007 rmdAtAge → MK-PL-F-010 drawOrderOutcome
3. MK-ST-F-056 has → MK-ST-F-024 rmdStartAge → MK-ST-F-025 rmdStartAgeFromAge → MK-PL-F-005 rmdStartAgeFor → MK-PL-F-010 drawOrderOutcome</t>
        </is>
      </c>
      <c r="S315" s="3" t="inlineStr">
        <is>
          <t>—</t>
        </is>
      </c>
      <c r="T315" s="3" t="inlineStr">
        <is>
          <t>—</t>
        </is>
      </c>
      <c r="U315" s="3" t="inlineStr">
        <is>
          <t>ACTIVE</t>
        </is>
      </c>
      <c r="V315" s="3" t="inlineStr">
        <is>
          <t>2026-09-12</t>
        </is>
      </c>
      <c r="Y315" s="6" t="inlineStr">
        <is>
          <t>TESTED, NOT VERIFIED (G6)</t>
        </is>
      </c>
    </row>
    <row r="316">
      <c r="A316" s="3" t="inlineStr">
        <is>
          <t>MK-PL-F-011</t>
        </is>
      </c>
      <c r="B316" s="3" t="inlineStr">
        <is>
          <t>buildGoalsState</t>
        </is>
      </c>
      <c r="C316" s="3" t="inlineStr">
        <is>
          <t>src/domain/goals/index.ts</t>
        </is>
      </c>
      <c r="D316" s="3" t="n">
        <v>45</v>
      </c>
      <c r="E316" s="3" t="inlineStr">
        <is>
          <t>3 · DEPENDENT</t>
        </is>
      </c>
      <c r="F316" s="3" t="inlineStr">
        <is>
          <t>Months to reach each goal at the given monthly savings capacity.</t>
        </is>
      </c>
      <c r="G316" s="13" t="inlineStr">
        <is>
          <t>user id = uid
goals = progress
monthly capacity = monthly capacity</t>
        </is>
      </c>
      <c r="H316" s="3" t="inlineStr">
        <is>
          <t>user id = uid; goals = progress; monthly capacity = monthly capacity.</t>
        </is>
      </c>
      <c r="I316" s="3" t="inlineStr">
        <is>
          <t>READ FROM THE CODE — rendered from the expressions the function runs</t>
        </is>
      </c>
      <c r="J316" s="3" t="inlineStr">
        <is>
          <t>1. uid: UserId
2. goals: Goal[]
3. monthlyCapacity: number</t>
        </is>
      </c>
      <c r="K316" s="3" t="inlineStr">
        <is>
          <t>GoalsState</t>
        </is>
      </c>
      <c r="L316" s="3" t="inlineStr">
        <is>
          <t>—</t>
        </is>
      </c>
      <c r="M316" s="3" t="inlineStr">
        <is>
          <t>None found in this function — anything it assumes comes from the functions it depends on.</t>
        </is>
      </c>
      <c r="N316" s="3" t="inlineStr">
        <is>
          <t>Yes</t>
        </is>
      </c>
      <c r="O316" s="3" t="inlineStr">
        <is>
          <t>1. MK-CF-F-132 map
2. MK-XS-F-175 uid
3. MK-PL-F-012 waterfall</t>
        </is>
      </c>
      <c r="P316" s="3" t="n">
        <v>81</v>
      </c>
      <c r="Q316"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16" s="3" t="inlineStr">
        <is>
          <t>—</t>
        </is>
      </c>
      <c r="T316" s="3" t="inlineStr">
        <is>
          <t>—</t>
        </is>
      </c>
      <c r="U316" s="3" t="inlineStr">
        <is>
          <t>ACTIVE</t>
        </is>
      </c>
      <c r="V316" s="3" t="inlineStr">
        <is>
          <t>2026-09-09</t>
        </is>
      </c>
      <c r="Y316" s="3" t="inlineStr">
        <is>
          <t>NOTHING OPEN</t>
        </is>
      </c>
    </row>
    <row r="317">
      <c r="A317" s="3" t="inlineStr">
        <is>
          <t>MK-PL-F-012</t>
        </is>
      </c>
      <c r="B317" s="3" t="inlineStr">
        <is>
          <t>waterfall</t>
        </is>
      </c>
      <c r="C317" s="3" t="inlineStr">
        <is>
          <t>src/domain/goals/index.ts</t>
        </is>
      </c>
      <c r="D317" s="3" t="n">
        <v>94</v>
      </c>
      <c r="E317" s="3" t="inlineStr">
        <is>
          <t>3 · DEPENDENT</t>
        </is>
      </c>
      <c r="F317" s="3" t="inlineStr">
        <is>
          <t>NOT DETERMINED — the code carries no note saying what this is for, and it has no row in the old inventory. Needs reading.</t>
        </is>
      </c>
      <c r="G317" s="13" t="inlineStr">
        <is>
          <t>left = max(0, surplus)
steps = []
a = min(left, max(0, need)); left -= a; steps.push({ name, allocated: (a) })
the answer = steps</t>
        </is>
      </c>
      <c r="H317" s="3" t="inlineStr">
        <is>
          <t>Left is surplus, never below zero. Steps is []. A: the smaller of left and need, never below zero; left -= a; steps.push({ name, allocated: (a) }). The answer is steps.</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t>
        </is>
      </c>
      <c r="M317" s="3" t="inlineStr">
        <is>
          <t>1. If emergency gap is missing it uses 0.
2. If toxic debt is missing it uses 0.
3. If employer match monthly is missing it uses 0.
4. Never lets surplus fall below 0.
5. Never lets need fall below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2026-09-09</t>
        </is>
      </c>
      <c r="Y317" s="3" t="inlineStr">
        <is>
          <t>NOTHING OPEN</t>
        </is>
      </c>
    </row>
    <row r="318">
      <c r="A318" s="3" t="inlineStr">
        <is>
          <t>MK-PL-F-013</t>
        </is>
      </c>
      <c r="B318" s="3" t="inlineStr">
        <is>
          <t>goalsFromOnboarding</t>
        </is>
      </c>
      <c r="C318" s="3" t="inlineStr">
        <is>
          <t>src/domain/goals/index.ts</t>
        </is>
      </c>
      <c r="D318" s="3" t="n">
        <v>143</v>
      </c>
      <c r="E318" s="3" t="inlineStr">
        <is>
          <t>3 · DEPENDENT</t>
        </is>
      </c>
      <c r="F318" s="3" t="inlineStr">
        <is>
          <t>NOT DETERMINED — the code carries no note saying what this is for, and it has no row in the old inventory. Needs reading.</t>
        </is>
      </c>
      <c r="G318" s="13" t="inlineStr">
        <is>
          <t>a = op (or none when missing)
raw = goals   if array.is array(goals)
[]   otherwise
the answer:
user id = uid
goals = goals</t>
        </is>
      </c>
      <c r="H318" s="3" t="inlineStr">
        <is>
          <t>A is op (or none — when missing). Raw is goals — when array.is array(goals); [] — otherwise. The answer is user id = uid; goals = goals.</t>
        </is>
      </c>
      <c r="I318" s="3" t="inlineStr">
        <is>
          <t>PARTLY READ — some of the code is still showing through; needs a hand pass</t>
        </is>
      </c>
      <c r="J318" s="3" t="inlineStr">
        <is>
          <t>1. uid: UserId
2. op: Record&lt;string, any&gt; | null</t>
        </is>
      </c>
      <c r="K318" s="3" t="inlineStr">
        <is>
          <t>GoalsDoc</t>
        </is>
      </c>
      <c r="L318" s="3" t="inlineStr">
        <is>
          <t>—</t>
        </is>
      </c>
      <c r="M318" s="3" t="inlineStr">
        <is>
          <t>None found in this function — anything it assumes comes from the functions it depends on.</t>
        </is>
      </c>
      <c r="N318" s="3" t="inlineStr">
        <is>
          <t>Yes</t>
        </is>
      </c>
      <c r="O318" s="3" t="inlineStr">
        <is>
          <t>1. MK-CF-F-132 map
2. MK-ST-F-043 newEntityId
3. MK-ST-F-052 toNum
4. MK-XS-F-175 uid</t>
        </is>
      </c>
      <c r="P318" s="3" t="n">
        <v>79</v>
      </c>
      <c r="Q3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18" s="3" t="inlineStr">
        <is>
          <t>—</t>
        </is>
      </c>
      <c r="T318" s="3" t="inlineStr">
        <is>
          <t>—</t>
        </is>
      </c>
      <c r="U318" s="3" t="inlineStr">
        <is>
          <t>ACTIVE</t>
        </is>
      </c>
      <c r="V318" s="3" t="inlineStr">
        <is>
          <t>2026-08-27</t>
        </is>
      </c>
      <c r="Y318" s="3" t="inlineStr">
        <is>
          <t>NOTHING OPEN</t>
        </is>
      </c>
    </row>
    <row r="319">
      <c r="A319" s="3" t="inlineStr">
        <is>
          <t>MK-PL-F-014</t>
        </is>
      </c>
      <c r="B319" s="3" t="inlineStr">
        <is>
          <t>loadGoals</t>
        </is>
      </c>
      <c r="C319" s="3" t="inlineStr">
        <is>
          <t>src/domain/goals/index.ts</t>
        </is>
      </c>
      <c r="D319" s="3" t="n">
        <v>171</v>
      </c>
      <c r="E319" s="3" t="inlineStr">
        <is>
          <t>3 · DEPENDENT (feeds an action only)</t>
        </is>
      </c>
      <c r="F319" s="3" t="inlineStr">
        <is>
          <t>NOT DETERMINED — the code carries no note saying what this is for, and it has no row in the old inventory. Needs reading.</t>
        </is>
      </c>
      <c r="G319" s="13" t="inlineStr">
        <is>
          <t>It reaches outside the app for data and hands back what came back — no arithmetic of its own.</t>
        </is>
      </c>
      <c r="H319" s="3" t="inlineStr">
        <is>
          <t>It reaches outside the app for data and hands back what came back — no arithmetic of its own.</t>
        </is>
      </c>
      <c r="I319" s="3" t="inlineStr">
        <is>
          <t>NO ARITHMETIC — there is no formula to state</t>
        </is>
      </c>
      <c r="J319" s="3" t="inlineStr">
        <is>
          <t>uid: UserId</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MK-XS-F-175 uid</t>
        </is>
      </c>
      <c r="P319" s="3" t="n">
        <v>80</v>
      </c>
      <c r="Q319"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19" s="3" t="inlineStr">
        <is>
          <t>—</t>
        </is>
      </c>
      <c r="T319" s="3" t="inlineStr">
        <is>
          <t>—</t>
        </is>
      </c>
      <c r="U319" s="3" t="inlineStr">
        <is>
          <t>ACTIVE</t>
        </is>
      </c>
      <c r="V319" s="3" t="inlineStr">
        <is>
          <t>2026-08-27</t>
        </is>
      </c>
      <c r="Y319" s="3" t="inlineStr">
        <is>
          <t>NOTHING OPEN</t>
        </is>
      </c>
    </row>
    <row r="320">
      <c r="A320" s="3" t="inlineStr">
        <is>
          <t>MK-PL-F-015</t>
        </is>
      </c>
      <c r="B320" s="3" t="inlineStr">
        <is>
          <t>saveGoals</t>
        </is>
      </c>
      <c r="C320" s="3" t="inlineStr">
        <is>
          <t>src/domain/goals/index.ts</t>
        </is>
      </c>
      <c r="D320" s="3" t="n">
        <v>187</v>
      </c>
      <c r="E320" s="3" t="inlineStr">
        <is>
          <t>1 · ACTION</t>
        </is>
      </c>
      <c r="F320" s="3" t="inlineStr">
        <is>
          <t>NOT DETERMINED — the code carries no note saying what this is for, and it has no row in the old inventory. Needs reading.</t>
        </is>
      </c>
      <c r="G320" s="13" t="inlineStr">
        <is>
          <t>It records or announces something and returns no figure — no arithmetic of its own.</t>
        </is>
      </c>
      <c r="H320" s="3" t="inlineStr">
        <is>
          <t>It records or announces something and returns no figure — no arithmetic of its own.</t>
        </is>
      </c>
      <c r="I320" s="3" t="inlineStr">
        <is>
          <t>NO ARITHMETIC — there is no formula to state</t>
        </is>
      </c>
      <c r="J320" s="3" t="inlineStr">
        <is>
          <t>d: GoalsDoc</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MK-ST-F-042 setUserDoc</t>
        </is>
      </c>
      <c r="P320" s="3" t="n">
        <v>81</v>
      </c>
      <c r="Q320"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20" s="3" t="inlineStr">
        <is>
          <t>—</t>
        </is>
      </c>
      <c r="T320" s="3" t="inlineStr">
        <is>
          <t>—</t>
        </is>
      </c>
      <c r="U320" s="3" t="inlineStr">
        <is>
          <t>ACTIVE</t>
        </is>
      </c>
      <c r="V320" s="3" t="inlineStr">
        <is>
          <t>2026-08-27</t>
        </is>
      </c>
      <c r="Y320" s="3" t="inlineStr">
        <is>
          <t>NOTHING OPEN</t>
        </is>
      </c>
    </row>
    <row r="321">
      <c r="A321" s="3" t="inlineStr">
        <is>
          <t>MK-PL-F-016</t>
        </is>
      </c>
      <c r="B321" s="3" t="inlineStr">
        <is>
          <t>availableToSaveSummary</t>
        </is>
      </c>
      <c r="C321" s="3" t="inlineStr">
        <is>
          <t>src/domain/goals/index.ts</t>
        </is>
      </c>
      <c r="D321" s="3" t="n">
        <v>222</v>
      </c>
      <c r="E321" s="3" t="inlineStr">
        <is>
          <t>2 · DISPLAYED</t>
        </is>
      </c>
      <c r="F321" s="3" t="inlineStr">
        <is>
          <t>Summarize per-month available-to-save from a 12-month cash-flow grid.</t>
        </is>
      </c>
      <c r="G321" s="13"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21" s="3" t="inlineStr">
        <is>
          <t>READ FROM THE CODE — rendered from the expressions the function runs</t>
        </is>
      </c>
      <c r="J321" s="3" t="inlineStr">
        <is>
          <t>grid: { label: string; amount: number }[]</t>
        </is>
      </c>
      <c r="K321" s="3" t="inlineStr">
        <is>
          <t>SaveCapacity</t>
        </is>
      </c>
      <c r="L321" s="3" t="inlineStr">
        <is>
          <t>"Plan" — on the Goals screen</t>
        </is>
      </c>
      <c r="M321" s="3" t="inlineStr">
        <is>
          <t>· Applies a built-in rate of 25% to avg.</t>
        </is>
      </c>
      <c r="N321" s="3" t="inlineStr">
        <is>
          <t>Yes</t>
        </is>
      </c>
      <c r="O321" s="3" t="inlineStr">
        <is>
          <t>MK-CF-F-132 map</t>
        </is>
      </c>
      <c r="P321" s="3" t="n">
        <v>1</v>
      </c>
      <c r="Q321" s="3" t="inlineStr">
        <is>
          <t>MK-CF-F-132 map</t>
        </is>
      </c>
      <c r="R321" s="3" t="inlineStr">
        <is>
          <t>MK-CF-F-132 map → MK-PL-F-016 availableToSaveSummary</t>
        </is>
      </c>
      <c r="S321" s="3" t="inlineStr">
        <is>
          <t>—</t>
        </is>
      </c>
      <c r="T321" s="3" t="inlineStr">
        <is>
          <t>—</t>
        </is>
      </c>
      <c r="U321" s="3" t="inlineStr">
        <is>
          <t>ACTIVE</t>
        </is>
      </c>
      <c r="V321" s="3" t="inlineStr">
        <is>
          <t>2026-09-09</t>
        </is>
      </c>
      <c r="Y321" s="3" t="inlineStr">
        <is>
          <t>NOTHING OPEN</t>
        </is>
      </c>
    </row>
    <row r="322">
      <c r="A322" s="3" t="inlineStr">
        <is>
          <t>MK-PL-F-017</t>
        </is>
      </c>
      <c r="B322" s="3" t="inlineStr">
        <is>
          <t>sinkingFund</t>
        </is>
      </c>
      <c r="C322" s="3" t="inlineStr">
        <is>
          <t>src/domain/goals/index.ts</t>
        </is>
      </c>
      <c r="D322" s="3" t="n">
        <v>256</v>
      </c>
      <c r="E322" s="3" t="inlineStr">
        <is>
          <t>2 · DISPLAYED</t>
        </is>
      </c>
      <c r="F322" s="3" t="inlineStr">
        <is>
          <t>NOT DETERMINED — the code carries no note saying what this is for, and it has no row in the old inventory. Needs reading.</t>
        </is>
      </c>
      <c r="G322" s="13" t="inlineStr">
        <is>
          <t>monthly = max(0, monthly non monthly)
the answer:
annual = monthly × 12
monthly = monthly</t>
        </is>
      </c>
      <c r="H322" s="3" t="inlineStr">
        <is>
          <t>Monthly is monthly non monthly, never below zero. The answer is annual = monthly times 12; monthly = monthly.</t>
        </is>
      </c>
      <c r="I322" s="3" t="inlineStr">
        <is>
          <t>READ FROM THE CODE — rendered from the expressions the function runs</t>
        </is>
      </c>
      <c r="J322" s="3" t="inlineStr">
        <is>
          <t>monthlyNonMonthly: number</t>
        </is>
      </c>
      <c r="K322" s="3" t="inlineStr">
        <is>
          <t>SinkingFund</t>
        </is>
      </c>
      <c r="L322" s="3" t="inlineStr">
        <is>
          <t>NOT FOUND — a screen calls it, but the words printed beside its answer could not be traced automatically. Needs reading.</t>
        </is>
      </c>
      <c r="M322" s="3" t="inlineStr">
        <is>
          <t>1. Turns a monthly figure into a year by multiplying by twelve.
2. Never lets monthly non monthly fall below 0.</t>
        </is>
      </c>
      <c r="N322" s="3" t="inlineStr">
        <is>
          <t>Yes</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2026-09-09</t>
        </is>
      </c>
      <c r="Y322" s="3" t="inlineStr">
        <is>
          <t>NOTHING OPEN</t>
        </is>
      </c>
    </row>
    <row r="323">
      <c r="A323" s="3" t="inlineStr">
        <is>
          <t>MK-PL-F-018</t>
        </is>
      </c>
      <c r="B323" s="3" t="inlineStr">
        <is>
          <t>monthsUntil</t>
        </is>
      </c>
      <c r="C323" s="3" t="inlineStr">
        <is>
          <t>src/domain/goals/index.ts</t>
        </is>
      </c>
      <c r="D323" s="3" t="n">
        <v>292</v>
      </c>
      <c r="E323" s="3" t="inlineStr">
        <is>
          <t>2 · DISPLAYED</t>
        </is>
      </c>
      <c r="F323" s="3" t="inlineStr">
        <is>
          <t>Whole months from `now` to the target month ('YYYY-MM'); &gt;=1, or null if no/!invalid date.</t>
        </is>
      </c>
      <c r="G323" s="13" t="inlineStr">
        <is>
          <t>nothing   when target date is missing
nothing   when y is missing (or m is missing when missing or zero)
max(1, (y − now.get full year()) × 12 + (m − 1 − now.get month()))</t>
        </is>
      </c>
      <c r="H323" s="3" t="inlineStr">
        <is>
          <t>When target date is missing, it answers no answer. When y is missing (or m is missing — when missing or zero), it answers no answer. the larger of 1 and (y minus now.get full year() times 12 plus (m minus 1 minus now.get month())).</t>
        </is>
      </c>
      <c r="I323" s="3" t="inlineStr">
        <is>
          <t>PARTLY READ — some of the code is still showing through; needs a hand pass</t>
        </is>
      </c>
      <c r="J323" s="3" t="inlineStr">
        <is>
          <t>1. targetDate: string | undefined
2. now: Date</t>
        </is>
      </c>
      <c r="K323" s="3" t="inlineStr">
        <is>
          <t>number | null</t>
        </is>
      </c>
      <c r="L323" s="3" t="inlineStr">
        <is>
          <t>NOT FOUND — a screen calls it, but the words printed beside its answer could not be traced automatically. Needs reading.</t>
        </is>
      </c>
      <c r="M323" s="3" t="inlineStr">
        <is>
          <t>· Turns a monthly figure into a year by multiplying by twelve.</t>
        </is>
      </c>
      <c r="N323" s="3" t="inlineStr">
        <is>
          <t>Yes</t>
        </is>
      </c>
      <c r="O323" s="3" t="inlineStr">
        <is>
          <t>MK-CF-F-132 map</t>
        </is>
      </c>
      <c r="P323" s="3" t="n">
        <v>1</v>
      </c>
      <c r="Q323" s="3" t="inlineStr">
        <is>
          <t>MK-CF-F-132 map</t>
        </is>
      </c>
      <c r="R323" s="3" t="inlineStr">
        <is>
          <t>MK-CF-F-132 map → MK-PL-F-018 monthsUntil</t>
        </is>
      </c>
      <c r="S323" s="3" t="inlineStr">
        <is>
          <t>—</t>
        </is>
      </c>
      <c r="T323" s="3" t="inlineStr">
        <is>
          <t>—</t>
        </is>
      </c>
      <c r="U323" s="3" t="inlineStr">
        <is>
          <t>ACTIVE</t>
        </is>
      </c>
      <c r="V323" s="3" t="inlineStr">
        <is>
          <t>2026-08-27</t>
        </is>
      </c>
      <c r="Y323" s="3" t="inlineStr">
        <is>
          <t>NOTHING OPEN</t>
        </is>
      </c>
    </row>
    <row r="324">
      <c r="A324" s="3" t="inlineStr">
        <is>
          <t>MK-PL-F-019</t>
        </is>
      </c>
      <c r="B324" s="3" t="inlineStr">
        <is>
          <t>goalMonthsRemaining</t>
        </is>
      </c>
      <c r="C324" s="3" t="inlineStr">
        <is>
          <t>src/domain/goals/index.ts</t>
        </is>
      </c>
      <c r="D324" s="3" t="n">
        <v>327</v>
      </c>
      <c r="E324" s="3" t="inlineStr">
        <is>
          <t>3 · DEPENDENT</t>
        </is>
      </c>
      <c r="F324" s="3" t="inlineStr">
        <is>
          <t>Months remaining: from the target date if set, else the goal's `duration` (months).</t>
        </is>
      </c>
      <c r="G324" s="13" t="inlineStr">
        <is>
          <t>from date = months until(target date, now)
from date   when from date ≠ nothing
d = duration read as a number
the answer:
d   if number.is finite(d) and d &gt; 0
nothing   otherwise</t>
        </is>
      </c>
      <c r="H324" s="3" t="inlineStr">
        <is>
          <t>From date is months until(target date, now). When from date is not no answer, it answers from date. D is duration read as a number. The answer is d — when number.is finite(d) and d &gt; 0; no answer — otherwise.</t>
        </is>
      </c>
      <c r="I324" s="3" t="inlineStr">
        <is>
          <t>PARTLY READ — some of the code is still showing through; needs a hand pass</t>
        </is>
      </c>
      <c r="J324" s="3" t="inlineStr">
        <is>
          <t>1. g: GoalLike
2. now: Date = new Date()</t>
        </is>
      </c>
      <c r="K324" s="3" t="inlineStr">
        <is>
          <t>number | null</t>
        </is>
      </c>
      <c r="L324" s="3" t="inlineStr">
        <is>
          <t>—</t>
        </is>
      </c>
      <c r="M324" s="3" t="inlineStr">
        <is>
          <t>· Uses today's date from the device clock, so the answer changes by itself overnight.</t>
        </is>
      </c>
      <c r="N324" s="3" t="inlineStr">
        <is>
          <t>Yes</t>
        </is>
      </c>
      <c r="O324" s="3" t="inlineStr">
        <is>
          <t>MK-PL-F-018 monthsUntil</t>
        </is>
      </c>
      <c r="P324" s="3" t="n">
        <v>2</v>
      </c>
      <c r="Q324" s="3" t="inlineStr">
        <is>
          <t>1. MK-PL-F-018 monthsUntil
2. MK-CF-F-132 map</t>
        </is>
      </c>
      <c r="R324" s="3" t="inlineStr">
        <is>
          <t>MK-CF-F-132 map → MK-PL-F-018 monthsUntil → MK-PL-F-019 goalMonthsRemaining</t>
        </is>
      </c>
      <c r="S324" s="3" t="inlineStr">
        <is>
          <t>—</t>
        </is>
      </c>
      <c r="T324" s="3" t="inlineStr">
        <is>
          <t>—</t>
        </is>
      </c>
      <c r="U324" s="3" t="inlineStr">
        <is>
          <t>ACTIVE</t>
        </is>
      </c>
      <c r="V324" s="3" t="inlineStr">
        <is>
          <t>2026-08-27</t>
        </is>
      </c>
      <c r="Y324" s="3" t="inlineStr">
        <is>
          <t>NOTHING OPEN</t>
        </is>
      </c>
    </row>
    <row r="325">
      <c r="A325" s="3" t="inlineStr">
        <is>
          <t>MK-PL-F-020</t>
        </is>
      </c>
      <c r="B325" s="3" t="inlineStr">
        <is>
          <t>requiredMonthly</t>
        </is>
      </c>
      <c r="C325" s="3" t="inlineStr">
        <is>
          <t>src/domain/goals/index.ts</t>
        </is>
      </c>
      <c r="D325" s="3" t="n">
        <v>364</v>
      </c>
      <c r="E325" s="3" t="inlineStr">
        <is>
          <t>2 · DISPLAYED</t>
        </is>
      </c>
      <c r="F325" s="3" t="inlineStr">
        <is>
          <t>$/month still needed to hit the target on time (0 if already funded; null if no date/duration).</t>
        </is>
      </c>
      <c r="G325" s="13" t="inlineStr">
        <is>
          <t>remaining = max(0, (target or 0) − (saved or 0))
0   when remaining = 0
months = goal months remaining(g, now)
the answer:
remaining ÷ months   if months
nothing   otherwise</t>
        </is>
      </c>
      <c r="H325" s="3" t="inlineStr">
        <is>
          <t>Remaining is (target or 0, never below zero minus (saved or 0)). When remaining = 0, it answers 0. Months is goal months remaining(g, now). The answer is remaining divided by months — when months; no answer — otherwise.</t>
        </is>
      </c>
      <c r="I325" s="3" t="inlineStr">
        <is>
          <t>READ FROM THE CODE — rendered from the expressions the function runs</t>
        </is>
      </c>
      <c r="J325" s="3" t="inlineStr">
        <is>
          <t>1. g: GoalLike
2. now: Date = new Date()</t>
        </is>
      </c>
      <c r="K325" s="3" t="inlineStr">
        <is>
          <t>number | null</t>
        </is>
      </c>
      <c r="L325" s="3" t="inlineStr">
        <is>
          <t>NOT FOUND — a screen calls it, but the words printed beside its answer could not be traced automatically. Needs reading.</t>
        </is>
      </c>
      <c r="M3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25" s="3" t="inlineStr">
        <is>
          <t>Yes</t>
        </is>
      </c>
      <c r="O325" s="3" t="inlineStr">
        <is>
          <t>MK-PL-F-019 goalMonthsRemaining</t>
        </is>
      </c>
      <c r="P325" s="3" t="n">
        <v>3</v>
      </c>
      <c r="Q325" s="3" t="inlineStr">
        <is>
          <t>1. MK-PL-F-019 goalMonthsRemaining
2. MK-PL-F-018 monthsUntil
3. MK-CF-F-132 map</t>
        </is>
      </c>
      <c r="R325" s="3" t="inlineStr">
        <is>
          <t>MK-CF-F-132 map → MK-PL-F-018 monthsUntil → MK-PL-F-019 goalMonthsRemaining → MK-PL-F-020 requiredMonthly</t>
        </is>
      </c>
      <c r="S325" s="3" t="inlineStr">
        <is>
          <t>—</t>
        </is>
      </c>
      <c r="T325" s="3" t="inlineStr">
        <is>
          <t>—</t>
        </is>
      </c>
      <c r="U325" s="3" t="inlineStr">
        <is>
          <t>ACTIVE</t>
        </is>
      </c>
      <c r="V325" s="3" t="inlineStr">
        <is>
          <t>2026-09-09</t>
        </is>
      </c>
      <c r="Y325" s="3" t="inlineStr">
        <is>
          <t>NOTHING OPEN</t>
        </is>
      </c>
    </row>
    <row r="326">
      <c r="A326" s="3" t="inlineStr">
        <is>
          <t>MK-PL-F-021</t>
        </is>
      </c>
      <c r="B326" s="3" t="inlineStr">
        <is>
          <t>monthsToGoal</t>
        </is>
      </c>
      <c r="C326" s="3" t="inlineStr">
        <is>
          <t>src/domain/goals/index.ts</t>
        </is>
      </c>
      <c r="D326" s="3" t="n">
        <v>399</v>
      </c>
      <c r="E326" s="3" t="inlineStr">
        <is>
          <t>2 · DISPLAYED</t>
        </is>
      </c>
      <c r="F326" s="3" t="inlineStr">
        <is>
          <t>Months to reach the goal at a given monthly contribution (0 if funded; null if contribution &lt;= 0).</t>
        </is>
      </c>
      <c r="G326" s="13" t="inlineStr">
        <is>
          <t>remaining = max(0, (target or 0) − (saved or 0))
0   when remaining = 0
the answer:
round up(remaining ÷ monthly contribution)   if monthly contribution &gt; 0
nothing   otherwise</t>
        </is>
      </c>
      <c r="H326" s="3" t="inlineStr">
        <is>
          <t>Remaining is (target or 0, never below zero minus (saved or 0)). When remaining = 0, it answers 0. The answer is remaining divided by monthly contribution, rounded up — when monthly contribution &gt; 0; no answer — otherwise.</t>
        </is>
      </c>
      <c r="I326" s="3" t="inlineStr">
        <is>
          <t>READ FROM THE CODE — rendered from the expressions the function runs</t>
        </is>
      </c>
      <c r="J326" s="3" t="inlineStr">
        <is>
          <t>1. g: GoalLike
2. monthlyContribution: number</t>
        </is>
      </c>
      <c r="K326" s="3" t="inlineStr">
        <is>
          <t>number | null</t>
        </is>
      </c>
      <c r="L326" s="3" t="inlineStr">
        <is>
          <t>NOT FOUND — a screen calls it, but the words printed beside its answer could not be traced automatically. Needs reading.</t>
        </is>
      </c>
      <c r="M326" s="3" t="inlineStr">
        <is>
          <t>1. If target is missing it counts as zero, so nothing recorded and a real zero look the same.
2. If saved is missing it counts as zero, so nothing recorded and a real zero look the same.</t>
        </is>
      </c>
      <c r="N326" s="3" t="inlineStr">
        <is>
          <t>Yes</t>
        </is>
      </c>
      <c r="O326" s="3" t="inlineStr">
        <is>
          <t>—</t>
        </is>
      </c>
      <c r="P326" s="3" t="n">
        <v>0</v>
      </c>
      <c r="Q326" s="3" t="inlineStr">
        <is>
          <t>None — no dependent function stands behind it</t>
        </is>
      </c>
      <c r="R326" s="3" t="inlineStr">
        <is>
          <t>No dependent function — it reads its inputs and answers</t>
        </is>
      </c>
      <c r="S326" s="3" t="inlineStr">
        <is>
          <t>—</t>
        </is>
      </c>
      <c r="T326" s="3" t="inlineStr">
        <is>
          <t>—</t>
        </is>
      </c>
      <c r="U326" s="3" t="inlineStr">
        <is>
          <t>ACTIVE</t>
        </is>
      </c>
      <c r="V326" s="3" t="inlineStr">
        <is>
          <t>2026-08-27</t>
        </is>
      </c>
      <c r="Y326" s="3" t="inlineStr">
        <is>
          <t>NOTHING OPEN</t>
        </is>
      </c>
    </row>
    <row r="327">
      <c r="A327" s="3" t="inlineStr">
        <is>
          <t>MK-PL-F-022</t>
        </is>
      </c>
      <c r="B327" s="3" t="inlineStr">
        <is>
          <t>goalProgressPct</t>
        </is>
      </c>
      <c r="C327" s="3" t="inlineStr">
        <is>
          <t>src/domain/goals/index.ts</t>
        </is>
      </c>
      <c r="D327" s="3" t="n">
        <v>428</v>
      </c>
      <c r="E327" s="3" t="inlineStr">
        <is>
          <t>3 · DEPENDENT (feeds an action only)</t>
        </is>
      </c>
      <c r="F327" s="3" t="inlineStr">
        <is>
          <t>Funded %, clamped 0–100.</t>
        </is>
      </c>
      <c r="G327" s="13" t="inlineStr">
        <is>
          <t>0   when (target or 0) ≤ 0
min(100, max(0, round(((saved or 0) ÷ target) × 100)))</t>
        </is>
      </c>
      <c r="H327" s="3" t="inlineStr">
        <is>
          <t>When (target or 0) is at most 0, it answers 0. the smaller of 100 and ((saved or 0, to a whole number divided by target, never below zero times 100)).</t>
        </is>
      </c>
      <c r="I327" s="3" t="inlineStr">
        <is>
          <t>READ FROM THE CODE — rendered from the expressions the function runs</t>
        </is>
      </c>
      <c r="J327" s="3" t="inlineStr">
        <is>
          <t>g: GoalLike</t>
        </is>
      </c>
      <c r="K327" s="3" t="inlineStr">
        <is>
          <t>number</t>
        </is>
      </c>
      <c r="L327" s="3" t="inlineStr">
        <is>
          <t>—</t>
        </is>
      </c>
      <c r="M327" s="3" t="inlineStr">
        <is>
          <t>1. If target is missing it counts as zero, so nothing recorded and a real zero look the same.
2. If saved is missing it counts as zero, so nothing recorded and a real zero look the same.
3. Rounds the answer to a whole number.</t>
        </is>
      </c>
      <c r="N327" s="3" t="inlineStr">
        <is>
          <t>No</t>
        </is>
      </c>
      <c r="O327" s="3" t="inlineStr">
        <is>
          <t>MK-CF-F-155 cash</t>
        </is>
      </c>
      <c r="P327" s="3" t="n">
        <v>2</v>
      </c>
      <c r="Q327" s="3" t="inlineStr">
        <is>
          <t>1. MK-CF-F-155 cash
2. MK-XS-F-122 n</t>
        </is>
      </c>
      <c r="R327" s="3" t="inlineStr">
        <is>
          <t>MK-XS-F-122 n → MK-CF-F-155 cash → MK-PL-F-022 goalProgressPct</t>
        </is>
      </c>
      <c r="S327" s="3" t="inlineStr">
        <is>
          <t>—</t>
        </is>
      </c>
      <c r="T327" s="3" t="inlineStr">
        <is>
          <t>—</t>
        </is>
      </c>
      <c r="U327" s="3" t="inlineStr">
        <is>
          <t>ACTIVE</t>
        </is>
      </c>
      <c r="V327" s="3" t="inlineStr">
        <is>
          <t>2026-08-27</t>
        </is>
      </c>
      <c r="Y327" s="3" t="inlineStr">
        <is>
          <t>NOTHING OPEN</t>
        </is>
      </c>
    </row>
    <row r="328">
      <c r="A328" s="3" t="inlineStr">
        <is>
          <t>MK-PL-F-023</t>
        </is>
      </c>
      <c r="B328" s="3" t="inlineStr">
        <is>
          <t>goalStatus</t>
        </is>
      </c>
      <c r="C328" s="3" t="inlineStr">
        <is>
          <t>src/domain/goals/index.ts</t>
        </is>
      </c>
      <c r="D328" s="3" t="n">
        <v>469</v>
      </c>
      <c r="E328" s="3" t="inlineStr">
        <is>
          <t>2 · DISPLAYED</t>
        </is>
      </c>
      <c r="F328" s="3" t="inlineStr">
        <is>
          <t>NOT DETERMINED — the code carries no note saying what this is for, and it has no row in the old inventory. Needs reading.</t>
        </is>
      </c>
      <c r="G328" s="13" t="inlineStr">
        <is>
          <t>'fully_funded'   when (saved or 0) ≥ (target or 0) and (target or 0) &gt; 0
req = required monthly(g, now)
'no_date'   when req = nothing
'fully_funded'   when req = 0
the answer:
'on_track'   if (funded this month or 0) + 1e − 6 ≥ req
'behind'   otherwise</t>
        </is>
      </c>
      <c r="H3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28" s="3" t="inlineStr">
        <is>
          <t>READ FROM THE CODE — rendered from the expressions the function runs</t>
        </is>
      </c>
      <c r="J328" s="3" t="inlineStr">
        <is>
          <t>1. g: GoalLike
2. fundedThisMonth: number | null | undefined
3. now: Date = new Date()</t>
        </is>
      </c>
      <c r="K328" s="3" t="inlineStr">
        <is>
          <t>GoalStatus</t>
        </is>
      </c>
      <c r="L328" s="3" t="inlineStr">
        <is>
          <t>"Complete! 🎉" — on the rewards screen</t>
        </is>
      </c>
      <c r="M3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28" s="3" t="inlineStr">
        <is>
          <t>Yes</t>
        </is>
      </c>
      <c r="O328" s="3" t="inlineStr">
        <is>
          <t>MK-PL-F-020 requiredMonthly</t>
        </is>
      </c>
      <c r="P328" s="3" t="n">
        <v>4</v>
      </c>
      <c r="Q328" s="3" t="inlineStr">
        <is>
          <t>1. MK-PL-F-020 requiredMonthly
2. MK-PL-F-019 goalMonthsRemaining
3. MK-PL-F-018 monthsUntil
4. MK-CF-F-132 map</t>
        </is>
      </c>
      <c r="R328" s="3" t="inlineStr">
        <is>
          <t>MK-CF-F-132 map → MK-PL-F-018 monthsUntil → MK-PL-F-019 goalMonthsRemaining → MK-PL-F-020 requiredMonthly → MK-PL-F-023 goalStatus</t>
        </is>
      </c>
      <c r="S328" s="3" t="inlineStr">
        <is>
          <t>MK-MN-M-009</t>
        </is>
      </c>
      <c r="T328" s="3" t="inlineStr">
        <is>
          <t>—</t>
        </is>
      </c>
      <c r="U328" s="3" t="inlineStr">
        <is>
          <t>ACTIVE</t>
        </is>
      </c>
      <c r="V328" s="3" t="inlineStr">
        <is>
          <t>2026-08-27</t>
        </is>
      </c>
      <c r="Y328" s="3" t="inlineStr">
        <is>
          <t>NOTHING OPEN</t>
        </is>
      </c>
    </row>
    <row r="329">
      <c r="A329" s="3" t="inlineStr">
        <is>
          <t>MK-PL-F-024</t>
        </is>
      </c>
      <c r="B329" s="3" t="inlineStr">
        <is>
          <t>oddsLine</t>
        </is>
      </c>
      <c r="C329" s="3" t="inlineStr">
        <is>
          <t>src/domain/planning/hub.ts</t>
        </is>
      </c>
      <c r="D329" s="3" t="n">
        <v>44</v>
      </c>
      <c r="E329" s="3" t="inlineStr">
        <is>
          <t>2 · DISPLAYED</t>
        </is>
      </c>
      <c r="F329" s="3" t="inlineStr">
        <is>
          <t>How do we state the odds in words?</t>
        </is>
      </c>
      <c r="G329" s="13" t="inlineStr">
        <is>
          <t>`${chance}% odds of lasting to age ${horizon age}`</t>
        </is>
      </c>
      <c r="H329" s="3" t="inlineStr">
        <is>
          <t>`${chance}% odds of lasting to age ${horizon age}`.</t>
        </is>
      </c>
      <c r="I329" s="3" t="inlineStr">
        <is>
          <t>PARTLY READ — some of the code is still showing through; needs a hand pass</t>
        </is>
      </c>
      <c r="J329" s="3" t="inlineStr">
        <is>
          <t>1. _lens: 'retired' | string
2. chance: number
3. horizonAge: number</t>
        </is>
      </c>
      <c r="K329" s="3" t="inlineStr">
        <is>
          <t>string</t>
        </is>
      </c>
      <c r="L329" s="3" t="inlineStr">
        <is>
          <t>1. "WILL MY MONEY LAST?" — on a card used on more than one screen (PlanOutcome)
2. "WILL MY MONEY LAST?" — on the Home screen, under "WILL MY MONEY LAST?"</t>
        </is>
      </c>
      <c r="M329" s="3" t="inlineStr">
        <is>
          <t>None found in this function — anything it assumes comes from the functions it depends on.</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ODDS_SENTENCE</t>
        </is>
      </c>
      <c r="U329" s="3" t="inlineStr">
        <is>
          <t>ACTIVE</t>
        </is>
      </c>
      <c r="V329" s="3" t="inlineStr">
        <is>
          <t>2026-08-27</t>
        </is>
      </c>
      <c r="Y329" s="3" t="inlineStr">
        <is>
          <t>NOTHING OPEN</t>
        </is>
      </c>
    </row>
    <row r="330">
      <c r="A330" s="3" t="inlineStr">
        <is>
          <t>MK-PL-F-025</t>
        </is>
      </c>
      <c r="B330" s="3" t="inlineStr">
        <is>
          <t>sampleOddsLine</t>
        </is>
      </c>
      <c r="C330" s="3" t="inlineStr">
        <is>
          <t>src/domain/planning/hub.ts</t>
        </is>
      </c>
      <c r="D330" s="3" t="n">
        <v>63</v>
      </c>
      <c r="E330" s="3" t="inlineStr">
        <is>
          <t>2 · DISPLAYED</t>
        </is>
      </c>
      <c r="F330" s="3" t="inlineStr">
        <is>
          <t>The same sentence for the app-wide SAMPLE, always labelled as one.</t>
        </is>
      </c>
      <c r="G330" s="13" t="inlineStr">
        <is>
          <t>`sample: ${SAMPLE_CHANCE}% odds of lasting to age ${horizon age}`</t>
        </is>
      </c>
      <c r="H330" s="3" t="inlineStr">
        <is>
          <t>`sample: ${SAMPLE_CHANCE}% odds of lasting to age ${horizon age}`.</t>
        </is>
      </c>
      <c r="I330" s="3" t="inlineStr">
        <is>
          <t>PARTLY READ — some of the code is still showing through; needs a hand pass</t>
        </is>
      </c>
      <c r="J330" s="3" t="inlineStr">
        <is>
          <t>horizonAge: number = SAMPLE_HORIZON</t>
        </is>
      </c>
      <c r="K330" s="3" t="inlineStr">
        <is>
          <t>string</t>
        </is>
      </c>
      <c r="L330" s="3" t="inlineStr">
        <is>
          <t>1. "WILL MY MONEY LAST?" — on the Plan screen, under "WILL MY MONEY LAST?"
2. "YOUR RETIREMENT PLAN" — on the Net worth screen, under "YOUR RETIREMENT PLAN"</t>
        </is>
      </c>
      <c r="M330" s="3" t="inlineStr">
        <is>
          <t>None found in this function — anything it assumes comes from the functions it depends on.</t>
        </is>
      </c>
      <c r="N330" s="3" t="inlineStr">
        <is>
          <t>Yes</t>
        </is>
      </c>
      <c r="O330" s="3" t="inlineStr">
        <is>
          <t>—</t>
        </is>
      </c>
      <c r="P330" s="3" t="n">
        <v>0</v>
      </c>
      <c r="Q330" s="3" t="inlineStr">
        <is>
          <t>None — no dependent function stands behind it</t>
        </is>
      </c>
      <c r="R330" s="3" t="inlineStr">
        <is>
          <t>No dependent function — it reads its inputs and answers</t>
        </is>
      </c>
      <c r="S330" s="3" t="inlineStr">
        <is>
          <t>—</t>
        </is>
      </c>
      <c r="T330" s="3" t="inlineStr">
        <is>
          <t>SAMPLE_ODDS_SENTENCE</t>
        </is>
      </c>
      <c r="U330" s="3" t="inlineStr">
        <is>
          <t>ACTIVE</t>
        </is>
      </c>
      <c r="V330" s="3" t="inlineStr">
        <is>
          <t>2026-08-27</t>
        </is>
      </c>
      <c r="Y330" s="6" t="inlineStr">
        <is>
          <t>TESTED, NOT VERIFIED (Odds — exact, no rounding)</t>
        </is>
      </c>
    </row>
    <row r="331">
      <c r="A331" s="3" t="inlineStr">
        <is>
          <t>MK-PL-F-026</t>
        </is>
      </c>
      <c r="B331" s="3" t="inlineStr">
        <is>
          <t>planDoor</t>
        </is>
      </c>
      <c r="C331" s="3" t="inlineStr">
        <is>
          <t>src/domain/planning/hub.ts</t>
        </is>
      </c>
      <c r="D331" s="3" t="n">
        <v>100</v>
      </c>
      <c r="E331" s="3" t="inlineStr">
        <is>
          <t>2 · DISPLAYED</t>
        </is>
      </c>
      <c r="F331" s="3" t="inlineStr">
        <is>
          <t>Is there enough to show this person their own odds?</t>
        </is>
      </c>
      <c r="G331" s="13"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31" s="3" t="inlineStr">
        <is>
          <t>PARTLY READ — some of the code is still showing through; needs a hand pass</t>
        </is>
      </c>
      <c r="J331" s="3" t="inlineStr">
        <is>
          <t>1. op: Record&lt;string, any&gt; | null
2. accounts: AssetAccount[]</t>
        </is>
      </c>
      <c r="K331" s="3" t="inlineStr">
        <is>
          <t>PlanDoor</t>
        </is>
      </c>
      <c r="L331" s="3" t="inlineStr">
        <is>
          <t>"WILL MY MONEY LAST?" — on the Plan screen, under "WILL MY MONEY LAST?"</t>
        </is>
      </c>
      <c r="M331" s="3" t="inlineStr">
        <is>
          <t>· If balance is missing it counts as zero, so nothing recorded and a real zero look the same.</t>
        </is>
      </c>
      <c r="N331" s="3" t="inlineStr">
        <is>
          <t>Yes</t>
        </is>
      </c>
      <c r="O331" s="3" t="inlineStr">
        <is>
          <t>MK-NW-F-033 retirementEarmarkedValue</t>
        </is>
      </c>
      <c r="P331" s="3" t="n">
        <v>16</v>
      </c>
      <c r="Q331"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31"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31" s="3" t="inlineStr">
        <is>
          <t>MK-PL-M-001 · MK-PL-M-002</t>
        </is>
      </c>
      <c r="T331" s="3" t="inlineStr">
        <is>
          <t>WHAT_THE_PLAN_STILL_NEEDS</t>
        </is>
      </c>
      <c r="U331" s="3" t="inlineStr">
        <is>
          <t>ACTIVE</t>
        </is>
      </c>
      <c r="V331" s="3" t="inlineStr">
        <is>
          <t>2026-09-12</t>
        </is>
      </c>
      <c r="Y331" s="3" t="inlineStr">
        <is>
          <t>NOTHING OPEN</t>
        </is>
      </c>
    </row>
    <row r="332">
      <c r="A332" s="3" t="inlineStr">
        <is>
          <t>MK-PL-F-027</t>
        </is>
      </c>
      <c r="B332" s="3" t="inlineStr">
        <is>
          <t>nextDecision</t>
        </is>
      </c>
      <c r="C332" s="3" t="inlineStr">
        <is>
          <t>src/domain/planning/hub.ts</t>
        </is>
      </c>
      <c r="D332" s="3" t="n">
        <v>164</v>
      </c>
      <c r="E332" s="3" t="inlineStr">
        <is>
          <t>2 · DISPLAYED</t>
        </is>
      </c>
      <c r="F332" s="3" t="inlineStr">
        <is>
          <t>NOT DETERMINED — the code carries no note saying what this is for, and it has no row in the old inventory. Needs reading.</t>
        </is>
      </c>
      <c r="G332" s="13"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NOT FOUND — a screen calls it, but the words printed beside its answer could not be traced automatically. Needs reading.</t>
        </is>
      </c>
      <c r="M332" s="3" t="inlineStr">
        <is>
          <t>1. Uses a built-in s a m p l e c h a n c e of 84.
2. Uses a built-in s a m p l e h o r i z o n of 90.
3. Uses today's date from the device clock, so the answer changes by itself overnight.
4. Rounds the answer to a whole number.</t>
        </is>
      </c>
      <c r="N332" s="3" t="inlineStr">
        <is>
          <t>Yes</t>
        </is>
      </c>
      <c r="O332" s="3" t="inlineStr">
        <is>
          <t>1. MK-PL-F-080 rmdRequiredThisYear
2. MK-PL-F-005 rmdStartAgeFor
3. MK-PL-F-009 rmdTakenThisYear</t>
        </is>
      </c>
      <c r="P332" s="3" t="n">
        <v>9</v>
      </c>
      <c r="Q332" s="3" t="inlineStr">
        <is>
          <t>1. MK-PL-F-080 rmdRequiredThisYear
2. MK-PL-F-005 rmdStartAgeFor
3. MK-PL-F-009 rmdTakenThisYear
4. MK-PL-F-007 rmdAtAge
5. MK-ST-F-025 rmdStartAgeFromAge
6. MK-ST-F-056 has
7. MK-CF-F-132 map
8. MK-PL-F-078 rmdDivisorAtAge
9. MK-ST-F-024 rmdStartAge</t>
        </is>
      </c>
      <c r="R3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32" s="3" t="inlineStr">
        <is>
          <t>—</t>
        </is>
      </c>
      <c r="T332" s="3" t="inlineStr">
        <is>
          <t>—</t>
        </is>
      </c>
      <c r="U332" s="3" t="inlineStr">
        <is>
          <t>ACTIVE</t>
        </is>
      </c>
      <c r="V332" s="3" t="inlineStr">
        <is>
          <t>2026-09-08</t>
        </is>
      </c>
      <c r="Y332" s="3" t="inlineStr">
        <is>
          <t>NOTHING OPEN</t>
        </is>
      </c>
    </row>
    <row r="333">
      <c r="A333" s="3" t="inlineStr">
        <is>
          <t>MK-PL-F-028</t>
        </is>
      </c>
      <c r="B333" s="3" t="inlineStr">
        <is>
          <t>sampleAskLine</t>
        </is>
      </c>
      <c r="C333" s="3" t="inlineStr">
        <is>
          <t>src/domain/planning/hub.ts</t>
        </is>
      </c>
      <c r="D333" s="3" t="n">
        <v>260</v>
      </c>
      <c r="E333" s="3" t="inlineStr">
        <is>
          <t>2 · DISPLAYED</t>
        </is>
      </c>
      <c r="F333" s="3" t="inlineStr">
        <is>
          <t>The invitation under a sample: name the answers still missing, so a dead end becomes one tap.</t>
        </is>
      </c>
      <c r="G333" s="13"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33" s="3" t="inlineStr">
        <is>
          <t>PARTLY READ — some of the code is still showing through; needs a hand pass</t>
        </is>
      </c>
      <c r="J333" s="3" t="inlineStr">
        <is>
          <t>missing: string[]</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t>
        </is>
      </c>
      <c r="P333" s="3" t="n">
        <v>0</v>
      </c>
      <c r="Q333" s="3" t="inlineStr">
        <is>
          <t>None — no dependent function stands behind it</t>
        </is>
      </c>
      <c r="R333" s="3" t="inlineStr">
        <is>
          <t>No dependent function — it reads its inputs and answers</t>
        </is>
      </c>
      <c r="S333" s="3" t="inlineStr">
        <is>
          <t>—</t>
        </is>
      </c>
      <c r="T333" s="3" t="inlineStr">
        <is>
          <t>SAMPLE_ASK_SENTENCE</t>
        </is>
      </c>
      <c r="U333" s="3" t="inlineStr">
        <is>
          <t>ACTIVE</t>
        </is>
      </c>
      <c r="V333" s="3" t="inlineStr">
        <is>
          <t>2026-08-27</t>
        </is>
      </c>
      <c r="Y333" s="3" t="inlineStr">
        <is>
          <t>NOTHING OPEN</t>
        </is>
      </c>
    </row>
    <row r="334">
      <c r="A334" s="3" t="inlineStr">
        <is>
          <t>MK-PL-F-029</t>
        </is>
      </c>
      <c r="B334" s="3" t="inlineStr">
        <is>
          <t>shortfallAgeFromBand</t>
        </is>
      </c>
      <c r="C334" s="3" t="inlineStr">
        <is>
          <t>src/domain/planning/hub.ts</t>
        </is>
      </c>
      <c r="D334" s="3" t="n">
        <v>285</v>
      </c>
      <c r="E334" s="3" t="inlineStr">
        <is>
          <t>2 · DISPLAYED</t>
        </is>
      </c>
      <c r="F334" s="3" t="inlineStr">
        <is>
          <t>The age the middle path first hits zero, from a simulation band — null while it never does.</t>
        </is>
      </c>
      <c r="G334" s="13" t="inlineStr">
        <is>
          <t>(band ?? []).find((pt) =&gt; pt.p50 ≤ 0).age (or nothing when missing)</t>
        </is>
      </c>
      <c r="H334" s="3" t="inlineStr">
        <is>
          <t>(band ?? []).find((pt) =&gt; pt.p50 is at most 0).age (or no answer — when missing).</t>
        </is>
      </c>
      <c r="I334" s="3" t="inlineStr">
        <is>
          <t>PARTLY READ — some of the code is still showing through; needs a hand pass</t>
        </is>
      </c>
      <c r="J334" s="3" t="inlineStr">
        <is>
          <t>band?: { age: number; p50: number }[] | null</t>
        </is>
      </c>
      <c r="K334" s="3" t="inlineStr">
        <is>
          <t>number | null</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t>
        </is>
      </c>
      <c r="P334" s="3" t="n">
        <v>0</v>
      </c>
      <c r="Q334" s="3" t="inlineStr">
        <is>
          <t>None — no dependent function stands behind it</t>
        </is>
      </c>
      <c r="R334" s="3" t="inlineStr">
        <is>
          <t>No dependent function — it reads its inputs and answers</t>
        </is>
      </c>
      <c r="S334" s="3" t="inlineStr">
        <is>
          <t>—</t>
        </is>
      </c>
      <c r="T334" s="3" t="inlineStr">
        <is>
          <t>AGE_THE_MONEY_RUNS_OUT</t>
        </is>
      </c>
      <c r="U334" s="3" t="inlineStr">
        <is>
          <t>ACTIVE</t>
        </is>
      </c>
      <c r="V334" s="3" t="inlineStr">
        <is>
          <t>2026-08-27</t>
        </is>
      </c>
      <c r="Y334" s="3" t="inlineStr">
        <is>
          <t>NOTHING OPEN</t>
        </is>
      </c>
    </row>
    <row r="335">
      <c r="A335" s="3" t="inlineStr">
        <is>
          <t>MK-PL-F-030</t>
        </is>
      </c>
      <c r="B335" s="3" t="inlineStr">
        <is>
          <t>onCourseSentence</t>
        </is>
      </c>
      <c r="C335" s="3" t="inlineStr">
        <is>
          <t>src/domain/planning/hub.ts</t>
        </is>
      </c>
      <c r="D335" s="3" t="n">
        <v>313</v>
      </c>
      <c r="E335" s="3" t="inlineStr">
        <is>
          <t>2 · DISPLAYED</t>
        </is>
      </c>
      <c r="F335" s="3" t="inlineStr">
        <is>
          <t>In one sentence, how is this plan doing?</t>
        </is>
      </c>
      <c r="G335" s="13"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1. If leftover at horizon is missing it uses 0.
2. Rounds the answer to a whole number.</t>
        </is>
      </c>
      <c r="N335" s="3" t="inlineStr">
        <is>
          <t>Yes</t>
        </is>
      </c>
      <c r="O335" s="3" t="inlineStr">
        <is>
          <t>MK-ST-F-053 money</t>
        </is>
      </c>
      <c r="P335" s="3" t="n">
        <v>6</v>
      </c>
      <c r="Q335" s="3" t="inlineStr">
        <is>
          <t>1. MK-ST-F-053 money
2. MK-ST-F-049 formatMoney
3. MK-XS-F-122 n
4. MK-ST-F-048 currencySymbol
5. MK-ST-F-039 on
6. MK-ST-F-047 activeCurrency</t>
        </is>
      </c>
      <c r="R3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35" s="3" t="inlineStr">
        <is>
          <t>—</t>
        </is>
      </c>
      <c r="T335" s="3" t="inlineStr">
        <is>
          <t>ARE_YOU_ON_COURSE</t>
        </is>
      </c>
      <c r="U335" s="3" t="inlineStr">
        <is>
          <t>ACTIVE</t>
        </is>
      </c>
      <c r="V335" s="3" t="inlineStr">
        <is>
          <t>2026-08-27</t>
        </is>
      </c>
      <c r="Y335" s="3" t="inlineStr">
        <is>
          <t>NOTHING OPEN</t>
        </is>
      </c>
    </row>
    <row r="336">
      <c r="A336" s="3" t="inlineStr">
        <is>
          <t>MK-PL-F-031</t>
        </is>
      </c>
      <c r="B336" s="3" t="inlineStr">
        <is>
          <t>taxOrganizer</t>
        </is>
      </c>
      <c r="C336" s="3" t="inlineStr">
        <is>
          <t>src/domain/planning/index.ts</t>
        </is>
      </c>
      <c r="D336" s="3" t="n">
        <v>119</v>
      </c>
      <c r="E336" s="3" t="inlineStr">
        <is>
          <t>2 · DISPLAYED</t>
        </is>
      </c>
      <c r="F336" s="3" t="inlineStr">
        <is>
          <t>The year-end summary for the accountant: income lines, the four taxable-income steps, contributions, accounts, documents to gather.</t>
        </is>
      </c>
      <c r="G336" s="13"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36" s="3" t="inlineStr">
        <is>
          <t>PARTLY READ — some of the code is still showing through; needs a hand pass</t>
        </is>
      </c>
      <c r="J336" s="3" t="inlineStr">
        <is>
          <t>1. op: OnboardingProfile | null
2. opts: { accounts?: any[]; liabilities?: any[]; actualPassive?: number; year: number }</t>
        </is>
      </c>
      <c r="K336" s="3" t="inlineStr">
        <is>
          <t>TaxOrganizer</t>
        </is>
      </c>
      <c r="L336" s="3" t="inlineStr">
        <is>
          <t>NOT FOUND — a screen calls it, but the words printed beside its answer could not be traced automatically. Needs reading.</t>
        </is>
      </c>
      <c r="M336" s="3" t="inlineStr">
        <is>
          <t>1. If balance is missing it counts as zero, so nothing recorded and a real zero look the same.
2. Turns a monthly figure into a year by multiplying by twelve.</t>
        </is>
      </c>
      <c r="N336" s="3" t="inlineStr">
        <is>
          <t>Yes</t>
        </is>
      </c>
      <c r="O3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36" s="3" t="n">
        <v>43</v>
      </c>
      <c r="Q3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MK-CF-F-067 rentalList
16. MK-CF-F-062 equityRowValue
17. MK-CF-F-063 rowVestYear
18. MK-CF-F-060 salaryGrossByMonth
19. MK-CF-F-099 deductionFor
20. MK-CF-F-085 filingStatusOf
21. MK-CF-F-188 householdPreTaxContributionsAnnual
22. MK-ST-F-039 on
23. MK-CF-F-089 over65CountOf
24. MK-CF-F-187 seniorDeductionFor
25. MK-CF-F-081 salaryActiveMonths
26. MK-XS-F-122 n
27. MK-CF-F-173 earnerWages
28. MK-CF-F-102 effectiveRateOnGrossFor
29. MK-CF-F-180 enteredLandsAnnual
30. MK-CF-F-086 stateRateOf
31. MK-CF-F-084 taxableAnnual
32. MK-CF-F-176 sumMonthsOverEarners
33. MK-CF-F-177 wageGrossByMonth
34. MK-CF-F-175 sumOverEarners
35. MK-CF-F-172 hasWage
36. MK-CF-F-101 taxOwedFor
37. MK-CF-F-071 extraIncome
38. MK-CF-F-130 enteredMonthlyRaw
39. MK-CF-F-166 hasMonthlySalaryTable
40. MK-ST-F-036 reconcile
41. MK-CF-F-167 salaryCalendarYear
42. MK-CF-F-100 taxableIncomeFor
43. MK-CF-F-165 salaryMonths</t>
        </is>
      </c>
      <c r="R3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36" s="3" t="inlineStr">
        <is>
          <t>MK-MN-M-027 · MK-MN-M-028</t>
        </is>
      </c>
      <c r="T336" s="3" t="inlineStr">
        <is>
          <t>—</t>
        </is>
      </c>
      <c r="U336" s="3" t="inlineStr">
        <is>
          <t>ACTIVE</t>
        </is>
      </c>
      <c r="V336" s="3" t="inlineStr">
        <is>
          <t>2026-09-09</t>
        </is>
      </c>
      <c r="Y336" s="3" t="inlineStr">
        <is>
          <t>NOTHING OPEN</t>
        </is>
      </c>
    </row>
    <row r="337">
      <c r="A337" s="3" t="inlineStr">
        <is>
          <t>MK-PL-F-032</t>
        </is>
      </c>
      <c r="B337" s="3" t="inlineStr">
        <is>
          <t>rothConversionCost</t>
        </is>
      </c>
      <c r="C337" s="3" t="inlineStr">
        <is>
          <t>src/domain/planning/index.ts</t>
        </is>
      </c>
      <c r="D337" s="3" t="n">
        <v>205</v>
      </c>
      <c r="E337" s="3" t="inlineStr">
        <is>
          <t>2 · DISPLAYED</t>
        </is>
      </c>
      <c r="F337" s="3" t="inlineStr">
        <is>
          <t>───────────────────────── Roth conversion (fill a low bracket) ───────────────────────── In a low-income year (e.g.</t>
        </is>
      </c>
      <c r="G337" s="13" t="inlineStr">
        <is>
          <t>tax owed for(gross + amount, status, state rate) − tax owed for(gross, status, state rate)</t>
        </is>
      </c>
      <c r="H337" s="3" t="inlineStr">
        <is>
          <t>tax owed for(gross plus amount, status, state rate) minus tax owed for(gross, status, state rate).</t>
        </is>
      </c>
      <c r="I337" s="3" t="inlineStr">
        <is>
          <t>READ FROM THE CODE — rendered from the expressions the function runs</t>
        </is>
      </c>
      <c r="J337" s="3" t="inlineStr">
        <is>
          <t>1. gross: number
2. amount: number
3. status: import('../income/tax').FilingStatus
4. stateRate: number</t>
        </is>
      </c>
      <c r="K337" s="3" t="inlineStr">
        <is>
          <t>number</t>
        </is>
      </c>
      <c r="L337" s="3" t="inlineStr">
        <is>
          <t>NOT FOUND — a screen calls it, but the words printed beside its answer could not be traced automatically. Needs reading.</t>
        </is>
      </c>
      <c r="M3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37" s="3" t="inlineStr">
        <is>
          <t>Yes</t>
        </is>
      </c>
      <c r="O337" s="3" t="inlineStr">
        <is>
          <t>MK-CF-F-101 taxOwedFor</t>
        </is>
      </c>
      <c r="P337" s="3" t="n">
        <v>4</v>
      </c>
      <c r="Q337" s="3" t="inlineStr">
        <is>
          <t>1. MK-CF-F-101 taxOwedFor
2. MK-CF-F-100 taxableIncomeFor
3. MK-CF-F-099 deductionFor
4. MK-CF-F-187 seniorDeductionFor</t>
        </is>
      </c>
      <c r="R337" s="3" t="inlineStr">
        <is>
          <t>MK-CF-F-187 seniorDeductionFor → MK-CF-F-099 deductionFor → MK-CF-F-100 taxableIncomeFor → MK-CF-F-101 taxOwedFor → MK-PL-F-032 rothConversionCost</t>
        </is>
      </c>
      <c r="S337" s="3" t="inlineStr">
        <is>
          <t>—</t>
        </is>
      </c>
      <c r="T337" s="3" t="inlineStr">
        <is>
          <t>—</t>
        </is>
      </c>
      <c r="U337" s="3" t="inlineStr">
        <is>
          <t>ACTIVE</t>
        </is>
      </c>
      <c r="V337" s="3" t="inlineStr">
        <is>
          <t>2026-09-09</t>
        </is>
      </c>
      <c r="Y337" s="3" t="inlineStr">
        <is>
          <t>NOTHING OPEN</t>
        </is>
      </c>
    </row>
    <row r="338">
      <c r="A338" s="3" t="inlineStr">
        <is>
          <t>MK-PL-F-033</t>
        </is>
      </c>
      <c r="B338" s="3" t="inlineStr">
        <is>
          <t>educationPlan</t>
        </is>
      </c>
      <c r="C338" s="3" t="inlineStr">
        <is>
          <t>src/domain/planning/index.ts</t>
        </is>
      </c>
      <c r="D338" s="3" t="n">
        <v>256</v>
      </c>
      <c r="E338" s="3" t="inlineStr">
        <is>
          <t>2 · DISPLAYED</t>
        </is>
      </c>
      <c r="F338" s="3" t="inlineStr">
        <is>
          <t>NOT DETERMINED — the code carries no note saying what this is for, and it has no row in the old inventory. Needs reading.</t>
        </is>
      </c>
      <c r="G338" s="13"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38" s="3" t="inlineStr">
        <is>
          <t>PARTLY READ — the body has a loop the extractor cannot render; the steps shown are the ones before it. Needs a hand pass (G23).</t>
        </is>
      </c>
      <c r="J338" s="3" t="inlineStr">
        <is>
          <t>inp: EduPlanInput</t>
        </is>
      </c>
      <c r="K338" s="3" t="inlineStr">
        <is>
          <t>EduPlan</t>
        </is>
      </c>
      <c r="L338" s="3" t="inlineStr">
        <is>
          <t>"Projected total cost" — on the College costs screen</t>
        </is>
      </c>
      <c r="M338" s="3" t="inlineStr">
        <is>
          <t>1. Uses a built-in future total cost of 0.
2. Turns a monthly figure into a year by multiplying by twelve.
3. Rounds the answer to a whole number.</t>
        </is>
      </c>
      <c r="N338" s="3" t="inlineStr">
        <is>
          <t>Yes</t>
        </is>
      </c>
      <c r="O338" s="3" t="inlineStr">
        <is>
          <t>MK-XS-F-122 n</t>
        </is>
      </c>
      <c r="P338" s="3" t="n">
        <v>1</v>
      </c>
      <c r="Q338" s="3" t="inlineStr">
        <is>
          <t>MK-XS-F-122 n</t>
        </is>
      </c>
      <c r="R338" s="3" t="inlineStr">
        <is>
          <t>MK-XS-F-122 n → MK-PL-F-033 educationPlan</t>
        </is>
      </c>
      <c r="S338" s="3" t="inlineStr">
        <is>
          <t>MK-PL-M-036 · MK-PL-M-037</t>
        </is>
      </c>
      <c r="T338" s="3" t="inlineStr">
        <is>
          <t>—</t>
        </is>
      </c>
      <c r="U338" s="3" t="inlineStr">
        <is>
          <t>ACTIVE</t>
        </is>
      </c>
      <c r="V338" s="3" t="inlineStr">
        <is>
          <t>2026-09-08</t>
        </is>
      </c>
      <c r="Y338" s="3" t="inlineStr">
        <is>
          <t>NOTHING OPEN</t>
        </is>
      </c>
    </row>
    <row r="339">
      <c r="A339" s="3" t="inlineStr">
        <is>
          <t>MK-PL-F-034</t>
        </is>
      </c>
      <c r="B339" s="3" t="inlineStr">
        <is>
          <t>lifeInsuranceNeed</t>
        </is>
      </c>
      <c r="C339" s="3" t="inlineStr">
        <is>
          <t>src/domain/planning/index.ts</t>
        </is>
      </c>
      <c r="D339" s="3" t="n">
        <v>319</v>
      </c>
      <c r="E339" s="3" t="inlineStr">
        <is>
          <t>2 · DISPLAYED</t>
        </is>
      </c>
      <c r="F339" s="3" t="inlineStr">
        <is>
          <t>NOT DETERMINED — the code carries no note saying what this is for, and it has no row in the old inventory. Needs reading.</t>
        </is>
      </c>
      <c r="G339" s="13" t="inlineStr">
        <is>
          <t>income replacement = max(0, inp.annual income) × math.max(0, inp.years to replace)
total need = income replacement + max(0, inp.debts) + max(0, inp.future goals) + max(0, inp.final expenses)
covered = max(0, inp.liquid savings) + math.max(0, inp.existing coverage)</t>
        </is>
      </c>
      <c r="H3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39" s="3" t="inlineStr">
        <is>
          <t>PARTLY READ — some of the code is still showing through; needs a hand pass</t>
        </is>
      </c>
      <c r="J339" s="3" t="inlineStr">
        <is>
          <t>inp: InsuranceInput</t>
        </is>
      </c>
      <c r="K339" s="3" t="inlineStr">
        <is>
          <t>InsuranceNeed</t>
        </is>
      </c>
      <c r="L339" s="3" t="inlineStr">
        <is>
          <t>1. "Gap" — on the Insurance screen
2. "Total need" — on the Insurance screen</t>
        </is>
      </c>
      <c r="M3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2026-08-27</t>
        </is>
      </c>
      <c r="Y339" s="3" t="inlineStr">
        <is>
          <t>NOTHING OPEN</t>
        </is>
      </c>
    </row>
    <row r="340">
      <c r="A340" s="3" t="inlineStr">
        <is>
          <t>MK-PL-F-035</t>
        </is>
      </c>
      <c r="B340" s="3" t="inlineStr">
        <is>
          <t>retireAgeWithContribution</t>
        </is>
      </c>
      <c r="C340" s="3" t="inlineStr">
        <is>
          <t>src/domain/planning/multiGoal.ts</t>
        </is>
      </c>
      <c r="D340" s="3" t="n">
        <v>67</v>
      </c>
      <c r="E340" s="3" t="inlineStr">
        <is>
          <t>2 · DISPLAYED</t>
        </is>
      </c>
      <c r="F340" s="3" t="inlineStr">
        <is>
          <t>Earliest age the projection covers the need, WITH contributions until that age (F4's before/after).</t>
        </is>
      </c>
      <c r="G340" s="13" t="inlineStr">
        <is>
          <t>p = project nest egg({ ...inp, annual contribution: monthly contribution × 12, retire age: age, guaranteed start age: inp.guaranteed start age })
age   when will have ≥ will need
the answer = nothing</t>
        </is>
      </c>
      <c r="H340" s="3" t="inlineStr">
        <is>
          <t>P is project nest egg({ ...inp, annual contribution: monthly contribution times 12, retire age: age, guaranteed start age: inp.guaranteed start age }). When will have is at least will need, it answers age. The answer is no answer.</t>
        </is>
      </c>
      <c r="I340" s="3" t="inlineStr">
        <is>
          <t>READ FROM THE CODE — rendered from the expressions the function runs</t>
        </is>
      </c>
      <c r="J340" s="3" t="inlineStr">
        <is>
          <t>1. inp: RetirementInputs
2. monthlyContribution: number
3. maxAge = 80</t>
        </is>
      </c>
      <c r="K340" s="3" t="inlineStr">
        <is>
          <t>number | null</t>
        </is>
      </c>
      <c r="L340" s="3" t="inlineStr">
        <is>
          <t>NOT FOUND — a screen calls it, but the words printed beside its answer could not be traced automatically. Needs reading.</t>
        </is>
      </c>
      <c r="M340" s="3" t="inlineStr">
        <is>
          <t>· Turns a monthly figure into a year by multiplying by twelve.</t>
        </is>
      </c>
      <c r="N340" s="3" t="inlineStr">
        <is>
          <t>Yes</t>
        </is>
      </c>
      <c r="O340" s="3" t="inlineStr">
        <is>
          <t>1. MK-PL-F-055 projectNestEgg
2. MK-PL-F-050 simulate
3. MK-PL-F-056 solveRetireAge</t>
        </is>
      </c>
      <c r="P340" s="3" t="n">
        <v>12</v>
      </c>
      <c r="Q340" s="3" t="inlineStr">
        <is>
          <t>1. MK-PL-F-055 projectNestEgg
2. MK-PL-F-050 simulate
3. MK-PL-F-056 solveRetireAge
4. MK-CF-F-132 map
5. MK-PL-F-074 median
6. MK-PL-F-072 mulberry32
7. MK-XS-F-122 n
8. MK-PL-F-073 normal
9. MK-PL-F-075 pctOfSorted
10. MK-ST-F-025 rmdStartAgeFromAge
11. MK-ST-F-024 rmdStartAge
12. MK-ST-F-056 has</t>
        </is>
      </c>
      <c r="R340" s="3" t="inlineStr">
        <is>
          <t>1. MK-CF-F-132 map → MK-PL-F-055 projectNestEgg → MK-PL-F-035 retireAgeWithContribution
2. MK-CF-F-132 map → MK-PL-F-050 simulate → MK-PL-F-055 projectNestEgg → MK-PL-F-035 retireAgeWithContribution
3. MK-PL-F-074 median → MK-PL-F-050 simulate → MK-PL-F-055 projectNestEgg → MK-PL-F-035 retireAgeWithContribution
4. MK-PL-F-072 mulberry32 → MK-PL-F-050 simulate → MK-PL-F-055 projectNestEgg → MK-PL-F-035 retireAgeWithContribution
5. MK-XS-F-122 n → MK-PL-F-050 simulate → MK-PL-F-055 projectNestEgg → MK-PL-F-035 retireAgeWithContribution
6. MK-PL-F-073 normal → MK-PL-F-050 simulate → MK-PL-F-055 projectNestEgg → MK-PL-F-035 retireAgeWithContribution
7. MK-PL-F-075 pctOfSorted → MK-PL-F-050 simulate → MK-PL-F-055 projectNestEgg → MK-PL-F-035 retireAgeWithContribution
8. MK-ST-F-056 has → MK-ST-F-024 rmdStartAge → MK-ST-F-025 rmdStartAgeFromAge → MK-PL-F-050 simulate → MK-PL-F-055 projectNestEgg → MK-PL-F-035 retireAgeWithContribution
9. … and 5 more paths</t>
        </is>
      </c>
      <c r="S340" s="3" t="inlineStr">
        <is>
          <t>—</t>
        </is>
      </c>
      <c r="T340" s="3" t="inlineStr">
        <is>
          <t>—</t>
        </is>
      </c>
      <c r="U340" s="3" t="inlineStr">
        <is>
          <t>ACTIVE</t>
        </is>
      </c>
      <c r="V340" s="3" t="inlineStr">
        <is>
          <t>2026-08-27</t>
        </is>
      </c>
      <c r="Y340" s="3" t="inlineStr">
        <is>
          <t>NOTHING OPEN</t>
        </is>
      </c>
    </row>
    <row r="341">
      <c r="A341" s="3" t="inlineStr">
        <is>
          <t>MK-PL-F-036</t>
        </is>
      </c>
      <c r="B341" s="3" t="inlineStr">
        <is>
          <t>weighGoals</t>
        </is>
      </c>
      <c r="C341" s="3" t="inlineStr">
        <is>
          <t>src/domain/planning/multiGoal.ts</t>
        </is>
      </c>
      <c r="D341" s="3" t="n">
        <v>117</v>
      </c>
      <c r="E341" s="3" t="inlineStr">
        <is>
          <t>2 · DISPLAYED</t>
        </is>
      </c>
      <c r="F341" s="3" t="inlineStr">
        <is>
          <t>Run the whole combination once.</t>
        </is>
      </c>
      <c r="G341" s="13"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41" s="3" t="inlineStr">
        <is>
          <t>PARTLY READ — some of the code is still showing through; needs a hand pass</t>
        </is>
      </c>
      <c r="J341" s="3" t="inlineStr">
        <is>
          <t>w: WeighInputs</t>
        </is>
      </c>
      <c r="K341" s="3" t="inlineStr">
        <is>
          <t>WeighResult</t>
        </is>
      </c>
      <c r="L341" s="3" t="inlineStr">
        <is>
          <t>NOT FOUND — a screen calls it, but the words printed beside its answer could not be traced automatically. Needs reading.</t>
        </is>
      </c>
      <c r="M3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41" s="3" t="inlineStr">
        <is>
          <t>Yes</t>
        </is>
      </c>
      <c r="O341" s="3" t="inlineStr">
        <is>
          <t>1. MK-PL-F-021 monthsToGoal
2. MK-ST-F-039 on
3. MK-CF-F-034 payoffPlan
4. MK-PL-F-035 retireAgeWithContribution
5. MK-PL-F-050 simulate</t>
        </is>
      </c>
      <c r="P341" s="3" t="n">
        <v>18</v>
      </c>
      <c r="Q341" s="3" t="inlineStr">
        <is>
          <t>1. MK-PL-F-021 monthsToGoal
2. MK-ST-F-039 on
3. MK-CF-F-034 payoffPlan
4. MK-PL-F-035 retireAgeWithContribution
5. MK-PL-F-050 simulate
6. MK-CF-F-132 map
7. MK-CF-F-022 paymentShape
8. MK-PL-F-055 projectNestEgg
9. MK-PL-F-056 solveRetireAge
10. MK-PL-F-074 median
11. MK-PL-F-072 mulberry32
12. MK-XS-F-122 n
13. MK-PL-F-073 normal
14. MK-PL-F-075 pctOfSorted
15. MK-ST-F-025 rmdStartAgeFromAge
16. MK-CF-F-021 defaultPaymentType
17. MK-ST-F-024 rmdStartAge
18. MK-ST-F-056 has</t>
        </is>
      </c>
      <c r="R3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MK-CF-F-132 map → MK-PL-F-050 simulate → MK-PL-F-055 projectNestEgg → MK-PL-F-035 retireAgeWithContribution → MK-PL-F-036 weighGoals
7. MK-PL-F-074 median → MK-PL-F-050 simulate → MK-PL-F-055 projectNestEgg → MK-PL-F-035 retireAgeWithContribution → MK-PL-F-036 weighGoals
8. MK-PL-F-072 mulberry32 → MK-PL-F-050 simulate → MK-PL-F-055 projectNestEgg → MK-PL-F-035 retireAgeWithContribution → MK-PL-F-036 weighGoals
9. … and 5 more paths</t>
        </is>
      </c>
      <c r="S341" s="3" t="inlineStr">
        <is>
          <t>—</t>
        </is>
      </c>
      <c r="T341" s="3" t="inlineStr">
        <is>
          <t>—</t>
        </is>
      </c>
      <c r="U341" s="3" t="inlineStr">
        <is>
          <t>ACTIVE</t>
        </is>
      </c>
      <c r="V341" s="3" t="inlineStr">
        <is>
          <t>2026-09-09</t>
        </is>
      </c>
      <c r="Y341" s="3" t="inlineStr">
        <is>
          <t>NOTHING OPEN</t>
        </is>
      </c>
    </row>
    <row r="342">
      <c r="A342" s="3" t="inlineStr">
        <is>
          <t>MK-PL-F-037</t>
        </is>
      </c>
      <c r="B342" s="3" t="inlineStr">
        <is>
          <t>trimHints</t>
        </is>
      </c>
      <c r="C342" s="3" t="inlineStr">
        <is>
          <t>src/domain/planning/multiGoal.ts</t>
        </is>
      </c>
      <c r="D342" s="3" t="n">
        <v>193</v>
      </c>
      <c r="E342" s="3" t="inlineStr">
        <is>
          <t>2 · DISPLAYED</t>
        </is>
      </c>
      <c r="F342" s="3" t="inlineStr">
        <is>
          <t>One hint per active goal: the SAME weigher re-run with that dial reduced — a pre-run of the slider, so applying the hint's amount reproduces its numbers exactly (the pin).</t>
        </is>
      </c>
      <c r="G342" s="13" t="inlineStr">
        <is>
          <t>trimmed amount = max(0, round((monthly amount × reduce to) ÷ 100) × 100)
freed = monthly amount − trimmed amount
the answer:
dial id = id
label = label
trimmed amount = trimmed amount
retire age = retire age
chance = chance</t>
        </is>
      </c>
      <c r="H3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42" s="3" t="inlineStr">
        <is>
          <t>READ FROM THE CODE — rendered from the expressions the function runs</t>
        </is>
      </c>
      <c r="J342" s="3" t="inlineStr">
        <is>
          <t>1. w: WeighInputs
2. reduceTo = 0.6</t>
        </is>
      </c>
      <c r="K342" s="3" t="inlineStr">
        <is>
          <t>TrimHint[]</t>
        </is>
      </c>
      <c r="L342" s="3" t="inlineStr">
        <is>
          <t>NOT FOUND — a screen calls it, but the words printed beside its answer could not be traced automatically. Needs reading.</t>
        </is>
      </c>
      <c r="M342" s="3" t="inlineStr">
        <is>
          <t>· Rounds the answer to a whole number.</t>
        </is>
      </c>
      <c r="N342" s="3" t="inlineStr">
        <is>
          <t>Yes</t>
        </is>
      </c>
      <c r="O342" s="3" t="inlineStr">
        <is>
          <t>1. MK-CF-F-132 map
2. MK-PL-F-036 weighGoals</t>
        </is>
      </c>
      <c r="P342" s="3" t="n">
        <v>19</v>
      </c>
      <c r="Q342" s="3" t="inlineStr">
        <is>
          <t>1. MK-CF-F-132 map
2. MK-PL-F-036 weighGoals
3. MK-PL-F-021 monthsToGoal
4. MK-ST-F-039 on
5. MK-CF-F-034 payoffPlan
6. MK-PL-F-035 retireAgeWithContribution
7. MK-PL-F-050 simulate
8. MK-CF-F-022 paymentShape
9. MK-PL-F-055 projectNestEgg
10. MK-PL-F-056 solveRetireAge
11. MK-PL-F-074 median
12. MK-PL-F-072 mulberry32
13. MK-XS-F-122 n
14. MK-PL-F-073 normal
15. MK-PL-F-075 pctOfSorted
16. MK-ST-F-025 rmdStartAgeFromAge
17. MK-CF-F-021 defaultPaymentType
18. MK-ST-F-024 rmdStartAge
19. MK-ST-F-056 has</t>
        </is>
      </c>
      <c r="R3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MK-CF-F-132 map → MK-PL-F-050 simulate → MK-PL-F-055 projectNestEgg → MK-PL-F-035 retireAgeWithContribution → MK-PL-F-036 weighGoals → MK-PL-F-037 trimHints
8. MK-PL-F-074 median → MK-PL-F-050 simulate → MK-PL-F-055 projectNestEgg → MK-PL-F-035 retireAgeWithContribution → MK-PL-F-036 weighGoals → MK-PL-F-037 trimHints
9. … and 4 more paths</t>
        </is>
      </c>
      <c r="S342" s="3" t="inlineStr">
        <is>
          <t>—</t>
        </is>
      </c>
      <c r="T342" s="3" t="inlineStr">
        <is>
          <t>—</t>
        </is>
      </c>
      <c r="U342" s="3" t="inlineStr">
        <is>
          <t>ACTIVE</t>
        </is>
      </c>
      <c r="V342" s="3" t="inlineStr">
        <is>
          <t>2026-08-27</t>
        </is>
      </c>
      <c r="Y342" s="3" t="inlineStr">
        <is>
          <t>NOTHING OPEN</t>
        </is>
      </c>
    </row>
    <row r="343">
      <c r="A343" s="3" t="inlineStr">
        <is>
          <t>MK-PL-F-038</t>
        </is>
      </c>
      <c r="B343" s="3" t="inlineStr">
        <is>
          <t>spendMoreState</t>
        </is>
      </c>
      <c r="C343" s="3" t="inlineStr">
        <is>
          <t>src/domain/planning/spendMore.ts</t>
        </is>
      </c>
      <c r="D343" s="3" t="n">
        <v>78</v>
      </c>
      <c r="E343" s="3" t="inlineStr">
        <is>
          <t>2 · DISPLAYED</t>
        </is>
      </c>
      <c r="F343" s="3" t="inlineStr">
        <is>
          <t>How much more she could spend, and how much of it is genuinely free.</t>
        </is>
      </c>
      <c r="G343" s="13" t="inlineStr">
        <is>
          <t>today = base.retire monthly spend today
odds today = odds at(base, today)
free = 0
the answer:
max extra = max extra
free extra = free
odds today = odds today</t>
        </is>
      </c>
      <c r="H343" s="3" t="inlineStr">
        <is>
          <t>Today is base.retire monthly spend today. Odds today is odds at(base, today). Free is 0. The answer is max extra = max extra; free extra = free; odds today = odds today.</t>
        </is>
      </c>
      <c r="I343" s="3" t="inlineStr">
        <is>
          <t>READ FROM THE CODE — rendered from the expressions the function runs</t>
        </is>
      </c>
      <c r="J343" s="3" t="inlineStr">
        <is>
          <t>1. base: RetirementInputs
2. maxExtra: number
3. step = 500</t>
        </is>
      </c>
      <c r="K343" s="3" t="inlineStr">
        <is>
          <t>SpendMoreState</t>
        </is>
      </c>
      <c r="L343" s="3" t="inlineStr">
        <is>
          <t>"Can I spend more?" — on a card used on more than one screen (SpendMoreControl)</t>
        </is>
      </c>
      <c r="M343" s="3" t="inlineStr">
        <is>
          <t>· Uses a built-in free of 0.</t>
        </is>
      </c>
      <c r="N343" s="3" t="inlineStr">
        <is>
          <t>Yes</t>
        </is>
      </c>
      <c r="O343" s="3" t="inlineStr">
        <is>
          <t>MK-PL-F-069 oddsAt</t>
        </is>
      </c>
      <c r="P343" s="3" t="n">
        <v>11</v>
      </c>
      <c r="Q343" s="3" t="inlineStr">
        <is>
          <t>1. MK-PL-F-069 oddsAt
2. MK-PL-F-050 simulate
3. MK-CF-F-132 map
4. MK-PL-F-074 median
5. MK-PL-F-072 mulberry32
6. MK-XS-F-122 n
7. MK-PL-F-073 normal
8. MK-PL-F-075 pctOfSorted
9. MK-ST-F-025 rmdStartAgeFromAge
10. MK-ST-F-024 rmdStartAge
11. MK-ST-F-056 has</t>
        </is>
      </c>
      <c r="R343" s="3" t="inlineStr">
        <is>
          <t>1. MK-CF-F-132 map → MK-PL-F-050 simulate → MK-PL-F-069 oddsAt → MK-PL-F-038 spendMoreState
2. MK-PL-F-074 median → MK-PL-F-050 simulate → MK-PL-F-069 oddsAt → MK-PL-F-038 spendMoreState
3. MK-PL-F-072 mulberry32 → MK-PL-F-050 simulate → MK-PL-F-069 oddsAt → MK-PL-F-038 spendMoreState
4. MK-XS-F-122 n → MK-PL-F-050 simulate → MK-PL-F-069 oddsAt → MK-PL-F-038 spendMoreState
5. MK-PL-F-073 normal → MK-PL-F-050 simulate → MK-PL-F-069 oddsAt → MK-PL-F-038 spendMoreState
6. MK-PL-F-075 pctOfSorted → MK-PL-F-050 simulate → MK-PL-F-069 oddsAt → MK-PL-F-038 spendMoreState
7. MK-ST-F-056 has → MK-ST-F-024 rmdStartAge → MK-ST-F-025 rmdStartAgeFromAge → MK-PL-F-050 simulate → MK-PL-F-069 oddsAt → MK-PL-F-038 spendMoreState</t>
        </is>
      </c>
      <c r="S343" s="3" t="inlineStr">
        <is>
          <t>—</t>
        </is>
      </c>
      <c r="T343" s="3" t="inlineStr">
        <is>
          <t>—</t>
        </is>
      </c>
      <c r="U343" s="3" t="inlineStr">
        <is>
          <t>ACTIVE</t>
        </is>
      </c>
      <c r="V343" s="3" t="inlineStr">
        <is>
          <t>2026-08-27</t>
        </is>
      </c>
      <c r="Y343" s="3" t="inlineStr">
        <is>
          <t>NOTHING OPEN</t>
        </is>
      </c>
    </row>
    <row r="344">
      <c r="A344" s="3" t="inlineStr">
        <is>
          <t>MK-PL-F-039</t>
        </is>
      </c>
      <c r="B344" s="3" t="inlineStr">
        <is>
          <t>spendMoreSentence</t>
        </is>
      </c>
      <c r="C344" s="3" t="inlineStr">
        <is>
          <t>src/domain/planning/spendMore.ts</t>
        </is>
      </c>
      <c r="D344" s="3" t="n">
        <v>119</v>
      </c>
      <c r="E344" s="3" t="inlineStr">
        <is>
          <t>2 · DISPLAYED</t>
        </is>
      </c>
      <c r="F344" s="3" t="inlineStr">
        <is>
          <t>What the screen says at a given stepper position — a real run every time, never a bucket.</t>
        </is>
      </c>
      <c r="G344" s="13" t="inlineStr">
        <is>
          <t>chance = odds at(base, base.retire monthly spend today + extra)
failing = round(100 − chance, 6 dp)
the answer:
chance = chance
tone = 'watch'
text = `lasts in almost every simulated future — about ${chance} out of 100.`</t>
        </is>
      </c>
      <c r="H344" s="3" t="inlineStr">
        <is>
          <t>Chance is odds at(base, base.retire monthly spend today plus extra). Failing is 100 minus chance, to 6 decimal places. The answer is chance = chance; tone = 'watch'; text = `lasts in almost every simulated future — about ${chance} out of 100.`.</t>
        </is>
      </c>
      <c r="I344" s="3" t="inlineStr">
        <is>
          <t>PARTLY READ — some of the code is still showing through; needs a hand pass</t>
        </is>
      </c>
      <c r="J344" s="3" t="inlineStr">
        <is>
          <t>1. base: RetirementInputs
2. extra: number
3. horizonAge: number
4. oddsToday: number</t>
        </is>
      </c>
      <c r="K344" s="3" t="inlineStr">
        <is>
          <t>NOT DECLARED — the code does not say what it gives back</t>
        </is>
      </c>
      <c r="L344" s="3" t="inlineStr">
        <is>
          <t>NOT FOUND — a screen calls it, but the words printed beside its answer could not be traced automatically. Needs reading.</t>
        </is>
      </c>
      <c r="M344" s="3" t="inlineStr">
        <is>
          <t>· Rounds the answer to 6 decimal places.</t>
        </is>
      </c>
      <c r="N344" s="3" t="inlineStr">
        <is>
          <t>Yes</t>
        </is>
      </c>
      <c r="O344" s="3" t="inlineStr">
        <is>
          <t>MK-PL-F-069 oddsAt</t>
        </is>
      </c>
      <c r="P344" s="3" t="n">
        <v>11</v>
      </c>
      <c r="Q344" s="3" t="inlineStr">
        <is>
          <t>1. MK-PL-F-069 oddsAt
2. MK-PL-F-050 simulate
3. MK-CF-F-132 map
4. MK-PL-F-074 median
5. MK-PL-F-072 mulberry32
6. MK-XS-F-122 n
7. MK-PL-F-073 normal
8. MK-PL-F-075 pctOfSorted
9. MK-ST-F-025 rmdStartAgeFromAge
10. MK-ST-F-024 rmdStartAge
11. MK-ST-F-056 has</t>
        </is>
      </c>
      <c r="R344" s="3" t="inlineStr">
        <is>
          <t>1. MK-CF-F-132 map → MK-PL-F-050 simulate → MK-PL-F-069 oddsAt → MK-PL-F-039 spendMoreSentence
2. MK-PL-F-074 median → MK-PL-F-050 simulate → MK-PL-F-069 oddsAt → MK-PL-F-039 spendMoreSentence
3. MK-PL-F-072 mulberry32 → MK-PL-F-050 simulate → MK-PL-F-069 oddsAt → MK-PL-F-039 spendMoreSentence
4. MK-XS-F-122 n → MK-PL-F-050 simulate → MK-PL-F-069 oddsAt → MK-PL-F-039 spendMoreSentence
5. MK-PL-F-073 normal → MK-PL-F-050 simulate → MK-PL-F-069 oddsAt → MK-PL-F-039 spendMoreSentence
6. MK-PL-F-075 pctOfSorted → MK-PL-F-050 simulate → MK-PL-F-069 oddsAt → MK-PL-F-039 spendMoreSentence
7. MK-ST-F-056 has → MK-ST-F-024 rmdStartAge → MK-ST-F-025 rmdStartAgeFromAge → MK-PL-F-050 simulate → MK-PL-F-069 oddsAt → MK-PL-F-039 spendMoreSentence</t>
        </is>
      </c>
      <c r="S344" s="3" t="inlineStr">
        <is>
          <t>—</t>
        </is>
      </c>
      <c r="T344" s="3" t="inlineStr">
        <is>
          <t>—</t>
        </is>
      </c>
      <c r="U344" s="3" t="inlineStr">
        <is>
          <t>ACTIVE</t>
        </is>
      </c>
      <c r="V344" s="3" t="inlineStr">
        <is>
          <t>2026-09-14</t>
        </is>
      </c>
      <c r="Y344" s="3" t="inlineStr">
        <is>
          <t>NOTHING OPEN</t>
        </is>
      </c>
    </row>
    <row r="345">
      <c r="A345" s="3" t="inlineStr">
        <is>
          <t>MK-PL-F-040</t>
        </is>
      </c>
      <c r="B345" s="3" t="inlineStr">
        <is>
          <t>targetAtRetirement</t>
        </is>
      </c>
      <c r="C345" s="3" t="inlineStr">
        <is>
          <t>src/domain/planning/target.ts</t>
        </is>
      </c>
      <c r="D345" s="3" t="n">
        <v>107</v>
      </c>
      <c r="E345" s="3" t="inlineStr">
        <is>
          <t>2 · DISPLAYED</t>
        </is>
      </c>
      <c r="F345" s="3" t="inlineStr">
        <is>
          <t>THE TARGET: the balance on day one of retirement that reaches TARGET_ODDS.</t>
        </is>
      </c>
      <c r="G345" s="13"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3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345" s="3" t="inlineStr">
        <is>
          <t>PARTLY READ — the body has a loop the extractor cannot render; the steps shown are the ones before it. Needs a hand pass (G23).</t>
        </is>
      </c>
      <c r="J345" s="3" t="inlineStr">
        <is>
          <t>base: RetirementInputs</t>
        </is>
      </c>
      <c r="K345" s="3" t="inlineStr">
        <is>
          <t>number | null</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1. MK-PL-F-071 oddsOf
2. MK-PL-F-070 smallestThatWorks</t>
        </is>
      </c>
      <c r="P345" s="3" t="n">
        <v>12</v>
      </c>
      <c r="Q345" s="3" t="inlineStr">
        <is>
          <t>1. MK-PL-F-071 oddsOf
2. MK-PL-F-070 smallestThatWorks
3. MK-PL-F-050 simulate
4. MK-CF-F-132 map
5. MK-PL-F-074 median
6. MK-PL-F-072 mulberry32
7. MK-XS-F-122 n
8. MK-PL-F-073 normal
9. MK-PL-F-075 pctOfSorted
10. MK-ST-F-025 rmdStartAgeFromAge
11. MK-ST-F-024 rmdStartAge
12. MK-ST-F-056 has</t>
        </is>
      </c>
      <c r="R345" s="3" t="inlineStr">
        <is>
          <t>1. MK-CF-F-132 map → MK-PL-F-050 simulate → MK-PL-F-071 oddsOf → MK-PL-F-040 targetAtRetirement
2. MK-PL-F-074 median → MK-PL-F-050 simulate → MK-PL-F-071 oddsOf → MK-PL-F-040 targetAtRetirement
3. MK-PL-F-072 mulberry32 → MK-PL-F-050 simulate → MK-PL-F-071 oddsOf → MK-PL-F-040 targetAtRetirement
4. MK-XS-F-122 n → MK-PL-F-050 simulate → MK-PL-F-071 oddsOf → MK-PL-F-040 targetAtRetirement
5. MK-PL-F-073 normal → MK-PL-F-050 simulate → MK-PL-F-071 oddsOf → MK-PL-F-040 targetAtRetirement
6. MK-PL-F-075 pctOfSorted → MK-PL-F-050 simulate → MK-PL-F-071 oddsOf → MK-PL-F-040 targetAtRetirement
7. MK-ST-F-056 has → MK-ST-F-024 rmdStartAge → MK-ST-F-025 rmdStartAgeFromAge → MK-PL-F-050 simulate → MK-PL-F-071 oddsOf → MK-PL-F-040 targetAtRetirement
8. MK-PL-F-070 smallestThatWorks → MK-PL-F-040 targetAtRetirement</t>
        </is>
      </c>
      <c r="S345" s="3" t="inlineStr">
        <is>
          <t>—</t>
        </is>
      </c>
      <c r="T345" s="3" t="inlineStr">
        <is>
          <t>—</t>
        </is>
      </c>
      <c r="U345" s="3" t="inlineStr">
        <is>
          <t>ACTIVE</t>
        </is>
      </c>
      <c r="V345" s="3" t="inlineStr">
        <is>
          <t>2026-09-14</t>
        </is>
      </c>
      <c r="Y345" s="3" t="inlineStr">
        <is>
          <t>NOTHING OPEN</t>
        </is>
      </c>
    </row>
    <row r="346">
      <c r="A346" s="3" t="inlineStr">
        <is>
          <t>MK-PL-F-041</t>
        </is>
      </c>
      <c r="B346" s="3" t="inlineStr">
        <is>
          <t>requiredAnnualSaving</t>
        </is>
      </c>
      <c r="C346" s="3" t="inlineStr">
        <is>
          <t>src/domain/planning/target.ts</t>
        </is>
      </c>
      <c r="D346" s="3" t="n">
        <v>161</v>
      </c>
      <c r="E346" s="3" t="inlineStr">
        <is>
          <t>3 · DEPENDENT</t>
        </is>
      </c>
      <c r="F346" s="3" t="inlineStr">
        <is>
          <t>THE YEARLY SAVING: the total annual contribution that reaches TARGET_ODDS on the real plan — the one with their age, their years left, their expenses, their big costs.</t>
        </is>
      </c>
      <c r="G346" s="13"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3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346" s="3" t="inlineStr">
        <is>
          <t>PARTLY READ — the body has a loop the extractor cannot render; the steps shown are the ones before it. Needs a hand pass (G23).</t>
        </is>
      </c>
      <c r="J346" s="3" t="inlineStr">
        <is>
          <t>base: RetirementInputs</t>
        </is>
      </c>
      <c r="K346" s="3" t="inlineStr">
        <is>
          <t>NOT DECLARED — the code does not say what it gives back</t>
        </is>
      </c>
      <c r="L346" s="3" t="inlineStr">
        <is>
          <t>—</t>
        </is>
      </c>
      <c r="M346" s="3" t="inlineStr">
        <is>
          <t>· If annual contribution is missing it uses 0.</t>
        </is>
      </c>
      <c r="N346" s="3" t="inlineStr">
        <is>
          <t>Yes</t>
        </is>
      </c>
      <c r="O346" s="3" t="inlineStr">
        <is>
          <t>1. MK-PL-F-071 oddsOf
2. MK-PL-F-070 smallestThatWorks</t>
        </is>
      </c>
      <c r="P346" s="3" t="n">
        <v>12</v>
      </c>
      <c r="Q346" s="3" t="inlineStr">
        <is>
          <t>1. MK-PL-F-071 oddsOf
2. MK-PL-F-070 smallestThatWorks
3. MK-PL-F-050 simulate
4. MK-CF-F-132 map
5. MK-PL-F-074 median
6. MK-PL-F-072 mulberry32
7. MK-XS-F-122 n
8. MK-PL-F-073 normal
9. MK-PL-F-075 pctOfSorted
10. MK-ST-F-025 rmdStartAgeFromAge
11. MK-ST-F-024 rmdStartAge
12. MK-ST-F-056 has</t>
        </is>
      </c>
      <c r="R346" s="3" t="inlineStr">
        <is>
          <t>1. MK-CF-F-132 map → MK-PL-F-050 simulate → MK-PL-F-071 oddsOf → MK-PL-F-041 requiredAnnualSaving
2. MK-PL-F-074 median → MK-PL-F-050 simulate → MK-PL-F-071 oddsOf → MK-PL-F-041 requiredAnnualSaving
3. MK-PL-F-072 mulberry32 → MK-PL-F-050 simulate → MK-PL-F-071 oddsOf → MK-PL-F-041 requiredAnnualSaving
4. MK-XS-F-122 n → MK-PL-F-050 simulate → MK-PL-F-071 oddsOf → MK-PL-F-041 requiredAnnualSaving
5. MK-PL-F-073 normal → MK-PL-F-050 simulate → MK-PL-F-071 oddsOf → MK-PL-F-041 requiredAnnualSaving
6. MK-PL-F-075 pctOfSorted → MK-PL-F-050 simulate → MK-PL-F-071 oddsOf → MK-PL-F-041 requiredAnnualSaving
7. MK-ST-F-056 has → MK-ST-F-024 rmdStartAge → MK-ST-F-025 rmdStartAgeFromAge → MK-PL-F-050 simulate → MK-PL-F-071 oddsOf → MK-PL-F-041 requiredAnnualSaving
8. MK-PL-F-070 smallestThatWorks → MK-PL-F-041 requiredAnnualSaving</t>
        </is>
      </c>
      <c r="S346" s="3" t="inlineStr">
        <is>
          <t>—</t>
        </is>
      </c>
      <c r="T346" s="3" t="inlineStr">
        <is>
          <t>—</t>
        </is>
      </c>
      <c r="U346" s="3" t="inlineStr">
        <is>
          <t>ACTIVE</t>
        </is>
      </c>
      <c r="V346" s="3" t="inlineStr">
        <is>
          <t>2026-09-14</t>
        </is>
      </c>
      <c r="Y346" s="3" t="inlineStr">
        <is>
          <t>NOTHING OPEN</t>
        </is>
      </c>
    </row>
    <row r="347">
      <c r="A347" s="3" t="inlineStr">
        <is>
          <t>MK-PL-F-042</t>
        </is>
      </c>
      <c r="B347" s="3" t="inlineStr">
        <is>
          <t>savingToReachTarget</t>
        </is>
      </c>
      <c r="C347" s="3" t="inlineStr">
        <is>
          <t>src/domain/planning/target.ts</t>
        </is>
      </c>
      <c r="D347" s="3" t="n">
        <v>220</v>
      </c>
      <c r="E347" s="3" t="inlineStr">
        <is>
          <t>3 · DEPENDENT</t>
        </is>
      </c>
      <c r="F347" s="3" t="inlineStr">
        <is>
          <t>The yearly saving whose PROJECTION reaches a typed target.</t>
        </is>
      </c>
      <c r="G347" s="13" t="inlineStr">
        <is>
          <t>found = smallest that works(0, MAX_SAVING, 500, (x) =&gt; projected with(x) ≥ typed target)
nothing   when found = nothing
total = round up(found ÷ 500) × 500
the answer:
total = total
extra = max(0, total − (base.annual contribution ?? 0))</t>
        </is>
      </c>
      <c r="H3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347" s="3" t="inlineStr">
        <is>
          <t>PARTLY READ — some of the code is still showing through; needs a hand pass</t>
        </is>
      </c>
      <c r="J347" s="3" t="inlineStr">
        <is>
          <t>1. base: RetirementInputs
2. typedTarget: number</t>
        </is>
      </c>
      <c r="K347" s="3" t="inlineStr">
        <is>
          <t>NOT DECLARED — the code does not say what it gives back</t>
        </is>
      </c>
      <c r="L347" s="3" t="inlineStr">
        <is>
          <t>—</t>
        </is>
      </c>
      <c r="M347" s="3" t="inlineStr">
        <is>
          <t>· If annual contribution is missing it uses 0.</t>
        </is>
      </c>
      <c r="N347" s="3" t="inlineStr">
        <is>
          <t>Yes</t>
        </is>
      </c>
      <c r="O347" s="3" t="inlineStr">
        <is>
          <t>1. MK-PL-F-050 simulate
2. MK-PL-F-070 smallestThatWorks</t>
        </is>
      </c>
      <c r="P347" s="3" t="n">
        <v>11</v>
      </c>
      <c r="Q347" s="3" t="inlineStr">
        <is>
          <t>1. MK-PL-F-050 simulate
2. MK-PL-F-070 smallestThatWorks
3. MK-CF-F-132 map
4. MK-PL-F-074 median
5. MK-PL-F-072 mulberry32
6. MK-XS-F-122 n
7. MK-PL-F-073 normal
8. MK-PL-F-075 pctOfSorted
9. MK-ST-F-025 rmdStartAgeFromAge
10. MK-ST-F-024 rmdStartAge
11. MK-ST-F-056 has</t>
        </is>
      </c>
      <c r="R347" s="3" t="inlineStr">
        <is>
          <t>1. MK-CF-F-132 map → MK-PL-F-050 simulate → MK-PL-F-042 savingToReachTarget
2. MK-PL-F-074 median → MK-PL-F-050 simulate → MK-PL-F-042 savingToReachTarget
3. MK-PL-F-072 mulberry32 → MK-PL-F-050 simulate → MK-PL-F-042 savingToReachTarget
4. MK-XS-F-122 n → MK-PL-F-050 simulate → MK-PL-F-042 savingToReachTarget
5. MK-PL-F-073 normal → MK-PL-F-050 simulate → MK-PL-F-042 savingToReachTarget
6. MK-PL-F-075 pctOfSorted → MK-PL-F-050 simulate → MK-PL-F-042 savingToReachTarget
7. MK-ST-F-056 has → MK-ST-F-024 rmdStartAge → MK-ST-F-025 rmdStartAgeFromAge → MK-PL-F-050 simulate → MK-PL-F-042 savingToReachTarget
8. MK-PL-F-070 smallestThatWorks → MK-PL-F-042 savingToReachTarget</t>
        </is>
      </c>
      <c r="S347" s="3" t="inlineStr">
        <is>
          <t>—</t>
        </is>
      </c>
      <c r="T347" s="3" t="inlineStr">
        <is>
          <t>—</t>
        </is>
      </c>
      <c r="U347" s="3" t="inlineStr">
        <is>
          <t>ACTIVE</t>
        </is>
      </c>
      <c r="V347" s="3" t="inlineStr">
        <is>
          <t>2026-08-27</t>
        </is>
      </c>
      <c r="Y347" s="3" t="inlineStr">
        <is>
          <t>NOTHING OPEN</t>
        </is>
      </c>
    </row>
    <row r="348">
      <c r="A348" s="3" t="inlineStr">
        <is>
          <t>MK-PL-F-043</t>
        </is>
      </c>
      <c r="B348" s="3" t="inlineStr">
        <is>
          <t>howTheGapCloses</t>
        </is>
      </c>
      <c r="C348" s="3" t="inlineStr">
        <is>
          <t>src/domain/planning/target.ts</t>
        </is>
      </c>
      <c r="D348" s="3" t="n">
        <v>254</v>
      </c>
      <c r="E348" s="3" t="inlineStr">
        <is>
          <t>2 · DISPLAYED</t>
        </is>
      </c>
      <c r="F348" s="3" t="inlineStr">
        <is>
          <t>Where the money to close the gap actually comes from — the breakdown that stops a person subtracting and concluding the app cannot add up (founder, 2026-08-14).</t>
        </is>
      </c>
      <c r="G348" s="13" t="inlineStr">
        <is>
          <t>years = max(0, base.retire age − base.current age)
no saving = simulate({ ...base, annual contribution: 0 }).projected at retirement
with saving = simulate({ ...base, annual contribution: total annual saving }).projected at retirement
put in = total annual saving × years</t>
        </is>
      </c>
      <c r="H3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348" s="3" t="inlineStr">
        <is>
          <t>PARTLY READ — some of the code is still showing through; needs a hand pass</t>
        </is>
      </c>
      <c r="J348" s="3" t="inlineStr">
        <is>
          <t>1. base: RetirementInputs
2. totalAnnualSaving: number</t>
        </is>
      </c>
      <c r="K348" s="3" t="inlineStr">
        <is>
          <t>NOT DECLARED — the code does not say what it gives back</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1. MK-XS-F-147 call
2. MK-PL-F-050 simulate</t>
        </is>
      </c>
      <c r="P348" s="3" t="n">
        <v>14</v>
      </c>
      <c r="Q348" s="3" t="inlineStr">
        <is>
          <t>1. MK-XS-F-147 call
2. MK-PL-F-050 simulate
3. MK-ST-F-027 accountId
4. MK-XS-F-064 currentIdToken
5. MK-XS-F-112 relayUrl
6. MK-CF-F-132 map
7. MK-PL-F-074 median
8. MK-PL-F-072 mulberry32
9. MK-XS-F-122 n
10. MK-PL-F-073 normal
11. MK-PL-F-075 pctOfSorted
12. MK-ST-F-025 rmdStartAgeFromAge
13. MK-ST-F-024 rmdStartAge
14. MK-ST-F-056 has</t>
        </is>
      </c>
      <c r="R348" s="3" t="inlineStr">
        <is>
          <t>1. MK-ST-F-027 accountId → MK-XS-F-147 call → MK-PL-F-043 howTheGapCloses
2. MK-XS-F-064 currentIdToken → MK-XS-F-147 call → MK-PL-F-043 howTheGapCloses
3. MK-XS-F-112 relayUrl → MK-XS-F-147 call → MK-PL-F-043 howTheGapCloses
4. MK-CF-F-132 map → MK-PL-F-050 simulate → MK-PL-F-043 howTheGapCloses
5. MK-PL-F-074 median → MK-PL-F-050 simulate → MK-PL-F-043 howTheGapCloses
6. MK-PL-F-072 mulberry32 → MK-PL-F-050 simulate → MK-PL-F-043 howTheGapCloses
7. MK-XS-F-122 n → MK-PL-F-050 simulate → MK-PL-F-043 howTheGapCloses
8. MK-PL-F-073 normal → MK-PL-F-050 simulate → MK-PL-F-043 howTheGapCloses
9. … and 2 more paths</t>
        </is>
      </c>
      <c r="S348" s="3" t="inlineStr">
        <is>
          <t>—</t>
        </is>
      </c>
      <c r="T348" s="3" t="inlineStr">
        <is>
          <t>—</t>
        </is>
      </c>
      <c r="U348" s="3" t="inlineStr">
        <is>
          <t>ACTIVE</t>
        </is>
      </c>
      <c r="V348" s="3" t="inlineStr">
        <is>
          <t>2026-09-09</t>
        </is>
      </c>
      <c r="Y348" s="3" t="inlineStr">
        <is>
          <t>NOTHING OPEN</t>
        </is>
      </c>
    </row>
    <row r="349">
      <c r="A349" s="3" t="inlineStr">
        <is>
          <t>MK-PL-F-044</t>
        </is>
      </c>
      <c r="B349" s="3" t="inlineStr">
        <is>
          <t>planTarget</t>
        </is>
      </c>
      <c r="C349" s="3" t="inlineStr">
        <is>
          <t>src/domain/planning/target.ts</t>
        </is>
      </c>
      <c r="D349" s="3" t="n">
        <v>323</v>
      </c>
      <c r="E349" s="3" t="inlineStr">
        <is>
          <t>2 · DISPLAYED</t>
        </is>
      </c>
      <c r="F349" s="3" t="inlineStr">
        <is>
          <t>One call, everything the second gauge and the bridge sentence need.</t>
        </is>
      </c>
      <c r="G349" s="13"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3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349" s="3" t="inlineStr">
        <is>
          <t>PARTLY READ — some of the code is still showing through; needs a hand pass</t>
        </is>
      </c>
      <c r="J349" s="3" t="inlineStr">
        <is>
          <t>1. base: RetirementInputs
2. annualIncome?: number
3. roomAnnual?: number
4. typedTarget?: number | null</t>
        </is>
      </c>
      <c r="K349" s="3" t="inlineStr">
        <is>
          <t>PlanTarget</t>
        </is>
      </c>
      <c r="L349" s="3" t="inlineStr">
        <is>
          <t>NOT FOUND — a screen calls it, but the words printed beside its answer could not be traced automatically. Needs reading.</t>
        </is>
      </c>
      <c r="M349" s="3" t="inlineStr">
        <is>
          <t>1. If annual contribution is missing it uses 0.
2. Rounds the answer to a whole number.</t>
        </is>
      </c>
      <c r="N349" s="3" t="inlineStr">
        <is>
          <t>Yes</t>
        </is>
      </c>
      <c r="O349" s="3" t="inlineStr">
        <is>
          <t>1. MK-PL-F-041 requiredAnnualSaving
2. MK-PL-F-042 savingToReachTarget
3. MK-PL-F-050 simulate
4. MK-PL-F-040 targetAtRetirement</t>
        </is>
      </c>
      <c r="P349" s="3" t="n">
        <v>15</v>
      </c>
      <c r="Q349" s="3" t="inlineStr">
        <is>
          <t>1. MK-PL-F-041 requiredAnnualSaving
2. MK-PL-F-042 savingToReachTarget
3. MK-PL-F-050 simulate
4. MK-PL-F-040 targetAtRetirement
5. MK-PL-F-071 oddsOf
6. MK-PL-F-070 smallestThatWorks
7. MK-CF-F-132 map
8. MK-PL-F-074 median
9. MK-PL-F-072 mulberry32
10. MK-XS-F-122 n
11. MK-PL-F-073 normal
12. MK-PL-F-075 pctOfSorted
13. MK-ST-F-025 rmdStartAgeFromAge
14. MK-ST-F-024 rmdStartAge
15. MK-ST-F-056 has</t>
        </is>
      </c>
      <c r="R349" s="3" t="inlineStr">
        <is>
          <t>1. MK-CF-F-132 map → MK-PL-F-050 simulate → MK-PL-F-071 oddsOf → MK-PL-F-041 requiredAnnualSaving → MK-PL-F-044 planTarget
2. MK-PL-F-074 median → MK-PL-F-050 simulate → MK-PL-F-071 oddsOf → MK-PL-F-041 requiredAnnualSaving → MK-PL-F-044 planTarget
3. MK-PL-F-072 mulberry32 → MK-PL-F-050 simulate → MK-PL-F-071 oddsOf → MK-PL-F-041 requiredAnnualSaving → MK-PL-F-044 planTarget
4. MK-XS-F-122 n → MK-PL-F-050 simulate → MK-PL-F-071 oddsOf → MK-PL-F-041 requiredAnnualSaving → MK-PL-F-044 planTarget
5. MK-PL-F-073 normal → MK-PL-F-050 simulate → MK-PL-F-071 oddsOf → MK-PL-F-041 requiredAnnualSaving → MK-PL-F-044 planTarget
6. MK-PL-F-075 pctOfSorted → MK-PL-F-050 simulate → MK-PL-F-071 oddsOf → MK-PL-F-041 requiredAnnualSaving → MK-PL-F-044 planTarget
7. MK-ST-F-024 rmdStartAge → MK-ST-F-025 rmdStartAgeFromAge → MK-PL-F-050 simulate → MK-PL-F-071 oddsOf → MK-PL-F-041 requiredAnnualSaving → MK-PL-F-044 planTarget
8. MK-PL-F-070 smallestThatWorks → MK-PL-F-041 requiredAnnualSaving → MK-PL-F-044 planTarget
9. … and 5 more paths</t>
        </is>
      </c>
      <c r="S349" s="3" t="inlineStr">
        <is>
          <t>—</t>
        </is>
      </c>
      <c r="T349" s="3" t="inlineStr">
        <is>
          <t>—</t>
        </is>
      </c>
      <c r="U349" s="3" t="inlineStr">
        <is>
          <t>ACTIVE</t>
        </is>
      </c>
      <c r="V349" s="3" t="inlineStr">
        <is>
          <t>2026-09-09</t>
        </is>
      </c>
      <c r="Y349" s="3" t="inlineStr">
        <is>
          <t>NOTHING OPEN</t>
        </is>
      </c>
    </row>
    <row r="350">
      <c r="A350" s="3" t="inlineStr">
        <is>
          <t>MK-PL-F-045</t>
        </is>
      </c>
      <c r="B350" s="3" t="inlineStr">
        <is>
          <t>ssUpliftFactor</t>
        </is>
      </c>
      <c r="C350" s="3" t="inlineStr">
        <is>
          <t>src/domain/planning/target.ts</t>
        </is>
      </c>
      <c r="D350" s="3" t="n">
        <v>382</v>
      </c>
      <c r="E350" s="3" t="inlineStr">
        <is>
          <t>3 · DEPENDENT</t>
        </is>
      </c>
      <c r="F350" s="3" t="inlineStr">
        <is>
          <t>Social Security pays roughly 8% more for each year you delay past full retirement age — the claim-later lever has to raise the CHECK, not just move its start date.</t>
        </is>
      </c>
      <c r="G350" s="13" t="inlineStr">
        <is>
          <t>1 + 0.08 × max(0, to age − from age)</t>
        </is>
      </c>
      <c r="H350" s="3" t="inlineStr">
        <is>
          <t>1 plus 0.08 times to age minus from age, never below zero.</t>
        </is>
      </c>
      <c r="I350" s="3" t="inlineStr">
        <is>
          <t>READ FROM THE CODE — rendered from the expressions the function runs</t>
        </is>
      </c>
      <c r="J350" s="3" t="inlineStr">
        <is>
          <t>1. fromAge: number
2. toAge: number</t>
        </is>
      </c>
      <c r="K350" s="3" t="inlineStr">
        <is>
          <t>number</t>
        </is>
      </c>
      <c r="L350" s="3" t="inlineStr">
        <is>
          <t>—</t>
        </is>
      </c>
      <c r="M350" s="3" t="inlineStr">
        <is>
          <t>None found in this function — anything it assumes comes from the functions it depends on.</t>
        </is>
      </c>
      <c r="N350" s="3" t="inlineStr">
        <is>
          <t>Yes</t>
        </is>
      </c>
      <c r="O350" s="3" t="inlineStr">
        <is>
          <t>—</t>
        </is>
      </c>
      <c r="P350" s="3" t="n">
        <v>0</v>
      </c>
      <c r="Q350" s="3" t="inlineStr">
        <is>
          <t>None — no dependent function stands behind it</t>
        </is>
      </c>
      <c r="R350" s="3" t="inlineStr">
        <is>
          <t>No dependent function — it reads its inputs and answers</t>
        </is>
      </c>
      <c r="S350" s="3" t="inlineStr">
        <is>
          <t>—</t>
        </is>
      </c>
      <c r="T350" s="3" t="inlineStr">
        <is>
          <t>—</t>
        </is>
      </c>
      <c r="U350" s="3" t="inlineStr">
        <is>
          <t>ACTIVE</t>
        </is>
      </c>
      <c r="V350" s="3" t="inlineStr">
        <is>
          <t>2026-08-27</t>
        </is>
      </c>
      <c r="Y350" s="3" t="inlineStr">
        <is>
          <t>NOTHING OPEN</t>
        </is>
      </c>
    </row>
    <row r="351">
      <c r="A351" s="3" t="inlineStr">
        <is>
          <t>MK-PL-F-046</t>
        </is>
      </c>
      <c r="B351" s="3" t="inlineStr">
        <is>
          <t>leverDeltas</t>
        </is>
      </c>
      <c r="C351" s="3" t="inlineStr">
        <is>
          <t>src/domain/planning/target.ts</t>
        </is>
      </c>
      <c r="D351" s="3" t="n">
        <v>417</v>
      </c>
      <c r="E351" s="3" t="inlineStr">
        <is>
          <t>2 · DISPLAYED</t>
        </is>
      </c>
      <c r="F351" s="3" t="inlineStr">
        <is>
          <t>NOT DETERMINED — the code carries no note saying what this is for, and it has no row in the old inventory. Needs reading.</t>
        </is>
      </c>
      <c r="G351" s="13"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3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351" s="3" t="inlineStr">
        <is>
          <t>PARTLY READ — some of the code is still showing through; needs a hand pass</t>
        </is>
      </c>
      <c r="J351" s="3" t="inlineStr">
        <is>
          <t>1. base: RetirementInputs
2. opts: { spendCutMonthly?: number; retireLaterYears?: number; claimAge?: number } = {}</t>
        </is>
      </c>
      <c r="K351" s="3" t="inlineStr">
        <is>
          <t>Lever[]</t>
        </is>
      </c>
      <c r="L351" s="3" t="inlineStr">
        <is>
          <t>NOT FOUND — a screen calls it, but the words printed beside its answer could not be traced automatically. Needs reading.</t>
        </is>
      </c>
      <c r="M351" s="3" t="inlineStr">
        <is>
          <t>1. If retire later years is missing it uses 2.
2. If spend cut monthly is missing it uses 400.
3. If claim age is missing it uses 70.
4. If guaranteed monthly income is missing it uses 0.
5. Rounds the answer to a whole number.</t>
        </is>
      </c>
      <c r="N351" s="3" t="inlineStr">
        <is>
          <t>Yes</t>
        </is>
      </c>
      <c r="O351" s="3" t="inlineStr">
        <is>
          <t>1. MK-CF-F-132 map
2. MK-PL-F-071 oddsOf
3. MK-PL-F-051 ssStreamOf
4. MK-PL-F-045 ssUpliftFactor
5. MK-PL-F-052 withSsStream</t>
        </is>
      </c>
      <c r="P351" s="3" t="n">
        <v>14</v>
      </c>
      <c r="Q351" s="3" t="inlineStr">
        <is>
          <t>1. MK-CF-F-132 map
2. MK-PL-F-071 oddsOf
3. MK-PL-F-051 ssStreamOf
4. MK-PL-F-045 ssUpliftFactor
5. MK-PL-F-052 withSsStream
6. MK-PL-F-050 simulate
7. MK-PL-F-074 median
8. MK-PL-F-072 mulberry32
9. MK-XS-F-122 n
10. MK-PL-F-073 normal
11. MK-PL-F-075 pctOfSorted
12. MK-ST-F-025 rmdStartAgeFromAge
13. MK-ST-F-024 rmdStartAge
14. MK-ST-F-056 has</t>
        </is>
      </c>
      <c r="R351" s="3" t="inlineStr">
        <is>
          <t>1. MK-CF-F-132 map → MK-PL-F-046 leverDeltas
2. MK-CF-F-132 map → MK-PL-F-050 simulate → MK-PL-F-071 oddsOf → MK-PL-F-046 leverDeltas
3. MK-PL-F-074 median → MK-PL-F-050 simulate → MK-PL-F-071 oddsOf → MK-PL-F-046 leverDeltas
4. MK-PL-F-072 mulberry32 → MK-PL-F-050 simulate → MK-PL-F-071 oddsOf → MK-PL-F-046 leverDeltas
5. MK-XS-F-122 n → MK-PL-F-050 simulate → MK-PL-F-071 oddsOf → MK-PL-F-046 leverDeltas
6. MK-PL-F-073 normal → MK-PL-F-050 simulate → MK-PL-F-071 oddsOf → MK-PL-F-046 leverDeltas
7. MK-PL-F-075 pctOfSorted → MK-PL-F-050 simulate → MK-PL-F-071 oddsOf → MK-PL-F-046 leverDeltas
8. MK-ST-F-056 has → MK-ST-F-024 rmdStartAge → MK-ST-F-025 rmdStartAgeFromAge → MK-PL-F-050 simulate → MK-PL-F-071 oddsOf → MK-PL-F-046 leverDeltas
9. … and 3 more paths</t>
        </is>
      </c>
      <c r="S351" s="3" t="inlineStr">
        <is>
          <t>—</t>
        </is>
      </c>
      <c r="T351" s="3" t="inlineStr">
        <is>
          <t>—</t>
        </is>
      </c>
      <c r="U351" s="3" t="inlineStr">
        <is>
          <t>ACTIVE</t>
        </is>
      </c>
      <c r="V351" s="3" t="inlineStr">
        <is>
          <t>2026-08-27</t>
        </is>
      </c>
      <c r="Y351" s="3" t="inlineStr">
        <is>
          <t>NOTHING OPEN</t>
        </is>
      </c>
    </row>
    <row r="352">
      <c r="A352" s="3" t="inlineStr">
        <is>
          <t>MK-PL-F-047</t>
        </is>
      </c>
      <c r="B352" s="3" t="inlineStr">
        <is>
          <t>colFactor</t>
        </is>
      </c>
      <c r="C352" s="3" t="inlineStr">
        <is>
          <t>src/domain/retirement/col.ts</t>
        </is>
      </c>
      <c r="D352" s="3" t="n">
        <v>79</v>
      </c>
      <c r="E352" s="3" t="inlineStr">
        <is>
          <t>2 · DISPLAYED</t>
        </is>
      </c>
      <c r="F352" s="3" t="inlineStr">
        <is>
          <t>Cost-of-living factor for a free-text location.</t>
        </is>
      </c>
      <c r="G352" s="13" t="inlineStr">
        <is>
          <t>q = string(location ?? '').trim().to lower case()
factor = 1
name = nothing   when q is missing
the answer:
factor = row.factor
name = row.name
[LOOP — the answer is found inside a loop the extractor cannot render; the steps above are the ones before it. Read by hand.]</t>
        </is>
      </c>
      <c r="H352" s="3" t="inlineStr">
        <is>
          <t>Q is string(location ?? '').trim().to lower case(). When q is missing, it answers factor = 1; name is missing. The answer is factor = row.factor; name = row.name. The answer is found inside a loop that cannot be rendered here; read the code by hand.</t>
        </is>
      </c>
      <c r="I352" s="3" t="inlineStr">
        <is>
          <t>PARTLY READ — the body has a loop the extractor cannot render; the steps shown are the ones before it. Needs a hand pass (G23).</t>
        </is>
      </c>
      <c r="J352" s="3" t="inlineStr">
        <is>
          <t>location?: string | null</t>
        </is>
      </c>
      <c r="K352" s="3" t="inlineStr">
        <is>
          <t>ColMatch</t>
        </is>
      </c>
      <c r="L352" s="3" t="inlineStr">
        <is>
          <t>1. "Country / region" — on the setup questions, which appear on more than one screen
2. "You plan to spend" — on the Retirement cockpit screen</t>
        </is>
      </c>
      <c r="M352" s="3" t="inlineStr">
        <is>
          <t>None found in this function — anything it assumes comes from the functions it depends on.</t>
        </is>
      </c>
      <c r="N352" s="3" t="inlineStr">
        <is>
          <t>Yes</t>
        </is>
      </c>
      <c r="O352" s="3" t="inlineStr">
        <is>
          <t>—</t>
        </is>
      </c>
      <c r="P352" s="3" t="n">
        <v>0</v>
      </c>
      <c r="Q352" s="3" t="inlineStr">
        <is>
          <t>None — no dependent function stands behind it</t>
        </is>
      </c>
      <c r="R352" s="3" t="inlineStr">
        <is>
          <t>No dependent function — it reads its inputs and answers</t>
        </is>
      </c>
      <c r="S352" s="3" t="inlineStr">
        <is>
          <t>—</t>
        </is>
      </c>
      <c r="T352" s="3" t="inlineStr">
        <is>
          <t>COST_OF_LIVING</t>
        </is>
      </c>
      <c r="U352" s="3" t="inlineStr">
        <is>
          <t>ACTIVE</t>
        </is>
      </c>
      <c r="V352" s="3" t="inlineStr">
        <is>
          <t>2026-09-08</t>
        </is>
      </c>
      <c r="Y352" s="3" t="inlineStr">
        <is>
          <t>NOTHING OPEN</t>
        </is>
      </c>
    </row>
    <row r="353">
      <c r="A353" s="3" t="inlineStr">
        <is>
          <t>MK-PL-F-048</t>
        </is>
      </c>
      <c r="B353" s="3" t="inlineStr">
        <is>
          <t>capitalNeeded</t>
        </is>
      </c>
      <c r="C353" s="3" t="inlineStr">
        <is>
          <t>src/domain/retirement/index.ts</t>
        </is>
      </c>
      <c r="D353" s="3" t="n">
        <v>61</v>
      </c>
      <c r="E353" s="3" t="inlineStr">
        <is>
          <t>2 · DISPLAYED</t>
        </is>
      </c>
      <c r="F353" s="3" t="inlineStr">
        <is>
          <t>NOT DETERMINED — the code carries no note saying what this is for, and it has no row in the old inventory. Needs reading.</t>
        </is>
      </c>
      <c r="G353" s="13"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3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353" s="3" t="inlineStr">
        <is>
          <t>PARTLY READ — some of the code is still showing through; needs a hand pass</t>
        </is>
      </c>
      <c r="J353" s="3" t="inlineStr">
        <is>
          <t>inp: CapitalNeedInputs</t>
        </is>
      </c>
      <c r="K353" s="3" t="inlineStr">
        <is>
          <t>CapitalNeed</t>
        </is>
      </c>
      <c r="L3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353" s="3" t="inlineStr">
        <is>
          <t>1. Turns a monthly figure into a year by multiplying by twelve.
2. Never lets r fall below 0.</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t>
        </is>
      </c>
      <c r="U353" s="3" t="inlineStr">
        <is>
          <t>ACTIVE</t>
        </is>
      </c>
      <c r="V353" s="3" t="inlineStr">
        <is>
          <t>2026-08-27</t>
        </is>
      </c>
      <c r="Y353" s="3" t="inlineStr">
        <is>
          <t>NOTHING OPEN</t>
        </is>
      </c>
    </row>
    <row r="354">
      <c r="A354" s="3" t="inlineStr">
        <is>
          <t>MK-PL-F-049</t>
        </is>
      </c>
      <c r="B354" s="3" t="inlineStr">
        <is>
          <t>retirementSpendMonthly</t>
        </is>
      </c>
      <c r="C354" s="3" t="inlineStr">
        <is>
          <t>src/domain/retirement/index.ts</t>
        </is>
      </c>
      <c r="D354" s="3" t="n">
        <v>112</v>
      </c>
      <c r="E354" s="3" t="inlineStr">
        <is>
          <t>2 · DISPLAYED</t>
        </is>
      </c>
      <c r="F354" s="3" t="inlineStr">
        <is>
          <t>All-in monthly retirement spend = base + travel + medical (annual→monthly), adjusted by the expected trajectory (spend less / same / more later) and the retirement location's cost-of-living factor (retLocation).</t>
        </is>
      </c>
      <c r="G354" s="13"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3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354" s="3" t="inlineStr">
        <is>
          <t>PARTLY READ — some of the code is still showing through; needs a hand pass</t>
        </is>
      </c>
      <c r="J354" s="3" t="inlineStr">
        <is>
          <t>op: OnboardingProfile | null</t>
        </is>
      </c>
      <c r="K354" s="3" t="inlineStr">
        <is>
          <t>number</t>
        </is>
      </c>
      <c r="L354" s="3" t="inlineStr">
        <is>
          <t>NOT FOUND — a screen calls it, but the words printed beside its answer could not be traced automatically. Needs reading.</t>
        </is>
      </c>
      <c r="M354" s="3" t="inlineStr">
        <is>
          <t>None found in this function — anything it assumes comes from the functions it depends on.</t>
        </is>
      </c>
      <c r="N354" s="3" t="inlineStr">
        <is>
          <t>Yes</t>
        </is>
      </c>
      <c r="O354" s="3" t="inlineStr">
        <is>
          <t>1. MK-PL-F-047 colFactor
2. MK-PL-F-001 taxBucketSplit
3. MK-ST-F-052 toNum</t>
        </is>
      </c>
      <c r="P354" s="3" t="n">
        <v>17</v>
      </c>
      <c r="Q354" s="3" t="inlineStr">
        <is>
          <t>1. MK-PL-F-047 colFactor
2. MK-PL-F-001 taxBucketSplit
3. MK-ST-F-052 toNum
4. MK-NW-F-032 earmarkedAmount
5. MK-XS-F-122 n
6. MK-NW-F-030 earmarkDefault
7. MK-NW-F-011 assetClassOf
8. MK-NW-F-013 realEstateUseOf
9. MK-NW-F-008 incomeBearingClassOf
10. MK-CF-F-155 cash
11. MK-ST-F-010 nameEvidence
12. MK-XS-F-147 call
13. MK-ST-F-056 has
14. MK-CF-F-132 map
15. MK-ST-F-027 accountId
16. MK-XS-F-064 currentIdToken
17. MK-XS-F-112 relayUrl</t>
        </is>
      </c>
      <c r="R354" s="3" t="inlineStr">
        <is>
          <t>1. MK-PL-F-047 colFactor → MK-PL-F-049 retirementSpendMonthly
2. MK-NW-F-008 incomeBearingClassOf → MK-NW-F-011 assetClassOf → MK-NW-F-030 earmarkDefault → MK-NW-F-032 earmarkedAmount → MK-PL-F-001 taxBucketSplit → MK-PL-F-049 retirementSpendMonthly
3. MK-NW-F-013 realEstateUseOf → MK-NW-F-030 earmarkDefault → MK-NW-F-032 earmarkedAmount → MK-PL-F-001 taxBucketSplit → MK-PL-F-049 retirementSpendMonthly
4. MK-XS-F-122 n → MK-ST-F-052 toNum → MK-PL-F-049 retirementSpendMonthly</t>
        </is>
      </c>
      <c r="S354" s="3" t="inlineStr">
        <is>
          <t>MK-PL-M-009</t>
        </is>
      </c>
      <c r="T354" s="3" t="inlineStr">
        <is>
          <t>RETIREMENT_SPENDING</t>
        </is>
      </c>
      <c r="U354" s="3" t="inlineStr">
        <is>
          <t>ACTIVE</t>
        </is>
      </c>
      <c r="V354" s="3" t="inlineStr">
        <is>
          <t>2026-09-12</t>
        </is>
      </c>
      <c r="Y354" s="3" t="inlineStr">
        <is>
          <t>NOTHING OPEN</t>
        </is>
      </c>
    </row>
    <row r="355">
      <c r="A355" s="3" t="inlineStr">
        <is>
          <t>MK-PL-F-050</t>
        </is>
      </c>
      <c r="B355" s="3" t="inlineStr">
        <is>
          <t>simulate</t>
        </is>
      </c>
      <c r="C355" s="3" t="inlineStr">
        <is>
          <t>src/domain/retirement/index.ts</t>
        </is>
      </c>
      <c r="D355" s="3" t="n">
        <v>368</v>
      </c>
      <c r="E355" s="3" t="inlineStr">
        <is>
          <t>2 · DISPLAYED</t>
        </is>
      </c>
      <c r="F355" s="3" t="inlineStr">
        <is>
          <t>B4 (founder brief 2026-08-20): the RMD rule lives in the ONE dated, sourced table — the Calculation Module's rmd function.</t>
        </is>
      </c>
      <c r="G355" s="13"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3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355" s="3" t="inlineStr">
        <is>
          <t>PARTLY READ — some of the code is still showing through; needs a hand pass</t>
        </is>
      </c>
      <c r="J355" s="3" t="inlineStr">
        <is>
          <t>inp: RetirementInputs</t>
        </is>
      </c>
      <c r="K355" s="3" t="inlineStr">
        <is>
          <t>NOT DECLARED — the code does not say what it gives back</t>
        </is>
      </c>
      <c r="L355" s="3" t="inlineStr">
        <is>
          <t>1. "Claim at age" — on the Retirement cockpit screen
2. "Run Monte Carlo simulation" — on the Retirement cockpit screen</t>
        </is>
      </c>
      <c r="M3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355" s="3" t="inlineStr">
        <is>
          <t>Yes</t>
        </is>
      </c>
      <c r="O355" s="3" t="inlineStr">
        <is>
          <t>1. MK-CF-F-132 map
2. MK-PL-F-074 median
3. MK-PL-F-072 mulberry32
4. MK-XS-F-122 n
5. MK-PL-F-073 normal
6. MK-PL-F-075 pctOfSorted
7. MK-ST-F-025 rmdStartAgeFromAge</t>
        </is>
      </c>
      <c r="P355" s="3" t="n">
        <v>9</v>
      </c>
      <c r="Q355" s="3" t="inlineStr">
        <is>
          <t>1. MK-CF-F-132 map
2. MK-PL-F-074 median
3. MK-PL-F-072 mulberry32
4. MK-XS-F-122 n
5. MK-PL-F-073 normal
6. MK-PL-F-075 pctOfSorted
7. MK-ST-F-025 rmdStartAgeFromAge
8. MK-ST-F-024 rmdStartAge
9. MK-ST-F-056 has</t>
        </is>
      </c>
      <c r="R355" s="3" t="inlineStr">
        <is>
          <t>1. MK-CF-F-132 map → MK-PL-F-050 simulate
2. MK-PL-F-074 median → MK-PL-F-050 simulate
3. MK-PL-F-072 mulberry32 → MK-PL-F-050 simulate
4. MK-XS-F-122 n → MK-PL-F-050 simulate
5. MK-PL-F-073 normal → MK-PL-F-050 simulate
6. MK-PL-F-075 pctOfSorted → MK-PL-F-050 simulate
7. MK-ST-F-056 has → MK-ST-F-024 rmdStartAge → MK-ST-F-025 rmdStartAgeFromAge → MK-PL-F-050 simulate</t>
        </is>
      </c>
      <c r="S355" s="3" t="inlineStr">
        <is>
          <t>MK-CF-M-022 · MK-PL-M-034 · MK-XS-M-002</t>
        </is>
      </c>
      <c r="T355" s="3" t="inlineStr">
        <is>
          <t>WILL_IT_LAST</t>
        </is>
      </c>
      <c r="U355" s="3" t="inlineStr">
        <is>
          <t>ACTIVE</t>
        </is>
      </c>
      <c r="V355" s="3" t="inlineStr">
        <is>
          <t>2026-09-08</t>
        </is>
      </c>
      <c r="Y355" s="6" t="inlineStr">
        <is>
          <t>TESTED, NOT VERIFIED (G14, G17, G7, Odds — exact, no rounding)</t>
        </is>
      </c>
    </row>
    <row r="356">
      <c r="A356" s="3" t="inlineStr">
        <is>
          <t>MK-PL-F-051</t>
        </is>
      </c>
      <c r="B356" s="3" t="inlineStr">
        <is>
          <t>ssStreamOf</t>
        </is>
      </c>
      <c r="C356" s="3" t="inlineStr">
        <is>
          <t>src/domain/retirement/index.ts</t>
        </is>
      </c>
      <c r="D356" s="3" t="n">
        <v>517</v>
      </c>
      <c r="E356" s="3" t="inlineStr">
        <is>
          <t>3 · DEPENDENT</t>
        </is>
      </c>
      <c r="F356" s="3" t="inlineStr">
        <is>
          <t>The Social Security stream inside an input set, when streams are in use.</t>
        </is>
      </c>
      <c r="G356" s="13" t="inlineStr">
        <is>
          <t>st = (inp.guaranteed streams ?? []).find((x) =&gt; kind = 'ss')
the answer:
monthly = st.monthly
start age = st.start age   if st
nothing   otherwise</t>
        </is>
      </c>
      <c r="H356" s="3" t="inlineStr">
        <is>
          <t>St is (inp.guaranteed streams ?? []).find((x) =&gt; kind = 'ss'). The answer is monthly = st.monthly; start age = st.start age — when st; no answer — otherwise.</t>
        </is>
      </c>
      <c r="I356" s="3" t="inlineStr">
        <is>
          <t>PARTLY READ — some of the code is still showing through; needs a hand pass</t>
        </is>
      </c>
      <c r="J356" s="3" t="inlineStr">
        <is>
          <t>inp: RetirementInputs</t>
        </is>
      </c>
      <c r="K356" s="3" t="inlineStr">
        <is>
          <t>NOT DECLARED — the code does not say what it gives back</t>
        </is>
      </c>
      <c r="L356" s="3" t="inlineStr">
        <is>
          <t>—</t>
        </is>
      </c>
      <c r="M356" s="3" t="inlineStr">
        <is>
          <t>None found in this function — anything it assumes comes from the functions it depends on.</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t>
        </is>
      </c>
      <c r="U356" s="3" t="inlineStr">
        <is>
          <t>ACTIVE</t>
        </is>
      </c>
      <c r="V356" s="3" t="inlineStr">
        <is>
          <t>2026-08-27</t>
        </is>
      </c>
      <c r="Y356" s="3" t="inlineStr">
        <is>
          <t>NOTHING OPEN</t>
        </is>
      </c>
    </row>
    <row r="357">
      <c r="A357" s="3" t="inlineStr">
        <is>
          <t>MK-PL-F-052</t>
        </is>
      </c>
      <c r="B357" s="3" t="inlineStr">
        <is>
          <t>withSsStream</t>
        </is>
      </c>
      <c r="C357" s="3" t="inlineStr">
        <is>
          <t>src/domain/retirement/index.ts</t>
        </is>
      </c>
      <c r="D357" s="3" t="n">
        <v>546</v>
      </c>
      <c r="E357" s="3" t="inlineStr">
        <is>
          <t>2 · DISPLAYED</t>
        </is>
      </c>
      <c r="F357" s="3" t="inlineStr">
        <is>
          <t>An input set with its Social Security stream replaced — the ONE way a decision screen patches a claim scenario, so the flat streams ride along untouched and the legacy fields stay in step for anything still reading them.</t>
        </is>
      </c>
      <c r="G357" s="13" t="inlineStr">
        <is>
          <t>others = inp.guaranteed streams (or none when missing) where kind ! = 'ss'</t>
        </is>
      </c>
      <c r="H357" s="3" t="inlineStr">
        <is>
          <t>Others is inp.guaranteed streams (or none — when missing) where kind ! = 'ss'.</t>
        </is>
      </c>
      <c r="I357" s="3" t="inlineStr">
        <is>
          <t>PARTLY READ — some of the code is still showing through; needs a hand pass</t>
        </is>
      </c>
      <c r="J357" s="3" t="inlineStr">
        <is>
          <t>1. inp: RetirementInputs
2. monthly: number
3. claimAge: number</t>
        </is>
      </c>
      <c r="K357" s="3" t="inlineStr">
        <is>
          <t>RetirementInputs</t>
        </is>
      </c>
      <c r="L357" s="3" t="inlineStr">
        <is>
          <t>NOT FOUND — a screen calls it, but the words printed beside its answer could not be traced automatically. Needs reading.</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Y357" s="3" t="inlineStr">
        <is>
          <t>NOTHING OPEN</t>
        </is>
      </c>
    </row>
    <row r="358">
      <c r="A358" s="3" t="inlineStr">
        <is>
          <t>MK-PL-F-053</t>
        </is>
      </c>
      <c r="B358" s="3" t="inlineStr">
        <is>
          <t>buildRetirementState</t>
        </is>
      </c>
      <c r="C358" s="3" t="inlineStr">
        <is>
          <t>src/domain/retirement/index.ts</t>
        </is>
      </c>
      <c r="D358" s="3" t="n">
        <v>580</v>
      </c>
      <c r="E358" s="3" t="inlineStr">
        <is>
          <t>3 · DEPENDENT</t>
        </is>
      </c>
      <c r="F358" s="3" t="inlineStr">
        <is>
          <t>NOT DETERMINED — the code carries no note saying what this is for, and it has no row in the old inventory. Needs reading.</t>
        </is>
      </c>
      <c r="G358" s="13" t="inlineStr">
        <is>
          <t>sim = simulate(inp)</t>
        </is>
      </c>
      <c r="H358" s="3" t="inlineStr">
        <is>
          <t>Sim is simulate(inp).</t>
        </is>
      </c>
      <c r="I358" s="3" t="inlineStr">
        <is>
          <t>READ FROM THE CODE — rendered from the expressions the function runs</t>
        </is>
      </c>
      <c r="J358" s="3" t="inlineStr">
        <is>
          <t>1. uid: UserId
2. inp: RetirementInputs</t>
        </is>
      </c>
      <c r="K358" s="3" t="inlineStr">
        <is>
          <t>RetirementState</t>
        </is>
      </c>
      <c r="L358" s="3" t="inlineStr">
        <is>
          <t>—</t>
        </is>
      </c>
      <c r="M358" s="3" t="inlineStr">
        <is>
          <t>· If paths is missing it uses 1000.</t>
        </is>
      </c>
      <c r="N358" s="3" t="inlineStr">
        <is>
          <t>Yes</t>
        </is>
      </c>
      <c r="O358" s="3" t="inlineStr">
        <is>
          <t>1. MK-PL-F-050 simulate
2. MK-XS-F-175 uid</t>
        </is>
      </c>
      <c r="P358" s="3" t="n">
        <v>86</v>
      </c>
      <c r="Q358" s="3" t="inlineStr">
        <is>
          <t>1. MK-PL-F-050 simulate
2. MK-XS-F-175 uid
3. MK-CF-F-132 map
4. MK-PL-F-074 median
5. MK-PL-F-072 mulberry32
6. MK-XS-F-122 n
7. MK-PL-F-073 normal
8. MK-PL-F-075 pctOfSorted
9. MK-ST-F-025 rmdStartAgeFromAge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MK-ST-F-043 newEntityId
25. MK-XS-F-006 pruneDaily
26. MK-ST-F-073 rebuildDays
27. MK-NW-F-054 reclassifyAccounts
28. MK-XS-F-174 recomputeBalances
29. MK-CF-F-115 restoreUndo
30. MK-CF-F-109 reviewTransactions
31. MK-ST-F-044 setMoneyFormat
32. MK-CF-F-114 undoSnapshot
33. MK-CF-F-191 ym
34. MK-ST-F-024 rmdStartAge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358" s="3" t="inlineStr">
        <is>
          <t>1. MK-CF-F-132 map → MK-PL-F-050 simulate → MK-PL-F-053 buildRetirementState
2. MK-PL-F-074 median → MK-PL-F-050 simulate → MK-PL-F-053 buildRetirementState
3. MK-PL-F-072 mulberry32 → MK-PL-F-050 simulate → MK-PL-F-053 buildRetirementState
4. MK-XS-F-122 n → MK-PL-F-050 simulate → MK-PL-F-053 buildRetirementState
5. MK-PL-F-073 normal → MK-PL-F-050 simulate → MK-PL-F-053 buildRetirementState
6. MK-PL-F-075 pctOfSorted → MK-PL-F-050 simulate → MK-PL-F-053 buildRetirementState
7. MK-ST-F-056 has → MK-ST-F-024 rmdStartAge → MK-ST-F-025 rmdStartAgeFromAge → MK-PL-F-050 simulate → MK-PL-F-053 buildRetirementState
8. MK-ST-F-027 accountId → MK-XS-F-175 uid → MK-PL-F-053 buildRetirementState
9. … and 4 more paths</t>
        </is>
      </c>
      <c r="S358" s="3" t="inlineStr">
        <is>
          <t>—</t>
        </is>
      </c>
      <c r="T358" s="3" t="inlineStr">
        <is>
          <t>—</t>
        </is>
      </c>
      <c r="U358" s="3" t="inlineStr">
        <is>
          <t>ACTIVE</t>
        </is>
      </c>
      <c r="V358" s="3" t="inlineStr">
        <is>
          <t>2026-08-27</t>
        </is>
      </c>
      <c r="Y358" s="3" t="inlineStr">
        <is>
          <t>NOTHING OPEN</t>
        </is>
      </c>
    </row>
    <row r="359">
      <c r="A359" s="3" t="inlineStr">
        <is>
          <t>MK-PL-F-054</t>
        </is>
      </c>
      <c r="B359" s="3" t="inlineStr">
        <is>
          <t>growOneYear</t>
        </is>
      </c>
      <c r="C359" s="3" t="inlineStr">
        <is>
          <t>src/domain/retirement/index.ts</t>
        </is>
      </c>
      <c r="D359" s="3" t="n">
        <v>619</v>
      </c>
      <c r="E359" s="3" t="inlineStr">
        <is>
          <t>3 · DEPENDENT</t>
        </is>
      </c>
      <c r="F359" s="3" t="inlineStr">
        <is>
          <t>── Deterministic projection (instant — drives the live sliders; no RNG) ────────────── Assumes the average return every year (no market swings).</t>
        </is>
      </c>
      <c r="G359" s="13" t="inlineStr">
        <is>
          <t>balance × (1 + (rate or 0))</t>
        </is>
      </c>
      <c r="H359" s="3" t="inlineStr">
        <is>
          <t>balance times (1 plus (rate or 0)).</t>
        </is>
      </c>
      <c r="I359" s="3" t="inlineStr">
        <is>
          <t>READ FROM THE CODE — rendered from the expressions the function runs</t>
        </is>
      </c>
      <c r="J359" s="3" t="inlineStr">
        <is>
          <t>1. balance: number
2. rate: number</t>
        </is>
      </c>
      <c r="K359" s="3" t="inlineStr">
        <is>
          <t>number</t>
        </is>
      </c>
      <c r="L359" s="3" t="inlineStr">
        <is>
          <t>—</t>
        </is>
      </c>
      <c r="M359" s="3" t="inlineStr">
        <is>
          <t>· If rate is missing it counts as zero, so nothing recorded and a real zero look the same.</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2026-08-27</t>
        </is>
      </c>
      <c r="Y359" s="3" t="inlineStr">
        <is>
          <t>NOTHING OPEN</t>
        </is>
      </c>
    </row>
    <row r="360">
      <c r="A360" s="3" t="inlineStr">
        <is>
          <t>MK-PL-F-055</t>
        </is>
      </c>
      <c r="B360" s="3" t="inlineStr">
        <is>
          <t>projectNestEgg</t>
        </is>
      </c>
      <c r="C360" s="3" t="inlineStr">
        <is>
          <t>src/domain/retirement/index.ts</t>
        </is>
      </c>
      <c r="D360" s="3" t="n">
        <v>663</v>
      </c>
      <c r="E360" s="3" t="inlineStr">
        <is>
          <t>2 · DISPLAYED</t>
        </is>
      </c>
      <c r="F360" s="3" t="inlineStr">
        <is>
          <t>What will the pot be worth at retirement, and how big does it need to be?</t>
        </is>
      </c>
      <c r="G360" s="13" t="inlineStr">
        <is>
          <t>years to retire  n = max(0, retire age − age today)
pot = start balance × (1 + r)^n
    + Σ for year y = 0 … n−1 of ( contribution × (1 + g)^y × (1 + r)^(n − y − 1) )
where r = the assumed return and g = the rate contributions grow</t>
        </is>
      </c>
      <c r="H3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360" s="3" t="inlineStr">
        <is>
          <t>READ BY HAND 2026-08-26 — checked line by line against the code</t>
        </is>
      </c>
      <c r="J360" s="3" t="inlineStr">
        <is>
          <t>inp: RetirementInputs</t>
        </is>
      </c>
      <c r="K360" s="3" t="inlineStr">
        <is>
          <t>NestEggProjection</t>
        </is>
      </c>
      <c r="L360" s="3" t="inlineStr">
        <is>
          <t>NOT FOUND — a screen calls it, but the words printed beside its answer could not be traced automatically. Needs reading.</t>
        </is>
      </c>
      <c r="M3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360" s="3" t="inlineStr">
        <is>
          <t>Yes</t>
        </is>
      </c>
      <c r="O360" s="3" t="inlineStr">
        <is>
          <t>1. MK-CF-F-132 map
2. MK-PL-F-050 simulate</t>
        </is>
      </c>
      <c r="P360" s="3" t="n">
        <v>10</v>
      </c>
      <c r="Q360" s="3" t="inlineStr">
        <is>
          <t>1. MK-CF-F-132 map
2. MK-PL-F-050 simulate
3. MK-PL-F-074 median
4. MK-PL-F-072 mulberry32
5. MK-XS-F-122 n
6. MK-PL-F-073 normal
7. MK-PL-F-075 pctOfSorted
8. MK-ST-F-025 rmdStartAgeFromAge
9. MK-ST-F-024 rmdStartAge
10. MK-ST-F-056 has</t>
        </is>
      </c>
      <c r="R360" s="3"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S360" s="3" t="inlineStr">
        <is>
          <t>MK-NW-M-015 · MK-PL-M-026 · MK-PL-M-033</t>
        </is>
      </c>
      <c r="T360" s="3" t="inlineStr">
        <is>
          <t>POT_AT_RETIREMENT</t>
        </is>
      </c>
      <c r="U360" s="3" t="inlineStr">
        <is>
          <t>ACTIVE</t>
        </is>
      </c>
      <c r="V360" s="3" t="inlineStr">
        <is>
          <t>2026-08-27</t>
        </is>
      </c>
      <c r="Y360" s="3" t="inlineStr">
        <is>
          <t>NOTHING OPEN</t>
        </is>
      </c>
    </row>
    <row r="361">
      <c r="A361" s="3" t="inlineStr">
        <is>
          <t>MK-PL-F-056</t>
        </is>
      </c>
      <c r="B361" s="3" t="inlineStr">
        <is>
          <t>solveRetireAge</t>
        </is>
      </c>
      <c r="C361" s="3" t="inlineStr">
        <is>
          <t>src/domain/retirement/index.ts</t>
        </is>
      </c>
      <c r="D361" s="3" t="n">
        <v>721</v>
      </c>
      <c r="E361" s="3" t="inlineStr">
        <is>
          <t>2 · DISPLAYED</t>
        </is>
      </c>
      <c r="F361" s="3" t="inlineStr">
        <is>
          <t>"Even if you never save another dollar, you can retire at age Y." Earliest retire age where the current pot (no further contributions) already covers the plan.</t>
        </is>
      </c>
      <c r="G361" s="13" t="inlineStr">
        <is>
          <t>p = project nest egg({ ...inp, annual contribution: 0, retire age: age, guaranteed start age: inp.guaranteed start age })
age   when will have ≥ will need
the answer = nothing</t>
        </is>
      </c>
      <c r="H361" s="3" t="inlineStr">
        <is>
          <t>P is project nest egg({ ...inp, annual contribution: 0, retire age: age, guaranteed start age: inp.guaranteed start age }). When will have is at least will need, it answers age. The answer is no answer.</t>
        </is>
      </c>
      <c r="I361" s="3" t="inlineStr">
        <is>
          <t>READ FROM THE CODE — rendered from the expressions the function runs</t>
        </is>
      </c>
      <c r="J361" s="3" t="inlineStr">
        <is>
          <t>1. inp: RetirementInputs
2. maxAge = 80</t>
        </is>
      </c>
      <c r="K361" s="3" t="inlineStr">
        <is>
          <t>number | null</t>
        </is>
      </c>
      <c r="L361" s="3" t="inlineStr">
        <is>
          <t>"IF YOU NEVER SAVE AGAIN" — on the Retirement cockpit screen</t>
        </is>
      </c>
      <c r="M361" s="3" t="inlineStr">
        <is>
          <t>None found in this function — anything it assumes comes from the functions it depends on.</t>
        </is>
      </c>
      <c r="N361" s="3" t="inlineStr">
        <is>
          <t>Yes</t>
        </is>
      </c>
      <c r="O361" s="3" t="inlineStr">
        <is>
          <t>MK-PL-F-055 projectNestEgg</t>
        </is>
      </c>
      <c r="P361" s="3" t="n">
        <v>11</v>
      </c>
      <c r="Q361" s="3" t="inlineStr">
        <is>
          <t>1. MK-PL-F-055 projectNestEgg
2. MK-CF-F-132 map
3. MK-PL-F-050 simulate
4. MK-PL-F-074 median
5. MK-PL-F-072 mulberry32
6. MK-XS-F-122 n
7. MK-PL-F-073 normal
8. MK-PL-F-075 pctOfSorted
9. MK-ST-F-025 rmdStartAgeFromAge
10. MK-ST-F-024 rmdStartAge
11. MK-ST-F-056 has</t>
        </is>
      </c>
      <c r="R361" s="3" t="inlineStr">
        <is>
          <t>1. MK-CF-F-132 map → MK-PL-F-055 projectNestEgg → MK-PL-F-056 solveRetireAge
2. MK-CF-F-132 map → MK-PL-F-050 simulate → MK-PL-F-055 projectNestEgg → MK-PL-F-056 solveRetireAge
3. MK-PL-F-074 median → MK-PL-F-050 simulate → MK-PL-F-055 projectNestEgg → MK-PL-F-056 solveRetireAge
4. MK-PL-F-072 mulberry32 → MK-PL-F-050 simulate → MK-PL-F-055 projectNestEgg → MK-PL-F-056 solveRetireAge
5. MK-XS-F-122 n → MK-PL-F-050 simulate → MK-PL-F-055 projectNestEgg → MK-PL-F-056 solveRetireAge
6. MK-PL-F-073 normal → MK-PL-F-050 simulate → MK-PL-F-055 projectNestEgg → MK-PL-F-056 solveRetireAge
7. MK-PL-F-075 pctOfSorted → MK-PL-F-050 simulate → MK-PL-F-055 projectNestEgg → MK-PL-F-056 solveRetireAge
8. MK-ST-F-056 has → MK-ST-F-024 rmdStartAge → MK-ST-F-025 rmdStartAgeFromAge → MK-PL-F-050 simulate → MK-PL-F-055 projectNestEgg → MK-PL-F-056 solveRetireAge</t>
        </is>
      </c>
      <c r="S361" s="3" t="inlineStr">
        <is>
          <t>—</t>
        </is>
      </c>
      <c r="T361" s="3" t="inlineStr">
        <is>
          <t>—</t>
        </is>
      </c>
      <c r="U361" s="3" t="inlineStr">
        <is>
          <t>ACTIVE</t>
        </is>
      </c>
      <c r="V361" s="3" t="inlineStr">
        <is>
          <t>2026-08-27</t>
        </is>
      </c>
      <c r="Y361" s="3" t="inlineStr">
        <is>
          <t>NOTHING OPEN</t>
        </is>
      </c>
    </row>
    <row r="362">
      <c r="A362" s="3" t="inlineStr">
        <is>
          <t>MK-PL-F-057</t>
        </is>
      </c>
      <c r="B362" s="3" t="inlineStr">
        <is>
          <t>fullRetirementAge</t>
        </is>
      </c>
      <c r="C362" s="3" t="inlineStr">
        <is>
          <t>src/domain/retirement/ssTiming.ts</t>
        </is>
      </c>
      <c r="D362" s="3" t="n">
        <v>47</v>
      </c>
      <c r="E362" s="3" t="inlineStr">
        <is>
          <t>3 · DEPENDENT</t>
        </is>
      </c>
      <c r="F362" s="3" t="inlineStr">
        <is>
          <t>Full retirement age in YEARS (fractional — 66y4m = 66.333…), from the birth year.</t>
        </is>
      </c>
      <c r="G362" s="13" t="inlineStr">
        <is>
          <t>full retirement age = 67                          when born 1960 or later
                      66 + (birth year − 1954) × 2 months   when born 1955-1959
                      66                          when born 1954 or earlier</t>
        </is>
      </c>
      <c r="H3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362" s="3" t="inlineStr">
        <is>
          <t>READ BY HAND 2026-08-26 — checked line by line against the code</t>
        </is>
      </c>
      <c r="J362" s="3" t="inlineStr">
        <is>
          <t>birthYear?: number | null</t>
        </is>
      </c>
      <c r="K362" s="3" t="inlineStr">
        <is>
          <t>number</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SS_FULL_RETIREMENT_AGE</t>
        </is>
      </c>
      <c r="U362" s="3" t="inlineStr">
        <is>
          <t>ACTIVE</t>
        </is>
      </c>
      <c r="V362" s="3" t="inlineStr">
        <is>
          <t>2026-08-27</t>
        </is>
      </c>
      <c r="Y362" s="3" t="inlineStr">
        <is>
          <t>NOTHING OPEN</t>
        </is>
      </c>
    </row>
    <row r="363">
      <c r="A363" s="3" t="inlineStr">
        <is>
          <t>MK-PL-F-058</t>
        </is>
      </c>
      <c r="B363" s="3" t="inlineStr">
        <is>
          <t>ssClaimFactorFor</t>
        </is>
      </c>
      <c r="C363" s="3" t="inlineStr">
        <is>
          <t>src/domain/retirement/ssTiming.ts</t>
        </is>
      </c>
      <c r="D363" s="3" t="n">
        <v>93</v>
      </c>
      <c r="E363" s="3" t="inlineStr">
        <is>
          <t>3 · DEPENDENT</t>
        </is>
      </c>
      <c r="F363" s="3" t="inlineStr">
        <is>
          <t>SSA factor for a claim age (62–70), relative to the statement amount at the person's OWN full retirement age.</t>
        </is>
      </c>
      <c r="G363" s="13" t="inlineStr">
        <is>
          <t>months = round(claim age) × 12 − full retirement age × 12
factor = 1                                                   when months = 0
         1 − (first 36 early months × 5/9 of 1%)
           − (each further early month × 5/12 of 1%)          when claiming early
         1 + (each month claimed late × 2/3 of 1%)            when claiming late</t>
        </is>
      </c>
      <c r="H3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363" s="3" t="inlineStr">
        <is>
          <t>READ BY HAND 2026-08-26 — checked line by line against the code</t>
        </is>
      </c>
      <c r="J363" s="3" t="inlineStr">
        <is>
          <t>1. claimAge: number
2. birthYear?: number | null</t>
        </is>
      </c>
      <c r="K363" s="3" t="inlineStr">
        <is>
          <t>number</t>
        </is>
      </c>
      <c r="L363" s="3" t="inlineStr">
        <is>
          <t>—</t>
        </is>
      </c>
      <c r="M363" s="3" t="inlineStr">
        <is>
          <t>1. Turns a monthly figure into a year by multiplying by twelve.
2. Caps early at 36.
3. Rounds the answer to a whole number.</t>
        </is>
      </c>
      <c r="N363" s="3" t="inlineStr">
        <is>
          <t>Yes</t>
        </is>
      </c>
      <c r="O363" s="3" t="inlineStr">
        <is>
          <t>MK-PL-F-057 fullRetirementAge</t>
        </is>
      </c>
      <c r="P363" s="3" t="n">
        <v>1</v>
      </c>
      <c r="Q363" s="3" t="inlineStr">
        <is>
          <t>MK-PL-F-057 fullRetirementAge</t>
        </is>
      </c>
      <c r="R363" s="3" t="inlineStr">
        <is>
          <t>MK-PL-F-057 fullRetirementAge → MK-PL-F-058 ssClaimFactorFor</t>
        </is>
      </c>
      <c r="S363" s="3" t="inlineStr">
        <is>
          <t>MK-PL-M-019</t>
        </is>
      </c>
      <c r="T363" s="3" t="inlineStr">
        <is>
          <t>SS_CLAIM_FACTOR</t>
        </is>
      </c>
      <c r="U363" s="3" t="inlineStr">
        <is>
          <t>ACTIVE</t>
        </is>
      </c>
      <c r="V363" s="3" t="inlineStr">
        <is>
          <t>2026-08-27</t>
        </is>
      </c>
      <c r="Y363" s="3" t="inlineStr">
        <is>
          <t>NOTHING OPEN</t>
        </is>
      </c>
    </row>
    <row r="364">
      <c r="A364" s="3" t="inlineStr">
        <is>
          <t>MK-PL-F-059</t>
        </is>
      </c>
      <c r="B364" s="3" t="inlineStr">
        <is>
          <t>ssClaimFactor</t>
        </is>
      </c>
      <c r="C364" s="3" t="inlineStr">
        <is>
          <t>src/domain/retirement/ssTiming.ts</t>
        </is>
      </c>
      <c r="D364" s="3" t="n">
        <v>124</v>
      </c>
      <c r="E364" s="3" t="inlineStr">
        <is>
          <t>3 · DEPENDENT (feeds an action only)</t>
        </is>
      </c>
      <c r="F364" s="3" t="inlineStr">
        <is>
          <t>The pre-table factor, anchored at 67 — unchanged behaviour for anyone born 1960+.</t>
        </is>
      </c>
      <c r="G364" s="13" t="inlineStr">
        <is>
          <t>ss claim factor for(claim age, nothing)</t>
        </is>
      </c>
      <c r="H364" s="3" t="inlineStr">
        <is>
          <t>ss claim factor for(claim age, no answer).</t>
        </is>
      </c>
      <c r="I364" s="3" t="inlineStr">
        <is>
          <t>READ FROM THE CODE — rendered from the expressions the function runs</t>
        </is>
      </c>
      <c r="J364" s="3" t="inlineStr">
        <is>
          <t>claimAge: number</t>
        </is>
      </c>
      <c r="K364" s="3" t="inlineStr">
        <is>
          <t>number</t>
        </is>
      </c>
      <c r="L364" s="3" t="inlineStr">
        <is>
          <t>—</t>
        </is>
      </c>
      <c r="M364" s="3" t="inlineStr">
        <is>
          <t>None found in this function — anything it assumes comes from the functions it depends on.</t>
        </is>
      </c>
      <c r="N364" s="3" t="inlineStr">
        <is>
          <t>No</t>
        </is>
      </c>
      <c r="O364" s="3" t="inlineStr">
        <is>
          <t>MK-PL-F-058 ssClaimFactorFor</t>
        </is>
      </c>
      <c r="P364" s="3" t="n">
        <v>2</v>
      </c>
      <c r="Q364" s="3" t="inlineStr">
        <is>
          <t>1. MK-PL-F-058 ssClaimFactorFor
2. MK-PL-F-057 fullRetirementAge</t>
        </is>
      </c>
      <c r="R364" s="3" t="inlineStr">
        <is>
          <t>MK-PL-F-057 fullRetirementAge → MK-PL-F-058 ssClaimFactorFor → MK-PL-F-059 ssClaimFactor</t>
        </is>
      </c>
      <c r="S364" s="3" t="inlineStr">
        <is>
          <t>—</t>
        </is>
      </c>
      <c r="T364" s="3" t="inlineStr">
        <is>
          <t>—</t>
        </is>
      </c>
      <c r="U364" s="3" t="inlineStr">
        <is>
          <t>ACTIVE</t>
        </is>
      </c>
      <c r="V364" s="3" t="inlineStr">
        <is>
          <t>2026-08-27</t>
        </is>
      </c>
      <c r="Y364" s="3" t="inlineStr">
        <is>
          <t>NOTHING OPEN</t>
        </is>
      </c>
    </row>
    <row r="365">
      <c r="A365" s="3" t="inlineStr">
        <is>
          <t>MK-PL-F-060</t>
        </is>
      </c>
      <c r="B365" s="3" t="inlineStr">
        <is>
          <t>ssBenefitAt</t>
        </is>
      </c>
      <c r="C365" s="3" t="inlineStr">
        <is>
          <t>src/domain/retirement/ssTiming.ts</t>
        </is>
      </c>
      <c r="D365" s="3" t="n">
        <v>155</v>
      </c>
      <c r="E365" s="3" t="inlineStr">
        <is>
          <t>2 · DISPLAYED</t>
        </is>
      </c>
      <c r="F365" s="3" t="inlineStr">
        <is>
          <t>Monthly benefit at a claim age from the at-FRA statement amount (today's dollars, whole $).</t>
        </is>
      </c>
      <c r="G365" s="13" t="inlineStr">
        <is>
          <t>monthly benefit = statement amount at full retirement age × factor(claim age)</t>
        </is>
      </c>
      <c r="H365" s="3" t="inlineStr">
        <is>
          <t>The amount on the Social Security statement, scaled by the claim-age factor and rounded to whole dollars. In today's money — no inflation is applied here.</t>
        </is>
      </c>
      <c r="I365" s="3" t="inlineStr">
        <is>
          <t>READ BY HAND 2026-08-26 — checked line by line against the code</t>
        </is>
      </c>
      <c r="J365" s="3" t="inlineStr">
        <is>
          <t>1. statementMonthly: number
2. claimAge: number
3. birthYear?: number | null</t>
        </is>
      </c>
      <c r="K365" s="3" t="inlineStr">
        <is>
          <t>number</t>
        </is>
      </c>
      <c r="L365" s="3" t="inlineStr">
        <is>
          <t>NOT FOUND — a screen calls it, but the words printed beside its answer could not be traced automatically. Needs reading.</t>
        </is>
      </c>
      <c r="M365" s="3" t="inlineStr">
        <is>
          <t>· If statement monthly is missing it counts as zero, so nothing recorded and a real zero look the same.</t>
        </is>
      </c>
      <c r="N365" s="3" t="inlineStr">
        <is>
          <t>Yes</t>
        </is>
      </c>
      <c r="O365" s="3" t="inlineStr">
        <is>
          <t>MK-PL-F-058 ssClaimFactorFor</t>
        </is>
      </c>
      <c r="P365" s="3" t="n">
        <v>2</v>
      </c>
      <c r="Q365" s="3" t="inlineStr">
        <is>
          <t>1. MK-PL-F-058 ssClaimFactorFor
2. MK-PL-F-057 fullRetirementAge</t>
        </is>
      </c>
      <c r="R365" s="3" t="inlineStr">
        <is>
          <t>MK-PL-F-057 fullRetirementAge → MK-PL-F-058 ssClaimFactorFor → MK-PL-F-060 ssBenefitAt</t>
        </is>
      </c>
      <c r="S365" s="3" t="inlineStr">
        <is>
          <t>MK-PL-M-017 · MK-PL-M-019</t>
        </is>
      </c>
      <c r="T365" s="3" t="inlineStr">
        <is>
          <t>SS_BENEFIT_AT_AGE</t>
        </is>
      </c>
      <c r="U365" s="3" t="inlineStr">
        <is>
          <t>ACTIVE</t>
        </is>
      </c>
      <c r="V365" s="3" t="inlineStr">
        <is>
          <t>2026-09-09</t>
        </is>
      </c>
      <c r="Y365" s="3" t="inlineStr">
        <is>
          <t>NOTHING OPEN</t>
        </is>
      </c>
    </row>
    <row r="366">
      <c r="A366" s="3" t="inlineStr">
        <is>
          <t>MK-PL-F-061</t>
        </is>
      </c>
      <c r="B366" s="3" t="inlineStr">
        <is>
          <t>ssBenefitAtClaimAge</t>
        </is>
      </c>
      <c r="C366" s="3" t="inlineStr">
        <is>
          <t>src/domain/retirement/ssTiming.ts</t>
        </is>
      </c>
      <c r="D366" s="3" t="n">
        <v>176</v>
      </c>
      <c r="E366" s="3" t="inlineStr">
        <is>
          <t>2 · DISPLAYED</t>
        </is>
      </c>
      <c r="F366" s="3" t="inlineStr">
        <is>
          <t>Kept for callers not yet passing a birth year (behaves as born-1960+).</t>
        </is>
      </c>
      <c r="G366" s="13" t="inlineStr">
        <is>
          <t>ss benefit at(statement monthly, claim age, nothing)</t>
        </is>
      </c>
      <c r="H366" s="3" t="inlineStr">
        <is>
          <t>ss benefit at(statement monthly, claim age, no answer).</t>
        </is>
      </c>
      <c r="I366" s="3" t="inlineStr">
        <is>
          <t>READ FROM THE CODE — rendered from the expressions the function runs</t>
        </is>
      </c>
      <c r="J366" s="3" t="inlineStr">
        <is>
          <t>1. statementMonthly: number
2. claimAge: number</t>
        </is>
      </c>
      <c r="K366" s="3" t="inlineStr">
        <is>
          <t>number</t>
        </is>
      </c>
      <c r="L366" s="3" t="inlineStr">
        <is>
          <t>"When should I claim Social Security?" — on a card used on more than one screen (ClaimAgeRow)</t>
        </is>
      </c>
      <c r="M366" s="3" t="inlineStr">
        <is>
          <t>None found in this function — anything it assumes comes from the functions it depends on.</t>
        </is>
      </c>
      <c r="N366" s="3" t="inlineStr">
        <is>
          <t>Yes</t>
        </is>
      </c>
      <c r="O366" s="3" t="inlineStr">
        <is>
          <t>MK-PL-F-060 ssBenefitAt</t>
        </is>
      </c>
      <c r="P366" s="3" t="n">
        <v>3</v>
      </c>
      <c r="Q366" s="3" t="inlineStr">
        <is>
          <t>1. MK-PL-F-060 ssBenefitAt
2. MK-PL-F-058 ssClaimFactorFor
3. MK-PL-F-057 fullRetirementAge</t>
        </is>
      </c>
      <c r="R366" s="3" t="inlineStr">
        <is>
          <t>MK-PL-F-057 fullRetirementAge → MK-PL-F-058 ssClaimFactorFor → MK-PL-F-060 ssBenefitAt → MK-PL-F-061 ssBenefitAtClaimAge</t>
        </is>
      </c>
      <c r="S366" s="3" t="inlineStr">
        <is>
          <t>—</t>
        </is>
      </c>
      <c r="T366" s="3" t="inlineStr">
        <is>
          <t>—</t>
        </is>
      </c>
      <c r="U366" s="3" t="inlineStr">
        <is>
          <t>ACTIVE</t>
        </is>
      </c>
      <c r="V366" s="3" t="inlineStr">
        <is>
          <t>2026-08-27</t>
        </is>
      </c>
      <c r="Y366" s="3" t="inlineStr">
        <is>
          <t>NOTHING OPEN</t>
        </is>
      </c>
    </row>
    <row r="367">
      <c r="A367" s="3" t="inlineStr">
        <is>
          <t>MK-PL-F-062</t>
        </is>
      </c>
      <c r="B367" s="3" t="inlineStr">
        <is>
          <t>ssLifetimeTotal</t>
        </is>
      </c>
      <c r="C367" s="3" t="inlineStr">
        <is>
          <t>src/domain/retirement/ssTiming.ts</t>
        </is>
      </c>
      <c r="D367" s="3" t="n">
        <v>205</v>
      </c>
      <c r="E367" s="3" t="inlineStr">
        <is>
          <t>2 · DISPLAYED</t>
        </is>
      </c>
      <c r="F367" s="3" t="inlineStr">
        <is>
          <t>Total collected from claim age to a live-to age the USER sets (months × monthly, today's dollars).</t>
        </is>
      </c>
      <c r="G367" s="13" t="inlineStr">
        <is>
          <t>months = max(0, round((live to age − claim age) × 12))
the answer = ss benefit at(statement monthly, claim age, birth year) × months</t>
        </is>
      </c>
      <c r="H367" s="3" t="inlineStr">
        <is>
          <t>Months is (live to age minus claim age, to a whole number times 12, never below zero). The answer is ss benefit at(statement monthly, claim age, birth year) times months.</t>
        </is>
      </c>
      <c r="I367" s="3" t="inlineStr">
        <is>
          <t>READ FROM THE CODE — rendered from the expressions the function runs</t>
        </is>
      </c>
      <c r="J367" s="3" t="inlineStr">
        <is>
          <t>1. statementMonthly: number
2. claimAge: number
3. liveToAge: number
4. birthYear?: number | null</t>
        </is>
      </c>
      <c r="K367" s="3" t="inlineStr">
        <is>
          <t>number</t>
        </is>
      </c>
      <c r="L367" s="3" t="inlineStr">
        <is>
          <t>NOT FOUND — a screen calls it, but the words printed beside its answer could not be traced automatically. Needs reading.</t>
        </is>
      </c>
      <c r="M3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367" s="3" t="inlineStr">
        <is>
          <t>Yes</t>
        </is>
      </c>
      <c r="O367" s="3" t="inlineStr">
        <is>
          <t>MK-PL-F-060 ssBenefitAt</t>
        </is>
      </c>
      <c r="P367" s="3" t="n">
        <v>3</v>
      </c>
      <c r="Q367" s="3" t="inlineStr">
        <is>
          <t>1. MK-PL-F-060 ssBenefitAt
2. MK-PL-F-058 ssClaimFactorFor
3. MK-PL-F-057 fullRetirementAge</t>
        </is>
      </c>
      <c r="R367" s="3" t="inlineStr">
        <is>
          <t>MK-PL-F-057 fullRetirementAge → MK-PL-F-058 ssClaimFactorFor → MK-PL-F-060 ssBenefitAt → MK-PL-F-062 ssLifetimeTotal</t>
        </is>
      </c>
      <c r="S367" s="3" t="inlineStr">
        <is>
          <t>—</t>
        </is>
      </c>
      <c r="T367" s="3" t="inlineStr">
        <is>
          <t>—</t>
        </is>
      </c>
      <c r="U367" s="3" t="inlineStr">
        <is>
          <t>ACTIVE</t>
        </is>
      </c>
      <c r="V367" s="3" t="inlineStr">
        <is>
          <t>2026-08-27</t>
        </is>
      </c>
      <c r="Y367" s="3" t="inlineStr">
        <is>
          <t>NOTHING OPEN</t>
        </is>
      </c>
    </row>
    <row r="368">
      <c r="A368" s="3" t="inlineStr">
        <is>
          <t>MK-PL-F-063</t>
        </is>
      </c>
      <c r="B368" s="3" t="inlineStr">
        <is>
          <t>fraLabel</t>
        </is>
      </c>
      <c r="C368" s="3" t="inlineStr">
        <is>
          <t>src/domain/retirement/ssTiming.ts</t>
        </is>
      </c>
      <c r="D368" s="3" t="n">
        <v>236</v>
      </c>
      <c r="E368" s="3" t="inlineStr">
        <is>
          <t>2 · DISPLAYED</t>
        </is>
      </c>
      <c r="F368" s="3" t="inlineStr">
        <is>
          <t>The FRA as words a person recognises — "67", or "66 and 4 months".</t>
        </is>
      </c>
      <c r="G368" s="13" t="inlineStr">
        <is>
          <t>fra = full retirement age(birth year)
years = round down(fra)
months = round((fra − years) × 12)
the answer:
string(years)   if months = 0
`${years} and ${months} months`   otherwise</t>
        </is>
      </c>
      <c r="H368" s="3" t="inlineStr">
        <is>
          <t>Fra is full retirement age(birth year). Years is fra, rounded down. Months is (fra minus years, to a whole number times 12). The answer is string(years) — when months = 0; `${years} and ${months} months` — otherwise.</t>
        </is>
      </c>
      <c r="I368" s="3" t="inlineStr">
        <is>
          <t>PARTLY READ — some of the code is still showing through; needs a hand pass</t>
        </is>
      </c>
      <c r="J368" s="3" t="inlineStr">
        <is>
          <t>birthYear?: number | null</t>
        </is>
      </c>
      <c r="K368" s="3" t="inlineStr">
        <is>
          <t>string</t>
        </is>
      </c>
      <c r="L368" s="3" t="inlineStr">
        <is>
          <t>"We lay it out. You decide." — on the Social Security timing screen</t>
        </is>
      </c>
      <c r="M368" s="3" t="inlineStr">
        <is>
          <t>1. Turns a monthly figure into a year by multiplying by twelve.
2. Rounds the answer to a whole number.</t>
        </is>
      </c>
      <c r="N368" s="3" t="inlineStr">
        <is>
          <t>Yes</t>
        </is>
      </c>
      <c r="O368" s="3" t="inlineStr">
        <is>
          <t>MK-PL-F-057 fullRetirementAge</t>
        </is>
      </c>
      <c r="P368" s="3" t="n">
        <v>1</v>
      </c>
      <c r="Q368" s="3" t="inlineStr">
        <is>
          <t>MK-PL-F-057 fullRetirementAge</t>
        </is>
      </c>
      <c r="R368" s="3" t="inlineStr">
        <is>
          <t>MK-PL-F-057 fullRetirementAge → MK-PL-F-063 fraLabel</t>
        </is>
      </c>
      <c r="S368" s="3" t="inlineStr">
        <is>
          <t>—</t>
        </is>
      </c>
      <c r="T368" s="3" t="inlineStr">
        <is>
          <t>—</t>
        </is>
      </c>
      <c r="U368" s="3" t="inlineStr">
        <is>
          <t>ACTIVE</t>
        </is>
      </c>
      <c r="V368" s="3" t="inlineStr">
        <is>
          <t>2026-08-27</t>
        </is>
      </c>
      <c r="Y368" s="3" t="inlineStr">
        <is>
          <t>NOTHING OPEN</t>
        </is>
      </c>
    </row>
    <row r="369">
      <c r="A369" s="3" t="inlineStr">
        <is>
          <t>MK-PL-F-064</t>
        </is>
      </c>
      <c r="B369" s="3" t="inlineStr">
        <is>
          <t>claimWindow</t>
        </is>
      </c>
      <c r="C369" s="3" t="inlineStr">
        <is>
          <t>src/domain/retirement/ssTiming.ts</t>
        </is>
      </c>
      <c r="D369" s="3" t="n">
        <v>268</v>
      </c>
      <c r="E369" s="3" t="inlineStr">
        <is>
          <t>2 · DISPLAYED</t>
        </is>
      </c>
      <c r="F369" s="3" t="inlineStr">
        <is>
          <t>The claim window: the month the person turns 62 → the month they turn 70.</t>
        </is>
      </c>
      <c r="G369" s="13"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3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369" s="3" t="inlineStr">
        <is>
          <t>PARTLY READ — some of the code is still showing through; needs a hand pass</t>
        </is>
      </c>
      <c r="J369" s="3" t="inlineStr">
        <is>
          <t>1. birthYear: number | null
2. birthMonth: number | null</t>
        </is>
      </c>
      <c r="K369" s="3" t="inlineStr">
        <is>
          <t>NOT DECLARED — the code does not say what it gives back</t>
        </is>
      </c>
      <c r="L369" s="3" t="inlineStr">
        <is>
          <t>"Your assumption, not our prediction." — on the Social Security timing screen</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2026-08-27</t>
        </is>
      </c>
      <c r="Y369" s="3" t="inlineStr">
        <is>
          <t>NOTHING OPEN</t>
        </is>
      </c>
    </row>
    <row r="370">
      <c r="A370" s="3" t="inlineStr">
        <is>
          <t>MK-PL-F-065</t>
        </is>
      </c>
      <c r="B370" s="3" t="inlineStr">
        <is>
          <t>volOf</t>
        </is>
      </c>
      <c r="C370" s="3" t="inlineStr">
        <is>
          <t>src/domain/retirement/willItLast.ts</t>
        </is>
      </c>
      <c r="D370" s="3" t="n">
        <v>83</v>
      </c>
      <c r="E370" s="3" t="inlineStr">
        <is>
          <t>2 · DISPLAYED</t>
        </is>
      </c>
      <c r="F370" s="3" t="inlineStr">
        <is>
          <t>Same volatility convention as the cockpit: higher return ⇒ more volatility.</t>
        </is>
      </c>
      <c r="G370" s="13" t="inlineStr">
        <is>
          <t>hold ret × 1.7 between 0.05 and 0.2</t>
        </is>
      </c>
      <c r="H370" s="3" t="inlineStr">
        <is>
          <t>hold ret times 1.7 between 0.05 and 0.2</t>
        </is>
      </c>
      <c r="I370" s="3" t="inlineStr">
        <is>
          <t>READ FROM THE CODE — rendered from the expressions the function runs</t>
        </is>
      </c>
      <c r="J370" s="3" t="inlineStr">
        <is>
          <t>ret: number</t>
        </is>
      </c>
      <c r="K370" s="3" t="inlineStr">
        <is>
          <t>NOT DECLARED — the code does not say what it gives back</t>
        </is>
      </c>
      <c r="L370" s="3" t="inlineStr">
        <is>
          <t>NOT FOUND — a screen calls it, but the words printed beside its answer could not be traced automatically. Needs reading.</t>
        </is>
      </c>
      <c r="M370" s="3" t="inlineStr">
        <is>
          <t>· Never lets the answer fall below 5% or rise above 20%.</t>
        </is>
      </c>
      <c r="N370" s="3" t="inlineStr">
        <is>
          <t>Yes</t>
        </is>
      </c>
      <c r="O370" s="3" t="inlineStr">
        <is>
          <t>1. MK-PL-F-077 clamp
2. MK-PL-F-050 simulate</t>
        </is>
      </c>
      <c r="P370" s="3" t="n">
        <v>24</v>
      </c>
      <c r="Q370" s="3" t="inlineStr">
        <is>
          <t>1. MK-PL-F-077 clamp
2. MK-PL-F-050 simulate
3. MK-NW-F-035 blendedVolatility
4. MK-CF-F-132 map
5. MK-PL-F-074 median
6. MK-PL-F-072 mulberry32
7. MK-XS-F-122 n
8. MK-PL-F-073 normal
9. MK-PL-F-075 pctOfSorted
10. MK-ST-F-025 rmdStartAgeFromAge
11. MK-CF-F-155 cash
12. MK-NW-F-032 earmarkedAmount
13. MK-NW-F-031 primaryCarIdOf
14. MK-ST-F-024 rmdStartAge
15. MK-NW-F-030 earmarkDefault
16. MK-NW-F-011 assetClassOf
17. MK-ST-F-056 has
18. MK-NW-F-013 realEstateUseOf
19. MK-NW-F-008 incomeBearingClassOf
20. MK-ST-F-010 nameEvidence
21. MK-XS-F-147 call
22. MK-ST-F-027 accountId
23. MK-XS-F-064 currentIdToken
24. MK-XS-F-112 relayUrl</t>
        </is>
      </c>
      <c r="R370"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MK-CF-F-132 map → MK-PL-F-050 simulate → MK-PL-F-065 volOf
6. MK-PL-F-074 median → MK-PL-F-050 simulate → MK-PL-F-065 volOf
7. MK-PL-F-072 mulberry32 → MK-PL-F-050 simulate → MK-PL-F-065 volOf
8. MK-XS-F-122 n → MK-PL-F-050 simulate → MK-PL-F-065 volOf
9. … and 3 more paths</t>
        </is>
      </c>
      <c r="S370" s="3" t="inlineStr">
        <is>
          <t>—</t>
        </is>
      </c>
      <c r="T370" s="3" t="inlineStr">
        <is>
          <t>SWING_FROM_RETURN</t>
        </is>
      </c>
      <c r="U370" s="3" t="inlineStr">
        <is>
          <t>ACTIVE</t>
        </is>
      </c>
      <c r="V370" s="3" t="inlineStr">
        <is>
          <t>2026-08-27</t>
        </is>
      </c>
      <c r="Y370" s="3" t="inlineStr">
        <is>
          <t>NOTHING OPEN</t>
        </is>
      </c>
    </row>
    <row r="371">
      <c r="A371" s="3" t="inlineStr">
        <is>
          <t>MK-PL-F-066</t>
        </is>
      </c>
      <c r="B371" s="3" t="inlineStr">
        <is>
          <t>displayOdds</t>
        </is>
      </c>
      <c r="C371" s="3" t="inlineStr">
        <is>
          <t>src/domain/retirement/willItLast.ts</t>
        </is>
      </c>
      <c r="D371" s="3" t="n">
        <v>140</v>
      </c>
      <c r="E371" s="3" t="inlineStr">
        <is>
          <t>2 · DISPLAYED</t>
        </is>
      </c>
      <c r="F371" s="3" t="inlineStr">
        <is>
          <t>B6 (founder brief 2026-08-20): the odds a person sees, to the nearest 5 — with one honesty guard at each end: 100 means "every simulated future worked" and 0 means "none did", and neither claim may be minted by rounding.</t>
        </is>
      </c>
      <c r="G371" s="13" t="inlineStr">
        <is>
          <t>min(100, max(0, round(chance, 6 dp)))</t>
        </is>
      </c>
      <c r="H371" s="3" t="inlineStr">
        <is>
          <t>the smaller of 100 and chance, to 6 decimal places, never below zero.</t>
        </is>
      </c>
      <c r="I371" s="3" t="inlineStr">
        <is>
          <t>READ FROM THE CODE — rendered from the expressions the function runs</t>
        </is>
      </c>
      <c r="J371" s="3" t="inlineStr">
        <is>
          <t>chance: number</t>
        </is>
      </c>
      <c r="K371" s="3" t="inlineStr">
        <is>
          <t>number</t>
        </is>
      </c>
      <c r="L371" s="3" t="inlineStr">
        <is>
          <t>"Claim at age" — on the Retirement cockpit screen</t>
        </is>
      </c>
      <c r="M371" s="3" t="inlineStr">
        <is>
          <t>· Rounds the answer to 6 decimal places.</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ODDS_DISPLAY</t>
        </is>
      </c>
      <c r="U371" s="3" t="inlineStr">
        <is>
          <t>ACTIVE</t>
        </is>
      </c>
      <c r="V371" s="3" t="inlineStr">
        <is>
          <t>2026-09-14</t>
        </is>
      </c>
      <c r="Y371" s="3" t="inlineStr">
        <is>
          <t>NOTHING OPEN</t>
        </is>
      </c>
    </row>
    <row r="372">
      <c r="A372" s="3" t="inlineStr">
        <is>
          <t>MK-PL-F-067</t>
        </is>
      </c>
      <c r="B372" s="3" t="inlineStr">
        <is>
          <t>willItLastInputs</t>
        </is>
      </c>
      <c r="C372" s="3" t="inlineStr">
        <is>
          <t>src/domain/retirement/willItLast.ts</t>
        </is>
      </c>
      <c r="D372" s="3" t="n">
        <v>193</v>
      </c>
      <c r="E372" s="3" t="inlineStr">
        <is>
          <t>2 · DISPLAYED</t>
        </is>
      </c>
      <c r="F372" s="3" t="inlineStr">
        <is>
          <t>What goes into working out the odds?</t>
        </is>
      </c>
      <c r="G372" s="13"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372"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372" s="3" t="inlineStr">
        <is>
          <t>PARTLY READ — some of the code is still showing through; needs a hand pass</t>
        </is>
      </c>
      <c r="J372" s="3" t="inlineStr">
        <is>
          <t>a: WillItLastArgs</t>
        </is>
      </c>
      <c r="K372" s="3" t="inlineStr">
        <is>
          <t>RetirementInputs | null</t>
        </is>
      </c>
      <c r="L372" s="3" t="inlineStr">
        <is>
          <t>NOT FOUND — a screen calls it, but the words printed beside its answer could not be traced automatically. Needs reading.</t>
        </is>
      </c>
      <c r="M3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372" s="3" t="inlineStr">
        <is>
          <t>Yes</t>
        </is>
      </c>
      <c r="O372" s="3" t="inlineStr">
        <is>
          <t>1. MK-CF-F-197 ageAttainedInYear
2. MK-XS-F-179 ageToday
3. MK-NW-F-037 blendedReturn
4. MK-NW-F-035 blendedVolatility
5. MK-CF-F-102 effectiveRateOnGrossFor
6. MK-CF-F-085 filingStatusOf
7. MK-CF-F-076 guaranteedOutsideStreams
8. MK-PL-F-083 inflationRateInForce
9. MK-CF-F-132 map
10. MK-NW-F-041 monthlyContributionsFromOnboarding
11. MK-PL-F-079 numOrZero
12. MK-CF-F-089 over65CountOf
13. MK-NW-F-004 portfolioActualReturn
14. MK-NW-F-033 retirementEarmarkedValue
15. MK-PL-F-049 retirementSpendMonthly
16. MK-PL-F-060 ssBenefitAt
17. MK-CF-F-086 stateRateOf
18. MK-PL-F-001 taxBucketSplit
19. MK-CF-F-083 totalGrossAnnual
20. MK-PL-F-065 volOf</t>
        </is>
      </c>
      <c r="P372" s="3" t="n">
        <v>80</v>
      </c>
      <c r="Q372" s="3" t="inlineStr">
        <is>
          <t>1. MK-CF-F-197 ageAttainedInYear
2. MK-XS-F-179 ageToday
3. MK-NW-F-037 blendedReturn
4. MK-NW-F-035 blendedVolatility
5. MK-CF-F-102 effectiveRateOnGrossFor
6. MK-CF-F-085 filingStatusOf
7. MK-CF-F-076 guaranteedOutsideStreams
8. MK-PL-F-083 inflationRateInForce
9. MK-CF-F-132 map
10. MK-NW-F-041 monthlyContributionsFromOnboarding
11. MK-PL-F-079 numOrZero
12. MK-CF-F-089 over65CountOf
13. MK-NW-F-004 portfolioActualReturn
14. MK-NW-F-033 retirementEarmarkedValue
15. MK-PL-F-049 retirementSpendMonthly
16. MK-PL-F-060 ssBenefitAt
17. MK-CF-F-086 stateRateOf
18. MK-PL-F-001 taxBucketSplit
19. MK-CF-F-083 totalGrossAnnual
20. MK-PL-F-065 volOf
21. MK-XS-F-017 currentAge
22. MK-NW-F-034 benchmarkReturn
23. MK-NW-F-032 earmarkedAmount
24. MK-NW-F-031 primaryCarIdOf
25. MK-CF-F-155 cash
26. MK-CF-F-101 taxOwedFor
27. MK-ST-F-052 toNum
28. MK-CF-F-078 employerMatchMonthly
29. MK-XS-F-122 n
30. MK-PL-F-047 colFactor
31. MK-PL-F-058 ssClaimFactorFor
32. MK-CF-F-072 currentRetirementIncomeMonthly
33. MK-CF-F-071 extraIncome
34. MK-CF-F-068 rentalNetAnnual
35. MK-CF-F-066 rsuAnnual
36. MK-CF-F-082 salaryAnnual
37. MK-CF-F-074 tipsAnnual
38. MK-PL-F-077 clamp
39. MK-PL-F-050 simulate
40. MK-NW-F-007 assetKind
41. MK-NW-F-030 earmarkDefault
42. MK-NW-F-011 assetClassOf
43. MK-CF-F-100 taxableIncomeFor
44. MK-CF-F-175 sumOverEarners
45. MK-CF-F-178 wageMatchMonthly
46. MK-PL-F-057 fullRetirementAge
47. MK-CF-F-075 retirementIncomeMonthly
48. MK-CF-F-070 benefitAnnual
49. MK-ST-F-039 on
50. MK-CF-F-067 rentalList
51. MK-CF-F-062 equityRowValue
52. MK-CF-F-063 rowVestYear
53. MK-CF-F-060 salaryGrossByMonth
54. MK-CF-F-081 salaryActiveMonths
55. MK-PL-F-074 median
56. MK-PL-F-072 mulberry32
57. MK-PL-F-073 normal
58. MK-PL-F-075 pctOfSorted
59. MK-ST-F-025 rmdStartAgeFromAge
60. MK-NW-F-013 realEstateUseOf
61. MK-NW-F-008 incomeBearingClassOf
62. MK-CF-F-099 deductionFor
63. MK-CF-F-173 earnerWages
64. MK-CF-F-069 benefitActiveMonths
65. MK-CF-F-176 sumMonthsOverEarners
66. MK-CF-F-177 wageGrossByMonth
67. MK-ST-F-024 rmdStartAge
68. MK-ST-F-010 nameEvidence
69. MK-CF-F-187 seniorDeductionFor
70. MK-CF-F-172 hasWage
71. MK-CF-F-130 enteredMonthlyRaw
72. MK-CF-F-166 hasMonthlySalaryTable
73. MK-ST-F-036 reconcile
74. MK-CF-F-167 salaryCalendarYear
75. MK-ST-F-056 has
76. MK-XS-F-147 call
77. MK-CF-F-165 salaryMonths
78. MK-ST-F-027 accountId
79. MK-XS-F-064 currentIdToken
80. MK-XS-F-112 relayUrl</t>
        </is>
      </c>
      <c r="R37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372" s="3" t="inlineStr">
        <is>
          <t>MK-PL-M-008 · MK-PL-M-011 · MK-PL-M-029</t>
        </is>
      </c>
      <c r="T372" s="3" t="inlineStr">
        <is>
          <t>WILL_IT_LAST_INPUTS</t>
        </is>
      </c>
      <c r="U372" s="3" t="inlineStr">
        <is>
          <t>ACTIVE</t>
        </is>
      </c>
      <c r="V372" s="3" t="inlineStr">
        <is>
          <t>2026-09-12</t>
        </is>
      </c>
      <c r="Y372" s="6" t="inlineStr">
        <is>
          <t>TESTED, NOT VERIFIED (G5, G7, G9)</t>
        </is>
      </c>
    </row>
    <row r="373">
      <c r="A373" s="3" t="inlineStr">
        <is>
          <t>MK-PL-F-068</t>
        </is>
      </c>
      <c r="B373" s="3" t="inlineStr">
        <is>
          <t>selectWillItLast</t>
        </is>
      </c>
      <c r="C373" s="3" t="inlineStr">
        <is>
          <t>src/domain/retirement/willItLast.ts</t>
        </is>
      </c>
      <c r="D373" s="3" t="n">
        <v>310</v>
      </c>
      <c r="E373" s="3" t="inlineStr">
        <is>
          <t>2 · DISPLAYED</t>
        </is>
      </c>
      <c r="F373" s="3" t="inlineStr">
        <is>
          <t>The one will-it-last read.</t>
        </is>
      </c>
      <c r="G373" s="13"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373"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373" s="3" t="inlineStr">
        <is>
          <t>PARTLY READ — some of the code is still showing through; needs a hand pass</t>
        </is>
      </c>
      <c r="J373" s="3" t="inlineStr">
        <is>
          <t>a: WillItLastArgs</t>
        </is>
      </c>
      <c r="K373" s="3" t="inlineStr">
        <is>
          <t>WillItLastResult</t>
        </is>
      </c>
      <c r="L373" s="3" t="inlineStr">
        <is>
          <t>"Draw from savings" — on the Cash flow screen, under "YOUR FUTURE PAYCHECK"</t>
        </is>
      </c>
      <c r="M373" s="3" t="inlineStr">
        <is>
          <t>None found in this function — anything it assumes comes from the functions it depends on.</t>
        </is>
      </c>
      <c r="N373" s="3" t="inlineStr">
        <is>
          <t>Yes</t>
        </is>
      </c>
      <c r="O373" s="3" t="inlineStr">
        <is>
          <t>1. MK-PL-F-066 displayOdds
2. MK-PL-F-079 numOrZero
3. MK-NW-F-033 retirementEarmarkedValue
4. MK-PL-F-049 retirementSpendMonthly
5. MK-PL-F-050 simulate
6. MK-PL-F-067 willItLastInputs</t>
        </is>
      </c>
      <c r="P373" s="3" t="n">
        <v>82</v>
      </c>
      <c r="Q373" s="3" t="inlineStr">
        <is>
          <t>1. MK-PL-F-066 displayOdds
2. MK-PL-F-079 numOrZero
3. MK-NW-F-033 retirementEarmarkedValue
4. MK-PL-F-049 retirementSpendMonthly
5. MK-PL-F-050 simulate
6. MK-PL-F-067 willItLastInputs
7. MK-XS-F-122 n
8. MK-NW-F-032 earmarkedAmount
9. MK-NW-F-031 primaryCarIdOf
10. MK-PL-F-047 colFactor
11. MK-PL-F-001 taxBucketSplit
12. MK-ST-F-052 toNum
13. MK-CF-F-132 map
14. MK-PL-F-074 median
15. MK-PL-F-072 mulberry32
16. MK-PL-F-073 normal
17. MK-PL-F-075 pctOfSorted
18. MK-ST-F-025 rmdStartAgeFromAge
19. MK-CF-F-197 ageAttainedInYear
20. MK-XS-F-179 ageToday
21. MK-NW-F-037 blendedReturn
22. MK-NW-F-035 blendedVolatility
23. MK-CF-F-102 effectiveRateOnGrossFor
24. MK-CF-F-085 filingStatusOf
25. MK-CF-F-076 guaranteedOutsideStreams
26. MK-PL-F-083 inflationRateInForce
27. MK-NW-F-041 monthlyContributionsFromOnboarding
28. MK-CF-F-089 over65CountOf
29. MK-NW-F-004 portfolioActualReturn
30. MK-PL-F-060 ssBenefitAt
31. MK-CF-F-086 stateRateOf
32. MK-CF-F-083 totalGrossAnnual
33. MK-PL-F-065 volOf
34. MK-NW-F-030 earmarkDefault
35. MK-NW-F-011 assetClassOf
36. MK-ST-F-024 rmdStartAge
37. MK-XS-F-017 currentAge
38. MK-NW-F-034 benchmarkReturn
39. MK-CF-F-155 cash
40. MK-CF-F-101 taxOwedFor
41. MK-CF-F-078 employerMatchMonthly
42. MK-PL-F-058 ssClaimFactorFor
43. MK-CF-F-072 currentRetirementIncomeMonthly
44. MK-CF-F-071 extraIncome
45. MK-CF-F-068 rentalNetAnnual
46. MK-CF-F-066 rsuAnnual
47. MK-CF-F-082 salaryAnnual
48. MK-CF-F-074 tipsAnnual
49. MK-PL-F-077 clamp
50. MK-NW-F-013 realEstateUseOf
51. MK-NW-F-008 incomeBearingClassOf
52. MK-ST-F-056 has
53. MK-NW-F-007 assetKind
54. MK-CF-F-100 taxableIncomeFor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MK-ST-F-010 nameEvidence
67. MK-CF-F-099 deductionFor
68. MK-CF-F-173 earnerWages
69. MK-CF-F-069 benefitActiveMonths
70. MK-CF-F-176 sumMonthsOverEarners
71. MK-CF-F-177 wageGrossByMonth
72. MK-XS-F-147 call
73. MK-CF-F-187 seniorDeductionFor
74. MK-CF-F-172 hasWage
75. MK-CF-F-130 enteredMonthlyRaw
76. MK-CF-F-166 hasMonthlySalaryTable
77. MK-ST-F-036 reconcile
78. MK-CF-F-167 salaryCalendarYear
79. MK-ST-F-027 accountId
80. MK-XS-F-064 currentIdToken
81. MK-XS-F-112 relayUrl
82. MK-CF-F-165 salaryMonths</t>
        </is>
      </c>
      <c r="R373"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S373" s="3" t="inlineStr">
        <is>
          <t>MK-PL-M-034 · MK-XS-M-002</t>
        </is>
      </c>
      <c r="T373" s="3" t="inlineStr">
        <is>
          <t>WILL_IT_LAST_RESULT</t>
        </is>
      </c>
      <c r="U373" s="3" t="inlineStr">
        <is>
          <t>ACTIVE</t>
        </is>
      </c>
      <c r="V373" s="3" t="inlineStr">
        <is>
          <t>2026-09-12</t>
        </is>
      </c>
      <c r="Y373" s="3" t="inlineStr">
        <is>
          <t>NOTHING OPEN</t>
        </is>
      </c>
    </row>
    <row r="374">
      <c r="A374" s="3" t="inlineStr">
        <is>
          <t>MK-PL-F-069</t>
        </is>
      </c>
      <c r="B374" s="3" t="inlineStr">
        <is>
          <t>oddsAt</t>
        </is>
      </c>
      <c r="C374" s="3" t="inlineStr">
        <is>
          <t>src/domain/planning/spendMore.ts</t>
        </is>
      </c>
      <c r="D374" s="3" t="n">
        <v>45</v>
      </c>
      <c r="E374" s="3" t="inlineStr">
        <is>
          <t>1 · ACTION</t>
        </is>
      </c>
      <c r="F374" s="3" t="inlineStr">
        <is>
          <t>NOT DETERMINED — the code carries no note saying what this is for, and it has no row in the old inventory. Needs reading.</t>
        </is>
      </c>
      <c r="G374" s="13" t="inlineStr">
        <is>
          <t>the answer = simulate({ …base, retire monthly spend today: monthly spend }).chance of success</t>
        </is>
      </c>
      <c r="H374" s="3" t="inlineStr">
        <is>
          <t>The odds the money lasts when the monthly expenses in retirement are set to a given figure — one full run of the simulation (MK-PL-F-050) with that one input changed.</t>
        </is>
      </c>
      <c r="I374" s="3" t="inlineStr">
        <is>
          <t>READ BY HAND 2026-08-26 — checked line by line against the code</t>
        </is>
      </c>
      <c r="J374" s="3" t="inlineStr">
        <is>
          <t>1. base: RetirementInputs
2. monthlySpend: number</t>
        </is>
      </c>
      <c r="K374" s="3" t="inlineStr">
        <is>
          <t>NOT DECLARED — the code does not say what it gives back</t>
        </is>
      </c>
      <c r="L374" s="3" t="inlineStr">
        <is>
          <t>—</t>
        </is>
      </c>
      <c r="M374" s="3" t="inlineStr">
        <is>
          <t>None found in this function — anything it assumes comes from the functions it depends on.</t>
        </is>
      </c>
      <c r="N374" s="3" t="inlineStr">
        <is>
          <t>Yes</t>
        </is>
      </c>
      <c r="O374" s="3" t="inlineStr">
        <is>
          <t>MK-PL-F-050 simulate</t>
        </is>
      </c>
      <c r="P374" s="3" t="n">
        <v>10</v>
      </c>
      <c r="Q374" s="3" t="inlineStr">
        <is>
          <t>1. MK-PL-F-050 simulate
2. MK-CF-F-132 map
3. MK-PL-F-074 median
4. MK-PL-F-072 mulberry32
5. MK-XS-F-122 n
6. MK-PL-F-073 normal
7. MK-PL-F-075 pctOfSorted
8. MK-ST-F-025 rmdStartAgeFromAge
9. MK-ST-F-024 rmdStartAge
10. MK-ST-F-056 has</t>
        </is>
      </c>
      <c r="R374" s="3" t="inlineStr">
        <is>
          <t>1. MK-CF-F-132 map → MK-PL-F-050 simulate → MK-PL-F-069 oddsAt
2. MK-PL-F-074 median → MK-PL-F-050 simulate → MK-PL-F-069 oddsAt
3. MK-PL-F-072 mulberry32 → MK-PL-F-050 simulate → MK-PL-F-069 oddsAt
4. MK-XS-F-122 n → MK-PL-F-050 simulate → MK-PL-F-069 oddsAt
5. MK-PL-F-073 normal → MK-PL-F-050 simulate → MK-PL-F-069 oddsAt
6. MK-PL-F-075 pctOfSorted → MK-PL-F-050 simulate → MK-PL-F-069 oddsAt
7. MK-ST-F-056 has → MK-ST-F-024 rmdStartAge → MK-ST-F-025 rmdStartAgeFromAge → MK-PL-F-050 simulate → MK-PL-F-069 oddsAt</t>
        </is>
      </c>
      <c r="S374" s="3" t="inlineStr">
        <is>
          <t>—</t>
        </is>
      </c>
      <c r="T374" s="3" t="inlineStr">
        <is>
          <t>—</t>
        </is>
      </c>
      <c r="U374" s="3" t="inlineStr">
        <is>
          <t>ACTIVE</t>
        </is>
      </c>
      <c r="V374" s="3" t="inlineStr">
        <is>
          <t>2026-09-12</t>
        </is>
      </c>
      <c r="Y374" s="3" t="inlineStr">
        <is>
          <t>NOTHING OPEN</t>
        </is>
      </c>
    </row>
    <row r="375">
      <c r="A375" s="3" t="inlineStr">
        <is>
          <t>MK-PL-F-070</t>
        </is>
      </c>
      <c r="B375" s="3" t="inlineStr">
        <is>
          <t>smallestThatWorks</t>
        </is>
      </c>
      <c r="C375" s="3" t="inlineStr">
        <is>
          <t>src/domain/planning/target.ts</t>
        </is>
      </c>
      <c r="D375" s="3" t="n">
        <v>48</v>
      </c>
      <c r="E375" s="3" t="inlineStr">
        <is>
          <t>3 · DEPENDENT</t>
        </is>
      </c>
      <c r="F375" s="3" t="inlineStr">
        <is>
          <t>Smallest x in [lo, hi] where reaching(x) is true, to `tol`.</t>
        </is>
      </c>
      <c r="G375" s="13" t="inlineStr">
        <is>
          <t>lo   when works(lo)
nothing   when !works(hi)
a = lo, b = hi
mid = (a + b) ÷ 2
the answer = b</t>
        </is>
      </c>
      <c r="H375" s="3" t="inlineStr">
        <is>
          <t>When works(lo), it answers lo. When !works(hi), it answers no answer. A is lo, b = hi. Mid is (a plus b) divided by 2. The answer is b.</t>
        </is>
      </c>
      <c r="I375" s="3" t="inlineStr">
        <is>
          <t>READ FROM THE CODE — rendered from the expressions the function runs</t>
        </is>
      </c>
      <c r="J375" s="3" t="inlineStr">
        <is>
          <t>1. lo: number
2. hi: number
3. tol: number
4. works: (x: number) =&gt; boolean</t>
        </is>
      </c>
      <c r="K375" s="3" t="inlineStr">
        <is>
          <t>number | null</t>
        </is>
      </c>
      <c r="L375" s="3" t="inlineStr">
        <is>
          <t>—</t>
        </is>
      </c>
      <c r="M375" s="3" t="inlineStr">
        <is>
          <t>None found in this function — anything it assumes comes from the functions it depends on.</t>
        </is>
      </c>
      <c r="N375" s="3" t="inlineStr">
        <is>
          <t>Yes</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t>
        </is>
      </c>
      <c r="U375" s="3" t="inlineStr">
        <is>
          <t>ACTIVE</t>
        </is>
      </c>
      <c r="V375" s="3" t="inlineStr">
        <is>
          <t>2026-08-27</t>
        </is>
      </c>
      <c r="Y375" s="3" t="inlineStr">
        <is>
          <t>NOTHING OPEN</t>
        </is>
      </c>
    </row>
    <row r="376">
      <c r="A376" s="3" t="inlineStr">
        <is>
          <t>MK-PL-F-071</t>
        </is>
      </c>
      <c r="B376" s="3" t="inlineStr">
        <is>
          <t>oddsOf</t>
        </is>
      </c>
      <c r="C376" s="3" t="inlineStr">
        <is>
          <t>src/domain/planning/target.ts</t>
        </is>
      </c>
      <c r="D376" s="3" t="n">
        <v>79</v>
      </c>
      <c r="E376" s="3" t="inlineStr">
        <is>
          <t>1 · ACTION</t>
        </is>
      </c>
      <c r="F376" s="3" t="inlineStr">
        <is>
          <t>NOT DETERMINED — the code carries no note saying what this is for, and it has no row in the old inventory. Needs reading.</t>
        </is>
      </c>
      <c r="G376" s="13" t="inlineStr">
        <is>
          <t>simulate(inp).chance of success</t>
        </is>
      </c>
      <c r="H376" s="3" t="inlineStr">
        <is>
          <t>simulate(inp).chance of success</t>
        </is>
      </c>
      <c r="I376" s="3" t="inlineStr">
        <is>
          <t>PARTLY READ — some of the code is still showing through; needs a hand pass</t>
        </is>
      </c>
      <c r="J376" s="3" t="inlineStr">
        <is>
          <t>inp: RetirementInputs</t>
        </is>
      </c>
      <c r="K376" s="3" t="inlineStr">
        <is>
          <t>NOT DECLARED — the code does not say what it gives back</t>
        </is>
      </c>
      <c r="L376" s="3" t="inlineStr">
        <is>
          <t>—</t>
        </is>
      </c>
      <c r="M376" s="3" t="inlineStr">
        <is>
          <t>None found in this function — anything it assumes comes from the functions it depends on.</t>
        </is>
      </c>
      <c r="N376" s="3" t="inlineStr">
        <is>
          <t>Yes</t>
        </is>
      </c>
      <c r="O376" s="3" t="inlineStr">
        <is>
          <t>MK-PL-F-050 simulate</t>
        </is>
      </c>
      <c r="P376" s="3" t="n">
        <v>10</v>
      </c>
      <c r="Q376" s="3" t="inlineStr">
        <is>
          <t>1. MK-PL-F-050 simulate
2. MK-CF-F-132 map
3. MK-PL-F-074 median
4. MK-PL-F-072 mulberry32
5. MK-XS-F-122 n
6. MK-PL-F-073 normal
7. MK-PL-F-075 pctOfSorted
8. MK-ST-F-025 rmdStartAgeFromAge
9. MK-ST-F-024 rmdStartAge
10. MK-ST-F-056 has</t>
        </is>
      </c>
      <c r="R376" s="3" t="inlineStr">
        <is>
          <t>1. MK-CF-F-132 map → MK-PL-F-050 simulate → MK-PL-F-071 oddsOf
2. MK-PL-F-074 median → MK-PL-F-050 simulate → MK-PL-F-071 oddsOf
3. MK-PL-F-072 mulberry32 → MK-PL-F-050 simulate → MK-PL-F-071 oddsOf
4. MK-XS-F-122 n → MK-PL-F-050 simulate → MK-PL-F-071 oddsOf
5. MK-PL-F-073 normal → MK-PL-F-050 simulate → MK-PL-F-071 oddsOf
6. MK-PL-F-075 pctOfSorted → MK-PL-F-050 simulate → MK-PL-F-071 oddsOf
7. MK-ST-F-056 has → MK-ST-F-024 rmdStartAge → MK-ST-F-025 rmdStartAgeFromAge → MK-PL-F-050 simulate → MK-PL-F-071 oddsOf</t>
        </is>
      </c>
      <c r="S376" s="3" t="inlineStr">
        <is>
          <t>—</t>
        </is>
      </c>
      <c r="T376" s="3" t="inlineStr">
        <is>
          <t>—</t>
        </is>
      </c>
      <c r="U376" s="3" t="inlineStr">
        <is>
          <t>ACTIVE</t>
        </is>
      </c>
      <c r="V376" s="3" t="inlineStr">
        <is>
          <t>2026-08-27</t>
        </is>
      </c>
      <c r="Y376" s="3" t="inlineStr">
        <is>
          <t>NOTHING OPEN</t>
        </is>
      </c>
    </row>
    <row r="377">
      <c r="A377" s="3" t="inlineStr">
        <is>
          <t>MK-PL-F-072</t>
        </is>
      </c>
      <c r="B377" s="3" t="inlineStr">
        <is>
          <t>mulberry32</t>
        </is>
      </c>
      <c r="C377" s="3" t="inlineStr">
        <is>
          <t>src/domain/retirement/index.ts</t>
        </is>
      </c>
      <c r="D377" s="3" t="n">
        <v>217</v>
      </c>
      <c r="E377" s="3" t="inlineStr">
        <is>
          <t>3 · DEPENDENT</t>
        </is>
      </c>
      <c r="F377" s="3" t="inlineStr">
        <is>
          <t>deterministic RNG so results/tests are reproducible</t>
        </is>
      </c>
      <c r="G377" s="13" t="inlineStr">
        <is>
          <t>t = seed += 0x6d2b79f5
the answer = ((t ^ (t &gt;&gt;&gt; 14)) &gt;&gt;&gt; 0) ÷ 4294967296</t>
        </is>
      </c>
      <c r="H377" s="3" t="inlineStr">
        <is>
          <t>T is seed += 0x6d2b79f5. The answer is ((t ^ (t &gt;&gt;&gt; 14)) &gt;&gt;&gt; 0) divided by 4294967296.</t>
        </is>
      </c>
      <c r="I377" s="3" t="inlineStr">
        <is>
          <t>READ FROM THE CODE — rendered from the expressions the function runs</t>
        </is>
      </c>
      <c r="J377" s="3" t="inlineStr">
        <is>
          <t>seed: number</t>
        </is>
      </c>
      <c r="K377" s="3" t="inlineStr">
        <is>
          <t>NOT DECLARED — the code does not say what it gives back</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2026-08-27</t>
        </is>
      </c>
      <c r="Y377" s="3" t="inlineStr">
        <is>
          <t>NOTHING OPEN</t>
        </is>
      </c>
    </row>
    <row r="378">
      <c r="A378" s="3" t="inlineStr">
        <is>
          <t>MK-PL-F-073</t>
        </is>
      </c>
      <c r="B378" s="3" t="inlineStr">
        <is>
          <t>normal</t>
        </is>
      </c>
      <c r="C378" s="3" t="inlineStr">
        <is>
          <t>src/domain/retirement/index.ts</t>
        </is>
      </c>
      <c r="D378" s="3" t="n">
        <v>253</v>
      </c>
      <c r="E378" s="3" t="inlineStr">
        <is>
          <t>3 · DEPENDENT</t>
        </is>
      </c>
      <c r="F378" s="3" t="inlineStr">
        <is>
          <t>NOT DETERMINED — the code carries no note saying what this is for, and it has no row in the old inventory. Needs reading.</t>
        </is>
      </c>
      <c r="G378" s="13" t="inlineStr">
        <is>
          <t>u = 0, v = 0
[LOOP — the answer is found inside a loop the extractor cannot render; the steps above are the ones before it. Read by hand.]</t>
        </is>
      </c>
      <c r="H378" s="3" t="inlineStr">
        <is>
          <t>U is 0, v = 0. The answer is mean plus sd times √(-2 times math.log(u)) times math.cos(2 times math.PI times v). The answer is found inside a loop that cannot be rendered here; read the code by hand.</t>
        </is>
      </c>
      <c r="I378" s="3" t="inlineStr">
        <is>
          <t>PARTLY READ — the body has a loop the extractor cannot render; the steps shown are the ones before it. Needs a hand pass (G23).</t>
        </is>
      </c>
      <c r="J378" s="3" t="inlineStr">
        <is>
          <t>rng: () =&gt; number, mean: number, sd: number</t>
        </is>
      </c>
      <c r="K378" s="3" t="inlineStr">
        <is>
          <t>number</t>
        </is>
      </c>
      <c r="L378" s="3" t="inlineStr">
        <is>
          <t>—</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2026-09-08</t>
        </is>
      </c>
      <c r="Y378" s="3" t="inlineStr">
        <is>
          <t>NOTHING OPEN</t>
        </is>
      </c>
    </row>
    <row r="379">
      <c r="A379" s="3" t="inlineStr">
        <is>
          <t>MK-PL-F-074</t>
        </is>
      </c>
      <c r="B379" s="3" t="inlineStr">
        <is>
          <t>median</t>
        </is>
      </c>
      <c r="C379" s="3" t="inlineStr">
        <is>
          <t>src/domain/_shared/num.ts</t>
        </is>
      </c>
      <c r="D379" s="3" t="n">
        <v>155</v>
      </c>
      <c r="E379" s="3" t="inlineStr">
        <is>
          <t>2 · DISPLAYED</t>
        </is>
      </c>
      <c r="F379" s="3" t="inlineStr">
        <is>
          <t>The middle value of a list, 0 when it is empty.</t>
        </is>
      </c>
      <c r="G379" s="13" t="inlineStr">
        <is>
          <t>0   when count of xs is missing
s = [...xs].sort((a, b) =&gt; a − b)
m = round down(length ÷ 2)
the answer:
s[m]   if length % 2
(s[m − 1] + s[m]) ÷ 2   otherwise</t>
        </is>
      </c>
      <c r="H379" s="3" t="inlineStr">
        <is>
          <t>When how many xs is missing there are, it answers 0. S is [...xs].sort((a, b) =&gt; a minus b). M is length divided by 2, rounded down. The answer is s[m] — when length % 2; (s[m minus 1] plus s[m]) divided by 2 — otherwise.</t>
        </is>
      </c>
      <c r="I379" s="3" t="inlineStr">
        <is>
          <t>PARTLY READ — some of the code is still showing through; needs a hand pass</t>
        </is>
      </c>
      <c r="J379" s="3" t="inlineStr">
        <is>
          <t>xs: number[]</t>
        </is>
      </c>
      <c r="K379" s="3" t="inlineStr">
        <is>
          <t>number</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2026-08-27</t>
        </is>
      </c>
      <c r="Y379" s="3" t="inlineStr">
        <is>
          <t>NOTHING OPEN</t>
        </is>
      </c>
    </row>
    <row r="380">
      <c r="A380" s="3" t="inlineStr">
        <is>
          <t>MK-PL-F-075</t>
        </is>
      </c>
      <c r="B380" s="3" t="inlineStr">
        <is>
          <t>pctOfSorted</t>
        </is>
      </c>
      <c r="C380" s="3" t="inlineStr">
        <is>
          <t>src/domain/retirement/index.ts</t>
        </is>
      </c>
      <c r="D380" s="3" t="n">
        <v>292</v>
      </c>
      <c r="E380" s="3" t="inlineStr">
        <is>
          <t>3 · DEPENDENT</t>
        </is>
      </c>
      <c r="F380" s="3" t="inlineStr">
        <is>
          <t>p in [0,1] over a pre-sorted ascending array (nearest-rank)</t>
        </is>
      </c>
      <c r="G380" s="13" t="inlineStr">
        <is>
          <t>0   when count of sorted is missing
idx = min(sorted.length − 1, max(0, round(p × (sorted.length − 1))))
the answer = sorted[idx]</t>
        </is>
      </c>
      <c r="H380" s="3" t="inlineStr">
        <is>
          <t>When how many sorted is missing there are, it answers 0. Idx: the smaller of sorted.length minus 1 and p times (sorted.length minus 1, to a whole number, never below zero). The answer is sorted[idx].</t>
        </is>
      </c>
      <c r="I380" s="3" t="inlineStr">
        <is>
          <t>READ FROM THE CODE — rendered from the expressions the function runs</t>
        </is>
      </c>
      <c r="J380" s="3" t="inlineStr">
        <is>
          <t>1. sorted: number[]
2. p: number</t>
        </is>
      </c>
      <c r="K380" s="3" t="inlineStr">
        <is>
          <t>number</t>
        </is>
      </c>
      <c r="L380" s="3" t="inlineStr">
        <is>
          <t>—</t>
        </is>
      </c>
      <c r="M380" s="3" t="inlineStr">
        <is>
          <t>· Rounds the answer to a whole number.</t>
        </is>
      </c>
      <c r="N380" s="3" t="inlineStr">
        <is>
          <t>Yes</t>
        </is>
      </c>
      <c r="O380" s="3" t="inlineStr">
        <is>
          <t>—</t>
        </is>
      </c>
      <c r="P380" s="3" t="n">
        <v>0</v>
      </c>
      <c r="Q380" s="3" t="inlineStr">
        <is>
          <t>None — no dependent function stands behind it</t>
        </is>
      </c>
      <c r="R380" s="3" t="inlineStr">
        <is>
          <t>No dependent function — it reads its inputs and answers</t>
        </is>
      </c>
      <c r="S380" s="3" t="inlineStr">
        <is>
          <t>—</t>
        </is>
      </c>
      <c r="T380" s="3" t="inlineStr">
        <is>
          <t>—</t>
        </is>
      </c>
      <c r="U380" s="3" t="inlineStr">
        <is>
          <t>ACTIVE</t>
        </is>
      </c>
      <c r="V380" s="3" t="inlineStr">
        <is>
          <t>2026-08-27</t>
        </is>
      </c>
      <c r="Y380" s="3" t="inlineStr">
        <is>
          <t>NOTHING OPEN</t>
        </is>
      </c>
    </row>
    <row r="381">
      <c r="A381" s="3" t="inlineStr">
        <is>
          <t>MK-PL-F-077</t>
        </is>
      </c>
      <c r="B381" s="3" t="inlineStr">
        <is>
          <t>clamp</t>
        </is>
      </c>
      <c r="C381" s="3" t="inlineStr">
        <is>
          <t>src/domain/retirement/willItLast.ts</t>
        </is>
      </c>
      <c r="D381" s="3" t="n">
        <v>54</v>
      </c>
      <c r="E381" s="3" t="inlineStr">
        <is>
          <t>2 · DISPLAYED</t>
        </is>
      </c>
      <c r="F381" s="3" t="inlineStr">
        <is>
          <t>NOT DETERMINED — the code carries no note saying what this is for, and it has no row in the old inventory. Needs reading.</t>
        </is>
      </c>
      <c r="G381" s="13" t="inlineStr">
        <is>
          <t>max(lo, min(hi, v))</t>
        </is>
      </c>
      <c r="H381" s="3" t="inlineStr">
        <is>
          <t>the larger of lo and the smaller of hi and v</t>
        </is>
      </c>
      <c r="I381" s="3" t="inlineStr">
        <is>
          <t>READ FROM THE CODE — rendered from the expressions the function runs</t>
        </is>
      </c>
      <c r="J381" s="3" t="inlineStr">
        <is>
          <t>1. v: number
2. lo: number
3. hi: number</t>
        </is>
      </c>
      <c r="K381" s="3" t="inlineStr">
        <is>
          <t>NOT DECLARED — the code does not say what it gives back</t>
        </is>
      </c>
      <c r="L381" s="3" t="inlineStr">
        <is>
          <t>1. "Claim at age" — on the Retirement cockpit screen
2. "Save" — on the Retirement cockpit screen
3. "Test retiring earlier, saving more, market ups &amp; downs." — on the Retirement cockpit screen
4. "What counts toward retirement?" — on the Retirement cockpit screen</t>
        </is>
      </c>
      <c r="M381" s="3" t="inlineStr">
        <is>
          <t>None found in this function — anything it assumes comes from the functions it depends on.</t>
        </is>
      </c>
      <c r="N381" s="3" t="inlineStr">
        <is>
          <t>Yes</t>
        </is>
      </c>
      <c r="O381" s="3" t="inlineStr">
        <is>
          <t>MK-NW-F-035 blendedVolatility</t>
        </is>
      </c>
      <c r="P381" s="3" t="n">
        <v>16</v>
      </c>
      <c r="Q381"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381"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381" s="3" t="inlineStr">
        <is>
          <t>—</t>
        </is>
      </c>
      <c r="T381" s="3" t="inlineStr">
        <is>
          <t>—</t>
        </is>
      </c>
      <c r="U381" s="3" t="inlineStr">
        <is>
          <t>ACTIVE</t>
        </is>
      </c>
      <c r="V381" s="3" t="inlineStr">
        <is>
          <t>2026-08-27</t>
        </is>
      </c>
      <c r="Y381" s="3" t="inlineStr">
        <is>
          <t>NOTHING OPEN</t>
        </is>
      </c>
    </row>
    <row r="382">
      <c r="A382" s="3" t="inlineStr">
        <is>
          <t>MK-PL-F-078</t>
        </is>
      </c>
      <c r="B382" s="3" t="inlineStr">
        <is>
          <t>rmdDivisorAtAge</t>
        </is>
      </c>
      <c r="C382" s="3" t="inlineStr">
        <is>
          <t>src/domain/decumulation/index.ts</t>
        </is>
      </c>
      <c r="D382" s="3" t="n">
        <v>259</v>
      </c>
      <c r="E382" s="3" t="inlineStr">
        <is>
          <t>2 · DISPLAYED</t>
        </is>
      </c>
      <c r="F382" s="3" t="inlineStr">
        <is>
          <t>NOT DETERMINED — the code carries no note saying what this is for, and it has no row in the old inventory. Needs reading.</t>
        </is>
      </c>
      <c r="G382" s="13" t="inlineStr">
        <is>
          <t>table rmd divisor(age, now year − age)</t>
        </is>
      </c>
      <c r="H382" s="3" t="inlineStr">
        <is>
          <t>table rmd divisor(age, now year minus age).</t>
        </is>
      </c>
      <c r="I382" s="3" t="inlineStr">
        <is>
          <t>READ FROM THE CODE — rendered from the expressions the function runs</t>
        </is>
      </c>
      <c r="J382" s="3" t="inlineStr">
        <is>
          <t>1. age: number
2. nowYear = new Date().getFullYear()</t>
        </is>
      </c>
      <c r="K382" s="3" t="inlineStr">
        <is>
          <t>number</t>
        </is>
      </c>
      <c r="L382" s="3" t="inlineStr">
        <is>
          <t>"Suggested withdrawal order" — on the Retirement cockpit screen</t>
        </is>
      </c>
      <c r="M382" s="3" t="inlineStr">
        <is>
          <t>· Uses today's date from the device clock, so the answer changes by itself overnight.</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2026-09-13</t>
        </is>
      </c>
      <c r="Y382" s="3" t="inlineStr">
        <is>
          <t>NOTHING OPEN</t>
        </is>
      </c>
    </row>
    <row r="383">
      <c r="A383" s="3" t="inlineStr">
        <is>
          <t>MK-PL-F-079</t>
        </is>
      </c>
      <c r="B383" s="3" t="inlineStr">
        <is>
          <t>numOrZero</t>
        </is>
      </c>
      <c r="C383" s="3" t="inlineStr">
        <is>
          <t>src/domain/retirement/willItLast.ts</t>
        </is>
      </c>
      <c r="D383" s="3" t="n">
        <v>34</v>
      </c>
      <c r="E383" s="3" t="inlineStr">
        <is>
          <t>3 · DEPENDENT</t>
        </is>
      </c>
      <c r="F383" s="3" t="inlineStr">
        <is>
          <t>NOT DETERMINED — the code carries no note saying what this is for, and it has no row in the old inventory. Needs reading.</t>
        </is>
      </c>
      <c r="G383" s="13" t="inlineStr">
        <is>
          <t>n = the number in the text after every character but digits and the decimal point is removed
the answer = 0 when that is not a number, else n</t>
        </is>
      </c>
      <c r="H383" s="3" t="inlineStr">
        <is>
          <t>Reads a typed amount as a number — strips dollar signs, commas and spaces — and gives 0 when nothing numeric is left.</t>
        </is>
      </c>
      <c r="I383" s="3" t="inlineStr">
        <is>
          <t>READ BY HAND 2026-08-26 — checked line by line against the code</t>
        </is>
      </c>
      <c r="J383" s="3" t="inlineStr">
        <is>
          <t>v: any</t>
        </is>
      </c>
      <c r="K383" s="3" t="inlineStr">
        <is>
          <t>n; };</t>
        </is>
      </c>
      <c r="L383" s="3" t="inlineStr">
        <is>
          <t>—</t>
        </is>
      </c>
      <c r="M383" s="3" t="inlineStr">
        <is>
          <t>None found in this function — anything it assumes comes from the functions it depends on.</t>
        </is>
      </c>
      <c r="N383" s="3" t="inlineStr">
        <is>
          <t>Yes</t>
        </is>
      </c>
      <c r="O383" s="3" t="inlineStr">
        <is>
          <t>MK-XS-F-122 n</t>
        </is>
      </c>
      <c r="P383" s="3" t="n">
        <v>1</v>
      </c>
      <c r="Q383" s="3" t="inlineStr">
        <is>
          <t>MK-XS-F-122 n</t>
        </is>
      </c>
      <c r="R383" s="3" t="inlineStr">
        <is>
          <t>MK-XS-F-122 n → MK-PL-F-079 numOrZero</t>
        </is>
      </c>
      <c r="S383" s="3" t="inlineStr">
        <is>
          <t>—</t>
        </is>
      </c>
      <c r="T383" s="3" t="inlineStr">
        <is>
          <t>—</t>
        </is>
      </c>
      <c r="U383" s="3" t="inlineStr">
        <is>
          <t>ACTIVE</t>
        </is>
      </c>
      <c r="V383" s="3" t="inlineStr">
        <is>
          <t>2026-09-12</t>
        </is>
      </c>
      <c r="Y383" s="3" t="inlineStr">
        <is>
          <t>NOTHING OPEN</t>
        </is>
      </c>
    </row>
    <row r="384">
      <c r="A384" s="3" t="inlineStr">
        <is>
          <t>MK-PL-F-080</t>
        </is>
      </c>
      <c r="B384" s="3" t="inlineStr">
        <is>
          <t>rmdRequiredThisYear</t>
        </is>
      </c>
      <c r="C384" s="3" t="inlineStr">
        <is>
          <t>src/domain/decumulation/index.ts</t>
        </is>
      </c>
      <c r="D384" s="3" t="n">
        <v>322</v>
      </c>
      <c r="E384" s="3" t="inlineStr">
        <is>
          <t>2 · DISPLAYED</t>
        </is>
      </c>
      <c r="F384" s="3" t="inlineStr">
        <is>
          <t>What must be taken out this year, and which balance is it based on?</t>
        </is>
      </c>
      <c r="G384" s="13" t="inlineStr">
        <is>
          <t>balance used = the pre-tax balance on 31 December last year, when the person entered one (&gt; 0); otherwise today's pre-tax balance
amount = rmd at age(balance used, age)
basis = 'prior_year_end' or 'today' — so the screen can say which</t>
        </is>
      </c>
      <c r="H384" s="3" t="inlineStr">
        <is>
          <t>If the person has entered last 31 December's pre-tax balance, the required amount is that balance divided by the life-expectancy factor for their age. If not, today's balance is used instead, and the answer carries a flag saying so, which the screen prints.</t>
        </is>
      </c>
      <c r="I384" s="3" t="inlineStr">
        <is>
          <t>READ BY HAND 2026-08-26 — checked line by line against the code</t>
        </is>
      </c>
      <c r="J384" s="3" t="inlineStr">
        <is>
          <t>1. preTaxToday: number
2. priorYearEndPreTax: number | null | undefined
3. age: number</t>
        </is>
      </c>
      <c r="K384" s="3" t="inlineStr">
        <is>
          <t>RmdThisYear</t>
        </is>
      </c>
      <c r="L384" s="3" t="inlineStr">
        <is>
          <t>NOT FOUND — a screen calls it, but the words printed beside its answer could not be traced automatically. Needs reading.</t>
        </is>
      </c>
      <c r="M3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384" s="3" t="inlineStr">
        <is>
          <t>Yes</t>
        </is>
      </c>
      <c r="O384" s="3" t="inlineStr">
        <is>
          <t>MK-PL-F-007 rmdAtAge</t>
        </is>
      </c>
      <c r="P384" s="3" t="n">
        <v>2</v>
      </c>
      <c r="Q384" s="3" t="inlineStr">
        <is>
          <t>1. MK-PL-F-007 rmdAtAge
2. MK-PL-F-078 rmdDivisorAtAge</t>
        </is>
      </c>
      <c r="R384" s="3" t="inlineStr">
        <is>
          <t>MK-PL-F-078 rmdDivisorAtAge → MK-PL-F-007 rmdAtAge → MK-PL-F-080 rmdRequiredThisYear</t>
        </is>
      </c>
      <c r="S384" s="3" t="inlineStr">
        <is>
          <t>MK-PL-M-013</t>
        </is>
      </c>
      <c r="T384" s="3" t="inlineStr">
        <is>
          <t>—</t>
        </is>
      </c>
      <c r="U384" s="3" t="inlineStr">
        <is>
          <t>ACTIVE</t>
        </is>
      </c>
      <c r="V384" s="3" t="inlineStr">
        <is>
          <t>2026-09-08</t>
        </is>
      </c>
      <c r="Y384" s="6" t="inlineStr">
        <is>
          <t>TESTED, NOT VERIFIED (G8)</t>
        </is>
      </c>
    </row>
    <row r="385">
      <c r="A385" s="3" t="inlineStr">
        <is>
          <t>MK-PL-F-081</t>
        </is>
      </c>
      <c r="B385" s="3" t="inlineStr">
        <is>
          <t>taxableGainShare</t>
        </is>
      </c>
      <c r="C385" s="3" t="inlineStr">
        <is>
          <t>src/domain/decumulation/index.ts</t>
        </is>
      </c>
      <c r="D385" s="3" t="n">
        <v>530</v>
      </c>
      <c r="E385" s="3" t="inlineStr">
        <is>
          <t>2 · DISPLAYED</t>
        </is>
      </c>
      <c r="F385" s="3" t="inlineStr">
        <is>
          <t>What share of the person's taxable holdings is unrealised gain?</t>
        </is>
      </c>
      <c r="G385" s="13" t="inlineStr">
        <is>
          <t>over every holding in a TAXABLE account that has a price (the broker's mark, else the price feed): value += market value(holding, price) · basis += cost basis(holding)
nothing   when value ≤ 0 (no priced taxable holding)
the answer = min(1, max(0, (value − basis) ÷ value))</t>
        </is>
      </c>
      <c r="H385" s="3" t="inlineStr">
        <is>
          <t>Add up what the taxable holdings are worth today and what was paid for them; the gain share is the difference as a fraction of today's value, never below zero and never above one. With no priced taxable holding there is no answer.</t>
        </is>
      </c>
      <c r="I385" s="3" t="inlineStr">
        <is>
          <t>READ BY HAND 2026-08-26 — checked line by line against the code</t>
        </is>
      </c>
      <c r="J385" s="3" t="inlineStr">
        <is>
          <t>1. accounts: AssetAccount[]
2. priceOf: (ticker: string) =&gt; number | null</t>
        </is>
      </c>
      <c r="K385" s="3" t="inlineStr">
        <is>
          <t>number | null</t>
        </is>
      </c>
      <c r="L385" s="3" t="inlineStr">
        <is>
          <t>NOT FOUND — a screen calls it, but the words printed beside its answer could not be traced automatically. Needs reading.</t>
        </is>
      </c>
      <c r="M385" s="3" t="inlineStr">
        <is>
          <t>1. A holding with no price is left out; no priced taxable holding at all → nothing, never a guessed 50% (founder ruling 2026-09-08, G6).
2. A loss overall counts as a 0% gain share (no tax on drawing at a loss), never negative.</t>
        </is>
      </c>
      <c r="N385" s="3" t="inlineStr">
        <is>
          <t>Yes</t>
        </is>
      </c>
      <c r="O385" s="3" t="inlineStr">
        <is>
          <t>1. MK-PF-F-002 costBasis
2. MK-PF-F-004 marketValue</t>
        </is>
      </c>
      <c r="P385" s="3" t="n">
        <v>4</v>
      </c>
      <c r="Q385" s="3" t="inlineStr">
        <is>
          <t>1. MK-PF-F-002 costBasis
2. MK-PF-F-004 marketValue
3. MK-PF-F-031 contractMultiplier
4. MK-PF-F-001 totalShares</t>
        </is>
      </c>
      <c r="R385" s="3" t="inlineStr">
        <is>
          <t>1. MK-PF-F-031 contractMultiplier → MK-PF-F-002 costBasis → MK-PL-F-081 taxableGainShare
2. MK-PF-F-031 contractMultiplier → MK-PF-F-004 marketValue → MK-PL-F-081 taxableGainShare
3. MK-PF-F-001 totalShares → MK-PF-F-004 marketValue → MK-PL-F-081 taxableGainShare</t>
        </is>
      </c>
      <c r="S385" s="3" t="inlineStr">
        <is>
          <t>—</t>
        </is>
      </c>
      <c r="T385" s="3" t="inlineStr">
        <is>
          <t>—</t>
        </is>
      </c>
      <c r="U385" s="3" t="inlineStr">
        <is>
          <t>ACTIVE</t>
        </is>
      </c>
      <c r="V385" s="3" t="inlineStr">
        <is>
          <t>2026-09-08</t>
        </is>
      </c>
      <c r="Y385" s="6" t="inlineStr">
        <is>
          <t>TESTED, NOT VERIFIED (G6)</t>
        </is>
      </c>
    </row>
    <row r="386">
      <c r="A386" s="3" t="inlineStr">
        <is>
          <t>MK-PL-F-082</t>
        </is>
      </c>
      <c r="B386" s="3" t="inlineStr">
        <is>
          <t>taxableIncomeSteps</t>
        </is>
      </c>
      <c r="C386" s="3" t="inlineStr">
        <is>
          <t>src/domain/planning/index.ts</t>
        </is>
      </c>
      <c r="D386" s="3" t="n">
        <v>61</v>
      </c>
      <c r="E386" s="3" t="inlineStr">
        <is>
          <t>3 · DEPENDENT</t>
        </is>
      </c>
      <c r="F386" s="3" t="inlineStr">
        <is>
          <t>From everything earned to what is actually taxed — the four lines a return shows (founder ruling brief Q-46 (2026-08-20), 2026-09-08).</t>
        </is>
      </c>
      <c r="G386" s="13"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3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386" s="3" t="inlineStr">
        <is>
          <t>READ BY HAND 2026-08-26 — checked line by line against the code</t>
        </is>
      </c>
      <c r="J386" s="3" t="inlineStr">
        <is>
          <t>1. op: OnboardingProfile | null
2. grossIncome: number</t>
        </is>
      </c>
      <c r="K386" s="3" t="inlineStr">
        <is>
          <t>TaxableIncomeSteps</t>
        </is>
      </c>
      <c r="L386" s="3" t="inlineStr">
        <is>
          <t>—</t>
        </is>
      </c>
      <c r="M3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386" s="3" t="inlineStr">
        <is>
          <t>Yes</t>
        </is>
      </c>
      <c r="O386" s="3" t="inlineStr">
        <is>
          <t>1. MK-CF-F-099 deductionFor
2. MK-CF-F-085 filingStatusOf
3. MK-CF-F-188 householdPreTaxContributionsAnnual
4. MK-ST-F-039 on
5. MK-CF-F-089 over65CountOf
6. MK-CF-F-187 seniorDeductionFor</t>
        </is>
      </c>
      <c r="P386" s="3" t="n">
        <v>12</v>
      </c>
      <c r="Q3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3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386" s="3" t="inlineStr">
        <is>
          <t>MK-MN-M-027 · MK-MN-M-028</t>
        </is>
      </c>
      <c r="T386" s="3" t="inlineStr">
        <is>
          <t>—</t>
        </is>
      </c>
      <c r="U386" s="3" t="inlineStr">
        <is>
          <t>ACTIVE</t>
        </is>
      </c>
      <c r="V386" s="3" t="inlineStr">
        <is>
          <t>2026-09-08</t>
        </is>
      </c>
      <c r="Y386" s="6" t="inlineStr">
        <is>
          <t>TESTED, NOT VERIFIED (G22 / Q46)</t>
        </is>
      </c>
    </row>
    <row r="387">
      <c r="A387" s="3" t="inlineStr">
        <is>
          <t>MK-PL-F-083</t>
        </is>
      </c>
      <c r="B387" s="3" t="inlineStr">
        <is>
          <t>inflationRateInForce</t>
        </is>
      </c>
      <c r="C387" s="3" t="inlineStr">
        <is>
          <t>src/domain/retirement/inflation.ts</t>
        </is>
      </c>
      <c r="D387" s="3" t="n">
        <v>47</v>
      </c>
      <c r="E387" s="3" t="inlineStr">
        <is>
          <t>2 · DISPLAYED</t>
        </is>
      </c>
      <c r="F387" s="3" t="inlineStr">
        <is>
          <t>The inflation rate a plan runs on, and where it came from.</t>
        </is>
      </c>
      <c r="G387" s="13" t="inlineStr">
        <is>
          <t>entered = the person's own rate from the cockpit, when set
the answer = { rate: entered, basis 'entered', label 'you entered' }   when entered exists
             { rate: 2.5%, basis 'default', label '2.5% — the 30-year average of consumer prices (Bureau of Labor Statistics, 1996–2025)' }   otherwise</t>
        </is>
      </c>
      <c r="H387" s="3" t="inlineStr">
        <is>
          <t>The person's own inflation rate when they set one on the cockpit; otherwise the dated default — 2.5% a year, the 30-year average of consumer prices — with its source, so the screen can say where the figure came from.</t>
        </is>
      </c>
      <c r="I387" s="3" t="inlineStr">
        <is>
          <t>READ BY HAND 2026-08-26 — checked line by line against the code</t>
        </is>
      </c>
      <c r="J387" s="3" t="inlineStr">
        <is>
          <t>entered: number | null | undefined</t>
        </is>
      </c>
      <c r="K387" s="3" t="inlineStr">
        <is>
          <t>InflationInForce</t>
        </is>
      </c>
      <c r="L387" s="3" t="inlineStr">
        <is>
          <t>NOT FOUND — a screen calls it, but the words printed beside its answer could not be traced automatically. Needs reading.</t>
        </is>
      </c>
      <c r="M387" s="3" t="inlineStr">
        <is>
          <t>· Founder ruling brief Q-50 (2026-08-20), executed 2026-09-08 (G30): the default is the dated 30-year average — 2.5% a year, Bureau of Labor Statistics CPI-U 1996–2025, checked 2026-09-08 — never a live feed; the person's own rate outranks it.</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2026-09-11</t>
        </is>
      </c>
      <c r="Y387" s="6" t="inlineStr">
        <is>
          <t>TESTED, NOT VERIFIED (Brief D7 — inflation lever, G30)</t>
        </is>
      </c>
    </row>
    <row r="388">
      <c r="A388" s="3" t="inlineStr">
        <is>
          <t>MK-ST-F-001</t>
        </is>
      </c>
      <c r="B388" s="3" t="inlineStr">
        <is>
          <t>looksFixedIncome</t>
        </is>
      </c>
      <c r="C388" s="3" t="inlineStr">
        <is>
          <t>Calculation Module code/engines/classify.ts</t>
        </is>
      </c>
      <c r="D388" s="3" t="n">
        <v>266</v>
      </c>
      <c r="E388" s="3" t="inlineStr">
        <is>
          <t>3 · DEPENDENT (feeds an action only)</t>
        </is>
      </c>
      <c r="F388" s="3" t="inlineStr">
        <is>
          <t>Fixed income by its words.</t>
        </is>
      </c>
      <c r="G388" s="13"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388"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388" s="3" t="inlineStr">
        <is>
          <t>PARTLY READ — some of the code is still showing through; needs a hand pass</t>
        </is>
      </c>
      <c r="J388" s="3" t="inlineStr">
        <is>
          <t>text: string</t>
        </is>
      </c>
      <c r="K388" s="3" t="inlineStr">
        <is>
          <t>boolean</t>
        </is>
      </c>
      <c r="L388" s="3" t="inlineStr">
        <is>
          <t>—</t>
        </is>
      </c>
      <c r="M388" s="3" t="inlineStr">
        <is>
          <t>None found in this function — anything it assumes comes from the functions it depends on.</t>
        </is>
      </c>
      <c r="N388" s="3" t="inlineStr">
        <is>
          <t>No</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2026-08-27</t>
        </is>
      </c>
      <c r="Y388" s="3" t="inlineStr">
        <is>
          <t>NOTHING OPEN</t>
        </is>
      </c>
    </row>
    <row r="389">
      <c r="A389" s="3" t="inlineStr">
        <is>
          <t>MK-ST-F-002</t>
        </is>
      </c>
      <c r="B389" s="3" t="inlineStr">
        <is>
          <t>monthWords</t>
        </is>
      </c>
      <c r="C389" s="3" t="inlineStr">
        <is>
          <t>Calculation Module code/engines/coverage.ts</t>
        </is>
      </c>
      <c r="D389" s="3" t="n">
        <v>55</v>
      </c>
      <c r="E389" s="3" t="inlineStr">
        <is>
          <t>3 · DEPENDENT</t>
        </is>
      </c>
      <c r="F389" s="3" t="inlineStr">
        <is>
          <t>"March 2022" — a month a person reads, not a date stamp.</t>
        </is>
      </c>
      <c r="G389" s="13" t="inlineStr">
        <is>
          <t>''   when iso is missing
`${MONTHS[m − 1]} ${y}`   if m
string(y)   otherwise</t>
        </is>
      </c>
      <c r="H389" s="3" t="inlineStr">
        <is>
          <t>When iso is missing, it answers ''. `${MONTHS[m minus 1]} ${y}` — when m; string(y) — otherwise.</t>
        </is>
      </c>
      <c r="I389" s="3" t="inlineStr">
        <is>
          <t>PARTLY READ — some of the code is still showing through; needs a hand pass</t>
        </is>
      </c>
      <c r="J389" s="3" t="inlineStr">
        <is>
          <t>iso: string | null</t>
        </is>
      </c>
      <c r="K389" s="3" t="inlineStr">
        <is>
          <t>string</t>
        </is>
      </c>
      <c r="L389" s="3" t="inlineStr">
        <is>
          <t>—</t>
        </is>
      </c>
      <c r="M389" s="3" t="inlineStr">
        <is>
          <t>None found in this function — anything it assumes comes from the functions it depends on.</t>
        </is>
      </c>
      <c r="N389" s="3" t="inlineStr">
        <is>
          <t>Yes</t>
        </is>
      </c>
      <c r="O389" s="3" t="inlineStr">
        <is>
          <t>MK-CF-F-132 map</t>
        </is>
      </c>
      <c r="P389" s="3" t="n">
        <v>1</v>
      </c>
      <c r="Q389" s="3" t="inlineStr">
        <is>
          <t>MK-CF-F-132 map</t>
        </is>
      </c>
      <c r="R389" s="3" t="inlineStr">
        <is>
          <t>MK-CF-F-132 map → MK-ST-F-002 monthWords</t>
        </is>
      </c>
      <c r="S389" s="3" t="inlineStr">
        <is>
          <t>—</t>
        </is>
      </c>
      <c r="T389" s="3" t="inlineStr">
        <is>
          <t>—</t>
        </is>
      </c>
      <c r="U389" s="3" t="inlineStr">
        <is>
          <t>ACTIVE</t>
        </is>
      </c>
      <c r="V389" s="3" t="inlineStr">
        <is>
          <t>2026-08-27</t>
        </is>
      </c>
      <c r="Y389" s="3" t="inlineStr">
        <is>
          <t>NOTHING OPEN</t>
        </is>
      </c>
    </row>
    <row r="390">
      <c r="A390" s="3" t="inlineStr">
        <is>
          <t>MK-ST-F-003</t>
        </is>
      </c>
      <c r="B390" s="3" t="inlineStr">
        <is>
          <t>dayWords</t>
        </is>
      </c>
      <c r="C390" s="3" t="inlineStr">
        <is>
          <t>Calculation Module code/engines/coverage.ts</t>
        </is>
      </c>
      <c r="D390" s="3" t="n">
        <v>82</v>
      </c>
      <c r="E390" s="3" t="inlineStr">
        <is>
          <t>3 · DEPENDENT</t>
        </is>
      </c>
      <c r="F390" s="3" t="inlineStr">
        <is>
          <t>"14 March 2022".</t>
        </is>
      </c>
      <c r="G390" s="13" t="inlineStr">
        <is>
          <t>''   when iso is missing
`${d} ${MONTHS[m − 1]} ${y}`   if m and d
month words(iso)   otherwise</t>
        </is>
      </c>
      <c r="H390" s="3" t="inlineStr">
        <is>
          <t>When iso is missing, it answers ''. `${d} ${MONTHS[m minus 1]} ${y}` — when m and d; month words(iso) — otherwise.</t>
        </is>
      </c>
      <c r="I390" s="3" t="inlineStr">
        <is>
          <t>PARTLY READ — some of the code is still showing through; needs a hand pass</t>
        </is>
      </c>
      <c r="J390" s="3" t="inlineStr">
        <is>
          <t>iso: string | null</t>
        </is>
      </c>
      <c r="K390" s="3" t="inlineStr">
        <is>
          <t>string</t>
        </is>
      </c>
      <c r="L390" s="3" t="inlineStr">
        <is>
          <t>—</t>
        </is>
      </c>
      <c r="M390" s="3" t="inlineStr">
        <is>
          <t>None found in this function — anything it assumes comes from the functions it depends on.</t>
        </is>
      </c>
      <c r="N390" s="3" t="inlineStr">
        <is>
          <t>Yes</t>
        </is>
      </c>
      <c r="O390" s="3" t="inlineStr">
        <is>
          <t>1. MK-CF-F-132 map
2. MK-ST-F-002 monthWords</t>
        </is>
      </c>
      <c r="P390" s="3" t="n">
        <v>2</v>
      </c>
      <c r="Q390" s="3" t="inlineStr">
        <is>
          <t>1. MK-CF-F-132 map
2. MK-ST-F-002 monthWords</t>
        </is>
      </c>
      <c r="R390" s="3" t="inlineStr">
        <is>
          <t>1. MK-CF-F-132 map → MK-ST-F-003 dayWords
2. MK-CF-F-132 map → MK-ST-F-002 monthWords → MK-ST-F-003 dayWords</t>
        </is>
      </c>
      <c r="S390" s="3" t="inlineStr">
        <is>
          <t>—</t>
        </is>
      </c>
      <c r="T390" s="3" t="inlineStr">
        <is>
          <t>—</t>
        </is>
      </c>
      <c r="U390" s="3" t="inlineStr">
        <is>
          <t>ACTIVE</t>
        </is>
      </c>
      <c r="V390" s="3" t="inlineStr">
        <is>
          <t>2026-08-27</t>
        </is>
      </c>
      <c r="Y390" s="3" t="inlineStr">
        <is>
          <t>NOTHING OPEN</t>
        </is>
      </c>
    </row>
    <row r="391">
      <c r="A391" s="3" t="inlineStr">
        <is>
          <t>MK-ST-F-004</t>
        </is>
      </c>
      <c r="B391" s="3" t="inlineStr">
        <is>
          <t>coverageFor</t>
        </is>
      </c>
      <c r="C391" s="3" t="inlineStr">
        <is>
          <t>Calculation Module code/engines/coverage.ts</t>
        </is>
      </c>
      <c r="D391" s="3" t="n">
        <v>119</v>
      </c>
      <c r="E391" s="3" t="inlineStr">
        <is>
          <t>2 · DISPLAYED</t>
        </is>
      </c>
      <c r="F391" s="3" t="inlineStr">
        <is>
          <t>What can we honestly say about a window starting on `from`?</t>
        </is>
      </c>
      <c r="G391" s="13"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391"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391" s="3" t="inlineStr">
        <is>
          <t>PARTLY READ — some of the code is still showing through; needs a hand pass</t>
        </is>
      </c>
      <c r="J391" s="3" t="inlineStr">
        <is>
          <t>1. days: Dated[]
2. from: string
3. today: string</t>
        </is>
      </c>
      <c r="K391" s="3" t="inlineStr">
        <is>
          <t>Coverage</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1. MK-ST-F-003 dayWords
2. MK-ST-F-034 firstDate
3. MK-ST-F-002 monthWords</t>
        </is>
      </c>
      <c r="P391" s="3" t="n">
        <v>4</v>
      </c>
      <c r="Q391" s="3" t="inlineStr">
        <is>
          <t>1. MK-ST-F-003 dayWords
2. MK-ST-F-034 firstDate
3. MK-ST-F-002 monthWords
4. MK-CF-F-132 map</t>
        </is>
      </c>
      <c r="R391" s="3" t="inlineStr">
        <is>
          <t>1. MK-CF-F-132 map → MK-ST-F-003 dayWords → MK-ST-F-004 coverageFor
2. MK-CF-F-132 map → MK-ST-F-002 monthWords → MK-ST-F-003 dayWords → MK-ST-F-004 coverageFor
3. MK-ST-F-034 firstDate → MK-ST-F-004 coverageFor
4. MK-CF-F-132 map → MK-ST-F-002 monthWords → MK-ST-F-004 coverageFor</t>
        </is>
      </c>
      <c r="S391" s="3" t="inlineStr">
        <is>
          <t>—</t>
        </is>
      </c>
      <c r="T391" s="3" t="inlineStr">
        <is>
          <t>—</t>
        </is>
      </c>
      <c r="U391" s="3" t="inlineStr">
        <is>
          <t>ACTIVE</t>
        </is>
      </c>
      <c r="V391" s="3" t="inlineStr">
        <is>
          <t>2026-08-27</t>
        </is>
      </c>
      <c r="Y391" s="3" t="inlineStr">
        <is>
          <t>NOTHING OPEN</t>
        </is>
      </c>
    </row>
    <row r="392">
      <c r="A392" s="3" t="inlineStr">
        <is>
          <t>MK-ST-F-005</t>
        </is>
      </c>
      <c r="B392" s="3" t="inlineStr">
        <is>
          <t>measuredFromLabel</t>
        </is>
      </c>
      <c r="C392" s="3" t="inlineStr">
        <is>
          <t>Calculation Module code/engines/coverage.ts</t>
        </is>
      </c>
      <c r="D392" s="3" t="n">
        <v>168</v>
      </c>
      <c r="E392" s="3" t="inlineStr">
        <is>
          <t>2 · DISPLAYED</t>
        </is>
      </c>
      <c r="F392" s="3" t="inlineStr">
        <is>
          <t>The short label that rides beside a change figure, always — whether the window is covered or not.</t>
        </is>
      </c>
      <c r="G392" s="13" t="inlineStr">
        <is>
          <t>start = first date(days)
''   when start is missing
actual = start   if start &gt; from
from   otherwise
the answer = `since ${day words(actual)}`</t>
        </is>
      </c>
      <c r="H392" s="3" t="inlineStr">
        <is>
          <t>Start is first date(days). When start is missing, it answers ''. Actual is start — when start &gt; from; from — otherwise. The answer is `since ${day words(actual)}`.</t>
        </is>
      </c>
      <c r="I392" s="3" t="inlineStr">
        <is>
          <t>PARTLY READ — some of the code is still showing through; needs a hand pass</t>
        </is>
      </c>
      <c r="J392" s="3" t="inlineStr">
        <is>
          <t>1. days: Dated[]
2. from: string</t>
        </is>
      </c>
      <c r="K392" s="3" t="inlineStr">
        <is>
          <t>string</t>
        </is>
      </c>
      <c r="L392" s="3" t="inlineStr">
        <is>
          <t>NOT FOUND — a screen calls it, but the words printed beside its answer could not be traced automatically. Needs reading.</t>
        </is>
      </c>
      <c r="M392" s="3" t="inlineStr">
        <is>
          <t>None found in this function — anything it assumes comes from the functions it depends on.</t>
        </is>
      </c>
      <c r="N392" s="3" t="inlineStr">
        <is>
          <t>Yes</t>
        </is>
      </c>
      <c r="O392" s="3" t="inlineStr">
        <is>
          <t>1. MK-ST-F-003 dayWords
2. MK-ST-F-034 firstDate</t>
        </is>
      </c>
      <c r="P392" s="3" t="n">
        <v>4</v>
      </c>
      <c r="Q392" s="3" t="inlineStr">
        <is>
          <t>1. MK-ST-F-003 dayWords
2. MK-ST-F-034 firstDate
3. MK-CF-F-132 map
4. MK-ST-F-002 monthWords</t>
        </is>
      </c>
      <c r="R392" s="3" t="inlineStr">
        <is>
          <t>1. MK-CF-F-132 map → MK-ST-F-003 dayWords → MK-ST-F-005 measuredFromLabel
2. MK-CF-F-132 map → MK-ST-F-002 monthWords → MK-ST-F-003 dayWords → MK-ST-F-005 measuredFromLabel
3. MK-ST-F-034 firstDate → MK-ST-F-005 measuredFromLabel</t>
        </is>
      </c>
      <c r="S392" s="3" t="inlineStr">
        <is>
          <t>—</t>
        </is>
      </c>
      <c r="T392" s="3" t="inlineStr">
        <is>
          <t>—</t>
        </is>
      </c>
      <c r="U392" s="3" t="inlineStr">
        <is>
          <t>ACTIVE</t>
        </is>
      </c>
      <c r="V392" s="3" t="inlineStr">
        <is>
          <t>2026-08-27</t>
        </is>
      </c>
      <c r="Y392" s="3" t="inlineStr">
        <is>
          <t>NOTHING OPEN</t>
        </is>
      </c>
    </row>
    <row r="393">
      <c r="A393" s="3" t="inlineStr">
        <is>
          <t>MK-ST-F-006</t>
        </is>
      </c>
      <c r="B393" s="3" t="inlineStr">
        <is>
          <t>canAnswer</t>
        </is>
      </c>
      <c r="C393" s="3" t="inlineStr">
        <is>
          <t>Calculation Module code/engines/coverage.ts</t>
        </is>
      </c>
      <c r="D393" s="3" t="n">
        <v>192</v>
      </c>
      <c r="E393" s="3" t="inlineStr">
        <is>
          <t>3 · DEPENDENT (feeds an action only)</t>
        </is>
      </c>
      <c r="F393" s="3" t="inlineStr">
        <is>
          <t>Is there any record at all on or before this date?</t>
        </is>
      </c>
      <c r="G393" s="13" t="inlineStr">
        <is>
          <t>on or before(days, from) ≠ nothing</t>
        </is>
      </c>
      <c r="H393" s="3" t="inlineStr">
        <is>
          <t>on or before(days, from) is not no answer.</t>
        </is>
      </c>
      <c r="I393" s="3" t="inlineStr">
        <is>
          <t>READ FROM THE CODE — rendered from the expressions the function runs</t>
        </is>
      </c>
      <c r="J393" s="3" t="inlineStr">
        <is>
          <t>1. days: Dated[]
2. from: string</t>
        </is>
      </c>
      <c r="K393" s="3" t="inlineStr">
        <is>
          <t>boolean</t>
        </is>
      </c>
      <c r="L393" s="3" t="inlineStr">
        <is>
          <t>—</t>
        </is>
      </c>
      <c r="M393" s="3" t="inlineStr">
        <is>
          <t>None found in this function — anything it assumes comes from the functions it depends on.</t>
        </is>
      </c>
      <c r="N393" s="3" t="inlineStr">
        <is>
          <t>No</t>
        </is>
      </c>
      <c r="O393" s="3" t="inlineStr">
        <is>
          <t>1. MK-ST-F-034 firstDate
2. MK-ST-F-033 onOrBefore</t>
        </is>
      </c>
      <c r="P393" s="3" t="n">
        <v>2</v>
      </c>
      <c r="Q393" s="3" t="inlineStr">
        <is>
          <t>1. MK-ST-F-034 firstDate
2. MK-ST-F-033 onOrBefore</t>
        </is>
      </c>
      <c r="R393" s="3" t="inlineStr">
        <is>
          <t>1. MK-ST-F-034 firstDate → MK-ST-F-006 canAnswer
2. MK-ST-F-033 onOrBefore → MK-ST-F-006 canAnswer</t>
        </is>
      </c>
      <c r="S393" s="3" t="inlineStr">
        <is>
          <t>—</t>
        </is>
      </c>
      <c r="T393" s="3" t="inlineStr">
        <is>
          <t>—</t>
        </is>
      </c>
      <c r="U393" s="3" t="inlineStr">
        <is>
          <t>ACTIVE</t>
        </is>
      </c>
      <c r="V393" s="3" t="inlineStr">
        <is>
          <t>2026-08-27</t>
        </is>
      </c>
      <c r="Y393" s="3" t="inlineStr">
        <is>
          <t>NOTHING OPEN</t>
        </is>
      </c>
    </row>
    <row r="394">
      <c r="A394" s="3" t="inlineStr">
        <is>
          <t>MK-ST-F-007</t>
        </is>
      </c>
      <c r="B394" s="3" t="inlineStr">
        <is>
          <t>classifyEvent</t>
        </is>
      </c>
      <c r="C394" s="3" t="inlineStr">
        <is>
          <t>Calculation Module code/engines/events.ts</t>
        </is>
      </c>
      <c r="D394" s="3" t="n">
        <v>208</v>
      </c>
      <c r="E394" s="3" t="inlineStr">
        <is>
          <t>3 · DEPENDENT (feeds an action only)</t>
        </is>
      </c>
      <c r="F394" s="3" t="inlineStr">
        <is>
          <t>Classify one institution word.</t>
        </is>
      </c>
      <c r="G394" s="13"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394"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394" s="3" t="inlineStr">
        <is>
          <t>PARTLY READ — the body has a loop the extractor cannot render; the steps shown are the ones before it. Needs a hand pass (G23).</t>
        </is>
      </c>
      <c r="J394" s="3" t="inlineStr">
        <is>
          <t>word: string | null | undefined</t>
        </is>
      </c>
      <c r="K394" s="3" t="inlineStr">
        <is>
          <t>Classified</t>
        </is>
      </c>
      <c r="L394" s="3" t="inlineStr">
        <is>
          <t>—</t>
        </is>
      </c>
      <c r="M394" s="3" t="inlineStr">
        <is>
          <t>None found in this function — anything it assumes comes from the functions it depends on.</t>
        </is>
      </c>
      <c r="N394" s="3" t="inlineStr">
        <is>
          <t>No</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2026-09-08</t>
        </is>
      </c>
      <c r="Y394" s="3" t="inlineStr">
        <is>
          <t>NOTHING OPEN</t>
        </is>
      </c>
    </row>
    <row r="395">
      <c r="A395" s="3" t="inlineStr">
        <is>
          <t>MK-ST-F-008</t>
        </is>
      </c>
      <c r="B395" s="3" t="inlineStr">
        <is>
          <t>touches</t>
        </is>
      </c>
      <c r="C395" s="3" t="inlineStr">
        <is>
          <t>Calculation Module code/engines/events.ts</t>
        </is>
      </c>
      <c r="D395" s="3" t="n">
        <v>236</v>
      </c>
      <c r="E395" s="3" t="inlineStr">
        <is>
          <t>3 · DEPENDENT (feeds an action only)</t>
        </is>
      </c>
      <c r="F395" s="3" t="inlineStr">
        <is>
          <t>Does this event add to that total?</t>
        </is>
      </c>
      <c r="G395" s="13" t="inlineStr">
        <is>
          <t>EVENTS[e].totals.includes(total)</t>
        </is>
      </c>
      <c r="H395" s="3" t="inlineStr">
        <is>
          <t>EVENTS[e].totals.includes(total).</t>
        </is>
      </c>
      <c r="I395" s="3" t="inlineStr">
        <is>
          <t>PARTLY READ — some of the code is still showing through; needs a hand pass</t>
        </is>
      </c>
      <c r="J395" s="3" t="inlineStr">
        <is>
          <t>1. e: CanonicalEvent
2. total: 'contributions' | 'withdrawals' | 'income' | 'costs' | 'units' | 'costBasis' | 'realisedGain'</t>
        </is>
      </c>
      <c r="K395" s="3" t="inlineStr">
        <is>
          <t>boolean</t>
        </is>
      </c>
      <c r="L395" s="3" t="inlineStr">
        <is>
          <t>—</t>
        </is>
      </c>
      <c r="M395" s="3" t="inlineStr">
        <is>
          <t>None found in this function — anything it assumes comes from the functions it depends on.</t>
        </is>
      </c>
      <c r="N395" s="3" t="inlineStr">
        <is>
          <t>No</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Y395" s="3" t="inlineStr">
        <is>
          <t>NOTHING OPEN</t>
        </is>
      </c>
    </row>
    <row r="396">
      <c r="A396" s="3" t="inlineStr">
        <is>
          <t>MK-ST-F-009</t>
        </is>
      </c>
      <c r="B396" s="3" t="inlineStr">
        <is>
          <t>directionOf</t>
        </is>
      </c>
      <c r="C396" s="3" t="inlineStr">
        <is>
          <t>Calculation Module code/engines/events.ts</t>
        </is>
      </c>
      <c r="D396" s="3" t="n">
        <v>256</v>
      </c>
      <c r="E396" s="3" t="inlineStr">
        <is>
          <t>3 · DEPENDENT (feeds an action only)</t>
        </is>
      </c>
      <c r="F396" s="3" t="inlineStr">
        <is>
          <t>The direction an event implies, where the event itself decides it.</t>
        </is>
      </c>
      <c r="G396" s="13" t="inlineStr">
        <is>
          <t>EVENTS[e].direction (or 'NONE' when missing)</t>
        </is>
      </c>
      <c r="H396" s="3" t="inlineStr">
        <is>
          <t>EVENTS[e].direction (or 'NONE' — when missing).</t>
        </is>
      </c>
      <c r="I396" s="3" t="inlineStr">
        <is>
          <t>PARTLY READ — some of the code is still showing through; needs a hand pass</t>
        </is>
      </c>
      <c r="J396" s="3" t="inlineStr">
        <is>
          <t>e: CanonicalEvent</t>
        </is>
      </c>
      <c r="K396" s="3" t="inlineStr">
        <is>
          <t>Money['direction']</t>
        </is>
      </c>
      <c r="L396" s="3" t="inlineStr">
        <is>
          <t>—</t>
        </is>
      </c>
      <c r="M396" s="3" t="inlineStr">
        <is>
          <t>None found in this function — anything it assumes comes from the functions it depends on.</t>
        </is>
      </c>
      <c r="N396" s="3" t="inlineStr">
        <is>
          <t>No</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Y396" s="3" t="inlineStr">
        <is>
          <t>NOTHING OPEN</t>
        </is>
      </c>
    </row>
    <row r="397">
      <c r="A397" s="3" t="inlineStr">
        <is>
          <t>MK-ST-F-010</t>
        </is>
      </c>
      <c r="B397" s="3" t="inlineStr">
        <is>
          <t>nameEvidence</t>
        </is>
      </c>
      <c r="C397" s="3" t="inlineStr">
        <is>
          <t>Calculation Module code/engines/holding-class.ts</t>
        </is>
      </c>
      <c r="D397" s="3" t="n">
        <v>91</v>
      </c>
      <c r="E397" s="3" t="inlineStr">
        <is>
          <t>3 · DEPENDENT</t>
        </is>
      </c>
      <c r="F397" s="3" t="inlineStr">
        <is>
          <t>What the NAME (symbol + description together) says, or null when it says nothing.</t>
        </is>
      </c>
      <c r="G397" s="13"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397"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397" s="3" t="inlineStr">
        <is>
          <t>PARTLY READ — some of the code is still showing through; needs a hand pass</t>
        </is>
      </c>
      <c r="J397" s="3" t="inlineStr">
        <is>
          <t>label?: string | null</t>
        </is>
      </c>
      <c r="K397" s="3" t="inlineStr">
        <is>
          <t>HoldingClass | null</t>
        </is>
      </c>
      <c r="L397" s="3" t="inlineStr">
        <is>
          <t>—</t>
        </is>
      </c>
      <c r="M397" s="3" t="inlineStr">
        <is>
          <t>None found in this function — anything it assumes comes from the functions it depends on.</t>
        </is>
      </c>
      <c r="N397" s="3" t="inlineStr">
        <is>
          <t>Yes</t>
        </is>
      </c>
      <c r="O397" s="3" t="inlineStr">
        <is>
          <t>1. MK-XS-F-147 call
2. MK-ST-F-056 has
3. MK-CF-F-132 map</t>
        </is>
      </c>
      <c r="P397" s="3" t="n">
        <v>6</v>
      </c>
      <c r="Q397" s="3" t="inlineStr">
        <is>
          <t>1. MK-XS-F-147 call
2. MK-ST-F-056 has
3. MK-CF-F-132 map
4. MK-ST-F-027 accountId
5. MK-XS-F-064 currentIdToken
6. MK-XS-F-112 relayUrl</t>
        </is>
      </c>
      <c r="R397"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397" s="3" t="inlineStr">
        <is>
          <t>—</t>
        </is>
      </c>
      <c r="T397" s="3" t="inlineStr">
        <is>
          <t>—</t>
        </is>
      </c>
      <c r="U397" s="3" t="inlineStr">
        <is>
          <t>ACTIVE</t>
        </is>
      </c>
      <c r="V397" s="3" t="inlineStr">
        <is>
          <t>2026-08-27</t>
        </is>
      </c>
      <c r="Y397" s="3" t="inlineStr">
        <is>
          <t>NOTHING OPEN</t>
        </is>
      </c>
    </row>
    <row r="398">
      <c r="A398" s="3" t="inlineStr">
        <is>
          <t>MK-ST-F-011</t>
        </is>
      </c>
      <c r="B398" s="3" t="inlineStr">
        <is>
          <t>classifyHoldingClass</t>
        </is>
      </c>
      <c r="C398" s="3" t="inlineStr">
        <is>
          <t>Calculation Module code/engines/holding-class.ts</t>
        </is>
      </c>
      <c r="D398" s="3" t="n">
        <v>193</v>
      </c>
      <c r="E398" s="3" t="inlineStr">
        <is>
          <t>3 · DEPENDENT</t>
        </is>
      </c>
      <c r="F398" s="3" t="inlineStr">
        <is>
          <t>NOT DETERMINED — the code carries no note saying what this is for, and it has no row in the old inventory. Needs reading.</t>
        </is>
      </c>
      <c r="G398" s="13"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398"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398" s="3" t="inlineStr">
        <is>
          <t>PARTLY READ — some of the code is still showing through; needs a hand pass</t>
        </is>
      </c>
      <c r="J398" s="3" t="inlineStr">
        <is>
          <t>e: ClassEvidence</t>
        </is>
      </c>
      <c r="K398" s="3" t="inlineStr">
        <is>
          <t>ClassVerdict</t>
        </is>
      </c>
      <c r="L398" s="3" t="inlineStr">
        <is>
          <t>—</t>
        </is>
      </c>
      <c r="M398" s="3" t="inlineStr">
        <is>
          <t>None found in this function — anything it assumes comes from the functions it depends on.</t>
        </is>
      </c>
      <c r="N398" s="3" t="inlineStr">
        <is>
          <t>Yes</t>
        </is>
      </c>
      <c r="O398" s="3" t="inlineStr">
        <is>
          <t>MK-ST-F-010 nameEvidence</t>
        </is>
      </c>
      <c r="P398" s="3" t="n">
        <v>7</v>
      </c>
      <c r="Q398" s="3" t="inlineStr">
        <is>
          <t>1. MK-ST-F-010 nameEvidence
2. MK-XS-F-147 call
3. MK-ST-F-056 has
4. MK-CF-F-132 map
5. MK-ST-F-027 accountId
6. MK-XS-F-064 currentIdToken
7. MK-XS-F-112 relayUrl</t>
        </is>
      </c>
      <c r="R398"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398" s="3" t="inlineStr">
        <is>
          <t>—</t>
        </is>
      </c>
      <c r="T398" s="3" t="inlineStr">
        <is>
          <t>—</t>
        </is>
      </c>
      <c r="U398" s="3" t="inlineStr">
        <is>
          <t>ACTIVE</t>
        </is>
      </c>
      <c r="V398" s="3" t="inlineStr">
        <is>
          <t>2026-08-27</t>
        </is>
      </c>
      <c r="Y398" s="3" t="inlineStr">
        <is>
          <t>NOTHING OPEN</t>
        </is>
      </c>
    </row>
    <row r="399">
      <c r="A399" s="3" t="inlineStr">
        <is>
          <t>MK-ST-F-012</t>
        </is>
      </c>
      <c r="B399" s="3" t="inlineStr">
        <is>
          <t>toLedgerRow</t>
        </is>
      </c>
      <c r="C399" s="3" t="inlineStr">
        <is>
          <t>Calculation Module code/engines/ledger.ts</t>
        </is>
      </c>
      <c r="D399" s="3" t="n">
        <v>131</v>
      </c>
      <c r="E399" s="3" t="inlineStr">
        <is>
          <t>3 · DEPENDENT (feeds an action only)</t>
        </is>
      </c>
      <c r="F399" s="3" t="inlineStr">
        <is>
          <t>Read one institution row into one ledger row.</t>
        </is>
      </c>
      <c r="G399" s="13" t="inlineStr">
        <is>
          <t>c = classify event(raw.word)
money = read money(raw.amount, convention, rule.direction)
units = number or undefined(raw.units)
legacy = TO_LEGACY[event]
is trade = legacy = 'BUY' (or legacy = 'SELL' when missing or zero)</t>
        </is>
      </c>
      <c r="H399" s="3" t="inlineStr">
        <is>
          <t>C is classify event(raw.word). Money is read money(raw.amount, convention, rule.direction). Units is number or undefined(raw.units). Legacy is TO_LEGACY[event]. Is trade is legacy = 'BUY' (or legacy = 'SELL' — when missing or zero).</t>
        </is>
      </c>
      <c r="I399" s="3" t="inlineStr">
        <is>
          <t>PARTLY READ — some of the code is still showing through; needs a hand pass</t>
        </is>
      </c>
      <c r="J399" s="3" t="inlineStr">
        <is>
          <t>1. raw: RawActivity
2. convention: SignConvention</t>
        </is>
      </c>
      <c r="K399" s="3" t="inlineStr">
        <is>
          <t>LedgerRow</t>
        </is>
      </c>
      <c r="L399" s="3" t="inlineStr">
        <is>
          <t>—</t>
        </is>
      </c>
      <c r="M399" s="3" t="inlineStr">
        <is>
          <t>None found in this function — anything it assumes comes from the functions it depends on.</t>
        </is>
      </c>
      <c r="N399" s="3" t="inlineStr">
        <is>
          <t>No</t>
        </is>
      </c>
      <c r="O399" s="3" t="inlineStr">
        <is>
          <t>1. MK-ST-F-007 classifyEvent
2. MK-ST-F-053 money
3. MK-ST-F-058 numberOrUndefined
4. MK-ST-F-018 readMoney
5. MK-ST-F-019 signed
6. MK-ST-F-021 toNumber</t>
        </is>
      </c>
      <c r="P399" s="3" t="n">
        <v>11</v>
      </c>
      <c r="Q399" s="3" t="inlineStr">
        <is>
          <t>1. MK-ST-F-007 classifyEvent
2. MK-ST-F-053 money
3. MK-ST-F-058 numberOrUndefined
4. MK-ST-F-018 readMoney
5. MK-ST-F-019 signed
6. MK-ST-F-021 toNumber
7. MK-ST-F-049 formatMoney
8. MK-XS-F-122 n
9. MK-ST-F-048 currencySymbol
10. MK-ST-F-039 on
11. MK-ST-F-047 activeCurrency</t>
        </is>
      </c>
      <c r="R399"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399" s="3" t="inlineStr">
        <is>
          <t>—</t>
        </is>
      </c>
      <c r="T399" s="3" t="inlineStr">
        <is>
          <t>—</t>
        </is>
      </c>
      <c r="U399" s="3" t="inlineStr">
        <is>
          <t>ACTIVE</t>
        </is>
      </c>
      <c r="V399" s="3" t="inlineStr">
        <is>
          <t>2026-08-27</t>
        </is>
      </c>
      <c r="Y399" s="3" t="inlineStr">
        <is>
          <t>NOTHING OPEN</t>
        </is>
      </c>
    </row>
    <row r="400">
      <c r="A400" s="3" t="inlineStr">
        <is>
          <t>MK-ST-F-013</t>
        </is>
      </c>
      <c r="B400" s="3" t="inlineStr">
        <is>
          <t>personalFlowTotals</t>
        </is>
      </c>
      <c r="C400" s="3" t="inlineStr">
        <is>
          <t>Calculation Module code/engines/ledger.ts</t>
        </is>
      </c>
      <c r="D400" s="3" t="n">
        <v>221</v>
      </c>
      <c r="E400" s="3" t="inlineStr">
        <is>
          <t>2 · DISPLAYED</t>
        </is>
      </c>
      <c r="F400" s="3" t="inlineStr">
        <is>
          <t>NOT DETERMINED — the code carries no note saying what this is for, and it has no row in the old inventory. Needs reading.</t>
        </is>
      </c>
      <c r="G400" s="13" t="inlineStr">
        <is>
          <t>bucket = STORED_TYPE_BUCKET[string(type ?? '')] (or 'none' when missing)
d = dec.parse(amount)
the answer = t</t>
        </is>
      </c>
      <c r="H400" s="3" t="inlineStr">
        <is>
          <t>Bucket is STORED_TYPE_BUCKET[string(type ?? '')] (or 'none' — when missing). D is dec.parse(amount). The answer is t.</t>
        </is>
      </c>
      <c r="I400" s="3" t="inlineStr">
        <is>
          <t>PARTLY READ — some of the code is still showing through; needs a hand pass</t>
        </is>
      </c>
      <c r="J400" s="3" t="inlineStr">
        <is>
          <t>rows: StoredFlowRow[]</t>
        </is>
      </c>
      <c r="K400" s="3" t="inlineStr">
        <is>
          <t>PersonalFlowTotals</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c r="Y400" s="3" t="inlineStr">
        <is>
          <t>NOTHING OPEN</t>
        </is>
      </c>
    </row>
    <row r="401">
      <c r="A401" s="3" t="inlineStr">
        <is>
          <t>MK-ST-F-014</t>
        </is>
      </c>
      <c r="B401" s="3" t="inlineStr">
        <is>
          <t>importKey</t>
        </is>
      </c>
      <c r="C401" s="3" t="inlineStr">
        <is>
          <t>Calculation Module code/engines/ledger.ts</t>
        </is>
      </c>
      <c r="D401" s="3" t="n">
        <v>273</v>
      </c>
      <c r="E401" s="3" t="inlineStr">
        <is>
          <t>3 · DEPENDENT (feeds an action only)</t>
        </is>
      </c>
      <c r="F401" s="3" t="inlineStr">
        <is>
          <t>NOT DETERMINED — the code carries no note saying what this is for, and it has no row in the old inventory. Needs reading.</t>
        </is>
      </c>
      <c r="G401" s="13" t="inlineStr">
        <is>
          <t>the answer = account | date | WORD | amount | units | security | ref | description, joined with '|' (missing parts empty)</t>
        </is>
      </c>
      <c r="H401"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01" s="3" t="inlineStr">
        <is>
          <t>READ BY HAND 2026-08-26 — checked line by line against the code</t>
        </is>
      </c>
      <c r="J401" s="3" t="inlineStr">
        <is>
          <t>id: ImportIdentity</t>
        </is>
      </c>
      <c r="K401" s="3" t="inlineStr">
        <is>
          <t>string</t>
        </is>
      </c>
      <c r="L401" s="3" t="inlineStr">
        <is>
          <t>—</t>
        </is>
      </c>
      <c r="M401" s="3" t="inlineStr">
        <is>
          <t>None found in this function — anything it assumes comes from the functions it depends on.</t>
        </is>
      </c>
      <c r="N401" s="3" t="inlineStr">
        <is>
          <t>No</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2026-09-12</t>
        </is>
      </c>
      <c r="Y401" s="3" t="inlineStr">
        <is>
          <t>NOTHING OPEN</t>
        </is>
      </c>
    </row>
    <row r="402">
      <c r="A402" s="3" t="inlineStr">
        <is>
          <t>MK-ST-F-015</t>
        </is>
      </c>
      <c r="B402" s="3" t="inlineStr">
        <is>
          <t>rowsFor</t>
        </is>
      </c>
      <c r="C402" s="3" t="inlineStr">
        <is>
          <t>Calculation Module code/engines/ledger.ts</t>
        </is>
      </c>
      <c r="D402" s="3" t="n">
        <v>304</v>
      </c>
      <c r="E402" s="3" t="inlineStr">
        <is>
          <t>3 · DEPENDENT (feeds an action only)</t>
        </is>
      </c>
      <c r="F402" s="3" t="inlineStr">
        <is>
          <t>NOT DETERMINED — the code carries no note saying what this is for, and it has no row in the old inventory. Needs reading.</t>
        </is>
      </c>
      <c r="G402" s="13" t="inlineStr">
        <is>
          <t>rows where EVENTS[event].totals.includes(total)</t>
        </is>
      </c>
      <c r="H402" s="3" t="inlineStr">
        <is>
          <t>rows where EVENTS[event].totals.includes(total).</t>
        </is>
      </c>
      <c r="I402" s="3" t="inlineStr">
        <is>
          <t>PARTLY READ — some of the code is still showing through; needs a hand pass</t>
        </is>
      </c>
      <c r="J402" s="3" t="inlineStr">
        <is>
          <t>Nothing is handed to it</t>
        </is>
      </c>
      <c r="K402" s="3" t="inlineStr">
        <is>
          <t>NOT DECLARED — the code does not say what it gives back</t>
        </is>
      </c>
      <c r="L402" s="3" t="inlineStr">
        <is>
          <t>—</t>
        </is>
      </c>
      <c r="M402" s="3" t="inlineStr">
        <is>
          <t>None found in this function — anything it assumes comes from the functions it depends on.</t>
        </is>
      </c>
      <c r="N402" s="3" t="inlineStr">
        <is>
          <t>No</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2026-08-27</t>
        </is>
      </c>
      <c r="Y402" s="3" t="inlineStr">
        <is>
          <t>NOTHING OPEN</t>
        </is>
      </c>
    </row>
    <row r="403">
      <c r="A403" s="3" t="inlineStr">
        <is>
          <t>MK-ST-F-016</t>
        </is>
      </c>
      <c r="B403" s="3" t="inlineStr">
        <is>
          <t>totalOf</t>
        </is>
      </c>
      <c r="C403" s="3" t="inlineStr">
        <is>
          <t>Calculation Module code/engines/ledger.ts</t>
        </is>
      </c>
      <c r="D403" s="3" t="n">
        <v>328</v>
      </c>
      <c r="E403" s="3" t="inlineStr">
        <is>
          <t>3 · DEPENDENT (feeds an action only)</t>
        </is>
      </c>
      <c r="F403" s="3" t="inlineStr">
        <is>
          <t>A total, summed SIGNED and EXACT — a reversal reduces its total instead of inflating it.</t>
        </is>
      </c>
      <c r="G403" s="13" t="inlineStr">
        <is>
          <t>dec.sum(rows for(rows, total).map((r) =&gt; signed amount))</t>
        </is>
      </c>
      <c r="H403" s="3" t="inlineStr">
        <is>
          <t>dec.sum(rows for(rows, total).map((r) =&gt; signed amount)).</t>
        </is>
      </c>
      <c r="I403" s="3" t="inlineStr">
        <is>
          <t>PARTLY READ — some of the code is still showing through; needs a hand pass</t>
        </is>
      </c>
      <c r="J403" s="3" t="inlineStr">
        <is>
          <t>1. rows: LedgerRow[]
2. total: 'contributions' | 'withdrawals' | 'income' | 'costs'</t>
        </is>
      </c>
      <c r="K403" s="3" t="inlineStr">
        <is>
          <t>Dec</t>
        </is>
      </c>
      <c r="L403" s="3" t="inlineStr">
        <is>
          <t>—</t>
        </is>
      </c>
      <c r="M403" s="3" t="inlineStr">
        <is>
          <t>None found in this function — anything it assumes comes from the functions it depends on.</t>
        </is>
      </c>
      <c r="N403" s="3" t="inlineStr">
        <is>
          <t>No</t>
        </is>
      </c>
      <c r="O403" s="3" t="inlineStr">
        <is>
          <t>1. MK-CF-F-132 map
2. MK-ST-F-015 rowsFor</t>
        </is>
      </c>
      <c r="P403" s="3" t="n">
        <v>2</v>
      </c>
      <c r="Q403" s="3" t="inlineStr">
        <is>
          <t>1. MK-CF-F-132 map
2. MK-ST-F-015 rowsFor</t>
        </is>
      </c>
      <c r="R403" s="3" t="inlineStr">
        <is>
          <t>1. MK-CF-F-132 map → MK-ST-F-016 totalOf
2. MK-ST-F-015 rowsFor → MK-ST-F-016 totalOf</t>
        </is>
      </c>
      <c r="S403" s="3" t="inlineStr">
        <is>
          <t>—</t>
        </is>
      </c>
      <c r="T403" s="3" t="inlineStr">
        <is>
          <t>—</t>
        </is>
      </c>
      <c r="U403" s="3" t="inlineStr">
        <is>
          <t>ACTIVE</t>
        </is>
      </c>
      <c r="V403" s="3" t="inlineStr">
        <is>
          <t>2026-08-27</t>
        </is>
      </c>
      <c r="Y403" s="3" t="inlineStr">
        <is>
          <t>NOTHING OPEN</t>
        </is>
      </c>
    </row>
    <row r="404">
      <c r="A404" s="3" t="inlineStr">
        <is>
          <t>MK-ST-F-017</t>
        </is>
      </c>
      <c r="B404" s="3" t="inlineStr">
        <is>
          <t>unclassified</t>
        </is>
      </c>
      <c r="C404" s="3" t="inlineStr">
        <is>
          <t>Calculation Module code/engines/ledger.ts</t>
        </is>
      </c>
      <c r="D404" s="3" t="n">
        <v>348</v>
      </c>
      <c r="E404" s="3" t="inlineStr">
        <is>
          <t>3 · DEPENDENT (feeds an action only)</t>
        </is>
      </c>
      <c r="F404" s="3" t="inlineStr">
        <is>
          <t>Everything we could not name, for the honest line on screen: "12 entries we could not classify".</t>
        </is>
      </c>
      <c r="G404" s="13" t="inlineStr">
        <is>
          <t>rows where recognised is missing</t>
        </is>
      </c>
      <c r="H404" s="3" t="inlineStr">
        <is>
          <t>rows where recognised is missing.</t>
        </is>
      </c>
      <c r="I404" s="3" t="inlineStr">
        <is>
          <t>READ FROM THE CODE — rendered from the expressions the function runs</t>
        </is>
      </c>
      <c r="J404" s="3" t="inlineStr">
        <is>
          <t>rows: LedgerRow[]</t>
        </is>
      </c>
      <c r="K404" s="3" t="inlineStr">
        <is>
          <t>LedgerRow[]</t>
        </is>
      </c>
      <c r="L404" s="3" t="inlineStr">
        <is>
          <t>—</t>
        </is>
      </c>
      <c r="M404" s="3" t="inlineStr">
        <is>
          <t>None found in this function — anything it assumes comes from the functions it depends on.</t>
        </is>
      </c>
      <c r="N404" s="3" t="inlineStr">
        <is>
          <t>No</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2026-08-27</t>
        </is>
      </c>
      <c r="Y404" s="3" t="inlineStr">
        <is>
          <t>NOTHING OPEN</t>
        </is>
      </c>
    </row>
    <row r="405">
      <c r="A405" s="3" t="inlineStr">
        <is>
          <t>MK-ST-F-018</t>
        </is>
      </c>
      <c r="B405" s="3" t="inlineStr">
        <is>
          <t>readMoney</t>
        </is>
      </c>
      <c r="C405" s="3" t="inlineStr">
        <is>
          <t>Calculation Module code/engines/money.ts</t>
        </is>
      </c>
      <c r="D405" s="3" t="n">
        <v>65</v>
      </c>
      <c r="E405" s="3" t="inlineStr">
        <is>
          <t>3 · DEPENDENT (feeds an action only)</t>
        </is>
      </c>
      <c r="F405" s="3" t="inlineStr">
        <is>
          <t>Read a raw amount into a Money, given how that source signs things.</t>
        </is>
      </c>
      <c r="G405" s="13"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05"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t>
        </is>
      </c>
      <c r="M405" s="3" t="inlineStr">
        <is>
          <t>None found in this function — anything it assumes comes from the functions it depends on.</t>
        </is>
      </c>
      <c r="N405" s="3" t="inlineStr">
        <is>
          <t>No</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Y405" s="3" t="inlineStr">
        <is>
          <t>NOTHING OPEN</t>
        </is>
      </c>
    </row>
    <row r="406">
      <c r="A406" s="3" t="inlineStr">
        <is>
          <t>MK-ST-F-019</t>
        </is>
      </c>
      <c r="B406" s="3" t="inlineStr">
        <is>
          <t>signed</t>
        </is>
      </c>
      <c r="C406" s="3" t="inlineStr">
        <is>
          <t>Calculation Module code/engines/money.ts</t>
        </is>
      </c>
      <c r="D406" s="3" t="n">
        <v>108</v>
      </c>
      <c r="E406" s="3" t="inlineStr">
        <is>
          <t>3 · DEPENDENT (feeds an action only)</t>
        </is>
      </c>
      <c r="F406" s="3" t="inlineStr">
        <is>
          <t>The signed value, for arithmetic.</t>
        </is>
      </c>
      <c r="G406" s="13" t="inlineStr">
        <is>
          <t>amount.neg()   if direction = 'OUT'
amount   if direction = 'IN'
dec.ZERO   otherwise   otherwise</t>
        </is>
      </c>
      <c r="H406" s="3" t="inlineStr">
        <is>
          <t>amount.neg() — when direction = 'OUT'; amount — when direction = 'IN'; dec.ZERO — otherwise — otherwise.</t>
        </is>
      </c>
      <c r="I406" s="3" t="inlineStr">
        <is>
          <t>PARTLY READ — some of the code is still showing through; needs a hand pass</t>
        </is>
      </c>
      <c r="J406" s="3" t="inlineStr">
        <is>
          <t>m: Money</t>
        </is>
      </c>
      <c r="K406" s="3" t="inlineStr">
        <is>
          <t>Dec</t>
        </is>
      </c>
      <c r="L406" s="3" t="inlineStr">
        <is>
          <t>—</t>
        </is>
      </c>
      <c r="M406" s="3" t="inlineStr">
        <is>
          <t>None found in this function — anything it assumes comes from the functions it depends on.</t>
        </is>
      </c>
      <c r="N406" s="3" t="inlineStr">
        <is>
          <t>No</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t>
        </is>
      </c>
      <c r="U406" s="3" t="inlineStr">
        <is>
          <t>ACTIVE</t>
        </is>
      </c>
      <c r="V406" s="3" t="inlineStr">
        <is>
          <t>2026-08-27</t>
        </is>
      </c>
      <c r="Y406" s="3" t="inlineStr">
        <is>
          <t>NOTHING OPEN</t>
        </is>
      </c>
    </row>
    <row r="407">
      <c r="A407" s="3" t="inlineStr">
        <is>
          <t>MK-ST-F-020</t>
        </is>
      </c>
      <c r="B407" s="3" t="inlineStr">
        <is>
          <t>sumSigned</t>
        </is>
      </c>
      <c r="C407" s="3" t="inlineStr">
        <is>
          <t>Calculation Module code/engines/money.ts</t>
        </is>
      </c>
      <c r="D407" s="3" t="n">
        <v>129</v>
      </c>
      <c r="E407" s="3" t="inlineStr">
        <is>
          <t>3 · DEPENDENT (feeds an action only)</t>
        </is>
      </c>
      <c r="F407" s="3" t="inlineStr">
        <is>
          <t>Add money SIGNED and EXACTLY — a credit and its reversal cancel to true zero, so a reconciliation can assert equality rather than a tolerance.</t>
        </is>
      </c>
      <c r="G407" s="13" t="inlineStr">
        <is>
          <t>dec.sum(items.map(signed))</t>
        </is>
      </c>
      <c r="H407" s="3" t="inlineStr">
        <is>
          <t>dec.sum(items.map(signed)).</t>
        </is>
      </c>
      <c r="I407" s="3" t="inlineStr">
        <is>
          <t>PARTLY READ — some of the code is still showing through; needs a hand pass</t>
        </is>
      </c>
      <c r="J407" s="3" t="inlineStr">
        <is>
          <t>items: Money[]</t>
        </is>
      </c>
      <c r="K407" s="3" t="inlineStr">
        <is>
          <t>Dec</t>
        </is>
      </c>
      <c r="L407" s="3" t="inlineStr">
        <is>
          <t>—</t>
        </is>
      </c>
      <c r="M407" s="3" t="inlineStr">
        <is>
          <t>None found in this function — anything it assumes comes from the functions it depends on.</t>
        </is>
      </c>
      <c r="N407" s="3" t="inlineStr">
        <is>
          <t>No</t>
        </is>
      </c>
      <c r="O407" s="3" t="inlineStr">
        <is>
          <t>1. MK-CF-F-132 map
2. MK-ST-F-019 signed</t>
        </is>
      </c>
      <c r="P407" s="3" t="n">
        <v>2</v>
      </c>
      <c r="Q407" s="3" t="inlineStr">
        <is>
          <t>1. MK-CF-F-132 map
2. MK-ST-F-019 signed</t>
        </is>
      </c>
      <c r="R407" s="3" t="inlineStr">
        <is>
          <t>1. MK-CF-F-132 map → MK-ST-F-020 sumSigned
2. MK-ST-F-019 signed → MK-ST-F-020 sumSigned</t>
        </is>
      </c>
      <c r="S407" s="3" t="inlineStr">
        <is>
          <t>—</t>
        </is>
      </c>
      <c r="T407" s="3" t="inlineStr">
        <is>
          <t>—</t>
        </is>
      </c>
      <c r="U407" s="3" t="inlineStr">
        <is>
          <t>ACTIVE</t>
        </is>
      </c>
      <c r="V407" s="3" t="inlineStr">
        <is>
          <t>2026-08-27</t>
        </is>
      </c>
      <c r="Y407" s="3" t="inlineStr">
        <is>
          <t>NOTHING OPEN</t>
        </is>
      </c>
    </row>
    <row r="408">
      <c r="A408" s="3" t="inlineStr">
        <is>
          <t>MK-ST-F-021</t>
        </is>
      </c>
      <c r="B408" s="3" t="inlineStr">
        <is>
          <t>toNumber</t>
        </is>
      </c>
      <c r="C408" s="3" t="inlineStr">
        <is>
          <t>Calculation Module code/engines/money.ts</t>
        </is>
      </c>
      <c r="D408" s="3" t="n">
        <v>169</v>
      </c>
      <c r="E408" s="3" t="inlineStr">
        <is>
          <t>2 · DISPLAYED</t>
        </is>
      </c>
      <c r="F408" s="3" t="inlineStr">
        <is>
          <t>Institution files write money as text: "$8,502.00 ", "($0.53)", "--", "1,234.56".</t>
        </is>
      </c>
      <c r="G408" s="13"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08"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08" s="3" t="inlineStr">
        <is>
          <t>PARTLY READ — some of the code is still showing through; needs a hand pass</t>
        </is>
      </c>
      <c r="J408" s="3" t="inlineStr">
        <is>
          <t>raw: number | string | null | undefined</t>
        </is>
      </c>
      <c r="K408" s="3" t="inlineStr">
        <is>
          <t>number | null</t>
        </is>
      </c>
      <c r="L408" s="3" t="inlineStr">
        <is>
          <t>"WHAT EACH CATEGORY EARNED" — on the Performance screen, under "WHAT EACH CATEGORY EARNED"</t>
        </is>
      </c>
      <c r="M408" s="3" t="inlineStr">
        <is>
          <t>None found in this function — anything it assumes comes from the functions it depends on.</t>
        </is>
      </c>
      <c r="N408" s="3" t="inlineStr">
        <is>
          <t>Yes</t>
        </is>
      </c>
      <c r="O408" s="3" t="inlineStr">
        <is>
          <t>MK-XS-F-122 n</t>
        </is>
      </c>
      <c r="P408" s="3" t="n">
        <v>1</v>
      </c>
      <c r="Q408" s="3" t="inlineStr">
        <is>
          <t>MK-XS-F-122 n</t>
        </is>
      </c>
      <c r="R408" s="3" t="inlineStr">
        <is>
          <t>MK-XS-F-122 n → MK-ST-F-021 toNumber</t>
        </is>
      </c>
      <c r="S408" s="3" t="inlineStr">
        <is>
          <t>—</t>
        </is>
      </c>
      <c r="T408" s="3" t="inlineStr">
        <is>
          <t>—</t>
        </is>
      </c>
      <c r="U408" s="3" t="inlineStr">
        <is>
          <t>ACTIVE</t>
        </is>
      </c>
      <c r="V408" s="3" t="inlineStr">
        <is>
          <t>2026-08-27</t>
        </is>
      </c>
      <c r="Y408" s="3" t="inlineStr">
        <is>
          <t>NOTHING OPEN</t>
        </is>
      </c>
    </row>
    <row r="409">
      <c r="A409" s="3" t="inlineStr">
        <is>
          <t>MK-ST-F-022</t>
        </is>
      </c>
      <c r="B409" s="3" t="inlineStr">
        <is>
          <t>reconcileAccountTotal</t>
        </is>
      </c>
      <c r="C409" s="3" t="inlineStr">
        <is>
          <t>Calculation Module code/engines/reconcile.ts</t>
        </is>
      </c>
      <c r="D409" s="3" t="n">
        <v>78</v>
      </c>
      <c r="E409" s="3" t="inlineStr">
        <is>
          <t>3 · DEPENDENT (feeds an action only)</t>
        </is>
      </c>
      <c r="F409" s="3" t="inlineStr">
        <is>
          <t>ASSERTION 1 — holdings + cash = the broker's stated total.</t>
        </is>
      </c>
      <c r="G409" s="13" t="inlineStr">
        <is>
          <t>stated = dec.parse(stated total) (or dec.ZERO when missing)
the answer = verdict(parts, stated, 'what the account holds and the broker\'s own total')</t>
        </is>
      </c>
      <c r="H409" s="3" t="inlineStr">
        <is>
          <t>Stated is dec.parse(stated total) (or dec.ZERO — when missing). The answer is verdict(parts, stated, 'what the account holds and the broker\'s own total').</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t>
        </is>
      </c>
      <c r="M409" s="3" t="inlineStr">
        <is>
          <t>None found in this function — anything it assumes comes from the functions it depends on.</t>
        </is>
      </c>
      <c r="N409" s="3" t="inlineStr">
        <is>
          <t>No</t>
        </is>
      </c>
      <c r="O409" s="3" t="inlineStr">
        <is>
          <t>1. MK-CF-F-132 map
2. MK-ST-F-060 verdict</t>
        </is>
      </c>
      <c r="P409" s="3" t="n">
        <v>2</v>
      </c>
      <c r="Q409" s="3" t="inlineStr">
        <is>
          <t>1. MK-CF-F-132 map
2. MK-ST-F-060 verdict</t>
        </is>
      </c>
      <c r="R409" s="3" t="inlineStr">
        <is>
          <t>1. MK-CF-F-132 map → MK-ST-F-022 reconcileAccountTotal
2. MK-ST-F-060 verdict → MK-ST-F-022 reconcileAccountTotal</t>
        </is>
      </c>
      <c r="S409" s="3" t="inlineStr">
        <is>
          <t>—</t>
        </is>
      </c>
      <c r="T409" s="3" t="inlineStr">
        <is>
          <t>—</t>
        </is>
      </c>
      <c r="U409" s="3" t="inlineStr">
        <is>
          <t>ACTIVE</t>
        </is>
      </c>
      <c r="V409" s="3" t="inlineStr">
        <is>
          <t>2026-08-27</t>
        </is>
      </c>
      <c r="Y409" s="3" t="inlineStr">
        <is>
          <t>NOTHING OPEN</t>
        </is>
      </c>
    </row>
    <row r="410">
      <c r="A410" s="3" t="inlineStr">
        <is>
          <t>MK-ST-F-023</t>
        </is>
      </c>
      <c r="B410" s="3" t="inlineStr">
        <is>
          <t>reconcileLedgerIdentity</t>
        </is>
      </c>
      <c r="C410" s="3" t="inlineStr">
        <is>
          <t>Calculation Module code/engines/reconcile.ts</t>
        </is>
      </c>
      <c r="D410" s="3" t="n">
        <v>106</v>
      </c>
      <c r="E410" s="3" t="inlineStr">
        <is>
          <t>3 · DEPENDENT (feeds an action only)</t>
        </is>
      </c>
      <c r="F410" s="3" t="inlineStr">
        <is>
          <t>ASSERTION 2 — the accounting identity every statement satisfies, exactly.</t>
        </is>
      </c>
      <c r="G410" s="13" t="inlineStr">
        <is>
          <t>d = (v: unknown) =&gt; dec.parse(v) (or dec.ZERO when missing)
the answer = verdict(computed, D(ending), 'the change walk and the ending value')</t>
        </is>
      </c>
      <c r="H410" s="3" t="inlineStr">
        <is>
          <t>D is (v: unknown) =&gt; dec.parse(v) (or dec.ZERO — when missing). The answer is verdict(computed, D(ending), 'the change walk and the ending value').</t>
        </is>
      </c>
      <c r="I410" s="3" t="inlineStr">
        <is>
          <t>PARTLY READ — some of the code is still showing through; needs a hand pass</t>
        </is>
      </c>
      <c r="J410" s="3" t="inlineStr">
        <is>
          <t>Nothing is handed to it</t>
        </is>
      </c>
      <c r="K410" s="3" t="inlineStr">
        <is>
          <t>NOT DECLARED — the code does not say what it gives back</t>
        </is>
      </c>
      <c r="L410" s="3" t="inlineStr">
        <is>
          <t>—</t>
        </is>
      </c>
      <c r="M410" s="3" t="inlineStr">
        <is>
          <t>None found in this function — anything it assumes comes from the functions it depends on.</t>
        </is>
      </c>
      <c r="N410" s="3" t="inlineStr">
        <is>
          <t>No</t>
        </is>
      </c>
      <c r="O410" s="3" t="inlineStr">
        <is>
          <t>MK-ST-F-060 verdict</t>
        </is>
      </c>
      <c r="P410" s="3" t="n">
        <v>1</v>
      </c>
      <c r="Q410" s="3" t="inlineStr">
        <is>
          <t>MK-ST-F-060 verdict</t>
        </is>
      </c>
      <c r="R410" s="3" t="inlineStr">
        <is>
          <t>MK-ST-F-060 verdict → MK-ST-F-023 reconcileLedgerIdentity</t>
        </is>
      </c>
      <c r="S410" s="3" t="inlineStr">
        <is>
          <t>—</t>
        </is>
      </c>
      <c r="T410" s="3" t="inlineStr">
        <is>
          <t>—</t>
        </is>
      </c>
      <c r="U410" s="3" t="inlineStr">
        <is>
          <t>ACTIVE</t>
        </is>
      </c>
      <c r="V410" s="3" t="inlineStr">
        <is>
          <t>2026-08-27</t>
        </is>
      </c>
      <c r="Y410" s="3" t="inlineStr">
        <is>
          <t>NOTHING OPEN</t>
        </is>
      </c>
    </row>
    <row r="411">
      <c r="A411" s="3" t="inlineStr">
        <is>
          <t>MK-ST-F-024</t>
        </is>
      </c>
      <c r="B411" s="3" t="inlineStr">
        <is>
          <t>rmdStartAge</t>
        </is>
      </c>
      <c r="C411" s="3" t="inlineStr">
        <is>
          <t>Calculation Module code/engines/rmd.ts</t>
        </is>
      </c>
      <c r="D411" s="3" t="n">
        <v>55</v>
      </c>
      <c r="E411" s="3" t="inlineStr">
        <is>
          <t>2 · DISPLAYED</t>
        </is>
      </c>
      <c r="F411" s="3" t="inlineStr">
        <is>
          <t>The age required withdrawals begin, by birth year.</t>
        </is>
      </c>
      <c r="G411" s="13" t="inlineStr">
        <is>
          <t>start age = 75   when born 1960 or later
            73   otherwise</t>
        </is>
      </c>
      <c r="H411" s="3" t="inlineStr">
        <is>
          <t>The age required withdrawals begin. Born 1960 or later, 75; everyone else, 73 — including birth years before 1951, whose real start age was 72 or 70 and a half. An unknown birth year silently answers 73 rather than refusing. Finding A36.</t>
        </is>
      </c>
      <c r="I411" s="3" t="inlineStr">
        <is>
          <t>READ BY HAND 2026-08-26 — checked line by line against the code</t>
        </is>
      </c>
      <c r="J411" s="3" t="inlineStr">
        <is>
          <t>birthYear?: number | null</t>
        </is>
      </c>
      <c r="K411" s="3" t="inlineStr">
        <is>
          <t>number</t>
        </is>
      </c>
      <c r="L411" s="3" t="inlineStr">
        <is>
          <t>1. "Everything taken out, as a share of your gross" — on the setup questions, which appear on more than one screen
2. "Operating expense / mo"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11" s="3" t="inlineStr">
        <is>
          <t>· When the birth year is missing the start age is taken as 73 — the rule for those born 1951–1959, the middle of the 55–70 audience (A36). The whole schedule is coded: 70½ before 1949, 72 for 1949–1950, 73 for 1951–1959, 75 from 1960.</t>
        </is>
      </c>
      <c r="N411" s="3" t="inlineStr">
        <is>
          <t>Yes</t>
        </is>
      </c>
      <c r="O411" s="3" t="inlineStr">
        <is>
          <t>MK-ST-F-056 has</t>
        </is>
      </c>
      <c r="P411" s="3" t="n">
        <v>1</v>
      </c>
      <c r="Q411" s="3" t="inlineStr">
        <is>
          <t>MK-ST-F-056 has</t>
        </is>
      </c>
      <c r="R411" s="3" t="inlineStr">
        <is>
          <t>MK-ST-F-056 has → MK-ST-F-024 rmdStartAge</t>
        </is>
      </c>
      <c r="S411" s="3" t="inlineStr">
        <is>
          <t>—</t>
        </is>
      </c>
      <c r="T411" s="3" t="inlineStr">
        <is>
          <t>—</t>
        </is>
      </c>
      <c r="U411" s="3" t="inlineStr">
        <is>
          <t>ACTIVE</t>
        </is>
      </c>
      <c r="V411" s="3" t="inlineStr">
        <is>
          <t>2026-08-27</t>
        </is>
      </c>
      <c r="Y411" s="3" t="inlineStr">
        <is>
          <t>NOTHING OPEN</t>
        </is>
      </c>
    </row>
    <row r="412">
      <c r="A412" s="3" t="inlineStr">
        <is>
          <t>MK-ST-F-025</t>
        </is>
      </c>
      <c r="B412" s="3" t="inlineStr">
        <is>
          <t>rmdStartAgeFromAge</t>
        </is>
      </c>
      <c r="C412" s="3" t="inlineStr">
        <is>
          <t>Calculation Module code/engines/rmd.ts</t>
        </is>
      </c>
      <c r="D412" s="3" t="n">
        <v>94</v>
      </c>
      <c r="E412" s="3" t="inlineStr">
        <is>
          <t>3 · DEPENDENT</t>
        </is>
      </c>
      <c r="F412" s="3" t="inlineStr">
        <is>
          <t>The same rule when only an age is known (birth year ≈ this year − age; ±1 year of precision, which is what an age-only caller has).</t>
        </is>
      </c>
      <c r="G412" s="13" t="inlineStr">
        <is>
          <t>rmd start age(now year − age)</t>
        </is>
      </c>
      <c r="H412" s="3" t="inlineStr">
        <is>
          <t>rmd start age(now year minus age).</t>
        </is>
      </c>
      <c r="I412" s="3" t="inlineStr">
        <is>
          <t>READ FROM THE CODE — rendered from the expressions the function runs</t>
        </is>
      </c>
      <c r="J412" s="3" t="inlineStr">
        <is>
          <t>1. age: number
2. nowYear: number</t>
        </is>
      </c>
      <c r="K412" s="3" t="inlineStr">
        <is>
          <t>number</t>
        </is>
      </c>
      <c r="L412" s="3" t="inlineStr">
        <is>
          <t>—</t>
        </is>
      </c>
      <c r="M412" s="3" t="inlineStr">
        <is>
          <t>None found in this function — anything it assumes comes from the functions it depends on.</t>
        </is>
      </c>
      <c r="N412" s="3" t="inlineStr">
        <is>
          <t>Yes</t>
        </is>
      </c>
      <c r="O412" s="3" t="inlineStr">
        <is>
          <t>MK-ST-F-024 rmdStartAge</t>
        </is>
      </c>
      <c r="P412" s="3" t="n">
        <v>2</v>
      </c>
      <c r="Q412" s="3" t="inlineStr">
        <is>
          <t>1. MK-ST-F-024 rmdStartAge
2. MK-ST-F-056 has</t>
        </is>
      </c>
      <c r="R412" s="3" t="inlineStr">
        <is>
          <t>MK-ST-F-056 has → MK-ST-F-024 rmdStartAge → MK-ST-F-025 rmdStartAgeFromAge</t>
        </is>
      </c>
      <c r="S412" s="3" t="inlineStr">
        <is>
          <t>—</t>
        </is>
      </c>
      <c r="T412" s="3" t="inlineStr">
        <is>
          <t>—</t>
        </is>
      </c>
      <c r="U412" s="3" t="inlineStr">
        <is>
          <t>ACTIVE</t>
        </is>
      </c>
      <c r="V412" s="3" t="inlineStr">
        <is>
          <t>2026-08-27</t>
        </is>
      </c>
      <c r="Y412" s="3" t="inlineStr">
        <is>
          <t>NOTHING OPEN</t>
        </is>
      </c>
    </row>
    <row r="413">
      <c r="A413" s="3" t="inlineStr">
        <is>
          <t>MK-ST-F-026</t>
        </is>
      </c>
      <c r="B413" s="3" t="inlineStr">
        <is>
          <t>holdingId</t>
        </is>
      </c>
      <c r="C413" s="3" t="inlineStr">
        <is>
          <t>Calculation Module code/engines/snapshots.ts</t>
        </is>
      </c>
      <c r="D413" s="3" t="n">
        <v>81</v>
      </c>
      <c r="E413" s="3" t="inlineStr">
        <is>
          <t>1 · ACTION</t>
        </is>
      </c>
      <c r="F413" s="3" t="inlineStr">
        <is>
          <t>NOT DETERMINED — the code carries no note saying what this is for, and it has no row in the old inventory. Needs reading.</t>
        </is>
      </c>
      <c r="G413" s="13" t="inlineStr">
        <is>
          <t>the answer = date | account id | security key</t>
        </is>
      </c>
      <c r="H413" s="3" t="inlineStr">
        <is>
          <t>The identity of one holding snapshot: its date, account and security, joined with vertical bars. No arithmetic.</t>
        </is>
      </c>
      <c r="I413" s="3" t="inlineStr">
        <is>
          <t>READ BY HAND 2026-08-26 — checked line by line against the code</t>
        </is>
      </c>
      <c r="J413" s="3" t="inlineStr">
        <is>
          <t>s: Pick&lt;HoldingSnapshot, 'date' | 'accountId' | 'securityKey'&gt;</t>
        </is>
      </c>
      <c r="K413" s="3" t="inlineStr">
        <is>
          <t>string</t>
        </is>
      </c>
      <c r="L413" s="3" t="inlineStr">
        <is>
          <t>—</t>
        </is>
      </c>
      <c r="M413" s="3" t="inlineStr">
        <is>
          <t>None found in this function — anything it assumes comes from the functions it depends on.</t>
        </is>
      </c>
      <c r="N413" s="3" t="inlineStr">
        <is>
          <t>No</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2026-09-12</t>
        </is>
      </c>
      <c r="Y413" s="3" t="inlineStr">
        <is>
          <t>NOTHING OPEN</t>
        </is>
      </c>
    </row>
    <row r="414">
      <c r="A414" s="3" t="inlineStr">
        <is>
          <t>MK-ST-F-027</t>
        </is>
      </c>
      <c r="B414" s="3" t="inlineStr">
        <is>
          <t>accountId</t>
        </is>
      </c>
      <c r="C414" s="3" t="inlineStr">
        <is>
          <t>Calculation Module code/engines/snapshots.ts</t>
        </is>
      </c>
      <c r="D414" s="3" t="n">
        <v>117</v>
      </c>
      <c r="E414" s="3" t="inlineStr">
        <is>
          <t>1 · ACTION</t>
        </is>
      </c>
      <c r="F414" s="3" t="inlineStr">
        <is>
          <t>NOT DETERMINED — the code carries no note saying what this is for, and it has no row in the old inventory. Needs reading.</t>
        </is>
      </c>
      <c r="G414" s="13" t="inlineStr">
        <is>
          <t>the answer = date | account id</t>
        </is>
      </c>
      <c r="H414" s="3" t="inlineStr">
        <is>
          <t>The identity of one account snapshot: its date and account, joined with a vertical bar. No arithmetic.</t>
        </is>
      </c>
      <c r="I414" s="3" t="inlineStr">
        <is>
          <t>READ BY HAND 2026-08-26 — checked line by line against the code</t>
        </is>
      </c>
      <c r="J414" s="3" t="inlineStr">
        <is>
          <t>s: Pick&lt;AccountSnapshot, 'date' | 'accountId'&gt;</t>
        </is>
      </c>
      <c r="K414" s="3" t="inlineStr">
        <is>
          <t>string</t>
        </is>
      </c>
      <c r="L414" s="3" t="inlineStr">
        <is>
          <t>—</t>
        </is>
      </c>
      <c r="M414" s="3" t="inlineStr">
        <is>
          <t>None found in this function — anything it assumes comes from the functions it depends on.</t>
        </is>
      </c>
      <c r="N414" s="3" t="inlineStr">
        <is>
          <t>No</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2026-09-12</t>
        </is>
      </c>
      <c r="Y414" s="3" t="inlineStr">
        <is>
          <t>NOTHING OPEN</t>
        </is>
      </c>
    </row>
    <row r="415">
      <c r="A415" s="3" t="inlineStr">
        <is>
          <t>MK-ST-F-028</t>
        </is>
      </c>
      <c r="B415" s="3" t="inlineStr">
        <is>
          <t>buildDayFromAccounts</t>
        </is>
      </c>
      <c r="C415" s="3" t="inlineStr">
        <is>
          <t>Calculation Module code/engines/snapshots.ts</t>
        </is>
      </c>
      <c r="D415" s="3" t="n">
        <v>190</v>
      </c>
      <c r="E415" s="3" t="inlineStr">
        <is>
          <t>3 · DEPENDENT</t>
        </is>
      </c>
      <c r="F415" s="3" t="inlineStr">
        <is>
          <t>Today's SnapshotDay, observed from the live account state.</t>
        </is>
      </c>
      <c r="G415" s="13"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15"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15" s="3" t="inlineStr">
        <is>
          <t>READ FROM THE CODE — rendered from the expressions the function runs</t>
        </is>
      </c>
      <c r="J415" s="3" t="inlineStr">
        <is>
          <t>1. accounts: AccountLike[]
2. date: string
3. writtenAt: string</t>
        </is>
      </c>
      <c r="K415" s="3" t="inlineStr">
        <is>
          <t>SnapshotDay</t>
        </is>
      </c>
      <c r="L415" s="3" t="inlineStr">
        <is>
          <t>—</t>
        </is>
      </c>
      <c r="M415"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2026-09-12</t>
        </is>
      </c>
      <c r="Y415" s="3" t="inlineStr">
        <is>
          <t>NOTHING OPEN</t>
        </is>
      </c>
    </row>
    <row r="416">
      <c r="A416" s="3" t="inlineStr">
        <is>
          <t>MK-ST-F-029</t>
        </is>
      </c>
      <c r="B416" s="3" t="inlineStr">
        <is>
          <t>prune</t>
        </is>
      </c>
      <c r="C416" s="3" t="inlineStr">
        <is>
          <t>Calculation Module code/engines/snapshots.ts</t>
        </is>
      </c>
      <c r="D416" s="3" t="n">
        <v>282</v>
      </c>
      <c r="E416" s="3" t="inlineStr">
        <is>
          <t>3 · DEPENDENT (feeds an action only)</t>
        </is>
      </c>
      <c r="F416" s="3" t="inlineStr">
        <is>
          <t>Which days survive.</t>
        </is>
      </c>
      <c r="G416" s="13" t="inlineStr">
        <is>
          <t>cutoff = the date today
cutoff key = the first 10 of cutoff.to isostring()
all = a list with no repeats of for each of days: date
the answer = days where date ≥ cutoff key (or is month end(date, all) when missing or zero)</t>
        </is>
      </c>
      <c r="H416" s="3" t="inlineStr">
        <is>
          <t>Cutoff: the date today. Cutoff key: the first 10 of cutoff.to isostring(). All is a list with no repeats of for each of days: date. The answer is days where date is at least cutoff key (or is month end(date, all) — when missing or zero).</t>
        </is>
      </c>
      <c r="I416" s="3" t="inlineStr">
        <is>
          <t>PARTLY READ — some of the code is still showing through; needs a hand pass</t>
        </is>
      </c>
      <c r="J416" s="3" t="inlineStr">
        <is>
          <t>1. days: SnapshotDay[]
2. today: string</t>
        </is>
      </c>
      <c r="K416" s="3" t="inlineStr">
        <is>
          <t>SnapshotDay[]</t>
        </is>
      </c>
      <c r="L416" s="3" t="inlineStr">
        <is>
          <t>—</t>
        </is>
      </c>
      <c r="M416" s="3" t="inlineStr">
        <is>
          <t>None found in this function — anything it assumes comes from the functions it depends on.</t>
        </is>
      </c>
      <c r="N416" s="3" t="inlineStr">
        <is>
          <t>No</t>
        </is>
      </c>
      <c r="O416" s="3" t="inlineStr">
        <is>
          <t>1. MK-ST-F-061 isMonthEnd
2. MK-CF-F-132 map</t>
        </is>
      </c>
      <c r="P416" s="3" t="n">
        <v>3</v>
      </c>
      <c r="Q416" s="3" t="inlineStr">
        <is>
          <t>1. MK-ST-F-061 isMonthEnd
2. MK-CF-F-132 map
3. MK-ST-F-056 has</t>
        </is>
      </c>
      <c r="R416" s="3" t="inlineStr">
        <is>
          <t>1. MK-ST-F-056 has → MK-ST-F-061 isMonthEnd → MK-ST-F-029 prune
2. MK-CF-F-132 map → MK-ST-F-061 isMonthEnd → MK-ST-F-029 prune
3. MK-CF-F-132 map → MK-ST-F-029 prune</t>
        </is>
      </c>
      <c r="S416" s="3" t="inlineStr">
        <is>
          <t>—</t>
        </is>
      </c>
      <c r="T416" s="3" t="inlineStr">
        <is>
          <t>—</t>
        </is>
      </c>
      <c r="U416" s="3" t="inlineStr">
        <is>
          <t>ACTIVE</t>
        </is>
      </c>
      <c r="V416" s="3" t="inlineStr">
        <is>
          <t>2026-08-27</t>
        </is>
      </c>
      <c r="Y416" s="3" t="inlineStr">
        <is>
          <t>NOTHING OPEN</t>
        </is>
      </c>
    </row>
    <row r="417">
      <c r="A417" s="3" t="inlineStr">
        <is>
          <t>MK-ST-F-030</t>
        </is>
      </c>
      <c r="B417" s="3" t="inlineStr">
        <is>
          <t>record</t>
        </is>
      </c>
      <c r="C417" s="3" t="inlineStr">
        <is>
          <t>Calculation Module code/engines/snapshots.ts</t>
        </is>
      </c>
      <c r="D417" s="3" t="n">
        <v>322</v>
      </c>
      <c r="E417" s="3" t="inlineStr">
        <is>
          <t>2 · DISPLAYED</t>
        </is>
      </c>
      <c r="F417" s="3" t="inlineStr">
        <is>
          <t>── writing ───────────────────────────────────────────────────────────────────────────────────── Add a day.</t>
        </is>
      </c>
      <c r="G417" s="13" t="inlineStr">
        <is>
          <t>rest = days where date ! = day.date
the answer = [...rest, day].sort((a, b) =&gt; date.locale compare(date))</t>
        </is>
      </c>
      <c r="H417" s="3" t="inlineStr">
        <is>
          <t>Rest is days where date ! = day.date. The answer is [...rest, day].sort((a, b) =&gt; date.locale compare(date)).</t>
        </is>
      </c>
      <c r="I417" s="3" t="inlineStr">
        <is>
          <t>PARTLY READ — some of the code is still showing through; needs a hand pass</t>
        </is>
      </c>
      <c r="J417" s="3" t="inlineStr">
        <is>
          <t>1. days: SnapshotDay[]
2. day: SnapshotDay</t>
        </is>
      </c>
      <c r="K417" s="3" t="inlineStr">
        <is>
          <t>SnapshotDay[]</t>
        </is>
      </c>
      <c r="L417" s="3" t="inlineStr">
        <is>
          <t>NOT FOUND — a screen calls it, but the words printed beside its answer could not be traced automatically. Needs reading.</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2026-09-25</t>
        </is>
      </c>
      <c r="Y417" s="3" t="inlineStr">
        <is>
          <t>NOTHING OPEN</t>
        </is>
      </c>
    </row>
    <row r="418">
      <c r="A418" s="3" t="inlineStr">
        <is>
          <t>MK-ST-F-031</t>
        </is>
      </c>
      <c r="B418" s="3" t="inlineStr">
        <is>
          <t>valueOn</t>
        </is>
      </c>
      <c r="C418" s="3" t="inlineStr">
        <is>
          <t>Calculation Module code/engines/snapshots.ts</t>
        </is>
      </c>
      <c r="D418" s="3" t="n">
        <v>356</v>
      </c>
      <c r="E418" s="3" t="inlineStr">
        <is>
          <t>2 · DISPLAYED</t>
        </is>
      </c>
      <c r="F418" s="3" t="inlineStr">
        <is>
          <t>── reading ───────────────────────────────────────────────────────────────────────────────────── What one account was worth on a date — the figure the old code had to back-solve.</t>
        </is>
      </c>
      <c r="G418" s="13"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18"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18" s="3" t="inlineStr">
        <is>
          <t>PARTLY READ — some of the code is still showing through; needs a hand pass</t>
        </is>
      </c>
      <c r="J418" s="3" t="inlineStr">
        <is>
          <t>1. days: SnapshotDay[]
2. accountIds: Set&lt;string&gt;
3. date: string</t>
        </is>
      </c>
      <c r="K418" s="3" t="inlineStr">
        <is>
          <t>number | null</t>
        </is>
      </c>
      <c r="L418" s="3" t="inlineStr">
        <is>
          <t>NOT FOUND — a screen calls it, but the words printed beside its answer could not be traced automatically. Needs reading.</t>
        </is>
      </c>
      <c r="M418" s="3" t="inlineStr">
        <is>
          <t>· If typed value is missing it uses 0.</t>
        </is>
      </c>
      <c r="N418" s="3" t="inlineStr">
        <is>
          <t>Yes</t>
        </is>
      </c>
      <c r="O418" s="3" t="inlineStr">
        <is>
          <t>1. MK-ST-F-027 accountId
2. MK-CF-F-155 cash
3. MK-ST-F-056 has
4. MK-ST-F-033 onOrBefore</t>
        </is>
      </c>
      <c r="P418" s="3" t="n">
        <v>5</v>
      </c>
      <c r="Q418" s="3" t="inlineStr">
        <is>
          <t>1. MK-ST-F-027 accountId
2. MK-CF-F-155 cash
3. MK-ST-F-056 has
4. MK-ST-F-033 onOrBefore
5. MK-XS-F-122 n</t>
        </is>
      </c>
      <c r="R418" s="3" t="inlineStr">
        <is>
          <t>1. MK-ST-F-027 accountId → MK-ST-F-031 valueOn
2. MK-XS-F-122 n → MK-CF-F-155 cash → MK-ST-F-031 valueOn
3. MK-ST-F-056 has → MK-ST-F-031 valueOn
4. MK-ST-F-033 onOrBefore → MK-ST-F-031 valueOn</t>
        </is>
      </c>
      <c r="S418" s="3" t="inlineStr">
        <is>
          <t>MK-PF-M-001 · MK-PF-M-004</t>
        </is>
      </c>
      <c r="T418" s="3" t="inlineStr">
        <is>
          <t>—</t>
        </is>
      </c>
      <c r="U418" s="3" t="inlineStr">
        <is>
          <t>ACTIVE</t>
        </is>
      </c>
      <c r="V418" s="3" t="inlineStr">
        <is>
          <t>2026-09-09</t>
        </is>
      </c>
      <c r="Y418" s="3" t="inlineStr">
        <is>
          <t>NOTHING OPEN</t>
        </is>
      </c>
    </row>
    <row r="419">
      <c r="A419" s="3" t="inlineStr">
        <is>
          <t>MK-ST-F-032</t>
        </is>
      </c>
      <c r="B419" s="3" t="inlineStr">
        <is>
          <t>unitsOn</t>
        </is>
      </c>
      <c r="C419" s="3" t="inlineStr">
        <is>
          <t>Calculation Module code/engines/snapshots.ts</t>
        </is>
      </c>
      <c r="D419" s="3" t="n">
        <v>388</v>
      </c>
      <c r="E419" s="3" t="inlineStr">
        <is>
          <t>3 · DEPENDENT (feeds an action only)</t>
        </is>
      </c>
      <c r="F419" s="3" t="inlineStr">
        <is>
          <t>How many units of one holding were held on a date — what the trend chart needs and never had.</t>
        </is>
      </c>
      <c r="G419" s="13" t="inlineStr">
        <is>
          <t>day = on or before(days, date)
h = day.holdings.find((x) =&gt; account id = acc id and security key = security key)
the answer:
units   if h
nothing   otherwise</t>
        </is>
      </c>
      <c r="H419" s="3" t="inlineStr">
        <is>
          <t>Day is on or before(days, date). H is day.holdings.find((x) =&gt; account id = acc id and security key = security key). The answer is units — when h; no answer — otherwise.</t>
        </is>
      </c>
      <c r="I419" s="3" t="inlineStr">
        <is>
          <t>PARTLY READ — some of the code is still showing through; needs a hand pass</t>
        </is>
      </c>
      <c r="J419" s="3" t="inlineStr">
        <is>
          <t>1. days: SnapshotDay[]
2. accId: string
3. securityKey: string
4. date: string</t>
        </is>
      </c>
      <c r="K419" s="3" t="inlineStr">
        <is>
          <t>number | null</t>
        </is>
      </c>
      <c r="L419" s="3" t="inlineStr">
        <is>
          <t>—</t>
        </is>
      </c>
      <c r="M419" s="3" t="inlineStr">
        <is>
          <t>None found in this function — anything it assumes comes from the functions it depends on.</t>
        </is>
      </c>
      <c r="N419" s="3" t="inlineStr">
        <is>
          <t>No</t>
        </is>
      </c>
      <c r="O419" s="3" t="inlineStr">
        <is>
          <t>MK-ST-F-033 onOrBefore</t>
        </is>
      </c>
      <c r="P419" s="3" t="n">
        <v>1</v>
      </c>
      <c r="Q419" s="3" t="inlineStr">
        <is>
          <t>MK-ST-F-033 onOrBefore</t>
        </is>
      </c>
      <c r="R419" s="3" t="inlineStr">
        <is>
          <t>MK-ST-F-033 onOrBefore → MK-ST-F-032 unitsOn</t>
        </is>
      </c>
      <c r="S419" s="3" t="inlineStr">
        <is>
          <t>—</t>
        </is>
      </c>
      <c r="T419" s="3" t="inlineStr">
        <is>
          <t>—</t>
        </is>
      </c>
      <c r="U419" s="3" t="inlineStr">
        <is>
          <t>ACTIVE</t>
        </is>
      </c>
      <c r="V419" s="3" t="inlineStr">
        <is>
          <t>2026-08-27</t>
        </is>
      </c>
      <c r="Y419" s="3" t="inlineStr">
        <is>
          <t>NOTHING OPEN</t>
        </is>
      </c>
    </row>
    <row r="420">
      <c r="A420" s="3" t="inlineStr">
        <is>
          <t>MK-ST-F-033</t>
        </is>
      </c>
      <c r="B420" s="3" t="inlineStr">
        <is>
          <t>onOrBefore</t>
        </is>
      </c>
      <c r="C420" s="3" t="inlineStr">
        <is>
          <t>Calculation Module code/engines/snapshots.ts</t>
        </is>
      </c>
      <c r="D420" s="3" t="n">
        <v>416</v>
      </c>
      <c r="E420" s="3" t="inlineStr">
        <is>
          <t>3 · DEPENDENT</t>
        </is>
      </c>
      <c r="F420" s="3" t="inlineStr">
        <is>
          <t>The latest day at or before a date, or nothing when the record does not reach back that far.</t>
        </is>
      </c>
      <c r="G420" s="13" t="inlineStr">
        <is>
          <t>best = nothing
[LOOP — the answer is found inside a loop the extractor cannot render; the steps above are the ones before it. Read by hand.]</t>
        </is>
      </c>
      <c r="H420" s="3" t="inlineStr">
        <is>
          <t>Best is no answer. The answer is best. The answer is found inside a loop that cannot be rendered here; read the code by hand.</t>
        </is>
      </c>
      <c r="I420" s="3" t="inlineStr">
        <is>
          <t>PARTLY READ — the body has a loop the extractor cannot render; the steps shown are the ones before it. Needs a hand pass (G23).</t>
        </is>
      </c>
      <c r="J420" s="3" t="inlineStr">
        <is>
          <t>1. days: T[]
2. date: string</t>
        </is>
      </c>
      <c r="K420" s="3" t="inlineStr">
        <is>
          <t>T | null</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2026-09-08</t>
        </is>
      </c>
      <c r="Y420" s="3" t="inlineStr">
        <is>
          <t>NOTHING OPEN</t>
        </is>
      </c>
    </row>
    <row r="421">
      <c r="A421" s="3" t="inlineStr">
        <is>
          <t>MK-ST-F-034</t>
        </is>
      </c>
      <c r="B421" s="3" t="inlineStr">
        <is>
          <t>firstDate</t>
        </is>
      </c>
      <c r="C421" s="3" t="inlineStr">
        <is>
          <t>Calculation Module code/engines/snapshots.ts</t>
        </is>
      </c>
      <c r="D421" s="3" t="n">
        <v>453</v>
      </c>
      <c r="E421" s="3" t="inlineStr">
        <is>
          <t>3 · DEPENDENT</t>
        </is>
      </c>
      <c r="F421" s="3" t="inlineStr">
        <is>
          <t>The first date the record covers — so a change figure can say what it is measured FROM, rather than presenting a figure measured from install day as though it covered the year.</t>
        </is>
      </c>
      <c r="G421" s="13" t="inlineStr">
        <is>
          <t>days.reduce((a, b) =&gt; (date &lt; date ? a : b)).date   if count of days
nothing   otherwise</t>
        </is>
      </c>
      <c r="H421" s="3" t="inlineStr">
        <is>
          <t>days.reduce((a, b) =&gt; (date &lt; date ? a : b)).date — when how many days there are; no answer — otherwise.</t>
        </is>
      </c>
      <c r="I421" s="3" t="inlineStr">
        <is>
          <t>PARTLY READ — some of the code is still showing through; needs a hand pass</t>
        </is>
      </c>
      <c r="J421" s="3" t="inlineStr">
        <is>
          <t>days: T[]</t>
        </is>
      </c>
      <c r="K421" s="3" t="inlineStr">
        <is>
          <t>string | null</t>
        </is>
      </c>
      <c r="L421" s="3" t="inlineStr">
        <is>
          <t>—</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Y421" s="3" t="inlineStr">
        <is>
          <t>NOTHING OPEN</t>
        </is>
      </c>
    </row>
    <row r="422">
      <c r="A422" s="3" t="inlineStr">
        <is>
          <t>MK-ST-F-035</t>
        </is>
      </c>
      <c r="B422" s="3" t="inlineStr">
        <is>
          <t>covers</t>
        </is>
      </c>
      <c r="C422" s="3" t="inlineStr">
        <is>
          <t>Calculation Module code/engines/snapshots.ts</t>
        </is>
      </c>
      <c r="D422" s="3" t="n">
        <v>489</v>
      </c>
      <c r="E422" s="3" t="inlineStr">
        <is>
          <t>3 · DEPENDENT (feeds an action only)</t>
        </is>
      </c>
      <c r="F422" s="3" t="inlineStr">
        <is>
          <t>Does the record actually cover this window?</t>
        </is>
      </c>
      <c r="G422" s="13" t="inlineStr">
        <is>
          <t>f = first date(days)
the answer = f ≠ nothing and f ≤ from</t>
        </is>
      </c>
      <c r="H422" s="3" t="inlineStr">
        <is>
          <t>F is first date(days). The answer is f is not no answer and f is at most from.</t>
        </is>
      </c>
      <c r="I422" s="3" t="inlineStr">
        <is>
          <t>READ FROM THE CODE — rendered from the expressions the function runs</t>
        </is>
      </c>
      <c r="J422" s="3" t="inlineStr">
        <is>
          <t>1. days: SnapshotDay[]
2. from: string</t>
        </is>
      </c>
      <c r="K422" s="3" t="inlineStr">
        <is>
          <t>boolean</t>
        </is>
      </c>
      <c r="L422" s="3" t="inlineStr">
        <is>
          <t>—</t>
        </is>
      </c>
      <c r="M422" s="3" t="inlineStr">
        <is>
          <t>None found in this function — anything it assumes comes from the functions it depends on.</t>
        </is>
      </c>
      <c r="N422" s="3" t="inlineStr">
        <is>
          <t>No</t>
        </is>
      </c>
      <c r="O422" s="3" t="inlineStr">
        <is>
          <t>MK-ST-F-034 firstDate</t>
        </is>
      </c>
      <c r="P422" s="3" t="n">
        <v>1</v>
      </c>
      <c r="Q422" s="3" t="inlineStr">
        <is>
          <t>MK-ST-F-034 firstDate</t>
        </is>
      </c>
      <c r="R422" s="3" t="inlineStr">
        <is>
          <t>MK-ST-F-034 firstDate → MK-ST-F-035 covers</t>
        </is>
      </c>
      <c r="S422" s="3" t="inlineStr">
        <is>
          <t>—</t>
        </is>
      </c>
      <c r="T422" s="3" t="inlineStr">
        <is>
          <t>—</t>
        </is>
      </c>
      <c r="U422" s="3" t="inlineStr">
        <is>
          <t>ACTIVE</t>
        </is>
      </c>
      <c r="V422" s="3" t="inlineStr">
        <is>
          <t>2026-08-27</t>
        </is>
      </c>
      <c r="Y422" s="3" t="inlineStr">
        <is>
          <t>NOTHING OPEN</t>
        </is>
      </c>
    </row>
    <row r="423">
      <c r="A423" s="3" t="inlineStr">
        <is>
          <t>MK-ST-F-036</t>
        </is>
      </c>
      <c r="B423" s="3" t="inlineStr">
        <is>
          <t>reconcile</t>
        </is>
      </c>
      <c r="C423" s="3" t="inlineStr">
        <is>
          <t>Calculation Module code/engines/snapshots.ts</t>
        </is>
      </c>
      <c r="D423" s="3" t="n">
        <v>533</v>
      </c>
      <c r="E423" s="3" t="inlineStr">
        <is>
          <t>3 · DEPENDENT (feeds an action only)</t>
        </is>
      </c>
      <c r="F423" s="3" t="inlineStr">
        <is>
          <t>── the outside check ─────────────────────────────────────────────────────────────────────────── Our figure against the broker's own stated total.</t>
        </is>
      </c>
      <c r="G423" s="13" t="inlineStr">
        <is>
          <t>theirs = day.accounts.find((a) =&gt; account id = acc id).stated total (or nothing when missing)
the answer:
ours = ours
theirs = theirs
difference = nothing   if theirs = nothing
ours − theirs   otherwise</t>
        </is>
      </c>
      <c r="H423" s="3" t="inlineStr">
        <is>
          <t>Theirs is day.accounts.find((a) =&gt; account id = acc id).stated total (or no answer — when missing). The answer is ours = ours; theirs = theirs; difference is missing — when theirs is missing; ours minus theirs — otherwise.</t>
        </is>
      </c>
      <c r="I423" s="3" t="inlineStr">
        <is>
          <t>PARTLY READ — some of the code is still showing through; needs a hand pass</t>
        </is>
      </c>
      <c r="J423" s="3" t="inlineStr">
        <is>
          <t>1. day: SnapshotDay
2. accId: string</t>
        </is>
      </c>
      <c r="K423" s="3" t="inlineStr">
        <is>
          <t>NOT DECLARED — the code does not say what it gives back</t>
        </is>
      </c>
      <c r="L423" s="3" t="inlineStr">
        <is>
          <t>—</t>
        </is>
      </c>
      <c r="M423" s="3" t="inlineStr">
        <is>
          <t>· If cash is missing it uses 0.</t>
        </is>
      </c>
      <c r="N423" s="3" t="inlineStr">
        <is>
          <t>No</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2026-09-09</t>
        </is>
      </c>
      <c r="Y423" s="3" t="inlineStr">
        <is>
          <t>NOTHING OPEN</t>
        </is>
      </c>
    </row>
    <row r="424">
      <c r="A424" s="3" t="inlineStr">
        <is>
          <t>MK-ST-F-037</t>
        </is>
      </c>
      <c r="B424" s="3" t="inlineStr">
        <is>
          <t>pendingUpload</t>
        </is>
      </c>
      <c r="C424" s="3" t="inlineStr">
        <is>
          <t>Calculation Module code/engines/snapshots.ts</t>
        </is>
      </c>
      <c r="D424" s="3" t="n">
        <v>561</v>
      </c>
      <c r="E424" s="3" t="inlineStr">
        <is>
          <t>3 · DEPENDENT (feeds an action only)</t>
        </is>
      </c>
      <c r="F424" s="3" t="inlineStr">
        <is>
          <t>── the later cloud sync ──────────────────────────────────────────────────────────────────────── Everything not yet uploaded, oldest first.</t>
        </is>
      </c>
      <c r="G424" s="13" t="inlineStr">
        <is>
          <t>days where last uploaded is missing (or date &gt; last uploaded when missing or zero)</t>
        </is>
      </c>
      <c r="H424" s="3" t="inlineStr">
        <is>
          <t>days where last uploaded is missing (or date &gt; last uploaded — when missing or zero).</t>
        </is>
      </c>
      <c r="I424" s="3" t="inlineStr">
        <is>
          <t>READ FROM THE CODE — rendered from the expressions the function runs</t>
        </is>
      </c>
      <c r="J424" s="3" t="inlineStr">
        <is>
          <t>1. days: SnapshotDay[]
2. lastUploaded: string | null</t>
        </is>
      </c>
      <c r="K424" s="3" t="inlineStr">
        <is>
          <t>SnapshotDay[]</t>
        </is>
      </c>
      <c r="L424" s="3" t="inlineStr">
        <is>
          <t>—</t>
        </is>
      </c>
      <c r="M424" s="3" t="inlineStr">
        <is>
          <t>None found in this function — anything it assumes comes from the functions it depends on.</t>
        </is>
      </c>
      <c r="N424" s="3" t="inlineStr">
        <is>
          <t>No</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Y424" s="3" t="inlineStr">
        <is>
          <t>NOTHING OPEN</t>
        </is>
      </c>
    </row>
    <row r="425">
      <c r="A425" s="3" t="inlineStr">
        <is>
          <t>MK-ST-F-038</t>
        </is>
      </c>
      <c r="B425" s="3" t="inlineStr">
        <is>
          <t>windowBounds</t>
        </is>
      </c>
      <c r="C425" s="3" t="inlineStr">
        <is>
          <t>Calculation Module code/engines/window-return.ts</t>
        </is>
      </c>
      <c r="D425" s="3" t="n">
        <v>102</v>
      </c>
      <c r="E425" s="3" t="inlineStr">
        <is>
          <t>2 · DISPLAYED</t>
        </is>
      </c>
      <c r="F425" s="3" t="inlineStr">
        <is>
          <t>NOT DETERMINED — the code carries no note saying what this is for, and it has no row in the old inventory. Needs reading.</t>
        </is>
      </c>
      <c r="G425" s="13" t="inlineStr">
        <is>
          <t>beginning as of = the day before the start
days = round((end − start) in days) + 1</t>
        </is>
      </c>
      <c r="H425" s="3" t="inlineStr">
        <is>
          <t>The bounds of a return window: the beginning value is read on the day BEFORE the start, and the window's length counts both boundary days (brief D3, 2026-08-20).</t>
        </is>
      </c>
      <c r="I425" s="3" t="inlineStr">
        <is>
          <t>READ BY HAND 2026-08-26 — checked line by line against the code</t>
        </is>
      </c>
      <c r="J425" s="3" t="inlineStr">
        <is>
          <t>1. start: string
2. end: string</t>
        </is>
      </c>
      <c r="K425" s="3" t="inlineStr">
        <is>
          <t>WindowBounds</t>
        </is>
      </c>
      <c r="L425" s="3" t="inlineStr">
        <is>
          <t>NOT FOUND — a screen calls it, but the words printed beside its answer could not be traced automatically. Needs reading.</t>
        </is>
      </c>
      <c r="M425" s="3" t="inlineStr">
        <is>
          <t>· Rounds the answer to a whole number.</t>
        </is>
      </c>
      <c r="N425" s="3" t="inlineStr">
        <is>
          <t>Yes</t>
        </is>
      </c>
      <c r="O425" s="3" t="inlineStr">
        <is>
          <t>1. MK-ST-F-063 shiftDay
2. MK-ST-F-062 toUtc</t>
        </is>
      </c>
      <c r="P425" s="3" t="n">
        <v>2</v>
      </c>
      <c r="Q425" s="3" t="inlineStr">
        <is>
          <t>1. MK-ST-F-063 shiftDay
2. MK-ST-F-062 toUtc</t>
        </is>
      </c>
      <c r="R425" s="3" t="inlineStr">
        <is>
          <t>1. MK-ST-F-062 toUtc → MK-ST-F-063 shiftDay → MK-ST-F-038 windowBounds
2. MK-ST-F-062 toUtc → MK-ST-F-038 windowBounds</t>
        </is>
      </c>
      <c r="S425" s="3" t="inlineStr">
        <is>
          <t>—</t>
        </is>
      </c>
      <c r="T425" s="3" t="inlineStr">
        <is>
          <t>—</t>
        </is>
      </c>
      <c r="U425" s="3" t="inlineStr">
        <is>
          <t>ACTIVE</t>
        </is>
      </c>
      <c r="V425" s="3" t="inlineStr">
        <is>
          <t>2026-09-12</t>
        </is>
      </c>
      <c r="Y425" s="3" t="inlineStr">
        <is>
          <t>NOTHING OPEN</t>
        </is>
      </c>
    </row>
    <row r="426">
      <c r="A426" s="3" t="inlineStr">
        <is>
          <t>MK-ST-F-039</t>
        </is>
      </c>
      <c r="B426" s="3" t="inlineStr">
        <is>
          <t>on</t>
        </is>
      </c>
      <c r="C426" s="3" t="inlineStr">
        <is>
          <t>src/domain/_shared/eventBus.ts</t>
        </is>
      </c>
      <c r="D426" s="3" t="n">
        <v>38</v>
      </c>
      <c r="E426" s="3" t="inlineStr">
        <is>
          <t>2 · DISPLAYED</t>
        </is>
      </c>
      <c r="F426" s="3" t="inlineStr">
        <is>
          <t>NOT DETERMINED — the code carries no note saying what this is for, and it has no row in the old inventory. Needs reading.</t>
        </is>
      </c>
      <c r="G426" s="13" t="inlineStr">
        <is>
          <t>() =&gt; handlers[event type].delete(handler as handler)</t>
        </is>
      </c>
      <c r="H426" s="3" t="inlineStr">
        <is>
          <t>() =&gt; handlers[event type].delete(handler as handler).</t>
        </is>
      </c>
      <c r="I426" s="3" t="inlineStr">
        <is>
          <t>PARTLY READ — some of the code is still showing through; needs a hand pass</t>
        </is>
      </c>
      <c r="J426" s="3" t="inlineStr">
        <is>
          <t>1. eventType: string
2. handler: Handler&lt;T&gt;</t>
        </is>
      </c>
      <c r="K426" s="3" t="inlineStr">
        <is>
          <t>()</t>
        </is>
      </c>
      <c r="L426" s="3" t="inlineStr">
        <is>
          <t>NOT FOUND — a screen calls it, but the words printed beside its answer could not be traced automatically. Needs reading.</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Y426" s="3" t="inlineStr">
        <is>
          <t>NOTHING OPEN</t>
        </is>
      </c>
    </row>
    <row r="427">
      <c r="A427" s="3" t="inlineStr">
        <is>
          <t>MK-ST-F-040</t>
        </is>
      </c>
      <c r="B427" s="3" t="inlineStr">
        <is>
          <t>emit</t>
        </is>
      </c>
      <c r="C427" s="3" t="inlineStr">
        <is>
          <t>src/domain/_shared/eventBus.ts</t>
        </is>
      </c>
      <c r="D427" s="3" t="n">
        <v>65</v>
      </c>
      <c r="E427" s="3" t="inlineStr">
        <is>
          <t>1 · ACTION</t>
        </is>
      </c>
      <c r="F427" s="3" t="inlineStr">
        <is>
          <t>NOT DETERMINED — the code carries no note saying what this is for, and it has no row in the old inventory. Needs reading.</t>
        </is>
      </c>
      <c r="G427" s="13" t="inlineStr">
        <is>
          <t>It records or announces something and returns no figure — no arithmetic of its own.</t>
        </is>
      </c>
      <c r="H427" s="3" t="inlineStr">
        <is>
          <t>It records or announces something and returns no figure — no arithmetic of its own.</t>
        </is>
      </c>
      <c r="I427" s="3" t="inlineStr">
        <is>
          <t>NO ARITHMETIC — there is no formula to state</t>
        </is>
      </c>
      <c r="J427" s="3" t="inlineStr">
        <is>
          <t>1. eventType: string
2. payload: T</t>
        </is>
      </c>
      <c r="K427" s="3" t="inlineStr">
        <is>
          <t>void</t>
        </is>
      </c>
      <c r="L427" s="3" t="inlineStr">
        <is>
          <t>—</t>
        </is>
      </c>
      <c r="M427" s="3" t="inlineStr">
        <is>
          <t>None found in this function — anything it assumes comes from the functions it depends on.</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Y427" s="3" t="inlineStr">
        <is>
          <t>NOTHING OPEN</t>
        </is>
      </c>
    </row>
    <row r="428">
      <c r="A428" s="3" t="inlineStr">
        <is>
          <t>MK-ST-F-041</t>
        </is>
      </c>
      <c r="B428" s="3" t="inlineStr">
        <is>
          <t>getUserDoc</t>
        </is>
      </c>
      <c r="C428" s="3" t="inlineStr">
        <is>
          <t>src/domain/_shared/firestore.ts</t>
        </is>
      </c>
      <c r="D428" s="3" t="n">
        <v>27</v>
      </c>
      <c r="E428" s="3" t="inlineStr">
        <is>
          <t>4 · BRINGS DATA IN</t>
        </is>
      </c>
      <c r="F428" s="3" t="inlineStr">
        <is>
          <t>Read a single-document-per-user collection (e.g.</t>
        </is>
      </c>
      <c r="G428" s="13" t="inlineStr">
        <is>
          <t>snap = await get doc(doc(db, collection name, uid))
the answer:
snap.data() as T   if snap.exists()
nothing   otherwise</t>
        </is>
      </c>
      <c r="H428" s="3" t="inlineStr">
        <is>
          <t>Snap is await get doc(doc(db, collection name, uid)). The answer is snap.data() as T — when snap.exists(); no answer — otherwise.</t>
        </is>
      </c>
      <c r="I428" s="3" t="inlineStr">
        <is>
          <t>PARTLY READ — some of the code is still showing through; needs a hand pass</t>
        </is>
      </c>
      <c r="J428" s="3" t="inlineStr">
        <is>
          <t>1. collectionName: string
2. uid: UserId</t>
        </is>
      </c>
      <c r="K428" s="3" t="inlineStr">
        <is>
          <t>Promise&lt;T | null&gt;</t>
        </is>
      </c>
      <c r="L428" s="3" t="inlineStr">
        <is>
          <t>—</t>
        </is>
      </c>
      <c r="M428" s="3" t="inlineStr">
        <is>
          <t>None found in this function — anything it assumes comes from the functions it depends on.</t>
        </is>
      </c>
      <c r="N428" s="3" t="inlineStr">
        <is>
          <t>No</t>
        </is>
      </c>
      <c r="O428" s="3" t="inlineStr">
        <is>
          <t>MK-XS-F-175 uid</t>
        </is>
      </c>
      <c r="P428" s="3" t="n">
        <v>80</v>
      </c>
      <c r="Q42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28"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28" s="3" t="inlineStr">
        <is>
          <t>—</t>
        </is>
      </c>
      <c r="T428" s="3" t="inlineStr">
        <is>
          <t>—</t>
        </is>
      </c>
      <c r="U428" s="3" t="inlineStr">
        <is>
          <t>ACTIVE</t>
        </is>
      </c>
      <c r="V428" s="3" t="inlineStr">
        <is>
          <t>2026-08-27</t>
        </is>
      </c>
      <c r="Y428" s="3" t="inlineStr">
        <is>
          <t>NOTHING OPEN</t>
        </is>
      </c>
    </row>
    <row r="429">
      <c r="A429" s="3" t="inlineStr">
        <is>
          <t>MK-ST-F-042</t>
        </is>
      </c>
      <c r="B429" s="3" t="inlineStr">
        <is>
          <t>setUserDoc</t>
        </is>
      </c>
      <c r="C429" s="3" t="inlineStr">
        <is>
          <t>src/domain/_shared/firestore.ts</t>
        </is>
      </c>
      <c r="D429" s="3" t="n">
        <v>55</v>
      </c>
      <c r="E429" s="3" t="inlineStr">
        <is>
          <t>1 · ACTION</t>
        </is>
      </c>
      <c r="F429" s="3" t="inlineStr">
        <is>
          <t>Write/merge a single-document-per-user collection, stamping last_updated.</t>
        </is>
      </c>
      <c r="G429" s="13" t="inlineStr">
        <is>
          <t>It reaches outside the app for data and hands back what came back — no arithmetic of its own.</t>
        </is>
      </c>
      <c r="H429" s="3" t="inlineStr">
        <is>
          <t>It reaches outside the app for data and hands back what came back — no arithmetic of its own.</t>
        </is>
      </c>
      <c r="I429" s="3" t="inlineStr">
        <is>
          <t>NO ARITHMETIC — there is no formula to state</t>
        </is>
      </c>
      <c r="J429" s="3" t="inlineStr">
        <is>
          <t>1. collectionName: string
2. uid: UserId
3. data: T</t>
        </is>
      </c>
      <c r="K429" s="3" t="inlineStr">
        <is>
          <t>Promise&lt;void&gt;</t>
        </is>
      </c>
      <c r="L429" s="3" t="inlineStr">
        <is>
          <t>—</t>
        </is>
      </c>
      <c r="M429" s="3" t="inlineStr">
        <is>
          <t>None found in this function — anything it assumes comes from the functions it depends on.</t>
        </is>
      </c>
      <c r="N429" s="3" t="inlineStr">
        <is>
          <t>Yes</t>
        </is>
      </c>
      <c r="O429" s="3" t="inlineStr">
        <is>
          <t>MK-XS-F-175 uid</t>
        </is>
      </c>
      <c r="P429" s="3" t="n">
        <v>80</v>
      </c>
      <c r="Q429"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29"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29" s="3" t="inlineStr">
        <is>
          <t>—</t>
        </is>
      </c>
      <c r="T429" s="3" t="inlineStr">
        <is>
          <t>—</t>
        </is>
      </c>
      <c r="U429" s="3" t="inlineStr">
        <is>
          <t>ACTIVE</t>
        </is>
      </c>
      <c r="V429" s="3" t="inlineStr">
        <is>
          <t>2026-08-27</t>
        </is>
      </c>
      <c r="Y429" s="3" t="inlineStr">
        <is>
          <t>NOTHING OPEN</t>
        </is>
      </c>
    </row>
    <row r="430">
      <c r="A430" s="3" t="inlineStr">
        <is>
          <t>MK-ST-F-043</t>
        </is>
      </c>
      <c r="B430" s="3" t="inlineStr">
        <is>
          <t>newEntityId</t>
        </is>
      </c>
      <c r="C430" s="3" t="inlineStr">
        <is>
          <t>src/domain/_shared/ids.ts</t>
        </is>
      </c>
      <c r="D430" s="3" t="n">
        <v>40</v>
      </c>
      <c r="E430" s="3" t="inlineStr">
        <is>
          <t>2 · DISPLAYED</t>
        </is>
      </c>
      <c r="F430" s="3" t="inlineStr">
        <is>
          <t>What do we call this new thing?</t>
        </is>
      </c>
      <c r="G430" s="13" t="inlineStr">
        <is>
          <t>`${prefix}_${date.now().to string(36)}${math.random().to string(36).slice(2, 8)}`</t>
        </is>
      </c>
      <c r="H430" s="3" t="inlineStr">
        <is>
          <t>`${prefix}_${date.now().to string(36)}${math.random().to string(36).slice(2, 8)}`.</t>
        </is>
      </c>
      <c r="I430" s="3" t="inlineStr">
        <is>
          <t>PARTLY READ — some of the code is still showing through; needs a hand pass</t>
        </is>
      </c>
      <c r="J430" s="3" t="inlineStr">
        <is>
          <t>prefix: string</t>
        </is>
      </c>
      <c r="K430" s="3" t="inlineStr">
        <is>
          <t>EntityId</t>
        </is>
      </c>
      <c r="L430" s="3" t="inlineStr">
        <is>
          <t>NOT FOUND — a screen calls it, but the words printed beside its answer could not be traced automatically. Needs reading.</t>
        </is>
      </c>
      <c r="M430" s="3" t="inlineStr">
        <is>
          <t>· Uses today's date from the device clock, so the answer changes by itself overnight.</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NEW_ID</t>
        </is>
      </c>
      <c r="U430" s="3" t="inlineStr">
        <is>
          <t>ACTIVE</t>
        </is>
      </c>
      <c r="V430" s="3" t="inlineStr">
        <is>
          <t>2026-08-27</t>
        </is>
      </c>
      <c r="Y430" s="3" t="inlineStr">
        <is>
          <t>NOTHING OPEN</t>
        </is>
      </c>
    </row>
    <row r="431">
      <c r="A431" s="3" t="inlineStr">
        <is>
          <t>MK-ST-F-044</t>
        </is>
      </c>
      <c r="B431" s="3" t="inlineStr">
        <is>
          <t>setMoneyFormat</t>
        </is>
      </c>
      <c r="C431" s="3" t="inlineStr">
        <is>
          <t>src/domain/_shared/money.ts</t>
        </is>
      </c>
      <c r="D431" s="3" t="n">
        <v>56</v>
      </c>
      <c r="E431" s="3" t="inlineStr">
        <is>
          <t>1 · ACTION</t>
        </is>
      </c>
      <c r="F431" s="3" t="inlineStr">
        <is>
          <t>NOT DETERMINED — the code carries no note saying what this is for, and it has no row in the old inventory. Needs reading.</t>
        </is>
      </c>
      <c r="G431" s="13" t="inlineStr">
        <is>
          <t>c = CURRENCIES.find((x) =&gt; code = currency)</t>
        </is>
      </c>
      <c r="H431" s="3" t="inlineStr">
        <is>
          <t>C is CURRENCIES.find((x) =&gt; code = currency).</t>
        </is>
      </c>
      <c r="I431" s="3" t="inlineStr">
        <is>
          <t>PARTLY READ — some of the code is still showing through; needs a hand pass</t>
        </is>
      </c>
      <c r="J431" s="3" t="inlineStr">
        <is>
          <t>1. currency?: string | null
2. locale?: string | null</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1. MK-ST-F-053 money
2. MK-ST-F-055 round2</t>
        </is>
      </c>
      <c r="P431" s="3" t="n">
        <v>7</v>
      </c>
      <c r="Q431" s="3" t="inlineStr">
        <is>
          <t>1. MK-ST-F-053 money
2. MK-ST-F-055 round2
3. MK-ST-F-049 formatMoney
4. MK-XS-F-122 n
5. MK-ST-F-048 currencySymbol
6. MK-ST-F-039 on
7. MK-ST-F-047 activeCurrency</t>
        </is>
      </c>
      <c r="R431"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31" s="3" t="inlineStr">
        <is>
          <t>—</t>
        </is>
      </c>
      <c r="T431" s="3" t="inlineStr">
        <is>
          <t>—</t>
        </is>
      </c>
      <c r="U431" s="3" t="inlineStr">
        <is>
          <t>ACTIVE</t>
        </is>
      </c>
      <c r="V431" s="3" t="inlineStr">
        <is>
          <t>2026-08-27</t>
        </is>
      </c>
      <c r="Y431" s="3" t="inlineStr">
        <is>
          <t>NOTHING OPEN</t>
        </is>
      </c>
    </row>
    <row r="432">
      <c r="A432" s="3" t="inlineStr">
        <is>
          <t>MK-ST-F-045</t>
        </is>
      </c>
      <c r="B432" s="3" t="inlineStr">
        <is>
          <t>setHideBalances</t>
        </is>
      </c>
      <c r="C432" s="3" t="inlineStr">
        <is>
          <t>src/domain/_shared/money.ts</t>
        </is>
      </c>
      <c r="D432" s="3" t="n">
        <v>88</v>
      </c>
      <c r="E432" s="3" t="inlineStr">
        <is>
          <t>1 · ACTION</t>
        </is>
      </c>
      <c r="F432" s="3" t="inlineStr">
        <is>
          <t>NOT DETERMINED — the code carries no note saying what this is for, and it has no row in the old inventory. Needs reading.</t>
        </is>
      </c>
      <c r="G432" s="13" t="inlineStr">
        <is>
          <t>It records or announces something and returns no figure — no arithmetic of its own.</t>
        </is>
      </c>
      <c r="H432" s="3" t="inlineStr">
        <is>
          <t>It records or announces something and returns no figure — no arithmetic of its own.</t>
        </is>
      </c>
      <c r="I432" s="3" t="inlineStr">
        <is>
          <t>NO ARITHMETIC — there is no formula to state</t>
        </is>
      </c>
      <c r="J432" s="3" t="inlineStr">
        <is>
          <t>b: boolean</t>
        </is>
      </c>
      <c r="K432" s="3" t="inlineStr">
        <is>
          <t>NOT DECLARED — the code does not say what it gives back</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Y432" s="3" t="inlineStr">
        <is>
          <t>NOTHING OPEN</t>
        </is>
      </c>
    </row>
    <row r="433">
      <c r="A433" s="3" t="inlineStr">
        <is>
          <t>MK-ST-F-046</t>
        </is>
      </c>
      <c r="B433" s="3" t="inlineStr">
        <is>
          <t>balancesHidden</t>
        </is>
      </c>
      <c r="C433" s="3" t="inlineStr">
        <is>
          <t>src/domain/_shared/money.ts</t>
        </is>
      </c>
      <c r="D433" s="3" t="n">
        <v>104</v>
      </c>
      <c r="E433" s="3" t="inlineStr">
        <is>
          <t>3 · DEPENDENT (feeds an action only)</t>
        </is>
      </c>
      <c r="F433" s="3" t="inlineStr">
        <is>
          <t>NOT DETERMINED — the code carries no note saying what this is for, and it has no row in the old inventory. Needs reading.</t>
        </is>
      </c>
      <c r="G433" s="13" t="inlineStr">
        <is>
          <t>the answer = the hide-balances switch</t>
        </is>
      </c>
      <c r="H433" s="3" t="inlineStr">
        <is>
          <t>Whether the person has hidden balances on screen. No arithmetic.</t>
        </is>
      </c>
      <c r="I433" s="3" t="inlineStr">
        <is>
          <t>READ BY HAND 2026-08-26 — checked line by line against the code</t>
        </is>
      </c>
      <c r="J433" s="3" t="inlineStr">
        <is>
          <t>Nothing is handed to it</t>
        </is>
      </c>
      <c r="K433" s="3" t="inlineStr">
        <is>
          <t>boolean</t>
        </is>
      </c>
      <c r="L433" s="3" t="inlineStr">
        <is>
          <t>—</t>
        </is>
      </c>
      <c r="M433" s="3" t="inlineStr">
        <is>
          <t>None found in this function — anything it assumes comes from the functions it depends on.</t>
        </is>
      </c>
      <c r="N433" s="3" t="inlineStr">
        <is>
          <t>No</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2026-09-12</t>
        </is>
      </c>
      <c r="Y433" s="3" t="inlineStr">
        <is>
          <t>NOTHING OPEN</t>
        </is>
      </c>
    </row>
    <row r="434">
      <c r="A434" s="3" t="inlineStr">
        <is>
          <t>MK-ST-F-047</t>
        </is>
      </c>
      <c r="B434" s="3" t="inlineStr">
        <is>
          <t>activeCurrency</t>
        </is>
      </c>
      <c r="C434" s="3" t="inlineStr">
        <is>
          <t>src/domain/_shared/money.ts</t>
        </is>
      </c>
      <c r="D434" s="3" t="n">
        <v>133</v>
      </c>
      <c r="E434" s="3" t="inlineStr">
        <is>
          <t>3 · DEPENDENT</t>
        </is>
      </c>
      <c r="F434" s="3" t="inlineStr">
        <is>
          <t>Which currency is the app showing?</t>
        </is>
      </c>
      <c r="G434" s="13" t="inlineStr">
        <is>
          <t>the first of CURRENCIES.find((c) =&gt; code = code) (or CURRENCIES when missing)</t>
        </is>
      </c>
      <c r="H434" s="3" t="inlineStr">
        <is>
          <t>the first of CURRENCIES.find((c) =&gt; code = code) (or CURRENCIES — when missing).</t>
        </is>
      </c>
      <c r="I434" s="3" t="inlineStr">
        <is>
          <t>PARTLY READ — some of the code is still showing through; needs a hand pass</t>
        </is>
      </c>
      <c r="J434" s="3" t="inlineStr">
        <is>
          <t>Nothing is handed to it</t>
        </is>
      </c>
      <c r="K434" s="3" t="inlineStr">
        <is>
          <t>Currency</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CURRENCY</t>
        </is>
      </c>
      <c r="U434" s="3" t="inlineStr">
        <is>
          <t>ACTIVE</t>
        </is>
      </c>
      <c r="V434" s="3" t="inlineStr">
        <is>
          <t>2026-08-27</t>
        </is>
      </c>
      <c r="Y434" s="3" t="inlineStr">
        <is>
          <t>NOTHING OPEN</t>
        </is>
      </c>
    </row>
    <row r="435">
      <c r="A435" s="3" t="inlineStr">
        <is>
          <t>MK-ST-F-048</t>
        </is>
      </c>
      <c r="B435" s="3" t="inlineStr">
        <is>
          <t>currencySymbol</t>
        </is>
      </c>
      <c r="C435" s="3" t="inlineStr">
        <is>
          <t>src/domain/_shared/money.ts</t>
        </is>
      </c>
      <c r="D435" s="3" t="n">
        <v>164</v>
      </c>
      <c r="E435" s="3" t="inlineStr">
        <is>
          <t>2 · DISPLAYED</t>
        </is>
      </c>
      <c r="F435" s="3" t="inlineStr">
        <is>
          <t>NOT DETERMINED — the code carries no note saying what this is for, and it has no row in the old inventory. Needs reading.</t>
        </is>
      </c>
      <c r="G435" s="13" t="inlineStr">
        <is>
          <t>active currency().symbol</t>
        </is>
      </c>
      <c r="H435" s="3" t="inlineStr">
        <is>
          <t>active currency().symbol.</t>
        </is>
      </c>
      <c r="I435" s="3" t="inlineStr">
        <is>
          <t>PARTLY READ — some of the code is still showing through; needs a hand pass</t>
        </is>
      </c>
      <c r="J435" s="3" t="inlineStr">
        <is>
          <t>Nothing is handed to it</t>
        </is>
      </c>
      <c r="K435" s="3" t="inlineStr">
        <is>
          <t>string</t>
        </is>
      </c>
      <c r="L435"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35" s="3" t="inlineStr">
        <is>
          <t>None found in this function — anything it assumes comes from the functions it depends on.</t>
        </is>
      </c>
      <c r="N435" s="3" t="inlineStr">
        <is>
          <t>Yes</t>
        </is>
      </c>
      <c r="O435" s="3" t="inlineStr">
        <is>
          <t>MK-ST-F-047 activeCurrency</t>
        </is>
      </c>
      <c r="P435" s="3" t="n">
        <v>1</v>
      </c>
      <c r="Q435" s="3" t="inlineStr">
        <is>
          <t>MK-ST-F-047 activeCurrency</t>
        </is>
      </c>
      <c r="R435" s="3" t="inlineStr">
        <is>
          <t>MK-ST-F-047 activeCurrency → MK-ST-F-048 currencySymbol</t>
        </is>
      </c>
      <c r="S435" s="3" t="inlineStr">
        <is>
          <t>—</t>
        </is>
      </c>
      <c r="T435" s="3" t="inlineStr">
        <is>
          <t>—</t>
        </is>
      </c>
      <c r="U435" s="3" t="inlineStr">
        <is>
          <t>ACTIVE</t>
        </is>
      </c>
      <c r="V435" s="3" t="inlineStr">
        <is>
          <t>2026-08-27</t>
        </is>
      </c>
      <c r="Y435" s="3" t="inlineStr">
        <is>
          <t>NOTHING OPEN</t>
        </is>
      </c>
    </row>
    <row r="436">
      <c r="A436" s="3" t="inlineStr">
        <is>
          <t>MK-ST-F-049</t>
        </is>
      </c>
      <c r="B436" s="3" t="inlineStr">
        <is>
          <t>formatMoney</t>
        </is>
      </c>
      <c r="C436" s="3" t="inlineStr">
        <is>
          <t>src/domain/_shared/money.ts</t>
        </is>
      </c>
      <c r="D436" s="3" t="n">
        <v>205</v>
      </c>
      <c r="E436" s="3" t="inlineStr">
        <is>
          <t>2 · DISPLAYED</t>
        </is>
      </c>
      <c r="F436" s="3" t="inlineStr">
        <is>
          <t>Full amount, no minor units (matches the app's whole-number money style), locale-grouped.</t>
        </is>
      </c>
      <c r="G436" s="13" t="inlineStr">
        <is>
          <t>BALANCE_MASK   when hide
NOT_A_NUMBER   when !number.is finite(n)
v = round(n)
the answer = new intl.number format(locale, { style: 'currency', currency: code, maximum fraction digits: 0 }).format(v)
neg = '-'   if v &lt; 0
''   otherwise</t>
        </is>
      </c>
      <c r="H436" s="3" t="inlineStr">
        <is>
          <t>When hide, it answers BALANCE_MASK. When !number.is finite(n), it answers NOT_A_NUMBER. V is n, to a whole number. The answer is new intl.number format(locale, { style: 'currency', currency: code, maximum fraction digits: 0 }).format(v). Neg is '-' — when v &lt; 0; '' — otherwise.</t>
        </is>
      </c>
      <c r="I436" s="3" t="inlineStr">
        <is>
          <t>PARTLY READ — some of the code is still showing through; needs a hand pass</t>
        </is>
      </c>
      <c r="J436" s="3" t="inlineStr">
        <is>
          <t>n: number</t>
        </is>
      </c>
      <c r="K436" s="3" t="inlineStr">
        <is>
          <t>string</t>
        </is>
      </c>
      <c r="L436" s="3" t="inlineStr">
        <is>
          <t>NOT FOUND — a screen calls it, but the words printed beside its answer could not be traced automatically. Needs reading.</t>
        </is>
      </c>
      <c r="M436" s="3" t="inlineStr">
        <is>
          <t>· Rounds the answer to a whole number.</t>
        </is>
      </c>
      <c r="N436" s="3" t="inlineStr">
        <is>
          <t>Yes</t>
        </is>
      </c>
      <c r="O436" s="3" t="inlineStr">
        <is>
          <t>1. MK-ST-F-048 currencySymbol
2. MK-XS-F-122 n
3. MK-ST-F-039 on</t>
        </is>
      </c>
      <c r="P436" s="3" t="n">
        <v>4</v>
      </c>
      <c r="Q436" s="3" t="inlineStr">
        <is>
          <t>1. MK-ST-F-048 currencySymbol
2. MK-XS-F-122 n
3. MK-ST-F-039 on
4. MK-ST-F-047 activeCurrency</t>
        </is>
      </c>
      <c r="R436" s="3" t="inlineStr">
        <is>
          <t>1. MK-ST-F-047 activeCurrency → MK-ST-F-048 currencySymbol → MK-ST-F-049 formatMoney
2. MK-XS-F-122 n → MK-ST-F-049 formatMoney
3. MK-ST-F-039 on → MK-ST-F-049 formatMoney</t>
        </is>
      </c>
      <c r="S436" s="3" t="inlineStr">
        <is>
          <t>—</t>
        </is>
      </c>
      <c r="T436" s="3" t="inlineStr">
        <is>
          <t>MONEY_IN_WORDS</t>
        </is>
      </c>
      <c r="U436" s="3" t="inlineStr">
        <is>
          <t>ACTIVE</t>
        </is>
      </c>
      <c r="V436" s="3" t="inlineStr">
        <is>
          <t>2026-08-27</t>
        </is>
      </c>
      <c r="Y436" s="3" t="inlineStr">
        <is>
          <t>NOTHING OPEN</t>
        </is>
      </c>
    </row>
    <row r="437">
      <c r="A437" s="3" t="inlineStr">
        <is>
          <t>MK-ST-F-050</t>
        </is>
      </c>
      <c r="B437" s="3" t="inlineStr">
        <is>
          <t>formatMoneyCents</t>
        </is>
      </c>
      <c r="C437" s="3" t="inlineStr">
        <is>
          <t>src/domain/_shared/money.ts</t>
        </is>
      </c>
      <c r="D437" s="3" t="n">
        <v>244</v>
      </c>
      <c r="E437" s="3" t="inlineStr">
        <is>
          <t>3 · DEPENDENT</t>
        </is>
      </c>
      <c r="F437" s="3" t="inlineStr">
        <is>
          <t>Same as formatMoney but keeps 2 decimal places — for precise amounts (transactions, holdings, recurring lines).</t>
        </is>
      </c>
      <c r="G437" s="13" t="inlineStr">
        <is>
          <t>BALANCE_MASK   when hide
NOT_A_NUMBER   when !number.is finite(n)
v = n
the answer = new intl.number format(locale, { style: 'currency', currency: code, minimum fraction digits: 2, maximum fraction digits: 2 }).format(v)
neg = '-'   if v &lt; 0
''   otherwise</t>
        </is>
      </c>
      <c r="H437"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37" s="3" t="inlineStr">
        <is>
          <t>PARTLY READ — some of the code is still showing through; needs a hand pass</t>
        </is>
      </c>
      <c r="J437" s="3" t="inlineStr">
        <is>
          <t>n: number</t>
        </is>
      </c>
      <c r="K437" s="3" t="inlineStr">
        <is>
          <t>string</t>
        </is>
      </c>
      <c r="L437" s="3" t="inlineStr">
        <is>
          <t>—</t>
        </is>
      </c>
      <c r="M437" s="3" t="inlineStr">
        <is>
          <t>None found in this function — anything it assumes comes from the functions it depends on.</t>
        </is>
      </c>
      <c r="N437" s="3" t="inlineStr">
        <is>
          <t>Yes</t>
        </is>
      </c>
      <c r="O437" s="3" t="inlineStr">
        <is>
          <t>1. MK-ST-F-048 currencySymbol
2. MK-XS-F-122 n</t>
        </is>
      </c>
      <c r="P437" s="3" t="n">
        <v>3</v>
      </c>
      <c r="Q437" s="3" t="inlineStr">
        <is>
          <t>1. MK-ST-F-048 currencySymbol
2. MK-XS-F-122 n
3. MK-ST-F-047 activeCurrency</t>
        </is>
      </c>
      <c r="R437" s="3" t="inlineStr">
        <is>
          <t>1. MK-ST-F-047 activeCurrency → MK-ST-F-048 currencySymbol → MK-ST-F-050 formatMoneyCents
2. MK-XS-F-122 n → MK-ST-F-050 formatMoneyCents</t>
        </is>
      </c>
      <c r="S437" s="3" t="inlineStr">
        <is>
          <t>—</t>
        </is>
      </c>
      <c r="T437" s="3" t="inlineStr">
        <is>
          <t>MONEY_IN_WORDS_WITH_CENTS</t>
        </is>
      </c>
      <c r="U437" s="3" t="inlineStr">
        <is>
          <t>ACTIVE</t>
        </is>
      </c>
      <c r="V437" s="3" t="inlineStr">
        <is>
          <t>2026-08-27</t>
        </is>
      </c>
      <c r="Y437" s="3" t="inlineStr">
        <is>
          <t>NOTHING OPEN</t>
        </is>
      </c>
    </row>
    <row r="438">
      <c r="A438" s="3" t="inlineStr">
        <is>
          <t>MK-ST-F-051</t>
        </is>
      </c>
      <c r="B438" s="3" t="inlineStr">
        <is>
          <t>moneyCompact</t>
        </is>
      </c>
      <c r="C438" s="3" t="inlineStr">
        <is>
          <t>src/domain/_shared/money.ts</t>
        </is>
      </c>
      <c r="D438" s="3" t="n">
        <v>284</v>
      </c>
      <c r="E438" s="3" t="inlineStr">
        <is>
          <t>2 · DISPLAYED</t>
        </is>
      </c>
      <c r="F438" s="3" t="inlineStr">
        <is>
          <t>Compact form for tight spaces (chart labels, donut center).</t>
        </is>
      </c>
      <c r="G438" s="13" t="inlineStr">
        <is>
          <t>BALANCE_MASK   when hide
s = currency symbol()
neg = '-'   if n &lt; 0
''   otherwise
a = size of(n)
`${neg}${s}${(a ÷ 1e6).to fixed(2).replace( ÷ \.?0+$ ÷ , '')}${style}`   when a ≥ 1e6
`${neg}${s}${math.round(a ÷ 1e3)}K`   when a ≥ 1e3
the answer = `${neg}${s}${math.round(a)}`</t>
        </is>
      </c>
      <c r="H438"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38" s="3" t="inlineStr">
        <is>
          <t>PARTLY READ — some of the code is still showing through; needs a hand pass</t>
        </is>
      </c>
      <c r="J438" s="3" t="inlineStr">
        <is>
          <t>1. n: number
2. style: 'M' | 'MM' = 'MM'</t>
        </is>
      </c>
      <c r="K438" s="3" t="inlineStr">
        <is>
          <t>string</t>
        </is>
      </c>
      <c r="L438"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38" s="3" t="inlineStr">
        <is>
          <t>1. Rounds the answer to a whole number.
2. Shows 2 decimal places.</t>
        </is>
      </c>
      <c r="N438" s="3" t="inlineStr">
        <is>
          <t>Yes</t>
        </is>
      </c>
      <c r="O438" s="3" t="inlineStr">
        <is>
          <t>1. MK-ST-F-048 currencySymbol
2. MK-XS-F-122 n</t>
        </is>
      </c>
      <c r="P438" s="3" t="n">
        <v>3</v>
      </c>
      <c r="Q438" s="3" t="inlineStr">
        <is>
          <t>1. MK-ST-F-048 currencySymbol
2. MK-XS-F-122 n
3. MK-ST-F-047 activeCurrency</t>
        </is>
      </c>
      <c r="R438" s="3" t="inlineStr">
        <is>
          <t>1. MK-ST-F-047 activeCurrency → MK-ST-F-048 currencySymbol → MK-ST-F-051 moneyCompact
2. MK-XS-F-122 n → MK-ST-F-051 moneyCompact</t>
        </is>
      </c>
      <c r="S438" s="3" t="inlineStr">
        <is>
          <t>—</t>
        </is>
      </c>
      <c r="T438" s="3" t="inlineStr">
        <is>
          <t>—</t>
        </is>
      </c>
      <c r="U438" s="3" t="inlineStr">
        <is>
          <t>ACTIVE</t>
        </is>
      </c>
      <c r="V438" s="3" t="inlineStr">
        <is>
          <t>2026-08-27</t>
        </is>
      </c>
      <c r="Y438" s="3" t="inlineStr">
        <is>
          <t>NOTHING OPEN</t>
        </is>
      </c>
    </row>
    <row r="439">
      <c r="A439" s="3" t="inlineStr">
        <is>
          <t>MK-ST-F-052</t>
        </is>
      </c>
      <c r="B439" s="3" t="inlineStr">
        <is>
          <t>toNum</t>
        </is>
      </c>
      <c r="C439" s="3" t="inlineStr">
        <is>
          <t>src/domain/_shared/num.ts</t>
        </is>
      </c>
      <c r="D439" s="3" t="n">
        <v>65</v>
      </c>
      <c r="E439" s="3" t="inlineStr">
        <is>
          <t>3 · DEPENDENT</t>
        </is>
      </c>
      <c r="F439" s="3" t="inlineStr">
        <is>
          <t>What number did the person actually type?</t>
        </is>
      </c>
      <c r="G439" s="13" t="inlineStr">
        <is>
          <t>n = parse float(string(v ?? '').replace( ÷ [^0 − 9.\-] ÷ g, ''))
the answer:
n   if number.is finite(n)
0   otherwise</t>
        </is>
      </c>
      <c r="H439" s="3" t="inlineStr">
        <is>
          <t>N is parse float(string(v ?? '').replace( divided by [^0 minus 9.\-] divided by g, '')). The answer is n — when number.is finite(n); 0 — otherwise.</t>
        </is>
      </c>
      <c r="I439" s="3" t="inlineStr">
        <is>
          <t>PARTLY READ — some of the code is still showing through; needs a hand pass</t>
        </is>
      </c>
      <c r="J439" s="3" t="inlineStr">
        <is>
          <t>v: any</t>
        </is>
      </c>
      <c r="K439" s="3" t="inlineStr">
        <is>
          <t>number</t>
        </is>
      </c>
      <c r="L439" s="3" t="inlineStr">
        <is>
          <t>—</t>
        </is>
      </c>
      <c r="M439" s="3" t="inlineStr">
        <is>
          <t>None found in this function — anything it assumes comes from the functions it depends on.</t>
        </is>
      </c>
      <c r="N439" s="3" t="inlineStr">
        <is>
          <t>Yes</t>
        </is>
      </c>
      <c r="O439" s="3" t="inlineStr">
        <is>
          <t>MK-XS-F-122 n</t>
        </is>
      </c>
      <c r="P439" s="3" t="n">
        <v>1</v>
      </c>
      <c r="Q439" s="3" t="inlineStr">
        <is>
          <t>MK-XS-F-122 n</t>
        </is>
      </c>
      <c r="R439" s="3" t="inlineStr">
        <is>
          <t>MK-XS-F-122 n → MK-ST-F-052 toNum</t>
        </is>
      </c>
      <c r="S439" s="3" t="inlineStr">
        <is>
          <t>—</t>
        </is>
      </c>
      <c r="T439" s="3" t="inlineStr">
        <is>
          <t>READ_A_NUMBER</t>
        </is>
      </c>
      <c r="U439" s="3" t="inlineStr">
        <is>
          <t>ACTIVE</t>
        </is>
      </c>
      <c r="V439" s="3" t="inlineStr">
        <is>
          <t>2026-08-27</t>
        </is>
      </c>
      <c r="Y439" s="3" t="inlineStr">
        <is>
          <t>NOTHING OPEN</t>
        </is>
      </c>
    </row>
    <row r="440">
      <c r="A440" s="3" t="inlineStr">
        <is>
          <t>MK-ST-F-053</t>
        </is>
      </c>
      <c r="B440" s="3" t="inlineStr">
        <is>
          <t>money</t>
        </is>
      </c>
      <c r="C440" s="3" t="inlineStr">
        <is>
          <t>src/domain/_shared/num.ts</t>
        </is>
      </c>
      <c r="D440" s="3" t="n">
        <v>102</v>
      </c>
      <c r="E440" s="3" t="inlineStr">
        <is>
          <t>1 · ACTION</t>
        </is>
      </c>
      <c r="F440" s="3" t="inlineStr">
        <is>
          <t>Currency/locale-aware (delegates to the active money format; defaults to USD/en-US).</t>
        </is>
      </c>
      <c r="G440" s="13" t="inlineStr">
        <is>
          <t>format money(n)</t>
        </is>
      </c>
      <c r="H440" s="3" t="inlineStr">
        <is>
          <t>format money(n)</t>
        </is>
      </c>
      <c r="I440" s="3" t="inlineStr">
        <is>
          <t>READ FROM THE CODE — rendered from the expressions the function runs</t>
        </is>
      </c>
      <c r="J440" s="3" t="inlineStr">
        <is>
          <t>n: number</t>
        </is>
      </c>
      <c r="K440" s="3" t="inlineStr">
        <is>
          <t>string</t>
        </is>
      </c>
      <c r="L440"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 yr" — on the setup questions, which appear on more than one screen</t>
        </is>
      </c>
      <c r="M440" s="3" t="inlineStr">
        <is>
          <t>None found in this function — anything it assumes comes from the functions it depends on.</t>
        </is>
      </c>
      <c r="N440" s="3" t="inlineStr">
        <is>
          <t>Yes</t>
        </is>
      </c>
      <c r="O440" s="3" t="inlineStr">
        <is>
          <t>1. MK-ST-F-049 formatMoney
2. MK-XS-F-122 n</t>
        </is>
      </c>
      <c r="P440" s="3" t="n">
        <v>5</v>
      </c>
      <c r="Q440" s="3" t="inlineStr">
        <is>
          <t>1. MK-ST-F-049 formatMoney
2. MK-XS-F-122 n
3. MK-ST-F-048 currencySymbol
4. MK-ST-F-039 on
5. MK-ST-F-047 activeCurrency</t>
        </is>
      </c>
      <c r="R440" s="3" t="inlineStr">
        <is>
          <t>1. MK-ST-F-047 activeCurrency → MK-ST-F-048 currencySymbol → MK-ST-F-049 formatMoney → MK-ST-F-053 money
2. MK-XS-F-122 n → MK-ST-F-049 formatMoney → MK-ST-F-053 money
3. MK-ST-F-039 on → MK-ST-F-049 formatMoney → MK-ST-F-053 money
4. MK-XS-F-122 n → MK-ST-F-053 money</t>
        </is>
      </c>
      <c r="S440" s="3" t="inlineStr">
        <is>
          <t>—</t>
        </is>
      </c>
      <c r="T440" s="3" t="inlineStr">
        <is>
          <t>—</t>
        </is>
      </c>
      <c r="U440" s="3" t="inlineStr">
        <is>
          <t>ACTIVE</t>
        </is>
      </c>
      <c r="V440" s="3" t="inlineStr">
        <is>
          <t>2026-08-27</t>
        </is>
      </c>
      <c r="Y440" s="3" t="inlineStr">
        <is>
          <t>NOTHING OPEN</t>
        </is>
      </c>
    </row>
    <row r="441">
      <c r="A441" s="3" t="inlineStr">
        <is>
          <t>MK-ST-F-054</t>
        </is>
      </c>
      <c r="B441" s="3" t="inlineStr">
        <is>
          <t>money2</t>
        </is>
      </c>
      <c r="C441" s="3" t="inlineStr">
        <is>
          <t>src/domain/_shared/num.ts</t>
        </is>
      </c>
      <c r="D441" s="3" t="n">
        <v>119</v>
      </c>
      <c r="E441" s="3" t="inlineStr">
        <is>
          <t>1 · ACTION</t>
        </is>
      </c>
      <c r="F441" s="3" t="inlineStr">
        <is>
          <t>Same, but keeps cents — for precise amounts (transactions, holdings).</t>
        </is>
      </c>
      <c r="G441" s="13" t="inlineStr">
        <is>
          <t>format money cents(n)</t>
        </is>
      </c>
      <c r="H441" s="3" t="inlineStr">
        <is>
          <t>format money cents(n)</t>
        </is>
      </c>
      <c r="I441" s="3" t="inlineStr">
        <is>
          <t>READ FROM THE CODE — rendered from the expressions the function runs</t>
        </is>
      </c>
      <c r="J441" s="3" t="inlineStr">
        <is>
          <t>n: number</t>
        </is>
      </c>
      <c r="K441" s="3" t="inlineStr">
        <is>
          <t>string</t>
        </is>
      </c>
      <c r="L441" s="3" t="inlineStr">
        <is>
          <t>1. "Monthly equivalent" — on the income screen
2. "No transactions yet." — on the Performance screen
3. "Total" — on the Import holdings screen
4. "Value" — on the Import holdings screen, under "REVIEW YOUR HOLDINGS"
5. "You earned" — on the income screen</t>
        </is>
      </c>
      <c r="M441" s="3" t="inlineStr">
        <is>
          <t>None found in this function — anything it assumes comes from the functions it depends on.</t>
        </is>
      </c>
      <c r="N441" s="3" t="inlineStr">
        <is>
          <t>Yes</t>
        </is>
      </c>
      <c r="O441" s="3" t="inlineStr">
        <is>
          <t>1. MK-ST-F-050 formatMoneyCents
2. MK-XS-F-122 n</t>
        </is>
      </c>
      <c r="P441" s="3" t="n">
        <v>4</v>
      </c>
      <c r="Q441" s="3" t="inlineStr">
        <is>
          <t>1. MK-ST-F-050 formatMoneyCents
2. MK-XS-F-122 n
3. MK-ST-F-048 currencySymbol
4. MK-ST-F-047 activeCurrency</t>
        </is>
      </c>
      <c r="R441" s="3" t="inlineStr">
        <is>
          <t>1. MK-ST-F-047 activeCurrency → MK-ST-F-048 currencySymbol → MK-ST-F-050 formatMoneyCents → MK-ST-F-054 money2
2. MK-XS-F-122 n → MK-ST-F-050 formatMoneyCents → MK-ST-F-054 money2
3. MK-XS-F-122 n → MK-ST-F-054 money2</t>
        </is>
      </c>
      <c r="S441" s="3" t="inlineStr">
        <is>
          <t>—</t>
        </is>
      </c>
      <c r="T441" s="3" t="inlineStr">
        <is>
          <t>—</t>
        </is>
      </c>
      <c r="U441" s="3" t="inlineStr">
        <is>
          <t>ACTIVE</t>
        </is>
      </c>
      <c r="V441" s="3" t="inlineStr">
        <is>
          <t>2026-08-27</t>
        </is>
      </c>
      <c r="Y441" s="3" t="inlineStr">
        <is>
          <t>NOTHING OPEN</t>
        </is>
      </c>
    </row>
    <row r="442">
      <c r="A442" s="3" t="inlineStr">
        <is>
          <t>MK-ST-F-055</t>
        </is>
      </c>
      <c r="B442" s="3" t="inlineStr">
        <is>
          <t>round2</t>
        </is>
      </c>
      <c r="C442" s="3" t="inlineStr">
        <is>
          <t>Calculation Module code/engines/money.ts</t>
        </is>
      </c>
      <c r="D442" s="3" t="n">
        <v>214</v>
      </c>
      <c r="E442" s="3" t="inlineStr">
        <is>
          <t>3 · DEPENDENT</t>
        </is>
      </c>
      <c r="F442" s="3" t="inlineStr">
        <is>
          <t>Rounds a money figure to the cent — two decimals.</t>
        </is>
      </c>
      <c r="G442" s="13" t="inlineStr">
        <is>
          <t>round2(n) = round(n × 100) ÷ 100</t>
        </is>
      </c>
      <c r="H442" s="3" t="inlineStr">
        <is>
          <t>Rounds to two decimal places — the cent. The hundred is the rounding scale, nothing to do with percentages or with an option contract being a hundred shares.</t>
        </is>
      </c>
      <c r="I442" s="3" t="inlineStr">
        <is>
          <t>READ BY HAND 2026-08-26 — checked line by line against the code</t>
        </is>
      </c>
      <c r="J442" s="3" t="inlineStr">
        <is>
          <t>n: number</t>
        </is>
      </c>
      <c r="K442" s="3" t="inlineStr">
        <is>
          <t>number</t>
        </is>
      </c>
      <c r="L442" s="3" t="inlineStr">
        <is>
          <t>—</t>
        </is>
      </c>
      <c r="M442" s="3" t="inlineStr">
        <is>
          <t>· Rounds the answer to two decimals (cents).</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2026-09-08</t>
        </is>
      </c>
      <c r="W442" t="inlineStr">
        <is>
          <t>[from MK-NW-M-043, Assumptions; typed A15] does it round to 2 decimals or a whole number? Two contradicting statements.</t>
        </is>
      </c>
      <c r="X442" s="6" t="inlineStr">
        <is>
          <t>Two decimals: round(n × 100) ÷ 100. Both file lines are false (A15, C4); the generator misreads the idiom. Fix the generator and re-extract; the row then reads 'Rounds to two decimals (cents)'. Code right.</t>
        </is>
      </c>
      <c r="Y442" s="6" t="inlineStr">
        <is>
          <t>WAITING ON YOU — answer to read · CODED, NOT TESTED (C4)</t>
        </is>
      </c>
    </row>
    <row r="443">
      <c r="A443" s="3" t="inlineStr">
        <is>
          <t>MK-ST-F-056</t>
        </is>
      </c>
      <c r="B443" s="3" t="inlineStr">
        <is>
          <t>has</t>
        </is>
      </c>
      <c r="C443" s="3" t="inlineStr">
        <is>
          <t>Calculation Module code/engines/classify.ts</t>
        </is>
      </c>
      <c r="D443" s="3" t="n">
        <v>121</v>
      </c>
      <c r="E443" s="3" t="inlineStr">
        <is>
          <t>1 · ACTION</t>
        </is>
      </c>
      <c r="F443" s="3" t="inlineStr">
        <is>
          <t>NOT DETERMINED — the code carries no note saying what this is for, and it has no row in the old inventory. Needs reading.</t>
        </is>
      </c>
      <c r="G443" s="13" t="inlineStr">
        <is>
          <t>re.test(s)</t>
        </is>
      </c>
      <c r="H443" s="3" t="inlineStr">
        <is>
          <t>re.test(s)</t>
        </is>
      </c>
      <c r="I443" s="3" t="inlineStr">
        <is>
          <t>PARTLY READ — some of the code is still showing through; needs a hand pass</t>
        </is>
      </c>
      <c r="J443" s="3" t="inlineStr">
        <is>
          <t>1. s: string
2. re: RegExp</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Y443" s="3" t="inlineStr">
        <is>
          <t>NOTHING OPEN</t>
        </is>
      </c>
    </row>
    <row r="444">
      <c r="A444" s="3" t="inlineStr">
        <is>
          <t>MK-ST-F-057</t>
        </is>
      </c>
      <c r="B444" s="3" t="inlineStr">
        <is>
          <t>divRounded</t>
        </is>
      </c>
      <c r="C444" s="3" t="inlineStr">
        <is>
          <t>Calculation Module code/engines/decimal.ts</t>
        </is>
      </c>
      <c r="D444" s="3" t="n">
        <v>127</v>
      </c>
      <c r="E444" s="3" t="inlineStr">
        <is>
          <t>3 · DEPENDENT (feeds an action only)</t>
        </is>
      </c>
      <c r="F444" s="3" t="inlineStr">
        <is>
          <t>Round-half-even division on bigints.</t>
        </is>
      </c>
      <c r="G444" s="13" t="inlineStr">
        <is>
          <t>negative = (num &lt; 0n) ! = (den &lt; 0n)
n = -num   if num &lt; 0n
-den   if num, d = den &lt; 0n
den   otherwise   otherwise
q = n ÷ d, r = (n % d) × 2n
out = q
the answer:
-out   if negative
out   otherwise</t>
        </is>
      </c>
      <c r="H444" s="3" t="inlineStr">
        <is>
          <t>Negative is (num &lt; 0n) ! = (den &lt; 0n). N is -num — when num &lt; 0n; -den — when num, d = den &lt; 0n; den — otherwise — otherwise. Q is n divided by d, r = (n % d) times 2n. Out is q. The answer is -out — when negative; out — otherwise.</t>
        </is>
      </c>
      <c r="I444" s="3" t="inlineStr">
        <is>
          <t>READ FROM THE CODE — rendered from the expressions the function runs</t>
        </is>
      </c>
      <c r="J444" s="3" t="inlineStr">
        <is>
          <t>1. num: bigint
2. den: bigint</t>
        </is>
      </c>
      <c r="K444" s="3" t="inlineStr">
        <is>
          <t>bigint</t>
        </is>
      </c>
      <c r="L444" s="3" t="inlineStr">
        <is>
          <t>—</t>
        </is>
      </c>
      <c r="M444" s="3" t="inlineStr">
        <is>
          <t>None found in this function — anything it assumes comes from the functions it depends on.</t>
        </is>
      </c>
      <c r="N444" s="3" t="inlineStr">
        <is>
          <t>No</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Y444" s="3" t="inlineStr">
        <is>
          <t>NOTHING OPEN</t>
        </is>
      </c>
    </row>
    <row r="445">
      <c r="A445" s="3" t="inlineStr">
        <is>
          <t>MK-ST-F-058</t>
        </is>
      </c>
      <c r="B445" s="3" t="inlineStr">
        <is>
          <t>numberOrUndefined</t>
        </is>
      </c>
      <c r="C445" s="3" t="inlineStr">
        <is>
          <t>Calculation Module code/engines/ledger.ts</t>
        </is>
      </c>
      <c r="D445" s="3" t="n">
        <v>375</v>
      </c>
      <c r="E445" s="3" t="inlineStr">
        <is>
          <t>3 · DEPENDENT (feeds an action only)</t>
        </is>
      </c>
      <c r="F445" s="3" t="inlineStr">
        <is>
          <t>NOT DETERMINED — the code carries no note saying what this is for, and it has no row in the old inventory. Needs reading.</t>
        </is>
      </c>
      <c r="G445" s="13" t="inlineStr">
        <is>
          <t>n = v   if v is a number
na n   if v = nothing
parse float(string(v).replace( ÷ [$,\s] ÷ g, ''))   otherwise   otherwise
the answer:
n   if number.is finite(n)
undefined   otherwise</t>
        </is>
      </c>
      <c r="H445" s="3" t="inlineStr">
        <is>
          <t>N is v — when v is a number; na n — when v is missing; parse float(string(v).replace( divided by [$,\s] divided by g, '')) — otherwise — otherwise. The answer is n — when number.is finite(n); undefined — otherwise.</t>
        </is>
      </c>
      <c r="I445" s="3" t="inlineStr">
        <is>
          <t>PARTLY READ — some of the code is still showing through; needs a hand pass</t>
        </is>
      </c>
      <c r="J445" s="3" t="inlineStr">
        <is>
          <t>v: unknown</t>
        </is>
      </c>
      <c r="K445" s="3" t="inlineStr">
        <is>
          <t>number | undefined</t>
        </is>
      </c>
      <c r="L445" s="3" t="inlineStr">
        <is>
          <t>—</t>
        </is>
      </c>
      <c r="M445" s="3" t="inlineStr">
        <is>
          <t>None found in this function — anything it assumes comes from the functions it depends on.</t>
        </is>
      </c>
      <c r="N445" s="3" t="inlineStr">
        <is>
          <t>No</t>
        </is>
      </c>
      <c r="O445" s="3" t="inlineStr">
        <is>
          <t>MK-XS-F-122 n</t>
        </is>
      </c>
      <c r="P445" s="3" t="n">
        <v>1</v>
      </c>
      <c r="Q445" s="3" t="inlineStr">
        <is>
          <t>MK-XS-F-122 n</t>
        </is>
      </c>
      <c r="R445" s="3" t="inlineStr">
        <is>
          <t>MK-XS-F-122 n → MK-ST-F-058 numberOrUndefined</t>
        </is>
      </c>
      <c r="S445" s="3" t="inlineStr">
        <is>
          <t>—</t>
        </is>
      </c>
      <c r="T445" s="3" t="inlineStr">
        <is>
          <t>—</t>
        </is>
      </c>
      <c r="U445" s="3" t="inlineStr">
        <is>
          <t>ACTIVE</t>
        </is>
      </c>
      <c r="V445" s="3" t="inlineStr">
        <is>
          <t>2026-08-27</t>
        </is>
      </c>
      <c r="Y445" s="3" t="inlineStr">
        <is>
          <t>NOTHING OPEN</t>
        </is>
      </c>
    </row>
    <row r="446">
      <c r="A446" s="3" t="inlineStr">
        <is>
          <t>MK-ST-F-059</t>
        </is>
      </c>
      <c r="B446" s="3" t="inlineStr">
        <is>
          <t>round8</t>
        </is>
      </c>
      <c r="C446" s="3" t="inlineStr">
        <is>
          <t>Calculation Module code/engines/ledger.ts</t>
        </is>
      </c>
      <c r="D446" s="3" t="n">
        <v>397</v>
      </c>
      <c r="E446" s="3" t="inlineStr">
        <is>
          <t>1 · ACTION</t>
        </is>
      </c>
      <c r="F446" s="3" t="inlineStr">
        <is>
          <t>NOT DETERMINED — the code carries no note saying what this is for, and it has no row in the old inventory. Needs reading.</t>
        </is>
      </c>
      <c r="G446" s="13" t="inlineStr">
        <is>
          <t>round(n × 1e8) ÷ 1e8</t>
        </is>
      </c>
      <c r="H446" s="3" t="inlineStr">
        <is>
          <t>n times 1e8, to a whole number divided by 1e8</t>
        </is>
      </c>
      <c r="I446" s="3" t="inlineStr">
        <is>
          <t>READ FROM THE CODE — rendered from the expressions the function runs</t>
        </is>
      </c>
      <c r="J446" s="3" t="inlineStr">
        <is>
          <t>n: number</t>
        </is>
      </c>
      <c r="K446" s="3" t="inlineStr">
        <is>
          <t>NOT DECLARED — the code does not say what it gives back</t>
        </is>
      </c>
      <c r="L446" s="3" t="inlineStr">
        <is>
          <t>—</t>
        </is>
      </c>
      <c r="M446" s="3" t="inlineStr">
        <is>
          <t>· Rounds the answer to 8 decimal places.</t>
        </is>
      </c>
      <c r="N446" s="3" t="inlineStr">
        <is>
          <t>No</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Y446" s="3" t="inlineStr">
        <is>
          <t>NOTHING OPEN</t>
        </is>
      </c>
    </row>
    <row r="447">
      <c r="A447" s="3" t="inlineStr">
        <is>
          <t>MK-ST-F-060</t>
        </is>
      </c>
      <c r="B447" s="3" t="inlineStr">
        <is>
          <t>verdict</t>
        </is>
      </c>
      <c r="C447" s="3" t="inlineStr">
        <is>
          <t>Calculation Module code/engines/reconcile.ts</t>
        </is>
      </c>
      <c r="D447" s="3" t="n">
        <v>46</v>
      </c>
      <c r="E447" s="3" t="inlineStr">
        <is>
          <t>2 · DISPLAYED</t>
        </is>
      </c>
      <c r="F447" s="3" t="inlineStr">
        <is>
          <t>NOT DETERMINED — the code carries no note saying what this is for, and it has no row in the old inventory. Needs reading.</t>
        </is>
      </c>
      <c r="G447" s="13" t="inlineStr">
        <is>
          <t>difference = computed.sub(stated)</t>
        </is>
      </c>
      <c r="H447" s="3" t="inlineStr">
        <is>
          <t>Difference is computed.sub(stated).</t>
        </is>
      </c>
      <c r="I447" s="3" t="inlineStr">
        <is>
          <t>PARTLY READ — some of the code is still showing through; needs a hand pass</t>
        </is>
      </c>
      <c r="J447" s="3" t="inlineStr">
        <is>
          <t>1. computed: Dec
2. stated: Dec
3. what: string</t>
        </is>
      </c>
      <c r="K447" s="3" t="inlineStr">
        <is>
          <t>Reconciliation</t>
        </is>
      </c>
      <c r="L447" s="3" t="inlineStr">
        <is>
          <t>NOT FOUND — a screen calls it, but the words printed beside its answer could not be traced automatically. Needs reading.</t>
        </is>
      </c>
      <c r="M447" s="3" t="inlineStr">
        <is>
          <t>None found in this function — anything it assumes comes from the functions it depends on.</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Y447" s="3" t="inlineStr">
        <is>
          <t>NOTHING OPEN</t>
        </is>
      </c>
    </row>
    <row r="448">
      <c r="A448" s="3" t="inlineStr">
        <is>
          <t>MK-ST-F-061</t>
        </is>
      </c>
      <c r="B448" s="3" t="inlineStr">
        <is>
          <t>isMonthEnd</t>
        </is>
      </c>
      <c r="C448" s="3" t="inlineStr">
        <is>
          <t>Calculation Module code/engines/snapshots.ts</t>
        </is>
      </c>
      <c r="D448" s="3" t="n">
        <v>250</v>
      </c>
      <c r="E448" s="3" t="inlineStr">
        <is>
          <t>3 · DEPENDENT (feeds an action only)</t>
        </is>
      </c>
      <c r="F448" s="3" t="inlineStr">
        <is>
          <t>NOT DETERMINED — the code carries no note saying what this is for, and it has no row in the old inventory. Needs reading.</t>
        </is>
      </c>
      <c r="G448" s="13" t="inlineStr">
        <is>
          <t>last = the date y, m, 0).get date(
false   when the first 7)}-${string(d).pad start(2, '0')}` of all dates.has(`${date
the answer = true</t>
        </is>
      </c>
      <c r="H448" s="3" t="inlineStr">
        <is>
          <t>Last: the date y, m, 0).get date(. When the first 7)}-${string(d).pad start(2, '0')}` of all dates.has(`${date, it answers false. The answer is true.</t>
        </is>
      </c>
      <c r="I448" s="3" t="inlineStr">
        <is>
          <t>PARTLY READ — some of the code is still showing through; needs a hand pass</t>
        </is>
      </c>
      <c r="J448" s="3" t="inlineStr">
        <is>
          <t>1. date: string
2. allDates: Set&lt;string&gt;</t>
        </is>
      </c>
      <c r="K448" s="3" t="inlineStr">
        <is>
          <t>boolean</t>
        </is>
      </c>
      <c r="L448" s="3" t="inlineStr">
        <is>
          <t>—</t>
        </is>
      </c>
      <c r="M448" s="3" t="inlineStr">
        <is>
          <t>None found in this function — anything it assumes comes from the functions it depends on.</t>
        </is>
      </c>
      <c r="N448" s="3" t="inlineStr">
        <is>
          <t>No</t>
        </is>
      </c>
      <c r="O448" s="3" t="inlineStr">
        <is>
          <t>1. MK-ST-F-056 has
2. MK-CF-F-132 map</t>
        </is>
      </c>
      <c r="P448" s="3" t="n">
        <v>2</v>
      </c>
      <c r="Q448" s="3" t="inlineStr">
        <is>
          <t>1. MK-ST-F-056 has
2. MK-CF-F-132 map</t>
        </is>
      </c>
      <c r="R448" s="3" t="inlineStr">
        <is>
          <t>1. MK-ST-F-056 has → MK-ST-F-061 isMonthEnd
2. MK-CF-F-132 map → MK-ST-F-061 isMonthEnd</t>
        </is>
      </c>
      <c r="S448" s="3" t="inlineStr">
        <is>
          <t>—</t>
        </is>
      </c>
      <c r="T448" s="3" t="inlineStr">
        <is>
          <t>—</t>
        </is>
      </c>
      <c r="U448" s="3" t="inlineStr">
        <is>
          <t>ACTIVE</t>
        </is>
      </c>
      <c r="V448" s="3" t="inlineStr">
        <is>
          <t>2026-08-27</t>
        </is>
      </c>
      <c r="Y448" s="3" t="inlineStr">
        <is>
          <t>NOTHING OPEN</t>
        </is>
      </c>
    </row>
    <row r="449">
      <c r="A449" s="3" t="inlineStr">
        <is>
          <t>MK-ST-F-062</t>
        </is>
      </c>
      <c r="B449" s="3" t="inlineStr">
        <is>
          <t>toUtc</t>
        </is>
      </c>
      <c r="C449" s="3" t="inlineStr">
        <is>
          <t>Calculation Module code/engines/window-return.ts</t>
        </is>
      </c>
      <c r="D449" s="3" t="n">
        <v>52</v>
      </c>
      <c r="E449" s="3" t="inlineStr">
        <is>
          <t>1 · ACTION</t>
        </is>
      </c>
      <c r="F449" s="3" t="inlineStr">
        <is>
          <t>NOT DETERMINED — the code carries no note saying what this is for, and it has no row in the old inventory. Needs reading.</t>
        </is>
      </c>
      <c r="G449" s="13" t="inlineStr">
        <is>
          <t>the answer = the milliseconds since 1970 of the date at midnight UTC</t>
        </is>
      </c>
      <c r="H449" s="3" t="inlineStr">
        <is>
          <t>A 'YYYY-MM-DD' text as a moment in time at midnight UTC, so day arithmetic is unaffected by the device's timezone.</t>
        </is>
      </c>
      <c r="I449" s="3" t="inlineStr">
        <is>
          <t>READ BY HAND 2026-08-26 — checked line by line against the code</t>
        </is>
      </c>
      <c r="J449" s="3" t="inlineStr">
        <is>
          <t>d: string</t>
        </is>
      </c>
      <c r="K449" s="3" t="inlineStr">
        <is>
          <t>00:00Z`);</t>
        </is>
      </c>
      <c r="L449" s="3" t="inlineStr">
        <is>
          <t>—</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2026-09-12</t>
        </is>
      </c>
      <c r="Y449" s="3" t="inlineStr">
        <is>
          <t>NOTHING OPEN</t>
        </is>
      </c>
    </row>
    <row r="450">
      <c r="A450" s="3" t="inlineStr">
        <is>
          <t>MK-ST-F-063</t>
        </is>
      </c>
      <c r="B450" s="3" t="inlineStr">
        <is>
          <t>shiftDay</t>
        </is>
      </c>
      <c r="C450" s="3" t="inlineStr">
        <is>
          <t>Calculation Module code/engines/window-return.ts</t>
        </is>
      </c>
      <c r="D450" s="3" t="n">
        <v>71</v>
      </c>
      <c r="E450" s="3" t="inlineStr">
        <is>
          <t>1 · ACTION</t>
        </is>
      </c>
      <c r="F450" s="3" t="inlineStr">
        <is>
          <t>NOT DETERMINED — the code carries no note saying what this is for, and it has no row in the old inventory. Needs reading.</t>
        </is>
      </c>
      <c r="G450" s="13" t="inlineStr">
        <is>
          <t>the first 10 of the date to utc(d) + by × day ms).to isostring(</t>
        </is>
      </c>
      <c r="H450" s="3" t="inlineStr">
        <is>
          <t>the first 10 of the date to utc(d) plus by times day ms).to isostring(</t>
        </is>
      </c>
      <c r="I450" s="3" t="inlineStr">
        <is>
          <t>PARTLY READ — some of the code is still showing through; needs a hand pass</t>
        </is>
      </c>
      <c r="J450" s="3" t="inlineStr">
        <is>
          <t>1. d: string
2. by: number</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MK-ST-F-062 toUtc</t>
        </is>
      </c>
      <c r="P450" s="3" t="n">
        <v>1</v>
      </c>
      <c r="Q450" s="3" t="inlineStr">
        <is>
          <t>MK-ST-F-062 toUtc</t>
        </is>
      </c>
      <c r="R450" s="3" t="inlineStr">
        <is>
          <t>MK-ST-F-062 toUtc → MK-ST-F-063 shiftDay</t>
        </is>
      </c>
      <c r="S450" s="3" t="inlineStr">
        <is>
          <t>—</t>
        </is>
      </c>
      <c r="T450" s="3" t="inlineStr">
        <is>
          <t>—</t>
        </is>
      </c>
      <c r="U450" s="3" t="inlineStr">
        <is>
          <t>ACTIVE</t>
        </is>
      </c>
      <c r="V450" s="3" t="inlineStr">
        <is>
          <t>2026-08-27</t>
        </is>
      </c>
      <c r="Y450" s="3" t="inlineStr">
        <is>
          <t>NOTHING OPEN</t>
        </is>
      </c>
    </row>
    <row r="451">
      <c r="A451" s="3" t="inlineStr">
        <is>
          <t>MK-ST-F-064</t>
        </is>
      </c>
      <c r="B451" s="3" t="inlineStr">
        <is>
          <t>modifiedDietzOverWindow</t>
        </is>
      </c>
      <c r="C451" s="3" t="inlineStr">
        <is>
          <t>Calculation Module code/engines/window-return.ts</t>
        </is>
      </c>
      <c r="D451" s="3" t="n">
        <v>158</v>
      </c>
      <c r="E451" s="3" t="inlineStr">
        <is>
          <t>2 · DISPLAYED</t>
        </is>
      </c>
      <c r="F451" s="3" t="inlineStr">
        <is>
          <t>NOT DETERMINED — the code carries no note saying what this is for, and it has no row in the old inventory. Needs reading.</t>
        </is>
      </c>
      <c r="G451" s="13"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451"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451" s="3" t="inlineStr">
        <is>
          <t>PARTLY READ — some of the code is still showing through; needs a hand pass</t>
        </is>
      </c>
      <c r="J451" s="3" t="inlineStr">
        <is>
          <t>Nothing is handed to it</t>
        </is>
      </c>
      <c r="K451" s="3" t="inlineStr">
        <is>
          <t>NOT DECLARED — the code does not say what it gives back</t>
        </is>
      </c>
      <c r="L451" s="3" t="inlineStr">
        <is>
          <t>1. "Return" — on the Account detail screen, under "THE HOLDINGS
2. $"</t>
        </is>
      </c>
      <c r="M451" s="3" t="inlineStr">
        <is>
          <t>· Rounds the answer to a whole number.</t>
        </is>
      </c>
      <c r="N451" s="3" t="inlineStr">
        <is>
          <t>Yes</t>
        </is>
      </c>
      <c r="O451" s="3" t="inlineStr">
        <is>
          <t>1. MK-CF-F-132 map
2. MK-ST-F-053 money
3. MK-ST-F-021 toNumber
4. MK-ST-F-062 toUtc
5. MK-ST-F-038 windowBounds</t>
        </is>
      </c>
      <c r="P451" s="3" t="n">
        <v>11</v>
      </c>
      <c r="Q451" s="3" t="inlineStr">
        <is>
          <t>1. MK-CF-F-132 map
2. MK-ST-F-053 money
3. MK-ST-F-021 toNumber
4. MK-ST-F-062 toUtc
5. MK-ST-F-038 windowBounds
6. MK-ST-F-049 formatMoney
7. MK-XS-F-122 n
8. MK-ST-F-063 shiftDay
9. MK-ST-F-048 currencySymbol
10. MK-ST-F-039 on
11. MK-ST-F-047 activeCurrency</t>
        </is>
      </c>
      <c r="R451"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451" s="3" t="inlineStr">
        <is>
          <t>—</t>
        </is>
      </c>
      <c r="T451" s="3" t="inlineStr">
        <is>
          <t>—</t>
        </is>
      </c>
      <c r="U451" s="3" t="inlineStr">
        <is>
          <t>ACTIVE</t>
        </is>
      </c>
      <c r="V451" s="3" t="inlineStr">
        <is>
          <t>2026-08-27</t>
        </is>
      </c>
      <c r="Y451" s="3" t="inlineStr">
        <is>
          <t>NOTHING OPEN</t>
        </is>
      </c>
    </row>
    <row r="452">
      <c r="A452" s="3" t="inlineStr">
        <is>
          <t>MK-ST-F-065</t>
        </is>
      </c>
      <c r="B452" s="3" t="inlineStr">
        <is>
          <t>isoLocalDate</t>
        </is>
      </c>
      <c r="C452" s="3" t="inlineStr">
        <is>
          <t>src/domain/_shared/dates.ts</t>
        </is>
      </c>
      <c r="D452" s="3" t="n">
        <v>36</v>
      </c>
      <c r="E452" s="3" t="inlineStr">
        <is>
          <t>2 · DISPLAYED</t>
        </is>
      </c>
      <c r="F452" s="3" t="inlineStr">
        <is>
          <t>THE DATE A PERSON IS LIVING IN, not the one UTC is.</t>
        </is>
      </c>
      <c r="G452" s="13" t="inlineStr">
        <is>
          <t>`${get full year()}-${string(get month() + 1).pad start(2, '0')}-${string(get date()).pad start(2, '0')}`</t>
        </is>
      </c>
      <c r="H452" s="3" t="inlineStr">
        <is>
          <t>`${get full year()}-${string(get month() plus 1).pad start(2, '0')}-${string(get date()).pad start(2, '0')}`.</t>
        </is>
      </c>
      <c r="I452" s="3" t="inlineStr">
        <is>
          <t>PARTLY READ — some of the code is still showing through; needs a hand pass</t>
        </is>
      </c>
      <c r="J452" s="3" t="inlineStr">
        <is>
          <t>d: Date</t>
        </is>
      </c>
      <c r="K452" s="3" t="inlineStr">
        <is>
          <t>string</t>
        </is>
      </c>
      <c r="L452" s="3" t="inlineStr">
        <is>
          <t>"Date (opt)" — on the Performance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Y452" s="3" t="inlineStr">
        <is>
          <t>NOTHING OPEN</t>
        </is>
      </c>
    </row>
    <row r="453">
      <c r="A453" s="3" t="inlineStr">
        <is>
          <t>MK-ST-F-066</t>
        </is>
      </c>
      <c r="B453" s="3" t="inlineStr">
        <is>
          <t>isDayKey</t>
        </is>
      </c>
      <c r="C453" s="3" t="inlineStr">
        <is>
          <t>Calculation Module code/engines/rebuild-history.ts</t>
        </is>
      </c>
      <c r="D453" s="3" t="n">
        <v>70</v>
      </c>
      <c r="E453" s="3" t="inlineStr">
        <is>
          <t>1 · ACTION</t>
        </is>
      </c>
      <c r="F453" s="3" t="inlineStr">
        <is>
          <t>NOT DETERMINED — the code carries no note saying what this is for, and it has no row in the old inventory. Needs reading.</t>
        </is>
      </c>
      <c r="G453" s="13" t="inlineStr">
        <is>
          <t>NOT READ YET — the body is not a shape this can render faithfully, so nothing is claimed rather than something being guessed. It needs reading by hand.</t>
        </is>
      </c>
      <c r="H453" s="3" t="inlineStr">
        <is>
          <t>NOT READ YET — the body is not a shape this can render faithfully, so nothing is claimed rather than something being guessed. It needs reading by hand.</t>
        </is>
      </c>
      <c r="I453" s="3" t="inlineStr">
        <is>
          <t>NOT READ — nothing is claimed rather than something guessed</t>
        </is>
      </c>
      <c r="J453" s="3" t="inlineStr">
        <is>
          <t>d: unknown</t>
        </is>
      </c>
      <c r="K453" s="3" t="inlineStr">
        <is>
          <t>d is string</t>
        </is>
      </c>
      <c r="L453" s="3" t="inlineStr">
        <is>
          <t>—</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2026-09-25</t>
        </is>
      </c>
      <c r="Y453" s="3" t="inlineStr">
        <is>
          <t>NOTHING OPEN</t>
        </is>
      </c>
    </row>
    <row r="454">
      <c r="A454" s="3" t="inlineStr">
        <is>
          <t>MK-ST-F-067</t>
        </is>
      </c>
      <c r="B454" s="3" t="inlineStr">
        <is>
          <t>utcOfDay</t>
        </is>
      </c>
      <c r="C454" s="3" t="inlineStr">
        <is>
          <t>Calculation Module code/engines/rebuild-history.ts</t>
        </is>
      </c>
      <c r="D454" s="3" t="n">
        <v>98</v>
      </c>
      <c r="E454" s="3" t="inlineStr">
        <is>
          <t>1 · ACTION</t>
        </is>
      </c>
      <c r="F454" s="3" t="inlineStr">
        <is>
          <t>NOT DETERMINED — the code carries no note saying what this is for, and it has no row in the old inventory. Needs reading.</t>
        </is>
      </c>
      <c r="G454" s="13" t="inlineStr">
        <is>
          <t>the first 4), +slice(5, 7) − 1, +slice(8, 10) of date.UTC(+d</t>
        </is>
      </c>
      <c r="H454" s="3" t="inlineStr">
        <is>
          <t>the first 4), +slice(5, 7) minus 1, +slice(8, 10) of date.UTC(+d</t>
        </is>
      </c>
      <c r="I454" s="3" t="inlineStr">
        <is>
          <t>PARTLY READ — some of the code is still showing through; needs a hand pass</t>
        </is>
      </c>
      <c r="J454" s="3" t="inlineStr">
        <is>
          <t>d: string</t>
        </is>
      </c>
      <c r="K454" s="3" t="inlineStr">
        <is>
          <t>NOT DECLARED — the code does not say what it gives back</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2026-09-25</t>
        </is>
      </c>
      <c r="Y454" s="3" t="inlineStr">
        <is>
          <t>NOTHING OPEN</t>
        </is>
      </c>
    </row>
    <row r="455">
      <c r="A455" s="3" t="inlineStr">
        <is>
          <t>MK-ST-F-068</t>
        </is>
      </c>
      <c r="B455" s="3" t="inlineStr">
        <is>
          <t>stepDay</t>
        </is>
      </c>
      <c r="C455" s="3" t="inlineStr">
        <is>
          <t>Calculation Module code/engines/rebuild-history.ts</t>
        </is>
      </c>
      <c r="D455" s="3" t="n">
        <v>126</v>
      </c>
      <c r="E455" s="3" t="inlineStr">
        <is>
          <t>1 · ACTION</t>
        </is>
      </c>
      <c r="F455" s="3" t="inlineStr">
        <is>
          <t>NOT DETERMINED — the code carries no note saying what this is for, and it has no row in the old inventory. Needs reading.</t>
        </is>
      </c>
      <c r="G455" s="13" t="inlineStr">
        <is>
          <t>the first 10 of the date utc of day(d) + days × DAY).to isostring(</t>
        </is>
      </c>
      <c r="H455" s="3" t="inlineStr">
        <is>
          <t>the first 10 of the date utc of day(d) plus days times DAY).to isostring(</t>
        </is>
      </c>
      <c r="I455" s="3" t="inlineStr">
        <is>
          <t>PARTLY READ — some of the code is still showing through; needs a hand pass</t>
        </is>
      </c>
      <c r="J455" s="3" t="inlineStr">
        <is>
          <t>1. d: string
2. days: number</t>
        </is>
      </c>
      <c r="K455" s="3" t="inlineStr">
        <is>
          <t>NOT DECLARED — the code does not say what it gives back</t>
        </is>
      </c>
      <c r="L455" s="3" t="inlineStr">
        <is>
          <t>—</t>
        </is>
      </c>
      <c r="M455" s="3" t="inlineStr">
        <is>
          <t>None found in this function — anything it assumes comes from the functions it depends on.</t>
        </is>
      </c>
      <c r="N455" s="3" t="inlineStr">
        <is>
          <t>Yes</t>
        </is>
      </c>
      <c r="O455" s="3" t="inlineStr">
        <is>
          <t>MK-ST-F-067 utcOfDay</t>
        </is>
      </c>
      <c r="P455" s="3" t="n">
        <v>1</v>
      </c>
      <c r="Q455" s="3" t="inlineStr">
        <is>
          <t>MK-ST-F-067 utcOfDay</t>
        </is>
      </c>
      <c r="R455" s="3" t="inlineStr">
        <is>
          <t>MK-ST-F-067 utcOfDay → MK-ST-F-068 stepDay</t>
        </is>
      </c>
      <c r="S455" s="3" t="inlineStr">
        <is>
          <t>—</t>
        </is>
      </c>
      <c r="T455" s="3" t="inlineStr">
        <is>
          <t>—</t>
        </is>
      </c>
      <c r="U455" s="3" t="inlineStr">
        <is>
          <t>ACTIVE</t>
        </is>
      </c>
      <c r="V455" s="3" t="inlineStr">
        <is>
          <t>2026-09-25</t>
        </is>
      </c>
      <c r="Y455" s="3" t="inlineStr">
        <is>
          <t>NOTHING OPEN</t>
        </is>
      </c>
    </row>
    <row r="456">
      <c r="A456" s="3" t="inlineStr">
        <is>
          <t>MK-ST-F-069</t>
        </is>
      </c>
      <c r="B456" s="3" t="inlineStr">
        <is>
          <t>amountOf</t>
        </is>
      </c>
      <c r="C456" s="3" t="inlineStr">
        <is>
          <t>Calculation Module code/engines/rebuild-history.ts</t>
        </is>
      </c>
      <c r="D456" s="3" t="n">
        <v>155</v>
      </c>
      <c r="E456" s="3" t="inlineStr">
        <is>
          <t>1 · ACTION</t>
        </is>
      </c>
      <c r="F456" s="3" t="inlineStr">
        <is>
          <t>NOT DETERMINED — the code carries no note saying what this is for, and it has no row in the old inventory. Needs reading.</t>
        </is>
      </c>
      <c r="G456" s="13" t="inlineStr">
        <is>
          <t>v   if typeof v = 'number' and number.is finite(v)
0   otherwise</t>
        </is>
      </c>
      <c r="H456" s="3" t="inlineStr">
        <is>
          <t>v — when typeof v = 'number' and number.is finite(v); 0 — otherwise</t>
        </is>
      </c>
      <c r="I456" s="3" t="inlineStr">
        <is>
          <t>PARTLY READ — some of the code is still showing through; needs a hand pass</t>
        </is>
      </c>
      <c r="J456" s="3" t="inlineStr">
        <is>
          <t>v: unknown</t>
        </is>
      </c>
      <c r="K456" s="3" t="inlineStr">
        <is>
          <t>0);</t>
        </is>
      </c>
      <c r="L456"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2026-09-25</t>
        </is>
      </c>
      <c r="Y456" s="3" t="inlineStr">
        <is>
          <t>NOTHING OPEN</t>
        </is>
      </c>
    </row>
    <row r="457">
      <c r="A457" s="3" t="inlineStr">
        <is>
          <t>MK-ST-F-070</t>
        </is>
      </c>
      <c r="B457" s="3" t="inlineStr">
        <is>
          <t>isOpening</t>
        </is>
      </c>
      <c r="C457" s="3" t="inlineStr">
        <is>
          <t>Calculation Module code/engines/rebuild-history.ts</t>
        </is>
      </c>
      <c r="D457" s="3" t="n">
        <v>186</v>
      </c>
      <c r="E457" s="3" t="inlineStr">
        <is>
          <t>1 · ACTION</t>
        </is>
      </c>
      <c r="F457" s="3" t="inlineStr">
        <is>
          <t>An opening row is the first capture of something that already existed — proof that the records do NOT reach behind it.</t>
        </is>
      </c>
      <c r="G457" s="13" t="inlineStr">
        <is>
          <t>type = 'OPENING_POSITION' (or type = 'OPENING_CASH' when missing or zero)</t>
        </is>
      </c>
      <c r="H457" s="3" t="inlineStr">
        <is>
          <t>type = 'OPENING_POSITION' (or type = 'OPENING_CASH' — when missing or zero)</t>
        </is>
      </c>
      <c r="I457" s="3" t="inlineStr">
        <is>
          <t>READ FROM THE CODE — rendered from the expressions the function runs</t>
        </is>
      </c>
      <c r="J457" s="3" t="inlineStr">
        <is>
          <t>t: RebuildTxn</t>
        </is>
      </c>
      <c r="K457" s="3" t="inlineStr">
        <is>
          <t>NOT DECLARED — the code does not say what it gives back</t>
        </is>
      </c>
      <c r="L457" s="3" t="inlineStr">
        <is>
          <t>—</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2026-09-25</t>
        </is>
      </c>
      <c r="Y457" s="3" t="inlineStr">
        <is>
          <t>NOTHING OPEN</t>
        </is>
      </c>
    </row>
    <row r="458">
      <c r="A458" s="3" t="inlineStr">
        <is>
          <t>MK-ST-F-071</t>
        </is>
      </c>
      <c r="B458" s="3" t="inlineStr">
        <is>
          <t>rebuildableFrom</t>
        </is>
      </c>
      <c r="C458" s="3" t="inlineStr">
        <is>
          <t>Calculation Module code/engines/rebuild-history.ts</t>
        </is>
      </c>
      <c r="D458" s="3" t="n">
        <v>227</v>
      </c>
      <c r="E458" s="3" t="inlineStr">
        <is>
          <t>3 · DEPENDENT</t>
        </is>
      </c>
      <c r="F458" s="3" t="inlineStr">
        <is>
          <t>The earliest day this account's past can honestly be rebuilt to: the first record it gave us, but never behind an opening capture, because nothing explains what sat there before it.</t>
        </is>
      </c>
      <c r="G458" s="13" t="inlineStr">
        <is>
          <t>first = nothing
last opening = nothing
nothing   when first = nothing
the answer:
last opening   if last opening ≠ nothing and last opening &gt; first
first   otherwise</t>
        </is>
      </c>
      <c r="H458" s="3" t="inlineStr">
        <is>
          <t>First is no answer. Last opening is no answer. When first is missing, it answers no answer. The answer is last opening — when last opening is not no answer and last opening &gt; first; first — otherwise.</t>
        </is>
      </c>
      <c r="I458" s="3" t="inlineStr">
        <is>
          <t>READ FROM THE CODE — rendered from the expressions the function runs</t>
        </is>
      </c>
      <c r="J458" s="3" t="inlineStr">
        <is>
          <t>1. txns: RebuildTxn[]
2. accountId: string</t>
        </is>
      </c>
      <c r="K458" s="3" t="inlineStr">
        <is>
          <t>string | null</t>
        </is>
      </c>
      <c r="L458" s="3" t="inlineStr">
        <is>
          <t>—</t>
        </is>
      </c>
      <c r="M458" s="3" t="inlineStr">
        <is>
          <t>None found in this function — anything it assumes comes from the functions it depends on.</t>
        </is>
      </c>
      <c r="N458" s="3" t="inlineStr">
        <is>
          <t>Yes</t>
        </is>
      </c>
      <c r="O458" s="3" t="inlineStr">
        <is>
          <t>1. MK-ST-F-066 isDayKey
2. MK-ST-F-070 isOpening</t>
        </is>
      </c>
      <c r="P458" s="3" t="n">
        <v>2</v>
      </c>
      <c r="Q458" s="3" t="inlineStr">
        <is>
          <t>1. MK-ST-F-066 isDayKey
2. MK-ST-F-070 isOpening</t>
        </is>
      </c>
      <c r="R458" s="3" t="inlineStr">
        <is>
          <t>1. MK-ST-F-066 isDayKey → MK-ST-F-071 rebuildableFrom
2. MK-ST-F-070 isOpening → MK-ST-F-071 rebuildableFrom</t>
        </is>
      </c>
      <c r="S458" s="3" t="inlineStr">
        <is>
          <t>—</t>
        </is>
      </c>
      <c r="T458" s="3" t="inlineStr">
        <is>
          <t>—</t>
        </is>
      </c>
      <c r="U458" s="3" t="inlineStr">
        <is>
          <t>ACTIVE</t>
        </is>
      </c>
      <c r="V458" s="3" t="inlineStr">
        <is>
          <t>2026-09-25</t>
        </is>
      </c>
      <c r="Y458" s="3" t="inlineStr">
        <is>
          <t>NOTHING OPEN</t>
        </is>
      </c>
    </row>
    <row r="459">
      <c r="A459" s="3" t="inlineStr">
        <is>
          <t>MK-ST-F-072</t>
        </is>
      </c>
      <c r="B459" s="3" t="inlineStr">
        <is>
          <t>undo</t>
        </is>
      </c>
      <c r="C459" s="3" t="inlineStr">
        <is>
          <t>Calculation Module code/engines/rebuild-history.ts</t>
        </is>
      </c>
      <c r="D459" s="3" t="n">
        <v>275</v>
      </c>
      <c r="E459" s="3" t="inlineStr">
        <is>
          <t>1 · ACTION</t>
        </is>
      </c>
      <c r="F459" s="3" t="inlineStr">
        <is>
          <t>Undo one record: take the state on the day AFTER it back to the state before it happened.</t>
        </is>
      </c>
      <c r="G459" s="13" t="inlineStr">
        <is>
          <t>acc = account id
key = (ticker ?? '').trim().to upper case()
cash = (id: string, by: number) =&gt; cash of.set(id, (cash of.get(id) ?? 0) + by)
m = `${id}|${k}`
cur = held.get(m) (or units = 0 when missing)</t>
        </is>
      </c>
      <c r="H459" s="3" t="inlineStr">
        <is>
          <t>Acc is account id. Key is (ticker ?? '').trim().to upper case(). Cash is (id: string, by: number) =&gt; cash of.set(id, (cash of.get(id) ?? 0) plus by). M is `${id}|${k}`. Cur is held.get(m) (or units = 0 — when missing).</t>
        </is>
      </c>
      <c r="I459" s="3" t="inlineStr">
        <is>
          <t>PARTLY READ — some of the code is still showing through; needs a hand pass</t>
        </is>
      </c>
      <c r="J459" s="3" t="inlineStr">
        <is>
          <t>1. t: RebuildTxn
2. held: Map&lt;string, Held&gt;
3. cashOf: Map&lt;string, number&gt;</t>
        </is>
      </c>
      <c r="K459" s="3" t="inlineStr">
        <is>
          <t>void</t>
        </is>
      </c>
      <c r="L459" s="3" t="inlineStr">
        <is>
          <t>—</t>
        </is>
      </c>
      <c r="M459" s="3" t="inlineStr">
        <is>
          <t>None found in this function — anything it assumes comes from the functions it depends on.</t>
        </is>
      </c>
      <c r="N459" s="3" t="inlineStr">
        <is>
          <t>Yes</t>
        </is>
      </c>
      <c r="O459" s="3" t="inlineStr">
        <is>
          <t>1. MK-ST-F-069 amountOf
2. MK-CF-F-155 cash
3. MK-ST-F-035 covers</t>
        </is>
      </c>
      <c r="P459" s="3" t="n">
        <v>5</v>
      </c>
      <c r="Q459" s="3" t="inlineStr">
        <is>
          <t>1. MK-ST-F-069 amountOf
2. MK-CF-F-155 cash
3. MK-ST-F-035 covers
4. MK-XS-F-122 n
5. MK-ST-F-034 firstDate</t>
        </is>
      </c>
      <c r="R459" s="3" t="inlineStr">
        <is>
          <t>1. MK-ST-F-069 amountOf → MK-ST-F-072 undo
2. MK-XS-F-122 n → MK-CF-F-155 cash → MK-ST-F-072 undo
3. MK-ST-F-034 firstDate → MK-ST-F-035 covers → MK-ST-F-072 undo</t>
        </is>
      </c>
      <c r="S459" s="3" t="inlineStr">
        <is>
          <t>—</t>
        </is>
      </c>
      <c r="T459" s="3" t="inlineStr">
        <is>
          <t>—</t>
        </is>
      </c>
      <c r="U459" s="3" t="inlineStr">
        <is>
          <t>ACTIVE</t>
        </is>
      </c>
      <c r="V459" s="3" t="inlineStr">
        <is>
          <t>2026-09-25</t>
        </is>
      </c>
      <c r="Y459" s="3" t="inlineStr">
        <is>
          <t>NOTHING OPEN</t>
        </is>
      </c>
    </row>
    <row r="460">
      <c r="A460" s="3" t="inlineStr">
        <is>
          <t>MK-ST-F-073</t>
        </is>
      </c>
      <c r="B460" s="3" t="inlineStr">
        <is>
          <t>rebuildDays</t>
        </is>
      </c>
      <c r="C460" s="3" t="inlineStr">
        <is>
          <t>Calculation Module code/engines/rebuild-history.ts</t>
        </is>
      </c>
      <c r="D460" s="3" t="n">
        <v>407</v>
      </c>
      <c r="E460" s="3" t="inlineStr">
        <is>
          <t>3 · DEPENDENT</t>
        </is>
      </c>
      <c r="F460" s="3" t="inlineStr">
        <is>
          <t>Rebuild the daily record backwards from today, for the accounts whose records can explain it.</t>
        </is>
      </c>
      <c r="G460" s="13"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460"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460" s="3" t="inlineStr">
        <is>
          <t>PARTLY READ — some of the code is still showing through; needs a hand pass</t>
        </is>
      </c>
      <c r="J460" s="3" t="inlineStr">
        <is>
          <t>input: RebuildInput</t>
        </is>
      </c>
      <c r="K460" s="3" t="inlineStr">
        <is>
          <t>RebuildResult</t>
        </is>
      </c>
      <c r="L460" s="3" t="inlineStr">
        <is>
          <t>—</t>
        </is>
      </c>
      <c r="M460" s="3" t="inlineStr">
        <is>
          <t>· Uses a built-in cursor of 0.</t>
        </is>
      </c>
      <c r="N460" s="3" t="inlineStr">
        <is>
          <t>Yes</t>
        </is>
      </c>
      <c r="O460" s="3" t="inlineStr">
        <is>
          <t>1. MK-ST-F-069 amountOf
2. MK-CF-F-133 cashOf
3. MK-ST-F-056 has
4. MK-ST-F-066 isDayKey
5. MK-ST-F-070 isOpening
6. MK-CF-F-132 map
7. MK-ST-F-071 rebuildableFrom
8. MK-ST-F-068 stepDay
9. MK-ST-F-072 undo</t>
        </is>
      </c>
      <c r="P460" s="3" t="n">
        <v>14</v>
      </c>
      <c r="Q460"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460"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460" s="3" t="inlineStr">
        <is>
          <t>—</t>
        </is>
      </c>
      <c r="T460" s="3" t="inlineStr">
        <is>
          <t>—</t>
        </is>
      </c>
      <c r="U460" s="3" t="inlineStr">
        <is>
          <t>ACTIVE</t>
        </is>
      </c>
      <c r="V460" s="3" t="inlineStr">
        <is>
          <t>2026-09-25</t>
        </is>
      </c>
      <c r="Y460" s="3" t="inlineStr">
        <is>
          <t>NOTHING OPEN</t>
        </is>
      </c>
    </row>
    <row r="461">
      <c r="A461" s="3" t="inlineStr">
        <is>
          <t>MK-ST-F-074</t>
        </is>
      </c>
      <c r="B461" s="3" t="inlineStr">
        <is>
          <t>rebuiltSentence</t>
        </is>
      </c>
      <c r="C461" s="3" t="inlineStr">
        <is>
          <t>Calculation Module code/engines/rebuild-history.ts</t>
        </is>
      </c>
      <c r="D461" s="3" t="n">
        <v>518</v>
      </c>
      <c r="E461" s="3" t="inlineStr">
        <is>
          <t>2 · DISPLAYED</t>
        </is>
      </c>
      <c r="F461" s="3" t="inlineStr">
        <is>
          <t>The one sentence the screen says about a rebuilt line: where it came from and where it starts.</t>
        </is>
      </c>
      <c r="G461" s="13" t="inlineStr">
        <is>
          <t>''   when from is missing
who = (institution ?? '').trim()
day = the date `${from}T12:00:00`).to locale date string('en − US', { month: 'short', day: 'numeric', year: 'numeric' }</t>
        </is>
      </c>
      <c r="H461" s="3" t="inlineStr">
        <is>
          <t>When from is missing, it answers ''. Who is (institution ?? '').trim(). Day: the date `${from}T12:00:00`).to locale date string('en minus US', { month: 'short', day: 'numeric', year: 'numeric' }.</t>
        </is>
      </c>
      <c r="I461" s="3" t="inlineStr">
        <is>
          <t>PARTLY READ — some of the code is still showing through; needs a hand pass</t>
        </is>
      </c>
      <c r="J461" s="3" t="inlineStr">
        <is>
          <t>1. institution: string | null | undefined
2. from: string | null</t>
        </is>
      </c>
      <c r="K461" s="3" t="inlineStr">
        <is>
          <t>string</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2026-09-25</t>
        </is>
      </c>
      <c r="Y461" s="3" t="inlineStr">
        <is>
          <t>NOTHING OPEN</t>
        </is>
      </c>
    </row>
    <row r="462">
      <c r="A462" s="3" t="inlineStr">
        <is>
          <t>MK-XS-F-001</t>
        </is>
      </c>
      <c r="B462" s="3" t="inlineStr">
        <is>
          <t>planCompleteness</t>
        </is>
      </c>
      <c r="C462" s="3" t="inlineStr">
        <is>
          <t>src/domain/completeness/index.ts</t>
        </is>
      </c>
      <c r="D462" s="3" t="n">
        <v>40</v>
      </c>
      <c r="E462" s="3" t="inlineStr">
        <is>
          <t>2 · DISPLAYED</t>
        </is>
      </c>
      <c r="F462" s="3" t="inlineStr">
        <is>
          <t>NOT DETERMINED — the code carries no note saying what this is for, and it has no row in the old inventory. Needs reading.</t>
        </is>
      </c>
      <c r="G462" s="13" t="inlineStr">
        <is>
          <t>done count = checks where donecount of 
total = count of checks
the answer:
checks = checks
done count = done count
total = total
pct = round((done count ÷ total) × 100)</t>
        </is>
      </c>
      <c r="H462" s="3" t="inlineStr">
        <is>
          <t>Done count is checks where donecount of. Total: how many checks there are. The answer is checks = checks; done count = done count; total = total; pct = (done count divided by total, to a whole number times 100).</t>
        </is>
      </c>
      <c r="I462" s="3" t="inlineStr">
        <is>
          <t>READ FROM THE CODE — rendered from the expressions the function runs</t>
        </is>
      </c>
      <c r="J462" s="3" t="inlineStr">
        <is>
          <t>i: CompletenessInput</t>
        </is>
      </c>
      <c r="K462" s="3" t="inlineStr">
        <is>
          <t>NOT DECLARED — the code does not say what it gives back</t>
        </is>
      </c>
      <c r="L462" s="3" t="inlineStr">
        <is>
          <t>NOT FOUND — a screen calls it, but the words printed beside its answer could not be traced automatically. Needs reading.</t>
        </is>
      </c>
      <c r="M462" s="3" t="inlineStr">
        <is>
          <t>· Rounds the answer to a whole number.</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Y462" s="3" t="inlineStr">
        <is>
          <t>NOTHING OPEN</t>
        </is>
      </c>
    </row>
    <row r="463">
      <c r="A463" s="3" t="inlineStr">
        <is>
          <t>MK-XS-F-002</t>
        </is>
      </c>
      <c r="B463" s="3" t="inlineStr">
        <is>
          <t>dataGaps</t>
        </is>
      </c>
      <c r="C463" s="3" t="inlineStr">
        <is>
          <t>src/domain/gaps/index.ts</t>
        </is>
      </c>
      <c r="D463" s="3" t="n">
        <v>174</v>
      </c>
      <c r="E463" s="3" t="inlineStr">
        <is>
          <t>2 · DISPLAYED</t>
        </is>
      </c>
      <c r="F463" s="3" t="inlineStr">
        <is>
          <t>Every incomplete promise across the given accounts.</t>
        </is>
      </c>
      <c r="G463" s="13"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463"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463" s="3" t="inlineStr">
        <is>
          <t>PARTLY READ — some of the code is still showing through; needs a hand pass</t>
        </is>
      </c>
      <c r="J463" s="3" t="inlineStr">
        <is>
          <t>Nothing is handed to it</t>
        </is>
      </c>
      <c r="K463" s="3" t="inlineStr">
        <is>
          <t>NOT DECLARED — the code does not say what it gives back</t>
        </is>
      </c>
      <c r="L463" s="3" t="inlineStr">
        <is>
          <t>NOT FOUND — a screen calls it, but the words printed beside its answer could not be traced automatically. Needs reading.</t>
        </is>
      </c>
      <c r="M463" s="3" t="inlineStr">
        <is>
          <t>1. If shares is missing it uses 0.
2. Treats a year as 365 days.
3. Uses today's date from the device clock, so the answer changes by itself overnight.</t>
        </is>
      </c>
      <c r="N463" s="3" t="inlineStr">
        <is>
          <t>Yes</t>
        </is>
      </c>
      <c r="O463" s="3" t="inlineStr">
        <is>
          <t>1. MK-XS-F-170 daysSince
2. MK-NW-F-046 historyCoverage
3. MK-XS-F-120 nameOf
4. MK-XS-F-119 namesFor
5. MK-XS-F-118 prettyDate</t>
        </is>
      </c>
      <c r="P463" s="3" t="n">
        <v>14</v>
      </c>
      <c r="Q463" s="3" t="inlineStr">
        <is>
          <t>1. MK-XS-F-170 daysSince
2. MK-NW-F-046 historyCoverage
3. MK-XS-F-120 nameOf
4. MK-XS-F-119 namesFor
5. MK-XS-F-118 prettyDate
6. MK-CF-F-132 map
7. MK-NW-F-068 prettyDay
8. MK-NW-F-026 accountDisplayNames
9. MK-NW-F-025 accountDisplayName
10. MK-CF-F-155 cash
11. MK-XS-F-122 n
12. MK-NW-F-024 accountLastFour
13. MK-NW-F-012 taxTreatmentOf
14. MK-NW-F-023 wrapperWord</t>
        </is>
      </c>
      <c r="R463" s="3" t="inlineStr">
        <is>
          <t>1. MK-XS-F-170 daysSince → MK-XS-F-002 dataGaps
2. MK-CF-F-132 map → MK-NW-F-046 historyCoverage → MK-XS-F-002 dataGaps
3. MK-CF-F-132 map → MK-NW-F-068 prettyDay → MK-NW-F-046 historyCoverage → MK-XS-F-002 dataGaps
4. MK-XS-F-120 nameOf → MK-XS-F-002 dataGaps
5. accountDisplayNames (already above — a loop) → MK-NW-F-025 accountDisplayName → MK-NW-F-026 accountDisplayNames → MK-XS-F-119 namesFor → MK-XS-F-002 dataGaps
6. MK-NW-F-024 accountLastFour → MK-NW-F-025 accountDisplayName → MK-NW-F-026 accountDisplayNames → MK-XS-F-119 namesFor → MK-XS-F-002 dataGaps
7. MK-NW-F-012 taxTreatmentOf → MK-NW-F-025 accountDisplayName → MK-NW-F-026 accountDisplayNames → MK-XS-F-119 namesFor → MK-XS-F-002 dataGaps
8. MK-NW-F-023 wrapperWord → MK-NW-F-025 accountDisplayName → MK-NW-F-026 accountDisplayNames → MK-XS-F-119 namesFor → MK-XS-F-002 dataGaps
9. … and 4 more paths</t>
        </is>
      </c>
      <c r="S463" s="3" t="inlineStr">
        <is>
          <t>—</t>
        </is>
      </c>
      <c r="T463" s="3" t="inlineStr">
        <is>
          <t>WHAT_IS_MISSING</t>
        </is>
      </c>
      <c r="U463" s="3" t="inlineStr">
        <is>
          <t>ACTIVE</t>
        </is>
      </c>
      <c r="V463" s="3" t="inlineStr">
        <is>
          <t>2026-08-27</t>
        </is>
      </c>
      <c r="Y463" s="3" t="inlineStr">
        <is>
          <t>NOTHING OPEN</t>
        </is>
      </c>
    </row>
    <row r="464">
      <c r="A464" s="3" t="inlineStr">
        <is>
          <t>MK-XS-F-003</t>
        </is>
      </c>
      <c r="B464" s="3" t="inlineStr">
        <is>
          <t>gapsHeadline</t>
        </is>
      </c>
      <c r="C464" s="3" t="inlineStr">
        <is>
          <t>src/domain/gaps/index.ts</t>
        </is>
      </c>
      <c r="D464" s="3" t="n">
        <v>287</v>
      </c>
      <c r="E464" s="3" t="inlineStr">
        <is>
          <t>2 · DISPLAYED (presentation only)</t>
        </is>
      </c>
      <c r="F464" s="3" t="inlineStr">
        <is>
          <t>The banner sentence — plural-correct, and absent (null) when nothing is missing.</t>
        </is>
      </c>
      <c r="G464" s="13" t="inlineStr">
        <is>
          <t>nothing   when count of gaps is missing
'1 number needs more information'   if gaps.length = 1
`${gaps.length} numbers need more information`   otherwise</t>
        </is>
      </c>
      <c r="H464" s="3" t="inlineStr">
        <is>
          <t>When how many gaps is missing there are, it answers no answer. '1 number needs more information' — when gaps.length = 1; `${gaps.length} numbers need more information` — otherwise.</t>
        </is>
      </c>
      <c r="I464" s="3" t="inlineStr">
        <is>
          <t>PARTLY READ — some of the code is still showing through; needs a hand pass</t>
        </is>
      </c>
      <c r="J464" s="3" t="inlineStr">
        <is>
          <t>gaps: DataGap[]</t>
        </is>
      </c>
      <c r="K464" s="3" t="inlineStr">
        <is>
          <t>string | null</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Y464" s="3" t="inlineStr">
        <is>
          <t>NOTHING OPEN</t>
        </is>
      </c>
    </row>
    <row r="465">
      <c r="A465" s="3" t="inlineStr">
        <is>
          <t>MK-XS-F-004</t>
        </is>
      </c>
      <c r="B465" s="3" t="inlineStr">
        <is>
          <t>buildDatedGrid</t>
        </is>
      </c>
      <c r="C465" s="3" t="inlineStr">
        <is>
          <t>src/domain/grid/index.ts</t>
        </is>
      </c>
      <c r="D465" s="3" t="n">
        <v>113</v>
      </c>
      <c r="E465" s="3" t="inlineStr">
        <is>
          <t>2 · DISPLAYED</t>
        </is>
      </c>
      <c r="F465" s="3" t="inlineStr">
        <is>
          <t>Build the dated 12-month grid.</t>
        </is>
      </c>
      <c r="G465" s="13"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46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465" s="3" t="inlineStr">
        <is>
          <t>PARTLY READ — the body has a loop the extractor cannot render; the steps shown are the ones before it. Needs a hand pass (G23).</t>
        </is>
      </c>
      <c r="J465" s="3" t="inlineStr">
        <is>
          <t>1. op: OnboardingProfile | null
2. opts: GridOptions = {}</t>
        </is>
      </c>
      <c r="K465" s="3" t="inlineStr">
        <is>
          <t>DatedGrid</t>
        </is>
      </c>
      <c r="L465" s="3" t="inlineStr">
        <is>
          <t>NOT FOUND — a screen calls it, but the words printed beside its answer could not be traced automatically. Needs reading.</t>
        </is>
      </c>
      <c r="M465"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465" s="3" t="inlineStr">
        <is>
          <t>Yes</t>
        </is>
      </c>
      <c r="O46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MK-CF-F-060 salaryGrossByMonth
13. MK-CF-F-008 spendByMonth
14. MK-ST-F-052 toNum</t>
        </is>
      </c>
      <c r="P465" s="3" t="n">
        <v>63</v>
      </c>
      <c r="Q46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MK-CF-F-060 salaryGrossByMonth
13. MK-CF-F-008 spendByMonth
14. MK-ST-F-052 toNum
15. MK-CF-F-075 retirementIncomeMonthly
16. MK-CF-F-062 equityRowValue
17. MK-CF-F-066 rsuAnnual
18. MK-CF-F-121 zero12
19. MK-ST-F-049 formatMoney
20. MK-XS-F-122 n
21. MK-CF-F-090 effectiveRate
22. MK-CF-F-085 filingStatusOf
23. MK-CF-F-089 over65CountOf
24. MK-CF-F-098 progressiveMonthlyTax
25. MK-CF-F-181 rateInForce
26. MK-CF-F-086 stateRateOf
27. MK-CF-F-088 taxableByCalendarMonth
28. MK-CF-F-021 defaultPaymentType
29. MK-CF-F-067 rentalList
30. MK-CF-F-176 sumMonthsOverEarners
31. MK-CF-F-177 wageGrossByMonth
32. MK-CF-F-120 pctBaseMonthly
33. MK-CF-F-004 spendBuckets
34. MK-CF-F-063 rowVestYear
35. MK-ST-F-048 currencySymbol
36. MK-ST-F-039 on
37. MK-CF-F-101 taxOwedFor
38. MK-CF-F-100 taxableIncomeFor
39. MK-CF-F-173 earnerWages
40. MK-CF-F-102 effectiveRateOnGrossFor
41. MK-CF-F-180 enteredLandsAnnual
42. MK-CF-F-082 salaryAnnual
43. MK-CF-F-084 taxableAnnual
44. MK-CF-F-065 equityVestWeights
45. MK-CF-F-071 extraIncome
46. MK-CF-F-130 enteredMonthlyRaw
47. MK-CF-F-166 hasMonthlySalaryTable
48. MK-ST-F-036 reconcile
49. MK-CF-F-167 salaryCalendarYear
50. MK-CF-F-092 incomeMonthlyGrid
51. MK-CF-F-003 categoryMonthly
52. MK-ST-F-047 activeCurrency
53. MK-CF-F-099 deductionFor
54. MK-CF-F-172 hasWage
55. MK-CF-F-074 tipsAnnual
56. MK-CF-F-070 benefitAnnual
57. MK-CF-F-165 salaryMonths
58. MK-CF-F-077 scholarshipByCalendarMonth
59. MK-PL-F-012 waterfall
60. MK-XS-F-027 takeHomeMonthly
61. MK-CF-F-187 seniorDeductionFor
62. MK-CF-F-081 salaryActiveMonths
63. MK-CF-F-011 savingsByMonth</t>
        </is>
      </c>
      <c r="R465"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465" s="3" t="inlineStr">
        <is>
          <t>—</t>
        </is>
      </c>
      <c r="T465" s="3" t="inlineStr">
        <is>
          <t>—</t>
        </is>
      </c>
      <c r="U465" s="3" t="inlineStr">
        <is>
          <t>ACTIVE</t>
        </is>
      </c>
      <c r="V465" s="3" t="inlineStr">
        <is>
          <t>2026-09-08</t>
        </is>
      </c>
      <c r="Y465" s="3" t="inlineStr">
        <is>
          <t>NOTHING OPEN</t>
        </is>
      </c>
    </row>
    <row r="466">
      <c r="A466" s="3" t="inlineStr">
        <is>
          <t>MK-XS-F-005</t>
        </is>
      </c>
      <c r="B466" s="3" t="inlineStr">
        <is>
          <t>trendPoints</t>
        </is>
      </c>
      <c r="C466" s="3" t="inlineStr">
        <is>
          <t>src/domain/history.ts</t>
        </is>
      </c>
      <c r="D466" s="3" t="n">
        <v>60</v>
      </c>
      <c r="E466" s="3" t="inlineStr">
        <is>
          <t>2 · DISPLAYED</t>
        </is>
      </c>
      <c r="F466" s="3" t="inlineStr">
        <is>
          <t>Chart series = monthly snapshots + daily points, chronological ('YYYY-MM' sorts before its days).</t>
        </is>
      </c>
      <c r="G466" s="13" t="inlineStr">
        <is>
          <t>pts = for each of read history(monthly): key = month
nw = net worth
the answer = pts.sort((a, b) =&gt; key.locale compare(key))</t>
        </is>
      </c>
      <c r="H466" s="3" t="inlineStr">
        <is>
          <t>Pts is for each of read history(monthly): key = month; nw = net worth. The answer is pts.sort((a, b) =&gt; key.locale compare(key)).</t>
        </is>
      </c>
      <c r="I466" s="3" t="inlineStr">
        <is>
          <t>PARTLY READ — some of the code is still showing through; needs a hand pass</t>
        </is>
      </c>
      <c r="J466" s="3" t="inlineStr">
        <is>
          <t>Nothing is handed to it</t>
        </is>
      </c>
      <c r="K466" s="3" t="inlineStr">
        <is>
          <t>NOT DECLARED — the code does not say what it gives back</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1. MK-CF-F-132 map
2. MK-XS-F-009 readHistory</t>
        </is>
      </c>
      <c r="P466" s="3" t="n">
        <v>18</v>
      </c>
      <c r="Q466" s="3" t="inlineStr">
        <is>
          <t>1. MK-CF-F-132 map
2. MK-XS-F-009 readHistory
3. MK-XS-F-008 normalizeSnapshot
4. MK-CF-F-191 ym
5. MK-XS-F-121 isYm
6. MK-XS-F-122 n
7. MK-CF-O-002 spending
8. MK-CF-F-151 actualSpending
9. MK-CF-F-150 debtPaymentsCountedAsExpenses
10. MK-CF-F-153 radar
11. MK-CF-F-149 recurringDebtPayments
12. MK-CF-F-148 inMonth
13. MK-ST-F-052 toNum
14. MK-ST-F-056 has
15. MK-CF-F-022 paymentShape
16. MK-CF-F-152 isRadarItem
17. MK-CF-F-023 requiredPayment
18. MK-CF-F-021 defaultPaymentType</t>
        </is>
      </c>
      <c r="R46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S466" s="3" t="inlineStr">
        <is>
          <t>MK-NW-M-001 · MK-NW-M-003</t>
        </is>
      </c>
      <c r="T466" s="3" t="inlineStr">
        <is>
          <t>TREND_SERIES</t>
        </is>
      </c>
      <c r="U466" s="3" t="inlineStr">
        <is>
          <t>ACTIVE</t>
        </is>
      </c>
      <c r="V466" s="3" t="inlineStr">
        <is>
          <t>2026-08-27</t>
        </is>
      </c>
      <c r="Y466" s="3" t="inlineStr">
        <is>
          <t>NOTHING OPEN</t>
        </is>
      </c>
    </row>
    <row r="467">
      <c r="A467" s="3" t="inlineStr">
        <is>
          <t>MK-XS-F-006</t>
        </is>
      </c>
      <c r="B467" s="3" t="inlineStr">
        <is>
          <t>pruneDaily</t>
        </is>
      </c>
      <c r="C467" s="3" t="inlineStr">
        <is>
          <t>src/domain/history.ts</t>
        </is>
      </c>
      <c r="D467" s="3" t="n">
        <v>102</v>
      </c>
      <c r="E467" s="3" t="inlineStr">
        <is>
          <t>3 · DEPENDENT</t>
        </is>
      </c>
      <c r="F467" s="3" t="inlineStr">
        <is>
          <t>Prune helper for the store writer: newest DAILY_KEEP days survive.</t>
        </is>
      </c>
      <c r="G467" s="13" t="inlineStr">
        <is>
          <t>keys = the names in daily, in order
daily   when keys.length ≤ DAILY_KEEP
keep = a list with no repeats of keys.slice(-DAILY_KEEP)
the answer = object.from entries(object.entries(daily).filter(([k]) =&gt; keep.has(k)))</t>
        </is>
      </c>
      <c r="H467" s="3" t="inlineStr">
        <is>
          <t>Keys: the names in daily, in order. When keys.length is at most DAILY_KEEP, it answers daily. Keep is a list with no repeats of keys.slice(-DAILY_KEEP). The answer is object.from entries(object.entries(daily).filter(([k]) =&gt; keep.has(k))).</t>
        </is>
      </c>
      <c r="I467" s="3" t="inlineStr">
        <is>
          <t>PARTLY READ — some of the code is still showing through; needs a hand pass</t>
        </is>
      </c>
      <c r="J467" s="3" t="inlineStr">
        <is>
          <t>daily: Record&lt;string, number&gt;</t>
        </is>
      </c>
      <c r="K467" s="3" t="inlineStr">
        <is>
          <t>Record&lt;string, number&gt;</t>
        </is>
      </c>
      <c r="L467" s="3" t="inlineStr">
        <is>
          <t>—</t>
        </is>
      </c>
      <c r="M467" s="3" t="inlineStr">
        <is>
          <t>None found in this function — anything it assumes comes from the functions it depends on.</t>
        </is>
      </c>
      <c r="N467" s="3" t="inlineStr">
        <is>
          <t>Yes</t>
        </is>
      </c>
      <c r="O467" s="3" t="inlineStr">
        <is>
          <t>MK-ST-F-056 has</t>
        </is>
      </c>
      <c r="P467" s="3" t="n">
        <v>1</v>
      </c>
      <c r="Q467" s="3" t="inlineStr">
        <is>
          <t>MK-ST-F-056 has</t>
        </is>
      </c>
      <c r="R467" s="3" t="inlineStr">
        <is>
          <t>MK-ST-F-056 has → MK-XS-F-006 pruneDaily</t>
        </is>
      </c>
      <c r="S467" s="3" t="inlineStr">
        <is>
          <t>—</t>
        </is>
      </c>
      <c r="T467" s="3" t="inlineStr">
        <is>
          <t>—</t>
        </is>
      </c>
      <c r="U467" s="3" t="inlineStr">
        <is>
          <t>ACTIVE</t>
        </is>
      </c>
      <c r="V467" s="3" t="inlineStr">
        <is>
          <t>2026-09-12</t>
        </is>
      </c>
      <c r="Y467" s="3" t="inlineStr">
        <is>
          <t>NOTHING OPEN</t>
        </is>
      </c>
    </row>
    <row r="468">
      <c r="A468" s="3" t="inlineStr">
        <is>
          <t>MK-XS-F-007</t>
        </is>
      </c>
      <c r="B468" s="3" t="inlineStr">
        <is>
          <t>makeMonthlySnapshot</t>
        </is>
      </c>
      <c r="C468" s="3" t="inlineStr">
        <is>
          <t>src/domain/history.ts</t>
        </is>
      </c>
      <c r="D468" s="3" t="n">
        <v>188</v>
      </c>
      <c r="E468" s="3" t="inlineStr">
        <is>
          <t>2 · DISPLAYED</t>
        </is>
      </c>
      <c r="F468" s="3" t="inlineStr">
        <is>
          <t>The ONE writer — stamps the version and keeps the arithmetic identity by construction.</t>
        </is>
      </c>
      <c r="G468" s="13" t="inlineStr">
        <is>
          <t>net worth = gross assets − gross debt
v = the snapshot version</t>
        </is>
      </c>
      <c r="H468" s="3" t="inlineStr">
        <is>
          <t>Builds a month-end snapshot: net worth is assets minus debts, computed here and never stored as a third figure that could disagree with its own halves.</t>
        </is>
      </c>
      <c r="I468" s="3" t="inlineStr">
        <is>
          <t>READ BY HAND 2026-08-26 — checked line by line against the code</t>
        </is>
      </c>
      <c r="J468" s="3" t="inlineStr">
        <is>
          <t>i: Omit&lt;MonthlySnapshot, 'v' | 'net_worth'&gt; &amp; { net_worth?: number }</t>
        </is>
      </c>
      <c r="K468" s="3" t="inlineStr">
        <is>
          <t>MonthlySnapshot</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MK-XS-F-122 n</t>
        </is>
      </c>
      <c r="P468" s="3" t="n">
        <v>1</v>
      </c>
      <c r="Q468" s="3" t="inlineStr">
        <is>
          <t>MK-XS-F-122 n</t>
        </is>
      </c>
      <c r="R468" s="3" t="inlineStr">
        <is>
          <t>MK-XS-F-122 n → MK-XS-F-007 makeMonthlySnapshot</t>
        </is>
      </c>
      <c r="S468" s="3" t="inlineStr">
        <is>
          <t>—</t>
        </is>
      </c>
      <c r="T468" s="3" t="inlineStr">
        <is>
          <t>—</t>
        </is>
      </c>
      <c r="U468" s="3" t="inlineStr">
        <is>
          <t>ACTIVE</t>
        </is>
      </c>
      <c r="V468" s="3" t="inlineStr">
        <is>
          <t>2026-09-12</t>
        </is>
      </c>
      <c r="Y468" s="3" t="inlineStr">
        <is>
          <t>NOTHING OPEN</t>
        </is>
      </c>
    </row>
    <row r="469">
      <c r="A469" s="3" t="inlineStr">
        <is>
          <t>MK-XS-F-008</t>
        </is>
      </c>
      <c r="B469" s="3" t="inlineStr">
        <is>
          <t>normalizeSnapshot</t>
        </is>
      </c>
      <c r="C469" s="3" t="inlineStr">
        <is>
          <t>src/domain/history.ts</t>
        </is>
      </c>
      <c r="D469" s="3" t="n">
        <v>226</v>
      </c>
      <c r="E469" s="3" t="inlineStr">
        <is>
          <t>3 · DEPENDENT</t>
        </is>
      </c>
      <c r="F469" s="3" t="inlineStr">
        <is>
          <t>Normalize ONE stored entry: v1 passes validated; a legacy blob (no `v`) maps best-effort; anything without a real month + net worth is dropped (null), never charted.</t>
        </is>
      </c>
      <c r="G469" s="13"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46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469" s="3" t="inlineStr">
        <is>
          <t>PARTLY READ — some of the code is still showing through; needs a hand pass</t>
        </is>
      </c>
      <c r="J469" s="3" t="inlineStr">
        <is>
          <t>1. ym: string
2. raw: unknown</t>
        </is>
      </c>
      <c r="K469" s="3" t="inlineStr">
        <is>
          <t>MonthlySnapshot | null</t>
        </is>
      </c>
      <c r="L469" s="3" t="inlineStr">
        <is>
          <t>—</t>
        </is>
      </c>
      <c r="M469" s="3" t="inlineStr">
        <is>
          <t>None found in this function — anything it assumes comes from the functions it depends on.</t>
        </is>
      </c>
      <c r="N469" s="3" t="inlineStr">
        <is>
          <t>Yes</t>
        </is>
      </c>
      <c r="O469" s="3" t="inlineStr">
        <is>
          <t>1. MK-XS-F-121 isYm
2. MK-XS-F-122 n
3. MK-CF-O-002 spending
4. MK-CF-F-191 ym</t>
        </is>
      </c>
      <c r="P469" s="3" t="n">
        <v>16</v>
      </c>
      <c r="Q469" s="3" t="inlineStr">
        <is>
          <t>1. MK-XS-F-121 isYm
2. MK-XS-F-122 n
3. MK-CF-O-002 spending
4. MK-CF-F-191 ym
5. MK-CF-F-151 actualSpending
6. MK-CF-F-150 debtPaymentsCountedAsExpenses
7. MK-CF-F-153 radar
8. MK-CF-F-149 recurringDebtPayments
9. MK-CF-F-148 inMonth
10. MK-ST-F-052 toNum
11. MK-ST-F-056 has
12. MK-CF-F-022 paymentShape
13. MK-CF-F-152 isRadarItem
14. MK-CF-F-023 requiredPayment
15. MK-CF-F-132 map
16. MK-CF-F-021 defaultPaymentType</t>
        </is>
      </c>
      <c r="R469" s="3" t="inlineStr">
        <is>
          <t>1. MK-XS-F-121 isYm → MK-XS-F-008 normalizeSnapshot
2. MK-XS-F-122 n → MK-XS-F-008 normalizeSnapshot
3. MK-CF-F-191 ym → MK-CF-F-148 inMonth → MK-CF-F-151 actualSpending → MK-CF-O-002 spending → MK-XS-F-008 normalizeSnapshot
4. MK-XS-F-122 n → MK-ST-F-052 toNum → MK-CF-F-151 actualSpending → MK-CF-O-002 spending → MK-XS-F-008 normalizeSnapshot
5. MK-CF-F-191 ym → MK-CF-F-151 actualSpending → MK-CF-O-002 spending → MK-XS-F-008 normalizeSnapshot
6. MK-ST-F-056 has → MK-CF-F-150 debtPaymentsCountedAsExpenses → MK-CF-O-002 spending → MK-XS-F-008 normalizeSnapshot
7. MK-CF-F-191 ym → MK-CF-F-148 inMonth → MK-CF-F-150 debtPaymentsCountedAsExpenses → MK-CF-O-002 spending → MK-XS-F-008 normalizeSnapshot
8. MK-CF-F-021 defaultPaymentType → MK-CF-F-022 paymentShape → MK-CF-F-150 debtPaymentsCountedAsExpenses → MK-CF-O-002 spending → MK-XS-F-008 normalizeSnapshot
9. … and 5 more paths</t>
        </is>
      </c>
      <c r="S469" s="3" t="inlineStr">
        <is>
          <t>—</t>
        </is>
      </c>
      <c r="T469" s="3" t="inlineStr">
        <is>
          <t>SNAPSHOT_READ_ONE</t>
        </is>
      </c>
      <c r="U469" s="3" t="inlineStr">
        <is>
          <t>ACTIVE</t>
        </is>
      </c>
      <c r="V469" s="3" t="inlineStr">
        <is>
          <t>2026-09-09</t>
        </is>
      </c>
      <c r="Y469" s="3" t="inlineStr">
        <is>
          <t>NOTHING OPEN</t>
        </is>
      </c>
    </row>
    <row r="470">
      <c r="A470" s="3" t="inlineStr">
        <is>
          <t>MK-XS-F-009</t>
        </is>
      </c>
      <c r="B470" s="3" t="inlineStr">
        <is>
          <t>readHistory</t>
        </is>
      </c>
      <c r="C470" s="3" t="inlineStr">
        <is>
          <t>src/domain/history.ts</t>
        </is>
      </c>
      <c r="D470" s="3" t="n">
        <v>275</v>
      </c>
      <c r="E470" s="3" t="inlineStr">
        <is>
          <t>2 · DISPLAYED</t>
        </is>
      </c>
      <c r="F470" s="3" t="inlineStr">
        <is>
          <t>The ONE reader every history surface uses: normalized, garbage-free, sorted by month.</t>
        </is>
      </c>
      <c r="G470" s="13" t="inlineStr">
        <is>
          <t>for each stored month: normalize snapshot(month, value); drop the unreadable ones; sort by month, oldest first</t>
        </is>
      </c>
      <c r="H470" s="3" t="inlineStr">
        <is>
          <t>Reads the stored monthly snapshots, drops any that cannot be read, and sorts them oldest first. No arithmetic beyond the ordering.</t>
        </is>
      </c>
      <c r="I470" s="3" t="inlineStr">
        <is>
          <t>READ BY HAND 2026-08-26 — checked line by line against the code</t>
        </is>
      </c>
      <c r="J470" s="3" t="inlineStr">
        <is>
          <t>raw: Record&lt;string, unknown&gt; | null | undefined</t>
        </is>
      </c>
      <c r="K470" s="3" t="inlineStr">
        <is>
          <t>MonthlySnapshot[]</t>
        </is>
      </c>
      <c r="L470" s="3" t="inlineStr">
        <is>
          <t>NOT FOUND — a screen calls it, but the words printed beside its answer could not be traced automatically. Needs reading.</t>
        </is>
      </c>
      <c r="M470" s="3" t="inlineStr">
        <is>
          <t>None found in this function — anything it assumes comes from the functions it depends on.</t>
        </is>
      </c>
      <c r="N470" s="3" t="inlineStr">
        <is>
          <t>Yes</t>
        </is>
      </c>
      <c r="O470" s="3" t="inlineStr">
        <is>
          <t>1. MK-CF-F-132 map
2. MK-XS-F-008 normalizeSnapshot
3. MK-CF-F-191 ym</t>
        </is>
      </c>
      <c r="P470" s="3" t="n">
        <v>17</v>
      </c>
      <c r="Q470" s="3" t="inlineStr">
        <is>
          <t>1. MK-CF-F-132 map
2. MK-XS-F-008 normalizeSnapshot
3. MK-CF-F-191 ym
4. MK-XS-F-121 isYm
5. MK-XS-F-122 n
6. MK-CF-O-002 spending
7. MK-CF-F-151 actualSpending
8. MK-CF-F-150 debtPaymentsCountedAsExpenses
9. MK-CF-F-153 radar
10. MK-CF-F-149 recurringDebtPayments
11. MK-CF-F-148 inMonth
12. MK-ST-F-052 toNum
13. MK-ST-F-056 has
14. MK-CF-F-022 paymentShape
15. MK-CF-F-152 isRadarItem
16. MK-CF-F-023 requiredPayment
17. MK-CF-F-021 defaultPaymentType</t>
        </is>
      </c>
      <c r="R470" s="3" t="inlineStr">
        <is>
          <t>1. MK-CF-F-132 map → MK-XS-F-009 readHistory
2. MK-XS-F-121 isYm → MK-XS-F-008 normalizeSnapshot → MK-XS-F-009 readHistory
3. MK-XS-F-122 n → MK-XS-F-008 normalizeSnapshot → MK-XS-F-009 readHistory
4. MK-CF-F-191 ym → MK-CF-F-148 inMonth → MK-CF-F-151 actualSpending → MK-CF-O-002 spending → MK-XS-F-008 normalizeSnapshot → MK-XS-F-009 readHistory
5. MK-XS-F-122 n → MK-ST-F-052 toNum → MK-CF-F-151 actualSpending → MK-CF-O-002 spending → MK-XS-F-008 normalizeSnapshot → MK-XS-F-009 readHistory
6. MK-CF-F-191 ym → MK-CF-F-151 actualSpending → MK-CF-O-002 spending → MK-XS-F-008 normalizeSnapshot → MK-XS-F-009 readHistory
7. MK-ST-F-056 has → MK-CF-F-150 debtPaymentsCountedAsExpenses → MK-CF-O-002 spending → MK-XS-F-008 normalizeSnapshot → MK-XS-F-009 readHistory
8. MK-CF-F-191 ym → MK-CF-F-148 inMonth → MK-CF-F-150 debtPaymentsCountedAsExpenses → MK-CF-O-002 spending → MK-XS-F-008 normalizeSnapshot → MK-XS-F-009 readHistory
9. … and 5 more paths</t>
        </is>
      </c>
      <c r="S470" s="3" t="inlineStr">
        <is>
          <t>—</t>
        </is>
      </c>
      <c r="T470" s="3" t="inlineStr">
        <is>
          <t>SNAPSHOT_READ_ALL</t>
        </is>
      </c>
      <c r="U470" s="3" t="inlineStr">
        <is>
          <t>ACTIVE</t>
        </is>
      </c>
      <c r="V470" s="3" t="inlineStr">
        <is>
          <t>2026-09-12</t>
        </is>
      </c>
      <c r="Y470" s="3" t="inlineStr">
        <is>
          <t>NOTHING OPEN</t>
        </is>
      </c>
    </row>
    <row r="471">
      <c r="A471" s="3" t="inlineStr">
        <is>
          <t>MK-XS-F-010</t>
        </is>
      </c>
      <c r="B471" s="3" t="inlineStr">
        <is>
          <t>investableChangePct</t>
        </is>
      </c>
      <c r="C471" s="3" t="inlineStr">
        <is>
          <t>src/domain/history.ts</t>
        </is>
      </c>
      <c r="D471" s="3" t="n">
        <v>305</v>
      </c>
      <c r="E471" s="3" t="inlineStr">
        <is>
          <t>2 · DISPLAYED</t>
        </is>
      </c>
      <c r="F471" s="3" t="inlineStr">
        <is>
          <t>FOUNDER RULE 2026-08-04: the NW change PERCENT is measured on cash + investments only — property values move only when someone retypes them, so a total-net-worth percent is noise.</t>
        </is>
      </c>
      <c r="G471" s="13"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471"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471" s="3" t="inlineStr">
        <is>
          <t>READ FROM THE CODE — rendered from the expressions the function runs</t>
        </is>
      </c>
      <c r="J471" s="3" t="inlineStr">
        <is>
          <t>Nothing is handed to it</t>
        </is>
      </c>
      <c r="K471" s="3" t="inlineStr">
        <is>
          <t>NOT DECLARED — the code does not say what it gives back</t>
        </is>
      </c>
      <c r="L471" s="3" t="inlineStr">
        <is>
          <t>NOT FOUND — a screen calls it, but the words printed beside its answer could not be traced automatically. Needs reading.</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MK-NW-M-002</t>
        </is>
      </c>
      <c r="T471" s="3" t="inlineStr">
        <is>
          <t>NW_CHANGE_PCT</t>
        </is>
      </c>
      <c r="U471" s="3" t="inlineStr">
        <is>
          <t>ACTIVE</t>
        </is>
      </c>
      <c r="V471" s="3" t="inlineStr">
        <is>
          <t>2026-09-14</t>
        </is>
      </c>
      <c r="Y471" s="3" t="inlineStr">
        <is>
          <t>NOTHING OPEN</t>
        </is>
      </c>
    </row>
    <row r="472">
      <c r="A472" s="3" t="inlineStr">
        <is>
          <t>MK-XS-F-011</t>
        </is>
      </c>
      <c r="B472" s="3" t="inlineStr">
        <is>
          <t>buildChangeWalk</t>
        </is>
      </c>
      <c r="C472" s="3" t="inlineStr">
        <is>
          <t>src/domain/history.ts</t>
        </is>
      </c>
      <c r="D472" s="3" t="n">
        <v>362</v>
      </c>
      <c r="E472" s="3" t="inlineStr">
        <is>
          <t>2 · DISPLAYED</t>
        </is>
      </c>
      <c r="F472" s="3" t="inlineStr">
        <is>
          <t>My net worth changed since last time — what actually caused it?</t>
        </is>
      </c>
      <c r="G472" s="13"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472"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472" s="3" t="inlineStr">
        <is>
          <t>PARTLY READ — some of the code is still showing through; needs a hand pass</t>
        </is>
      </c>
      <c r="J472" s="3" t="inlineStr">
        <is>
          <t>Nothing is handed to it</t>
        </is>
      </c>
      <c r="K472" s="3" t="inlineStr">
        <is>
          <t>NOT DECLARED — the code does not say what it gives back</t>
        </is>
      </c>
      <c r="L472" s="3" t="inlineStr">
        <is>
          <t>1. "Ending market value (today)" — on the Performance screen, under "HOW $"
2. "Ending market value" — on the Performance screen
3. "Ending value" — on the Performance screen, under "SUMMARY
4. $"
5. "Wealth generated" — on the Account detail screen, under "THE HOLDINGS
6. $"
7. "Wealth generated" — on the Performance screen, under "SUMMARY
8. $"</t>
        </is>
      </c>
      <c r="M472" s="3" t="inlineStr">
        <is>
          <t>1. If contributions is missing it uses 0.
2. If withdrawals is missing it uses 0.
3. If dividends is missing it uses 0.
4. If interest is missing it uses 0.
5. If debt principal is missing it uses 0.</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MK-PF-M-002 · MK-PF-M-003</t>
        </is>
      </c>
      <c r="T472" s="3" t="inlineStr">
        <is>
          <t>NW_CHANGE_WALK</t>
        </is>
      </c>
      <c r="U472" s="3" t="inlineStr">
        <is>
          <t>ACTIVE</t>
        </is>
      </c>
      <c r="V472" s="3" t="inlineStr">
        <is>
          <t>2026-09-09</t>
        </is>
      </c>
      <c r="Y472" s="3" t="inlineStr">
        <is>
          <t>NOTHING OPEN</t>
        </is>
      </c>
    </row>
    <row r="473">
      <c r="A473" s="3" t="inlineStr">
        <is>
          <t>MK-XS-F-012</t>
        </is>
      </c>
      <c r="B473" s="3" t="inlineStr">
        <is>
          <t>decodeCsvBase64</t>
        </is>
      </c>
      <c r="C473" s="3" t="inlineStr">
        <is>
          <t>src/domain/import/holdingsImport.ts</t>
        </is>
      </c>
      <c r="D473" s="3" t="n">
        <v>149</v>
      </c>
      <c r="E473" s="3" t="inlineStr">
        <is>
          <t>2 · DISPLAYED</t>
        </is>
      </c>
      <c r="F473" s="3" t="inlineStr">
        <is>
          <t>What is the text of the file that was picked?</t>
        </is>
      </c>
      <c r="G473" s="13"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473"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473" s="3" t="inlineStr">
        <is>
          <t>PARTLY READ — the body has a loop the extractor cannot render; the steps shown are the ones before it. Needs a hand pass (G23).</t>
        </is>
      </c>
      <c r="J473" s="3" t="inlineStr">
        <is>
          <t>b64: string</t>
        </is>
      </c>
      <c r="K473" s="3" t="inlineStr">
        <is>
          <t>string</t>
        </is>
      </c>
      <c r="L473" s="3" t="inlineStr">
        <is>
          <t>NOT FOUND — a screen calls it, but the words printed beside its answer could not be traced automatically. Needs reading.</t>
        </is>
      </c>
      <c r="M473" s="3" t="inlineStr">
        <is>
          <t>1. Uses a built-in start of 0.
2. Uses a built-in nul of 0.
3. Caps length at 400.</t>
        </is>
      </c>
      <c r="N473" s="3" t="inlineStr">
        <is>
          <t>Yes</t>
        </is>
      </c>
      <c r="O473" s="3" t="inlineStr">
        <is>
          <t>1. MK-XS-F-123 base64ToBytes
2. MK-XS-F-125 decodeUtf16
3. MK-XS-F-124 decodeUtf8</t>
        </is>
      </c>
      <c r="P473" s="3" t="n">
        <v>3</v>
      </c>
      <c r="Q473" s="3" t="inlineStr">
        <is>
          <t>1. MK-XS-F-123 base64ToBytes
2. MK-XS-F-125 decodeUtf16
3. MK-XS-F-124 decodeUtf8</t>
        </is>
      </c>
      <c r="R473" s="3" t="inlineStr">
        <is>
          <t>1. MK-XS-F-123 base64ToBytes → MK-XS-F-012 decodeCsvBase64
2. MK-XS-F-125 decodeUtf16 → MK-XS-F-012 decodeCsvBase64
3. MK-XS-F-124 decodeUtf8 → MK-XS-F-012 decodeCsvBase64</t>
        </is>
      </c>
      <c r="S473" s="3" t="inlineStr">
        <is>
          <t>—</t>
        </is>
      </c>
      <c r="T473" s="3" t="inlineStr">
        <is>
          <t>FILE_DECODE</t>
        </is>
      </c>
      <c r="U473" s="3" t="inlineStr">
        <is>
          <t>ACTIVE</t>
        </is>
      </c>
      <c r="V473" s="3" t="inlineStr">
        <is>
          <t>2026-09-08</t>
        </is>
      </c>
      <c r="Y473" s="3" t="inlineStr">
        <is>
          <t>NOTHING OPEN</t>
        </is>
      </c>
    </row>
    <row r="474">
      <c r="A474" s="3" t="inlineStr">
        <is>
          <t>MK-XS-F-013</t>
        </is>
      </c>
      <c r="B474" s="3" t="inlineStr">
        <is>
          <t>parseCsv</t>
        </is>
      </c>
      <c r="C474" s="3" t="inlineStr">
        <is>
          <t>src/domain/import/holdingsImport.ts</t>
        </is>
      </c>
      <c r="D474" s="3" t="n">
        <v>186</v>
      </c>
      <c r="E474" s="3" t="inlineStr">
        <is>
          <t>3 · DEPENDENT</t>
        </is>
      </c>
      <c r="F474" s="3" t="inlineStr">
        <is>
          <t>Minimal RFC-4180-ish CSV parser: handles quoted fields, embedded commas, "" escapes, CR/LF, BOM.</t>
        </is>
      </c>
      <c r="G474" s="13" t="inlineStr">
        <is>
          <t>rows = []
row = []
field = ''
in quotes = false
s = (text.char code at(0) = 0xFEFF ? text.slice(1) : text).replace( ÷ \r\n ÷ g, "\n").replace( ÷ \r ÷ g, "\n")
c = s[i]
the answer = rows where some((cell) =&gt; cell.trim() ! = '')</t>
        </is>
      </c>
      <c r="H474" s="3" t="inlineStr">
        <is>
          <t>Rows is []. Row is []. Field is ''. In quotes is false. S is (text.char code at(0) = 0xFEFF ? text.slice(1) : text).replace( divided by \r\n divided by g, "\n").replace( divided by \r divided by g, "\n"). C is s[i]. The answer is rows where some((cell) =&gt; cell.trim() ! = '').</t>
        </is>
      </c>
      <c r="I474" s="3" t="inlineStr">
        <is>
          <t>PARTLY READ — some of the code is still showing through; needs a hand pass</t>
        </is>
      </c>
      <c r="J474" s="3" t="inlineStr">
        <is>
          <t>text: string</t>
        </is>
      </c>
      <c r="K474" s="3" t="inlineStr">
        <is>
          <t>string[][]</t>
        </is>
      </c>
      <c r="L474" s="3" t="inlineStr">
        <is>
          <t>—</t>
        </is>
      </c>
      <c r="M474" s="3" t="inlineStr">
        <is>
          <t>None found in this function — anything it assumes comes from the functions it depends on.</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FILE_PARSE</t>
        </is>
      </c>
      <c r="U474" s="3" t="inlineStr">
        <is>
          <t>ACTIVE</t>
        </is>
      </c>
      <c r="V474" s="3" t="inlineStr">
        <is>
          <t>2026-08-27</t>
        </is>
      </c>
      <c r="Y474" s="3" t="inlineStr">
        <is>
          <t>NOTHING OPEN</t>
        </is>
      </c>
    </row>
    <row r="475">
      <c r="A475" s="3" t="inlineStr">
        <is>
          <t>MK-XS-F-014</t>
        </is>
      </c>
      <c r="B475" s="3" t="inlineStr">
        <is>
          <t>classifyHolding</t>
        </is>
      </c>
      <c r="C475" s="3" t="inlineStr">
        <is>
          <t>Calculation Module code/engines/classify.ts</t>
        </is>
      </c>
      <c r="D475" s="3" t="n">
        <v>151</v>
      </c>
      <c r="E475" s="3" t="inlineStr">
        <is>
          <t>3 · DEPENDENT (feeds an action only)</t>
        </is>
      </c>
      <c r="F475" s="3" t="inlineStr">
        <is>
          <t>For a line in a FILE you upload: which class is it?</t>
        </is>
      </c>
      <c r="G475" s="13"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475"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475" s="3" t="inlineStr">
        <is>
          <t>PARTLY READ — some of the code is still showing through; needs a hand pass</t>
        </is>
      </c>
      <c r="J475" s="3" t="inlineStr">
        <is>
          <t>input: ClassifyInput</t>
        </is>
      </c>
      <c r="K475" s="3" t="inlineStr">
        <is>
          <t>Classified</t>
        </is>
      </c>
      <c r="L475" s="3" t="inlineStr">
        <is>
          <t>—</t>
        </is>
      </c>
      <c r="M475" s="3" t="inlineStr">
        <is>
          <t>None found in this function — anything it assumes comes from the functions it depends on.</t>
        </is>
      </c>
      <c r="N475" s="3" t="inlineStr">
        <is>
          <t>No</t>
        </is>
      </c>
      <c r="O475" s="3" t="inlineStr">
        <is>
          <t>1. MK-XS-F-147 call
2. MK-ST-F-056 has
3. MK-ST-F-001 looksFixedIncome</t>
        </is>
      </c>
      <c r="P475" s="3" t="n">
        <v>6</v>
      </c>
      <c r="Q475" s="3" t="inlineStr">
        <is>
          <t>1. MK-XS-F-147 call
2. MK-ST-F-056 has
3. MK-ST-F-001 looksFixedIncome
4. MK-ST-F-027 accountId
5. MK-XS-F-064 currentIdToken
6. MK-XS-F-112 relayUrl</t>
        </is>
      </c>
      <c r="R475"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475" s="3" t="inlineStr">
        <is>
          <t>—</t>
        </is>
      </c>
      <c r="T475" s="3" t="inlineStr">
        <is>
          <t>CLASS_FROM_FILE</t>
        </is>
      </c>
      <c r="U475" s="3" t="inlineStr">
        <is>
          <t>ACTIVE</t>
        </is>
      </c>
      <c r="V475" s="3" t="inlineStr">
        <is>
          <t>2026-08-27</t>
        </is>
      </c>
      <c r="Y475" s="3" t="inlineStr">
        <is>
          <t>NOTHING OPEN</t>
        </is>
      </c>
    </row>
    <row r="476">
      <c r="A476" s="3" t="inlineStr">
        <is>
          <t>MK-XS-F-015</t>
        </is>
      </c>
      <c r="B476" s="3" t="inlineStr">
        <is>
          <t>importHoldings</t>
        </is>
      </c>
      <c r="C476" s="3" t="inlineStr">
        <is>
          <t>src/domain/import/holdingsImport.ts</t>
        </is>
      </c>
      <c r="D476" s="3" t="n">
        <v>426</v>
      </c>
      <c r="E476" s="3" t="inlineStr">
        <is>
          <t>2 · DISPLAYED</t>
        </is>
      </c>
      <c r="F476" s="3" t="inlineStr">
        <is>
          <t>What holdings are in this file?</t>
        </is>
      </c>
      <c r="G476" s="13"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476"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476" s="3" t="inlineStr">
        <is>
          <t>PARTLY READ — some of the code is still showing through; needs a hand pass</t>
        </is>
      </c>
      <c r="J476" s="3" t="inlineStr">
        <is>
          <t>text: string</t>
        </is>
      </c>
      <c r="K476" s="3" t="inlineStr">
        <is>
          <t>ImportResult</t>
        </is>
      </c>
      <c r="L476" s="3" t="inlineStr">
        <is>
          <t>NOT FOUND — a screen calls it, but the words printed beside its answer could not be traced automatically. Needs reading.</t>
        </is>
      </c>
      <c r="M476" s="3" t="inlineStr">
        <is>
          <t>· Uses a built-in skipped of 0.</t>
        </is>
      </c>
      <c r="N476" s="3" t="inlineStr">
        <is>
          <t>Yes</t>
        </is>
      </c>
      <c r="O476" s="3" t="inlineStr">
        <is>
          <t>1. MK-XS-F-172 assetClassForSymbol
2. MK-XS-F-128 cleanTicker
3. MK-XS-F-126 findCol
4. MK-XS-F-129 findHeaderRow
5. MK-CF-F-132 map
6. MK-XS-F-171 numOrNaN
7. MK-XS-F-013 parseCsv
8. MK-XS-F-127 toIsoDate</t>
        </is>
      </c>
      <c r="P476" s="3" t="n">
        <v>16</v>
      </c>
      <c r="Q476"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476"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476" s="3" t="inlineStr">
        <is>
          <t>—</t>
        </is>
      </c>
      <c r="T476" s="3" t="inlineStr">
        <is>
          <t>FILE_IMPORT</t>
        </is>
      </c>
      <c r="U476" s="3" t="inlineStr">
        <is>
          <t>ACTIVE</t>
        </is>
      </c>
      <c r="V476" s="3" t="inlineStr">
        <is>
          <t>2026-08-27</t>
        </is>
      </c>
      <c r="Y476" s="3" t="inlineStr">
        <is>
          <t>NOTHING OPEN</t>
        </is>
      </c>
    </row>
    <row r="477">
      <c r="A477" s="3" t="inlineStr">
        <is>
          <t>MK-XS-F-016</t>
        </is>
      </c>
      <c r="B477" s="3" t="inlineStr">
        <is>
          <t>matchImportAccount</t>
        </is>
      </c>
      <c r="C477" s="3" t="inlineStr">
        <is>
          <t>src/domain/import/holdingsImport.ts</t>
        </is>
      </c>
      <c r="D477" s="3" t="n">
        <v>538</v>
      </c>
      <c r="E477" s="3" t="inlineStr">
        <is>
          <t>2 · DISPLAYED</t>
        </is>
      </c>
      <c r="F477" s="3" t="inlineStr">
        <is>
          <t>The existing account a fresh import from `institution` should offer to update (or null).</t>
        </is>
      </c>
      <c r="G477" s="13" t="inlineStr">
        <is>
          <t>target = norm inst(institution)
nothing   when target is missing
nothing   when count of candidates is missing</t>
        </is>
      </c>
      <c r="H477" s="3" t="inlineStr">
        <is>
          <t>Target is norm inst(institution). When target is missing, it answers no answer. When how many candidates is missing there are, it answers no answer.</t>
        </is>
      </c>
      <c r="I477" s="3" t="inlineStr">
        <is>
          <t>READ FROM THE CODE — rendered from the expressions the function runs</t>
        </is>
      </c>
      <c r="J477" s="3" t="inlineStr">
        <is>
          <t>1. accounts: AssetAccount[]
2. institution: string</t>
        </is>
      </c>
      <c r="K477" s="3" t="inlineStr">
        <is>
          <t>AssetAccount | null</t>
        </is>
      </c>
      <c r="L477" s="3" t="inlineStr">
        <is>
          <t>"Account name" — on the Import holdings screen, under "REVIEW YOUR HOLDINGS"</t>
        </is>
      </c>
      <c r="M477" s="3" t="inlineStr">
        <is>
          <t>· If balance is missing it counts as zero, so nothing recorded and a real zero look the same.</t>
        </is>
      </c>
      <c r="N477" s="3" t="inlineStr">
        <is>
          <t>Yes</t>
        </is>
      </c>
      <c r="O477" s="3" t="inlineStr">
        <is>
          <t>MK-XS-F-130 normInst</t>
        </is>
      </c>
      <c r="P477" s="3" t="n">
        <v>1</v>
      </c>
      <c r="Q477" s="3" t="inlineStr">
        <is>
          <t>MK-XS-F-130 normInst</t>
        </is>
      </c>
      <c r="R477" s="3" t="inlineStr">
        <is>
          <t>MK-XS-F-130 normInst → MK-XS-F-016 matchImportAccount</t>
        </is>
      </c>
      <c r="S477" s="3" t="inlineStr">
        <is>
          <t>—</t>
        </is>
      </c>
      <c r="T477" s="3" t="inlineStr">
        <is>
          <t>IMPORT_ACCOUNT_MATCH</t>
        </is>
      </c>
      <c r="U477" s="3" t="inlineStr">
        <is>
          <t>ACTIVE</t>
        </is>
      </c>
      <c r="V477" s="3" t="inlineStr">
        <is>
          <t>2026-08-27</t>
        </is>
      </c>
      <c r="Y477" s="3" t="inlineStr">
        <is>
          <t>NOTHING OPEN</t>
        </is>
      </c>
    </row>
    <row r="478">
      <c r="A478" s="3" t="inlineStr">
        <is>
          <t>MK-XS-F-017</t>
        </is>
      </c>
      <c r="B478" s="3" t="inlineStr">
        <is>
          <t>currentAge</t>
        </is>
      </c>
      <c r="C478" s="3" t="inlineStr">
        <is>
          <t>src/domain/profile/calc.ts</t>
        </is>
      </c>
      <c r="D478" s="3" t="n">
        <v>35</v>
      </c>
      <c r="E478" s="3" t="inlineStr">
        <is>
          <t>3 · DEPENDENT</t>
        </is>
      </c>
      <c r="F478" s="3" t="inlineStr">
        <is>
          <t>Age in whole years from birth month/year, as of `asOf` (defaults to now).</t>
        </is>
      </c>
      <c r="G478" s="13" t="inlineStr">
        <is>
          <t>nothing   when birth year is missing (or birth month is missing when missing or zero)
age = as of.get full year() − birth year
month idx = birth month − 1
the answer:
age   if age ≥ 0
nothing   otherwise</t>
        </is>
      </c>
      <c r="H478" s="3" t="inlineStr">
        <is>
          <t>When birth year is missing (or birth month is missing — when missing or zero), it answers no answer. Age is as of.get full year() minus birth year. Month idx is birth month minus 1. The answer is age — when age is at least 0; no answer — otherwise.</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 Uses today's date from the device clock, so the answer changes by itself overnight.</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Y478" s="6" t="inlineStr">
        <is>
          <t>TESTED, NOT VERIFIED (G9)</t>
        </is>
      </c>
    </row>
    <row r="479">
      <c r="A479" s="3" t="inlineStr">
        <is>
          <t>MK-XS-F-018</t>
        </is>
      </c>
      <c r="B479" s="3" t="inlineStr">
        <is>
          <t>yearsToRetirement</t>
        </is>
      </c>
      <c r="C479" s="3" t="inlineStr">
        <is>
          <t>src/domain/profile/calc.ts</t>
        </is>
      </c>
      <c r="D479" s="3" t="n">
        <v>107</v>
      </c>
      <c r="E479" s="3" t="inlineStr">
        <is>
          <t>3 · DEPENDENT</t>
        </is>
      </c>
      <c r="F479" s="3" t="inlineStr">
        <is>
          <t>Years until the target retirement age (never negative).</t>
        </is>
      </c>
      <c r="G479" s="13" t="inlineStr">
        <is>
          <t>nothing   when age = nothing (or target retirement age is missing when missing or zero)
max(0, target retirement age − age)</t>
        </is>
      </c>
      <c r="H479" s="3" t="inlineStr">
        <is>
          <t>When age is missing (or target retirement age is missing — when missing or zero), it answers no answer. target retirement age minus age, never below zero.</t>
        </is>
      </c>
      <c r="I479" s="3" t="inlineStr">
        <is>
          <t>READ FROM THE CODE — rendered from the expressions the function runs</t>
        </is>
      </c>
      <c r="J479" s="3" t="inlineStr">
        <is>
          <t>1. age: number | null
2. targetRetirementAge: number | null</t>
        </is>
      </c>
      <c r="K479" s="3" t="inlineStr">
        <is>
          <t>number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Y479" s="3" t="inlineStr">
        <is>
          <t>NOTHING OPEN</t>
        </is>
      </c>
    </row>
    <row r="480">
      <c r="A480" s="3" t="inlineStr">
        <is>
          <t>MK-XS-F-019</t>
        </is>
      </c>
      <c r="B480" s="3" t="inlineStr">
        <is>
          <t>retirementHorizonYears</t>
        </is>
      </c>
      <c r="C480" s="3" t="inlineStr">
        <is>
          <t>src/domain/profile/calc.ts</t>
        </is>
      </c>
      <c r="D480" s="3" t="n">
        <v>137</v>
      </c>
      <c r="E480" s="3" t="inlineStr">
        <is>
          <t>3 · DEPENDENT</t>
        </is>
      </c>
      <c r="F480" s="3" t="inlineStr">
        <is>
          <t>Years the money must last: retirement → plan-to age (default horizon if unset).</t>
        </is>
      </c>
      <c r="G480" s="13" t="inlineStr">
        <is>
          <t>nothing   when target retirement age is missing
horizon = (plan to age ?? DEFAULT_PLAN_TO_AGE) − target retirement age
the answer:
horizon   if horizon &gt; 0
nothing   otherwise</t>
        </is>
      </c>
      <c r="H480" s="3" t="inlineStr">
        <is>
          <t>When target retirement age is missing, it answers no answer. Horizon is (plan to age ?? DEFAULT_PLAN_TO_AGE) minus target retirement age. The answer is horizon — when horizon &gt; 0; no answer — otherwise.</t>
        </is>
      </c>
      <c r="I480" s="3" t="inlineStr">
        <is>
          <t>PARTLY READ — some of the code is still showing through; needs a hand pass</t>
        </is>
      </c>
      <c r="J480" s="3" t="inlineStr">
        <is>
          <t>1. targetRetirementAge: number | null
2. planToAge: number | null</t>
        </is>
      </c>
      <c r="K480" s="3" t="inlineStr">
        <is>
          <t>number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Y480" s="3" t="inlineStr">
        <is>
          <t>NOTHING OPEN</t>
        </is>
      </c>
    </row>
    <row r="481">
      <c r="A481" s="3" t="inlineStr">
        <is>
          <t>MK-XS-F-020</t>
        </is>
      </c>
      <c r="B481" s="3" t="inlineStr">
        <is>
          <t>toReadModel</t>
        </is>
      </c>
      <c r="C481" s="3" t="inlineStr">
        <is>
          <t>src/domain/profile/calc.ts</t>
        </is>
      </c>
      <c r="D481" s="3" t="n">
        <v>167</v>
      </c>
      <c r="E481" s="3" t="inlineStr">
        <is>
          <t>3 · DEPENDENT</t>
        </is>
      </c>
      <c r="F481" s="3" t="inlineStr">
        <is>
          <t>Build the public read-model (profile + derived planning values).</t>
        </is>
      </c>
      <c r="G481" s="13" t="inlineStr">
        <is>
          <t>age = current age(birth year, birth month, as of)</t>
        </is>
      </c>
      <c r="H481" s="3" t="inlineStr">
        <is>
          <t>Age is current age(birth year, birth month, as of).</t>
        </is>
      </c>
      <c r="I481" s="3" t="inlineStr">
        <is>
          <t>READ FROM THE CODE — rendered from the expressions the function runs</t>
        </is>
      </c>
      <c r="J481" s="3" t="inlineStr">
        <is>
          <t>1. p: Profile
2. asOf: Date = new Date()</t>
        </is>
      </c>
      <c r="K481" s="3" t="inlineStr">
        <is>
          <t>ProfileReadModel</t>
        </is>
      </c>
      <c r="L481" s="3" t="inlineStr">
        <is>
          <t>—</t>
        </is>
      </c>
      <c r="M481" s="3" t="inlineStr">
        <is>
          <t>· Uses today's date from the device clock, so the answer changes by itself overnight.</t>
        </is>
      </c>
      <c r="N481" s="3" t="inlineStr">
        <is>
          <t>Yes</t>
        </is>
      </c>
      <c r="O481" s="3" t="inlineStr">
        <is>
          <t>1. MK-XS-F-017 currentAge
2. MK-XS-F-019 retirementHorizonYears
3. MK-XS-F-018 yearsToRetirement</t>
        </is>
      </c>
      <c r="P481" s="3" t="n">
        <v>3</v>
      </c>
      <c r="Q481" s="3" t="inlineStr">
        <is>
          <t>1. MK-XS-F-017 currentAge
2. MK-XS-F-019 retirementHorizonYears
3. MK-XS-F-018 yearsToRetirement</t>
        </is>
      </c>
      <c r="R481" s="3" t="inlineStr">
        <is>
          <t>1. MK-XS-F-017 currentAge → MK-XS-F-020 toReadModel
2. MK-XS-F-019 retirementHorizonYears → MK-XS-F-020 toReadModel
3. MK-XS-F-018 yearsToRetirement → MK-XS-F-020 toReadModel</t>
        </is>
      </c>
      <c r="S481" s="3" t="inlineStr">
        <is>
          <t>—</t>
        </is>
      </c>
      <c r="T481" s="3" t="inlineStr">
        <is>
          <t>—</t>
        </is>
      </c>
      <c r="U481" s="3" t="inlineStr">
        <is>
          <t>ACTIVE</t>
        </is>
      </c>
      <c r="V481" s="3" t="inlineStr">
        <is>
          <t>2026-08-27</t>
        </is>
      </c>
      <c r="Y481" s="3" t="inlineStr">
        <is>
          <t>NOTHING OPEN</t>
        </is>
      </c>
    </row>
    <row r="482">
      <c r="A482" s="3" t="inlineStr">
        <is>
          <t>MK-XS-F-021</t>
        </is>
      </c>
      <c r="B482" s="3" t="inlineStr">
        <is>
          <t>loadProfile</t>
        </is>
      </c>
      <c r="C482" s="3" t="inlineStr">
        <is>
          <t>src/domain/profile/index.ts</t>
        </is>
      </c>
      <c r="D482" s="3" t="n">
        <v>35</v>
      </c>
      <c r="E482" s="3" t="inlineStr">
        <is>
          <t>3 · DEPENDENT (feeds an action only)</t>
        </is>
      </c>
      <c r="F482" s="3" t="inlineStr">
        <is>
          <t>NOT DETERMINED — the code carries no note saying what this is for, and it has no row in the old inventory. Needs reading.</t>
        </is>
      </c>
      <c r="G482" s="13" t="inlineStr">
        <is>
          <t>get user doc&lt;profile&gt;(COLLECTION, uid)</t>
        </is>
      </c>
      <c r="H482" s="3" t="inlineStr">
        <is>
          <t>get user doc&lt;profile&gt;(COLLECTION, uid).</t>
        </is>
      </c>
      <c r="I482" s="3" t="inlineStr">
        <is>
          <t>READ FROM THE CODE — rendered from the expressions the function runs</t>
        </is>
      </c>
      <c r="J482" s="3" t="inlineStr">
        <is>
          <t>uid: UserId</t>
        </is>
      </c>
      <c r="K482" s="3" t="inlineStr">
        <is>
          <t>Promise&lt;Profile | null&gt;</t>
        </is>
      </c>
      <c r="L482" s="3" t="inlineStr">
        <is>
          <t>—</t>
        </is>
      </c>
      <c r="M482" s="3" t="inlineStr">
        <is>
          <t>None found in this function — anything it assumes comes from the functions it depends on.</t>
        </is>
      </c>
      <c r="N482" s="3" t="inlineStr">
        <is>
          <t>No</t>
        </is>
      </c>
      <c r="O482" s="3" t="inlineStr">
        <is>
          <t>MK-XS-F-175 uid</t>
        </is>
      </c>
      <c r="P482" s="3" t="n">
        <v>80</v>
      </c>
      <c r="Q48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2"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482" s="3" t="inlineStr">
        <is>
          <t>—</t>
        </is>
      </c>
      <c r="T482" s="3" t="inlineStr">
        <is>
          <t>—</t>
        </is>
      </c>
      <c r="U482" s="3" t="inlineStr">
        <is>
          <t>ACTIVE</t>
        </is>
      </c>
      <c r="V482" s="3" t="inlineStr">
        <is>
          <t>2026-08-27</t>
        </is>
      </c>
      <c r="Y482" s="3" t="inlineStr">
        <is>
          <t>NOTHING OPEN</t>
        </is>
      </c>
    </row>
    <row r="483">
      <c r="A483" s="3" t="inlineStr">
        <is>
          <t>MK-XS-F-022</t>
        </is>
      </c>
      <c r="B483" s="3" t="inlineStr">
        <is>
          <t>saveProfile</t>
        </is>
      </c>
      <c r="C483" s="3" t="inlineStr">
        <is>
          <t>src/domain/profile/index.ts</t>
        </is>
      </c>
      <c r="D483" s="3" t="n">
        <v>54</v>
      </c>
      <c r="E483" s="3" t="inlineStr">
        <is>
          <t>1 · ACTION</t>
        </is>
      </c>
      <c r="F483" s="3" t="inlineStr">
        <is>
          <t>NOT DETERMINED — the code carries no note saying what this is for, and it has no row in the old inventory. Needs reading.</t>
        </is>
      </c>
      <c r="G483" s="13" t="inlineStr">
        <is>
          <t>It records or announces something and returns no figure — no arithmetic of its own.</t>
        </is>
      </c>
      <c r="H483" s="3" t="inlineStr">
        <is>
          <t>It records or announces something and returns no figure — no arithmetic of its own.</t>
        </is>
      </c>
      <c r="I483" s="3" t="inlineStr">
        <is>
          <t>NO ARITHMETIC — there is no formula to state</t>
        </is>
      </c>
      <c r="J483" s="3" t="inlineStr">
        <is>
          <t>profile: Profile</t>
        </is>
      </c>
      <c r="K483" s="3" t="inlineStr">
        <is>
          <t>Promise&lt;void&gt;</t>
        </is>
      </c>
      <c r="L483" s="3" t="inlineStr">
        <is>
          <t>—</t>
        </is>
      </c>
      <c r="M483" s="3" t="inlineStr">
        <is>
          <t>None found in this function — anything it assumes comes from the functions it depends on.</t>
        </is>
      </c>
      <c r="N483" s="3" t="inlineStr">
        <is>
          <t>Yes</t>
        </is>
      </c>
      <c r="O483" s="3" t="inlineStr">
        <is>
          <t>1. MK-ST-F-040 emit
2. MK-ST-F-042 setUserDoc</t>
        </is>
      </c>
      <c r="P483" s="3" t="n">
        <v>82</v>
      </c>
      <c r="Q48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83"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483" s="3" t="inlineStr">
        <is>
          <t>—</t>
        </is>
      </c>
      <c r="T483" s="3" t="inlineStr">
        <is>
          <t>—</t>
        </is>
      </c>
      <c r="U483" s="3" t="inlineStr">
        <is>
          <t>ACTIVE</t>
        </is>
      </c>
      <c r="V483" s="3" t="inlineStr">
        <is>
          <t>2026-08-27</t>
        </is>
      </c>
      <c r="Y483" s="3" t="inlineStr">
        <is>
          <t>NOTHING OPEN</t>
        </is>
      </c>
    </row>
    <row r="484">
      <c r="A484" s="3" t="inlineStr">
        <is>
          <t>MK-XS-F-023</t>
        </is>
      </c>
      <c r="B484" s="3" t="inlineStr">
        <is>
          <t>getProfileReadModel</t>
        </is>
      </c>
      <c r="C484" s="3" t="inlineStr">
        <is>
          <t>src/domain/profile/index.ts</t>
        </is>
      </c>
      <c r="D484" s="3" t="n">
        <v>78</v>
      </c>
      <c r="E484" s="3" t="inlineStr">
        <is>
          <t>3 · DEPENDENT (feeds an action only)</t>
        </is>
      </c>
      <c r="F484" s="3" t="inlineStr">
        <is>
          <t>Profile + derived planning values (current age, years to retirement, horizon).</t>
        </is>
      </c>
      <c r="G484" s="13" t="inlineStr">
        <is>
          <t>p = await load profile(uid)
the answer:
to read model(p)   if p
nothing   otherwise</t>
        </is>
      </c>
      <c r="H484" s="3" t="inlineStr">
        <is>
          <t>P is await load profile(uid). The answer is to read model(p) — when p; no answer — otherwise.</t>
        </is>
      </c>
      <c r="I484" s="3" t="inlineStr">
        <is>
          <t>READ FROM THE CODE — rendered from the expressions the function runs</t>
        </is>
      </c>
      <c r="J484" s="3" t="inlineStr">
        <is>
          <t>uid: UserId</t>
        </is>
      </c>
      <c r="K484" s="3" t="inlineStr">
        <is>
          <t>Promise&lt;ProfileReadModel | null&gt;</t>
        </is>
      </c>
      <c r="L484" s="3" t="inlineStr">
        <is>
          <t>—</t>
        </is>
      </c>
      <c r="M484" s="3" t="inlineStr">
        <is>
          <t>None found in this function — anything it assumes comes from the functions it depends on.</t>
        </is>
      </c>
      <c r="N484" s="3" t="inlineStr">
        <is>
          <t>No</t>
        </is>
      </c>
      <c r="O484" s="3" t="inlineStr">
        <is>
          <t>1. MK-XS-F-021 loadProfile
2. MK-XS-F-020 toReadModel
3. MK-XS-F-175 uid</t>
        </is>
      </c>
      <c r="P484" s="3" t="n">
        <v>85</v>
      </c>
      <c r="Q484"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484"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484" s="3" t="inlineStr">
        <is>
          <t>—</t>
        </is>
      </c>
      <c r="T484" s="3" t="inlineStr">
        <is>
          <t>—</t>
        </is>
      </c>
      <c r="U484" s="3" t="inlineStr">
        <is>
          <t>ACTIVE</t>
        </is>
      </c>
      <c r="V484" s="3" t="inlineStr">
        <is>
          <t>2026-08-27</t>
        </is>
      </c>
      <c r="Y484" s="3" t="inlineStr">
        <is>
          <t>NOTHING OPEN</t>
        </is>
      </c>
    </row>
    <row r="485">
      <c r="A485" s="3" t="inlineStr">
        <is>
          <t>MK-XS-F-024</t>
        </is>
      </c>
      <c r="B485" s="3" t="inlineStr">
        <is>
          <t>resolveLens</t>
        </is>
      </c>
      <c r="C485" s="3" t="inlineStr">
        <is>
          <t>src/domain/profile/lens.ts</t>
        </is>
      </c>
      <c r="D485" s="3" t="n">
        <v>48</v>
      </c>
      <c r="E485" s="3" t="inlineStr">
        <is>
          <t>2 · DISPLAYED</t>
        </is>
      </c>
      <c r="F485" s="3" t="inlineStr">
        <is>
          <t>The person's explicit choice (first-run stage question / Settings → Your setup) wins.</t>
        </is>
      </c>
      <c r="G485" s="13" t="inlineStr">
        <is>
          <t>override   when override = 'working' (or override = 'retired' when missing or zero)
status = op.status
'retired'   when status = 'retired'
'retired'   when status = 'partial' and current retirement income monthly(op ?? {}) &gt; 0
the answer = 'working'</t>
        </is>
      </c>
      <c r="H485"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485" s="3" t="inlineStr">
        <is>
          <t>PARTLY READ — some of the code is still showing through; needs a hand pass</t>
        </is>
      </c>
      <c r="J485" s="3" t="inlineStr">
        <is>
          <t>1. op: Record&lt;string, any&gt; | null | undefined
2. override?: Lens | null</t>
        </is>
      </c>
      <c r="K485" s="3" t="inlineStr">
        <is>
          <t>Lens</t>
        </is>
      </c>
      <c r="L485" s="3" t="inlineStr">
        <is>
          <t>1. "WILL MY MONEY LAST?" — on the Home screen, under "WILL MY MONEY LAST?"
2. "YOUR FIVE TABS — same order as the bar below" — on a card used on more than one screen (TopBar)</t>
        </is>
      </c>
      <c r="M485" s="3" t="inlineStr">
        <is>
          <t>None found in this function — anything it assumes comes from the functions it depends on.</t>
        </is>
      </c>
      <c r="N485" s="3" t="inlineStr">
        <is>
          <t>Yes</t>
        </is>
      </c>
      <c r="O485" s="3" t="inlineStr">
        <is>
          <t>MK-CF-F-072 currentRetirementIncomeMonthly</t>
        </is>
      </c>
      <c r="P485" s="3" t="n">
        <v>4</v>
      </c>
      <c r="Q485" s="3" t="inlineStr">
        <is>
          <t>1. MK-CF-F-072 currentRetirementIncomeMonthly
2. MK-CF-F-075 retirementIncomeMonthly
3. MK-ST-F-052 toNum
4. MK-XS-F-122 n</t>
        </is>
      </c>
      <c r="R485" s="3" t="inlineStr">
        <is>
          <t>MK-XS-F-122 n → MK-ST-F-052 toNum → MK-CF-F-075 retirementIncomeMonthly → MK-CF-F-072 currentRetirementIncomeMonthly → MK-XS-F-024 resolveLens</t>
        </is>
      </c>
      <c r="S485" s="3" t="inlineStr">
        <is>
          <t>—</t>
        </is>
      </c>
      <c r="T485" s="3" t="inlineStr">
        <is>
          <t>WHICH_VIEW</t>
        </is>
      </c>
      <c r="U485" s="3" t="inlineStr">
        <is>
          <t>ACTIVE</t>
        </is>
      </c>
      <c r="V485" s="3" t="inlineStr">
        <is>
          <t>2026-08-27</t>
        </is>
      </c>
      <c r="Y485" s="3" t="inlineStr">
        <is>
          <t>NOTHING OPEN</t>
        </is>
      </c>
    </row>
    <row r="486">
      <c r="A486" s="3" t="inlineStr">
        <is>
          <t>MK-XS-F-025</t>
        </is>
      </c>
      <c r="B486" s="3" t="inlineStr">
        <is>
          <t>tabOrder</t>
        </is>
      </c>
      <c r="C486" s="3" t="inlineStr">
        <is>
          <t>src/domain/profile/lens.ts</t>
        </is>
      </c>
      <c r="D486" s="3" t="n">
        <v>77</v>
      </c>
      <c r="E486" s="3" t="inlineStr">
        <is>
          <t>2 · DISPLAYED</t>
        </is>
      </c>
      <c r="F486" s="3" t="inlineStr">
        <is>
          <t>Bottom-bar order per lens (design pin: "Tab order is set once from stage; identical across sessions").</t>
        </is>
      </c>
      <c r="G486" s="13" t="inlineStr">
        <is>
          <t>retired → home, cashflow, analytics, plan, invest
otherwise → home, analytics, invest, cashflow, plan</t>
        </is>
      </c>
      <c r="H486" s="3" t="inlineStr">
        <is>
          <t>The order of the tabs for the person's lens — cash flow comes second for someone retired. No arithmetic.</t>
        </is>
      </c>
      <c r="I486" s="3" t="inlineStr">
        <is>
          <t>READ BY HAND 2026-08-26 — checked line by line against the code</t>
        </is>
      </c>
      <c r="J486" s="3" t="inlineStr">
        <is>
          <t>lens: Lens</t>
        </is>
      </c>
      <c r="K486" s="3" t="inlineStr">
        <is>
          <t>FccTab[]</t>
        </is>
      </c>
      <c r="L486" s="3" t="inlineStr">
        <is>
          <t>"YOUR FIVE TABS — same order as the bar below" — on a card used on more than one screen (TopBar)</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2026-09-12</t>
        </is>
      </c>
      <c r="Y486" s="3" t="inlineStr">
        <is>
          <t>NOTHING OPEN</t>
        </is>
      </c>
    </row>
    <row r="487">
      <c r="A487" s="3" t="inlineStr">
        <is>
          <t>MK-XS-F-026</t>
        </is>
      </c>
      <c r="B487" s="3" t="inlineStr">
        <is>
          <t>profileFromOnboarding</t>
        </is>
      </c>
      <c r="C487" s="3" t="inlineStr">
        <is>
          <t>src/domain/profile/onboarding.ts</t>
        </is>
      </c>
      <c r="D487" s="3" t="n">
        <v>55</v>
      </c>
      <c r="E487" s="3" t="inlineStr">
        <is>
          <t>2 · DISPLAYED</t>
        </is>
      </c>
      <c r="F487" s="3" t="inlineStr">
        <is>
          <t>`op` is the consolidated onboardingProfile: { status, name, ...answers }.</t>
        </is>
      </c>
      <c r="G487" s="13" t="inlineStr">
        <is>
          <t>a = op (or none when missing)</t>
        </is>
      </c>
      <c r="H487" s="3" t="inlineStr">
        <is>
          <t>A is op (or none — when missing).</t>
        </is>
      </c>
      <c r="I487" s="3" t="inlineStr">
        <is>
          <t>READ FROM THE CODE — rendered from the expressions the function runs</t>
        </is>
      </c>
      <c r="J487" s="3" t="inlineStr">
        <is>
          <t>1. uid: UserId
2. op: Record&lt;string, any&gt; | null</t>
        </is>
      </c>
      <c r="K487" s="3" t="inlineStr">
        <is>
          <t>Profile</t>
        </is>
      </c>
      <c r="L487" s="3" t="inlineStr">
        <is>
          <t>NOT FOUND — a screen calls it, but the words printed beside its answer could not be traced automatically. Needs reading.</t>
        </is>
      </c>
      <c r="M487" s="3" t="inlineStr">
        <is>
          <t>None found in this function — anything it assumes comes from the functions it depends on.</t>
        </is>
      </c>
      <c r="N487" s="3" t="inlineStr">
        <is>
          <t>Yes</t>
        </is>
      </c>
      <c r="O487" s="3" t="inlineStr">
        <is>
          <t>1. MK-XS-F-131 toInt
2. MK-XS-F-175 uid</t>
        </is>
      </c>
      <c r="P487" s="3" t="n">
        <v>81</v>
      </c>
      <c r="Q487"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87"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487" s="3" t="inlineStr">
        <is>
          <t>—</t>
        </is>
      </c>
      <c r="T487" s="3" t="inlineStr">
        <is>
          <t>—</t>
        </is>
      </c>
      <c r="U487" s="3" t="inlineStr">
        <is>
          <t>ACTIVE</t>
        </is>
      </c>
      <c r="V487" s="3" t="inlineStr">
        <is>
          <t>2026-08-27</t>
        </is>
      </c>
      <c r="Y487" s="3" t="inlineStr">
        <is>
          <t>NOTHING OPEN</t>
        </is>
      </c>
    </row>
    <row r="488">
      <c r="A488" s="3" t="inlineStr">
        <is>
          <t>MK-XS-F-027</t>
        </is>
      </c>
      <c r="B488" s="3" t="inlineStr">
        <is>
          <t>takeHomeMonthly</t>
        </is>
      </c>
      <c r="C488" s="3" t="inlineStr">
        <is>
          <t>src/domain/savings/index.ts</t>
        </is>
      </c>
      <c r="D488" s="3" t="n">
        <v>42</v>
      </c>
      <c r="E488" s="3" t="inlineStr">
        <is>
          <t>2 · DISPLAYED</t>
        </is>
      </c>
      <c r="F488" s="3" t="inlineStr">
        <is>
          <t>True take-home per month: after tax AND after the 401(k) deduction (the cash that hits your account).</t>
        </is>
      </c>
      <c r="G488" s="13" t="inlineStr">
        <is>
          <t>grid = income monthly grid(op, 'available')
the answer = Σ over grid of (amount)÷ 12</t>
        </is>
      </c>
      <c r="H488" s="3" t="inlineStr">
        <is>
          <t>Grid is income monthly grid(op, 'available'). The answer: the amount added up across grid÷ 12.</t>
        </is>
      </c>
      <c r="I488" s="3" t="inlineStr">
        <is>
          <t>READ FROM THE CODE — rendered from the expressions the function runs</t>
        </is>
      </c>
      <c r="J488" s="3" t="inlineStr">
        <is>
          <t>op: OnboardingProfile | null</t>
        </is>
      </c>
      <c r="K488" s="3" t="inlineStr">
        <is>
          <t>number</t>
        </is>
      </c>
      <c r="L488" s="3" t="inlineStr">
        <is>
          <t>"Income (take-home)" — on the budget screen</t>
        </is>
      </c>
      <c r="M488" s="3" t="inlineStr">
        <is>
          <t>None found in this function — anything it assumes comes from the functions it depends on.</t>
        </is>
      </c>
      <c r="N488" s="3" t="inlineStr">
        <is>
          <t>Yes</t>
        </is>
      </c>
      <c r="O488" s="3" t="inlineStr">
        <is>
          <t>1. MK-CF-F-092 incomeMonthlyGrid
2. MK-CF-F-011 savingsByMonth</t>
        </is>
      </c>
      <c r="P488" s="3" t="n">
        <v>53</v>
      </c>
      <c r="Q488" s="3" t="inlineStr">
        <is>
          <t>1. MK-CF-F-092 incomeMonthlyGrid
2. MK-CF-F-011 savingsByMonth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MK-CF-F-008 spendByMonth
20. MK-CF-F-075 retirementIncomeMonthly
21. MK-CF-F-062 equityRowValue
22. MK-CF-F-070 benefitAnnual
23. MK-ST-F-039 on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MK-XS-F-122 n
39. MK-CF-F-120 pctBaseMonthly
40. MK-CF-F-004 spendBuckets
41. MK-CF-F-101 taxOwedFor
42. MK-CF-F-100 taxableIncomeFor
43. MK-CF-F-172 hasWage
44. MK-CF-F-074 tipsAnnual
45. MK-CF-F-130 enteredMonthlyRaw
46. MK-CF-F-166 hasMonthlySalaryTable
47. MK-ST-F-036 reconcile
48. MK-CF-F-167 salaryCalendarYear
49. MK-CF-F-003 categoryMonthly
50. MK-CF-F-099 deductionFor
51. MK-CF-F-081 salaryActiveMonths
52. MK-CF-F-165 salaryMonths
53. MK-CF-F-187 seniorDeductionFor</t>
        </is>
      </c>
      <c r="R488"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488" s="3" t="inlineStr">
        <is>
          <t>—</t>
        </is>
      </c>
      <c r="T488" s="3" t="inlineStr">
        <is>
          <t>—</t>
        </is>
      </c>
      <c r="U488" s="3" t="inlineStr">
        <is>
          <t>ACTIVE</t>
        </is>
      </c>
      <c r="V488" s="3" t="inlineStr">
        <is>
          <t>2026-09-09</t>
        </is>
      </c>
      <c r="Y488" s="3" t="inlineStr">
        <is>
          <t>NOTHING OPEN</t>
        </is>
      </c>
    </row>
    <row r="489">
      <c r="A489" s="3" t="inlineStr">
        <is>
          <t>MK-XS-F-028</t>
        </is>
      </c>
      <c r="B489" s="3" t="inlineStr">
        <is>
          <t>surplusByMonth</t>
        </is>
      </c>
      <c r="C489" s="3" t="inlineStr">
        <is>
          <t>src/domain/savings/index.ts</t>
        </is>
      </c>
      <c r="D489" s="3" t="n">
        <v>71</v>
      </c>
      <c r="E489" s="3" t="inlineStr">
        <is>
          <t>2 · DISPLAYED</t>
        </is>
      </c>
      <c r="F489" s="3" t="inlineStr">
        <is>
          <t>Planned SURPLUS, month by month, AFTER debt (the canonical word, per the 2026-06-23 decision).</t>
        </is>
      </c>
      <c r="G489" s="13" t="inlineStr">
        <is>
          <t>debt = actual debt payment(debts)
the answer:
for each of savings by month(op): label = label
amount = amount − debt</t>
        </is>
      </c>
      <c r="H489" s="3" t="inlineStr">
        <is>
          <t>Debt is actual debt payment(debts). The answer is for each of savings by month(op): label = label; amount = amount minus debt.</t>
        </is>
      </c>
      <c r="I489" s="3" t="inlineStr">
        <is>
          <t>READ FROM THE CODE — rendered from the expressions the function runs</t>
        </is>
      </c>
      <c r="J489" s="3" t="inlineStr">
        <is>
          <t>1. op: OnboardingProfile | null
2. debts: Debt[] = []</t>
        </is>
      </c>
      <c r="K489" s="3" t="inlineStr">
        <is>
          <t>NOT DECLARED — the code does not say what it gives back</t>
        </is>
      </c>
      <c r="L489" s="3" t="inlineStr">
        <is>
          <t>"Plan" — on the Goals screen</t>
        </is>
      </c>
      <c r="M489" s="3" t="inlineStr">
        <is>
          <t>None found in this function — anything it assumes comes from the functions it depends on.</t>
        </is>
      </c>
      <c r="N489" s="3" t="inlineStr">
        <is>
          <t>Yes</t>
        </is>
      </c>
      <c r="O489" s="3" t="inlineStr">
        <is>
          <t>1. MK-CF-F-026 actualDebtPayment
2. MK-CF-F-132 map
3. MK-ST-F-036 reconcile
4. MK-CF-F-011 savingsByMonth</t>
        </is>
      </c>
      <c r="P489" s="3" t="n">
        <v>59</v>
      </c>
      <c r="Q489" s="3" t="inlineStr">
        <is>
          <t>1. MK-CF-F-026 actualDebtPayment
2. MK-CF-F-132 map
3. MK-ST-F-036 reconcile
4. MK-CF-F-011 savingsByMonth
5. MK-CF-F-024 totalDebtMonthly
6. MK-CF-F-092 incomeMonthlyGrid
7. MK-CF-F-008 spendByMonth
8. MK-CF-F-023 requiredPayment
9. MK-CF-F-069 benefitActiveMonths
10. MK-CF-F-072 currentRetirementIncomeMonthly
11. MK-CF-F-065 equityVestWeights
12. MK-CF-F-071 extraIncome
13. MK-ST-F-056 has
14. MK-CF-F-087 monthlyTaxRates
15. MK-CF-F-073 otherIncomeMonth
16. MK-CF-F-181 rateInForce
17. MK-CF-F-068 rentalNetAnnual
18. MK-CF-F-066 rsuAnnual
19. MK-CF-F-060 salaryGrossByMonth
20. MK-CF-F-077 scholarshipByCalendarMonth
21. MK-CF-F-088 taxableByCalendarMonth
22. MK-ST-F-052 toNum
23. MK-PL-F-012 waterfall
24. MK-CF-F-120 pctBaseMonthly
25. MK-CF-F-004 spendBuckets
26. MK-CF-F-022 paymentShape
27. MK-CF-F-075 retirementIncomeMonthly
28. MK-CF-F-062 equityRowValue
29. MK-CF-F-070 benefitAnnual
30. MK-ST-F-039 on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MK-CF-F-067 rentalList
42. MK-CF-F-063 rowVestYear
43. MK-CF-F-176 sumMonthsOverEarners
44. MK-CF-F-177 wageGrossByMonth
45. MK-XS-F-122 n
46. MK-CF-F-003 categoryMonthly
47. MK-CF-F-021 defaultPaymentType
48. MK-CF-F-101 taxOwedFor
49. MK-CF-F-100 taxableIncomeFor
50. MK-CF-F-172 hasWage
51. MK-CF-F-074 tipsAnnual
52. MK-CF-F-130 enteredMonthlyRaw
53. MK-CF-F-166 hasMonthlySalaryTable
54. MK-CF-F-167 salaryCalendarYear
55. MK-XS-F-027 takeHomeMonthly
56. MK-CF-F-099 deductionFor
57. MK-CF-F-081 salaryActiveMonths
58. MK-CF-F-165 salaryMonths
59. MK-CF-F-187 seniorDeductionFor</t>
        </is>
      </c>
      <c r="R489" s="3" t="inlineStr">
        <is>
          <t>1. MK-CF-F-021 defaultPaymentType → MK-CF-F-022 paymentShape → MK-CF-F-023 requiredPayment → MK-CF-F-024 totalDebtMonthly → MK-CF-F-026 actualDebtPayment → MK-XS-F-028 surplusByMonth
2. MK-CF-F-132 map → MK-XS-F-028 surplusByMonth
3. MK-ST-F-036 reconcile → MK-XS-F-028 surplusByMonth
4. MK-CF-F-069 benefitActiveMonths → MK-CF-F-092 incomeMonthlyGrid → MK-CF-F-011 savingsByMonth → MK-XS-F-028 surplusByMonth
5. MK-ST-F-052 toNum → MK-CF-F-075 retirementIncomeMonthly → MK-CF-F-072 currentRetirementIncomeMonthly → MK-CF-F-092 incomeMonthlyGrid → MK-CF-F-011 savingsByMonth → MK-XS-F-028 surplusByMonth
6. MK-ST-F-052 toNum → MK-CF-F-062 equityRowValue → MK-CF-F-065 equityVestWeights → MK-CF-F-092 incomeMonthlyGrid → MK-CF-F-011 savingsByMonth → MK-XS-F-028 surplusByMonth
7. MK-CF-F-132 map → MK-CF-F-065 equityVestWeights → MK-CF-F-092 incomeMonthlyGrid → MK-CF-F-011 savingsByMonth → MK-XS-F-028 surplusByMonth
8. MK-CF-F-069 benefitActiveMonths → MK-CF-F-070 benefitAnnual → MK-CF-F-071 extraIncome → MK-CF-F-092 incomeMonthlyGrid → MK-CF-F-011 savingsByMonth → MK-XS-F-028 surplusByMonth
9. … and 4 more paths</t>
        </is>
      </c>
      <c r="S489" s="3" t="inlineStr">
        <is>
          <t>—</t>
        </is>
      </c>
      <c r="T489" s="3" t="inlineStr">
        <is>
          <t>—</t>
        </is>
      </c>
      <c r="U489" s="3" t="inlineStr">
        <is>
          <t>ACTIVE</t>
        </is>
      </c>
      <c r="V489" s="3" t="inlineStr">
        <is>
          <t>2026-09-09</t>
        </is>
      </c>
      <c r="Y489" s="3" t="inlineStr">
        <is>
          <t>NOTHING OPEN</t>
        </is>
      </c>
    </row>
    <row r="490">
      <c r="A490" s="3" t="inlineStr">
        <is>
          <t>MK-XS-F-029</t>
        </is>
      </c>
      <c r="B490" s="3" t="inlineStr">
        <is>
          <t>monthlySavings</t>
        </is>
      </c>
      <c r="C490" s="3" t="inlineStr">
        <is>
          <t>src/domain/savings/index.ts</t>
        </is>
      </c>
      <c r="D490" s="3" t="n">
        <v>95</v>
      </c>
      <c r="E490" s="3" t="inlineStr">
        <is>
          <t>2 · DISPLAYED</t>
        </is>
      </c>
      <c r="F490" s="3" t="inlineStr">
        <is>
          <t>Monthly savings (the FLOW) — Build-47 walk row 7: DERIVED as the 12-month average of surplusByMonth, so the flat figure and the by-month figures can never drift apart (they used to be two parallel formulas that merely CLAIMED to reconcile).</t>
        </is>
      </c>
      <c r="G490" s="13" t="inlineStr">
        <is>
          <t>months = surplus by month(op, debts)
the answer = Σ over months of (amount)÷ 12</t>
        </is>
      </c>
      <c r="H490" s="3" t="inlineStr">
        <is>
          <t>Months is surplus by month(op, debts). The answer: the amount added up across months÷ 12.</t>
        </is>
      </c>
      <c r="I490" s="3" t="inlineStr">
        <is>
          <t>READ FROM THE CODE — rendered from the expressions the function runs</t>
        </is>
      </c>
      <c r="J490" s="3" t="inlineStr">
        <is>
          <t>1. op: OnboardingProfile | null
2. debts: Debt[] = []</t>
        </is>
      </c>
      <c r="K490" s="3" t="inlineStr">
        <is>
          <t>number</t>
        </is>
      </c>
      <c r="L490" s="3" t="inlineStr">
        <is>
          <t>"Free to put to work each month" — on the Goals together screen, under "CAN YOU DO IT ALL?"</t>
        </is>
      </c>
      <c r="M490" s="3" t="inlineStr">
        <is>
          <t>None found in this function — anything it assumes comes from the functions it depends on.</t>
        </is>
      </c>
      <c r="N490" s="3" t="inlineStr">
        <is>
          <t>Yes</t>
        </is>
      </c>
      <c r="O490" s="3" t="inlineStr">
        <is>
          <t>MK-XS-F-028 surplusByMonth</t>
        </is>
      </c>
      <c r="P490" s="3" t="n">
        <v>60</v>
      </c>
      <c r="Q490" s="3" t="inlineStr">
        <is>
          <t>1. MK-XS-F-028 surplusByMonth
2. MK-CF-F-026 actualDebtPayment
3. MK-CF-F-132 map
4. MK-ST-F-036 reconcile
5. MK-CF-F-011 savingsByMonth
6. MK-CF-F-024 totalDebtMonthly
7. MK-CF-F-092 incomeMonthlyGrid
8. MK-CF-F-008 spendByMonth
9. MK-CF-F-023 requiredPayment
10. MK-CF-F-069 benefitActiveMonths
11. MK-CF-F-072 currentRetirementIncomeMonthly
12. MK-CF-F-065 equityVestWeights
13. MK-CF-F-071 extraIncome
14. MK-ST-F-056 has
15. MK-CF-F-087 monthlyTaxRates
16. MK-CF-F-073 otherIncomeMonth
17. MK-CF-F-181 rateInForce
18. MK-CF-F-068 rentalNetAnnual
19. MK-CF-F-066 rsuAnnual
20. MK-CF-F-060 salaryGrossByMonth
21. MK-CF-F-077 scholarshipByCalendarMonth
22. MK-CF-F-088 taxableByCalendarMonth
23. MK-ST-F-052 toNum
24. MK-PL-F-012 waterfall
25. MK-CF-F-120 pctBaseMonthly
26. MK-CF-F-004 spendBuckets
27. MK-CF-F-022 paymentShape
28. MK-CF-F-075 retirementIncomeMonthly
29. MK-CF-F-062 equityRowValue
30. MK-CF-F-070 benefitAnnual
31. MK-ST-F-039 on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MK-CF-F-067 rentalList
43. MK-CF-F-063 rowVestYear
44. MK-CF-F-176 sumMonthsOverEarners
45. MK-CF-F-177 wageGrossByMonth
46. MK-XS-F-122 n
47. MK-CF-F-003 categoryMonthly
48. MK-CF-F-021 defaultPaymentType
49. MK-CF-F-101 taxOwedFor
50. MK-CF-F-100 taxableIncomeFor
51. MK-CF-F-172 hasWage
52. MK-CF-F-074 tipsAnnual
53. MK-CF-F-130 enteredMonthlyRaw
54. MK-CF-F-166 hasMonthlySalaryTable
55. MK-CF-F-167 salaryCalendarYear
56. MK-XS-F-027 takeHomeMonthly
57. MK-CF-F-099 deductionFor
58. MK-CF-F-081 salaryActiveMonths
59. MK-CF-F-165 salaryMonths
60. MK-CF-F-187 seniorDeductionFor</t>
        </is>
      </c>
      <c r="R490" s="3" t="inlineStr">
        <is>
          <t>1. MK-CF-F-022 paymentShape → MK-CF-F-023 requiredPayment → MK-CF-F-024 totalDebtMonthly → MK-CF-F-026 actualDebtPayment → MK-XS-F-028 surplusByMonth → MK-XS-F-029 monthlySavings
2. MK-CF-F-132 map → MK-XS-F-028 surplusByMonth → MK-XS-F-029 monthlySavings
3. MK-ST-F-036 reconcile → MK-XS-F-028 surplusByMonth → MK-XS-F-029 monthlySavings
4. MK-CF-F-069 benefitActiveMonths → MK-CF-F-092 incomeMonthlyGrid → MK-CF-F-011 savingsByMonth → MK-XS-F-028 surplusByMonth → MK-XS-F-029 monthlySavings
5. MK-CF-F-075 retirementIncomeMonthly → MK-CF-F-072 currentRetirementIncomeMonthly → MK-CF-F-092 incomeMonthlyGrid → MK-CF-F-011 savingsByMonth → MK-XS-F-028 surplusByMonth → MK-XS-F-029 monthlySavings
6. MK-CF-F-062 equityRowValue → MK-CF-F-065 equityVestWeights → MK-CF-F-092 incomeMonthlyGrid → MK-CF-F-011 savingsByMonth → MK-XS-F-028 surplusByMonth → MK-XS-F-029 monthlySavings
7. MK-CF-F-132 map → MK-CF-F-065 equityVestWeights → MK-CF-F-092 incomeMonthlyGrid → MK-CF-F-011 savingsByMonth → MK-XS-F-028 surplusByMonth → MK-XS-F-029 monthlySavings
8. MK-CF-F-070 benefitAnnual → MK-CF-F-071 extraIncome → MK-CF-F-092 incomeMonthlyGrid → MK-CF-F-011 savingsByMonth → MK-XS-F-028 surplusByMonth → MK-XS-F-029 monthlySavings
9. … and 4 more paths</t>
        </is>
      </c>
      <c r="S490" s="3" t="inlineStr">
        <is>
          <t>—</t>
        </is>
      </c>
      <c r="T490" s="3" t="inlineStr">
        <is>
          <t>—</t>
        </is>
      </c>
      <c r="U490" s="3" t="inlineStr">
        <is>
          <t>ACTIVE</t>
        </is>
      </c>
      <c r="V490" s="3" t="inlineStr">
        <is>
          <t>2026-09-09</t>
        </is>
      </c>
      <c r="Y490" s="3" t="inlineStr">
        <is>
          <t>NOTHING OPEN</t>
        </is>
      </c>
    </row>
    <row r="491">
      <c r="A491" s="3" t="inlineStr">
        <is>
          <t>MK-XS-F-030</t>
        </is>
      </c>
      <c r="B491" s="3" t="inlineStr">
        <is>
          <t>effectiveAnnualContribution</t>
        </is>
      </c>
      <c r="C491" s="3" t="inlineStr">
        <is>
          <t>src/domain/snapshot.ts</t>
        </is>
      </c>
      <c r="D491" s="3" t="n">
        <v>65</v>
      </c>
      <c r="E491" s="3" t="inlineStr">
        <is>
          <t>3 · DEPENDENT</t>
        </is>
      </c>
      <c r="F491" s="3" t="inlineStr">
        <is>
          <t>NEGATIVE CASH FLOW DRAINS WEALTH — committed contributions don't create money.</t>
        </is>
      </c>
      <c r="G491" s="13"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491"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491" s="3" t="inlineStr">
        <is>
          <t>PARTLY READ — some of the code is still showing through; needs a hand pass</t>
        </is>
      </c>
      <c r="J491" s="3" t="inlineStr">
        <is>
          <t>op: Record&lt;string, any&gt; | null</t>
        </is>
      </c>
      <c r="K491" s="3" t="inlineStr">
        <is>
          <t>number</t>
        </is>
      </c>
      <c r="L491" s="3" t="inlineStr">
        <is>
          <t>—</t>
        </is>
      </c>
      <c r="M491" s="3" t="inlineStr">
        <is>
          <t>· Turns a monthly figure into a year by multiplying by twelve.</t>
        </is>
      </c>
      <c r="N491" s="3" t="inlineStr">
        <is>
          <t>Yes</t>
        </is>
      </c>
      <c r="O491" s="3" t="inlineStr">
        <is>
          <t>1. MK-NW-F-041 monthlyContributionsFromOnboarding
2. MK-CF-F-011 savingsByMonth
3. MK-ST-F-052 toNum</t>
        </is>
      </c>
      <c r="P491" s="3" t="n">
        <v>58</v>
      </c>
      <c r="Q491"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MK-CF-F-087 monthlyTaxRates
17. MK-CF-F-073 otherIncomeMonth
18. MK-CF-F-181 rateInForce
19. MK-CF-F-068 rentalNetAnnual
20. MK-CF-F-066 rsuAnnual
21. MK-CF-F-060 salaryGrossByMonth
22. MK-CF-F-077 scholarshipByCalendarMonth
23. MK-CF-F-088 taxableByCalendarMonth
24. MK-PL-F-012 waterfall
25. MK-CF-F-120 pctBaseMonthly
26. MK-CF-F-004 spendBuckets
27. MK-CF-F-173 earnerWages
28. MK-CF-F-075 retirementIncomeMonthly
29. MK-CF-F-062 equityRowValue
30. MK-CF-F-070 benefitAnnual
31. MK-ST-F-039 on
32. MK-CF-F-090 effectiveRate
33. MK-CF-F-085 filingStatusOf
34. MK-CF-F-089 over65CountOf
35. MK-CF-F-098 progressiveMonthlyTax
36. MK-CF-F-086 stateRateOf
37. MK-CF-F-102 effectiveRateOnGrossFor
38. MK-CF-F-180 enteredLandsAnnual
39. MK-CF-F-082 salaryAnnual
40. MK-CF-F-084 taxableAnnual
41. MK-CF-F-067 rentalList
42. MK-CF-F-063 rowVestYear
43. MK-CF-F-176 sumMonthsOverEarners
44. MK-CF-F-177 wageGrossByMonth
45. MK-CF-F-003 categoryMonthly
46. MK-CF-F-172 hasWage
47. MK-CF-F-101 taxOwedFor
48. MK-CF-F-100 taxableIncomeFor
49. MK-CF-F-074 tipsAnnual
50. MK-CF-F-130 enteredMonthlyRaw
51. MK-CF-F-166 hasMonthlySalaryTable
52. MK-ST-F-036 reconcile
53. MK-CF-F-167 salaryCalendarYear
54. MK-XS-F-027 takeHomeMonthly
55. MK-CF-F-099 deductionFor
56. MK-CF-F-081 salaryActiveMonths
57. MK-CF-F-165 salaryMonths
58. MK-CF-F-187 seniorDeductionFor</t>
        </is>
      </c>
      <c r="R491"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491" s="3" t="inlineStr">
        <is>
          <t>—</t>
        </is>
      </c>
      <c r="T491" s="3" t="inlineStr">
        <is>
          <t>—</t>
        </is>
      </c>
      <c r="U491" s="3" t="inlineStr">
        <is>
          <t>ACTIVE</t>
        </is>
      </c>
      <c r="V491" s="3" t="inlineStr">
        <is>
          <t>2026-09-12</t>
        </is>
      </c>
      <c r="Y491" s="3" t="inlineStr">
        <is>
          <t>NOTHING OPEN</t>
        </is>
      </c>
    </row>
    <row r="492">
      <c r="A492" s="3" t="inlineStr">
        <is>
          <t>MK-XS-F-031</t>
        </is>
      </c>
      <c r="B492" s="3" t="inlineStr">
        <is>
          <t>buildSnapshot</t>
        </is>
      </c>
      <c r="C492" s="3" t="inlineStr">
        <is>
          <t>src/domain/snapshot.ts</t>
        </is>
      </c>
      <c r="D492" s="3" t="n">
        <v>124</v>
      </c>
      <c r="E492" s="3" t="inlineStr">
        <is>
          <t>2 · DISPLAYED</t>
        </is>
      </c>
      <c r="F492" s="3" t="inlineStr">
        <is>
          <t>Build a snapshot from EXPLICIT net-worth rows.</t>
        </is>
      </c>
      <c r="G492" s="13"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492"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492" s="3" t="inlineStr">
        <is>
          <t>READ FROM THE CODE — rendered from the expressions the function runs</t>
        </is>
      </c>
      <c r="J492" s="3" t="inlineStr">
        <is>
          <t>Nothing is handed to it</t>
        </is>
      </c>
      <c r="K492" s="3" t="inlineStr">
        <is>
          <t>NOT DECLARED — the code does not say what it gives back</t>
        </is>
      </c>
      <c r="L492" s="3" t="inlineStr">
        <is>
          <t>NOT FOUND — a screen calls it, but the words printed beside its answer could not be traced automatically. Needs reading.</t>
        </is>
      </c>
      <c r="M492" s="3" t="inlineStr">
        <is>
          <t>1. If current age is missing it uses 35.
2. If target retirement age is missing it uses 65.
3. If plan to age is missing it uses 90.</t>
        </is>
      </c>
      <c r="N492" s="3" t="inlineStr">
        <is>
          <t>Yes</t>
        </is>
      </c>
      <c r="O492"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492" s="3" t="n">
        <v>175</v>
      </c>
      <c r="Q492"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MK-CF-F-067 rentalList
47. MK-CF-F-066 rsuAnnual
48. MK-CF-F-082 salaryAnnual
49. MK-CF-F-074 tipsAnnual
50. MK-XS-F-131 toInt
51. MK-PL-F-047 colFactor
52. MK-PL-F-001 taxBucketSplit
53. MK-XS-F-017 currentAge
54. MK-XS-F-019 retirementHorizonYears
55. MK-XS-F-018 yearsToRetirement
56. MK-ST-F-027 accountId
57. MK-CF-F-111 applyTransaction
58. MK-NW-F-040 assetsFromOnboarding
59. MK-PF-F-013 benchmarkTicker
60. MK-ST-F-028 buildDayFromAccounts
61. MK-PF-F-034 closeOnOrBefore
62. MK-CF-F-186 convertTakeHomeMode
63. MK-CF-F-038 debtsFromOnboarding
64. MK-XS-F-083 fetchPriceSeries
65. MK-ST-F-056 has
66. MK-CF-F-116 inverseOf
67. MK-ST-F-065 isoLocalDate
68. MK-CF-F-112 makeTransaction
69. MK-XS-F-006 pruneDaily
70. MK-ST-F-073 rebuildDays
71. MK-NW-F-054 reclassifyAccounts
72. MK-XS-F-174 recomputeBalances
73. MK-CF-F-115 restoreUndo
74. MK-CF-F-109 reviewTransactions
75. MK-ST-F-044 setMoneyFormat
76. MK-CF-F-114 undoSnapshot
77. MK-CF-F-191 ym
78. MK-NW-F-007 assetKind
79. MK-NW-F-030 earmarkDefault
80. MK-NW-F-011 assetClassOf
81. MK-CF-F-092 incomeMonthlyGrid
82. MK-XS-F-027 takeHomeMonthly
83. MK-CF-F-003 categoryMonthly
84. MK-CF-F-024 totalDebtMonthly
85. MK-CF-F-022 paymentShape
86. MK-CF-F-102 effectiveRateOnGrossFor
87. MK-CF-F-044 annualNet
88. MK-CF-F-127 isRental
89. MK-CF-F-101 taxOwedFor
90. MK-CF-F-100 taxableIncomeFor
91. MK-PL-F-074 median
92. MK-PL-F-072 mulberry32
93. MK-PL-F-073 normal
94. MK-PL-F-075 pctOfSorted
95. MK-ST-F-025 rmdStartAgeFromAge
96. MK-CF-F-008 spendByMonth
97. MK-CF-F-069 benefitActiveMonths
98. MK-CF-F-075 retirementIncomeMonthly
99. MK-CF-F-175 sumOverEarners
100. MK-CF-F-178 wageMatchMonthly
101. MK-CF-F-062 equityRowValue
102. MK-CF-F-063 rowVestYear
103. MK-CF-F-060 salaryGrossByMonth
104. MK-CF-F-081 salaryActiveMonths
105. MK-CF-F-138 addLot
106. MK-CF-F-136 bumpCash
107. MK-CF-F-137 findPos
108. MK-CF-F-139 removeShares
109. MK-PF-F-001 totalShares
110. MK-ST-F-053 money
111. MK-CF-F-085 filingStatusOf
112. MK-CF-F-097 grossFromNet
113. MK-CF-F-185 needsTakeHomeConversion
114. MK-CF-F-089 over65CountOf
115. MK-CF-F-037 inferDebtType
116. MK-ST-F-069 amountOf
117. MK-CF-F-133 cashOf
118. MK-ST-F-066 isDayKey
119. MK-ST-F-070 isOpening
120. MK-ST-F-071 rebuildableFrom
121. MK-ST-F-068 stepDay
122. MK-ST-F-072 undo
123. MK-NW-F-053 correctClassOf
124. MK-NW-F-008 incomeBearingClassOf
125. MK-PF-F-002 costBasis
126. MK-PF-F-009 latestClose
127. MK-PF-F-004 marketValue
128. MK-ST-F-030 record
129. MK-XS-F-024 resolveLens
130. MK-ST-F-055 round2
131. MK-CF-F-162 daysApart
132. MK-CF-F-108 isMoneyOut
133. MK-CF-F-131 normPayee
134. MK-CF-F-113 affectedAccountIds
135. MK-NW-F-013 realEstateUseOf
136. MK-CF-F-071 extraIncome
137. MK-CF-F-087 monthlyTaxRates
138. MK-CF-F-073 otherIncomeMonth
139. MK-CF-F-181 rateInForce
140. MK-CF-F-068 rentalNetAnnual
141. MK-CF-F-077 scholarshipByCalendarMonth
142. MK-CF-F-088 taxableByCalendarMonth
143. MK-CF-F-120 pctBaseMonthly
144. MK-CF-F-023 requiredPayment
145. MK-CF-F-021 defaultPaymentType
146. MK-CF-F-099 deductionFor
147. MK-ST-F-024 rmdStartAge
148. MK-CF-F-173 earnerWages
149. MK-CF-F-176 sumMonthsOverEarners
150. MK-CF-F-177 wageGrossByMonth
151. MK-CF-F-134 usesSleeve
152. MK-ST-F-049 formatMoney
153. MK-ST-F-067 utcOfDay
154. MK-ST-F-035 covers
155. MK-NW-F-009 maturityClass
156. MK-ST-F-010 nameEvidence
157. MK-PF-F-031 contractMultiplier
158. MK-ST-F-039 on
159. MK-CF-F-090 effectiveRate
160. MK-CF-F-086 stateRateOf
161. MK-CF-F-180 enteredLandsAnnual
162. MK-CF-F-084 taxableAnnual
163. MK-CF-F-187 seniorDeductionFor
164. MK-CF-F-172 hasWage
165. MK-CF-F-130 enteredMonthlyRaw
166. MK-CF-F-166 hasMonthlySalaryTable
167. MK-ST-F-036 reconcile
168. MK-CF-F-167 salaryCalendarYear
169. MK-ST-F-048 currencySymbol
170. MK-ST-F-034 firstDate
171. MK-XS-F-147 call
172. MK-CF-F-165 salaryMonths
173. MK-ST-F-047 activeCurrency
174. MK-XS-F-064 currentIdToken
175. MK-XS-F-112 relayUrl</t>
        </is>
      </c>
      <c r="R492"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492" s="3" t="inlineStr">
        <is>
          <t>—</t>
        </is>
      </c>
      <c r="T492" s="3" t="inlineStr">
        <is>
          <t>—</t>
        </is>
      </c>
      <c r="U492" s="3" t="inlineStr">
        <is>
          <t>ACTIVE</t>
        </is>
      </c>
      <c r="V492" s="3" t="inlineStr">
        <is>
          <t>2026-08-27</t>
        </is>
      </c>
      <c r="Y492" s="3" t="inlineStr">
        <is>
          <t>NOTHING OPEN</t>
        </is>
      </c>
    </row>
    <row r="493">
      <c r="A493" s="3" t="inlineStr">
        <is>
          <t>MK-XS-F-032</t>
        </is>
      </c>
      <c r="B493" s="3" t="inlineStr">
        <is>
          <t>snapshotFromOnboarding</t>
        </is>
      </c>
      <c r="C493" s="3" t="inlineStr">
        <is>
          <t>src/domain/snapshot.ts</t>
        </is>
      </c>
      <c r="D493" s="3" t="n">
        <v>198</v>
      </c>
      <c r="E493" s="3" t="inlineStr">
        <is>
          <t>3 · DEPENDENT (feeds an action only)</t>
        </is>
      </c>
      <c r="F493" s="3" t="inlineStr">
        <is>
          <t>Snapshot from onboarding answers alone — for headless/test callers (and any surface that runs before Net Worth is set up).</t>
        </is>
      </c>
      <c r="G493" s="13" t="inlineStr">
        <is>
          <t>build snapshot(uid, op, econ, assets from onboarding(uid, op).accounts, debts from onboarding(uid, op).debts)</t>
        </is>
      </c>
      <c r="H493" s="3" t="inlineStr">
        <is>
          <t>build snapshot(uid, op, econ, assets from onboarding(uid, op).accounts, debts from onboarding(uid, op).debts).</t>
        </is>
      </c>
      <c r="I493" s="3" t="inlineStr">
        <is>
          <t>PARTLY READ — some of the code is still showing through; needs a hand pass</t>
        </is>
      </c>
      <c r="J493" s="3" t="inlineStr">
        <is>
          <t>1. uid: UserId
2. op: Record&lt;string, any&gt; | null
3. econ: EconomicData</t>
        </is>
      </c>
      <c r="K493" s="3" t="inlineStr">
        <is>
          <t>FinancialSnapshot</t>
        </is>
      </c>
      <c r="L493" s="3" t="inlineStr">
        <is>
          <t>—</t>
        </is>
      </c>
      <c r="M493" s="3" t="inlineStr">
        <is>
          <t>None found in this function — anything it assumes comes from the functions it depends on.</t>
        </is>
      </c>
      <c r="N493" s="3" t="inlineStr">
        <is>
          <t>No</t>
        </is>
      </c>
      <c r="O493" s="3" t="inlineStr">
        <is>
          <t>1. MK-NW-F-040 assetsFromOnboarding
2. MK-XS-F-031 buildSnapshot
3. MK-CF-F-038 debtsFromOnboarding
4. MK-XS-F-175 uid</t>
        </is>
      </c>
      <c r="P493" s="3" t="n">
        <v>176</v>
      </c>
      <c r="Q493"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MK-CF-F-067 rentalList
71. MK-CF-F-066 rsuAnnual
72. MK-CF-F-082 salaryAnnual
73. MK-CF-F-074 tipsAnnual
74. MK-XS-F-131 toInt
75. MK-PL-F-047 colFactor
76. MK-PL-F-001 taxBucketSplit
77. MK-XS-F-017 currentAge
78. MK-XS-F-019 retirementHorizonYears
79. MK-XS-F-018 yearsToRetirement
80. MK-CF-F-138 addLot
81. MK-CF-F-136 bumpCash
82. MK-CF-F-137 findPos
83. MK-CF-F-139 removeShares
84. MK-PF-F-001 totalShares
85. MK-ST-F-053 money
86. MK-CF-F-085 filingStatusOf
87. MK-CF-F-097 grossFromNet
88. MK-CF-F-185 needsTakeHomeConversion
89. MK-CF-F-089 over65CountOf
90. MK-ST-F-069 amountOf
91. MK-CF-F-133 cashOf
92. MK-ST-F-066 isDayKey
93. MK-ST-F-070 isOpening
94. MK-ST-F-071 rebuildableFrom
95. MK-ST-F-068 stepDay
96. MK-ST-F-072 undo
97. MK-NW-F-053 correctClassOf
98. MK-NW-F-008 incomeBearingClassOf
99. MK-PF-F-002 costBasis
100. MK-PF-F-009 latestClose
101. MK-PF-F-004 marketValue
102. MK-ST-F-030 record
103. MK-XS-F-024 resolveLens
104. MK-ST-F-055 round2
105. MK-CF-F-162 daysApart
106. MK-CF-F-108 isMoneyOut
107. MK-PL-F-074 median
108. MK-CF-F-131 normPayee
109. MK-CF-F-113 affectedAccountIds
110. MK-NW-F-007 assetKind
111. MK-NW-F-030 earmarkDefault
112. MK-NW-F-011 assetClassOf
113. MK-CF-F-092 incomeMonthlyGrid
114. MK-XS-F-027 takeHomeMonthly
115. MK-CF-F-003 categoryMonthly
116. MK-CF-F-024 totalDebtMonthly
117. MK-CF-F-022 paymentShape
118. MK-CF-F-102 effectiveRateOnGrossFor
119. MK-CF-F-044 annualNet
120. MK-CF-F-127 isRental
121. MK-CF-F-101 taxOwedFor
122. MK-CF-F-100 taxableIncomeFor
123. MK-PL-F-072 mulberry32
124. MK-PL-F-073 normal
125. MK-PL-F-075 pctOfSorted
126. MK-ST-F-025 rmdStartAgeFromAge
127. MK-CF-F-008 spendByMonth
128. MK-CF-F-069 benefitActiveMonths
129. MK-CF-F-075 retirementIncomeMonthly
130. MK-CF-F-175 sumOverEarners
131. MK-CF-F-178 wageMatchMonthly
132. MK-CF-F-062 equityRowValue
133. MK-CF-F-063 rowVestYear
134. MK-CF-F-060 salaryGrossByMonth
135. MK-CF-F-081 salaryActiveMonths
136. MK-CF-F-134 usesSleeve
137. MK-ST-F-049 formatMoney
138. MK-ST-F-067 utcOfDay
139. MK-ST-F-035 covers
140. MK-NW-F-009 maturityClass
141. MK-ST-F-010 nameEvidence
142. MK-PF-F-031 contractMultiplier
143. MK-NW-F-013 realEstateUseOf
144. MK-CF-F-071 extraIncome
145. MK-CF-F-087 monthlyTaxRates
146. MK-CF-F-073 otherIncomeMonth
147. MK-CF-F-181 rateInForce
148. MK-CF-F-068 rentalNetAnnual
149. MK-CF-F-077 scholarshipByCalendarMonth
150. MK-CF-F-088 taxableByCalendarMonth
151. MK-CF-F-120 pctBaseMonthly
152. MK-CF-F-023 requiredPayment
153. MK-CF-F-021 defaultPaymentType
154. MK-CF-F-099 deductionFor
155. MK-ST-F-024 rmdStartAge
156. MK-CF-F-173 earnerWages
157. MK-CF-F-176 sumMonthsOverEarners
158. MK-CF-F-177 wageGrossByMonth
159. MK-ST-F-048 currencySymbol
160. MK-ST-F-039 on
161. MK-ST-F-034 firstDate
162. MK-XS-F-147 call
163. MK-CF-F-090 effectiveRate
164. MK-CF-F-086 stateRateOf
165. MK-CF-F-180 enteredLandsAnnual
166. MK-CF-F-084 taxableAnnual
167. MK-CF-F-187 seniorDeductionFor
168. MK-CF-F-172 hasWage
169. MK-CF-F-130 enteredMonthlyRaw
170. MK-CF-F-166 hasMonthlySalaryTable
171. MK-ST-F-036 reconcile
172. MK-CF-F-167 salaryCalendarYear
173. MK-ST-F-047 activeCurrency
174. MK-XS-F-064 currentIdToken
175. MK-XS-F-112 relayUrl
176. MK-CF-F-165 salaryMonths</t>
        </is>
      </c>
      <c r="R493"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493" s="3" t="inlineStr">
        <is>
          <t>—</t>
        </is>
      </c>
      <c r="T493" s="3" t="inlineStr">
        <is>
          <t>—</t>
        </is>
      </c>
      <c r="U493" s="3" t="inlineStr">
        <is>
          <t>ACTIVE</t>
        </is>
      </c>
      <c r="V493" s="3" t="inlineStr">
        <is>
          <t>2026-08-27</t>
        </is>
      </c>
      <c r="Y493" s="3" t="inlineStr">
        <is>
          <t>NOTHING OPEN</t>
        </is>
      </c>
    </row>
    <row r="494">
      <c r="A494" s="3" t="inlineStr">
        <is>
          <t>MK-XS-F-033</t>
        </is>
      </c>
      <c r="B494" s="3" t="inlineStr">
        <is>
          <t>resolveNetWorthRows</t>
        </is>
      </c>
      <c r="C494" s="3" t="inlineStr">
        <is>
          <t>src/domain/snapshot.ts</t>
        </is>
      </c>
      <c r="D494" s="3" t="n">
        <v>226</v>
      </c>
      <c r="E494" s="3" t="inlineStr">
        <is>
          <t>2 · DISPLAYED</t>
        </is>
      </c>
      <c r="F494" s="3" t="inlineStr">
        <is>
          <t>The single rule for which net-worth rows a live UI surface should use, so Home + TopBar + the Net Worth screen never disagree (B-49).</t>
        </is>
      </c>
      <c r="G494" s="13" t="inlineStr">
        <is>
          <t>use live = nw seeded (or live accounts.length &gt; 0 (or live liabilities.length &gt; 0 when missing or zero) when missing or zero)</t>
        </is>
      </c>
      <c r="H494" s="3" t="inlineStr">
        <is>
          <t>Use live is nw seeded (or live accounts.length &gt; 0 (or live liabilities.length &gt; 0 — when missing or zero) — when missing or zero).</t>
        </is>
      </c>
      <c r="I494" s="3" t="inlineStr">
        <is>
          <t>READ FROM THE CODE — rendered from the expressions the function runs</t>
        </is>
      </c>
      <c r="J494" s="3" t="inlineStr">
        <is>
          <t>Nothing is handed to it</t>
        </is>
      </c>
      <c r="K494" s="3" t="inlineStr">
        <is>
          <t>NOT DECLARED — the code does not say what it gives back</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1. MK-NW-F-040 assetsFromOnboarding
2. MK-CF-F-038 debtsFromOnboarding
3. MK-XS-F-175 uid</t>
        </is>
      </c>
      <c r="P494" s="3" t="n">
        <v>80</v>
      </c>
      <c r="Q494"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94"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494" s="3" t="inlineStr">
        <is>
          <t>—</t>
        </is>
      </c>
      <c r="T494" s="3" t="inlineStr">
        <is>
          <t>NET_WORTH_ROWS</t>
        </is>
      </c>
      <c r="U494" s="3" t="inlineStr">
        <is>
          <t>ACTIVE</t>
        </is>
      </c>
      <c r="V494" s="3" t="inlineStr">
        <is>
          <t>2026-08-27</t>
        </is>
      </c>
      <c r="Y494" s="3" t="inlineStr">
        <is>
          <t>NOTHING OPEN</t>
        </is>
      </c>
    </row>
    <row r="495">
      <c r="A495" s="3" t="inlineStr">
        <is>
          <t>MK-XS-F-034</t>
        </is>
      </c>
      <c r="B495" s="3" t="inlineStr">
        <is>
          <t>isLockAvailable</t>
        </is>
      </c>
      <c r="C495" s="3" t="inlineStr">
        <is>
          <t>src/services/appLock.ts</t>
        </is>
      </c>
      <c r="D495" s="3" t="n">
        <v>54</v>
      </c>
      <c r="E495" s="3" t="inlineStr">
        <is>
          <t>2 · DISPLAYED</t>
        </is>
      </c>
      <c r="F495" s="3" t="inlineStr">
        <is>
          <t>True only when the device has biometric hardware AND the user has enrolled a biometric/passcode.</t>
        </is>
      </c>
      <c r="G495" s="13" t="inlineStr">
        <is>
          <t>m = load()
false   when has hardware async is missing
the answer = !!has hw and !!enrolled</t>
        </is>
      </c>
      <c r="H495" s="3" t="inlineStr">
        <is>
          <t>M is load(). When has hardware async is missing, it answers false. The answer is !!has hw and !!enrolled.</t>
        </is>
      </c>
      <c r="I495" s="3" t="inlineStr">
        <is>
          <t>READ FROM THE CODE — rendered from the expressions the function runs</t>
        </is>
      </c>
      <c r="J495" s="3" t="inlineStr">
        <is>
          <t>Nothing is handed to it</t>
        </is>
      </c>
      <c r="K495" s="3" t="inlineStr">
        <is>
          <t>Promise&lt;boolean&gt;</t>
        </is>
      </c>
      <c r="L495" s="3" t="inlineStr">
        <is>
          <t>NOT FOUND — a screen calls it, but the words printed beside its answer could not be traced automatically. Needs reading.</t>
        </is>
      </c>
      <c r="M495" s="3" t="inlineStr">
        <is>
          <t>None found in this function — anything it assumes comes from the functions it depends on.</t>
        </is>
      </c>
      <c r="N495" s="3" t="inlineStr">
        <is>
          <t>Yes</t>
        </is>
      </c>
      <c r="O495" s="3" t="inlineStr">
        <is>
          <t>MK-XS-F-132 load</t>
        </is>
      </c>
      <c r="P495" s="3" t="n">
        <v>1</v>
      </c>
      <c r="Q495" s="3" t="inlineStr">
        <is>
          <t>MK-XS-F-132 load</t>
        </is>
      </c>
      <c r="R495" s="3" t="inlineStr">
        <is>
          <t>MK-XS-F-132 load → MK-XS-F-034 isLockAvailable</t>
        </is>
      </c>
      <c r="S495" s="3" t="inlineStr">
        <is>
          <t>—</t>
        </is>
      </c>
      <c r="T495" s="3" t="inlineStr">
        <is>
          <t>—</t>
        </is>
      </c>
      <c r="U495" s="3" t="inlineStr">
        <is>
          <t>ACTIVE</t>
        </is>
      </c>
      <c r="V495" s="3" t="inlineStr">
        <is>
          <t>2026-08-27</t>
        </is>
      </c>
      <c r="Y495" s="3" t="inlineStr">
        <is>
          <t>NOTHING OPEN</t>
        </is>
      </c>
    </row>
    <row r="496">
      <c r="A496" s="3" t="inlineStr">
        <is>
          <t>MK-XS-F-035</t>
        </is>
      </c>
      <c r="B496" s="3" t="inlineStr">
        <is>
          <t>authenticate</t>
        </is>
      </c>
      <c r="C496" s="3" t="inlineStr">
        <is>
          <t>src/services/appLock.ts</t>
        </is>
      </c>
      <c r="D496" s="3" t="n">
        <v>87</v>
      </c>
      <c r="E496" s="3" t="inlineStr">
        <is>
          <t>2 · DISPLAYED</t>
        </is>
      </c>
      <c r="F496" s="3" t="inlineStr">
        <is>
          <t>Prompt for Face ID / Touch ID / device passcode.</t>
        </is>
      </c>
      <c r="G496" s="13" t="inlineStr">
        <is>
          <t>m = load()
false   when authenticate async is missing
res = await authenticate async({ prompt message: reason, disable device fallback: false })
the answer = !!res.success</t>
        </is>
      </c>
      <c r="H496" s="3" t="inlineStr">
        <is>
          <t>M is load(). When authenticate async is missing, it answers false. Res is await authenticate async({ prompt message: reason, disable device fallback: false }). The answer is !!res.success.</t>
        </is>
      </c>
      <c r="I496" s="3" t="inlineStr">
        <is>
          <t>READ FROM THE CODE — rendered from the expressions the function runs</t>
        </is>
      </c>
      <c r="J496" s="3" t="inlineStr">
        <is>
          <t>reason = 'Unlock MoneyKeel'</t>
        </is>
      </c>
      <c r="K496" s="3" t="inlineStr">
        <is>
          <t>Promise&lt;boolean&gt;</t>
        </is>
      </c>
      <c r="L496" s="3" t="inlineStr">
        <is>
          <t>NOT FOUND — a screen calls it, but the words printed beside its answer could not be traced automatically. Needs reading.</t>
        </is>
      </c>
      <c r="M496" s="3" t="inlineStr">
        <is>
          <t>None found in this function — anything it assumes comes from the functions it depends on.</t>
        </is>
      </c>
      <c r="N496" s="3" t="inlineStr">
        <is>
          <t>Yes</t>
        </is>
      </c>
      <c r="O496" s="3" t="inlineStr">
        <is>
          <t>MK-XS-F-132 load</t>
        </is>
      </c>
      <c r="P496" s="3" t="n">
        <v>1</v>
      </c>
      <c r="Q496" s="3" t="inlineStr">
        <is>
          <t>MK-XS-F-132 load</t>
        </is>
      </c>
      <c r="R496" s="3" t="inlineStr">
        <is>
          <t>MK-XS-F-132 load → MK-XS-F-035 authenticate</t>
        </is>
      </c>
      <c r="S496" s="3" t="inlineStr">
        <is>
          <t>—</t>
        </is>
      </c>
      <c r="T496" s="3" t="inlineStr">
        <is>
          <t>—</t>
        </is>
      </c>
      <c r="U496" s="3" t="inlineStr">
        <is>
          <t>ACTIVE</t>
        </is>
      </c>
      <c r="V496" s="3" t="inlineStr">
        <is>
          <t>2026-08-27</t>
        </is>
      </c>
      <c r="Y496" s="3" t="inlineStr">
        <is>
          <t>NOTHING OPEN</t>
        </is>
      </c>
    </row>
    <row r="497">
      <c r="A497" s="3" t="inlineStr">
        <is>
          <t>MK-XS-F-036</t>
        </is>
      </c>
      <c r="B497" s="3" t="inlineStr">
        <is>
          <t>initCrashReporting</t>
        </is>
      </c>
      <c r="C497" s="3" t="inlineStr">
        <is>
          <t>src/services/crashReporter.ts</t>
        </is>
      </c>
      <c r="D497" s="3" t="n">
        <v>57</v>
      </c>
      <c r="E497" s="3" t="inlineStr">
        <is>
          <t>1 · ACTION</t>
        </is>
      </c>
      <c r="F497" s="3" t="inlineStr">
        <is>
          <t>Initialise crash reporting once, at app start.</t>
        </is>
      </c>
      <c r="G497" s="13" t="inlineStr">
        <is>
          <t>dsn = (constants.expo config.extra as any).SENTRY_DSN (or process.env.SENTRY_DSN (or '' when missing or zero) when missing or zero)
s = load sentry()</t>
        </is>
      </c>
      <c r="H497" s="3" t="inlineStr">
        <is>
          <t>Dsn is (constants.expo config.extra as any).SENTRY_DSN (or process.env.SENTRY_DSN (or '' — when missing or zero) — when missing or zero). S is load sentry().</t>
        </is>
      </c>
      <c r="I497" s="3" t="inlineStr">
        <is>
          <t>PARTLY READ — some of the code is still showing through; needs a hand pass</t>
        </is>
      </c>
      <c r="J497" s="3" t="inlineStr">
        <is>
          <t>Nothing is handed to it</t>
        </is>
      </c>
      <c r="K497" s="3" t="inlineStr">
        <is>
          <t>void</t>
        </is>
      </c>
      <c r="L497" s="3" t="inlineStr">
        <is>
          <t>—</t>
        </is>
      </c>
      <c r="M497" s="3" t="inlineStr">
        <is>
          <t>None found in this function — anything it assumes comes from the functions it depends on.</t>
        </is>
      </c>
      <c r="N497" s="3" t="inlineStr">
        <is>
          <t>Yes</t>
        </is>
      </c>
      <c r="O497" s="3" t="inlineStr">
        <is>
          <t>1. MK-XS-F-037 captureException
2. MK-XS-F-134 installGlobalHandler
3. MK-XS-F-133 loadSentry</t>
        </is>
      </c>
      <c r="P497" s="3" t="n">
        <v>3</v>
      </c>
      <c r="Q497" s="3" t="inlineStr">
        <is>
          <t>1. MK-XS-F-037 captureException
2. MK-XS-F-134 installGlobalHandler
3. MK-XS-F-133 loadSentry</t>
        </is>
      </c>
      <c r="R497" s="3" t="inlineStr">
        <is>
          <t>1. MK-XS-F-037 captureException → MK-XS-F-036 initCrashReporting
2. MK-XS-F-037 captureException → MK-XS-F-134 installGlobalHandler → MK-XS-F-036 initCrashReporting
3. MK-XS-F-133 loadSentry → MK-XS-F-036 initCrashReporting</t>
        </is>
      </c>
      <c r="S497" s="3" t="inlineStr">
        <is>
          <t>—</t>
        </is>
      </c>
      <c r="T497" s="3" t="inlineStr">
        <is>
          <t>—</t>
        </is>
      </c>
      <c r="U497" s="3" t="inlineStr">
        <is>
          <t>ACTIVE</t>
        </is>
      </c>
      <c r="V497" s="3" t="inlineStr">
        <is>
          <t>2026-08-27</t>
        </is>
      </c>
      <c r="Y497" s="3" t="inlineStr">
        <is>
          <t>NOTHING OPEN</t>
        </is>
      </c>
    </row>
    <row r="498">
      <c r="A498" s="3" t="inlineStr">
        <is>
          <t>MK-XS-F-037</t>
        </is>
      </c>
      <c r="B498" s="3" t="inlineStr">
        <is>
          <t>captureException</t>
        </is>
      </c>
      <c r="C498" s="3" t="inlineStr">
        <is>
          <t>src/services/crashReporter.ts</t>
        </is>
      </c>
      <c r="D498" s="3" t="n">
        <v>126</v>
      </c>
      <c r="E498" s="3" t="inlineStr">
        <is>
          <t>1 · ACTION</t>
        </is>
      </c>
      <c r="F498" s="3" t="inlineStr">
        <is>
          <t>Report a caught error.</t>
        </is>
      </c>
      <c r="G498" s="13"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1. error: unknown
2. extra?: Extra</t>
        </is>
      </c>
      <c r="K498" s="3" t="inlineStr">
        <is>
          <t>void</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Y498" s="3" t="inlineStr">
        <is>
          <t>NOTHING OPEN</t>
        </is>
      </c>
    </row>
    <row r="499">
      <c r="A499" s="3" t="inlineStr">
        <is>
          <t>MK-XS-F-038</t>
        </is>
      </c>
      <c r="B499" s="3" t="inlineStr">
        <is>
          <t>setUserScope</t>
        </is>
      </c>
      <c r="C499" s="3" t="inlineStr">
        <is>
          <t>src/services/crashReporter.ts</t>
        </is>
      </c>
      <c r="D499" s="3" t="n">
        <v>154</v>
      </c>
      <c r="E499" s="3" t="inlineStr">
        <is>
          <t>1 · ACTION</t>
        </is>
      </c>
      <c r="F499" s="3" t="inlineStr">
        <is>
          <t>Tag the current user on reports (call after login; pass null on logout).</t>
        </is>
      </c>
      <c r="G499" s="13" t="inlineStr">
        <is>
          <t>It records or announces something and returns no figure — no arithmetic of its own.</t>
        </is>
      </c>
      <c r="H499" s="3" t="inlineStr">
        <is>
          <t>It records or announces something and returns no figure — no arithmetic of its own.</t>
        </is>
      </c>
      <c r="I499" s="3" t="inlineStr">
        <is>
          <t>NO ARITHMETIC — there is no formula to state</t>
        </is>
      </c>
      <c r="J499" s="3" t="inlineStr">
        <is>
          <t>uid: string | null</t>
        </is>
      </c>
      <c r="K499" s="3" t="inlineStr">
        <is>
          <t>void</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Y499" s="3" t="inlineStr">
        <is>
          <t>NOTHING OPEN</t>
        </is>
      </c>
    </row>
    <row r="500">
      <c r="A500" s="3" t="inlineStr">
        <is>
          <t>MK-XS-F-039</t>
        </is>
      </c>
      <c r="B500" s="3" t="inlineStr">
        <is>
          <t>crashReportingEnabled</t>
        </is>
      </c>
      <c r="C500" s="3" t="inlineStr">
        <is>
          <t>src/services/crashReporter.ts</t>
        </is>
      </c>
      <c r="D500" s="3" t="n">
        <v>180</v>
      </c>
      <c r="E500" s="3" t="inlineStr">
        <is>
          <t>3 · DEPENDENT (feeds an action only)</t>
        </is>
      </c>
      <c r="F500" s="3" t="inlineStr">
        <is>
          <t>Whether reports are actually shipping to Sentry (DSN + SDK present).</t>
        </is>
      </c>
      <c r="G500" s="13" t="inlineStr">
        <is>
          <t>enabled</t>
        </is>
      </c>
      <c r="H500" s="3" t="inlineStr">
        <is>
          <t>enabled.</t>
        </is>
      </c>
      <c r="I500" s="3" t="inlineStr">
        <is>
          <t>READ FROM THE CODE — rendered from the expressions the function runs</t>
        </is>
      </c>
      <c r="J500" s="3" t="inlineStr">
        <is>
          <t>Nothing is handed to it</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Y500" s="3" t="inlineStr">
        <is>
          <t>NOTHING OPEN</t>
        </is>
      </c>
    </row>
    <row r="501">
      <c r="A501" s="3" t="inlineStr">
        <is>
          <t>MK-XS-F-040</t>
        </is>
      </c>
      <c r="B501" s="3" t="inlineStr">
        <is>
          <t>sendTestReport</t>
        </is>
      </c>
      <c r="C501" s="3" t="inlineStr">
        <is>
          <t>src/services/crashReporter.ts</t>
        </is>
      </c>
      <c r="D501" s="3" t="n">
        <v>202</v>
      </c>
      <c r="E501" s="3" t="inlineStr">
        <is>
          <t>2 · DISPLAYED</t>
        </is>
      </c>
      <c r="F501" s="3" t="inlineStr">
        <is>
          <t>B-L2 verification: send a harmless test event so you can confirm wiring in the Sentry dashboard (works on the production/TestFlight build).</t>
        </is>
      </c>
      <c r="G501" s="13" t="inlineStr">
        <is>
          <t>enabled</t>
        </is>
      </c>
      <c r="H501" s="3" t="inlineStr">
        <is>
          <t>enabled.</t>
        </is>
      </c>
      <c r="I501" s="3" t="inlineStr">
        <is>
          <t>READ FROM THE CODE — rendered from the expressions the function runs</t>
        </is>
      </c>
      <c r="J501" s="3" t="inlineStr">
        <is>
          <t>Nothing is handed to it</t>
        </is>
      </c>
      <c r="K501" s="3" t="inlineStr">
        <is>
          <t>boolean</t>
        </is>
      </c>
      <c r="L501" s="3" t="inlineStr">
        <is>
          <t>"Hide balances" — on the Settings screen, under "Security"</t>
        </is>
      </c>
      <c r="M501" s="3" t="inlineStr">
        <is>
          <t>None found in this function — anything it assumes comes from the functions it depends on.</t>
        </is>
      </c>
      <c r="N501" s="3" t="inlineStr">
        <is>
          <t>Yes</t>
        </is>
      </c>
      <c r="O501" s="3" t="inlineStr">
        <is>
          <t>MK-XS-F-037 captureException</t>
        </is>
      </c>
      <c r="P501" s="3" t="n">
        <v>1</v>
      </c>
      <c r="Q501" s="3" t="inlineStr">
        <is>
          <t>MK-XS-F-037 captureException</t>
        </is>
      </c>
      <c r="R501" s="3" t="inlineStr">
        <is>
          <t>MK-XS-F-037 captureException → MK-XS-F-040 sendTestReport</t>
        </is>
      </c>
      <c r="S501" s="3" t="inlineStr">
        <is>
          <t>—</t>
        </is>
      </c>
      <c r="T501" s="3" t="inlineStr">
        <is>
          <t>—</t>
        </is>
      </c>
      <c r="U501" s="3" t="inlineStr">
        <is>
          <t>ACTIVE</t>
        </is>
      </c>
      <c r="V501" s="3" t="inlineStr">
        <is>
          <t>2026-08-27</t>
        </is>
      </c>
      <c r="Y501" s="3" t="inlineStr">
        <is>
          <t>NOTHING OPEN</t>
        </is>
      </c>
    </row>
    <row r="502">
      <c r="A502" s="3" t="inlineStr">
        <is>
          <t>MK-XS-F-041</t>
        </is>
      </c>
      <c r="B502" s="3" t="inlineStr">
        <is>
          <t>cacheDataKey</t>
        </is>
      </c>
      <c r="C502" s="3" t="inlineStr">
        <is>
          <t>src/services/dataCrypto.ts</t>
        </is>
      </c>
      <c r="D502" s="3" t="n">
        <v>122</v>
      </c>
      <c r="E502" s="3" t="inlineStr">
        <is>
          <t>1 · ACTION</t>
        </is>
      </c>
      <c r="F502" s="3" t="inlineStr">
        <is>
          <t>── DEK lifecycle (the cached, unwrapped key the sync layer uses) ───── Cache the unwrapped DEK (memory + keychain).</t>
        </is>
      </c>
      <c r="G502" s="13" t="inlineStr">
        <is>
          <t>keeps the data-encryption key in memory and in the device's secure store</t>
        </is>
      </c>
      <c r="H502" s="3" t="inlineStr">
        <is>
          <t>Stores the data-encryption key in memory and in the secure keychain. Not a calculation.</t>
        </is>
      </c>
      <c r="I502" s="3" t="inlineStr">
        <is>
          <t>READ BY HAND 2026-08-26 — checked line by line against the code</t>
        </is>
      </c>
      <c r="J502" s="3" t="inlineStr">
        <is>
          <t>dek: string</t>
        </is>
      </c>
      <c r="K502" s="3" t="inlineStr">
        <is>
          <t>Promise&lt;void&gt;</t>
        </is>
      </c>
      <c r="L502" s="3" t="inlineStr">
        <is>
          <t>—</t>
        </is>
      </c>
      <c r="M502" s="3" t="inlineStr">
        <is>
          <t>None found in this function — anything it assumes comes from the functions it depends on.</t>
        </is>
      </c>
      <c r="N502" s="3" t="inlineStr">
        <is>
          <t>Yes</t>
        </is>
      </c>
      <c r="O502" s="3" t="inlineStr">
        <is>
          <t>MK-XS-F-136 secureSet</t>
        </is>
      </c>
      <c r="P502" s="3" t="n">
        <v>1</v>
      </c>
      <c r="Q502" s="3" t="inlineStr">
        <is>
          <t>MK-XS-F-136 secureSet</t>
        </is>
      </c>
      <c r="R502" s="3" t="inlineStr">
        <is>
          <t>MK-XS-F-136 secureSet → MK-XS-F-041 cacheDataKey</t>
        </is>
      </c>
      <c r="S502" s="3" t="inlineStr">
        <is>
          <t>—</t>
        </is>
      </c>
      <c r="T502" s="3" t="inlineStr">
        <is>
          <t>—</t>
        </is>
      </c>
      <c r="U502" s="3" t="inlineStr">
        <is>
          <t>ACTIVE</t>
        </is>
      </c>
      <c r="V502" s="3" t="inlineStr">
        <is>
          <t>2026-09-12</t>
        </is>
      </c>
      <c r="Y502" s="3" t="inlineStr">
        <is>
          <t>NOTHING OPEN</t>
        </is>
      </c>
    </row>
    <row r="503">
      <c r="A503" s="3" t="inlineStr">
        <is>
          <t>MK-XS-F-042</t>
        </is>
      </c>
      <c r="B503" s="3" t="inlineStr">
        <is>
          <t>getDataKey</t>
        </is>
      </c>
      <c r="C503" s="3" t="inlineStr">
        <is>
          <t>src/services/dataCrypto.ts</t>
        </is>
      </c>
      <c r="D503" s="3" t="n">
        <v>150</v>
      </c>
      <c r="E503" s="3" t="inlineStr">
        <is>
          <t>3 · DEPENDENT</t>
        </is>
      </c>
      <c r="F503" s="3" t="inlineStr">
        <is>
          <t>The cached DEK (memory → keychain), or null if it hasn't been unwrapped on this install yet.</t>
        </is>
      </c>
      <c r="G503" s="13" t="inlineStr">
        <is>
          <t>cached key   when cached key
cached key</t>
        </is>
      </c>
      <c r="H503" s="3" t="inlineStr">
        <is>
          <t>When cached key, it answers cached key. cached key.</t>
        </is>
      </c>
      <c r="I503" s="3" t="inlineStr">
        <is>
          <t>READ FROM THE CODE — rendered from the expressions the function runs</t>
        </is>
      </c>
      <c r="J503" s="3" t="inlineStr">
        <is>
          <t>Nothing is handed to it</t>
        </is>
      </c>
      <c r="K503" s="3" t="inlineStr">
        <is>
          <t>Promise&lt;string | null&gt;</t>
        </is>
      </c>
      <c r="L503" s="3" t="inlineStr">
        <is>
          <t>—</t>
        </is>
      </c>
      <c r="M503" s="3" t="inlineStr">
        <is>
          <t>None found in this function — anything it assumes comes from the functions it depends on.</t>
        </is>
      </c>
      <c r="N503" s="3" t="inlineStr">
        <is>
          <t>Yes</t>
        </is>
      </c>
      <c r="O503" s="3" t="inlineStr">
        <is>
          <t>MK-XS-F-135 secureGet</t>
        </is>
      </c>
      <c r="P503" s="3" t="n">
        <v>1</v>
      </c>
      <c r="Q503" s="3" t="inlineStr">
        <is>
          <t>MK-XS-F-135 secureGet</t>
        </is>
      </c>
      <c r="R503" s="3" t="inlineStr">
        <is>
          <t>MK-XS-F-135 secureGet → MK-XS-F-042 getDataKey</t>
        </is>
      </c>
      <c r="S503" s="3" t="inlineStr">
        <is>
          <t>—</t>
        </is>
      </c>
      <c r="T503" s="3" t="inlineStr">
        <is>
          <t>—</t>
        </is>
      </c>
      <c r="U503" s="3" t="inlineStr">
        <is>
          <t>ACTIVE</t>
        </is>
      </c>
      <c r="V503" s="3" t="inlineStr">
        <is>
          <t>2026-08-27</t>
        </is>
      </c>
      <c r="Y503" s="3" t="inlineStr">
        <is>
          <t>NOTHING OPEN</t>
        </is>
      </c>
    </row>
    <row r="504">
      <c r="A504" s="3" t="inlineStr">
        <is>
          <t>MK-XS-F-043</t>
        </is>
      </c>
      <c r="B504" s="3" t="inlineStr">
        <is>
          <t>clearDataKey</t>
        </is>
      </c>
      <c r="C504" s="3" t="inlineStr">
        <is>
          <t>src/services/dataCrypto.ts</t>
        </is>
      </c>
      <c r="D504" s="3" t="n">
        <v>174</v>
      </c>
      <c r="E504" s="3" t="inlineStr">
        <is>
          <t>1 · ACTION</t>
        </is>
      </c>
      <c r="F504" s="3" t="inlineStr">
        <is>
          <t>Forget the DEK (on logout / account deletion).</t>
        </is>
      </c>
      <c r="G504" s="13" t="inlineStr">
        <is>
          <t>forgets the data-encryption key in memory and in the secure store</t>
        </is>
      </c>
      <c r="H504" s="3" t="inlineStr">
        <is>
          <t>Removes the data-encryption key from memory and the secure keychain — done at sign-out. Not a calculation.</t>
        </is>
      </c>
      <c r="I504" s="3" t="inlineStr">
        <is>
          <t>READ BY HAND 2026-08-26 — checked line by line against the code</t>
        </is>
      </c>
      <c r="J504" s="3" t="inlineStr">
        <is>
          <t>Nothing is handed to it</t>
        </is>
      </c>
      <c r="K504" s="3" t="inlineStr">
        <is>
          <t>Promise&lt;void&gt;</t>
        </is>
      </c>
      <c r="L504" s="3" t="inlineStr">
        <is>
          <t>—</t>
        </is>
      </c>
      <c r="M504" s="3" t="inlineStr">
        <is>
          <t>None found in this function — anything it assumes comes from the functions it depends on.</t>
        </is>
      </c>
      <c r="N504" s="3" t="inlineStr">
        <is>
          <t>Yes</t>
        </is>
      </c>
      <c r="O504" s="3" t="inlineStr">
        <is>
          <t>MK-XS-F-137 secureDelete</t>
        </is>
      </c>
      <c r="P504" s="3" t="n">
        <v>1</v>
      </c>
      <c r="Q504" s="3" t="inlineStr">
        <is>
          <t>MK-XS-F-137 secureDelete</t>
        </is>
      </c>
      <c r="R504" s="3" t="inlineStr">
        <is>
          <t>MK-XS-F-137 secureDelete → MK-XS-F-043 clearDataKey</t>
        </is>
      </c>
      <c r="S504" s="3" t="inlineStr">
        <is>
          <t>—</t>
        </is>
      </c>
      <c r="T504" s="3" t="inlineStr">
        <is>
          <t>—</t>
        </is>
      </c>
      <c r="U504" s="3" t="inlineStr">
        <is>
          <t>ACTIVE</t>
        </is>
      </c>
      <c r="V504" s="3" t="inlineStr">
        <is>
          <t>2026-09-12</t>
        </is>
      </c>
      <c r="Y504" s="3" t="inlineStr">
        <is>
          <t>NOTHING OPEN</t>
        </is>
      </c>
    </row>
    <row r="505">
      <c r="A505" s="3" t="inlineStr">
        <is>
          <t>MK-XS-F-044</t>
        </is>
      </c>
      <c r="B505" s="3" t="inlineStr">
        <is>
          <t>generateDataKey</t>
        </is>
      </c>
      <c r="C505" s="3" t="inlineStr">
        <is>
          <t>src/services/dataCrypto.ts</t>
        </is>
      </c>
      <c r="D505" s="3" t="n">
        <v>199</v>
      </c>
      <c r="E505" s="3" t="inlineStr">
        <is>
          <t>3 · DEPENDENT</t>
        </is>
      </c>
      <c r="F505" s="3" t="inlineStr">
        <is>
          <t>── Key generation ─────────────────────────────────────────────────── A fresh random 256-bit data key (hex).</t>
        </is>
      </c>
      <c r="G505" s="13" t="inlineStr">
        <is>
          <t>crypto js.lib.word array.random(32).to string(crypto js.enc.hex)</t>
        </is>
      </c>
      <c r="H505" s="3" t="inlineStr">
        <is>
          <t>crypto js.lib.word array.random(32).to string(crypto js.enc.hex).</t>
        </is>
      </c>
      <c r="I505" s="3" t="inlineStr">
        <is>
          <t>PARTLY READ — some of the code is still showing through; needs a hand pass</t>
        </is>
      </c>
      <c r="J505" s="3" t="inlineStr">
        <is>
          <t>Nothing is handed to it</t>
        </is>
      </c>
      <c r="K505" s="3" t="inlineStr">
        <is>
          <t>string</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Y505" s="3" t="inlineStr">
        <is>
          <t>NOTHING OPEN</t>
        </is>
      </c>
    </row>
    <row r="506">
      <c r="A506" s="3" t="inlineStr">
        <is>
          <t>MK-XS-F-045</t>
        </is>
      </c>
      <c r="B506" s="3" t="inlineStr">
        <is>
          <t>generateRecoveryCode</t>
        </is>
      </c>
      <c r="C506" s="3" t="inlineStr">
        <is>
          <t>src/services/dataCrypto.ts</t>
        </is>
      </c>
      <c r="D506" s="3" t="n">
        <v>227</v>
      </c>
      <c r="E506" s="3" t="inlineStr">
        <is>
          <t>3 · DEPENDENT</t>
        </is>
      </c>
      <c r="F506" s="3" t="inlineStr">
        <is>
          <t>A human-friendly recovery code, e.g.</t>
        </is>
      </c>
      <c r="G506" s="13" t="inlineStr">
        <is>
          <t>bytes = crypto js.lib.word array.random(20)
words = bytes.words
out = ''
byte = (words[i &gt;&gt;&gt; 2] &gt;&gt;&gt; (24 − (i % 4) × 8)) &amp; 0xff
the answer = (out.match( ÷ .{1,4} ÷ g) as string[]).join('-')</t>
        </is>
      </c>
      <c r="H506" s="3" t="inlineStr">
        <is>
          <t>Bytes is crypto js.lib.word array.random(20). Words is bytes.words. Out is ''. Byte is (words[i &gt;&gt;&gt; 2] &gt;&gt;&gt; (24 minus (i % 4) times 8)) &amp; 0xff. The answer is (out.match( divided by .{1,4} divided by g) as string[]).join('-').</t>
        </is>
      </c>
      <c r="I506" s="3" t="inlineStr">
        <is>
          <t>PARTLY READ — some of the code is still showing through; needs a hand pass</t>
        </is>
      </c>
      <c r="J506" s="3" t="inlineStr">
        <is>
          <t>Nothing is handed to it</t>
        </is>
      </c>
      <c r="K506" s="3" t="inlineStr">
        <is>
          <t>string</t>
        </is>
      </c>
      <c r="L506" s="3" t="inlineStr">
        <is>
          <t>—</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Y506" s="3" t="inlineStr">
        <is>
          <t>NOTHING OPEN</t>
        </is>
      </c>
    </row>
    <row r="507">
      <c r="A507" s="3" t="inlineStr">
        <is>
          <t>MK-XS-F-046</t>
        </is>
      </c>
      <c r="B507" s="3" t="inlineStr">
        <is>
          <t>makeEnvelope</t>
        </is>
      </c>
      <c r="C507" s="3" t="inlineStr">
        <is>
          <t>src/services/dataCrypto.ts</t>
        </is>
      </c>
      <c r="D507" s="3" t="n">
        <v>310</v>
      </c>
      <c r="E507" s="3" t="inlineStr">
        <is>
          <t>3 · DEPENDENT</t>
        </is>
      </c>
      <c r="F507" s="3" t="inlineStr">
        <is>
          <t>Build the stored envelope: the DEK locked by both the password and the recovery code.</t>
        </is>
      </c>
      <c r="G507" s="13" t="inlineStr">
        <is>
          <t>p = wrap with secret(dek, uid, password)
r = wrap with secret(dek, uid, recovery code)</t>
        </is>
      </c>
      <c r="H507" s="3" t="inlineStr">
        <is>
          <t>p = wrap with secret(dek, uid, password); r = wrap with secret(dek, uid, recovery code).</t>
        </is>
      </c>
      <c r="I507" s="3" t="inlineStr">
        <is>
          <t>READ FROM THE CODE — rendered from the expressions the function runs</t>
        </is>
      </c>
      <c r="J507" s="3" t="inlineStr">
        <is>
          <t>1. dek: string
2. uid: string
3. password: string
4. recoveryCode: string</t>
        </is>
      </c>
      <c r="K507" s="3" t="inlineStr">
        <is>
          <t>KeyEnvelope</t>
        </is>
      </c>
      <c r="L507" s="3" t="inlineStr">
        <is>
          <t>—</t>
        </is>
      </c>
      <c r="M507" s="3" t="inlineStr">
        <is>
          <t>None found in this function — anything it assumes comes from the functions it depends on.</t>
        </is>
      </c>
      <c r="N507" s="3" t="inlineStr">
        <is>
          <t>Yes</t>
        </is>
      </c>
      <c r="O507" s="3" t="inlineStr">
        <is>
          <t>1. MK-XS-F-175 uid
2. MK-XS-F-139 wrapWithSecret</t>
        </is>
      </c>
      <c r="P507" s="3" t="n">
        <v>83</v>
      </c>
      <c r="Q507"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07"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07" s="3" t="inlineStr">
        <is>
          <t>—</t>
        </is>
      </c>
      <c r="T507" s="3" t="inlineStr">
        <is>
          <t>—</t>
        </is>
      </c>
      <c r="U507" s="3" t="inlineStr">
        <is>
          <t>ACTIVE</t>
        </is>
      </c>
      <c r="V507" s="3" t="inlineStr">
        <is>
          <t>2026-08-27</t>
        </is>
      </c>
      <c r="Y507" s="3" t="inlineStr">
        <is>
          <t>NOTHING OPEN</t>
        </is>
      </c>
    </row>
    <row r="508">
      <c r="A508" s="3" t="inlineStr">
        <is>
          <t>MK-XS-F-047</t>
        </is>
      </c>
      <c r="B508" s="3" t="inlineStr">
        <is>
          <t>unwrapWithPassword</t>
        </is>
      </c>
      <c r="C508" s="3" t="inlineStr">
        <is>
          <t>src/services/dataCrypto.ts</t>
        </is>
      </c>
      <c r="D508" s="3" t="n">
        <v>333</v>
      </c>
      <c r="E508" s="3" t="inlineStr">
        <is>
          <t>3 · DEPENDENT</t>
        </is>
      </c>
      <c r="F508" s="3" t="inlineStr">
        <is>
          <t>Unlock the DEK with the password (null if the password is wrong / was reset).</t>
        </is>
      </c>
      <c r="G508" s="13" t="inlineStr">
        <is>
          <t>decrypt with key(env.p, derive key from secret(password, uid))   if env.p
nothing   otherwise</t>
        </is>
      </c>
      <c r="H508" s="3" t="inlineStr">
        <is>
          <t>decrypt with key(env.p, derive key from secret(password, uid)) — when env.p; no answer — otherwise.</t>
        </is>
      </c>
      <c r="I508" s="3" t="inlineStr">
        <is>
          <t>READ FROM THE CODE — rendered from the expressions the function runs</t>
        </is>
      </c>
      <c r="J508" s="3" t="inlineStr">
        <is>
          <t>1. env: KeyEnvelope
2. uid: string
3. password: string</t>
        </is>
      </c>
      <c r="K508" s="3" t="inlineStr">
        <is>
          <t>string | null</t>
        </is>
      </c>
      <c r="L508" s="3" t="inlineStr">
        <is>
          <t>—</t>
        </is>
      </c>
      <c r="M508" s="3" t="inlineStr">
        <is>
          <t>None found in this function — anything it assumes comes from the functions it depends on.</t>
        </is>
      </c>
      <c r="N508" s="3" t="inlineStr">
        <is>
          <t>Yes</t>
        </is>
      </c>
      <c r="O508" s="3" t="inlineStr">
        <is>
          <t>1. MK-XS-F-053 decryptWithKey
2. MK-XS-F-138 deriveKeyFromSecret
3. MK-XS-F-175 uid</t>
        </is>
      </c>
      <c r="P508" s="3" t="n">
        <v>83</v>
      </c>
      <c r="Q508"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08"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08" s="3" t="inlineStr">
        <is>
          <t>—</t>
        </is>
      </c>
      <c r="T508" s="3" t="inlineStr">
        <is>
          <t>—</t>
        </is>
      </c>
      <c r="U508" s="3" t="inlineStr">
        <is>
          <t>ACTIVE</t>
        </is>
      </c>
      <c r="V508" s="3" t="inlineStr">
        <is>
          <t>2026-08-27</t>
        </is>
      </c>
      <c r="Y508" s="3" t="inlineStr">
        <is>
          <t>NOTHING OPEN</t>
        </is>
      </c>
    </row>
    <row r="509">
      <c r="A509" s="3" t="inlineStr">
        <is>
          <t>MK-XS-F-048</t>
        </is>
      </c>
      <c r="B509" s="3" t="inlineStr">
        <is>
          <t>unwrapWithRecovery</t>
        </is>
      </c>
      <c r="C509" s="3" t="inlineStr">
        <is>
          <t>src/services/dataCrypto.ts</t>
        </is>
      </c>
      <c r="D509" s="3" t="n">
        <v>356</v>
      </c>
      <c r="E509" s="3" t="inlineStr">
        <is>
          <t>3 · DEPENDENT</t>
        </is>
      </c>
      <c r="F509" s="3" t="inlineStr">
        <is>
          <t>Unlock the DEK with the recovery code (null if the code is wrong).</t>
        </is>
      </c>
      <c r="G509" s="13" t="inlineStr">
        <is>
          <t>decrypt with key(env.r, derive key from secret(recovery code, uid))   if env.r
nothing   otherwise</t>
        </is>
      </c>
      <c r="H509" s="3" t="inlineStr">
        <is>
          <t>decrypt with key(env.r, derive key from secret(recovery code, uid)) — when env.r; no answer — otherwise.</t>
        </is>
      </c>
      <c r="I509" s="3" t="inlineStr">
        <is>
          <t>READ FROM THE CODE — rendered from the expressions the function runs</t>
        </is>
      </c>
      <c r="J509" s="3" t="inlineStr">
        <is>
          <t>1. env: KeyEnvelope
2. uid: string
3. recoveryCode: string</t>
        </is>
      </c>
      <c r="K509" s="3" t="inlineStr">
        <is>
          <t>string | null</t>
        </is>
      </c>
      <c r="L509" s="3" t="inlineStr">
        <is>
          <t>—</t>
        </is>
      </c>
      <c r="M509" s="3" t="inlineStr">
        <is>
          <t>None found in this function — anything it assumes comes from the functions it depends on.</t>
        </is>
      </c>
      <c r="N509" s="3" t="inlineStr">
        <is>
          <t>Yes</t>
        </is>
      </c>
      <c r="O509" s="3" t="inlineStr">
        <is>
          <t>1. MK-XS-F-053 decryptWithKey
2. MK-XS-F-138 deriveKeyFromSecret
3. MK-XS-F-175 uid</t>
        </is>
      </c>
      <c r="P509" s="3" t="n">
        <v>83</v>
      </c>
      <c r="Q509"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09"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09" s="3" t="inlineStr">
        <is>
          <t>—</t>
        </is>
      </c>
      <c r="T509" s="3" t="inlineStr">
        <is>
          <t>—</t>
        </is>
      </c>
      <c r="U509" s="3" t="inlineStr">
        <is>
          <t>ACTIVE</t>
        </is>
      </c>
      <c r="V509" s="3" t="inlineStr">
        <is>
          <t>2026-08-27</t>
        </is>
      </c>
      <c r="Y509" s="3" t="inlineStr">
        <is>
          <t>NOTHING OPEN</t>
        </is>
      </c>
    </row>
    <row r="510">
      <c r="A510" s="3" t="inlineStr">
        <is>
          <t>MK-XS-F-049</t>
        </is>
      </c>
      <c r="B510" s="3" t="inlineStr">
        <is>
          <t>rewrapPassword</t>
        </is>
      </c>
      <c r="C510" s="3" t="inlineStr">
        <is>
          <t>src/services/dataCrypto.ts</t>
        </is>
      </c>
      <c r="D510" s="3" t="n">
        <v>379</v>
      </c>
      <c r="E510" s="3" t="inlineStr">
        <is>
          <t>3 · DEPENDENT</t>
        </is>
      </c>
      <c r="F510" s="3" t="inlineStr">
        <is>
          <t>Re-lock an existing envelope's password copy under a new password (after a recovery-code restore).</t>
        </is>
      </c>
      <c r="G510" s="13" t="inlineStr">
        <is>
          <t>...env = ...env
p = wrap with secret(dek, uid, new password)</t>
        </is>
      </c>
      <c r="H510" s="3" t="inlineStr">
        <is>
          <t>...env = ...env; p = wrap with secret(dek, uid, new password).</t>
        </is>
      </c>
      <c r="I510" s="3" t="inlineStr">
        <is>
          <t>PARTLY READ — some of the code is still showing through; needs a hand pass</t>
        </is>
      </c>
      <c r="J510" s="3" t="inlineStr">
        <is>
          <t>1. env: KeyEnvelope
2. dek: string
3. uid: string
4. newPassword: string</t>
        </is>
      </c>
      <c r="K510" s="3" t="inlineStr">
        <is>
          <t>KeyEnvelope</t>
        </is>
      </c>
      <c r="L510" s="3" t="inlineStr">
        <is>
          <t>—</t>
        </is>
      </c>
      <c r="M510" s="3" t="inlineStr">
        <is>
          <t>None found in this function — anything it assumes comes from the functions it depends on.</t>
        </is>
      </c>
      <c r="N510" s="3" t="inlineStr">
        <is>
          <t>Yes</t>
        </is>
      </c>
      <c r="O510" s="3" t="inlineStr">
        <is>
          <t>1. MK-XS-F-175 uid
2. MK-XS-F-139 wrapWithSecret</t>
        </is>
      </c>
      <c r="P510" s="3" t="n">
        <v>83</v>
      </c>
      <c r="Q510"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10"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10" s="3" t="inlineStr">
        <is>
          <t>—</t>
        </is>
      </c>
      <c r="T510" s="3" t="inlineStr">
        <is>
          <t>—</t>
        </is>
      </c>
      <c r="U510" s="3" t="inlineStr">
        <is>
          <t>ACTIVE</t>
        </is>
      </c>
      <c r="V510" s="3" t="inlineStr">
        <is>
          <t>2026-08-27</t>
        </is>
      </c>
      <c r="Y510" s="3" t="inlineStr">
        <is>
          <t>NOTHING OPEN</t>
        </is>
      </c>
    </row>
    <row r="511">
      <c r="A511" s="3" t="inlineStr">
        <is>
          <t>MK-XS-F-050</t>
        </is>
      </c>
      <c r="B511" s="3" t="inlineStr">
        <is>
          <t>rewrapRecovery</t>
        </is>
      </c>
      <c r="C511" s="3" t="inlineStr">
        <is>
          <t>src/services/dataCrypto.ts</t>
        </is>
      </c>
      <c r="D511" s="3" t="n">
        <v>402</v>
      </c>
      <c r="E511" s="3" t="inlineStr">
        <is>
          <t>3 · DEPENDENT</t>
        </is>
      </c>
      <c r="F511" s="3" t="inlineStr">
        <is>
          <t>Replace an envelope's recovery copy with a new recovery code (rotate the code).</t>
        </is>
      </c>
      <c r="G511" s="13" t="inlineStr">
        <is>
          <t>...env = ...env
r = wrap with secret(dek, uid, recovery code)</t>
        </is>
      </c>
      <c r="H511" s="3" t="inlineStr">
        <is>
          <t>...env = ...env; r = wrap with secret(dek, uid, recovery code).</t>
        </is>
      </c>
      <c r="I511" s="3" t="inlineStr">
        <is>
          <t>READ FROM THE CODE — rendered from the expressions the function runs</t>
        </is>
      </c>
      <c r="J511" s="3" t="inlineStr">
        <is>
          <t>1. env: KeyEnvelope
2. dek: string
3. uid: string
4. recoveryCode: string</t>
        </is>
      </c>
      <c r="K511" s="3" t="inlineStr">
        <is>
          <t>KeyEnvelope</t>
        </is>
      </c>
      <c r="L511" s="3" t="inlineStr">
        <is>
          <t>—</t>
        </is>
      </c>
      <c r="M511" s="3" t="inlineStr">
        <is>
          <t>None found in this function — anything it assumes comes from the functions it depends on.</t>
        </is>
      </c>
      <c r="N511" s="3" t="inlineStr">
        <is>
          <t>Yes</t>
        </is>
      </c>
      <c r="O511" s="3" t="inlineStr">
        <is>
          <t>1. MK-XS-F-175 uid
2. MK-XS-F-139 wrapWithSecret</t>
        </is>
      </c>
      <c r="P511" s="3" t="n">
        <v>83</v>
      </c>
      <c r="Q511"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11"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11" s="3" t="inlineStr">
        <is>
          <t>—</t>
        </is>
      </c>
      <c r="T511" s="3" t="inlineStr">
        <is>
          <t>—</t>
        </is>
      </c>
      <c r="U511" s="3" t="inlineStr">
        <is>
          <t>ACTIVE</t>
        </is>
      </c>
      <c r="V511" s="3" t="inlineStr">
        <is>
          <t>2026-08-27</t>
        </is>
      </c>
      <c r="Y511" s="3" t="inlineStr">
        <is>
          <t>NOTHING OPEN</t>
        </is>
      </c>
    </row>
    <row r="512">
      <c r="A512" s="3" t="inlineStr">
        <is>
          <t>MK-XS-F-051</t>
        </is>
      </c>
      <c r="B512" s="3" t="inlineStr">
        <is>
          <t>isEncrypted</t>
        </is>
      </c>
      <c r="C512" s="3" t="inlineStr">
        <is>
          <t>src/services/dataCrypto.ts</t>
        </is>
      </c>
      <c r="D512" s="3" t="n">
        <v>429</v>
      </c>
      <c r="E512" s="3" t="inlineStr">
        <is>
          <t>3 · DEPENDENT</t>
        </is>
      </c>
      <c r="F512" s="3" t="inlineStr">
        <is>
          <t>── Low-level AES helpers (also used to wrap the DEK) ─────────────────</t>
        </is>
      </c>
      <c r="G512" s="13" t="inlineStr">
        <is>
          <t>typeof v = 'string' and (v as string).starts with(PREFIX)</t>
        </is>
      </c>
      <c r="H512" s="3" t="inlineStr">
        <is>
          <t>typeof v = 'string' and (v as string).starts with(PREFIX).</t>
        </is>
      </c>
      <c r="I512" s="3" t="inlineStr">
        <is>
          <t>PARTLY READ — some of the code is still showing through; needs a hand pass</t>
        </is>
      </c>
      <c r="J512" s="3" t="inlineStr">
        <is>
          <t>v: unknown</t>
        </is>
      </c>
      <c r="K512" s="3" t="inlineStr">
        <is>
          <t>boolean</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Y512" s="3" t="inlineStr">
        <is>
          <t>NOTHING OPEN</t>
        </is>
      </c>
    </row>
    <row r="513">
      <c r="A513" s="3" t="inlineStr">
        <is>
          <t>MK-XS-F-052</t>
        </is>
      </c>
      <c r="B513" s="3" t="inlineStr">
        <is>
          <t>encryptWithKey</t>
        </is>
      </c>
      <c r="C513" s="3" t="inlineStr">
        <is>
          <t>src/services/dataCrypto.ts</t>
        </is>
      </c>
      <c r="D513" s="3" t="n">
        <v>454</v>
      </c>
      <c r="E513" s="3" t="inlineStr">
        <is>
          <t>3 · DEPENDENT</t>
        </is>
      </c>
      <c r="F513" s="3" t="inlineStr">
        <is>
          <t>NOT DETERMINED — the code carries no note saying what this is for, and it has no row in the old inventory. Needs reading.</t>
        </is>
      </c>
      <c r="G513" s="13" t="inlineStr">
        <is>
          <t>PREFIX + crypto js.AES.encrypt(JSON.stringify(obj), key hex).to string()</t>
        </is>
      </c>
      <c r="H513" s="3" t="inlineStr">
        <is>
          <t>PREFIX plus crypto js.AES.encrypt(JSON.stringify(obj), key hex).to string().</t>
        </is>
      </c>
      <c r="I513" s="3" t="inlineStr">
        <is>
          <t>PARTLY READ — some of the code is still showing through; needs a hand pass</t>
        </is>
      </c>
      <c r="J513" s="3" t="inlineStr">
        <is>
          <t>1. obj: unknown
2. keyHex: string</t>
        </is>
      </c>
      <c r="K513" s="3" t="inlineStr">
        <is>
          <t>string</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Y513" s="3" t="inlineStr">
        <is>
          <t>NOTHING OPEN</t>
        </is>
      </c>
    </row>
    <row r="514">
      <c r="A514" s="3" t="inlineStr">
        <is>
          <t>MK-XS-F-053</t>
        </is>
      </c>
      <c r="B514" s="3" t="inlineStr">
        <is>
          <t>decryptWithKey</t>
        </is>
      </c>
      <c r="C514" s="3" t="inlineStr">
        <is>
          <t>src/services/dataCrypto.ts</t>
        </is>
      </c>
      <c r="D514" s="3" t="n">
        <v>485</v>
      </c>
      <c r="E514" s="3" t="inlineStr">
        <is>
          <t>3 · DEPENDENT</t>
        </is>
      </c>
      <c r="F514" s="3" t="inlineStr">
        <is>
          <t>Decrypt an 'enc:'-tagged blob.</t>
        </is>
      </c>
      <c r="G514" s="13" t="inlineStr">
        <is>
          <t>nothing   when !is encrypted(blob)
plain = crypto js.AES.decrypt(blob.slice(PREFIX.length), key hex).to string(crypto js.enc.utf8)
the answer:
JSON.parse(plain)   if plain
nothing   otherwise</t>
        </is>
      </c>
      <c r="H514" s="3" t="inlineStr">
        <is>
          <t>When !is encrypted(blob), it answers no answer. Plain is crypto js.AES.decrypt(blob.slice(PREFIX.length), key hex).to string(crypto js.enc.utf8). The answer is JSON.parse(plain) — when plain; no answer — otherwise.</t>
        </is>
      </c>
      <c r="I514" s="3" t="inlineStr">
        <is>
          <t>PARTLY READ — some of the code is still showing through; needs a hand pass</t>
        </is>
      </c>
      <c r="J514" s="3" t="inlineStr">
        <is>
          <t>1. blob: string
2. keyHex: string</t>
        </is>
      </c>
      <c r="K514" s="3" t="inlineStr">
        <is>
          <t>any | null</t>
        </is>
      </c>
      <c r="L514" s="3" t="inlineStr">
        <is>
          <t>—</t>
        </is>
      </c>
      <c r="M514" s="3" t="inlineStr">
        <is>
          <t>None found in this function — anything it assumes comes from the functions it depends on.</t>
        </is>
      </c>
      <c r="N514" s="3" t="inlineStr">
        <is>
          <t>Yes</t>
        </is>
      </c>
      <c r="O514" s="3" t="inlineStr">
        <is>
          <t>MK-XS-F-051 isEncrypted</t>
        </is>
      </c>
      <c r="P514" s="3" t="n">
        <v>1</v>
      </c>
      <c r="Q514" s="3" t="inlineStr">
        <is>
          <t>MK-XS-F-051 isEncrypted</t>
        </is>
      </c>
      <c r="R514" s="3" t="inlineStr">
        <is>
          <t>MK-XS-F-051 isEncrypted → MK-XS-F-053 decryptWithKey</t>
        </is>
      </c>
      <c r="S514" s="3" t="inlineStr">
        <is>
          <t>—</t>
        </is>
      </c>
      <c r="T514" s="3" t="inlineStr">
        <is>
          <t>—</t>
        </is>
      </c>
      <c r="U514" s="3" t="inlineStr">
        <is>
          <t>ACTIVE</t>
        </is>
      </c>
      <c r="V514" s="3" t="inlineStr">
        <is>
          <t>2026-08-27</t>
        </is>
      </c>
      <c r="Y514" s="3" t="inlineStr">
        <is>
          <t>NOTHING OPEN</t>
        </is>
      </c>
    </row>
    <row r="515">
      <c r="A515" s="3" t="inlineStr">
        <is>
          <t>MK-XS-F-054</t>
        </is>
      </c>
      <c r="B515" s="3" t="inlineStr">
        <is>
          <t>encryptForSync</t>
        </is>
      </c>
      <c r="C515" s="3" t="inlineStr">
        <is>
          <t>src/services/dataCrypto.ts</t>
        </is>
      </c>
      <c r="D515" s="3" t="n">
        <v>519</v>
      </c>
      <c r="E515" s="3" t="inlineStr">
        <is>
          <t>3 · DEPENDENT</t>
        </is>
      </c>
      <c r="F515" s="3" t="inlineStr">
        <is>
          <t>── The sync layer's interface (operates on the cached DEK) ─────────── Encrypt a payload with the cached DEK.</t>
        </is>
      </c>
      <c r="G515" s="13" t="inlineStr">
        <is>
          <t>key = await get data key()
the answer:
encrypt with key(obj, key)   if key
nothing   otherwise</t>
        </is>
      </c>
      <c r="H515" s="3" t="inlineStr">
        <is>
          <t>Key is await get data key(). The answer is encrypt with key(obj, key) — when key; no answer — otherwise.</t>
        </is>
      </c>
      <c r="I515" s="3" t="inlineStr">
        <is>
          <t>READ FROM THE CODE — rendered from the expressions the function runs</t>
        </is>
      </c>
      <c r="J515" s="3" t="inlineStr">
        <is>
          <t>obj: unknown</t>
        </is>
      </c>
      <c r="K515" s="3" t="inlineStr">
        <is>
          <t>Promise&lt;string | null&gt;</t>
        </is>
      </c>
      <c r="L515" s="3" t="inlineStr">
        <is>
          <t>—</t>
        </is>
      </c>
      <c r="M515" s="3" t="inlineStr">
        <is>
          <t>None found in this function — anything it assumes comes from the functions it depends on.</t>
        </is>
      </c>
      <c r="N515" s="3" t="inlineStr">
        <is>
          <t>Yes</t>
        </is>
      </c>
      <c r="O515" s="3" t="inlineStr">
        <is>
          <t>1. MK-XS-F-052 encryptWithKey
2. MK-XS-F-042 getDataKey</t>
        </is>
      </c>
      <c r="P515" s="3" t="n">
        <v>3</v>
      </c>
      <c r="Q515" s="3" t="inlineStr">
        <is>
          <t>1. MK-XS-F-052 encryptWithKey
2. MK-XS-F-042 getDataKey
3. MK-XS-F-135 secureGet</t>
        </is>
      </c>
      <c r="R515" s="3" t="inlineStr">
        <is>
          <t>1. MK-XS-F-052 encryptWithKey → MK-XS-F-054 encryptForSync
2. MK-XS-F-135 secureGet → MK-XS-F-042 getDataKey → MK-XS-F-054 encryptForSync</t>
        </is>
      </c>
      <c r="S515" s="3" t="inlineStr">
        <is>
          <t>—</t>
        </is>
      </c>
      <c r="T515" s="3" t="inlineStr">
        <is>
          <t>—</t>
        </is>
      </c>
      <c r="U515" s="3" t="inlineStr">
        <is>
          <t>ACTIVE</t>
        </is>
      </c>
      <c r="V515" s="3" t="inlineStr">
        <is>
          <t>2026-08-27</t>
        </is>
      </c>
      <c r="Y515" s="3" t="inlineStr">
        <is>
          <t>NOTHING OPEN</t>
        </is>
      </c>
    </row>
    <row r="516">
      <c r="A516" s="3" t="inlineStr">
        <is>
          <t>MK-XS-F-055</t>
        </is>
      </c>
      <c r="B516" s="3" t="inlineStr">
        <is>
          <t>decryptFromSync</t>
        </is>
      </c>
      <c r="C516" s="3" t="inlineStr">
        <is>
          <t>src/services/dataCrypto.ts</t>
        </is>
      </c>
      <c r="D516" s="3" t="n">
        <v>549</v>
      </c>
      <c r="E516" s="3" t="inlineStr">
        <is>
          <t>3 · DEPENDENT</t>
        </is>
      </c>
      <c r="F516" s="3" t="inlineStr">
        <is>
          <t>Decrypt a synced value: ciphertext → object; legacy plaintext object → returned as-is; null if it's ciphertext we can't decrypt (no key).</t>
        </is>
      </c>
      <c r="G516" s="13" t="inlineStr">
        <is>
          <t>nothing   when value = nothing
value   when !is encrypted(value)
key = await get data key()
the answer:
decrypt with key(value as string, key)   if key
nothing   otherwise</t>
        </is>
      </c>
      <c r="H516" s="3" t="inlineStr">
        <is>
          <t>When value is missing, it answers no answer. When !is encrypted(value), it answers value. Key is await get data key(). The answer is decrypt with key(value as string, key) — when key; no answer — otherwise.</t>
        </is>
      </c>
      <c r="I516" s="3" t="inlineStr">
        <is>
          <t>READ FROM THE CODE — rendered from the expressions the function runs</t>
        </is>
      </c>
      <c r="J516" s="3" t="inlineStr">
        <is>
          <t>value: unknown</t>
        </is>
      </c>
      <c r="K516" s="3" t="inlineStr">
        <is>
          <t>Promise&lt;any | null&gt;</t>
        </is>
      </c>
      <c r="L516" s="3" t="inlineStr">
        <is>
          <t>—</t>
        </is>
      </c>
      <c r="M516" s="3" t="inlineStr">
        <is>
          <t>None found in this function — anything it assumes comes from the functions it depends on.</t>
        </is>
      </c>
      <c r="N516" s="3" t="inlineStr">
        <is>
          <t>Yes</t>
        </is>
      </c>
      <c r="O516" s="3" t="inlineStr">
        <is>
          <t>1. MK-XS-F-053 decryptWithKey
2. MK-XS-F-042 getDataKey
3. MK-XS-F-051 isEncrypted</t>
        </is>
      </c>
      <c r="P516" s="3" t="n">
        <v>4</v>
      </c>
      <c r="Q516" s="3" t="inlineStr">
        <is>
          <t>1. MK-XS-F-053 decryptWithKey
2. MK-XS-F-042 getDataKey
3. MK-XS-F-051 isEncrypted
4. MK-XS-F-135 secureGet</t>
        </is>
      </c>
      <c r="R516" s="3" t="inlineStr">
        <is>
          <t>1. MK-XS-F-051 isEncrypted → MK-XS-F-053 decryptWithKey → MK-XS-F-055 decryptFromSync
2. MK-XS-F-135 secureGet → MK-XS-F-042 getDataKey → MK-XS-F-055 decryptFromSync
3. MK-XS-F-051 isEncrypted → MK-XS-F-055 decryptFromSync</t>
        </is>
      </c>
      <c r="S516" s="3" t="inlineStr">
        <is>
          <t>—</t>
        </is>
      </c>
      <c r="T516" s="3" t="inlineStr">
        <is>
          <t>—</t>
        </is>
      </c>
      <c r="U516" s="3" t="inlineStr">
        <is>
          <t>ACTIVE</t>
        </is>
      </c>
      <c r="V516" s="3" t="inlineStr">
        <is>
          <t>2026-08-27</t>
        </is>
      </c>
      <c r="Y516" s="3" t="inlineStr">
        <is>
          <t>NOTHING OPEN</t>
        </is>
      </c>
    </row>
    <row r="517">
      <c r="A517" s="3" t="inlineStr">
        <is>
          <t>MK-XS-F-056</t>
        </is>
      </c>
      <c r="B517" s="3" t="inlineStr">
        <is>
          <t>fetchEconomicData</t>
        </is>
      </c>
      <c r="C517" s="3" t="inlineStr">
        <is>
          <t>src/services/economicData.ts</t>
        </is>
      </c>
      <c r="D517" s="3" t="n">
        <v>69</v>
      </c>
      <c r="E517" s="3" t="inlineStr">
        <is>
          <t>3 · DEPENDENT (feeds an action only)</t>
        </is>
      </c>
      <c r="F517" s="3" t="inlineStr">
        <is>
          <t>What are inflation and the 10-year Treasury yield?</t>
        </is>
      </c>
      <c r="G517" s="13" t="inlineStr">
        <is>
          <t>inflation rate = the fetched figure, or the fallback when the fetch failed
treasury yield = the fetched figure, or the fallback when the fetch failed
fetched at = now; each fallback flagged</t>
        </is>
      </c>
      <c r="H517" s="3" t="inlineStr">
        <is>
          <t>Fetches the inflation rate and the ten-year Treasury yield; when either fetch fails its fallback is used and FLAGGED as a fallback, never passed off as live.</t>
        </is>
      </c>
      <c r="I517" s="3" t="inlineStr">
        <is>
          <t>READ BY HAND 2026-08-26 — checked line by line against the code</t>
        </is>
      </c>
      <c r="J517" s="3" t="inlineStr">
        <is>
          <t>Nothing is handed to it</t>
        </is>
      </c>
      <c r="K517" s="3" t="inlineStr">
        <is>
          <t>Promise&lt;EconomicData&gt;</t>
        </is>
      </c>
      <c r="L517" s="3" t="inlineStr">
        <is>
          <t>—</t>
        </is>
      </c>
      <c r="M517" s="3" t="inlineStr">
        <is>
          <t>· Uses today's date from the device clock, so the answer changes by itself overnight.</t>
        </is>
      </c>
      <c r="N517" s="3" t="inlineStr">
        <is>
          <t>No</t>
        </is>
      </c>
      <c r="O517" s="3" t="inlineStr">
        <is>
          <t>1. MK-XS-F-140 fetchInflation
2. MK-XS-F-141 fetchTreasuryYield</t>
        </is>
      </c>
      <c r="P517" s="3" t="n">
        <v>2</v>
      </c>
      <c r="Q517" s="3" t="inlineStr">
        <is>
          <t>1. MK-XS-F-140 fetchInflation
2. MK-XS-F-141 fetchTreasuryYield</t>
        </is>
      </c>
      <c r="R517" s="3" t="inlineStr">
        <is>
          <t>1. MK-XS-F-140 fetchInflation → MK-XS-F-056 fetchEconomicData
2. MK-XS-F-141 fetchTreasuryYield → MK-XS-F-056 fetchEconomicData</t>
        </is>
      </c>
      <c r="S517" s="3" t="inlineStr">
        <is>
          <t>—</t>
        </is>
      </c>
      <c r="T517" s="3" t="inlineStr">
        <is>
          <t>ECONOMIC_FIGURES</t>
        </is>
      </c>
      <c r="U517" s="3" t="inlineStr">
        <is>
          <t>ACTIVE</t>
        </is>
      </c>
      <c r="V517" s="3" t="inlineStr">
        <is>
          <t>2026-09-12</t>
        </is>
      </c>
      <c r="Y517" s="3" t="inlineStr">
        <is>
          <t>NOTHING OPEN</t>
        </is>
      </c>
    </row>
    <row r="518">
      <c r="A518" s="3" t="inlineStr">
        <is>
          <t>MK-XS-F-057</t>
        </is>
      </c>
      <c r="B518" s="3" t="inlineStr">
        <is>
          <t>analyzeExpenses</t>
        </is>
      </c>
      <c r="C518" s="3" t="inlineStr">
        <is>
          <t>src/services/economicData.ts</t>
        </is>
      </c>
      <c r="D518" s="3" t="n">
        <v>202</v>
      </c>
      <c r="E518" s="3" t="inlineStr">
        <is>
          <t>4 · BRINGS DATA IN</t>
        </is>
      </c>
      <c r="F518" s="3" t="inlineStr">
        <is>
          <t>What is worth saying about this expenses?</t>
        </is>
      </c>
      <c r="G518" s="13" t="inlineStr">
        <is>
          <t>data = await res.json()
the answer = data as expense analysis</t>
        </is>
      </c>
      <c r="H518" s="3" t="inlineStr">
        <is>
          <t>Data is await res.json(). The answer is data as expense analysis.</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EXPENSE_COMMENTARY</t>
        </is>
      </c>
      <c r="U518" s="3" t="inlineStr">
        <is>
          <t>ACTIVE</t>
        </is>
      </c>
      <c r="V518" s="3" t="inlineStr">
        <is>
          <t>2026-08-27</t>
        </is>
      </c>
      <c r="Y518" s="3" t="inlineStr">
        <is>
          <t>NOTHING OPEN</t>
        </is>
      </c>
    </row>
    <row r="519">
      <c r="A519" s="3" t="inlineStr">
        <is>
          <t>MK-XS-F-058</t>
        </is>
      </c>
      <c r="B519" s="3" t="inlineStr">
        <is>
          <t>parseReceipt</t>
        </is>
      </c>
      <c r="C519" s="3" t="inlineStr">
        <is>
          <t>src/services/receiptScan.ts</t>
        </is>
      </c>
      <c r="D519" s="3" t="n">
        <v>106</v>
      </c>
      <c r="E519" s="3" t="inlineStr">
        <is>
          <t>3 · DEPENDENT</t>
        </is>
      </c>
      <c r="F519" s="3" t="inlineStr">
        <is>
          <t>Heuristic parse of receipt text → total amount + merchant.</t>
        </is>
      </c>
      <c r="G519" s="13"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19"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19" s="3" t="inlineStr">
        <is>
          <t>PARTLY READ — some of the code is still showing through; needs a hand pass</t>
        </is>
      </c>
      <c r="J519" s="3" t="inlineStr">
        <is>
          <t>text: string</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1. MK-CF-F-132 map
2. MK-XS-F-093 stripNonMoney
3. MK-ST-F-052 toNum</t>
        </is>
      </c>
      <c r="P519" s="3" t="n">
        <v>4</v>
      </c>
      <c r="Q519" s="3" t="inlineStr">
        <is>
          <t>1. MK-CF-F-132 map
2. MK-XS-F-093 stripNonMoney
3. MK-ST-F-052 toNum
4. MK-XS-F-122 n</t>
        </is>
      </c>
      <c r="R519" s="3" t="inlineStr">
        <is>
          <t>1. MK-CF-F-132 map → MK-XS-F-058 parseReceipt
2. MK-XS-F-093 stripNonMoney → MK-XS-F-058 parseReceipt
3. MK-XS-F-122 n → MK-ST-F-052 toNum → MK-XS-F-058 parseReceipt</t>
        </is>
      </c>
      <c r="S519" s="3" t="inlineStr">
        <is>
          <t>—</t>
        </is>
      </c>
      <c r="T519" s="3" t="inlineStr">
        <is>
          <t>READ_A_RECEIPT</t>
        </is>
      </c>
      <c r="U519" s="3" t="inlineStr">
        <is>
          <t>ACTIVE</t>
        </is>
      </c>
      <c r="V519" s="3" t="inlineStr">
        <is>
          <t>2026-08-27</t>
        </is>
      </c>
      <c r="Y519" s="3" t="inlineStr">
        <is>
          <t>NOTHING OPEN</t>
        </is>
      </c>
    </row>
    <row r="520">
      <c r="A520" s="3" t="inlineStr">
        <is>
          <t>MK-XS-F-059</t>
        </is>
      </c>
      <c r="B520" s="3" t="inlineStr">
        <is>
          <t>readFileString</t>
        </is>
      </c>
      <c r="C520" s="3" t="inlineStr">
        <is>
          <t>src/services/fileRead.ts</t>
        </is>
      </c>
      <c r="D520" s="3" t="n">
        <v>22</v>
      </c>
      <c r="E520" s="3" t="inlineStr">
        <is>
          <t>4 · BRINGS DATA IN</t>
        </is>
      </c>
      <c r="F520" s="3" t="inlineStr">
        <is>
          <t>NOT DETERMINED — the code carries no note saying what this is for, and it has no row in the old inventory. Needs reading.</t>
        </is>
      </c>
      <c r="G520" s="13" t="inlineStr">
        <is>
          <t>read as string async(uri, { encoding: encoding = 'base64' ? encoding type.base64 : encoding type.UTF8 })</t>
        </is>
      </c>
      <c r="H520" s="3" t="inlineStr">
        <is>
          <t>read as string async(uri, { encoding: encoding = 'base64' ? encoding type.base64 : encoding type.UTF8 }).</t>
        </is>
      </c>
      <c r="I520" s="3" t="inlineStr">
        <is>
          <t>READ FROM THE CODE — rendered from the expressions the function runs</t>
        </is>
      </c>
      <c r="J520" s="3" t="inlineStr">
        <is>
          <t>1. uri: string
2. encoding: 'utf8' | 'base64' = 'utf8'</t>
        </is>
      </c>
      <c r="K520" s="3" t="inlineStr">
        <is>
          <t>Promise&lt;string&gt;</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Y520" s="3" t="inlineStr">
        <is>
          <t>NOTHING OPEN</t>
        </is>
      </c>
    </row>
    <row r="521">
      <c r="A521" s="3" t="inlineStr">
        <is>
          <t>MK-XS-F-060</t>
        </is>
      </c>
      <c r="B521" s="3" t="inlineStr">
        <is>
          <t>registerUser</t>
        </is>
      </c>
      <c r="C521" s="3" t="inlineStr">
        <is>
          <t>src/services/firebase.ts</t>
        </is>
      </c>
      <c r="D521" s="3" t="n">
        <v>88</v>
      </c>
      <c r="E521" s="3" t="inlineStr">
        <is>
          <t>2 · DISPLAYED</t>
        </is>
      </c>
      <c r="F521" s="3" t="inlineStr">
        <is>
          <t>Returns the new user AND a one-time recovery code the caller MUST show the user to save.</t>
        </is>
      </c>
      <c r="G521" s="13" t="inlineStr">
        <is>
          <t>cred = await create user with email and password(auth, email, password)
dek = generate data key()
recovery code = generate recovery code()
key envelope = make envelope(dek, cred.user.uid, password, recovery code)
the answer:
user = cred.user
recovery code = recovery code</t>
        </is>
      </c>
      <c r="H521"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21" s="3" t="inlineStr">
        <is>
          <t>READ FROM THE CODE — rendered from the expressions the function runs</t>
        </is>
      </c>
      <c r="J521" s="3" t="inlineStr">
        <is>
          <t>1. email: string
2. password: string
3. name: string
4. onCodeReady?: (code: string) =&gt; void</t>
        </is>
      </c>
      <c r="K521" s="3" t="inlineStr">
        <is>
          <t>NOT DECLARED — the code does not say what it gives back</t>
        </is>
      </c>
      <c r="L521" s="3" t="inlineStr">
        <is>
          <t>NOT FOUND — a screen calls it, but the words printed beside its answer could not be traced automatically. Needs reading.</t>
        </is>
      </c>
      <c r="M521" s="3" t="inlineStr">
        <is>
          <t>None found in this function — anything it assumes comes from the functions it depends on.</t>
        </is>
      </c>
      <c r="N521" s="3" t="inlineStr">
        <is>
          <t>Yes</t>
        </is>
      </c>
      <c r="O521" s="3" t="inlineStr">
        <is>
          <t>1. MK-XS-F-041 cacheDataKey
2. MK-XS-F-044 generateDataKey
3. MK-XS-F-045 generateRecoveryCode
4. MK-XS-F-046 makeEnvelope
5. MK-XS-F-175 uid</t>
        </is>
      </c>
      <c r="P521" s="3" t="n">
        <v>88</v>
      </c>
      <c r="Q521"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21"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21" s="3" t="inlineStr">
        <is>
          <t>—</t>
        </is>
      </c>
      <c r="T521" s="3" t="inlineStr">
        <is>
          <t>—</t>
        </is>
      </c>
      <c r="U521" s="3" t="inlineStr">
        <is>
          <t>ACTIVE</t>
        </is>
      </c>
      <c r="V521" s="3" t="inlineStr">
        <is>
          <t>2026-08-27</t>
        </is>
      </c>
      <c r="Y521" s="3" t="inlineStr">
        <is>
          <t>NOTHING OPEN</t>
        </is>
      </c>
    </row>
    <row r="522">
      <c r="A522" s="3" t="inlineStr">
        <is>
          <t>MK-XS-F-061</t>
        </is>
      </c>
      <c r="B522" s="3" t="inlineStr">
        <is>
          <t>resendVerification</t>
        </is>
      </c>
      <c r="C522" s="3" t="inlineStr">
        <is>
          <t>src/services/firebase.ts</t>
        </is>
      </c>
      <c r="D522" s="3" t="n">
        <v>130</v>
      </c>
      <c r="E522" s="3" t="inlineStr">
        <is>
          <t>1 · ACTION</t>
        </is>
      </c>
      <c r="F522" s="3" t="inlineStr">
        <is>
          <t>Resend the verification email to the signed-in user.</t>
        </is>
      </c>
      <c r="G522" s="13" t="inlineStr">
        <is>
          <t>sends the verification e-mail again to the signed-in person</t>
        </is>
      </c>
      <c r="H522" s="3" t="inlineStr">
        <is>
          <t>Resends the e-mail-verification message. Not a calculation.</t>
        </is>
      </c>
      <c r="I522" s="3" t="inlineStr">
        <is>
          <t>READ BY HAND 2026-08-26 — checked line by line against the code</t>
        </is>
      </c>
      <c r="J522" s="3" t="inlineStr">
        <is>
          <t>Nothing is handed to it</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2026-09-12</t>
        </is>
      </c>
      <c r="Y522" s="3" t="inlineStr">
        <is>
          <t>NOTHING OPEN</t>
        </is>
      </c>
    </row>
    <row r="523">
      <c r="A523" s="3" t="inlineStr">
        <is>
          <t>MK-XS-F-062</t>
        </is>
      </c>
      <c r="B523" s="3" t="inlineStr">
        <is>
          <t>refreshEmailVerified</t>
        </is>
      </c>
      <c r="C523" s="3" t="inlineStr">
        <is>
          <t>src/services/firebase.ts</t>
        </is>
      </c>
      <c r="D523" s="3" t="n">
        <v>150</v>
      </c>
      <c r="E523" s="3" t="inlineStr">
        <is>
          <t>2 · DISPLAYED</t>
        </is>
      </c>
      <c r="F523" s="3" t="inlineStr">
        <is>
          <t>Re-check verification status from the server (call after the user clicks the email link).</t>
        </is>
      </c>
      <c r="G523" s="13" t="inlineStr">
        <is>
          <t>false   when auth.current user is missing
!!auth.current user.email verified</t>
        </is>
      </c>
      <c r="H523" s="3" t="inlineStr">
        <is>
          <t>When auth.current user is missing, it answers false. !!auth.current user.email verified.</t>
        </is>
      </c>
      <c r="I523" s="3" t="inlineStr">
        <is>
          <t>READ FROM THE CODE — rendered from the expressions the function runs</t>
        </is>
      </c>
      <c r="J523" s="3" t="inlineStr">
        <is>
          <t>Nothing is handed to it</t>
        </is>
      </c>
      <c r="K523" s="3" t="inlineStr">
        <is>
          <t>Promise&lt;boolean&gt;</t>
        </is>
      </c>
      <c r="L523"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Y523" s="3" t="inlineStr">
        <is>
          <t>NOTHING OPEN</t>
        </is>
      </c>
    </row>
    <row r="524">
      <c r="A524" s="3" t="inlineStr">
        <is>
          <t>MK-XS-F-063</t>
        </is>
      </c>
      <c r="B524" s="3" t="inlineStr">
        <is>
          <t>isEmailVerified</t>
        </is>
      </c>
      <c r="C524" s="3" t="inlineStr">
        <is>
          <t>src/services/firebase.ts</t>
        </is>
      </c>
      <c r="D524" s="3" t="n">
        <v>170</v>
      </c>
      <c r="E524" s="3" t="inlineStr">
        <is>
          <t>2 · DISPLAYED</t>
        </is>
      </c>
      <c r="F524" s="3" t="inlineStr">
        <is>
          <t>NOT DETERMINED — the code carries no note saying what this is for, and it has no row in the old inventory. Needs reading.</t>
        </is>
      </c>
      <c r="G524" s="13" t="inlineStr">
        <is>
          <t>!!auth.current user.email verified</t>
        </is>
      </c>
      <c r="H524" s="3" t="inlineStr">
        <is>
          <t>!!auth.current user.email verified.</t>
        </is>
      </c>
      <c r="I524" s="3" t="inlineStr">
        <is>
          <t>READ FROM THE CODE — rendered from the expressions the function runs</t>
        </is>
      </c>
      <c r="J524" s="3" t="inlineStr">
        <is>
          <t>Nothing is handed to it</t>
        </is>
      </c>
      <c r="K524" s="3" t="inlineStr">
        <is>
          <t>boolean</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Y524" s="3" t="inlineStr">
        <is>
          <t>NOTHING OPEN</t>
        </is>
      </c>
    </row>
    <row r="525">
      <c r="A525" s="3" t="inlineStr">
        <is>
          <t>MK-XS-F-064</t>
        </is>
      </c>
      <c r="B525" s="3" t="inlineStr">
        <is>
          <t>currentIdToken</t>
        </is>
      </c>
      <c r="C525" s="3" t="inlineStr">
        <is>
          <t>src/services/firebase.ts</t>
        </is>
      </c>
      <c r="D525" s="3" t="n">
        <v>204</v>
      </c>
      <c r="E525" s="3" t="inlineStr">
        <is>
          <t>3 · DEPENDENT (feeds an action only)</t>
        </is>
      </c>
      <c r="F525" s="3" t="inlineStr">
        <is>
          <t>The email of the account currently signed in to Firebase — the authoritative identity that account-level actions (delete, reauth) operate on.</t>
        </is>
      </c>
      <c r="G525" s="13" t="inlineStr">
        <is>
          <t>the answer = the signed-in person's identity token, or nothing</t>
        </is>
      </c>
      <c r="H525" s="3" t="inlineStr">
        <is>
          <t>The signed-in person's identity token for the relay, or nothing when nobody is signed in. Not a calculation.</t>
        </is>
      </c>
      <c r="I525" s="3" t="inlineStr">
        <is>
          <t>READ BY HAND 2026-08-26 — checked line by line against the code</t>
        </is>
      </c>
      <c r="J525" s="3" t="inlineStr">
        <is>
          <t>Nothing is handed to it</t>
        </is>
      </c>
      <c r="K525" s="3" t="inlineStr">
        <is>
          <t>Promise&lt;string | null&gt;</t>
        </is>
      </c>
      <c r="L525" s="3" t="inlineStr">
        <is>
          <t>—</t>
        </is>
      </c>
      <c r="M525" s="3" t="inlineStr">
        <is>
          <t>None found in this function — anything it assumes comes from the functions it depends on.</t>
        </is>
      </c>
      <c r="N525" s="3" t="inlineStr">
        <is>
          <t>No</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2026-09-12</t>
        </is>
      </c>
      <c r="Y525" s="3" t="inlineStr">
        <is>
          <t>NOTHING OPEN</t>
        </is>
      </c>
    </row>
    <row r="526">
      <c r="A526" s="3" t="inlineStr">
        <is>
          <t>MK-XS-F-065</t>
        </is>
      </c>
      <c r="B526" s="3" t="inlineStr">
        <is>
          <t>currentUserEmail</t>
        </is>
      </c>
      <c r="C526" s="3" t="inlineStr">
        <is>
          <t>src/services/firebase.ts</t>
        </is>
      </c>
      <c r="D526" s="3" t="n">
        <v>223</v>
      </c>
      <c r="E526" s="3" t="inlineStr">
        <is>
          <t>2 · DISPLAYED</t>
        </is>
      </c>
      <c r="F526" s="3" t="inlineStr">
        <is>
          <t>NOT DETERMINED — the code carries no note saying what this is for, and it has no row in the old inventory. Needs reading.</t>
        </is>
      </c>
      <c r="G526" s="13" t="inlineStr">
        <is>
          <t>auth.current user.email (or nothing when missing)</t>
        </is>
      </c>
      <c r="H526" s="3" t="inlineStr">
        <is>
          <t>auth.current user.email (or no answer — when missing).</t>
        </is>
      </c>
      <c r="I526" s="3" t="inlineStr">
        <is>
          <t>PARTLY READ — some of the code is still showing through; needs a hand pass</t>
        </is>
      </c>
      <c r="J526" s="3" t="inlineStr">
        <is>
          <t>Nothing is handed to it</t>
        </is>
      </c>
      <c r="K526" s="3" t="inlineStr">
        <is>
          <t>string | null</t>
        </is>
      </c>
      <c r="L526" s="3" t="inlineStr">
        <is>
          <t>"Confirm account deletion" — on the Settings screen, under "Account"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Y526" s="3" t="inlineStr">
        <is>
          <t>NOTHING OPEN</t>
        </is>
      </c>
    </row>
    <row r="527">
      <c r="A527" s="3" t="inlineStr">
        <is>
          <t>MK-XS-F-066</t>
        </is>
      </c>
      <c r="B527" s="3" t="inlineStr">
        <is>
          <t>loginUser</t>
        </is>
      </c>
      <c r="C527" s="3" t="inlineStr">
        <is>
          <t>src/services/firebase.ts</t>
        </is>
      </c>
      <c r="D527" s="3" t="n">
        <v>255</v>
      </c>
      <c r="E527" s="3" t="inlineStr">
        <is>
          <t>4 · BRINGS DATA IN</t>
        </is>
      </c>
      <c r="F527" s="3" t="inlineStr">
        <is>
          <t>Returns the user plus the unlock status: • needsRecovery=true → the password can't open the data (it was reset); prompt for the recovery code.</t>
        </is>
      </c>
      <c r="G527" s="13"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27"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27" s="3" t="inlineStr">
        <is>
          <t>PARTLY READ — some of the code is still showing through; needs a hand pass</t>
        </is>
      </c>
      <c r="J527" s="3" t="inlineStr">
        <is>
          <t>1. email: string
2. password: string
3. onCodeReady?: (code: string) =&gt; void</t>
        </is>
      </c>
      <c r="K527" s="3" t="inlineStr">
        <is>
          <t>Promise&lt;</t>
        </is>
      </c>
      <c r="L527" s="3" t="inlineStr">
        <is>
          <t>—</t>
        </is>
      </c>
      <c r="M527" s="3" t="inlineStr">
        <is>
          <t>None found in this function — anything it assumes comes from the functions it depends on.</t>
        </is>
      </c>
      <c r="N527" s="3" t="inlineStr">
        <is>
          <t>Yes</t>
        </is>
      </c>
      <c r="O527" s="3" t="inlineStr">
        <is>
          <t>1. MK-XS-F-041 cacheDataKey
2. MK-XS-F-044 generateDataKey
3. MK-XS-F-045 generateRecoveryCode
4. MK-XS-F-046 makeEnvelope
5. MK-XS-F-060 registerUser
6. MK-XS-F-175 uid
7. MK-XS-F-047 unwrapWithPassword</t>
        </is>
      </c>
      <c r="P527" s="3" t="n">
        <v>92</v>
      </c>
      <c r="Q527"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27"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27" s="3" t="inlineStr">
        <is>
          <t>—</t>
        </is>
      </c>
      <c r="T527" s="3" t="inlineStr">
        <is>
          <t>—</t>
        </is>
      </c>
      <c r="U527" s="3" t="inlineStr">
        <is>
          <t>ACTIVE</t>
        </is>
      </c>
      <c r="V527" s="3" t="inlineStr">
        <is>
          <t>2026-08-27</t>
        </is>
      </c>
      <c r="Y527" s="3" t="inlineStr">
        <is>
          <t>NOTHING OPEN</t>
        </is>
      </c>
    </row>
    <row r="528">
      <c r="A528" s="3" t="inlineStr">
        <is>
          <t>MK-XS-F-067</t>
        </is>
      </c>
      <c r="B528" s="3" t="inlineStr">
        <is>
          <t>restoreWithRecoveryCode</t>
        </is>
      </c>
      <c r="C528" s="3" t="inlineStr">
        <is>
          <t>src/services/firebase.ts</t>
        </is>
      </c>
      <c r="D528" s="3" t="n">
        <v>303</v>
      </c>
      <c r="E528" s="3" t="inlineStr">
        <is>
          <t>4 · BRINGS DATA IN</t>
        </is>
      </c>
      <c r="F528" s="3" t="inlineStr">
        <is>
          <t>After a password reset, restore data access with the recovery code, then re-lock the data under the NEW password.</t>
        </is>
      </c>
      <c r="G528" s="13" t="inlineStr">
        <is>
          <t>u = auth.current user
snap = await get doc(doc(db, 'users', uid))
env = (snap.data() as any).key envelope   if snap.exists()
undefined   otherwise
dek = unwrap with recovery(env, uid, recovery code)</t>
        </is>
      </c>
      <c r="H528" s="3" t="inlineStr">
        <is>
          <t>U is auth.current user. Snap is await get doc(doc(db, 'users', uid)). Env is (snap.data() as any).key envelope — when snap.exists(); undefined — otherwise. Dek is unwrap with recovery(env, uid, recovery code).</t>
        </is>
      </c>
      <c r="I528" s="3" t="inlineStr">
        <is>
          <t>PARTLY READ — some of the code is still showing through; needs a hand pass</t>
        </is>
      </c>
      <c r="J528" s="3" t="inlineStr">
        <is>
          <t>1. recoveryCode: string
2. newPassword: string</t>
        </is>
      </c>
      <c r="K528" s="3" t="inlineStr">
        <is>
          <t>Promise&lt;void&gt;</t>
        </is>
      </c>
      <c r="L528" s="3" t="inlineStr">
        <is>
          <t>—</t>
        </is>
      </c>
      <c r="M528" s="3" t="inlineStr">
        <is>
          <t>None found in this function — anything it assumes comes from the functions it depends on.</t>
        </is>
      </c>
      <c r="N528" s="3" t="inlineStr">
        <is>
          <t>Yes</t>
        </is>
      </c>
      <c r="O528" s="3" t="inlineStr">
        <is>
          <t>1. MK-XS-F-041 cacheDataKey
2. MK-XS-F-049 rewrapPassword
3. MK-XS-F-175 uid
4. MK-XS-F-048 unwrapWithRecovery</t>
        </is>
      </c>
      <c r="P528" s="3" t="n">
        <v>89</v>
      </c>
      <c r="Q528"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28"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28" s="3" t="inlineStr">
        <is>
          <t>—</t>
        </is>
      </c>
      <c r="T528" s="3" t="inlineStr">
        <is>
          <t>—</t>
        </is>
      </c>
      <c r="U528" s="3" t="inlineStr">
        <is>
          <t>ACTIVE</t>
        </is>
      </c>
      <c r="V528" s="3" t="inlineStr">
        <is>
          <t>2026-08-27</t>
        </is>
      </c>
      <c r="Y528" s="3" t="inlineStr">
        <is>
          <t>NOTHING OPEN</t>
        </is>
      </c>
    </row>
    <row r="529">
      <c r="A529" s="3" t="inlineStr">
        <is>
          <t>MK-XS-F-068</t>
        </is>
      </c>
      <c r="B529" s="3" t="inlineStr">
        <is>
          <t>regenerateRecoveryCode</t>
        </is>
      </c>
      <c r="C529" s="3" t="inlineStr">
        <is>
          <t>src/services/firebase.ts</t>
        </is>
      </c>
      <c r="D529" s="3" t="n">
        <v>338</v>
      </c>
      <c r="E529" s="3" t="inlineStr">
        <is>
          <t>4 · BRINGS DATA IN</t>
        </is>
      </c>
      <c r="F529" s="3" t="inlineStr">
        <is>
          <t>Issue a NEW recovery code for the signed-in user (the old one stops working).</t>
        </is>
      </c>
      <c r="G529" s="13" t="inlineStr">
        <is>
          <t>u = auth.current user
dek = await get data key()
snap = await get doc(doc(db, 'users', uid))
env = snap.exists() and (snap.data() as any).key envelope (or p = ''
r = '' when missing or zero)
recovery code = generate recovery code()
the answer = recovery code</t>
        </is>
      </c>
      <c r="H529" s="3" t="inlineStr">
        <is>
          <t>U is auth.current user. Dek is await get data key(). Snap is await get doc(doc(db, 'users', uid)). Env is snap.exists() and (snap.data() as any).key envelope (or p = ''; r = '' — when missing or zero). Recovery code is generate recovery code(). The answer is recovery code.</t>
        </is>
      </c>
      <c r="I529" s="3" t="inlineStr">
        <is>
          <t>PARTLY READ — some of the code is still showing through; needs a hand pass</t>
        </is>
      </c>
      <c r="J529" s="3" t="inlineStr">
        <is>
          <t>Nothing is handed to it</t>
        </is>
      </c>
      <c r="K529" s="3" t="inlineStr">
        <is>
          <t>Promise&lt;string&gt;</t>
        </is>
      </c>
      <c r="L529" s="3" t="inlineStr">
        <is>
          <t>—</t>
        </is>
      </c>
      <c r="M529" s="3" t="inlineStr">
        <is>
          <t>None found in this function — anything it assumes comes from the functions it depends on.</t>
        </is>
      </c>
      <c r="N529" s="3" t="inlineStr">
        <is>
          <t>Yes</t>
        </is>
      </c>
      <c r="O529" s="3" t="inlineStr">
        <is>
          <t>1. MK-XS-F-045 generateRecoveryCode
2. MK-XS-F-042 getDataKey
3. MK-XS-F-050 rewrapRecovery
4. MK-XS-F-175 uid</t>
        </is>
      </c>
      <c r="P529" s="3" t="n">
        <v>87</v>
      </c>
      <c r="Q529"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29"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29" s="3" t="inlineStr">
        <is>
          <t>—</t>
        </is>
      </c>
      <c r="T529" s="3" t="inlineStr">
        <is>
          <t>—</t>
        </is>
      </c>
      <c r="U529" s="3" t="inlineStr">
        <is>
          <t>ACTIVE</t>
        </is>
      </c>
      <c r="V529" s="3" t="inlineStr">
        <is>
          <t>2026-08-27</t>
        </is>
      </c>
      <c r="Y529" s="3" t="inlineStr">
        <is>
          <t>NOTHING OPEN</t>
        </is>
      </c>
    </row>
    <row r="530">
      <c r="A530" s="3" t="inlineStr">
        <is>
          <t>MK-XS-F-069</t>
        </is>
      </c>
      <c r="B530" s="3" t="inlineStr">
        <is>
          <t>logoutUser</t>
        </is>
      </c>
      <c r="C530" s="3" t="inlineStr">
        <is>
          <t>src/services/firebase.ts</t>
        </is>
      </c>
      <c r="D530" s="3" t="n">
        <v>365</v>
      </c>
      <c r="E530" s="3" t="inlineStr">
        <is>
          <t>1 · ACTION</t>
        </is>
      </c>
      <c r="F530" s="3" t="inlineStr">
        <is>
          <t>NOT DETERMINED — the code carries no note saying what this is for, and it has no row in the old inventory. Needs reading.</t>
        </is>
      </c>
      <c r="G530" s="13" t="inlineStr">
        <is>
          <t>clears the data key, then signs out</t>
        </is>
      </c>
      <c r="H530" s="3" t="inlineStr">
        <is>
          <t>Forgets the decryption key and signs the person out. Not a calculation.</t>
        </is>
      </c>
      <c r="I530" s="3" t="inlineStr">
        <is>
          <t>READ BY HAND 2026-08-26 — checked line by line against the code</t>
        </is>
      </c>
      <c r="J530" s="3" t="inlineStr">
        <is>
          <t>Nothing is handed to it</t>
        </is>
      </c>
      <c r="K530" s="3" t="inlineStr">
        <is>
          <t>NOT DECLARED — the code does not say what it gives back</t>
        </is>
      </c>
      <c r="L530" s="3" t="inlineStr">
        <is>
          <t>—</t>
        </is>
      </c>
      <c r="M530" s="3" t="inlineStr">
        <is>
          <t>None found in this function — anything it assumes comes from the functions it depends on.</t>
        </is>
      </c>
      <c r="N530" s="3" t="inlineStr">
        <is>
          <t>Yes</t>
        </is>
      </c>
      <c r="O530" s="3" t="inlineStr">
        <is>
          <t>MK-XS-F-043 clearDataKey</t>
        </is>
      </c>
      <c r="P530" s="3" t="n">
        <v>2</v>
      </c>
      <c r="Q530" s="3" t="inlineStr">
        <is>
          <t>1. MK-XS-F-043 clearDataKey
2. MK-XS-F-137 secureDelete</t>
        </is>
      </c>
      <c r="R530" s="3" t="inlineStr">
        <is>
          <t>MK-XS-F-137 secureDelete → MK-XS-F-043 clearDataKey → MK-XS-F-069 logoutUser</t>
        </is>
      </c>
      <c r="S530" s="3" t="inlineStr">
        <is>
          <t>—</t>
        </is>
      </c>
      <c r="T530" s="3" t="inlineStr">
        <is>
          <t>—</t>
        </is>
      </c>
      <c r="U530" s="3" t="inlineStr">
        <is>
          <t>ACTIVE</t>
        </is>
      </c>
      <c r="V530" s="3" t="inlineStr">
        <is>
          <t>2026-09-12</t>
        </is>
      </c>
      <c r="Y530" s="3" t="inlineStr">
        <is>
          <t>NOTHING OPEN</t>
        </is>
      </c>
    </row>
    <row r="531">
      <c r="A531" s="3" t="inlineStr">
        <is>
          <t>MK-XS-F-070</t>
        </is>
      </c>
      <c r="B531" s="3" t="inlineStr">
        <is>
          <t>resetPassword</t>
        </is>
      </c>
      <c r="C531" s="3" t="inlineStr">
        <is>
          <t>src/services/firebase.ts</t>
        </is>
      </c>
      <c r="D531" s="3" t="n">
        <v>385</v>
      </c>
      <c r="E531" s="3" t="inlineStr">
        <is>
          <t>1 · ACTION</t>
        </is>
      </c>
      <c r="F531" s="3" t="inlineStr">
        <is>
          <t>NOT DETERMINED — the code carries no note saying what this is for, and it has no row in the old inventory. Needs reading.</t>
        </is>
      </c>
      <c r="G531" s="13" t="inlineStr">
        <is>
          <t>sends a password-reset e-mail to the address</t>
        </is>
      </c>
      <c r="H531" s="3" t="inlineStr">
        <is>
          <t>Sends the password-reset e-mail. Not a calculation.</t>
        </is>
      </c>
      <c r="I531" s="3" t="inlineStr">
        <is>
          <t>READ BY HAND 2026-08-26 — checked line by line against the code</t>
        </is>
      </c>
      <c r="J531" s="3" t="inlineStr">
        <is>
          <t>email: string</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2026-09-12</t>
        </is>
      </c>
      <c r="Y531" s="3" t="inlineStr">
        <is>
          <t>NOTHING OPEN</t>
        </is>
      </c>
    </row>
    <row r="532">
      <c r="A532" s="3" t="inlineStr">
        <is>
          <t>MK-XS-F-071</t>
        </is>
      </c>
      <c r="B532" s="3" t="inlineStr">
        <is>
          <t>onAuthChange</t>
        </is>
      </c>
      <c r="C532" s="3" t="inlineStr">
        <is>
          <t>src/services/firebase.ts</t>
        </is>
      </c>
      <c r="D532" s="3" t="n">
        <v>404</v>
      </c>
      <c r="E532" s="3" t="inlineStr">
        <is>
          <t>2 · DISPLAYED</t>
        </is>
      </c>
      <c r="F532" s="3" t="inlineStr">
        <is>
          <t>NOT DETERMINED — the code carries no note saying what this is for, and it has no row in the old inventory. Needs reading.</t>
        </is>
      </c>
      <c r="G532" s="13" t="inlineStr">
        <is>
          <t>on auth state changed(auth, callback)</t>
        </is>
      </c>
      <c r="H532" s="3" t="inlineStr">
        <is>
          <t>on auth state changed(auth, callback).</t>
        </is>
      </c>
      <c r="I532" s="3" t="inlineStr">
        <is>
          <t>READ FROM THE CODE — rendered from the expressions the function runs</t>
        </is>
      </c>
      <c r="J532" s="3" t="inlineStr">
        <is>
          <t>callback: (user: any) =&gt; void</t>
        </is>
      </c>
      <c r="K532" s="3" t="inlineStr">
        <is>
          <t>NOT DECLARED — the code does not say what it gives back</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Y532" s="3" t="inlineStr">
        <is>
          <t>NOTHING OPEN</t>
        </is>
      </c>
    </row>
    <row r="533">
      <c r="A533" s="3" t="inlineStr">
        <is>
          <t>MK-XS-F-072</t>
        </is>
      </c>
      <c r="B533" s="3" t="inlineStr">
        <is>
          <t>deleteAccount</t>
        </is>
      </c>
      <c r="C533" s="3" t="inlineStr">
        <is>
          <t>src/services/firebase.ts</t>
        </is>
      </c>
      <c r="D533" s="3" t="n">
        <v>429</v>
      </c>
      <c r="E533" s="3" t="inlineStr">
        <is>
          <t>1 · ACTION</t>
        </is>
      </c>
      <c r="F533" s="3" t="inlineStr">
        <is>
          <t>Permanently delete the signed-in user's account (App Store Guideline 5.1.1(v)).</t>
        </is>
      </c>
      <c r="G533" s="13" t="inlineStr">
        <is>
          <t>u = auth.current user
cred = email auth provider.credential(email, password)
root = await load user root(uid)</t>
        </is>
      </c>
      <c r="H533" s="3" t="inlineStr">
        <is>
          <t>U is auth.current user. Cred is email auth provider.credential(email, password). Root is await load user root(uid).</t>
        </is>
      </c>
      <c r="I533" s="3" t="inlineStr">
        <is>
          <t>PARTLY READ — some of the code is still showing through; needs a hand pass</t>
        </is>
      </c>
      <c r="J533" s="3" t="inlineStr">
        <is>
          <t>password: string</t>
        </is>
      </c>
      <c r="K533" s="3" t="inlineStr">
        <is>
          <t>Promise&lt;void&gt;</t>
        </is>
      </c>
      <c r="L533" s="3" t="inlineStr">
        <is>
          <t>—</t>
        </is>
      </c>
      <c r="M533" s="3" t="inlineStr">
        <is>
          <t>None found in this function — anything it assumes comes from the functions it depends on.</t>
        </is>
      </c>
      <c r="N533" s="3" t="inlineStr">
        <is>
          <t>Yes</t>
        </is>
      </c>
      <c r="O533" s="3" t="inlineStr">
        <is>
          <t>1. MK-XS-F-035 authenticate
2. MK-XS-F-043 clearDataKey
3. MK-XS-F-079 loadUserRoot
4. MK-XS-F-175 uid</t>
        </is>
      </c>
      <c r="P533" s="3" t="n">
        <v>90</v>
      </c>
      <c r="Q533"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33"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33" s="3" t="inlineStr">
        <is>
          <t>—</t>
        </is>
      </c>
      <c r="T533" s="3" t="inlineStr">
        <is>
          <t>—</t>
        </is>
      </c>
      <c r="U533" s="3" t="inlineStr">
        <is>
          <t>ACTIVE</t>
        </is>
      </c>
      <c r="V533" s="3" t="inlineStr">
        <is>
          <t>2026-08-27</t>
        </is>
      </c>
      <c r="Y533" s="3" t="inlineStr">
        <is>
          <t>NOTHING OPEN</t>
        </is>
      </c>
    </row>
    <row r="534">
      <c r="A534" s="3" t="inlineStr">
        <is>
          <t>MK-XS-F-073</t>
        </is>
      </c>
      <c r="B534" s="3" t="inlineStr">
        <is>
          <t>saveUserData</t>
        </is>
      </c>
      <c r="C534" s="3" t="inlineStr">
        <is>
          <t>src/services/firebase.ts</t>
        </is>
      </c>
      <c r="D534" s="3" t="n">
        <v>471</v>
      </c>
      <c r="E534" s="3" t="inlineStr">
        <is>
          <t>1 · ACTION</t>
        </is>
      </c>
      <c r="F534" s="3" t="inlineStr">
        <is>
          <t>Sync fields stored ENCRYPTED under users/{uid}.appStateEnc (zero-knowledge — see dataCrypto.ts).</t>
        </is>
      </c>
      <c r="G534" s="13" t="inlineStr">
        <is>
          <t>clean = JSON.parse(JSON.stringify(data ?? {}))
enc = await encrypt for sync(clean)</t>
        </is>
      </c>
      <c r="H534" s="3" t="inlineStr">
        <is>
          <t>Clean is JSON.parse(JSON.stringify(data ?? {})). Enc is await encrypt for sync(clean).</t>
        </is>
      </c>
      <c r="I534" s="3" t="inlineStr">
        <is>
          <t>PARTLY READ — some of the code is still showing through; needs a hand pass</t>
        </is>
      </c>
      <c r="J534" s="3" t="inlineStr">
        <is>
          <t>1. uid: string
2. data: object</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1. MK-XS-F-054 encryptForSync
2. MK-XS-F-175 uid</t>
        </is>
      </c>
      <c r="P534" s="3" t="n">
        <v>84</v>
      </c>
      <c r="Q534"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34"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34" s="3" t="inlineStr">
        <is>
          <t>—</t>
        </is>
      </c>
      <c r="T534" s="3" t="inlineStr">
        <is>
          <t>—</t>
        </is>
      </c>
      <c r="U534" s="3" t="inlineStr">
        <is>
          <t>ACTIVE</t>
        </is>
      </c>
      <c r="V534" s="3" t="inlineStr">
        <is>
          <t>2026-08-27</t>
        </is>
      </c>
      <c r="Y534" s="3" t="inlineStr">
        <is>
          <t>NOTHING OPEN</t>
        </is>
      </c>
    </row>
    <row r="535">
      <c r="A535" s="3" t="inlineStr">
        <is>
          <t>MK-XS-F-074</t>
        </is>
      </c>
      <c r="B535" s="3" t="inlineStr">
        <is>
          <t>loadUserData</t>
        </is>
      </c>
      <c r="C535" s="3" t="inlineStr">
        <is>
          <t>src/services/firebase.ts</t>
        </is>
      </c>
      <c r="D535" s="3" t="n">
        <v>501</v>
      </c>
      <c r="E535" s="3" t="inlineStr">
        <is>
          <t>4 · BRINGS DATA IN</t>
        </is>
      </c>
      <c r="F535" s="3" t="inlineStr">
        <is>
          <t>NOT DETERMINED — the code carries no note saying what this is for, and it has no row in the old inventory. Needs reading.</t>
        </is>
      </c>
      <c r="G535" s="13" t="inlineStr">
        <is>
          <t>snap = await get doc(doc(db, 'users', uid))
nothing   when !snap.exists()
d = snap.data()
await decrypt from sync(app state enc)   when app state enc ≠ nothing
the answer = app state (or nothing when missing)</t>
        </is>
      </c>
      <c r="H535" s="3" t="inlineStr">
        <is>
          <t>Snap is await get doc(doc(db, 'users', uid)). When !snap.exists(), it answers no answer. D is snap.data(). When app state enc is not no answer, it answers await decrypt from sync(app state enc). The answer is app state (or no answer — when missing).</t>
        </is>
      </c>
      <c r="I535" s="3" t="inlineStr">
        <is>
          <t>PARTLY READ — some of the code is still showing through; needs a hand pass</t>
        </is>
      </c>
      <c r="J535" s="3" t="inlineStr">
        <is>
          <t>uid: string</t>
        </is>
      </c>
      <c r="K535" s="3" t="inlineStr">
        <is>
          <t>Promise&lt;Record&lt;string, any&gt; | null&gt;</t>
        </is>
      </c>
      <c r="L535" s="3" t="inlineStr">
        <is>
          <t>"Restore your data" — on the auth screen</t>
        </is>
      </c>
      <c r="M535" s="3" t="inlineStr">
        <is>
          <t>None found in this function — anything it assumes comes from the functions it depends on.</t>
        </is>
      </c>
      <c r="N535" s="3" t="inlineStr">
        <is>
          <t>Yes</t>
        </is>
      </c>
      <c r="O535" s="3" t="inlineStr">
        <is>
          <t>1. MK-XS-F-055 decryptFromSync
2. MK-XS-F-175 uid</t>
        </is>
      </c>
      <c r="P535" s="3" t="n">
        <v>85</v>
      </c>
      <c r="Q535"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35"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35" s="3" t="inlineStr">
        <is>
          <t>—</t>
        </is>
      </c>
      <c r="T535" s="3" t="inlineStr">
        <is>
          <t>—</t>
        </is>
      </c>
      <c r="U535" s="3" t="inlineStr">
        <is>
          <t>ACTIVE</t>
        </is>
      </c>
      <c r="V535" s="3" t="inlineStr">
        <is>
          <t>2026-08-27</t>
        </is>
      </c>
      <c r="Y535" s="3" t="inlineStr">
        <is>
          <t>NOTHING OPEN</t>
        </is>
      </c>
    </row>
    <row r="536">
      <c r="A536" s="3" t="inlineStr">
        <is>
          <t>MK-XS-F-075</t>
        </is>
      </c>
      <c r="B536" s="3" t="inlineStr">
        <is>
          <t>createInvite</t>
        </is>
      </c>
      <c r="C536" s="3" t="inlineStr">
        <is>
          <t>src/services/firebase.ts</t>
        </is>
      </c>
      <c r="D536" s="3" t="n">
        <v>557</v>
      </c>
      <c r="E536" s="3" t="inlineStr">
        <is>
          <t>2 · DISPLAYED (presentation only)</t>
        </is>
      </c>
      <c r="F536" s="3" t="inlineStr">
        <is>
          <t>Create an invite code pointing at this household's shared data doc.</t>
        </is>
      </c>
      <c r="G536" s="13" t="inlineStr">
        <is>
          <t>code = make invite code()
the answer = code</t>
        </is>
      </c>
      <c r="H536" s="3" t="inlineStr">
        <is>
          <t>Code is make invite code(). The answer is code.</t>
        </is>
      </c>
      <c r="I536" s="3" t="inlineStr">
        <is>
          <t>READ FROM THE CODE — rendered from the expressions the function runs</t>
        </is>
      </c>
      <c r="J536" s="3" t="inlineStr">
        <is>
          <t>1. householdId: string
2. inviterName: string | null</t>
        </is>
      </c>
      <c r="K536" s="3" t="inlineStr">
        <is>
          <t>Promise&lt;string&gt;</t>
        </is>
      </c>
      <c r="L536" s="3" t="inlineStr">
        <is>
          <t>"Vesting schedule" — on the setup questions, which appear on more than one screen</t>
        </is>
      </c>
      <c r="M536" s="3" t="inlineStr">
        <is>
          <t>None found in this function — anything it assumes comes from the functions it depends on.</t>
        </is>
      </c>
      <c r="N536" s="3" t="inlineStr">
        <is>
          <t>Yes</t>
        </is>
      </c>
      <c r="O536" s="3" t="inlineStr">
        <is>
          <t>MK-XS-F-142 makeInviteCode</t>
        </is>
      </c>
      <c r="P536" s="3" t="n">
        <v>1</v>
      </c>
      <c r="Q536" s="3" t="inlineStr">
        <is>
          <t>MK-XS-F-142 makeInviteCode</t>
        </is>
      </c>
      <c r="R536" s="3" t="inlineStr">
        <is>
          <t>MK-XS-F-142 makeInviteCode → MK-XS-F-075 createInvite</t>
        </is>
      </c>
      <c r="S536" s="3" t="inlineStr">
        <is>
          <t>—</t>
        </is>
      </c>
      <c r="T536" s="3" t="inlineStr">
        <is>
          <t>—</t>
        </is>
      </c>
      <c r="U536" s="3" t="inlineStr">
        <is>
          <t>ACTIVE</t>
        </is>
      </c>
      <c r="V536" s="3" t="inlineStr">
        <is>
          <t>2026-08-27</t>
        </is>
      </c>
      <c r="Y536" s="3" t="inlineStr">
        <is>
          <t>NOTHING OPEN</t>
        </is>
      </c>
    </row>
    <row r="537">
      <c r="A537" s="3" t="inlineStr">
        <is>
          <t>MK-XS-F-076</t>
        </is>
      </c>
      <c r="B537" s="3" t="inlineStr">
        <is>
          <t>lookupInvite</t>
        </is>
      </c>
      <c r="C537" s="3" t="inlineStr">
        <is>
          <t>src/services/firebase.ts</t>
        </is>
      </c>
      <c r="D537" s="3" t="n">
        <v>588</v>
      </c>
      <c r="E537" s="3" t="inlineStr">
        <is>
          <t>4 · BRINGS DATA IN</t>
        </is>
      </c>
      <c r="F537" s="3" t="inlineStr">
        <is>
          <t>NOT DETERMINED — the code carries no note saying what this is for, and it has no row in the old inventory. Needs reading.</t>
        </is>
      </c>
      <c r="G537" s="13" t="inlineStr">
        <is>
          <t>snap = await get doc(doc(db, 'invites', code.trim().to upper case()))
nothing   when !snap.exists()
d = snap.data() as any
the answer:
household id = household id
inviter name = inviter name (or nothing when missing)   if household id
nothing   otherwise</t>
        </is>
      </c>
      <c r="H537" s="3" t="inlineStr">
        <is>
          <t>Snap is await get doc(doc(db, 'invites', code.trim().to upper case())). When !snap.exists(), it answers no answer. D is snap.data() as any. The answer is household id = household id; inviter name = inviter name (or no answer when missing) — when household id; no answer — otherwise.</t>
        </is>
      </c>
      <c r="I537" s="3" t="inlineStr">
        <is>
          <t>PARTLY READ — some of the code is still showing through; needs a hand pass</t>
        </is>
      </c>
      <c r="J537" s="3" t="inlineStr">
        <is>
          <t>code: string</t>
        </is>
      </c>
      <c r="K537" s="3" t="inlineStr">
        <is>
          <t>Promise&lt;</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Y537" s="3" t="inlineStr">
        <is>
          <t>NOTHING OPEN</t>
        </is>
      </c>
    </row>
    <row r="538">
      <c r="A538" s="3" t="inlineStr">
        <is>
          <t>MK-XS-F-077</t>
        </is>
      </c>
      <c r="B538" s="3" t="inlineStr">
        <is>
          <t>setUserHousehold</t>
        </is>
      </c>
      <c r="C538" s="3" t="inlineStr">
        <is>
          <t>src/services/firebase.ts</t>
        </is>
      </c>
      <c r="D538" s="3" t="n">
        <v>611</v>
      </c>
      <c r="E538" s="3" t="inlineStr">
        <is>
          <t>1 · ACTION</t>
        </is>
      </c>
      <c r="F538" s="3" t="inlineStr">
        <is>
          <t>Record household membership on the member's own user doc (survives reinstall/new device).</t>
        </is>
      </c>
      <c r="G538" s="13" t="inlineStr">
        <is>
          <t>It reaches outside the app for data and hands back what came back — no arithmetic of its own.</t>
        </is>
      </c>
      <c r="H538" s="3" t="inlineStr">
        <is>
          <t>It reaches outside the app for data and hands back what came back — no arithmetic of its own.</t>
        </is>
      </c>
      <c r="I538" s="3" t="inlineStr">
        <is>
          <t>NO ARITHMETIC — there is no formula to state</t>
        </is>
      </c>
      <c r="J538" s="3" t="inlineStr">
        <is>
          <t>1. uid: string
2. householdId: string</t>
        </is>
      </c>
      <c r="K538" s="3" t="inlineStr">
        <is>
          <t>Promise&lt;void&gt;</t>
        </is>
      </c>
      <c r="L538" s="3" t="inlineStr">
        <is>
          <t>—</t>
        </is>
      </c>
      <c r="M538" s="3" t="inlineStr">
        <is>
          <t>None found in this function — anything it assumes comes from the functions it depends on.</t>
        </is>
      </c>
      <c r="N538" s="3" t="inlineStr">
        <is>
          <t>Yes</t>
        </is>
      </c>
      <c r="O538" s="3" t="inlineStr">
        <is>
          <t>1. MK-XS-F-074 loadUserData
2. MK-XS-F-175 uid</t>
        </is>
      </c>
      <c r="P538" s="3" t="n">
        <v>86</v>
      </c>
      <c r="Q538"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38"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538" s="3" t="inlineStr">
        <is>
          <t>—</t>
        </is>
      </c>
      <c r="T538" s="3" t="inlineStr">
        <is>
          <t>—</t>
        </is>
      </c>
      <c r="U538" s="3" t="inlineStr">
        <is>
          <t>ACTIVE</t>
        </is>
      </c>
      <c r="V538" s="3" t="inlineStr">
        <is>
          <t>2026-08-27</t>
        </is>
      </c>
      <c r="Y538" s="3" t="inlineStr">
        <is>
          <t>NOTHING OPEN</t>
        </is>
      </c>
    </row>
    <row r="539">
      <c r="A539" s="3" t="inlineStr">
        <is>
          <t>MK-XS-F-078</t>
        </is>
      </c>
      <c r="B539" s="3" t="inlineStr">
        <is>
          <t>joinHouseholdMembership</t>
        </is>
      </c>
      <c r="C539" s="3" t="inlineStr">
        <is>
          <t>src/services/firebase.ts</t>
        </is>
      </c>
      <c r="D539" s="3" t="n">
        <v>636</v>
      </c>
      <c r="E539" s="3" t="inlineStr">
        <is>
          <t>1 · ACTION</t>
        </is>
      </c>
      <c r="F539" s="3" t="inlineStr">
        <is>
          <t>Claim membership in {householdId} by writing the member doc the security rules gate access on.</t>
        </is>
      </c>
      <c r="G539" s="13" t="inlineStr">
        <is>
          <t>It reaches outside the app for data and hands back what came back — no arithmetic of its own.</t>
        </is>
      </c>
      <c r="H539" s="3" t="inlineStr">
        <is>
          <t>It reaches outside the app for data and hands back what came back — no arithmetic of its own.</t>
        </is>
      </c>
      <c r="I539" s="3" t="inlineStr">
        <is>
          <t>NO ARITHMETIC — there is no formula to state</t>
        </is>
      </c>
      <c r="J539" s="3" t="inlineStr">
        <is>
          <t>1. uid: string
2. householdId: string
3. code: string</t>
        </is>
      </c>
      <c r="K539" s="3" t="inlineStr">
        <is>
          <t>Promise&lt;void&gt;</t>
        </is>
      </c>
      <c r="L539" s="3" t="inlineStr">
        <is>
          <t>—</t>
        </is>
      </c>
      <c r="M539" s="3" t="inlineStr">
        <is>
          <t>None found in this function — anything it assumes comes from the functions it depends on.</t>
        </is>
      </c>
      <c r="N539" s="3" t="inlineStr">
        <is>
          <t>Yes</t>
        </is>
      </c>
      <c r="O539" s="3" t="inlineStr">
        <is>
          <t>MK-XS-F-175 uid</t>
        </is>
      </c>
      <c r="P539" s="3" t="n">
        <v>80</v>
      </c>
      <c r="Q539"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39"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539" s="3" t="inlineStr">
        <is>
          <t>—</t>
        </is>
      </c>
      <c r="T539" s="3" t="inlineStr">
        <is>
          <t>—</t>
        </is>
      </c>
      <c r="U539" s="3" t="inlineStr">
        <is>
          <t>ACTIVE</t>
        </is>
      </c>
      <c r="V539" s="3" t="inlineStr">
        <is>
          <t>2026-08-27</t>
        </is>
      </c>
      <c r="Y539" s="3" t="inlineStr">
        <is>
          <t>NOTHING OPEN</t>
        </is>
      </c>
    </row>
    <row r="540">
      <c r="A540" s="3" t="inlineStr">
        <is>
          <t>MK-XS-F-079</t>
        </is>
      </c>
      <c r="B540" s="3" t="inlineStr">
        <is>
          <t>loadUserRoot</t>
        </is>
      </c>
      <c r="C540" s="3" t="inlineStr">
        <is>
          <t>src/services/firebase.ts</t>
        </is>
      </c>
      <c r="D540" s="3" t="n">
        <v>670</v>
      </c>
      <c r="E540" s="3" t="inlineStr">
        <is>
          <t>4 · BRINGS DATA IN</t>
        </is>
      </c>
      <c r="F540" s="3" t="inlineStr">
        <is>
          <t>The member's own top-level doc fields (householdId + decrypted appState) in one read.</t>
        </is>
      </c>
      <c r="G540" s="13"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40"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40" s="3" t="inlineStr">
        <is>
          <t>PARTLY READ — some of the code is still showing through; needs a hand pass</t>
        </is>
      </c>
      <c r="J540" s="3" t="inlineStr">
        <is>
          <t>uid: string</t>
        </is>
      </c>
      <c r="K540" s="3" t="inlineStr">
        <is>
          <t>Promise&lt;</t>
        </is>
      </c>
      <c r="L540" s="3" t="inlineStr">
        <is>
          <t>—</t>
        </is>
      </c>
      <c r="M540" s="3" t="inlineStr">
        <is>
          <t>None found in this function — anything it assumes comes from the functions it depends on.</t>
        </is>
      </c>
      <c r="N540" s="3" t="inlineStr">
        <is>
          <t>Yes</t>
        </is>
      </c>
      <c r="O540" s="3" t="inlineStr">
        <is>
          <t>1. MK-XS-F-055 decryptFromSync
2. MK-XS-F-175 uid</t>
        </is>
      </c>
      <c r="P540" s="3" t="n">
        <v>85</v>
      </c>
      <c r="Q540"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0"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540" s="3" t="inlineStr">
        <is>
          <t>—</t>
        </is>
      </c>
      <c r="T540" s="3" t="inlineStr">
        <is>
          <t>—</t>
        </is>
      </c>
      <c r="U540" s="3" t="inlineStr">
        <is>
          <t>ACTIVE</t>
        </is>
      </c>
      <c r="V540" s="3" t="inlineStr">
        <is>
          <t>2026-08-27</t>
        </is>
      </c>
      <c r="Y540" s="3" t="inlineStr">
        <is>
          <t>NOTHING OPEN</t>
        </is>
      </c>
    </row>
    <row r="541">
      <c r="A541" s="3" t="inlineStr">
        <is>
          <t>MK-XS-F-080</t>
        </is>
      </c>
      <c r="B541" s="3" t="inlineStr">
        <is>
          <t>submitFeedback</t>
        </is>
      </c>
      <c r="C541" s="3" t="inlineStr">
        <is>
          <t>src/services/firebase.ts</t>
        </is>
      </c>
      <c r="D541" s="3" t="n">
        <v>693</v>
      </c>
      <c r="E541" s="3" t="inlineStr">
        <is>
          <t>1 · ACTION</t>
        </is>
      </c>
      <c r="F541" s="3" t="inlineStr">
        <is>
          <t>NOT DETERMINED — the code carries no note saying what this is for, and it has no row in the old inventory. Needs reading.</t>
        </is>
      </c>
      <c r="G541" s="13" t="inlineStr">
        <is>
          <t>It reaches outside the app for data and hands back what came back — no arithmetic of its own.</t>
        </is>
      </c>
      <c r="H541" s="3" t="inlineStr">
        <is>
          <t>It reaches outside the app for data and hands back what came back — no arithmetic of its own.</t>
        </is>
      </c>
      <c r="I541" s="3" t="inlineStr">
        <is>
          <t>NO ARITHMETIC — there is no formula to state</t>
        </is>
      </c>
      <c r="J541" s="3" t="inlineStr">
        <is>
          <t>Nothing is handed to it</t>
        </is>
      </c>
      <c r="K541" s="3" t="inlineStr">
        <is>
          <t>NOT DECLARED — the code does not say what it gives back</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Y541" s="3" t="inlineStr">
        <is>
          <t>NOTHING OPEN</t>
        </is>
      </c>
    </row>
    <row r="542">
      <c r="A542" s="3" t="inlineStr">
        <is>
          <t>MK-XS-F-081</t>
        </is>
      </c>
      <c r="B542" s="3" t="inlineStr">
        <is>
          <t>isPlausibleTicker</t>
        </is>
      </c>
      <c r="C542" s="3" t="inlineStr">
        <is>
          <t>src/services/marketData.ts</t>
        </is>
      </c>
      <c r="D542" s="3" t="n">
        <v>95</v>
      </c>
      <c r="E542" s="3" t="inlineStr">
        <is>
          <t>2 · DISPLAYED</t>
        </is>
      </c>
      <c r="F542" s="3" t="inlineStr">
        <is>
          <t>Is a ticker plausibly valid before we spend a network call?</t>
        </is>
      </c>
      <c r="G542" s="13" t="inlineStr">
        <is>
          <t>÷ ^[A − za − z]{1,6}([.\-][A − za − z]{1,4})?$ ÷ .test((ticker ?? '').trim())</t>
        </is>
      </c>
      <c r="H542" s="3" t="inlineStr">
        <is>
          <t>÷ ^[A minus za minus z]{1,6}([.\-][A minus za minus z]{1,4})?$ divided by .test((ticker ?? '').trim()).</t>
        </is>
      </c>
      <c r="I542" s="3" t="inlineStr">
        <is>
          <t>PARTLY READ — some of the code is still showing through; needs a hand pass</t>
        </is>
      </c>
      <c r="J542" s="3" t="inlineStr">
        <is>
          <t>ticker: string</t>
        </is>
      </c>
      <c r="K542" s="3" t="inlineStr">
        <is>
          <t>boolean</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TICKER_PLAUSIBLE</t>
        </is>
      </c>
      <c r="U542" s="3" t="inlineStr">
        <is>
          <t>ACTIVE</t>
        </is>
      </c>
      <c r="V542" s="3" t="inlineStr">
        <is>
          <t>2026-08-27</t>
        </is>
      </c>
      <c r="Y542" s="3" t="inlineStr">
        <is>
          <t>NOTHING OPEN</t>
        </is>
      </c>
    </row>
    <row r="543">
      <c r="A543" s="3" t="inlineStr">
        <is>
          <t>MK-XS-F-082</t>
        </is>
      </c>
      <c r="B543" s="3" t="inlineStr">
        <is>
          <t>priceFreshness</t>
        </is>
      </c>
      <c r="C543" s="3" t="inlineStr">
        <is>
          <t>src/services/marketData.ts</t>
        </is>
      </c>
      <c r="D543" s="3" t="n">
        <v>119</v>
      </c>
      <c r="E543" s="3" t="inlineStr">
        <is>
          <t>2 · DISPLAYED</t>
        </is>
      </c>
      <c r="F543" s="3" t="inlineStr">
        <is>
          <t>Human freshness of the price cache + whether it's stale enough to warn (markets move daily, so anything older than ~4 days — a long weekend/holiday — is worth a "may be out of date" note).</t>
        </is>
      </c>
      <c r="G543" s="13" t="inlineStr">
        <is>
          <t>age   = now − the moment prices were last fetched
stale = age ≥ 4 days,  or nothing was ever fetched,  or the moment cannot be read</t>
        </is>
      </c>
      <c r="H543"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43" s="3" t="inlineStr">
        <is>
          <t>READ BY HAND 2026-08-26 — checked line by line against the code</t>
        </is>
      </c>
      <c r="J543" s="3" t="inlineStr">
        <is>
          <t>1. fetchedAt: string | null | undefined
2. now: number</t>
        </is>
      </c>
      <c r="K543" s="3" t="inlineStr">
        <is>
          <t>PriceFreshness</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MK-HM-M-001</t>
        </is>
      </c>
      <c r="T543" s="3" t="inlineStr">
        <is>
          <t>PRICE_FRESHNESS</t>
        </is>
      </c>
      <c r="U543" s="3" t="inlineStr">
        <is>
          <t>ACTIVE</t>
        </is>
      </c>
      <c r="V543" s="3" t="inlineStr">
        <is>
          <t>2026-08-27</t>
        </is>
      </c>
      <c r="Y543" s="3" t="inlineStr">
        <is>
          <t>NOTHING OPEN</t>
        </is>
      </c>
    </row>
    <row r="544">
      <c r="A544" s="3" t="inlineStr">
        <is>
          <t>MK-XS-F-083</t>
        </is>
      </c>
      <c r="B544" s="3" t="inlineStr">
        <is>
          <t>fetchPriceSeries</t>
        </is>
      </c>
      <c r="C544" s="3" t="inlineStr">
        <is>
          <t>src/services/marketData.ts</t>
        </is>
      </c>
      <c r="D544" s="3" t="n">
        <v>161</v>
      </c>
      <c r="E544" s="3" t="inlineStr">
        <is>
          <t>3 · DEPENDENT</t>
        </is>
      </c>
      <c r="F544" s="3" t="inlineStr">
        <is>
          <t>Fetch many tickers in parallel; returns only the ones that resolved.</t>
        </is>
      </c>
      <c r="G544" s="13" t="inlineStr">
        <is>
          <t>unique = array.from(new set(tickers.map((t) =&gt; trim().to upper case()).filter(boolean)))
results = await promise.all settled(unique.map((t) =&gt; provider.fetch series(t, range)))
out = {}
r = results[i]
the answer = out</t>
        </is>
      </c>
      <c r="H544" s="3" t="inlineStr">
        <is>
          <t>Unique is array.from(new set(tickers.map((t) =&gt; trim().to upper case()).filter(boolean))). Results is await promise.all settled(unique.map((t) =&gt; provider.fetch series(t, range))). Out is {}. R is results[i]. The answer is out.</t>
        </is>
      </c>
      <c r="I544" s="3" t="inlineStr">
        <is>
          <t>PARTLY READ — some of the code is still showing through; needs a hand pass</t>
        </is>
      </c>
      <c r="J544" s="3" t="inlineStr">
        <is>
          <t>Nothing is handed to it</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MK-CF-F-132 map</t>
        </is>
      </c>
      <c r="P544" s="3" t="n">
        <v>1</v>
      </c>
      <c r="Q544" s="3" t="inlineStr">
        <is>
          <t>MK-CF-F-132 map</t>
        </is>
      </c>
      <c r="R544" s="3" t="inlineStr">
        <is>
          <t>MK-CF-F-132 map → MK-XS-F-083 fetchPriceSeries</t>
        </is>
      </c>
      <c r="S544" s="3" t="inlineStr">
        <is>
          <t>—</t>
        </is>
      </c>
      <c r="T544" s="3" t="inlineStr">
        <is>
          <t>FETCH_PRICES</t>
        </is>
      </c>
      <c r="U544" s="3" t="inlineStr">
        <is>
          <t>ACTIVE</t>
        </is>
      </c>
      <c r="V544" s="3" t="inlineStr">
        <is>
          <t>2026-09-12</t>
        </is>
      </c>
      <c r="Y544" s="3" t="inlineStr">
        <is>
          <t>NOTHING OPEN</t>
        </is>
      </c>
    </row>
    <row r="545">
      <c r="A545" s="3" t="inlineStr">
        <is>
          <t>MK-XS-F-084</t>
        </is>
      </c>
      <c r="B545" s="3" t="inlineStr">
        <is>
          <t>requestNotificationPermission</t>
        </is>
      </c>
      <c r="C545" s="3" t="inlineStr">
        <is>
          <t>src/services/notifications.ts</t>
        </is>
      </c>
      <c r="D545" s="3" t="n">
        <v>34</v>
      </c>
      <c r="E545" s="3" t="inlineStr">
        <is>
          <t>2 · DISPLAYED</t>
        </is>
      </c>
      <c r="F545" s="3" t="inlineStr">
        <is>
          <t>NOT DETERMINED — the code carries no note saying what this is for, and it has no row in the old inventory. Needs reading.</t>
        </is>
      </c>
      <c r="G545" s="13" t="inlineStr">
        <is>
          <t>false   when device.is device is missing
true   when existing = 'granted'
status = 'granted'</t>
        </is>
      </c>
      <c r="H545" s="3" t="inlineStr">
        <is>
          <t>When device.is device is missing, it answers false. When existing = 'granted', it answers true. status = 'granted'.</t>
        </is>
      </c>
      <c r="I545" s="3" t="inlineStr">
        <is>
          <t>READ FROM THE CODE — rendered from the expressions the function runs</t>
        </is>
      </c>
      <c r="J545" s="3" t="inlineStr">
        <is>
          <t>Nothing is handed to it</t>
        </is>
      </c>
      <c r="K545" s="3" t="inlineStr">
        <is>
          <t>Promise&lt;boolean&gt;</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2026-08-27</t>
        </is>
      </c>
      <c r="Y545" s="3" t="inlineStr">
        <is>
          <t>NOTHING OPEN</t>
        </is>
      </c>
    </row>
    <row r="546">
      <c r="A546" s="3" t="inlineStr">
        <is>
          <t>MK-XS-F-085</t>
        </is>
      </c>
      <c r="B546" s="3" t="inlineStr">
        <is>
          <t>scheduleStreakReminder</t>
        </is>
      </c>
      <c r="C546" s="3" t="inlineStr">
        <is>
          <t>src/services/notifications.ts</t>
        </is>
      </c>
      <c r="D546" s="3" t="n">
        <v>60</v>
      </c>
      <c r="E546" s="3" t="inlineStr">
        <is>
          <t>1 · ACTION</t>
        </is>
      </c>
      <c r="F546" s="3" t="inlineStr">
        <is>
          <t>── Schedule daily streak reminder ─────────────────────────────────</t>
        </is>
      </c>
      <c r="G546" s="13" t="inlineStr">
        <is>
          <t>cancels the existing reminder, then schedules a daily one at 20:00</t>
        </is>
      </c>
      <c r="H546" s="3" t="inlineStr">
        <is>
          <t>Schedules the daily 8 pm streak reminder, replacing any existing one. Not a calculation.</t>
        </is>
      </c>
      <c r="I546" s="3" t="inlineStr">
        <is>
          <t>READ BY HAND 2026-08-26 — checked line by line against the code</t>
        </is>
      </c>
      <c r="J546" s="3" t="inlineStr">
        <is>
          <t>Nothing is handed to it</t>
        </is>
      </c>
      <c r="K546" s="3" t="inlineStr">
        <is>
          <t>NOT DECLARED — the code does not say what it gives back</t>
        </is>
      </c>
      <c r="L546" s="3" t="inlineStr">
        <is>
          <t>—</t>
        </is>
      </c>
      <c r="M546" s="3" t="inlineStr">
        <is>
          <t>None found in this function — anything it assumes comes from the functions it depends on.</t>
        </is>
      </c>
      <c r="N546" s="3" t="inlineStr">
        <is>
          <t>No</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2026-09-12</t>
        </is>
      </c>
      <c r="Y546" s="3" t="inlineStr">
        <is>
          <t>NOTHING OPEN</t>
        </is>
      </c>
    </row>
    <row r="547">
      <c r="A547" s="3" t="inlineStr">
        <is>
          <t>MK-XS-F-086</t>
        </is>
      </c>
      <c r="B547" s="3" t="inlineStr">
        <is>
          <t>cancelStreakReminder</t>
        </is>
      </c>
      <c r="C547" s="3" t="inlineStr">
        <is>
          <t>src/services/notifications.ts</t>
        </is>
      </c>
      <c r="D547" s="3" t="n">
        <v>94</v>
      </c>
      <c r="E547" s="3" t="inlineStr">
        <is>
          <t>1 · ACTION</t>
        </is>
      </c>
      <c r="F547" s="3" t="inlineStr">
        <is>
          <t>── Cancel streak reminder (e.g.</t>
        </is>
      </c>
      <c r="G547" s="13" t="inlineStr">
        <is>
          <t>cancels the daily reminder</t>
        </is>
      </c>
      <c r="H547" s="3" t="inlineStr">
        <is>
          <t>Cancels the daily streak reminder. Not a calculation.</t>
        </is>
      </c>
      <c r="I547" s="3" t="inlineStr">
        <is>
          <t>READ BY HAND 2026-08-26 — checked line by line against the code</t>
        </is>
      </c>
      <c r="J547" s="3" t="inlineStr">
        <is>
          <t>Nothing is handed to it</t>
        </is>
      </c>
      <c r="K547" s="3" t="inlineStr">
        <is>
          <t>NOT DECLARED — the code does not say what it gives back</t>
        </is>
      </c>
      <c r="L547" s="3" t="inlineStr">
        <is>
          <t>—</t>
        </is>
      </c>
      <c r="M547" s="3" t="inlineStr">
        <is>
          <t>None found in this function — anything it assumes comes from the functions it depends on.</t>
        </is>
      </c>
      <c r="N547" s="3" t="inlineStr">
        <is>
          <t>No</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2026-09-12</t>
        </is>
      </c>
      <c r="Y547" s="3" t="inlineStr">
        <is>
          <t>NOTHING OPEN</t>
        </is>
      </c>
    </row>
    <row r="548">
      <c r="A548" s="3" t="inlineStr">
        <is>
          <t>MK-XS-F-087</t>
        </is>
      </c>
      <c r="B548" s="3" t="inlineStr">
        <is>
          <t>scheduleRmdReminder</t>
        </is>
      </c>
      <c r="C548" s="3" t="inlineStr">
        <is>
          <t>src/services/notifications.ts</t>
        </is>
      </c>
      <c r="D548" s="3" t="n">
        <v>121</v>
      </c>
      <c r="E548" s="3" t="inlineStr">
        <is>
          <t>2 · DISPLAYED</t>
        </is>
      </c>
      <c r="F548" s="3" t="inlineStr">
        <is>
          <t>── Required-withdrawal reminders (FCC Plan r48/r51 — logistics only, no timing advice) ── November 1 nudge ahead of the Dec 31 deadline (this year or a future start year).</t>
        </is>
      </c>
      <c r="G548" s="13" t="inlineStr">
        <is>
          <t>id = `rmd − reminder-${year}`
fire at = the date year, 10, 1, 10, 0, 0
false   when fire at.get time() ≤ date.now()
the answer = true</t>
        </is>
      </c>
      <c r="H548" s="3" t="inlineStr">
        <is>
          <t>Id is `rmd minus reminder-${year}`. Fire at: the date year, 10, 1, 10, 0, 0. When fire at.get time() is at most date.now(), it answers false. The answer is true.</t>
        </is>
      </c>
      <c r="I548" s="3" t="inlineStr">
        <is>
          <t>PARTLY READ — some of the code is still showing through; needs a hand pass</t>
        </is>
      </c>
      <c r="J548" s="3" t="inlineStr">
        <is>
          <t>year: number</t>
        </is>
      </c>
      <c r="K548" s="3" t="inlineStr">
        <is>
          <t>NOT DECLARED — the code does not say what it gives back</t>
        </is>
      </c>
      <c r="L548" s="3" t="inlineStr">
        <is>
          <t>NOT FOUND — a screen calls it, but the words printed beside its answer could not be traced automatically. Needs reading.</t>
        </is>
      </c>
      <c r="M548" s="3" t="inlineStr">
        <is>
          <t>· Uses today's date from the device clock, so the answer changes by itself overnight.</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Y548" s="3" t="inlineStr">
        <is>
          <t>NOTHING OPEN</t>
        </is>
      </c>
    </row>
    <row r="549">
      <c r="A549" s="3" t="inlineStr">
        <is>
          <t>MK-XS-F-088</t>
        </is>
      </c>
      <c r="B549" s="3" t="inlineStr">
        <is>
          <t>sendBudgetAlert</t>
        </is>
      </c>
      <c r="C549" s="3" t="inlineStr">
        <is>
          <t>src/services/notifications.ts</t>
        </is>
      </c>
      <c r="D549" s="3" t="n">
        <v>158</v>
      </c>
      <c r="E549" s="3" t="inlineStr">
        <is>
          <t>1 · ACTION</t>
        </is>
      </c>
      <c r="F549" s="3" t="inlineStr">
        <is>
          <t>── Budget alert (fire immediately) ────────────────────────────────</t>
        </is>
      </c>
      <c r="G549" s="13" t="inlineStr">
        <is>
          <t>sends one alert now: '&lt;category&gt; budget at &lt;round(pct)&gt;%'</t>
        </is>
      </c>
      <c r="H549" s="3" t="inlineStr">
        <is>
          <t>Sends an immediate alert naming the category and how much of its budget is used, to the whole percent. Display only.</t>
        </is>
      </c>
      <c r="I549" s="3" t="inlineStr">
        <is>
          <t>READ BY HAND 2026-08-26 — checked line by line against the code</t>
        </is>
      </c>
      <c r="J549" s="3" t="inlineStr">
        <is>
          <t>1. category: string
2. pct: number</t>
        </is>
      </c>
      <c r="K549" s="3" t="inlineStr">
        <is>
          <t>NOT DECLARED — the code does not say what it gives back</t>
        </is>
      </c>
      <c r="L549" s="3" t="inlineStr">
        <is>
          <t>—</t>
        </is>
      </c>
      <c r="M549" s="3" t="inlineStr">
        <is>
          <t>· Rounds the answer to a whole number.</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2026-09-12</t>
        </is>
      </c>
      <c r="Y549" s="3" t="inlineStr">
        <is>
          <t>NOTHING OPEN</t>
        </is>
      </c>
    </row>
    <row r="550">
      <c r="A550" s="3" t="inlineStr">
        <is>
          <t>MK-XS-F-089</t>
        </is>
      </c>
      <c r="B550" s="3" t="inlineStr">
        <is>
          <t>scheduleWeeklySummary</t>
        </is>
      </c>
      <c r="C550" s="3" t="inlineStr">
        <is>
          <t>src/services/notifications.ts</t>
        </is>
      </c>
      <c r="D550" s="3" t="n">
        <v>186</v>
      </c>
      <c r="E550" s="3" t="inlineStr">
        <is>
          <t>1 · ACTION</t>
        </is>
      </c>
      <c r="F550" s="3" t="inlineStr">
        <is>
          <t>── Weekly summary notification ────────────────────────────────────</t>
        </is>
      </c>
      <c r="G550" s="13" t="inlineStr">
        <is>
          <t>cancels the existing summary, then schedules a weekly one on Monday at 09:00</t>
        </is>
      </c>
      <c r="H550" s="3" t="inlineStr">
        <is>
          <t>Schedules the Monday 9 am weekly summary, replacing any existing one. Not a calculation.</t>
        </is>
      </c>
      <c r="I550" s="3" t="inlineStr">
        <is>
          <t>READ BY HAND 2026-08-26 — checked line by line against the code</t>
        </is>
      </c>
      <c r="J550" s="3" t="inlineStr">
        <is>
          <t>Nothing is handed to it</t>
        </is>
      </c>
      <c r="K550" s="3" t="inlineStr">
        <is>
          <t>NOT DECLARED — the code does not say what it gives back</t>
        </is>
      </c>
      <c r="L550" s="3" t="inlineStr">
        <is>
          <t>—</t>
        </is>
      </c>
      <c r="M550" s="3" t="inlineStr">
        <is>
          <t>None found in this function — anything it assumes comes from the functions it depends on.</t>
        </is>
      </c>
      <c r="N550" s="3" t="inlineStr">
        <is>
          <t>No</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2026-09-12</t>
        </is>
      </c>
      <c r="Y550" s="3" t="inlineStr">
        <is>
          <t>NOTHING OPEN</t>
        </is>
      </c>
    </row>
    <row r="551">
      <c r="A551" s="3" t="inlineStr">
        <is>
          <t>MK-XS-F-090</t>
        </is>
      </c>
      <c r="B551" s="3" t="inlineStr">
        <is>
          <t>addNotificationResponseListener</t>
        </is>
      </c>
      <c r="C551" s="3" t="inlineStr">
        <is>
          <t>src/services/notifications.ts</t>
        </is>
      </c>
      <c r="D551" s="3" t="n">
        <v>221</v>
      </c>
      <c r="E551" s="3" t="inlineStr">
        <is>
          <t>3 · DEPENDENT (feeds an action only)</t>
        </is>
      </c>
      <c r="F551" s="3" t="inlineStr">
        <is>
          <t>── Listen for notification taps ───────────────────────────────────</t>
        </is>
      </c>
      <c r="G551" s="13" t="inlineStr">
        <is>
          <t>screen = response.notification.request.content.data.screen as string</t>
        </is>
      </c>
      <c r="H551" s="3" t="inlineStr">
        <is>
          <t>Screen is response.notification.request.content.data.screen as string.</t>
        </is>
      </c>
      <c r="I551" s="3" t="inlineStr">
        <is>
          <t>READ FROM THE CODE — rendered from the expressions the function runs</t>
        </is>
      </c>
      <c r="J551" s="3" t="inlineStr">
        <is>
          <t>Nothing is handed to it</t>
        </is>
      </c>
      <c r="K551" s="3" t="inlineStr">
        <is>
          <t>NOT DECLARED — the code does not say what it gives back</t>
        </is>
      </c>
      <c r="L551" s="3" t="inlineStr">
        <is>
          <t>—</t>
        </is>
      </c>
      <c r="M551" s="3" t="inlineStr">
        <is>
          <t>None found in this function — anything it assumes comes from the functions it depends on.</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Y551" s="3" t="inlineStr">
        <is>
          <t>NOTHING OPEN</t>
        </is>
      </c>
    </row>
    <row r="552">
      <c r="A552" s="3" t="inlineStr">
        <is>
          <t>MK-XS-F-091</t>
        </is>
      </c>
      <c r="B552" s="3" t="inlineStr">
        <is>
          <t>scheduleSsWindowReminder</t>
        </is>
      </c>
      <c r="C552" s="3" t="inlineStr">
        <is>
          <t>src/services/notifications.ts</t>
        </is>
      </c>
      <c r="D552" s="3" t="n">
        <v>253</v>
      </c>
      <c r="E552" s="3" t="inlineStr">
        <is>
          <t>2 · DISPLAYED</t>
        </is>
      </c>
      <c r="F552" s="3" t="inlineStr">
        <is>
          <t>── Social Security claim-window reminder (design r18, built pre-48 per founder decision) ── Fires the month the claim window opens (their 62nd-birthday month), 10:00 on the 1st.</t>
        </is>
      </c>
      <c r="G552" s="13" t="inlineStr">
        <is>
          <t>id = 'ss − window − reminder'
fire at = the date opens year, opens month1 − 1, 1, 10, 0, 0
false   when fire at.get time() ≤ date.now()
the answer = true</t>
        </is>
      </c>
      <c r="H552" s="3" t="inlineStr">
        <is>
          <t>Id is 'ss minus window minus reminder'. Fire at: the date opens year, opens month1 minus 1, 1, 10, 0, 0. When fire at.get time() is at most date.now(), it answers false. The answer is true.</t>
        </is>
      </c>
      <c r="I552" s="3" t="inlineStr">
        <is>
          <t>PARTLY READ — some of the code is still showing through; needs a hand pass</t>
        </is>
      </c>
      <c r="J552" s="3" t="inlineStr">
        <is>
          <t>1. opensYear: number
2. opensMonth1: number</t>
        </is>
      </c>
      <c r="K552" s="3" t="inlineStr">
        <is>
          <t>NOT DECLARED — the code does not say what it gives back</t>
        </is>
      </c>
      <c r="L552" s="3" t="inlineStr">
        <is>
          <t>NOT FOUND — a screen calls it, but the words printed beside its answer could not be traced automatically. Needs reading.</t>
        </is>
      </c>
      <c r="M552" s="3" t="inlineStr">
        <is>
          <t>· Uses today's date from the device clock, so the answer changes by itself overnight.</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Y552" s="3" t="inlineStr">
        <is>
          <t>NOTHING OPEN</t>
        </is>
      </c>
    </row>
    <row r="553">
      <c r="A553" s="3" t="inlineStr">
        <is>
          <t>MK-XS-F-092</t>
        </is>
      </c>
      <c r="B553" s="3" t="inlineStr">
        <is>
          <t>parseReceiptWithOCR</t>
        </is>
      </c>
      <c r="C553" s="3" t="inlineStr">
        <is>
          <t>src/services/receiptOCR.ts</t>
        </is>
      </c>
      <c r="D553" s="3" t="n">
        <v>40</v>
      </c>
      <c r="E553" s="3" t="inlineStr">
        <is>
          <t>4 · BRINGS DATA IN</t>
        </is>
      </c>
      <c r="F553" s="3" t="inlineStr">
        <is>
          <t>Sends a receipt image to Google Cloud Vision API for OCR, then parses the raw text to extract store, total, date, category.</t>
        </is>
      </c>
      <c r="G553" s="13" t="inlineStr">
        <is>
          <t>the answer = nothing
json = await response.json()
raw text = json.responses.[0].full text annotation.text (or '' when missing or zero)
nothing   when raw text is missing</t>
        </is>
      </c>
      <c r="H553" s="3" t="inlineStr">
        <is>
          <t>The answer is no answer. Json is await response.json(). Raw text is json.responses.[0].full text annotation.text (or '' — when missing or zero). When raw text is missing, it answers no answer.</t>
        </is>
      </c>
      <c r="I553" s="3" t="inlineStr">
        <is>
          <t>PARTLY READ — some of the code is still showing through; needs a hand pass</t>
        </is>
      </c>
      <c r="J553" s="3" t="inlineStr">
        <is>
          <t>imageUri: string</t>
        </is>
      </c>
      <c r="K553" s="3" t="inlineStr">
        <is>
          <t>Promise&lt;ParsedReceipt | null&gt;</t>
        </is>
      </c>
      <c r="L553" s="3" t="inlineStr">
        <is>
          <t>—</t>
        </is>
      </c>
      <c r="M553" s="3" t="inlineStr">
        <is>
          <t>None found in this function — anything it assumes comes from the functions it depends on.</t>
        </is>
      </c>
      <c r="N553" s="3" t="inlineStr">
        <is>
          <t>No</t>
        </is>
      </c>
      <c r="O553" s="3" t="inlineStr">
        <is>
          <t>MK-XS-F-094 parseReceiptText</t>
        </is>
      </c>
      <c r="P553" s="3" t="n">
        <v>7</v>
      </c>
      <c r="Q553" s="3" t="inlineStr">
        <is>
          <t>1. MK-XS-F-094 parseReceiptText
2. MK-XS-F-144 guessCategory
3. MK-CF-F-132 map
4. MK-XS-F-058 parseReceipt
5. MK-XS-F-093 stripNonMoney
6. MK-ST-F-052 toNum
7. MK-XS-F-122 n</t>
        </is>
      </c>
      <c r="R553" s="3" t="inlineStr">
        <is>
          <t>1. MK-XS-F-144 guessCategory → MK-XS-F-094 parseReceiptText → MK-XS-F-092 parseReceiptWithOCR
2. MK-CF-F-132 map → MK-XS-F-094 parseReceiptText → MK-XS-F-092 parseReceiptWithOCR
3. MK-CF-F-132 map → MK-XS-F-058 parseReceipt → MK-XS-F-094 parseReceiptText → MK-XS-F-092 parseReceiptWithOCR
4. MK-XS-F-093 stripNonMoney → MK-XS-F-058 parseReceipt → MK-XS-F-094 parseReceiptText → MK-XS-F-092 parseReceiptWithOCR
5. MK-XS-F-122 n → MK-ST-F-052 toNum → MK-XS-F-058 parseReceipt → MK-XS-F-094 parseReceiptText → MK-XS-F-092 parseReceiptWithOCR
6. MK-XS-F-093 stripNonMoney → MK-XS-F-094 parseReceiptText → MK-XS-F-092 parseReceiptWithOCR</t>
        </is>
      </c>
      <c r="S553" s="3" t="inlineStr">
        <is>
          <t>—</t>
        </is>
      </c>
      <c r="T553" s="3" t="inlineStr">
        <is>
          <t>—</t>
        </is>
      </c>
      <c r="U553" s="3" t="inlineStr">
        <is>
          <t>ACTIVE</t>
        </is>
      </c>
      <c r="V553" s="3" t="inlineStr">
        <is>
          <t>2026-08-27</t>
        </is>
      </c>
      <c r="Y553" s="3" t="inlineStr">
        <is>
          <t>NOTHING OPEN</t>
        </is>
      </c>
    </row>
    <row r="554">
      <c r="A554" s="3" t="inlineStr">
        <is>
          <t>MK-XS-F-093</t>
        </is>
      </c>
      <c r="B554" s="3" t="inlineStr">
        <is>
          <t>stripNonMoney</t>
        </is>
      </c>
      <c r="C554" s="3" t="inlineStr">
        <is>
          <t>src/services/receiptOCR.ts</t>
        </is>
      </c>
      <c r="D554" s="3" t="n">
        <v>109</v>
      </c>
      <c r="E554" s="3" t="inlineStr">
        <is>
          <t>3 · DEPENDENT</t>
        </is>
      </c>
      <c r="F554" s="3" t="inlineStr">
        <is>
          <t>A DATE IS NOT MONEY.</t>
        </is>
      </c>
      <c r="G554" s="13" t="inlineStr">
        <is>
          <t>the answer = the line with dates (30.04.24, 04/30/24, 2024-04-30) and times (08:30, 7:54:10) blanked out</t>
        </is>
      </c>
      <c r="H554" s="3" t="inlineStr">
        <is>
          <t>Blanks the dates and times on a receipt line so only the money figures remain for reading. No arithmetic.</t>
        </is>
      </c>
      <c r="I554" s="3" t="inlineStr">
        <is>
          <t>READ BY HAND 2026-08-26 — checked line by line against the code</t>
        </is>
      </c>
      <c r="J554" s="3" t="inlineStr">
        <is>
          <t>line: string</t>
        </is>
      </c>
      <c r="K554" s="3" t="inlineStr">
        <is>
          <t>string</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Y554" s="3" t="inlineStr">
        <is>
          <t>NOTHING OPEN</t>
        </is>
      </c>
    </row>
    <row r="555">
      <c r="A555" s="3" t="inlineStr">
        <is>
          <t>MK-XS-F-094</t>
        </is>
      </c>
      <c r="B555" s="3" t="inlineStr">
        <is>
          <t>parseReceiptText</t>
        </is>
      </c>
      <c r="C555" s="3" t="inlineStr">
        <is>
          <t>src/services/receiptOCR.ts</t>
        </is>
      </c>
      <c r="D555" s="3" t="n">
        <v>155</v>
      </c>
      <c r="E555" s="3" t="inlineStr">
        <is>
          <t>3 · DEPENDENT (feeds an action only)</t>
        </is>
      </c>
      <c r="F555" s="3" t="inlineStr">
        <is>
          <t>NOT DETERMINED — the code carries no note saying what this is for, and it has no row in the old inventory. Needs reading.</t>
        </is>
      </c>
      <c r="G555" s="13"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555"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555" s="3" t="inlineStr">
        <is>
          <t>PARTLY READ — some of the code is still showing through; needs a hand pass</t>
        </is>
      </c>
      <c r="J555" s="3" t="inlineStr">
        <is>
          <t>text: string</t>
        </is>
      </c>
      <c r="K555" s="3" t="inlineStr">
        <is>
          <t>ParsedReceipt</t>
        </is>
      </c>
      <c r="L555" s="3" t="inlineStr">
        <is>
          <t>—</t>
        </is>
      </c>
      <c r="M555" s="3" t="inlineStr">
        <is>
          <t>1. Uses a built-in strong t of 0.
2. Uses a built-in weak t of 0.
3. Uses a built-in subtotal of 0.
4. Uses a built-in largest safe of 0.
5. Uses today's date from the device clock, so the answer changes by itself overnight.</t>
        </is>
      </c>
      <c r="N555" s="3" t="inlineStr">
        <is>
          <t>No</t>
        </is>
      </c>
      <c r="O555" s="3" t="inlineStr">
        <is>
          <t>1. MK-XS-F-144 guessCategory
2. MK-CF-F-132 map
3. MK-XS-F-058 parseReceipt
4. MK-XS-F-093 stripNonMoney</t>
        </is>
      </c>
      <c r="P555" s="3" t="n">
        <v>6</v>
      </c>
      <c r="Q555" s="3" t="inlineStr">
        <is>
          <t>1. MK-XS-F-144 guessCategory
2. MK-CF-F-132 map
3. MK-XS-F-058 parseReceipt
4. MK-XS-F-093 stripNonMoney
5. MK-ST-F-052 toNum
6. MK-XS-F-122 n</t>
        </is>
      </c>
      <c r="R555" s="3" t="inlineStr">
        <is>
          <t>1. MK-XS-F-144 guessCategory → MK-XS-F-094 parseReceiptText
2. MK-CF-F-132 map → MK-XS-F-094 parseReceiptText
3. MK-CF-F-132 map → MK-XS-F-058 parseReceipt → MK-XS-F-094 parseReceiptText
4. MK-XS-F-093 stripNonMoney → MK-XS-F-058 parseReceipt → MK-XS-F-094 parseReceiptText
5. MK-XS-F-122 n → MK-ST-F-052 toNum → MK-XS-F-058 parseReceipt → MK-XS-F-094 parseReceiptText
6. MK-XS-F-093 stripNonMoney → MK-XS-F-094 parseReceiptText</t>
        </is>
      </c>
      <c r="S555" s="3" t="inlineStr">
        <is>
          <t>—</t>
        </is>
      </c>
      <c r="T555" s="3" t="inlineStr">
        <is>
          <t>—</t>
        </is>
      </c>
      <c r="U555" s="3" t="inlineStr">
        <is>
          <t>ACTIVE</t>
        </is>
      </c>
      <c r="V555" s="3" t="inlineStr">
        <is>
          <t>2026-08-27</t>
        </is>
      </c>
      <c r="Y555" s="3" t="inlineStr">
        <is>
          <t>NOTHING OPEN</t>
        </is>
      </c>
    </row>
    <row r="556">
      <c r="A556" s="3" t="inlineStr">
        <is>
          <t>MK-XS-F-095</t>
        </is>
      </c>
      <c r="B556" s="3" t="inlineStr">
        <is>
          <t>ocrAvailable</t>
        </is>
      </c>
      <c r="C556" s="3" t="inlineStr">
        <is>
          <t>src/services/receiptScan.ts</t>
        </is>
      </c>
      <c r="D556" s="3" t="n">
        <v>27</v>
      </c>
      <c r="E556" s="3" t="inlineStr">
        <is>
          <t>2 · DISPLAYED</t>
        </is>
      </c>
      <c r="F556" s="3" t="inlineStr">
        <is>
          <t>NOT DETERMINED — the code carries no note saying what this is for, and it has no row in the old inventory. Needs reading.</t>
        </is>
      </c>
      <c r="G556" s="13" t="inlineStr">
        <is>
          <t>the answer = true when the text-recognition module is present and usable</t>
        </is>
      </c>
      <c r="H556" s="3" t="inlineStr">
        <is>
          <t>Whether receipt scanning is available on this device. Not a calculation.</t>
        </is>
      </c>
      <c r="I556" s="3" t="inlineStr">
        <is>
          <t>READ BY HAND 2026-08-26 — checked line by line against the code</t>
        </is>
      </c>
      <c r="J556" s="3" t="inlineStr">
        <is>
          <t>Nothing is handed to it</t>
        </is>
      </c>
      <c r="K556" s="3" t="inlineStr">
        <is>
          <t>boolean</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2026-09-12</t>
        </is>
      </c>
      <c r="Y556" s="3" t="inlineStr">
        <is>
          <t>NOTHING OPEN</t>
        </is>
      </c>
    </row>
    <row r="557">
      <c r="A557" s="3" t="inlineStr">
        <is>
          <t>MK-XS-F-096</t>
        </is>
      </c>
      <c r="B557" s="3" t="inlineStr">
        <is>
          <t>pickReceipt</t>
        </is>
      </c>
      <c r="C557" s="3" t="inlineStr">
        <is>
          <t>src/services/receiptScan.ts</t>
        </is>
      </c>
      <c r="D557" s="3" t="n">
        <v>55</v>
      </c>
      <c r="E557" s="3" t="inlineStr">
        <is>
          <t>2 · DISPLAYED</t>
        </is>
      </c>
      <c r="F557" s="3" t="inlineStr">
        <is>
          <t>Capture (camera) or pick (library) a receipt image; returns its uri or null if cancelled/denied.</t>
        </is>
      </c>
      <c r="G557" s="13"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557"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557" s="3" t="inlineStr">
        <is>
          <t>PARTLY READ — some of the code is still showing through; needs a hand pass</t>
        </is>
      </c>
      <c r="J557" s="3" t="inlineStr">
        <is>
          <t>source: 'camera' | 'library'</t>
        </is>
      </c>
      <c r="K557" s="3" t="inlineStr">
        <is>
          <t>Promise&lt;string | null&gt;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Y557" s="3" t="inlineStr">
        <is>
          <t>NOTHING OPEN</t>
        </is>
      </c>
    </row>
    <row r="558">
      <c r="A558" s="3" t="inlineStr">
        <is>
          <t>MK-XS-F-097</t>
        </is>
      </c>
      <c r="B558" s="3" t="inlineStr">
        <is>
          <t>ocrReceipt</t>
        </is>
      </c>
      <c r="C558" s="3" t="inlineStr">
        <is>
          <t>src/services/receiptScan.ts</t>
        </is>
      </c>
      <c r="D558" s="3" t="n">
        <v>172</v>
      </c>
      <c r="E558" s="3" t="inlineStr">
        <is>
          <t>2 · DISPLAYED (presentation only)</t>
        </is>
      </c>
      <c r="F558" s="3" t="inlineStr">
        <is>
          <t>NOT DETERMINED — the code carries no note saying what this is for, and it has no row in the old inventory. Needs reading.</t>
        </is>
      </c>
      <c r="G558" s="13" t="inlineStr">
        <is>
          <t>raw = ''   when !ocr available()
res = await mlkit.recognize(uri)
text = res.text (or '' when missing)
the answer:
...parse receipt(text) = ...parse receipt(text)
raw = text</t>
        </is>
      </c>
      <c r="H558" s="3" t="inlineStr">
        <is>
          <t>When !ocr available(), it answers raw = ''. Res is await mlkit.recognize(uri). Text is res.text (or '' — when missing). The answer is ...parse receipt(text) = ...parse receipt(text); raw = text.</t>
        </is>
      </c>
      <c r="I558" s="3" t="inlineStr">
        <is>
          <t>PARTLY READ — some of the code is still showing through; needs a hand pass</t>
        </is>
      </c>
      <c r="J558" s="3" t="inlineStr">
        <is>
          <t>uri: string</t>
        </is>
      </c>
      <c r="K558" s="3" t="inlineStr">
        <is>
          <t>Promise&lt;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1. MK-XS-F-095 ocrAvailable
2. MK-XS-F-058 parseReceipt</t>
        </is>
      </c>
      <c r="P558" s="3" t="n">
        <v>6</v>
      </c>
      <c r="Q558" s="3" t="inlineStr">
        <is>
          <t>1. MK-XS-F-095 ocrAvailable
2. MK-XS-F-058 parseReceipt
3. MK-CF-F-132 map
4. MK-XS-F-093 stripNonMoney
5. MK-ST-F-052 toNum
6. MK-XS-F-122 n</t>
        </is>
      </c>
      <c r="R558" s="3" t="inlineStr">
        <is>
          <t>1. MK-XS-F-095 ocrAvailable → MK-XS-F-097 ocrReceipt
2. MK-CF-F-132 map → MK-XS-F-058 parseReceipt → MK-XS-F-097 ocrReceipt
3. MK-XS-F-093 stripNonMoney → MK-XS-F-058 parseReceipt → MK-XS-F-097 ocrReceipt
4. MK-XS-F-122 n → MK-ST-F-052 toNum → MK-XS-F-058 parseReceipt → MK-XS-F-097 ocrReceipt</t>
        </is>
      </c>
      <c r="S558" s="3" t="inlineStr">
        <is>
          <t>—</t>
        </is>
      </c>
      <c r="T558" s="3" t="inlineStr">
        <is>
          <t>—</t>
        </is>
      </c>
      <c r="U558" s="3" t="inlineStr">
        <is>
          <t>ACTIVE</t>
        </is>
      </c>
      <c r="V558" s="3" t="inlineStr">
        <is>
          <t>2026-08-27</t>
        </is>
      </c>
      <c r="Y558" s="3" t="inlineStr">
        <is>
          <t>NOTHING OPEN</t>
        </is>
      </c>
    </row>
    <row r="559">
      <c r="A559" s="3" t="inlineStr">
        <is>
          <t>MK-XS-F-098</t>
        </is>
      </c>
      <c r="B559" s="3" t="inlineStr">
        <is>
          <t>setSyncProviderForTesting</t>
        </is>
      </c>
      <c r="C559" s="3" t="inlineStr">
        <is>
          <t>src/services/sync/index.ts</t>
        </is>
      </c>
      <c r="D559" s="3" t="n">
        <v>66</v>
      </c>
      <c r="E559" s="3" t="inlineStr">
        <is>
          <t>1 · ACTION</t>
        </is>
      </c>
      <c r="F559" s="3" t="inlineStr">
        <is>
          <t>NOT DETERMINED — the code carries no note saying what this is for, and it has no row in the old inventory. Needs reading.</t>
        </is>
      </c>
      <c r="G559" s="13" t="inlineStr">
        <is>
          <t>It records or announces something and returns no figure — no arithmetic of its own.</t>
        </is>
      </c>
      <c r="H559" s="3" t="inlineStr">
        <is>
          <t>It records or announces something and returns no figure — no arithmetic of its own.</t>
        </is>
      </c>
      <c r="I559" s="3" t="inlineStr">
        <is>
          <t>NO ARITHMETIC — there is no formula to state</t>
        </is>
      </c>
      <c r="J559" s="3" t="inlineStr">
        <is>
          <t>p: SyncProvider | null</t>
        </is>
      </c>
      <c r="K559" s="3" t="inlineStr">
        <is>
          <t>NOT DECLARED — the code does not say what it gives back</t>
        </is>
      </c>
      <c r="L559" s="3" t="inlineStr">
        <is>
          <t>—</t>
        </is>
      </c>
      <c r="M559" s="3" t="inlineStr">
        <is>
          <t>None found in this function — anything it assumes comes from the functions it depends on.</t>
        </is>
      </c>
      <c r="N559" s="3" t="inlineStr">
        <is>
          <t>No</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2026-08-27</t>
        </is>
      </c>
      <c r="Y559" s="3" t="inlineStr">
        <is>
          <t>NOTHING OPEN</t>
        </is>
      </c>
    </row>
    <row r="560">
      <c r="A560" s="3" t="inlineStr">
        <is>
          <t>MK-XS-F-099</t>
        </is>
      </c>
      <c r="B560" s="3" t="inlineStr">
        <is>
          <t>activeSyncProvider</t>
        </is>
      </c>
      <c r="C560" s="3" t="inlineStr">
        <is>
          <t>src/services/sync/index.ts</t>
        </is>
      </c>
      <c r="D560" s="3" t="n">
        <v>87</v>
      </c>
      <c r="E560" s="3" t="inlineStr">
        <is>
          <t>2 · DISPLAYED</t>
        </is>
      </c>
      <c r="F560" s="3" t="inlineStr">
        <is>
          <t>The one lookup the UI uses.</t>
        </is>
      </c>
      <c r="G560" s="13" t="inlineStr">
        <is>
          <t>override provider   when override provider ! = undefined
new sandbox sync provider()   if typeof __DEV__ ! = 'undefined' and __DEV__
nothing   otherwise</t>
        </is>
      </c>
      <c r="H560" s="3" t="inlineStr">
        <is>
          <t>When override provider ! = undefined, it answers override provider. new sandbox sync provider() — when typeof __DEV__ ! = 'undefined' and __DEV__; no answer — otherwise.</t>
        </is>
      </c>
      <c r="I560" s="3" t="inlineStr">
        <is>
          <t>PARTLY READ — some of the code is still showing through; needs a hand pass</t>
        </is>
      </c>
      <c r="J560" s="3" t="inlineStr">
        <is>
          <t>Nothing is handed to it</t>
        </is>
      </c>
      <c r="K560" s="3" t="inlineStr">
        <is>
          <t>SyncProvider | null</t>
        </is>
      </c>
      <c r="L560" s="3" t="inlineStr">
        <is>
          <t>NOT FOUND — a screen calls it, but the words printed beside its answer could not be traced automatically. Needs reading.</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Y560" s="3" t="inlineStr">
        <is>
          <t>NOTHING OPEN</t>
        </is>
      </c>
    </row>
    <row r="561">
      <c r="A561" s="3" t="inlineStr">
        <is>
          <t>MK-XS-F-100</t>
        </is>
      </c>
      <c r="B561" s="3" t="inlineStr">
        <is>
          <t>connectionFreshness</t>
        </is>
      </c>
      <c r="C561" s="3" t="inlineStr">
        <is>
          <t>src/services/sync/index.ts</t>
        </is>
      </c>
      <c r="D561" s="3" t="n">
        <v>129</v>
      </c>
      <c r="E561" s="3" t="inlineStr">
        <is>
          <t>2 · DISPLAYED</t>
        </is>
      </c>
      <c r="F561" s="3" t="inlineStr">
        <is>
          <t>How old a connected account's last successful sync is.</t>
        </is>
      </c>
      <c r="G561" s="13"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561"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561" s="3" t="inlineStr">
        <is>
          <t>PARTLY READ — some of the code is still showing through; needs a hand pass</t>
        </is>
      </c>
      <c r="J561" s="3" t="inlineStr">
        <is>
          <t>1. lastSynced: string | null | undefined
2. now: number = Date.now()</t>
        </is>
      </c>
      <c r="K561" s="3" t="inlineStr">
        <is>
          <t>ConnectionFreshness | null</t>
        </is>
      </c>
      <c r="L561" s="3" t="inlineStr">
        <is>
          <t>NOT FOUND — a screen calls it, but the words printed beside its answer could not be traced automatically. Needs reading.</t>
        </is>
      </c>
      <c r="M561" s="3" t="inlineStr">
        <is>
          <t>· Uses today's date from the device clock, so the answer changes by itself overnight.</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Y561" s="3" t="inlineStr">
        <is>
          <t>NOTHING OPEN</t>
        </is>
      </c>
    </row>
    <row r="562">
      <c r="A562" s="3" t="inlineStr">
        <is>
          <t>MK-XS-F-101</t>
        </is>
      </c>
      <c r="B562" s="3" t="inlineStr">
        <is>
          <t>stAssetId</t>
        </is>
      </c>
      <c r="C562" s="3" t="inlineStr">
        <is>
          <t>src/services/sync/ingest.ts</t>
        </is>
      </c>
      <c r="D562" s="3" t="n">
        <v>54</v>
      </c>
      <c r="E562" s="3" t="inlineStr">
        <is>
          <t>1 · ACTION</t>
        </is>
      </c>
      <c r="F562" s="3" t="inlineStr">
        <is>
          <t>What do we call this connected account internally?</t>
        </is>
      </c>
      <c r="G562" s="13" t="inlineStr">
        <is>
          <t>the answer = 'st-' + the SnapTrade account identifier</t>
        </is>
      </c>
      <c r="H562" s="3" t="inlineStr">
        <is>
          <t>The app's identifier for a connected account: the institution's identifier with an 'st-' prefix. No arithmetic.</t>
        </is>
      </c>
      <c r="I562" s="3" t="inlineStr">
        <is>
          <t>READ BY HAND 2026-08-26 — checked line by line against the code</t>
        </is>
      </c>
      <c r="J562" s="3" t="inlineStr">
        <is>
          <t>snapTradeAccountId: string</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ACCOUNT_IDENTITY</t>
        </is>
      </c>
      <c r="U562" s="3" t="inlineStr">
        <is>
          <t>ACTIVE</t>
        </is>
      </c>
      <c r="V562" s="3" t="inlineStr">
        <is>
          <t>2026-09-12</t>
        </is>
      </c>
      <c r="Y562" s="3" t="inlineStr">
        <is>
          <t>NOTHING OPEN</t>
        </is>
      </c>
    </row>
    <row r="563">
      <c r="A563" s="3" t="inlineStr">
        <is>
          <t>MK-XS-F-102</t>
        </is>
      </c>
      <c r="B563" s="3" t="inlineStr">
        <is>
          <t>ingestSync</t>
        </is>
      </c>
      <c r="C563" s="3" t="inlineStr">
        <is>
          <t>src/services/sync/ingest.ts</t>
        </is>
      </c>
      <c r="D563" s="3" t="n">
        <v>102</v>
      </c>
      <c r="E563" s="3" t="inlineStr">
        <is>
          <t>3 · DEPENDENT (feeds an action only)</t>
        </is>
      </c>
      <c r="F563" s="3" t="inlineStr">
        <is>
          <t>A broker just sent us data — what changes?</t>
        </is>
      </c>
      <c r="G563" s="13"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563"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563" s="3" t="inlineStr">
        <is>
          <t>PARTLY READ — some of the code is still showing through; needs a hand pass</t>
        </is>
      </c>
      <c r="J563" s="3" t="inlineStr">
        <is>
          <t>Nothing is handed to it</t>
        </is>
      </c>
      <c r="K563" s="3" t="inlineStr">
        <is>
          <t>NOT DECLARED — the code does not say what it gives back</t>
        </is>
      </c>
      <c r="L563" s="3" t="inlineStr">
        <is>
          <t>—</t>
        </is>
      </c>
      <c r="M563"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563" s="3" t="inlineStr">
        <is>
          <t>No</t>
        </is>
      </c>
      <c r="O563"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563" s="3" t="n">
        <v>39</v>
      </c>
      <c r="Q563"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563"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563" s="3" t="inlineStr">
        <is>
          <t>—</t>
        </is>
      </c>
      <c r="T563" s="3" t="inlineStr">
        <is>
          <t>SYNC_ONE_ACCOUNT</t>
        </is>
      </c>
      <c r="U563" s="3" t="inlineStr">
        <is>
          <t>ACTIVE</t>
        </is>
      </c>
      <c r="V563" s="3" t="inlineStr">
        <is>
          <t>2026-08-27</t>
        </is>
      </c>
      <c r="Y563" s="3" t="inlineStr">
        <is>
          <t>NOTHING OPEN</t>
        </is>
      </c>
    </row>
    <row r="564">
      <c r="A564" s="3" t="inlineStr">
        <is>
          <t>MK-XS-F-103</t>
        </is>
      </c>
      <c r="B564" s="3" t="inlineStr">
        <is>
          <t>confirmWrapper</t>
        </is>
      </c>
      <c r="C564" s="3" t="inlineStr">
        <is>
          <t>src/services/sync/ingest.ts</t>
        </is>
      </c>
      <c r="D564" s="3" t="n">
        <v>312</v>
      </c>
      <c r="E564" s="3" t="inlineStr">
        <is>
          <t>3 · DEPENDENT (feeds an action only)</t>
        </is>
      </c>
      <c r="F564" s="3" t="inlineStr">
        <is>
          <t>Mark an account's wrapper as USER-CONFIRMED — future syncs never override it.</t>
        </is>
      </c>
      <c r="G564" s="13" t="inlineStr">
        <is>
          <t>for each of accounts: ...each = ...each
kind = kind
tax bucket = tax bucket
wrapper confirmed = true   if asset id = asset id
each   otherwise</t>
        </is>
      </c>
      <c r="H564" s="3" t="inlineStr">
        <is>
          <t>for each of accounts: ...each = ...each; kind = kind; tax bucket = tax bucket; wrapper confirmed = true — when asset id = asset id; each — otherwise.</t>
        </is>
      </c>
      <c r="I564" s="3" t="inlineStr">
        <is>
          <t>READ FROM THE CODE — rendered from the expressions the function runs</t>
        </is>
      </c>
      <c r="J564" s="3" t="inlineStr">
        <is>
          <t>1. accounts: AssetAccount[]
2. assetId: string
3. kind: string
4. taxBucket: AssetAccount['tax_bucket']</t>
        </is>
      </c>
      <c r="K564" s="3" t="inlineStr">
        <is>
          <t>AssetAccount[]</t>
        </is>
      </c>
      <c r="L564" s="3" t="inlineStr">
        <is>
          <t>—</t>
        </is>
      </c>
      <c r="M564" s="3" t="inlineStr">
        <is>
          <t>None found in this function — anything it assumes comes from the functions it depends on.</t>
        </is>
      </c>
      <c r="N564" s="3" t="inlineStr">
        <is>
          <t>No</t>
        </is>
      </c>
      <c r="O564" s="3" t="inlineStr">
        <is>
          <t>MK-CF-F-132 map</t>
        </is>
      </c>
      <c r="P564" s="3" t="n">
        <v>1</v>
      </c>
      <c r="Q564" s="3" t="inlineStr">
        <is>
          <t>MK-CF-F-132 map</t>
        </is>
      </c>
      <c r="R564" s="3" t="inlineStr">
        <is>
          <t>MK-CF-F-132 map → MK-XS-F-103 confirmWrapper</t>
        </is>
      </c>
      <c r="S564" s="3" t="inlineStr">
        <is>
          <t>—</t>
        </is>
      </c>
      <c r="T564" s="3" t="inlineStr">
        <is>
          <t>CONFIRM_TAX_TYPE</t>
        </is>
      </c>
      <c r="U564" s="3" t="inlineStr">
        <is>
          <t>ACTIVE</t>
        </is>
      </c>
      <c r="V564" s="3" t="inlineStr">
        <is>
          <t>2026-08-27</t>
        </is>
      </c>
      <c r="Y564" s="3" t="inlineStr">
        <is>
          <t>NOTHING OPEN</t>
        </is>
      </c>
    </row>
    <row r="565">
      <c r="A565" s="3" t="inlineStr">
        <is>
          <t>MK-XS-F-104</t>
        </is>
      </c>
      <c r="B565" s="3" t="inlineStr">
        <is>
          <t>mapAccountType</t>
        </is>
      </c>
      <c r="C565" s="3" t="inlineStr">
        <is>
          <t>src/services/sync/snaptrade.ts</t>
        </is>
      </c>
      <c r="D565" s="3" t="n">
        <v>124</v>
      </c>
      <c r="E565" s="3" t="inlineStr">
        <is>
          <t>3 · DEPENDENT (feeds an action only)</t>
        </is>
      </c>
      <c r="F565" s="3" t="inlineStr">
        <is>
          <t>What kind of account is this, and how is it taxed?</t>
        </is>
      </c>
      <c r="G565" s="13"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565"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565" s="3" t="inlineStr">
        <is>
          <t>PARTLY READ — some of the code is still showing through; needs a hand pass</t>
        </is>
      </c>
      <c r="J565" s="3" t="inlineStr">
        <is>
          <t>1. rawType: string | null | undefined
2. category?: string | null</t>
        </is>
      </c>
      <c r="K565" s="3" t="inlineStr">
        <is>
          <t>WrapperGuess</t>
        </is>
      </c>
      <c r="L565" s="3" t="inlineStr">
        <is>
          <t>—</t>
        </is>
      </c>
      <c r="M565" s="3" t="inlineStr">
        <is>
          <t>None found in this function — anything it assumes comes from the functions it depends on.</t>
        </is>
      </c>
      <c r="N565" s="3" t="inlineStr">
        <is>
          <t>No</t>
        </is>
      </c>
      <c r="O565" s="3" t="inlineStr">
        <is>
          <t>MK-ST-F-056 has</t>
        </is>
      </c>
      <c r="P565" s="3" t="n">
        <v>1</v>
      </c>
      <c r="Q565" s="3" t="inlineStr">
        <is>
          <t>MK-ST-F-056 has</t>
        </is>
      </c>
      <c r="R565" s="3" t="inlineStr">
        <is>
          <t>MK-ST-F-056 has → MK-XS-F-104 mapAccountType</t>
        </is>
      </c>
      <c r="S565" s="3" t="inlineStr">
        <is>
          <t>—</t>
        </is>
      </c>
      <c r="T565" s="3" t="inlineStr">
        <is>
          <t>ACCOUNT_TAX_TYPE_GUESS</t>
        </is>
      </c>
      <c r="U565" s="3" t="inlineStr">
        <is>
          <t>ACTIVE</t>
        </is>
      </c>
      <c r="V565" s="3" t="inlineStr">
        <is>
          <t>2026-08-27</t>
        </is>
      </c>
      <c r="Y565" s="3" t="inlineStr">
        <is>
          <t>NOTHING OPEN</t>
        </is>
      </c>
    </row>
    <row r="566">
      <c r="A566" s="3" t="inlineStr">
        <is>
          <t>MK-XS-F-105</t>
        </is>
      </c>
      <c r="B566" s="3" t="inlineStr">
        <is>
          <t>mapPosition</t>
        </is>
      </c>
      <c r="C566" s="3" t="inlineStr">
        <is>
          <t>src/services/sync/snaptrade.ts</t>
        </is>
      </c>
      <c r="D566" s="3" t="n">
        <v>220</v>
      </c>
      <c r="E566" s="3" t="inlineStr">
        <is>
          <t>3 · DEPENDENT (feeds an action only)</t>
        </is>
      </c>
      <c r="F566" s="3" t="inlineStr">
        <is>
          <t>B7 (founder brief 2026-08-20): classification lives in the ONE function — name first, broker tag as fallback only.</t>
        </is>
      </c>
      <c r="G566" s="13" t="inlineStr">
        <is>
          <t>sym = flat symbol(p)
shares = units (or 0 when missing)
nothing   when sym is missing (or shares = 0 when missing or zero)
code = (sym.type.code ?? '').to lower case()
tick = (sym.raw symbol or sym.symbol or '').to upper case()</t>
        </is>
      </c>
      <c r="H566" s="3" t="inlineStr">
        <is>
          <t>Sym is flat symbol(p). Shares is units (or 0 — when missing). When sym is missing (or shares = 0 — when missing or zero), it answers no answer. Code is (sym.type.code ?? '').to lower case(). Tick is (sym.raw symbol or sym.symbol or '').to upper case().</t>
        </is>
      </c>
      <c r="I566" s="3" t="inlineStr">
        <is>
          <t>PARTLY READ — some of the code is still showing through; needs a hand pass</t>
        </is>
      </c>
      <c r="J566" s="3" t="inlineStr">
        <is>
          <t>p: StPosition</t>
        </is>
      </c>
      <c r="K566" s="3" t="inlineStr">
        <is>
          <t>MappedPosition | null</t>
        </is>
      </c>
      <c r="L566" s="3" t="inlineStr">
        <is>
          <t>—</t>
        </is>
      </c>
      <c r="M566" s="3" t="inlineStr">
        <is>
          <t>1. If units is missing it uses 0.
2. If quantity is missing it uses 0.</t>
        </is>
      </c>
      <c r="N566" s="3" t="inlineStr">
        <is>
          <t>No</t>
        </is>
      </c>
      <c r="O566" s="3" t="inlineStr">
        <is>
          <t>1. MK-ST-F-011 classifyHoldingClass
2. MK-XS-F-145 flatSymbol
3. MK-CF-F-132 map</t>
        </is>
      </c>
      <c r="P566" s="3" t="n">
        <v>9</v>
      </c>
      <c r="Q566" s="3" t="inlineStr">
        <is>
          <t>1. MK-ST-F-011 classifyHoldingClass
2. MK-XS-F-145 flatSymbol
3. MK-CF-F-132 map
4. MK-ST-F-010 nameEvidence
5. MK-XS-F-147 call
6. MK-ST-F-056 has
7. MK-ST-F-027 accountId
8. MK-XS-F-064 currentIdToken
9. MK-XS-F-112 relayUrl</t>
        </is>
      </c>
      <c r="R566"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566" s="3" t="inlineStr">
        <is>
          <t>—</t>
        </is>
      </c>
      <c r="T566" s="3" t="inlineStr">
        <is>
          <t>CLASS_FROM_BROKER</t>
        </is>
      </c>
      <c r="U566" s="3" t="inlineStr">
        <is>
          <t>ACTIVE</t>
        </is>
      </c>
      <c r="V566" s="3" t="inlineStr">
        <is>
          <t>2026-08-27</t>
        </is>
      </c>
      <c r="Y566" s="3" t="inlineStr">
        <is>
          <t>NOTHING OPEN</t>
        </is>
      </c>
    </row>
    <row r="567">
      <c r="A567" s="3" t="inlineStr">
        <is>
          <t>MK-XS-F-106</t>
        </is>
      </c>
      <c r="B567" s="3" t="inlineStr">
        <is>
          <t>mapOptionHolding</t>
        </is>
      </c>
      <c r="C567" s="3" t="inlineStr">
        <is>
          <t>src/services/sync/snaptrade.ts</t>
        </is>
      </c>
      <c r="D567" s="3" t="n">
        <v>310</v>
      </c>
      <c r="E567" s="3" t="inlineStr">
        <is>
          <t>3 · DEPENDENT (feeds an action only)</t>
        </is>
      </c>
      <c r="F567" s="3" t="inlineStr">
        <is>
          <t>What is this option position worth, and what do we call it?</t>
        </is>
      </c>
      <c r="G567" s="13"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567"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567" s="3" t="inlineStr">
        <is>
          <t>PARTLY READ — some of the code is still showing through; needs a hand pass</t>
        </is>
      </c>
      <c r="J567" s="3" t="inlineStr">
        <is>
          <t>1. o: StOptionHolding
2. multiplier = 100</t>
        </is>
      </c>
      <c r="K567" s="3" t="inlineStr">
        <is>
          <t>MappedOption | null</t>
        </is>
      </c>
      <c r="L567" s="3" t="inlineStr">
        <is>
          <t>—</t>
        </is>
      </c>
      <c r="M567" s="3" t="inlineStr">
        <is>
          <t>1. If units is missing it uses 0.
2. If price is missing it uses 0.
3. Rounds the answer to two decimals (cents).</t>
        </is>
      </c>
      <c r="N567" s="3" t="inlineStr">
        <is>
          <t>No</t>
        </is>
      </c>
      <c r="O567" s="3" t="inlineStr">
        <is>
          <t>1. MK-ST-F-007 classifyEvent
2. MK-XS-F-146 prettyExpiry</t>
        </is>
      </c>
      <c r="P567" s="3" t="n">
        <v>3</v>
      </c>
      <c r="Q567" s="3" t="inlineStr">
        <is>
          <t>1. MK-ST-F-007 classifyEvent
2. MK-XS-F-146 prettyExpiry
3. MK-CF-F-132 map</t>
        </is>
      </c>
      <c r="R567" s="3" t="inlineStr">
        <is>
          <t>1. MK-ST-F-007 classifyEvent → MK-XS-F-106 mapOptionHolding
2. MK-CF-F-132 map → MK-XS-F-146 prettyExpiry → MK-XS-F-106 mapOptionHolding</t>
        </is>
      </c>
      <c r="S567" s="3" t="inlineStr">
        <is>
          <t>—</t>
        </is>
      </c>
      <c r="T567" s="3" t="inlineStr">
        <is>
          <t>OPTION_HOLDING</t>
        </is>
      </c>
      <c r="U567" s="3" t="inlineStr">
        <is>
          <t>ACTIVE</t>
        </is>
      </c>
      <c r="V567" s="3" t="inlineStr">
        <is>
          <t>2026-08-27</t>
        </is>
      </c>
      <c r="Y567" s="3" t="inlineStr">
        <is>
          <t>NOTHING OPEN</t>
        </is>
      </c>
    </row>
    <row r="568">
      <c r="A568" s="3" t="inlineStr">
        <is>
          <t>MK-XS-F-107</t>
        </is>
      </c>
      <c r="B568" s="3" t="inlineStr">
        <is>
          <t>mapActivityType</t>
        </is>
      </c>
      <c r="C568" s="3" t="inlineStr">
        <is>
          <t>src/services/sync/snaptrade.ts</t>
        </is>
      </c>
      <c r="D568" s="3" t="n">
        <v>372</v>
      </c>
      <c r="E568" s="3" t="inlineStr">
        <is>
          <t>3 · DEPENDENT (feeds an action only)</t>
        </is>
      </c>
      <c r="F568" s="3" t="inlineStr">
        <is>
          <t>A line arrived from the broker. Is this money you paid IN, money you took OUT, or something that happened inside the account?</t>
        </is>
      </c>
      <c r="G568" s="13"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568"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568" s="3" t="inlineStr">
        <is>
          <t>PARTLY READ — some of the code is still showing through; needs a hand pass</t>
        </is>
      </c>
      <c r="J568" s="3" t="inlineStr">
        <is>
          <t>a: StActivity</t>
        </is>
      </c>
      <c r="K568" s="3" t="inlineStr">
        <is>
          <t>MappedActivity</t>
        </is>
      </c>
      <c r="L568" s="3" t="inlineStr">
        <is>
          <t>—</t>
        </is>
      </c>
      <c r="M568" s="3" t="inlineStr">
        <is>
          <t>· If amount is missing it uses 0.</t>
        </is>
      </c>
      <c r="N568" s="3" t="inlineStr">
        <is>
          <t>No</t>
        </is>
      </c>
      <c r="O568" s="3" t="inlineStr">
        <is>
          <t>MK-CF-F-155 cash</t>
        </is>
      </c>
      <c r="P568" s="3" t="n">
        <v>2</v>
      </c>
      <c r="Q568" s="3" t="inlineStr">
        <is>
          <t>1. MK-CF-F-155 cash
2. MK-XS-F-122 n</t>
        </is>
      </c>
      <c r="R568" s="3" t="inlineStr">
        <is>
          <t>MK-XS-F-122 n → MK-CF-F-155 cash → MK-XS-F-107 mapActivityType</t>
        </is>
      </c>
      <c r="S568" s="3" t="inlineStr">
        <is>
          <t>—</t>
        </is>
      </c>
      <c r="T568" s="3" t="inlineStr">
        <is>
          <t>TRANSLATE_BROKER_WORD</t>
        </is>
      </c>
      <c r="U568" s="3" t="inlineStr">
        <is>
          <t>ACTIVE</t>
        </is>
      </c>
      <c r="V568" s="3" t="inlineStr">
        <is>
          <t>2026-08-27</t>
        </is>
      </c>
      <c r="Y568" s="3" t="inlineStr">
        <is>
          <t>NOTHING OPEN</t>
        </is>
      </c>
    </row>
    <row r="569">
      <c r="A569" s="3" t="inlineStr">
        <is>
          <t>MK-XS-F-108</t>
        </is>
      </c>
      <c r="B569" s="3" t="inlineStr">
        <is>
          <t>activityKey</t>
        </is>
      </c>
      <c r="C569" s="3" t="inlineStr">
        <is>
          <t>src/services/sync/snaptrade.ts</t>
        </is>
      </c>
      <c r="D569" s="3" t="n">
        <v>453</v>
      </c>
      <c r="E569" s="3" t="inlineStr">
        <is>
          <t>3 · DEPENDENT (feeds an action only)</t>
        </is>
      </c>
      <c r="F569" s="3" t="inlineStr">
        <is>
          <t>── duplicate-proofing ───────────────────────────────────────────────────────────────────────── SnapTrade activity ids can change when they reprocess history, so identity = the composite of everything that makes the row THAT row.</t>
        </is>
      </c>
      <c r="G569" s="13" t="inlineStr">
        <is>
          <t>the answer = import key(account, trade date or settlement date, type, amount, units, security, reference, description)</t>
        </is>
      </c>
      <c r="H569" s="3" t="inlineStr">
        <is>
          <t>The stable identity of one imported activity row, built by MK-ST-F-014 importKey from the account, the date, the type, the amount, the units, the security, the reference and the description.</t>
        </is>
      </c>
      <c r="I569" s="3" t="inlineStr">
        <is>
          <t>READ BY HAND 2026-08-26 — checked line by line against the code</t>
        </is>
      </c>
      <c r="J569" s="3" t="inlineStr">
        <is>
          <t>1. accountId: string
2. a: StActivity</t>
        </is>
      </c>
      <c r="K569" s="3" t="inlineStr">
        <is>
          <t>string</t>
        </is>
      </c>
      <c r="L569" s="3" t="inlineStr">
        <is>
          <t>—</t>
        </is>
      </c>
      <c r="M569" s="3" t="inlineStr">
        <is>
          <t>None found in this function — anything it assumes comes from the functions it depends on.</t>
        </is>
      </c>
      <c r="N569" s="3" t="inlineStr">
        <is>
          <t>No</t>
        </is>
      </c>
      <c r="O569" s="3" t="inlineStr">
        <is>
          <t>1. MK-ST-F-027 accountId
2. MK-ST-F-014 importKey</t>
        </is>
      </c>
      <c r="P569" s="3" t="n">
        <v>2</v>
      </c>
      <c r="Q569" s="3" t="inlineStr">
        <is>
          <t>1. MK-ST-F-027 accountId
2. MK-ST-F-014 importKey</t>
        </is>
      </c>
      <c r="R569" s="3" t="inlineStr">
        <is>
          <t>1. MK-ST-F-027 accountId → MK-XS-F-108 activityKey
2. MK-ST-F-014 importKey → MK-XS-F-108 activityKey</t>
        </is>
      </c>
      <c r="S569" s="3" t="inlineStr">
        <is>
          <t>—</t>
        </is>
      </c>
      <c r="T569" s="3" t="inlineStr">
        <is>
          <t>ACTIVITY_IDENTITY</t>
        </is>
      </c>
      <c r="U569" s="3" t="inlineStr">
        <is>
          <t>ACTIVE</t>
        </is>
      </c>
      <c r="V569" s="3" t="inlineStr">
        <is>
          <t>2026-09-12</t>
        </is>
      </c>
      <c r="Y569" s="3" t="inlineStr">
        <is>
          <t>NOTHING OPEN</t>
        </is>
      </c>
    </row>
    <row r="570">
      <c r="A570" s="3" t="inlineStr">
        <is>
          <t>MK-XS-F-109</t>
        </is>
      </c>
      <c r="B570" s="3" t="inlineStr">
        <is>
          <t>dedupeActivities</t>
        </is>
      </c>
      <c r="C570" s="3" t="inlineStr">
        <is>
          <t>src/services/sync/snaptrade.ts</t>
        </is>
      </c>
      <c r="D570" s="3" t="n">
        <v>482</v>
      </c>
      <c r="E570" s="3" t="inlineStr">
        <is>
          <t>3 · DEPENDENT (feeds an action only)</t>
        </is>
      </c>
      <c r="F570" s="3" t="inlineStr">
        <is>
          <t>Which of these activities are new since the last sync?</t>
        </is>
      </c>
      <c r="G570" s="13" t="inlineStr">
        <is>
          <t>fresh = []
k = activity key(account id, a)
the answer = fresh</t>
        </is>
      </c>
      <c r="H570" s="3" t="inlineStr">
        <is>
          <t>Fresh is []. K is activity key(account id, a). The answer is fresh.</t>
        </is>
      </c>
      <c r="I570" s="3" t="inlineStr">
        <is>
          <t>READ FROM THE CODE — rendered from the expressions the function runs</t>
        </is>
      </c>
      <c r="J570" s="3" t="inlineStr">
        <is>
          <t>1. accountId: string
2. incoming: StActivity[]
3. seenKeys: Set&lt;string&gt;</t>
        </is>
      </c>
      <c r="K570" s="3" t="inlineStr">
        <is>
          <t>StActivity[]</t>
        </is>
      </c>
      <c r="L570" s="3" t="inlineStr">
        <is>
          <t>—</t>
        </is>
      </c>
      <c r="M570" s="3" t="inlineStr">
        <is>
          <t>None found in this function — anything it assumes comes from the functions it depends on.</t>
        </is>
      </c>
      <c r="N570" s="3" t="inlineStr">
        <is>
          <t>No</t>
        </is>
      </c>
      <c r="O570" s="3" t="inlineStr">
        <is>
          <t>1. MK-ST-F-027 accountId
2. MK-XS-F-108 activityKey
3. MK-ST-F-056 has</t>
        </is>
      </c>
      <c r="P570" s="3" t="n">
        <v>4</v>
      </c>
      <c r="Q570" s="3" t="inlineStr">
        <is>
          <t>1. MK-ST-F-027 accountId
2. MK-XS-F-108 activityKey
3. MK-ST-F-056 has
4. MK-ST-F-014 importKey</t>
        </is>
      </c>
      <c r="R570" s="3" t="inlineStr">
        <is>
          <t>1. MK-ST-F-027 accountId → MK-XS-F-109 dedupeActivities
2. MK-ST-F-027 accountId → MK-XS-F-108 activityKey → MK-XS-F-109 dedupeActivities
3. MK-ST-F-014 importKey → MK-XS-F-108 activityKey → MK-XS-F-109 dedupeActivities
4. MK-ST-F-056 has → MK-XS-F-109 dedupeActivities</t>
        </is>
      </c>
      <c r="S570" s="3" t="inlineStr">
        <is>
          <t>—</t>
        </is>
      </c>
      <c r="T570" s="3" t="inlineStr">
        <is>
          <t>ALREADY_SEEN_CHECK</t>
        </is>
      </c>
      <c r="U570" s="3" t="inlineStr">
        <is>
          <t>ACTIVE</t>
        </is>
      </c>
      <c r="V570" s="3" t="inlineStr">
        <is>
          <t>2026-08-27</t>
        </is>
      </c>
      <c r="Y570" s="3" t="inlineStr">
        <is>
          <t>NOTHING OPEN</t>
        </is>
      </c>
    </row>
    <row r="571">
      <c r="A571" s="3" t="inlineStr">
        <is>
          <t>MK-XS-F-110</t>
        </is>
      </c>
      <c r="B571" s="3" t="inlineStr">
        <is>
          <t>netCashSleeve</t>
        </is>
      </c>
      <c r="C571" s="3" t="inlineStr">
        <is>
          <t>src/services/sync/snaptrade.ts</t>
        </is>
      </c>
      <c r="D571" s="3" t="n">
        <v>523</v>
      </c>
      <c r="E571" s="3" t="inlineStr">
        <is>
          <t>3 · DEPENDENT (feeds an action only)</t>
        </is>
      </c>
      <c r="F571" s="3" t="inlineStr">
        <is>
          <t>── the cash sleeve, deduped ─────────────────────────────────────────────────────────────────── SnapTrade counts money-market (cash_equivalent) positions INSIDE balances.cash too.</t>
        </is>
      </c>
      <c r="G571" s="13" t="inlineStr">
        <is>
          <t>net = round((balances cash ?? 0) − mmf, 2 dp)
the answer:
0   if net &lt; 0 and net &gt; -1
net   otherwise</t>
        </is>
      </c>
      <c r="H571" s="3" t="inlineStr">
        <is>
          <t>Net is (balances cash ?? 0) minus mmf, to the cent. The answer is 0 — when net &lt; 0 and net &gt; -1; net — otherwise.</t>
        </is>
      </c>
      <c r="I571" s="3" t="inlineStr">
        <is>
          <t>PARTLY READ — some of the code is still showing through; needs a hand pass</t>
        </is>
      </c>
      <c r="J571" s="3" t="inlineStr">
        <is>
          <t>1. balancesCash: number | null | undefined
2. positions: MappedPosition[]</t>
        </is>
      </c>
      <c r="K571" s="3" t="inlineStr">
        <is>
          <t>number</t>
        </is>
      </c>
      <c r="L571" s="3" t="inlineStr">
        <is>
          <t>—</t>
        </is>
      </c>
      <c r="M571" s="3" t="inlineStr">
        <is>
          <t>1. If price is missing it uses 0.
2. If balances cash is missing it uses 0.
3. Rounds the answer to two decimals (cents).</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UNINVESTED_CASH</t>
        </is>
      </c>
      <c r="U571" s="3" t="inlineStr">
        <is>
          <t>ACTIVE</t>
        </is>
      </c>
      <c r="V571" s="3" t="inlineStr">
        <is>
          <t>2026-08-27</t>
        </is>
      </c>
      <c r="Y571" s="3" t="inlineStr">
        <is>
          <t>NOTHING OPEN</t>
        </is>
      </c>
    </row>
    <row r="572">
      <c r="A572" s="3" t="inlineStr">
        <is>
          <t>MK-XS-F-111</t>
        </is>
      </c>
      <c r="B572" s="3" t="inlineStr">
        <is>
          <t>mergeHistoryFrom</t>
        </is>
      </c>
      <c r="C572" s="3" t="inlineStr">
        <is>
          <t>src/services/sync/snaptrade.ts</t>
        </is>
      </c>
      <c r="D572" s="3" t="n">
        <v>559</v>
      </c>
      <c r="E572" s="3" t="inlineStr">
        <is>
          <t>3 · DEPENDENT (feeds an action only)</t>
        </is>
      </c>
      <c r="F572" s="3" t="inlineStr">
        <is>
          <t>FOUNDER RULE 2026-08-04: record how far back the broker's OWN activity feed reaches, so a "past year" income figure can label itself honestly.</t>
        </is>
      </c>
      <c r="G572" s="13" t="inlineStr">
        <is>
          <t>earliest now = the first of dates
existing   when earliest now is missing
earliest now   when existing is missing
the answer:
earliest now   if earliest now &lt; existing
existing   otherwise</t>
        </is>
      </c>
      <c r="H572" s="3" t="inlineStr">
        <is>
          <t>Earliest now: the first of dates. When earliest now is missing, it answers existing. When existing is missing, it answers earliest now. The answer is earliest now — when earliest now &lt; existing; existing — otherwise.</t>
        </is>
      </c>
      <c r="I572" s="3" t="inlineStr">
        <is>
          <t>READ FROM THE CODE — rendered from the expressions the function runs</t>
        </is>
      </c>
      <c r="J572" s="3" t="inlineStr">
        <is>
          <t>1. existing: string | undefined
2. activityDates: (string | null | undefined)[]</t>
        </is>
      </c>
      <c r="K572" s="3" t="inlineStr">
        <is>
          <t>string | undefined</t>
        </is>
      </c>
      <c r="L572" s="3" t="inlineStr">
        <is>
          <t>—</t>
        </is>
      </c>
      <c r="M572" s="3" t="inlineStr">
        <is>
          <t>None found in this function — anything it assumes comes from the functions it depends on.</t>
        </is>
      </c>
      <c r="N572" s="3" t="inlineStr">
        <is>
          <t>No</t>
        </is>
      </c>
      <c r="O572" s="3" t="inlineStr">
        <is>
          <t>MK-CF-F-132 map</t>
        </is>
      </c>
      <c r="P572" s="3" t="n">
        <v>1</v>
      </c>
      <c r="Q572" s="3" t="inlineStr">
        <is>
          <t>MK-CF-F-132 map</t>
        </is>
      </c>
      <c r="R572" s="3" t="inlineStr">
        <is>
          <t>MK-CF-F-132 map → MK-XS-F-111 mergeHistoryFrom</t>
        </is>
      </c>
      <c r="S572" s="3" t="inlineStr">
        <is>
          <t>—</t>
        </is>
      </c>
      <c r="T572" s="3" t="inlineStr">
        <is>
          <t>HISTORY_DEPTH</t>
        </is>
      </c>
      <c r="U572" s="3" t="inlineStr">
        <is>
          <t>ACTIVE</t>
        </is>
      </c>
      <c r="V572" s="3" t="inlineStr">
        <is>
          <t>2026-08-27</t>
        </is>
      </c>
      <c r="Y572" s="3" t="inlineStr">
        <is>
          <t>NOTHING OPEN</t>
        </is>
      </c>
    </row>
    <row r="573">
      <c r="A573" s="3" t="inlineStr">
        <is>
          <t>MK-XS-F-112</t>
        </is>
      </c>
      <c r="B573" s="3" t="inlineStr">
        <is>
          <t>relayUrl</t>
        </is>
      </c>
      <c r="C573" s="3" t="inlineStr">
        <is>
          <t>src/services/sync/snaptradeClient.ts</t>
        </is>
      </c>
      <c r="D573" s="3" t="n">
        <v>35</v>
      </c>
      <c r="E573" s="3" t="inlineStr">
        <is>
          <t>3 · DEPENDENT</t>
        </is>
      </c>
      <c r="F573" s="3" t="inlineStr">
        <is>
          <t>NOT DETERMINED — the code carries no note saying what this is for, and it has no row in the old inventory. Needs reading.</t>
        </is>
      </c>
      <c r="G573" s="13" t="inlineStr">
        <is>
          <t>the answer = the relay address from the app config, else from the environment, else nothing</t>
        </is>
      </c>
      <c r="H573" s="3" t="inlineStr">
        <is>
          <t>Where the connection relay lives, read from the app configuration. Not a calculation.</t>
        </is>
      </c>
      <c r="I573" s="3" t="inlineStr">
        <is>
          <t>READ BY HAND 2026-08-26 — checked line by line against the code</t>
        </is>
      </c>
      <c r="J573" s="3" t="inlineStr">
        <is>
          <t>Nothing is handed to it</t>
        </is>
      </c>
      <c r="K573" s="3" t="inlineStr">
        <is>
          <t>string | null</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2026-09-12</t>
        </is>
      </c>
      <c r="Y573" s="3" t="inlineStr">
        <is>
          <t>NOTHING OPEN</t>
        </is>
      </c>
    </row>
    <row r="574">
      <c r="A574" s="3" t="inlineStr">
        <is>
          <t>MK-XS-F-113</t>
        </is>
      </c>
      <c r="B574" s="3" t="inlineStr">
        <is>
          <t>snaptradeConfigured</t>
        </is>
      </c>
      <c r="C574" s="3" t="inlineStr">
        <is>
          <t>src/services/sync/snaptradeClient.ts</t>
        </is>
      </c>
      <c r="D574" s="3" t="n">
        <v>60</v>
      </c>
      <c r="E574" s="3" t="inlineStr">
        <is>
          <t>1 · ACTION</t>
        </is>
      </c>
      <c r="F574" s="3" t="inlineStr">
        <is>
          <t>NOT DETERMINED — the code carries no note saying what this is for, and it has no row in the old inventory. Needs reading.</t>
        </is>
      </c>
      <c r="G574" s="13" t="inlineStr">
        <is>
          <t>!!relay url()</t>
        </is>
      </c>
      <c r="H574" s="3" t="inlineStr">
        <is>
          <t>!!relay url()</t>
        </is>
      </c>
      <c r="I574" s="3" t="inlineStr">
        <is>
          <t>READ FROM THE CODE — rendered from the expressions the function runs</t>
        </is>
      </c>
      <c r="J574" s="3" t="inlineStr">
        <is>
          <t>Nothing is handed to it</t>
        </is>
      </c>
      <c r="K574" s="3" t="inlineStr">
        <is>
          <t>NOT DECLARED — the code does not say what it gives back</t>
        </is>
      </c>
      <c r="L574" s="3" t="inlineStr">
        <is>
          <t>—</t>
        </is>
      </c>
      <c r="M574" s="3" t="inlineStr">
        <is>
          <t>None found in this function — anything it assumes comes from the functions it depends on.</t>
        </is>
      </c>
      <c r="N574" s="3" t="inlineStr">
        <is>
          <t>Yes</t>
        </is>
      </c>
      <c r="O574" s="3" t="inlineStr">
        <is>
          <t>MK-XS-F-112 relayUrl</t>
        </is>
      </c>
      <c r="P574" s="3" t="n">
        <v>1</v>
      </c>
      <c r="Q574" s="3" t="inlineStr">
        <is>
          <t>MK-XS-F-112 relayUrl</t>
        </is>
      </c>
      <c r="R574" s="3" t="inlineStr">
        <is>
          <t>MK-XS-F-112 relayUrl → MK-XS-F-113 snaptradeConfigured</t>
        </is>
      </c>
      <c r="S574" s="3" t="inlineStr">
        <is>
          <t>—</t>
        </is>
      </c>
      <c r="T574" s="3" t="inlineStr">
        <is>
          <t>—</t>
        </is>
      </c>
      <c r="U574" s="3" t="inlineStr">
        <is>
          <t>ACTIVE</t>
        </is>
      </c>
      <c r="V574" s="3" t="inlineStr">
        <is>
          <t>2026-08-27</t>
        </is>
      </c>
      <c r="Y574" s="3" t="inlineStr">
        <is>
          <t>NOTHING OPEN</t>
        </is>
      </c>
    </row>
    <row r="575">
      <c r="A575" s="3" t="inlineStr">
        <is>
          <t>MK-XS-F-114</t>
        </is>
      </c>
      <c r="B575" s="3" t="inlineStr">
        <is>
          <t>usdCash</t>
        </is>
      </c>
      <c r="C575" s="3" t="inlineStr">
        <is>
          <t>src/services/sync/snaptradeClient.ts</t>
        </is>
      </c>
      <c r="D575" s="3" t="n">
        <v>148</v>
      </c>
      <c r="E575" s="3" t="inlineStr">
        <is>
          <t>3 · DEPENDENT</t>
        </is>
      </c>
      <c r="F575" s="3" t="inlineStr">
        <is>
          <t>USD cash across the balances list (v1 is USD-only; other currencies are ignored, not guessed).</t>
        </is>
      </c>
      <c r="G575" s="13" t="inlineStr">
        <is>
          <t>the answer = Σ over balances in USD (or with no currency) of (cash, or 0)</t>
        </is>
      </c>
      <c r="H575" s="3" t="inlineStr">
        <is>
          <t>Adds up the cash balances a connected account reports in US dollars (a balance with no currency code counts as dollars). Other currencies are left out.</t>
        </is>
      </c>
      <c r="I575" s="3" t="inlineStr">
        <is>
          <t>READ BY HAND 2026-08-26 — checked line by line against the code</t>
        </is>
      </c>
      <c r="J575" s="3" t="inlineStr">
        <is>
          <t>balances: HoldingsPayload['balances'] | null | undefined</t>
        </is>
      </c>
      <c r="K575" s="3" t="inlineStr">
        <is>
          <t>number</t>
        </is>
      </c>
      <c r="L575" s="3" t="inlineStr">
        <is>
          <t>—</t>
        </is>
      </c>
      <c r="M575" s="3" t="inlineStr">
        <is>
          <t>· If cash is missing it uses 0.</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2026-09-12</t>
        </is>
      </c>
      <c r="Y575" s="3" t="inlineStr">
        <is>
          <t>NOTHING OPEN</t>
        </is>
      </c>
    </row>
    <row r="576">
      <c r="A576" s="3" t="inlineStr">
        <is>
          <t>MK-XS-F-115</t>
        </is>
      </c>
      <c r="B576" s="3" t="inlineStr">
        <is>
          <t>shouldDailySync</t>
        </is>
      </c>
      <c r="C576" s="3" t="inlineStr">
        <is>
          <t>src/services/sync/snaptradeSync.ts</t>
        </is>
      </c>
      <c r="D576" s="3" t="n">
        <v>38</v>
      </c>
      <c r="E576" s="3" t="inlineStr">
        <is>
          <t>3 · DEPENDENT</t>
        </is>
      </c>
      <c r="F576" s="3" t="inlineStr">
        <is>
          <t>NOT DETERMINED — the code carries no note saying what this is for, and it has no row in the old inventory. Needs reading.</t>
        </is>
      </c>
      <c r="G576" s="13" t="inlineStr">
        <is>
          <t>true   when last sync at is missing
t = date.parse(last sync at)
the answer = number.is na n(t) (or now − t &gt; 20 × 3600000 when missing or zero)</t>
        </is>
      </c>
      <c r="H576" s="3" t="inlineStr">
        <is>
          <t>When last sync at is missing, it answers true. T is date.parse(last sync at). The answer is number.is na n(t) (or now minus t &gt; 20 times 3600000 — when missing or zero).</t>
        </is>
      </c>
      <c r="I576" s="3" t="inlineStr">
        <is>
          <t>PARTLY READ — some of the code is still showing through; needs a hand pass</t>
        </is>
      </c>
      <c r="J576" s="3" t="inlineStr">
        <is>
          <t>1. lastSyncAt: string | null | undefined
2. now: number = Date.now()</t>
        </is>
      </c>
      <c r="K576" s="3" t="inlineStr">
        <is>
          <t>boolean</t>
        </is>
      </c>
      <c r="L576" s="3" t="inlineStr">
        <is>
          <t>—</t>
        </is>
      </c>
      <c r="M576" s="3" t="inlineStr">
        <is>
          <t>· Uses today's date from the device clock, so the answer changes by itself overnight.</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Y576" s="3" t="inlineStr">
        <is>
          <t>NOTHING OPEN</t>
        </is>
      </c>
    </row>
    <row r="577">
      <c r="A577" s="3" t="inlineStr">
        <is>
          <t>MK-XS-F-116</t>
        </is>
      </c>
      <c r="B577" s="3" t="inlineStr">
        <is>
          <t>runSnapTradeSync</t>
        </is>
      </c>
      <c r="C577" s="3" t="inlineStr">
        <is>
          <t>src/services/sync/snaptradeSync.ts</t>
        </is>
      </c>
      <c r="D577" s="3" t="n">
        <v>144</v>
      </c>
      <c r="E577" s="3" t="inlineStr">
        <is>
          <t>2 · DISPLAYED</t>
        </is>
      </c>
      <c r="F577" s="3" t="inlineStr">
        <is>
          <t>Full sync. Returns the number of accounts synced (0 = nothing connected).</t>
        </is>
      </c>
      <c r="G577" s="13"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577"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577" s="3" t="inlineStr">
        <is>
          <t>PARTLY READ — some of the code is still showing through; needs a hand pass</t>
        </is>
      </c>
      <c r="J577" s="3" t="inlineStr">
        <is>
          <t>1. opts: { force?: boolean } = {}
2. reads the app's stored data</t>
        </is>
      </c>
      <c r="K577" s="3" t="inlineStr">
        <is>
          <t>Promise&lt;number&gt;</t>
        </is>
      </c>
      <c r="L577" s="3" t="inlineStr">
        <is>
          <t>NOT FOUND — a screen calls it, but the words printed beside its answer could not be traced automatically. Needs reading.</t>
        </is>
      </c>
      <c r="M577" s="3" t="inlineStr">
        <is>
          <t>· Uses today's date from the device clock, so the answer changes by itself overnight.</t>
        </is>
      </c>
      <c r="N577" s="3" t="inlineStr">
        <is>
          <t>Yes</t>
        </is>
      </c>
      <c r="O577" s="3" t="inlineStr">
        <is>
          <t>1. MK-XS-F-149 allActivities
2. MK-CF-F-132 map
3. MK-XS-F-115 shouldDailySync
4. MK-XS-F-113 snaptradeConfigured
5. MK-XS-F-101 stAssetId
6. MK-XS-F-114 usdCash</t>
        </is>
      </c>
      <c r="P577" s="3" t="n">
        <v>9</v>
      </c>
      <c r="Q577" s="3" t="inlineStr">
        <is>
          <t>1. MK-XS-F-149 allActivities
2. MK-CF-F-132 map
3. MK-XS-F-115 shouldDailySync
4. MK-XS-F-113 snaptradeConfigured
5. MK-XS-F-101 stAssetId
6. MK-XS-F-114 usdCash
7. MK-ST-F-027 accountId
8. MK-XS-F-148 unwrapActivities
9. MK-XS-F-112 relayUrl</t>
        </is>
      </c>
      <c r="R577"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577" s="3" t="inlineStr">
        <is>
          <t>—</t>
        </is>
      </c>
      <c r="T577" s="3" t="inlineStr">
        <is>
          <t>—</t>
        </is>
      </c>
      <c r="U577" s="3" t="inlineStr">
        <is>
          <t>ACTIVE</t>
        </is>
      </c>
      <c r="V577" s="3" t="inlineStr">
        <is>
          <t>2026-08-27</t>
        </is>
      </c>
      <c r="Y577" s="3" t="inlineStr">
        <is>
          <t>NOTHING OPEN</t>
        </is>
      </c>
    </row>
    <row r="578">
      <c r="A578" s="3" t="inlineStr">
        <is>
          <t>MK-XS-F-118</t>
        </is>
      </c>
      <c r="B578" s="3" t="inlineStr">
        <is>
          <t>prettyDate</t>
        </is>
      </c>
      <c r="C578" s="3" t="inlineStr">
        <is>
          <t>src/domain/gaps/index.ts</t>
        </is>
      </c>
      <c r="D578" s="3" t="n">
        <v>83</v>
      </c>
      <c r="E578" s="3" t="inlineStr">
        <is>
          <t>3 · DEPENDENT</t>
        </is>
      </c>
      <c r="F578" s="3" t="inlineStr">
        <is>
          <t>NOT DETERMINED — the code carries no note saying what this is for, and it has no row in the old inventory. Needs reading.</t>
        </is>
      </c>
      <c r="G578" s="13" t="inlineStr">
        <is>
          <t>d = the date `${iso}-15T12:00:00`   if iso.length = 7
`${iso}T12:00:00`   otherwise
the answer:
iso   if is na n(get time())
to locale date string('en − US', { month: 'short', day: 'numeric' })   otherwise</t>
        </is>
      </c>
      <c r="H578" s="3" t="inlineStr">
        <is>
          <t>D: the date `${iso}-15T12:00:00` — when iso.length = 7; `${iso}T12:00:00` — otherwise. The answer is iso — when is na n(get time()); to locale date string('en minus US', { month: 'short', day: 'numeric' }) — otherwise.</t>
        </is>
      </c>
      <c r="I578" s="3" t="inlineStr">
        <is>
          <t>PARTLY READ — some of the code is still showing through; needs a hand pass</t>
        </is>
      </c>
      <c r="J578" s="3" t="inlineStr">
        <is>
          <t>iso: string</t>
        </is>
      </c>
      <c r="K578" s="3" t="inlineStr">
        <is>
          <t>NOT DECLARED — the code does not say what it gives back</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Y578" s="3" t="inlineStr">
        <is>
          <t>NOTHING OPEN</t>
        </is>
      </c>
    </row>
    <row r="579">
      <c r="A579" s="3" t="inlineStr">
        <is>
          <t>MK-XS-F-119</t>
        </is>
      </c>
      <c r="B579" s="3" t="inlineStr">
        <is>
          <t>namesFor</t>
        </is>
      </c>
      <c r="C579" s="3" t="inlineStr">
        <is>
          <t>src/domain/gaps/index.ts</t>
        </is>
      </c>
      <c r="D579" s="3" t="n">
        <v>109</v>
      </c>
      <c r="E579" s="3" t="inlineStr">
        <is>
          <t>1 · ACTION</t>
        </is>
      </c>
      <c r="F579" s="3" t="inlineStr">
        <is>
          <t>Founder finding 2026-08-11: this named an account by its INSTITUTION alone, so two Vanguard accounts produced two identical banner lines ("Vanguard last updated Aug 3" twice) with no way to tell which was which.</t>
        </is>
      </c>
      <c r="G579" s="13" t="inlineStr">
        <is>
          <t>account display names(accounts)</t>
        </is>
      </c>
      <c r="H579" s="3" t="inlineStr">
        <is>
          <t>account display names(accounts)</t>
        </is>
      </c>
      <c r="I579" s="3" t="inlineStr">
        <is>
          <t>READ FROM THE CODE — rendered from the expressions the function runs</t>
        </is>
      </c>
      <c r="J579" s="3" t="inlineStr">
        <is>
          <t>accounts: AssetAccount[]</t>
        </is>
      </c>
      <c r="K579" s="3" t="inlineStr">
        <is>
          <t>NOT DECLARED — the code does not say what it gives back</t>
        </is>
      </c>
      <c r="L579" s="3" t="inlineStr">
        <is>
          <t>—</t>
        </is>
      </c>
      <c r="M579" s="3" t="inlineStr">
        <is>
          <t>None found in this function — anything it assumes comes from the functions it depends on.</t>
        </is>
      </c>
      <c r="N579" s="3" t="inlineStr">
        <is>
          <t>Yes</t>
        </is>
      </c>
      <c r="O579" s="3" t="inlineStr">
        <is>
          <t>MK-NW-F-026 accountDisplayNames</t>
        </is>
      </c>
      <c r="P579" s="3" t="n">
        <v>8</v>
      </c>
      <c r="Q579" s="3" t="inlineStr">
        <is>
          <t>1. MK-NW-F-026 accountDisplayNames
2. MK-NW-F-025 accountDisplayName
3. MK-CF-F-155 cash
4. MK-CF-F-132 map
5. MK-XS-F-122 n
6. MK-NW-F-024 accountLastFour
7. MK-NW-F-012 taxTreatmentOf
8. MK-NW-F-023 wrapperWord</t>
        </is>
      </c>
      <c r="R579"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579" s="3" t="inlineStr">
        <is>
          <t>—</t>
        </is>
      </c>
      <c r="T579" s="3" t="inlineStr">
        <is>
          <t>—</t>
        </is>
      </c>
      <c r="U579" s="3" t="inlineStr">
        <is>
          <t>ACTIVE</t>
        </is>
      </c>
      <c r="V579" s="3" t="inlineStr">
        <is>
          <t>2026-08-27</t>
        </is>
      </c>
      <c r="Y579" s="3" t="inlineStr">
        <is>
          <t>NOTHING OPEN</t>
        </is>
      </c>
    </row>
    <row r="580">
      <c r="A580" s="3" t="inlineStr">
        <is>
          <t>MK-XS-F-120</t>
        </is>
      </c>
      <c r="B580" s="3" t="inlineStr">
        <is>
          <t>nameOf</t>
        </is>
      </c>
      <c r="C580" s="3" t="inlineStr">
        <is>
          <t>src/domain/gaps/index.ts</t>
        </is>
      </c>
      <c r="D580" s="3" t="n">
        <v>129</v>
      </c>
      <c r="E580" s="3" t="inlineStr">
        <is>
          <t>1 · ACTION</t>
        </is>
      </c>
      <c r="F580" s="3" t="inlineStr">
        <is>
          <t>NOT DETERMINED — the code carries no note saying what this is for, and it has no row in the old inventory. Needs reading.</t>
        </is>
      </c>
      <c r="G580" s="13" t="inlineStr">
        <is>
          <t>the answer = the person's name for the account, else the institution, else the label, else 'this account'</t>
        </is>
      </c>
      <c r="H580" s="3" t="inlineStr">
        <is>
          <t>What to call an account in a sentence — the person's own name for it, then the institution, then the label. No arithmetic.</t>
        </is>
      </c>
      <c r="I580" s="3" t="inlineStr">
        <is>
          <t>READ BY HAND 2026-08-26 — checked line by line against the code</t>
        </is>
      </c>
      <c r="J580" s="3" t="inlineStr">
        <is>
          <t>1. a: AssetAccount
2. names: Map&lt;string, string&gt;</t>
        </is>
      </c>
      <c r="K580" s="3" t="inlineStr">
        <is>
          <t>NOT DECLARED — the code does not say what it gives back</t>
        </is>
      </c>
      <c r="L580" s="3" t="inlineStr">
        <is>
          <t>—</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2026-09-12</t>
        </is>
      </c>
      <c r="Y580" s="3" t="inlineStr">
        <is>
          <t>NOTHING OPEN</t>
        </is>
      </c>
    </row>
    <row r="581">
      <c r="A581" s="3" t="inlineStr">
        <is>
          <t>MK-XS-F-121</t>
        </is>
      </c>
      <c r="B581" s="3" t="inlineStr">
        <is>
          <t>isYm</t>
        </is>
      </c>
      <c r="C581" s="3" t="inlineStr">
        <is>
          <t>src/domain/history.ts</t>
        </is>
      </c>
      <c r="D581" s="3" t="n">
        <v>128</v>
      </c>
      <c r="E581" s="3" t="inlineStr">
        <is>
          <t>1 · ACTION</t>
        </is>
      </c>
      <c r="F581" s="3" t="inlineStr">
        <is>
          <t>NOT DETERMINED — the code carries no note saying what this is for, and it has no row in the old inventory. Needs reading.</t>
        </is>
      </c>
      <c r="G581" s="13" t="inlineStr">
        <is>
          <t>the answer = true when the text is exactly 'YYYY-MM'</t>
        </is>
      </c>
      <c r="H581" s="3" t="inlineStr">
        <is>
          <t>Whether a text is a month key of the form 'YYYY-MM'. No arithmetic.</t>
        </is>
      </c>
      <c r="I581" s="3" t="inlineStr">
        <is>
          <t>READ BY HAND 2026-08-26 — checked line by line against the code</t>
        </is>
      </c>
      <c r="J581" s="3" t="inlineStr">
        <is>
          <t>s: unknown</t>
        </is>
      </c>
      <c r="K581" s="3" t="inlineStr">
        <is>
          <t>s is string</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2026-09-12</t>
        </is>
      </c>
      <c r="Y581" s="3" t="inlineStr">
        <is>
          <t>NOTHING OPEN</t>
        </is>
      </c>
    </row>
    <row r="582">
      <c r="A582" s="3" t="inlineStr">
        <is>
          <t>MK-XS-F-122</t>
        </is>
      </c>
      <c r="B582" s="3" t="inlineStr">
        <is>
          <t>n</t>
        </is>
      </c>
      <c r="C582" s="3" t="inlineStr">
        <is>
          <t>src/domain/history.ts</t>
        </is>
      </c>
      <c r="D582" s="3" t="n">
        <v>169</v>
      </c>
      <c r="E582" s="3" t="inlineStr">
        <is>
          <t>1 · ACTION</t>
        </is>
      </c>
      <c r="F582" s="3" t="inlineStr">
        <is>
          <t>NOT DETERMINED — the code carries no note saying what this is for, and it has no row in the old inventory. Needs reading.</t>
        </is>
      </c>
      <c r="G582" s="13" t="inlineStr">
        <is>
          <t>v   if typeof v = 'number' and number.is finite(v)
fallback   otherwise</t>
        </is>
      </c>
      <c r="H582" s="3" t="inlineStr">
        <is>
          <t>v — when typeof v = 'number' and number.is finite(v); fallback — otherwise</t>
        </is>
      </c>
      <c r="I582" s="3" t="inlineStr">
        <is>
          <t>PARTLY READ — some of the code is still showing through; needs a hand pass</t>
        </is>
      </c>
      <c r="J582" s="3" t="inlineStr">
        <is>
          <t>1. v: unknown
2. fallback = 0</t>
        </is>
      </c>
      <c r="K582" s="3" t="inlineStr">
        <is>
          <t>number</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Y582" s="3" t="inlineStr">
        <is>
          <t>NOTHING OPEN</t>
        </is>
      </c>
    </row>
    <row r="583">
      <c r="A583" s="3" t="inlineStr">
        <is>
          <t>MK-XS-F-123</t>
        </is>
      </c>
      <c r="B583" s="3" t="inlineStr">
        <is>
          <t>base64ToBytes</t>
        </is>
      </c>
      <c r="C583" s="3" t="inlineStr">
        <is>
          <t>src/domain/import/holdingsImport.ts</t>
        </is>
      </c>
      <c r="D583" s="3" t="n">
        <v>56</v>
      </c>
      <c r="E583" s="3" t="inlineStr">
        <is>
          <t>3 · DEPENDENT</t>
        </is>
      </c>
      <c r="F583" s="3" t="inlineStr">
        <is>
          <t>NOT DETERMINED — the code carries no note saying what this is for, and it has no row in the old inventory. Needs reading.</t>
        </is>
      </c>
      <c r="G583" s="13" t="inlineStr">
        <is>
          <t>c = b64.replace( ÷ [^A − za − z0 − 9+ ÷ ] ÷ g, '')
out = []
e1 = B64.index of(c[i]), e2 = B64.index of(c[i + 1]), e3 = B64.index of(c[i + 2]), e4 = B64.index of(c[i + 3])
n = (e1 &lt;&lt; 18) | (e2 &lt;&lt; 12) | ((e3 &amp; 63) &lt;&lt; 6) | (e4 &amp; 63)
the answer = out</t>
        </is>
      </c>
      <c r="H583"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583" s="3" t="inlineStr">
        <is>
          <t>PARTLY READ — some of the code is still showing through; needs a hand pass</t>
        </is>
      </c>
      <c r="J583" s="3" t="inlineStr">
        <is>
          <t>b64: string</t>
        </is>
      </c>
      <c r="K583" s="3" t="inlineStr">
        <is>
          <t>number[]</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Y583" s="3" t="inlineStr">
        <is>
          <t>NOTHING OPEN</t>
        </is>
      </c>
    </row>
    <row r="584">
      <c r="A584" s="3" t="inlineStr">
        <is>
          <t>MK-XS-F-124</t>
        </is>
      </c>
      <c r="B584" s="3" t="inlineStr">
        <is>
          <t>decodeUtf8</t>
        </is>
      </c>
      <c r="C584" s="3" t="inlineStr">
        <is>
          <t>src/domain/import/holdingsImport.ts</t>
        </is>
      </c>
      <c r="D584" s="3" t="n">
        <v>88</v>
      </c>
      <c r="E584" s="3" t="inlineStr">
        <is>
          <t>3 · DEPENDENT</t>
        </is>
      </c>
      <c r="F584" s="3" t="inlineStr">
        <is>
          <t>NOT DETERMINED — the code carries no note saying what this is for, and it has no row in the old inventory. Needs reading.</t>
        </is>
      </c>
      <c r="G584" s="13" t="inlineStr">
        <is>
          <t>s = ''
c = b[i++]
the answer = s</t>
        </is>
      </c>
      <c r="H584" s="3" t="inlineStr">
        <is>
          <t>S is ''. C is b[i++]. The answer is s.</t>
        </is>
      </c>
      <c r="I584" s="3" t="inlineStr">
        <is>
          <t>READ FROM THE CODE — rendered from the expressions the function runs</t>
        </is>
      </c>
      <c r="J584" s="3" t="inlineStr">
        <is>
          <t>1. b: number[]
2. start = 0</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Y584" s="3" t="inlineStr">
        <is>
          <t>NOTHING OPEN</t>
        </is>
      </c>
    </row>
    <row r="585">
      <c r="A585" s="3" t="inlineStr">
        <is>
          <t>MK-XS-F-125</t>
        </is>
      </c>
      <c r="B585" s="3" t="inlineStr">
        <is>
          <t>decodeUtf16</t>
        </is>
      </c>
      <c r="C585" s="3" t="inlineStr">
        <is>
          <t>src/domain/import/holdingsImport.ts</t>
        </is>
      </c>
      <c r="D585" s="3" t="n">
        <v>118</v>
      </c>
      <c r="E585" s="3" t="inlineStr">
        <is>
          <t>3 · DEPENDENT</t>
        </is>
      </c>
      <c r="F585" s="3" t="inlineStr">
        <is>
          <t>NOT DETERMINED — the code carries no note saying what this is for, and it has no row in the old inventory. Needs reading.</t>
        </is>
      </c>
      <c r="G585" s="13" t="inlineStr">
        <is>
          <t>s = ''
[LOOP — the answer is found inside a loop the extractor cannot render; the steps above are the ones before it. Read by hand.]</t>
        </is>
      </c>
      <c r="H585" s="3" t="inlineStr">
        <is>
          <t>S is ''. The answer is s. The answer is found inside a loop that cannot be rendered here; read the code by hand.</t>
        </is>
      </c>
      <c r="I585" s="3" t="inlineStr">
        <is>
          <t>PARTLY READ — the body has a loop the extractor cannot render; the steps shown are the ones before it. Needs a hand pass (G23).</t>
        </is>
      </c>
      <c r="J585" s="3" t="inlineStr">
        <is>
          <t>1. b: number[]
2. start: number
3. le: boolean</t>
        </is>
      </c>
      <c r="K585" s="3" t="inlineStr">
        <is>
          <t>string</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2026-09-08</t>
        </is>
      </c>
      <c r="Y585" s="3" t="inlineStr">
        <is>
          <t>NOTHING OPEN</t>
        </is>
      </c>
    </row>
    <row r="586">
      <c r="A586" s="3" t="inlineStr">
        <is>
          <t>MK-XS-F-126</t>
        </is>
      </c>
      <c r="B586" s="3" t="inlineStr">
        <is>
          <t>findCol</t>
        </is>
      </c>
      <c r="C586" s="3" t="inlineStr">
        <is>
          <t>src/domain/import/holdingsImport.ts</t>
        </is>
      </c>
      <c r="D586" s="3" t="n">
        <v>258</v>
      </c>
      <c r="E586" s="3" t="inlineStr">
        <is>
          <t>3 · DEPENDENT</t>
        </is>
      </c>
      <c r="F586" s="3" t="inlineStr">
        <is>
          <t>NOT DETERMINED — the code carries no note saying what this is for, and it has no row in the old inventory. Needs reading.</t>
        </is>
      </c>
      <c r="G586" s="13" t="inlineStr">
        <is>
          <t>i = headers.find index((h) =&gt; re.test(h))
i   when i ≥ 0
[LOOP — the answer is found inside a loop the extractor cannot render; the steps above are the ones before it. Read by hand.]</t>
        </is>
      </c>
      <c r="H586" s="3" t="inlineStr">
        <is>
          <t>I is headers.find index((h) =&gt; re.test(h)). When i is at least 0, it answers i. The answer is -1. The answer is found inside a loop that cannot be rendered here; read the code by hand.</t>
        </is>
      </c>
      <c r="I586" s="3" t="inlineStr">
        <is>
          <t>PARTLY READ — the body has a loop the extractor cannot render; the steps shown are the ones before it. Needs a hand pass (G23).</t>
        </is>
      </c>
      <c r="J586" s="3" t="inlineStr">
        <is>
          <t>1. headers: string[]
2. patterns: RegExp[]</t>
        </is>
      </c>
      <c r="K586" s="3" t="inlineStr">
        <is>
          <t>number</t>
        </is>
      </c>
      <c r="L586" s="3" t="inlineStr">
        <is>
          <t>—</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2026-09-08</t>
        </is>
      </c>
      <c r="Y586" s="3" t="inlineStr">
        <is>
          <t>NOTHING OPEN</t>
        </is>
      </c>
    </row>
    <row r="587">
      <c r="A587" s="3" t="inlineStr">
        <is>
          <t>MK-XS-F-127</t>
        </is>
      </c>
      <c r="B587" s="3" t="inlineStr">
        <is>
          <t>toIsoDate</t>
        </is>
      </c>
      <c r="C587" s="3" t="inlineStr">
        <is>
          <t>src/domain/import/holdingsImport.ts</t>
        </is>
      </c>
      <c r="D587" s="3" t="n">
        <v>290</v>
      </c>
      <c r="E587" s="3" t="inlineStr">
        <is>
          <t>3 · DEPENDENT</t>
        </is>
      </c>
      <c r="F587" s="3" t="inlineStr">
        <is>
          <t>Normalise a date cell to 'YYYY-MM-DD', or undefined if it isn't a usable date.</t>
        </is>
      </c>
      <c r="G587" s="13" t="inlineStr">
        <is>
          <t>t = (v ?? '').trim()
undefined   when t is missing
m = match( ÷ ^(\d{4})[- ÷ ](\d{1,2})[- ÷ ](\d{1,2})$ ÷ )
`${m[1]}-${m[2].pad start(2, '0')}-${m[3].pad start(2, '0')}`   when m
`${m[3]}-${m[1].pad start(2, '0')}-${m[2].pad start(2, '0')}`   when m
the answer = undefined</t>
        </is>
      </c>
      <c r="H587" s="3" t="inlineStr">
        <is>
          <t>T is (v ?? '').trim(). When t is missing, it answers undefined. M is match( divided by ^(\d{4})[- divided by ](\d{1,2})[- divided by ](\d{1,2})$ divided by ). When m, it answers `${m[1]}-${m[2].pad start(2, '0')}-${m[3].pad start(2, '0')}`. When m, it answers `${m[3]}-${m[1].pad start(2, '0')}-${m[2].pad start(2, '0')}`. The answer is undefined.</t>
        </is>
      </c>
      <c r="I587" s="3" t="inlineStr">
        <is>
          <t>PARTLY READ — some of the code is still showing through; needs a hand pass</t>
        </is>
      </c>
      <c r="J587" s="3" t="inlineStr">
        <is>
          <t>v: string</t>
        </is>
      </c>
      <c r="K587" s="3" t="inlineStr">
        <is>
          <t>string | undefined</t>
        </is>
      </c>
      <c r="L587" s="3" t="inlineStr">
        <is>
          <t>—</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Y587" s="3" t="inlineStr">
        <is>
          <t>NOTHING OPEN</t>
        </is>
      </c>
    </row>
    <row r="588">
      <c r="A588" s="3" t="inlineStr">
        <is>
          <t>MK-XS-F-128</t>
        </is>
      </c>
      <c r="B588" s="3" t="inlineStr">
        <is>
          <t>cleanTicker</t>
        </is>
      </c>
      <c r="C588" s="3" t="inlineStr">
        <is>
          <t>src/domain/import/holdingsImport.ts</t>
        </is>
      </c>
      <c r="D588" s="3" t="n">
        <v>323</v>
      </c>
      <c r="E588" s="3" t="inlineStr">
        <is>
          <t>3 · DEPENDENT</t>
        </is>
      </c>
      <c r="F588" s="3" t="inlineStr">
        <is>
          <t>A plausible tradeable ticker: 1–10 chars, letters/digits/.-, at least one letter, no spaces.</t>
        </is>
      </c>
      <c r="G588" s="13"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588"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588" s="3" t="inlineStr">
        <is>
          <t>PARTLY READ — some of the code is still showing through; needs a hand pass</t>
        </is>
      </c>
      <c r="J588" s="3" t="inlineStr">
        <is>
          <t>v: string</t>
        </is>
      </c>
      <c r="K588" s="3" t="inlineStr">
        <is>
          <t>string | null</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Y588" s="3" t="inlineStr">
        <is>
          <t>NOTHING OPEN</t>
        </is>
      </c>
    </row>
    <row r="589">
      <c r="A589" s="3" t="inlineStr">
        <is>
          <t>MK-XS-F-129</t>
        </is>
      </c>
      <c r="B589" s="3" t="inlineStr">
        <is>
          <t>findHeaderRow</t>
        </is>
      </c>
      <c r="C589" s="3" t="inlineStr">
        <is>
          <t>src/domain/import/holdingsImport.ts</t>
        </is>
      </c>
      <c r="D589" s="3" t="n">
        <v>381</v>
      </c>
      <c r="E589" s="3" t="inlineStr">
        <is>
          <t>3 · DEPENDENT</t>
        </is>
      </c>
      <c r="F589" s="3" t="inlineStr">
        <is>
          <t>Find the real positions header — the first row that has BOTH a symbol/ticker AND a quantity/shares column (skips brokerage preambles like "Account Summary" and filter headers).</t>
        </is>
      </c>
      <c r="G589" s="13"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589"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589" s="3" t="inlineStr">
        <is>
          <t>PARTLY READ — the body has a loop the extractor cannot render; the steps shown are the ones before it. Needs a hand pass (G23).</t>
        </is>
      </c>
      <c r="J589" s="3" t="inlineStr">
        <is>
          <t>rows: string[][]</t>
        </is>
      </c>
      <c r="K589" s="3" t="inlineStr">
        <is>
          <t>number</t>
        </is>
      </c>
      <c r="L589" s="3" t="inlineStr">
        <is>
          <t>—</t>
        </is>
      </c>
      <c r="M589" s="3" t="inlineStr">
        <is>
          <t>None found in this function — anything it assumes comes from the functions it depends on.</t>
        </is>
      </c>
      <c r="N589" s="3" t="inlineStr">
        <is>
          <t>Yes</t>
        </is>
      </c>
      <c r="O589" s="3" t="inlineStr">
        <is>
          <t>MK-CF-F-132 map</t>
        </is>
      </c>
      <c r="P589" s="3" t="n">
        <v>1</v>
      </c>
      <c r="Q589" s="3" t="inlineStr">
        <is>
          <t>MK-CF-F-132 map</t>
        </is>
      </c>
      <c r="R589" s="3" t="inlineStr">
        <is>
          <t>MK-CF-F-132 map → MK-XS-F-129 findHeaderRow</t>
        </is>
      </c>
      <c r="S589" s="3" t="inlineStr">
        <is>
          <t>—</t>
        </is>
      </c>
      <c r="T589" s="3" t="inlineStr">
        <is>
          <t>—</t>
        </is>
      </c>
      <c r="U589" s="3" t="inlineStr">
        <is>
          <t>ACTIVE</t>
        </is>
      </c>
      <c r="V589" s="3" t="inlineStr">
        <is>
          <t>2026-09-08</t>
        </is>
      </c>
      <c r="Y589" s="3" t="inlineStr">
        <is>
          <t>NOTHING OPEN</t>
        </is>
      </c>
    </row>
    <row r="590">
      <c r="A590" s="3" t="inlineStr">
        <is>
          <t>MK-XS-F-130</t>
        </is>
      </c>
      <c r="B590" s="3" t="inlineStr">
        <is>
          <t>normInst</t>
        </is>
      </c>
      <c r="C590" s="3" t="inlineStr">
        <is>
          <t>src/domain/import/holdingsImport.ts</t>
        </is>
      </c>
      <c r="D590" s="3" t="n">
        <v>512</v>
      </c>
      <c r="E590" s="3" t="inlineStr">
        <is>
          <t>1 · ACTION</t>
        </is>
      </c>
      <c r="F590" s="3" t="inlineStr">
        <is>
          <t>NOT DETERMINED — the code carries no note saying what this is for, and it has no row in the old inventory. Needs reading.</t>
        </is>
      </c>
      <c r="G590" s="13" t="inlineStr">
        <is>
          <t>(s ?? '').trim().to lower case().replace( ÷ [^a − z0 − 9] ÷ g, '')</t>
        </is>
      </c>
      <c r="H590" s="3" t="inlineStr">
        <is>
          <t>(s ?? '').trim().to lower case().replace( divided by [^a minus z0 minus 9] divided by g, '')</t>
        </is>
      </c>
      <c r="I590" s="3" t="inlineStr">
        <is>
          <t>PARTLY READ — some of the code is still showing through; needs a hand pass</t>
        </is>
      </c>
      <c r="J590" s="3" t="inlineStr">
        <is>
          <t>s?: string</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Y590" s="3" t="inlineStr">
        <is>
          <t>NOTHING OPEN</t>
        </is>
      </c>
    </row>
    <row r="591">
      <c r="A591" s="3" t="inlineStr">
        <is>
          <t>MK-XS-F-131</t>
        </is>
      </c>
      <c r="B591" s="3" t="inlineStr">
        <is>
          <t>toInt</t>
        </is>
      </c>
      <c r="C591" s="3" t="inlineStr">
        <is>
          <t>src/domain/profile/onboarding.ts</t>
        </is>
      </c>
      <c r="D591" s="3" t="n">
        <v>28</v>
      </c>
      <c r="E591" s="3" t="inlineStr">
        <is>
          <t>3 · DEPENDENT</t>
        </is>
      </c>
      <c r="F591" s="3" t="inlineStr">
        <is>
          <t>NOT DETERMINED — the code carries no note saying what this is for, and it has no row in the old inventory. Needs reading.</t>
        </is>
      </c>
      <c r="G591" s="13" t="inlineStr">
        <is>
          <t>n = parse int(string(v ?? '').replace( ÷ [^0 − 9] ÷ g, ''), 10)
the answer:
n   if number.is finite(n)
nothing   otherwise</t>
        </is>
      </c>
      <c r="H591" s="3" t="inlineStr">
        <is>
          <t>N is parse int(string(v ?? '').replace( divided by [^0 minus 9] divided by g, ''), 10). The answer is n — when number.is finite(n); no answer — otherwise.</t>
        </is>
      </c>
      <c r="I591" s="3" t="inlineStr">
        <is>
          <t>PARTLY READ — some of the code is still showing through; needs a hand pass</t>
        </is>
      </c>
      <c r="J591" s="3" t="inlineStr">
        <is>
          <t>v: any</t>
        </is>
      </c>
      <c r="K591" s="3" t="inlineStr">
        <is>
          <t>number | null</t>
        </is>
      </c>
      <c r="L591" s="3" t="inlineStr">
        <is>
          <t>—</t>
        </is>
      </c>
      <c r="M591" s="3" t="inlineStr">
        <is>
          <t>None found in this function — anything it assumes comes from the functions it depends on.</t>
        </is>
      </c>
      <c r="N591" s="3" t="inlineStr">
        <is>
          <t>Yes</t>
        </is>
      </c>
      <c r="O591" s="3" t="inlineStr">
        <is>
          <t>MK-XS-F-122 n</t>
        </is>
      </c>
      <c r="P591" s="3" t="n">
        <v>1</v>
      </c>
      <c r="Q591" s="3" t="inlineStr">
        <is>
          <t>MK-XS-F-122 n</t>
        </is>
      </c>
      <c r="R591" s="3" t="inlineStr">
        <is>
          <t>MK-XS-F-122 n → MK-XS-F-131 toInt</t>
        </is>
      </c>
      <c r="S591" s="3" t="inlineStr">
        <is>
          <t>—</t>
        </is>
      </c>
      <c r="T591" s="3" t="inlineStr">
        <is>
          <t>—</t>
        </is>
      </c>
      <c r="U591" s="3" t="inlineStr">
        <is>
          <t>ACTIVE</t>
        </is>
      </c>
      <c r="V591" s="3" t="inlineStr">
        <is>
          <t>2026-08-27</t>
        </is>
      </c>
      <c r="Y591" s="3" t="inlineStr">
        <is>
          <t>NOTHING OPEN</t>
        </is>
      </c>
    </row>
    <row r="592">
      <c r="A592" s="3" t="inlineStr">
        <is>
          <t>MK-XS-F-132</t>
        </is>
      </c>
      <c r="B592" s="3" t="inlineStr">
        <is>
          <t>load</t>
        </is>
      </c>
      <c r="C592" s="3" t="inlineStr">
        <is>
          <t>src/services/appLock.ts</t>
        </is>
      </c>
      <c r="D592" s="3" t="n">
        <v>25</v>
      </c>
      <c r="E592" s="3" t="inlineStr">
        <is>
          <t>3 · DEPENDENT</t>
        </is>
      </c>
      <c r="F592" s="3" t="inlineStr">
        <is>
          <t>NOT DETERMINED — the code carries no note saying what this is for, and it has no row in the old inventory. Needs reading.</t>
        </is>
      </c>
      <c r="G592" s="13" t="inlineStr">
        <is>
          <t>LA   when LA
LA</t>
        </is>
      </c>
      <c r="H592" s="3" t="inlineStr">
        <is>
          <t>When LA, it answers LA. LA.</t>
        </is>
      </c>
      <c r="I592" s="3" t="inlineStr">
        <is>
          <t>READ FROM THE CODE — rendered from the expressions the function runs</t>
        </is>
      </c>
      <c r="J592" s="3" t="inlineStr">
        <is>
          <t>Nothing is handed to it</t>
        </is>
      </c>
      <c r="K592" s="3" t="inlineStr">
        <is>
          <t>any</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Y592" s="3" t="inlineStr">
        <is>
          <t>NOTHING OPEN</t>
        </is>
      </c>
    </row>
    <row r="593">
      <c r="A593" s="3" t="inlineStr">
        <is>
          <t>MK-XS-F-133</t>
        </is>
      </c>
      <c r="B593" s="3" t="inlineStr">
        <is>
          <t>loadSentry</t>
        </is>
      </c>
      <c r="C593" s="3" t="inlineStr">
        <is>
          <t>src/services/crashReporter.ts</t>
        </is>
      </c>
      <c r="D593" s="3" t="n">
        <v>33</v>
      </c>
      <c r="E593" s="3" t="inlineStr">
        <is>
          <t>3 · DEPENDENT</t>
        </is>
      </c>
      <c r="F593" s="3" t="inlineStr">
        <is>
          <t>NOT DETERMINED — the code carries no note saying what this is for, and it has no row in the old inventory. Needs reading.</t>
        </is>
      </c>
      <c r="G593" s="13" t="inlineStr">
        <is>
          <t>the answer = the crash-reporting module, or nothing when it is absent</t>
        </is>
      </c>
      <c r="H593" s="3" t="inlineStr">
        <is>
          <t>Loads the crash reporter if it is installed. Not a calculation.</t>
        </is>
      </c>
      <c r="I593" s="3" t="inlineStr">
        <is>
          <t>READ BY HAND 2026-08-26 — checked line by line against the code</t>
        </is>
      </c>
      <c r="J593" s="3" t="inlineStr">
        <is>
          <t>Nothing is handed to it</t>
        </is>
      </c>
      <c r="K593" s="3" t="inlineStr">
        <is>
          <t>any</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Y593" s="3" t="inlineStr">
        <is>
          <t>NOTHING OPEN</t>
        </is>
      </c>
    </row>
    <row r="594">
      <c r="A594" s="3" t="inlineStr">
        <is>
          <t>MK-XS-F-134</t>
        </is>
      </c>
      <c r="B594" s="3" t="inlineStr">
        <is>
          <t>installGlobalHandler</t>
        </is>
      </c>
      <c r="C594" s="3" t="inlineStr">
        <is>
          <t>src/services/crashReporter.ts</t>
        </is>
      </c>
      <c r="D594" s="3" t="n">
        <v>94</v>
      </c>
      <c r="E594" s="3" t="inlineStr">
        <is>
          <t>1 · ACTION</t>
        </is>
      </c>
      <c r="F594" s="3" t="inlineStr">
        <is>
          <t>NOT DETERMINED — the code carries no note saying what this is for, and it has no row in the old inventory. Needs reading.</t>
        </is>
      </c>
      <c r="G594" s="13" t="inlineStr">
        <is>
          <t>g = global this as any
prev = error utils.get global handler.()</t>
        </is>
      </c>
      <c r="H594" s="3" t="inlineStr">
        <is>
          <t>G is global this as any. Prev is error utils.get global handler.().</t>
        </is>
      </c>
      <c r="I594" s="3" t="inlineStr">
        <is>
          <t>READ FROM THE CODE — rendered from the expressions the function runs</t>
        </is>
      </c>
      <c r="J594" s="3" t="inlineStr">
        <is>
          <t>Nothing is handed to it</t>
        </is>
      </c>
      <c r="K594" s="3" t="inlineStr">
        <is>
          <t>void</t>
        </is>
      </c>
      <c r="L594" s="3" t="inlineStr">
        <is>
          <t>—</t>
        </is>
      </c>
      <c r="M594" s="3" t="inlineStr">
        <is>
          <t>None found in this function — anything it assumes comes from the functions it depends on.</t>
        </is>
      </c>
      <c r="N594" s="3" t="inlineStr">
        <is>
          <t>Yes</t>
        </is>
      </c>
      <c r="O594" s="3" t="inlineStr">
        <is>
          <t>MK-XS-F-037 captureException</t>
        </is>
      </c>
      <c r="P594" s="3" t="n">
        <v>1</v>
      </c>
      <c r="Q594" s="3" t="inlineStr">
        <is>
          <t>MK-XS-F-037 captureException</t>
        </is>
      </c>
      <c r="R594" s="3" t="inlineStr">
        <is>
          <t>MK-XS-F-037 captureException → MK-XS-F-134 installGlobalHandler</t>
        </is>
      </c>
      <c r="S594" s="3" t="inlineStr">
        <is>
          <t>—</t>
        </is>
      </c>
      <c r="T594" s="3" t="inlineStr">
        <is>
          <t>—</t>
        </is>
      </c>
      <c r="U594" s="3" t="inlineStr">
        <is>
          <t>ACTIVE</t>
        </is>
      </c>
      <c r="V594" s="3" t="inlineStr">
        <is>
          <t>2026-08-27</t>
        </is>
      </c>
      <c r="Y594" s="3" t="inlineStr">
        <is>
          <t>NOTHING OPEN</t>
        </is>
      </c>
    </row>
    <row r="595">
      <c r="A595" s="3" t="inlineStr">
        <is>
          <t>MK-XS-F-135</t>
        </is>
      </c>
      <c r="B595" s="3" t="inlineStr">
        <is>
          <t>secureGet</t>
        </is>
      </c>
      <c r="C595" s="3" t="inlineStr">
        <is>
          <t>src/services/dataCrypto.ts</t>
        </is>
      </c>
      <c r="D595" s="3" t="n">
        <v>48</v>
      </c>
      <c r="E595" s="3" t="inlineStr">
        <is>
          <t>4 · BRINGS DATA IN</t>
        </is>
      </c>
      <c r="F595" s="3" t="inlineStr">
        <is>
          <t>NOT DETERMINED — the code carries no note saying what this is for, and it has no row in the old inventory. Needs reading.</t>
        </is>
      </c>
      <c r="G595" s="13" t="inlineStr">
        <is>
          <t>It reaches outside the app for data and hands back what came back — no arithmetic of its own.</t>
        </is>
      </c>
      <c r="H595" s="3" t="inlineStr">
        <is>
          <t>It reaches outside the app for data and hands back what came back — no arithmetic of its own.</t>
        </is>
      </c>
      <c r="I595" s="3" t="inlineStr">
        <is>
          <t>NO ARITHMETIC — there is no formula to state</t>
        </is>
      </c>
      <c r="J595" s="3" t="inlineStr">
        <is>
          <t>name: string</t>
        </is>
      </c>
      <c r="K595" s="3" t="inlineStr">
        <is>
          <t>Promise&lt;string | null&gt;</t>
        </is>
      </c>
      <c r="L595" s="3" t="inlineStr">
        <is>
          <t>—</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Y595" s="3" t="inlineStr">
        <is>
          <t>NOTHING OPEN</t>
        </is>
      </c>
    </row>
    <row r="596">
      <c r="A596" s="3" t="inlineStr">
        <is>
          <t>MK-XS-F-136</t>
        </is>
      </c>
      <c r="B596" s="3" t="inlineStr">
        <is>
          <t>secureSet</t>
        </is>
      </c>
      <c r="C596" s="3" t="inlineStr">
        <is>
          <t>src/services/dataCrypto.ts</t>
        </is>
      </c>
      <c r="D596" s="3" t="n">
        <v>72</v>
      </c>
      <c r="E596" s="3" t="inlineStr">
        <is>
          <t>1 · ACTION</t>
        </is>
      </c>
      <c r="F596" s="3" t="inlineStr">
        <is>
          <t>NOT DETERMINED — the code carries no note saying what this is for, and it has no row in the old inventory. Needs reading.</t>
        </is>
      </c>
      <c r="G596" s="13" t="inlineStr">
        <is>
          <t>It reaches outside the app for data and hands back what came back — no arithmetic of its own.</t>
        </is>
      </c>
      <c r="H596" s="3" t="inlineStr">
        <is>
          <t>It reaches outside the app for data and hands back what came back — no arithmetic of its own.</t>
        </is>
      </c>
      <c r="I596" s="3" t="inlineStr">
        <is>
          <t>NO ARITHMETIC — there is no formula to state</t>
        </is>
      </c>
      <c r="J596" s="3" t="inlineStr">
        <is>
          <t>1. name: string
2. value: string</t>
        </is>
      </c>
      <c r="K596" s="3" t="inlineStr">
        <is>
          <t>Promise&lt;void&gt;</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Y596" s="3" t="inlineStr">
        <is>
          <t>NOTHING OPEN</t>
        </is>
      </c>
    </row>
    <row r="597">
      <c r="A597" s="3" t="inlineStr">
        <is>
          <t>MK-XS-F-137</t>
        </is>
      </c>
      <c r="B597" s="3" t="inlineStr">
        <is>
          <t>secureDelete</t>
        </is>
      </c>
      <c r="C597" s="3" t="inlineStr">
        <is>
          <t>src/services/dataCrypto.ts</t>
        </is>
      </c>
      <c r="D597" s="3" t="n">
        <v>95</v>
      </c>
      <c r="E597" s="3" t="inlineStr">
        <is>
          <t>1 · ACTION</t>
        </is>
      </c>
      <c r="F597" s="3" t="inlineStr">
        <is>
          <t>NOT DETERMINED — the code carries no note saying what this is for, and it has no row in the old inventory. Needs reading.</t>
        </is>
      </c>
      <c r="G597" s="13" t="inlineStr">
        <is>
          <t>It reaches outside the app for data and hands back what came back — no arithmetic of its own.</t>
        </is>
      </c>
      <c r="H597" s="3" t="inlineStr">
        <is>
          <t>It reaches outside the app for data and hands back what came back — no arithmetic of its own.</t>
        </is>
      </c>
      <c r="I597" s="3" t="inlineStr">
        <is>
          <t>NO ARITHMETIC — there is no formula to state</t>
        </is>
      </c>
      <c r="J597" s="3" t="inlineStr">
        <is>
          <t>name: string</t>
        </is>
      </c>
      <c r="K597" s="3" t="inlineStr">
        <is>
          <t>Promise&lt;void&gt;</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Y597" s="3" t="inlineStr">
        <is>
          <t>NOTHING OPEN</t>
        </is>
      </c>
    </row>
    <row r="598">
      <c r="A598" s="3" t="inlineStr">
        <is>
          <t>MK-XS-F-138</t>
        </is>
      </c>
      <c r="B598" s="3" t="inlineStr">
        <is>
          <t>deriveKeyFromSecret</t>
        </is>
      </c>
      <c r="C598" s="3" t="inlineStr">
        <is>
          <t>src/services/dataCrypto.ts</t>
        </is>
      </c>
      <c r="D598" s="3" t="n">
        <v>262</v>
      </c>
      <c r="E598" s="3" t="inlineStr">
        <is>
          <t>3 · DEPENDENT</t>
        </is>
      </c>
      <c r="F598" s="3" t="inlineStr">
        <is>
          <t>── Wrapping (lock/unlock the DEK with a password or recovery code) ───</t>
        </is>
      </c>
      <c r="G598" s="13" t="inlineStr">
        <is>
          <t>crypto js.PBKDF2(secret.trim(), uid, { key size: 256 ÷ 32, iterations: PBKDF2_ITERS }).to string(crypto js.enc.hex)</t>
        </is>
      </c>
      <c r="H598" s="3" t="inlineStr">
        <is>
          <t>crypto js.PBKDF2(secret.trim(), uid, { key size: 256 divided by 32, iterations: PBKDF2_ITERS }).to string(crypto js.enc.hex).</t>
        </is>
      </c>
      <c r="I598" s="3" t="inlineStr">
        <is>
          <t>PARTLY READ — some of the code is still showing through; needs a hand pass</t>
        </is>
      </c>
      <c r="J598" s="3" t="inlineStr">
        <is>
          <t>1. secret: string
2. uid: string</t>
        </is>
      </c>
      <c r="K598" s="3" t="inlineStr">
        <is>
          <t>string</t>
        </is>
      </c>
      <c r="L598" s="3" t="inlineStr">
        <is>
          <t>—</t>
        </is>
      </c>
      <c r="M598" s="3" t="inlineStr">
        <is>
          <t>None found in this function — anything it assumes comes from the functions it depends on.</t>
        </is>
      </c>
      <c r="N598" s="3" t="inlineStr">
        <is>
          <t>Yes</t>
        </is>
      </c>
      <c r="O598" s="3" t="inlineStr">
        <is>
          <t>MK-XS-F-175 uid</t>
        </is>
      </c>
      <c r="P598" s="3" t="n">
        <v>80</v>
      </c>
      <c r="Q59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98"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598" s="3" t="inlineStr">
        <is>
          <t>—</t>
        </is>
      </c>
      <c r="T598" s="3" t="inlineStr">
        <is>
          <t>—</t>
        </is>
      </c>
      <c r="U598" s="3" t="inlineStr">
        <is>
          <t>ACTIVE</t>
        </is>
      </c>
      <c r="V598" s="3" t="inlineStr">
        <is>
          <t>2026-08-27</t>
        </is>
      </c>
      <c r="Y598" s="3" t="inlineStr">
        <is>
          <t>NOTHING OPEN</t>
        </is>
      </c>
    </row>
    <row r="599">
      <c r="A599" s="3" t="inlineStr">
        <is>
          <t>MK-XS-F-139</t>
        </is>
      </c>
      <c r="B599" s="3" t="inlineStr">
        <is>
          <t>wrapWithSecret</t>
        </is>
      </c>
      <c r="C599" s="3" t="inlineStr">
        <is>
          <t>src/services/dataCrypto.ts</t>
        </is>
      </c>
      <c r="D599" s="3" t="n">
        <v>287</v>
      </c>
      <c r="E599" s="3" t="inlineStr">
        <is>
          <t>3 · DEPENDENT</t>
        </is>
      </c>
      <c r="F599" s="3" t="inlineStr">
        <is>
          <t>NOT DETERMINED — the code carries no note saying what this is for, and it has no row in the old inventory. Needs reading.</t>
        </is>
      </c>
      <c r="G599" s="13" t="inlineStr">
        <is>
          <t>encrypt with key(dek, derive key from secret(secret, uid))</t>
        </is>
      </c>
      <c r="H599" s="3" t="inlineStr">
        <is>
          <t>encrypt with key(dek, derive key from secret(secret, uid)).</t>
        </is>
      </c>
      <c r="I599" s="3" t="inlineStr">
        <is>
          <t>READ FROM THE CODE — rendered from the expressions the function runs</t>
        </is>
      </c>
      <c r="J599" s="3" t="inlineStr">
        <is>
          <t>1. dek: string
2. uid: string
3. secret: string</t>
        </is>
      </c>
      <c r="K599" s="3" t="inlineStr">
        <is>
          <t>string</t>
        </is>
      </c>
      <c r="L599" s="3" t="inlineStr">
        <is>
          <t>—</t>
        </is>
      </c>
      <c r="M599" s="3" t="inlineStr">
        <is>
          <t>None found in this function — anything it assumes comes from the functions it depends on.</t>
        </is>
      </c>
      <c r="N599" s="3" t="inlineStr">
        <is>
          <t>Yes</t>
        </is>
      </c>
      <c r="O599" s="3" t="inlineStr">
        <is>
          <t>1. MK-XS-F-138 deriveKeyFromSecret
2. MK-XS-F-052 encryptWithKey
3. MK-XS-F-175 uid</t>
        </is>
      </c>
      <c r="P599" s="3" t="n">
        <v>82</v>
      </c>
      <c r="Q599"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99"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599" s="3" t="inlineStr">
        <is>
          <t>—</t>
        </is>
      </c>
      <c r="T599" s="3" t="inlineStr">
        <is>
          <t>—</t>
        </is>
      </c>
      <c r="U599" s="3" t="inlineStr">
        <is>
          <t>ACTIVE</t>
        </is>
      </c>
      <c r="V599" s="3" t="inlineStr">
        <is>
          <t>2026-08-27</t>
        </is>
      </c>
      <c r="Y599" s="3" t="inlineStr">
        <is>
          <t>NOTHING OPEN</t>
        </is>
      </c>
    </row>
    <row r="600">
      <c r="A600" s="3" t="inlineStr">
        <is>
          <t>MK-XS-F-140</t>
        </is>
      </c>
      <c r="B600" s="3" t="inlineStr">
        <is>
          <t>fetchInflation</t>
        </is>
      </c>
      <c r="C600" s="3" t="inlineStr">
        <is>
          <t>src/services/economicData.ts</t>
        </is>
      </c>
      <c r="D600" s="3" t="n">
        <v>111</v>
      </c>
      <c r="E600" s="3" t="inlineStr">
        <is>
          <t>4 · BRINGS DATA IN</t>
        </is>
      </c>
      <c r="F600" s="3" t="inlineStr">
        <is>
          <t>NOT DETERMINED — the code carries no note saying what this is for, and it has no row in the old inventory. Needs reading.</t>
        </is>
      </c>
      <c r="G600" s="13" t="inlineStr">
        <is>
          <t>res = await fetch(BLS_API + BLS_CPI_SERIES)
json = await res.json()
series = json.results.series.[0].data
latest = parse float(series[0].value)
year ago = parse float(series[12].value)
rate = ((latest − year ago) ÷ year ago) × 100
the answer = round(rate, 2 dp)</t>
        </is>
      </c>
      <c r="H600"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00" s="3" t="inlineStr">
        <is>
          <t>PARTLY READ — some of the code is still showing through; needs a hand pass</t>
        </is>
      </c>
      <c r="J600" s="3" t="inlineStr">
        <is>
          <t>Nothing is handed to it</t>
        </is>
      </c>
      <c r="K600" s="3" t="inlineStr">
        <is>
          <t>Promise&lt;number&gt;</t>
        </is>
      </c>
      <c r="L600" s="3" t="inlineStr">
        <is>
          <t>—</t>
        </is>
      </c>
      <c r="M600" s="3" t="inlineStr">
        <is>
          <t>· Rounds the answer to two decimals (cents).</t>
        </is>
      </c>
      <c r="N600" s="3" t="inlineStr">
        <is>
          <t>No</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Y600" s="3" t="inlineStr">
        <is>
          <t>NOTHING OPEN</t>
        </is>
      </c>
    </row>
    <row r="601">
      <c r="A601" s="3" t="inlineStr">
        <is>
          <t>MK-XS-F-141</t>
        </is>
      </c>
      <c r="B601" s="3" t="inlineStr">
        <is>
          <t>fetchTreasuryYield</t>
        </is>
      </c>
      <c r="C601" s="3" t="inlineStr">
        <is>
          <t>src/services/economicData.ts</t>
        </is>
      </c>
      <c r="D601" s="3" t="n">
        <v>153</v>
      </c>
      <c r="E601" s="3" t="inlineStr">
        <is>
          <t>4 · BRINGS DATA IN</t>
        </is>
      </c>
      <c r="F601" s="3" t="inlineStr">
        <is>
          <t>NOT DETERMINED — the code carries no note saying what this is for, and it has no row in the old inventory. Needs reading.</t>
        </is>
      </c>
      <c r="G601" s="13" t="inlineStr">
        <is>
          <t>res = await fetch(TREASURY_API)
csv = await res.text()
rows = csv.trim().split('\n').slice(1)
value = rows[i].split(',')[1].trim()
rate = parse float(value)
[LOOP — the answer is found inside a loop the extractor cannot render; the steps above are the ones before it. Read by hand.]</t>
        </is>
      </c>
      <c r="H601" s="3" t="inlineStr">
        <is>
          <t>Res is await fetch(TREASURY_API). Csv is await res.text(). Rows is csv.trim().split('\n').slice(1). Value is rows[i].split(',')[1].trim(). Rate is parse float(value). The answer is rate, to the cent. The answer is found inside a loop that cannot be rendered here; read the code by hand.</t>
        </is>
      </c>
      <c r="I601" s="3" t="inlineStr">
        <is>
          <t>PARTLY READ — the body has a loop the extractor cannot render; the steps shown are the ones before it. Needs a hand pass (G23).</t>
        </is>
      </c>
      <c r="J601" s="3" t="inlineStr">
        <is>
          <t>Nothing is handed to it</t>
        </is>
      </c>
      <c r="K601" s="3" t="inlineStr">
        <is>
          <t>Promise&lt;number&gt;</t>
        </is>
      </c>
      <c r="L601" s="3" t="inlineStr">
        <is>
          <t>—</t>
        </is>
      </c>
      <c r="M601" s="3" t="inlineStr">
        <is>
          <t>· Rounds the answer to two decimals (cents).</t>
        </is>
      </c>
      <c r="N601" s="3" t="inlineStr">
        <is>
          <t>No</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2026-09-08</t>
        </is>
      </c>
      <c r="Y601" s="3" t="inlineStr">
        <is>
          <t>NOTHING OPEN</t>
        </is>
      </c>
    </row>
    <row r="602">
      <c r="A602" s="3" t="inlineStr">
        <is>
          <t>MK-XS-F-142</t>
        </is>
      </c>
      <c r="B602" s="3" t="inlineStr">
        <is>
          <t>makeInviteCode</t>
        </is>
      </c>
      <c r="C602" s="3" t="inlineStr">
        <is>
          <t>src/services/firebase.ts</t>
        </is>
      </c>
      <c r="D602" s="3" t="n">
        <v>535</v>
      </c>
      <c r="E602" s="3" t="inlineStr">
        <is>
          <t>3 · DEPENDENT</t>
        </is>
      </c>
      <c r="F602" s="3" t="inlineStr">
        <is>
          <t>── Household / spouse invites ───────────────────────────────────── Spouses share ONE data document: all reads/writes go to users/{householdId} where householdId = the inviter's uid.</t>
        </is>
      </c>
      <c r="G602" s="13" t="inlineStr">
        <is>
          <t>alphabet = 'ABCDEFGHJKMNPQRSTUVWXYZ23456789'
the answer = array.from({ length: 6 }, () =&gt; ALPHABET[math.floor(math.random() × ALPHABET.length)]).join('')</t>
        </is>
      </c>
      <c r="H602" s="3" t="inlineStr">
        <is>
          <t>Alphabet is 'ABCDEFGHJKMNPQRSTUVWXYZ23456789'. The answer is array.from({ length: 6 }, () =&gt; ALPHABET[math.floor(math.random() times ALPHABET.length)]).join('').</t>
        </is>
      </c>
      <c r="I602" s="3" t="inlineStr">
        <is>
          <t>PARTLY READ — some of the code is still showing through; needs a hand pass</t>
        </is>
      </c>
      <c r="J602" s="3" t="inlineStr">
        <is>
          <t>Nothing is handed to it</t>
        </is>
      </c>
      <c r="K602" s="3" t="inlineStr">
        <is>
          <t>string</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Y602" s="3" t="inlineStr">
        <is>
          <t>NOTHING OPEN</t>
        </is>
      </c>
    </row>
    <row r="603">
      <c r="A603" s="3" t="inlineStr">
        <is>
          <t>MK-XS-F-143</t>
        </is>
      </c>
      <c r="B603" s="3" t="inlineStr">
        <is>
          <t>yahooSymbol</t>
        </is>
      </c>
      <c r="C603" s="3" t="inlineStr">
        <is>
          <t>src/services/marketData.ts</t>
        </is>
      </c>
      <c r="D603" s="3" t="n">
        <v>40</v>
      </c>
      <c r="E603" s="3" t="inlineStr">
        <is>
          <t>4 · BRINGS DATA IN</t>
        </is>
      </c>
      <c r="F603" s="3" t="inlineStr">
        <is>
          <t>Map a plain ticker to the provider's symbol convention (crypto needs the -USD pair on Yahoo).</t>
        </is>
      </c>
      <c r="G603" s="13"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03"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03" s="3" t="inlineStr">
        <is>
          <t>PARTLY READ — some of the code is still showing through; needs a hand pass</t>
        </is>
      </c>
      <c r="J603" s="3" t="inlineStr">
        <is>
          <t>ticker: string</t>
        </is>
      </c>
      <c r="K603" s="3" t="inlineStr">
        <is>
          <t>string</t>
        </is>
      </c>
      <c r="L603" s="3" t="inlineStr">
        <is>
          <t>—</t>
        </is>
      </c>
      <c r="M603" s="3" t="inlineStr">
        <is>
          <t>None found in this function — anything it assumes comes from the functions it depends on.</t>
        </is>
      </c>
      <c r="N603" s="3" t="inlineStr">
        <is>
          <t>No</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t="inlineStr">
        <is>
          <t>[from MK-NW-M-029, Formula (mathematical)] Is the formula embedded directly in the code and not as a separate function? Live price was to be sourced from Yahoo or similar engine.</t>
        </is>
      </c>
      <c r="X603" s="6" t="inlineStr">
        <is>
          <t>This is the feed: Yahoo Finance daily closes, free, no key. 'Current price' on the holding screen = the last close of this series, picked on the screen (no named function). Answer in full on MK-NW-M-029.</t>
        </is>
      </c>
      <c r="Y603" s="6" t="inlineStr">
        <is>
          <t>WAITING ON YOU — answer to read</t>
        </is>
      </c>
    </row>
    <row r="604">
      <c r="A604" s="3" t="inlineStr">
        <is>
          <t>MK-XS-F-144</t>
        </is>
      </c>
      <c r="B604" s="3" t="inlineStr">
        <is>
          <t>guessCategory</t>
        </is>
      </c>
      <c r="C604" s="3" t="inlineStr">
        <is>
          <t>src/services/receiptOCR.ts</t>
        </is>
      </c>
      <c r="D604" s="3" t="n">
        <v>287</v>
      </c>
      <c r="E604" s="3" t="inlineStr">
        <is>
          <t>3 · DEPENDENT (feeds an action only)</t>
        </is>
      </c>
      <c r="F604" s="3" t="inlineStr">
        <is>
          <t>NOT DETERMINED — the code carries no note saying what this is for, and it has no row in the old inventory. Needs reading.</t>
        </is>
      </c>
      <c r="G604" s="13"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04"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04" s="3" t="inlineStr">
        <is>
          <t>PARTLY READ — some of the code is still showing through; needs a hand pass</t>
        </is>
      </c>
      <c r="J604" s="3" t="inlineStr">
        <is>
          <t>1. store: string
2. text: string</t>
        </is>
      </c>
      <c r="K604" s="3" t="inlineStr">
        <is>
          <t>string</t>
        </is>
      </c>
      <c r="L604" s="3" t="inlineStr">
        <is>
          <t>—</t>
        </is>
      </c>
      <c r="M604" s="3" t="inlineStr">
        <is>
          <t>None found in this function — anything it assumes comes from the functions it depends on.</t>
        </is>
      </c>
      <c r="N604" s="3" t="inlineStr">
        <is>
          <t>No</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Y604" s="3" t="inlineStr">
        <is>
          <t>NOTHING OPEN</t>
        </is>
      </c>
    </row>
    <row r="605">
      <c r="A605" s="3" t="inlineStr">
        <is>
          <t>MK-XS-F-145</t>
        </is>
      </c>
      <c r="B605" s="3" t="inlineStr">
        <is>
          <t>flatSymbol</t>
        </is>
      </c>
      <c r="C605" s="3" t="inlineStr">
        <is>
          <t>src/services/sync/snaptrade.ts</t>
        </is>
      </c>
      <c r="D605" s="3" t="n">
        <v>170</v>
      </c>
      <c r="E605" s="3" t="inlineStr">
        <is>
          <t>3 · DEPENDENT (feeds an action only)</t>
        </is>
      </c>
      <c r="F605" s="3" t="inlineStr">
        <is>
          <t>── positions → our holdings ───────────────────────────────────────────────────────────────────</t>
        </is>
      </c>
      <c r="G605" s="13" t="inlineStr">
        <is>
          <t>s = symbol
nothing   when s is missing
the answer:
symbol   if symbol and typeof symbol = 'object'
s   otherwise</t>
        </is>
      </c>
      <c r="H605" s="3" t="inlineStr">
        <is>
          <t>S is symbol. When s is missing, it answers no answer. The answer is symbol — when symbol and typeof symbol = 'object'; s — otherwise.</t>
        </is>
      </c>
      <c r="I605" s="3" t="inlineStr">
        <is>
          <t>PARTLY READ — some of the code is still showing through; needs a hand pass</t>
        </is>
      </c>
      <c r="J605" s="3" t="inlineStr">
        <is>
          <t>p: StPosition</t>
        </is>
      </c>
      <c r="K605" s="3" t="inlineStr">
        <is>
          <t>StSymbol | null</t>
        </is>
      </c>
      <c r="L605" s="3" t="inlineStr">
        <is>
          <t>—</t>
        </is>
      </c>
      <c r="M605" s="3" t="inlineStr">
        <is>
          <t>None found in this function — anything it assumes comes from the functions it depends on.</t>
        </is>
      </c>
      <c r="N605" s="3" t="inlineStr">
        <is>
          <t>No</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Y605" s="3" t="inlineStr">
        <is>
          <t>NOTHING OPEN</t>
        </is>
      </c>
    </row>
    <row r="606">
      <c r="A606" s="3" t="inlineStr">
        <is>
          <t>MK-XS-F-146</t>
        </is>
      </c>
      <c r="B606" s="3" t="inlineStr">
        <is>
          <t>prettyExpiry</t>
        </is>
      </c>
      <c r="C606" s="3" t="inlineStr">
        <is>
          <t>src/services/sync/snaptrade.ts</t>
        </is>
      </c>
      <c r="D606" s="3" t="n">
        <v>272</v>
      </c>
      <c r="E606" s="3" t="inlineStr">
        <is>
          <t>3 · DEPENDENT (feeds an action only)</t>
        </is>
      </c>
      <c r="F606" s="3" t="inlineStr">
        <is>
          <t>NOT DETERMINED — the code carries no note saying what this is for, and it has no row in the old inventory. Needs reading.</t>
        </is>
      </c>
      <c r="G606" s="13" t="inlineStr">
        <is>
          <t>`${MONTHS[m − 1]} ${d} ${y}`   if y and m and d
'unknown expiry'   otherwise</t>
        </is>
      </c>
      <c r="H606" s="3" t="inlineStr">
        <is>
          <t>`${MONTHS[m minus 1]} ${d} ${y}` — when y and m and d; 'unknown expiry' — otherwise.</t>
        </is>
      </c>
      <c r="I606" s="3" t="inlineStr">
        <is>
          <t>PARTLY READ — some of the code is still showing through; needs a hand pass</t>
        </is>
      </c>
      <c r="J606" s="3" t="inlineStr">
        <is>
          <t>iso: string | null | undefined</t>
        </is>
      </c>
      <c r="K606" s="3" t="inlineStr">
        <is>
          <t>NOT DECLARED — the code does not say what it gives back</t>
        </is>
      </c>
      <c r="L606" s="3" t="inlineStr">
        <is>
          <t>—</t>
        </is>
      </c>
      <c r="M606" s="3" t="inlineStr">
        <is>
          <t>None found in this function — anything it assumes comes from the functions it depends on.</t>
        </is>
      </c>
      <c r="N606" s="3" t="inlineStr">
        <is>
          <t>No</t>
        </is>
      </c>
      <c r="O606" s="3" t="inlineStr">
        <is>
          <t>MK-CF-F-132 map</t>
        </is>
      </c>
      <c r="P606" s="3" t="n">
        <v>1</v>
      </c>
      <c r="Q606" s="3" t="inlineStr">
        <is>
          <t>MK-CF-F-132 map</t>
        </is>
      </c>
      <c r="R606" s="3" t="inlineStr">
        <is>
          <t>MK-CF-F-132 map → MK-XS-F-146 prettyExpiry</t>
        </is>
      </c>
      <c r="S606" s="3" t="inlineStr">
        <is>
          <t>—</t>
        </is>
      </c>
      <c r="T606" s="3" t="inlineStr">
        <is>
          <t>—</t>
        </is>
      </c>
      <c r="U606" s="3" t="inlineStr">
        <is>
          <t>ACTIVE</t>
        </is>
      </c>
      <c r="V606" s="3" t="inlineStr">
        <is>
          <t>2026-08-27</t>
        </is>
      </c>
      <c r="Y606" s="3" t="inlineStr">
        <is>
          <t>NOTHING OPEN</t>
        </is>
      </c>
    </row>
    <row r="607">
      <c r="A607" s="3" t="inlineStr">
        <is>
          <t>MK-XS-F-147</t>
        </is>
      </c>
      <c r="B607" s="3" t="inlineStr">
        <is>
          <t>call</t>
        </is>
      </c>
      <c r="C607" s="3" t="inlineStr">
        <is>
          <t>src/services/sync/snaptradeClient.ts</t>
        </is>
      </c>
      <c r="D607" s="3" t="n">
        <v>93</v>
      </c>
      <c r="E607" s="3" t="inlineStr">
        <is>
          <t>4 · BRINGS DATA IN</t>
        </is>
      </c>
      <c r="F607" s="3" t="inlineStr">
        <is>
          <t>NOT DETERMINED — the code carries no note saying what this is for, and it has no row in the old inventory. Needs reading.</t>
        </is>
      </c>
      <c r="G607" s="13" t="inlineStr">
        <is>
          <t>url = relay url()
token = await current id token()
data = await res.json().catch(() =&gt; nothing)
the answer = data as T</t>
        </is>
      </c>
      <c r="H607" s="3" t="inlineStr">
        <is>
          <t>Url is relay url(). Token is await current id token(). Data is await res.json().catch(() =&gt; no answer). The answer is data as T.</t>
        </is>
      </c>
      <c r="I607" s="3" t="inlineStr">
        <is>
          <t>PARTLY READ — some of the code is still showing through; needs a hand pass</t>
        </is>
      </c>
      <c r="J607" s="3" t="inlineStr">
        <is>
          <t>1. action: string
2. params: Record&lt;string, unknown&gt; = {}</t>
        </is>
      </c>
      <c r="K607" s="3" t="inlineStr">
        <is>
          <t>Promise&lt;T&gt;</t>
        </is>
      </c>
      <c r="L607" s="3" t="inlineStr">
        <is>
          <t>—</t>
        </is>
      </c>
      <c r="M607" s="3" t="inlineStr">
        <is>
          <t>None found in this function — anything it assumes comes from the functions it depends on.</t>
        </is>
      </c>
      <c r="N607" s="3" t="inlineStr">
        <is>
          <t>No</t>
        </is>
      </c>
      <c r="O607" s="3" t="inlineStr">
        <is>
          <t>1. MK-ST-F-027 accountId
2. MK-XS-F-064 currentIdToken
3. MK-XS-F-112 relayUrl</t>
        </is>
      </c>
      <c r="P607" s="3" t="n">
        <v>3</v>
      </c>
      <c r="Q607" s="3" t="inlineStr">
        <is>
          <t>1. MK-ST-F-027 accountId
2. MK-XS-F-064 currentIdToken
3. MK-XS-F-112 relayUrl</t>
        </is>
      </c>
      <c r="R607" s="3" t="inlineStr">
        <is>
          <t>1. MK-ST-F-027 accountId → MK-XS-F-147 call
2. MK-XS-F-064 currentIdToken → MK-XS-F-147 call
3. MK-XS-F-112 relayUrl → MK-XS-F-147 call</t>
        </is>
      </c>
      <c r="S607" s="3" t="inlineStr">
        <is>
          <t>—</t>
        </is>
      </c>
      <c r="T607" s="3" t="inlineStr">
        <is>
          <t>—</t>
        </is>
      </c>
      <c r="U607" s="3" t="inlineStr">
        <is>
          <t>ACTIVE</t>
        </is>
      </c>
      <c r="V607" s="3" t="inlineStr">
        <is>
          <t>2026-08-27</t>
        </is>
      </c>
      <c r="Y607" s="3" t="inlineStr">
        <is>
          <t>NOTHING OPEN</t>
        </is>
      </c>
    </row>
    <row r="608">
      <c r="A608" s="3" t="inlineStr">
        <is>
          <t>MK-XS-F-148</t>
        </is>
      </c>
      <c r="B608" s="3" t="inlineStr">
        <is>
          <t>unwrapActivities</t>
        </is>
      </c>
      <c r="C608" s="3" t="inlineStr">
        <is>
          <t>src/services/sync/snaptradeSync.ts</t>
        </is>
      </c>
      <c r="D608" s="3" t="n">
        <v>73</v>
      </c>
      <c r="E608" s="3" t="inlineStr">
        <is>
          <t>3 · DEPENDENT</t>
        </is>
      </c>
      <c r="F608" s="3" t="inlineStr">
        <is>
          <t>SnapTrade wraps this endpoint in a pagination envelope {data, pagination:{total}} — LIVE-VERIFIED 2026-07-19 against a real E*TRADE connection (their docs' examples show a bare array; production does not).</t>
        </is>
      </c>
      <c r="G608" s="13"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08"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08" s="3" t="inlineStr">
        <is>
          <t>PARTLY READ — some of the code is still showing through; needs a hand pass</t>
        </is>
      </c>
      <c r="J608" s="3" t="inlineStr">
        <is>
          <t>raw: unknown</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Y608" s="3" t="inlineStr">
        <is>
          <t>NOTHING OPEN</t>
        </is>
      </c>
    </row>
    <row r="609">
      <c r="A609" s="3" t="inlineStr">
        <is>
          <t>MK-XS-F-149</t>
        </is>
      </c>
      <c r="B609" s="3" t="inlineStr">
        <is>
          <t>allActivities</t>
        </is>
      </c>
      <c r="C609" s="3" t="inlineStr">
        <is>
          <t>src/services/sync/snaptradeSync.ts</t>
        </is>
      </c>
      <c r="D609" s="3" t="n">
        <v>102</v>
      </c>
      <c r="E609" s="3" t="inlineStr">
        <is>
          <t>3 · DEPENDENT</t>
        </is>
      </c>
      <c r="F609" s="3" t="inlineStr">
        <is>
          <t>NOT DETERMINED — the code carries no note saying what this is for, and it has no row in the old inventory. Needs reading.</t>
        </is>
      </c>
      <c r="G609" s="13" t="inlineStr">
        <is>
          <t>out = []
the answer = out</t>
        </is>
      </c>
      <c r="H609" s="3" t="inlineStr">
        <is>
          <t>Out is []. The answer is out.</t>
        </is>
      </c>
      <c r="I609" s="3" t="inlineStr">
        <is>
          <t>READ FROM THE CODE — rendered from the expressions the function runs</t>
        </is>
      </c>
      <c r="J609" s="3" t="inlineStr">
        <is>
          <t>1. accountId: string
2. startDate?: string</t>
        </is>
      </c>
      <c r="K609" s="3" t="inlineStr">
        <is>
          <t>Promise&lt;StActivity[]&gt;</t>
        </is>
      </c>
      <c r="L609" s="3" t="inlineStr">
        <is>
          <t>—</t>
        </is>
      </c>
      <c r="M609" s="3" t="inlineStr">
        <is>
          <t>· Uses a built-in page of 0.</t>
        </is>
      </c>
      <c r="N609" s="3" t="inlineStr">
        <is>
          <t>Yes</t>
        </is>
      </c>
      <c r="O609" s="3" t="inlineStr">
        <is>
          <t>1. MK-ST-F-027 accountId
2. MK-XS-F-148 unwrapActivities</t>
        </is>
      </c>
      <c r="P609" s="3" t="n">
        <v>2</v>
      </c>
      <c r="Q609" s="3" t="inlineStr">
        <is>
          <t>1. MK-ST-F-027 accountId
2. MK-XS-F-148 unwrapActivities</t>
        </is>
      </c>
      <c r="R609" s="3" t="inlineStr">
        <is>
          <t>1. MK-ST-F-027 accountId → MK-XS-F-149 allActivities
2. MK-XS-F-148 unwrapActivities → MK-XS-F-149 allActivities</t>
        </is>
      </c>
      <c r="S609" s="3" t="inlineStr">
        <is>
          <t>—</t>
        </is>
      </c>
      <c r="T609" s="3" t="inlineStr">
        <is>
          <t>—</t>
        </is>
      </c>
      <c r="U609" s="3" t="inlineStr">
        <is>
          <t>ACTIVE</t>
        </is>
      </c>
      <c r="V609" s="3" t="inlineStr">
        <is>
          <t>2026-08-27</t>
        </is>
      </c>
      <c r="Y609" s="3" t="inlineStr">
        <is>
          <t>NOTHING OPEN</t>
        </is>
      </c>
    </row>
    <row r="610">
      <c r="A610" s="3" t="inlineStr">
        <is>
          <t>MK-XS-F-170</t>
        </is>
      </c>
      <c r="B610" s="3" t="inlineStr">
        <is>
          <t>daysSince</t>
        </is>
      </c>
      <c r="C610" s="3" t="inlineStr">
        <is>
          <t>src/domain/gaps/index.ts</t>
        </is>
      </c>
      <c r="D610" s="3" t="n">
        <v>56</v>
      </c>
      <c r="E610" s="3" t="inlineStr">
        <is>
          <t>3 · DEPENDENT</t>
        </is>
      </c>
      <c r="F610" s="3" t="inlineStr">
        <is>
          <t>NOT DETERMINED — the code carries no note saying what this is for, and it has no row in the old inventory. Needs reading.</t>
        </is>
      </c>
      <c r="G610" s="13" t="inlineStr">
        <is>
          <t>nothing   when iso is missing
t = date.parse(string(iso))
the answer:
nothing   if number.is na n(t)
max(0, round down((now − t) ÷ 86400000))   otherwise</t>
        </is>
      </c>
      <c r="H610" s="3" t="inlineStr">
        <is>
          <t>When iso is missing, it answers no answer. T is date.parse(string(iso)). The answer is no answer — when number.is na n(t); (now minus t, rounded down divided by 86400000, never below zero) — otherwise.</t>
        </is>
      </c>
      <c r="I610" s="3" t="inlineStr">
        <is>
          <t>PARTLY READ — some of the code is still showing through; needs a hand pass</t>
        </is>
      </c>
      <c r="J610" s="3" t="inlineStr">
        <is>
          <t>1. iso: string | null | undefined
2. now: number</t>
        </is>
      </c>
      <c r="K610" s="3" t="inlineStr">
        <is>
          <t>number | null</t>
        </is>
      </c>
      <c r="L610" s="3" t="inlineStr">
        <is>
          <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Y610" s="3" t="inlineStr">
        <is>
          <t>NOTHING OPEN</t>
        </is>
      </c>
    </row>
    <row r="611">
      <c r="A611" s="3" t="inlineStr">
        <is>
          <t>MK-XS-F-171</t>
        </is>
      </c>
      <c r="B611" s="3" t="inlineStr">
        <is>
          <t>numOrNaN</t>
        </is>
      </c>
      <c r="C611" s="3" t="inlineStr">
        <is>
          <t>src/domain/import/holdingsImport.ts</t>
        </is>
      </c>
      <c r="D611" s="3" t="n">
        <v>233</v>
      </c>
      <c r="E611" s="3" t="inlineStr">
        <is>
          <t>3 · DEPENDENT</t>
        </is>
      </c>
      <c r="F611" s="3" t="inlineStr">
        <is>
          <t>NOT DETERMINED — the code carries no note saying what this is for, and it has no row in the old inventory. Needs reading.</t>
        </is>
      </c>
      <c r="G611" s="13" t="inlineStr">
        <is>
          <t>n = parse float(string(v ?? '').replace( ÷ [$,%\s] ÷ g, '').replace( ÷ [()] ÷ g, ''))
the answer:
n   if number.is finite(n)
na n   otherwise</t>
        </is>
      </c>
      <c r="H611" s="3" t="inlineStr">
        <is>
          <t>N is parse float(string(v ?? '').replace( divided by [$,%\s] divided by g, '').replace( divided by [()] divided by g, '')). The answer is n — when number.is finite(n); na n — otherwise.</t>
        </is>
      </c>
      <c r="I611" s="3" t="inlineStr">
        <is>
          <t>PARTLY READ — some of the code is still showing through; needs a hand pass</t>
        </is>
      </c>
      <c r="J611" s="3" t="inlineStr">
        <is>
          <t>v: string</t>
        </is>
      </c>
      <c r="K611" s="3" t="inlineStr">
        <is>
          <t>number</t>
        </is>
      </c>
      <c r="L611" s="3" t="inlineStr">
        <is>
          <t>—</t>
        </is>
      </c>
      <c r="M611" s="3" t="inlineStr">
        <is>
          <t>None found in this function — anything it assumes comes from the functions it depends on.</t>
        </is>
      </c>
      <c r="N611" s="3" t="inlineStr">
        <is>
          <t>Yes</t>
        </is>
      </c>
      <c r="O611" s="3" t="inlineStr">
        <is>
          <t>MK-XS-F-122 n</t>
        </is>
      </c>
      <c r="P611" s="3" t="n">
        <v>1</v>
      </c>
      <c r="Q611" s="3" t="inlineStr">
        <is>
          <t>MK-XS-F-122 n</t>
        </is>
      </c>
      <c r="R611" s="3" t="inlineStr">
        <is>
          <t>MK-XS-F-122 n → MK-XS-F-171 numOrNaN</t>
        </is>
      </c>
      <c r="S611" s="3" t="inlineStr">
        <is>
          <t>—</t>
        </is>
      </c>
      <c r="T611" s="3" t="inlineStr">
        <is>
          <t>—</t>
        </is>
      </c>
      <c r="U611" s="3" t="inlineStr">
        <is>
          <t>ACTIVE</t>
        </is>
      </c>
      <c r="V611" s="3" t="inlineStr">
        <is>
          <t>2026-08-27</t>
        </is>
      </c>
      <c r="Y611" s="3" t="inlineStr">
        <is>
          <t>NOTHING OPEN</t>
        </is>
      </c>
    </row>
    <row r="612">
      <c r="A612" s="3" t="inlineStr">
        <is>
          <t>MK-XS-F-172</t>
        </is>
      </c>
      <c r="B612" s="3" t="inlineStr">
        <is>
          <t>assetClassForSymbol</t>
        </is>
      </c>
      <c r="C612" s="3" t="inlineStr">
        <is>
          <t>src/domain/import/holdingsImport.ts</t>
        </is>
      </c>
      <c r="D612" s="3" t="n">
        <v>352</v>
      </c>
      <c r="E612" s="3" t="inlineStr">
        <is>
          <t>3 · DEPENDENT</t>
        </is>
      </c>
      <c r="F612" s="3" t="inlineStr">
        <is>
          <t>B7 (founder brief 2026-08-20): classification lives in the ONE function — this road only adapts.</t>
        </is>
      </c>
      <c r="G612" s="13" t="inlineStr">
        <is>
          <t>classify holding class({ ticker: symbol, name, has security identity: true }).cls</t>
        </is>
      </c>
      <c r="H612" s="3" t="inlineStr">
        <is>
          <t>classify holding class({ ticker: symbol, name, has security identity: true }).cls.</t>
        </is>
      </c>
      <c r="I612" s="3" t="inlineStr">
        <is>
          <t>PARTLY READ — some of the code is still showing through; needs a hand pass</t>
        </is>
      </c>
      <c r="J612" s="3" t="inlineStr">
        <is>
          <t>1. symbol: string
2. name = ''</t>
        </is>
      </c>
      <c r="K612" s="3" t="inlineStr">
        <is>
          <t>AssetClass</t>
        </is>
      </c>
      <c r="L612" s="3" t="inlineStr">
        <is>
          <t>—</t>
        </is>
      </c>
      <c r="M612" s="3" t="inlineStr">
        <is>
          <t>None found in this function — anything it assumes comes from the functions it depends on.</t>
        </is>
      </c>
      <c r="N612" s="3" t="inlineStr">
        <is>
          <t>Yes</t>
        </is>
      </c>
      <c r="O612" s="3" t="inlineStr">
        <is>
          <t>MK-ST-F-011 classifyHoldingClass</t>
        </is>
      </c>
      <c r="P612" s="3" t="n">
        <v>8</v>
      </c>
      <c r="Q612" s="3" t="inlineStr">
        <is>
          <t>1. MK-ST-F-011 classifyHoldingClass
2. MK-ST-F-010 nameEvidence
3. MK-XS-F-147 call
4. MK-ST-F-056 has
5. MK-CF-F-132 map
6. MK-ST-F-027 accountId
7. MK-XS-F-064 currentIdToken
8. MK-XS-F-112 relayUrl</t>
        </is>
      </c>
      <c r="R612"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12" s="3" t="inlineStr">
        <is>
          <t>—</t>
        </is>
      </c>
      <c r="T612" s="3" t="inlineStr">
        <is>
          <t>—</t>
        </is>
      </c>
      <c r="U612" s="3" t="inlineStr">
        <is>
          <t>ACTIVE</t>
        </is>
      </c>
      <c r="V612" s="3" t="inlineStr">
        <is>
          <t>2026-08-27</t>
        </is>
      </c>
      <c r="Y612" s="3" t="inlineStr">
        <is>
          <t>NOTHING OPEN</t>
        </is>
      </c>
    </row>
    <row r="613">
      <c r="A613" s="3" t="inlineStr">
        <is>
          <t>MK-XS-F-173</t>
        </is>
      </c>
      <c r="B613" s="3" t="inlineStr">
        <is>
          <t>getOrCreateKey</t>
        </is>
      </c>
      <c r="C613" s="3" t="inlineStr">
        <is>
          <t>src/store/secureStorage.ts</t>
        </is>
      </c>
      <c r="D613" s="3" t="n">
        <v>47</v>
      </c>
      <c r="E613" s="3" t="inlineStr">
        <is>
          <t>4 · BRINGS DATA IN</t>
        </is>
      </c>
      <c r="F613" s="3" t="inlineStr">
        <is>
          <t>NOT DETERMINED — the code carries no note saying what this is for, and it has no row in the old inventory. Needs reading.</t>
        </is>
      </c>
      <c r="G613" s="13"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13"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13" s="3" t="inlineStr">
        <is>
          <t>PARTLY READ — some of the code is still showing through; needs a hand pass</t>
        </is>
      </c>
      <c r="J613" s="3" t="inlineStr">
        <is>
          <t>Nothing is handed to it</t>
        </is>
      </c>
      <c r="K613" s="3" t="inlineStr">
        <is>
          <t>Promise&lt;string&gt;</t>
        </is>
      </c>
      <c r="L613" s="3" t="inlineStr">
        <is>
          <t>—</t>
        </is>
      </c>
      <c r="M613" s="3" t="inlineStr">
        <is>
          <t>None found in this function — anything it assumes comes from the functions it depends on.</t>
        </is>
      </c>
      <c r="N613" s="3" t="inlineStr">
        <is>
          <t>No</t>
        </is>
      </c>
      <c r="O613" s="3" t="inlineStr">
        <is>
          <t>1. MK-XS-F-135 secureGet
2. MK-XS-F-136 secureSet</t>
        </is>
      </c>
      <c r="P613" s="3" t="n">
        <v>2</v>
      </c>
      <c r="Q613" s="3" t="inlineStr">
        <is>
          <t>1. MK-XS-F-135 secureGet
2. MK-XS-F-136 secureSet</t>
        </is>
      </c>
      <c r="R613" s="3" t="inlineStr">
        <is>
          <t>1. MK-XS-F-135 secureGet → MK-XS-F-173 getOrCreateKey
2. MK-XS-F-136 secureSet → MK-XS-F-173 getOrCreateKey</t>
        </is>
      </c>
      <c r="S613" s="3" t="inlineStr">
        <is>
          <t>—</t>
        </is>
      </c>
      <c r="T613" s="3" t="inlineStr">
        <is>
          <t>—</t>
        </is>
      </c>
      <c r="U613" s="3" t="inlineStr">
        <is>
          <t>ACTIVE</t>
        </is>
      </c>
      <c r="V613" s="3" t="inlineStr">
        <is>
          <t>2026-09-12</t>
        </is>
      </c>
      <c r="Y613" s="3" t="inlineStr">
        <is>
          <t>NOTHING OPEN</t>
        </is>
      </c>
    </row>
    <row r="614">
      <c r="A614" s="3" t="inlineStr">
        <is>
          <t>MK-XS-F-174</t>
        </is>
      </c>
      <c r="B614" s="3" t="inlineStr">
        <is>
          <t>recomputeBalances</t>
        </is>
      </c>
      <c r="C614" s="3" t="inlineStr">
        <is>
          <t>src/store/useStore.ts</t>
        </is>
      </c>
      <c r="D614" s="3" t="n">
        <v>60</v>
      </c>
      <c r="E614" s="3" t="inlineStr">
        <is>
          <t>3 · DEPENDENT</t>
        </is>
      </c>
      <c r="F614" s="3" t="inlineStr">
        <is>
          <t>Recompute the cached `balance` of every ledger-managed account = cash sleeve + Σ(position × live price).</t>
        </is>
      </c>
      <c r="G614" s="13"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14"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14" s="3" t="inlineStr">
        <is>
          <t>PARTLY READ — some of the code is still showing through; needs a hand pass</t>
        </is>
      </c>
      <c r="J614" s="3" t="inlineStr">
        <is>
          <t>1. accs: AssetAccount[]
2. cache: Record&lt;string, PriceSeries&gt;</t>
        </is>
      </c>
      <c r="K614" s="3" t="inlineStr">
        <is>
          <t>AssetAccount[]</t>
        </is>
      </c>
      <c r="L614" s="3" t="inlineStr">
        <is>
          <t>—</t>
        </is>
      </c>
      <c r="M614" s="3" t="inlineStr">
        <is>
          <t>· If cash balance is missing it counts as zero, so nothing recorded and a real zero look the same.</t>
        </is>
      </c>
      <c r="N614" s="3" t="inlineStr">
        <is>
          <t>Yes</t>
        </is>
      </c>
      <c r="O614" s="3" t="inlineStr">
        <is>
          <t>1. MK-ST-F-028 buildDayFromAccounts
2. MK-PF-F-002 costBasis
3. MK-CF-F-038 debtsFromOnboarding
4. MK-PF-F-009 latestClose
5. MK-CF-F-132 map
6. MK-PF-F-004 marketValue
7. MK-ST-F-030 record
8. MK-XS-F-024 resolveLens
9. MK-ST-F-055 round2
10. MK-ST-F-044 setMoneyFormat</t>
        </is>
      </c>
      <c r="P614" s="3" t="n">
        <v>79</v>
      </c>
      <c r="Q614"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14"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14" s="3" t="inlineStr">
        <is>
          <t>—</t>
        </is>
      </c>
      <c r="T614" s="3" t="inlineStr">
        <is>
          <t>—</t>
        </is>
      </c>
      <c r="U614" s="3" t="inlineStr">
        <is>
          <t>ACTIVE</t>
        </is>
      </c>
      <c r="V614" s="3" t="inlineStr">
        <is>
          <t>2026-09-12</t>
        </is>
      </c>
      <c r="Y614" s="3" t="inlineStr">
        <is>
          <t>NOTHING OPEN</t>
        </is>
      </c>
    </row>
    <row r="615">
      <c r="A615" s="3" t="inlineStr">
        <is>
          <t>MK-XS-F-175</t>
        </is>
      </c>
      <c r="B615" s="3" t="inlineStr">
        <is>
          <t>uid</t>
        </is>
      </c>
      <c r="C615" s="3" t="inlineStr">
        <is>
          <t>src/store/useStore.ts</t>
        </is>
      </c>
      <c r="D615" s="3" t="n">
        <v>581</v>
      </c>
      <c r="E615" s="3" t="inlineStr">
        <is>
          <t>2 · DISPLAYED</t>
        </is>
      </c>
      <c r="F615" s="3" t="inlineStr">
        <is>
          <t>NOT DETERMINED — the code carries no note saying what this is for, and it has no row in the old inventory. Needs reading.</t>
        </is>
      </c>
      <c r="G615" s="13"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15"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15" s="3" t="inlineStr">
        <is>
          <t>PARTLY READ — the body has a loop the extractor cannot render; the steps shown are the ones before it. Needs a hand pass (G23).</t>
        </is>
      </c>
      <c r="J615" s="3" t="inlineStr">
        <is>
          <t>1. Nothing is handed to it
2. reads the app's stored data</t>
        </is>
      </c>
      <c r="K615" s="3" t="inlineStr">
        <is>
          <t>NOT DECLARED — the code does not say what it gives back</t>
        </is>
      </c>
      <c r="L615" s="3" t="inlineStr">
        <is>
          <t>NOT FOUND — a screen calls it, but the words printed beside its answer could not be traced automatically. Needs reading.</t>
        </is>
      </c>
      <c r="M615"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15" s="3" t="inlineStr">
        <is>
          <t>Yes</t>
        </is>
      </c>
      <c r="O615"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15" s="3" t="n">
        <v>79</v>
      </c>
      <c r="Q615"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15"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15" s="3" t="inlineStr">
        <is>
          <t>—</t>
        </is>
      </c>
      <c r="T615" s="3" t="inlineStr">
        <is>
          <t>—</t>
        </is>
      </c>
      <c r="U615" s="3" t="inlineStr">
        <is>
          <t>ACTIVE</t>
        </is>
      </c>
      <c r="V615" s="3" t="inlineStr">
        <is>
          <t>2026-09-25</t>
        </is>
      </c>
      <c r="Y615" s="3" t="inlineStr">
        <is>
          <t>NOTHING OPEN</t>
        </is>
      </c>
    </row>
    <row r="616">
      <c r="A616" s="3" t="inlineStr">
        <is>
          <t>MK-XS-F-176</t>
        </is>
      </c>
      <c r="B616" s="3" t="inlineStr">
        <is>
          <t>useMonthlyStats</t>
        </is>
      </c>
      <c r="C616" s="3" t="inlineStr">
        <is>
          <t>src/store/useStore.ts</t>
        </is>
      </c>
      <c r="D616" s="3" t="n">
        <v>1286</v>
      </c>
      <c r="E616" s="3" t="inlineStr">
        <is>
          <t>2 · DISPLAYED</t>
        </is>
      </c>
      <c r="F616" s="3" t="inlineStr">
        <is>
          <t>── Selectors ──────────────────────────────────────────────────────────</t>
        </is>
      </c>
      <c r="G616" s="13"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16"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16" s="3" t="inlineStr">
        <is>
          <t>PARTLY READ — some of the code is still showing through; needs a hand pass</t>
        </is>
      </c>
      <c r="J616" s="3" t="inlineStr">
        <is>
          <t>1. Nothing is handed to it
2. reads the app's stored data</t>
        </is>
      </c>
      <c r="K616" s="3" t="inlineStr">
        <is>
          <t>NOT DECLARED — the code does not say what it gives back</t>
        </is>
      </c>
      <c r="L616" s="3" t="inlineStr">
        <is>
          <t>NOT FOUND — a screen calls it, but the words printed beside its answer could not be traced automatically. Needs reading.</t>
        </is>
      </c>
      <c r="M616" s="3" t="inlineStr">
        <is>
          <t>· Uses today's date from the device clock, so the answer changes by itself overnight.</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Y616" s="3" t="inlineStr">
        <is>
          <t>NOTHING OPEN</t>
        </is>
      </c>
    </row>
    <row r="617">
      <c r="A617" s="3" t="inlineStr">
        <is>
          <t>MK-XS-F-177</t>
        </is>
      </c>
      <c r="B617" s="3" t="inlineStr">
        <is>
          <t>useCategorySpend</t>
        </is>
      </c>
      <c r="C617" s="3" t="inlineStr">
        <is>
          <t>src/store/useStore.ts</t>
        </is>
      </c>
      <c r="D617" s="3" t="n">
        <v>1343</v>
      </c>
      <c r="E617" s="3" t="inlineStr">
        <is>
          <t>2 · DISPLAYED</t>
        </is>
      </c>
      <c r="F617" s="3" t="inlineStr">
        <is>
          <t>NOT DETERMINED — the code carries no note saying what this is for, and it has no row in the old inventory. Needs reading.</t>
        </is>
      </c>
      <c r="G617" s="13" t="inlineStr">
        <is>
          <t>now = new date()
d = the date date
to date string() = now.to date string()   when budget frequency = 'daily'
d ≥ new date(now.get time() − 7 × 86400000)   when budget frequency = 'weekly'
the answer = get full year() = now.get full year() and get month() = now.get month()
map = {}</t>
        </is>
      </c>
      <c r="H617"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17" s="3" t="inlineStr">
        <is>
          <t>PARTLY READ — some of the code is still showing through; needs a hand pass</t>
        </is>
      </c>
      <c r="J617" s="3" t="inlineStr">
        <is>
          <t>1. Nothing is handed to it
2. reads the app's stored data</t>
        </is>
      </c>
      <c r="K617" s="3" t="inlineStr">
        <is>
          <t>NOT DECLARED — the code does not say what it gives back</t>
        </is>
      </c>
      <c r="L617" s="3" t="inlineStr">
        <is>
          <t>NOT FOUND — a screen calls it, but the words printed beside its answer could not be traced automatically. Needs reading.</t>
        </is>
      </c>
      <c r="M617" s="3" t="inlineStr">
        <is>
          <t>1. If category] is missing it counts as zero, so nothing recorded and a real zero look the same.
2. Uses today's date from the device clock, so the answer changes by itself overnight.</t>
        </is>
      </c>
      <c r="N617" s="3" t="inlineStr">
        <is>
          <t>Yes</t>
        </is>
      </c>
      <c r="O617" s="3" t="inlineStr">
        <is>
          <t>MK-CF-F-132 map</t>
        </is>
      </c>
      <c r="P617" s="3" t="n">
        <v>1</v>
      </c>
      <c r="Q617" s="3" t="inlineStr">
        <is>
          <t>MK-CF-F-132 map</t>
        </is>
      </c>
      <c r="R617" s="3" t="inlineStr">
        <is>
          <t>MK-CF-F-132 map → MK-XS-F-177 useCategorySpend</t>
        </is>
      </c>
      <c r="S617" s="3" t="inlineStr">
        <is>
          <t>—</t>
        </is>
      </c>
      <c r="T617" s="3" t="inlineStr">
        <is>
          <t>—</t>
        </is>
      </c>
      <c r="U617" s="3" t="inlineStr">
        <is>
          <t>ACTIVE</t>
        </is>
      </c>
      <c r="V617" s="3" t="inlineStr">
        <is>
          <t>2026-09-12</t>
        </is>
      </c>
      <c r="Y617" s="3" t="inlineStr">
        <is>
          <t>NOTHING OPEN</t>
        </is>
      </c>
    </row>
    <row r="618">
      <c r="A618" s="3" t="inlineStr">
        <is>
          <t>MK-XS-F-178</t>
        </is>
      </c>
      <c r="B618" s="3" t="inlineStr">
        <is>
          <t>useLevel</t>
        </is>
      </c>
      <c r="C618" s="3" t="inlineStr">
        <is>
          <t>src/store/useStore.ts</t>
        </is>
      </c>
      <c r="D618" s="3" t="n">
        <v>1376</v>
      </c>
      <c r="E618" s="3" t="inlineStr">
        <is>
          <t>2 · DISPLAYED</t>
        </is>
      </c>
      <c r="F618" s="3" t="inlineStr">
        <is>
          <t>NOT DETERMINED — the code carries no note saying what this is for, and it has no row in the old inventory. Needs reading.</t>
        </is>
      </c>
      <c r="G618" s="13" t="inlineStr">
        <is>
          <t>xp = use store((s) =&gt; xp)
current = levels[0], next = levels[1]
pct = min(((xp − current.min) ÷ (next.min − current.min)) × 100, 100)   if next.min &gt; current.min
100   otherwise
the answer = { ...current, next, xp, pct }</t>
        </is>
      </c>
      <c r="H618" s="3" t="inlineStr">
        <is>
          <t>Xp is use store((s) =&gt; xp). Current is levels[0], next = levels[1]. Pct: the smaller of ((xp minus current.min) divided by (next.min minus current.min)) times 100 and 100 — when next.min &gt; current.min; 100 — otherwise. The answer is { ...current, next, xp, pct }.</t>
        </is>
      </c>
      <c r="I618" s="3" t="inlineStr">
        <is>
          <t>PARTLY READ — some of the code is still showing through; needs a hand pass</t>
        </is>
      </c>
      <c r="J618" s="3" t="inlineStr">
        <is>
          <t>1. Nothing is handed to it
2. reads the app's stored data</t>
        </is>
      </c>
      <c r="K618" s="3" t="inlineStr">
        <is>
          <t>NOT DECLARED — the code does not say what it gives back</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Y618" s="3" t="inlineStr">
        <is>
          <t>NOTHING OPEN</t>
        </is>
      </c>
    </row>
    <row r="619">
      <c r="A619" s="3" t="inlineStr">
        <is>
          <t>MK-XS-F-179</t>
        </is>
      </c>
      <c r="B619" s="3" t="inlineStr">
        <is>
          <t>ageToday</t>
        </is>
      </c>
      <c r="C619" s="3" t="inlineStr">
        <is>
          <t>src/domain/profile/calc.ts</t>
        </is>
      </c>
      <c r="D619" s="3" t="n">
        <v>78</v>
      </c>
      <c r="E619" s="3" t="inlineStr">
        <is>
          <t>2 · DISPLAYED</t>
        </is>
      </c>
      <c r="F619"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19" s="13" t="inlineStr">
        <is>
          <t>y = number(birth year); if (!y or !number.is finite(y)) return nothing
m = birth month read as a number
current age(y, m, as of)   when m ≥ 1 and m ≤ 12
the answer = as of.get full year() − y</t>
        </is>
      </c>
      <c r="H619" s="3" t="inlineStr">
        <is>
          <t>Y is number(birth year); — when (!y or !number.is finite(y)) return no answer. M is birth month read as a number. When m is at least 1 and m is at most 12, it answers current age(y, m, as of). The answer is as of.get full year() minus y.</t>
        </is>
      </c>
      <c r="I619" s="3" t="inlineStr">
        <is>
          <t>PARTLY READ — some of the code is still showing through; needs a hand pass</t>
        </is>
      </c>
      <c r="J619" s="3" t="inlineStr">
        <is>
          <t>1. birthYear: number | null | undefined
2. birthMonth: number | null | undefined
3. asOf: Date = new Date()</t>
        </is>
      </c>
      <c r="K619" s="3" t="inlineStr">
        <is>
          <t>number | null</t>
        </is>
      </c>
      <c r="L619" s="3" t="inlineStr">
        <is>
          <t>NOT FOUND — a screen calls it, but the words printed beside its answer could not be traced automatically. Needs reading.</t>
        </is>
      </c>
      <c r="M619"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19" s="3" t="inlineStr">
        <is>
          <t>Yes</t>
        </is>
      </c>
      <c r="O619" s="3" t="inlineStr">
        <is>
          <t>MK-XS-F-017 currentAge</t>
        </is>
      </c>
      <c r="P619" s="3" t="n">
        <v>1</v>
      </c>
      <c r="Q619" s="3" t="inlineStr">
        <is>
          <t>MK-XS-F-017 currentAge</t>
        </is>
      </c>
      <c r="R619" s="3" t="inlineStr">
        <is>
          <t>MK-XS-F-017 currentAge → MK-XS-F-179 ageToday</t>
        </is>
      </c>
      <c r="S619" s="3" t="inlineStr">
        <is>
          <t>—</t>
        </is>
      </c>
      <c r="T619" s="3" t="inlineStr">
        <is>
          <t>—</t>
        </is>
      </c>
      <c r="U619" s="3" t="inlineStr">
        <is>
          <t>ACTIVE</t>
        </is>
      </c>
      <c r="V619" s="3" t="inlineStr">
        <is>
          <t>2026-09-12</t>
        </is>
      </c>
      <c r="Y619" s="3" t="inlineStr">
        <is>
          <t>NOTHING OPEN</t>
        </is>
      </c>
    </row>
    <row r="620">
      <c r="A620" s="3" t="inlineStr">
        <is>
          <t>MK-XS-F-180</t>
        </is>
      </c>
      <c r="B620" s="3" t="inlineStr">
        <is>
          <t>declareFigures</t>
        </is>
      </c>
      <c r="C620" s="3" t="inlineStr">
        <is>
          <t>MoneyKeel/functions/_figure-spec.ts</t>
        </is>
      </c>
      <c r="D620" s="3" t="n">
        <v>85</v>
      </c>
      <c r="E620" s="3" t="inlineStr">
        <is>
          <t>3 · DEPENDENT</t>
        </is>
      </c>
      <c r="F620" s="3" t="inlineStr">
        <is>
          <t>Declare the figures a door hands out.</t>
        </is>
      </c>
      <c r="G620" s="13" t="inlineStr">
        <is>
          <t>NOT READ YET — the body is not a shape this can render faithfully, so nothing is claimed rather than something being guessed. It needs reading by hand.</t>
        </is>
      </c>
      <c r="H620" s="3" t="inlineStr">
        <is>
          <t>NOT READ YET — the body is not a shape this can render faithfully, so nothing is claimed rather than something being guessed. It needs reading by hand.</t>
        </is>
      </c>
      <c r="I620" s="3" t="inlineStr">
        <is>
          <t>NOT READ — nothing is claimed rather than something guessed</t>
        </is>
      </c>
      <c r="J620" s="3" t="inlineStr">
        <is>
          <t>f: T</t>
        </is>
      </c>
      <c r="K620" s="3" t="inlineStr">
        <is>
          <t>T</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2026-09-14</t>
        </is>
      </c>
      <c r="Y620" s="3" t="inlineStr">
        <is>
          <t>NOTHING OPEN</t>
        </is>
      </c>
    </row>
    <row r="621">
      <c r="A621" s="3" t="inlineStr">
        <is>
          <t>MK-XS-F-181</t>
        </is>
      </c>
      <c r="B621" s="3" t="inlineStr">
        <is>
          <t>merge</t>
        </is>
      </c>
      <c r="C621" s="3" t="inlineStr">
        <is>
          <t>MoneyKeel/functions/figures.ts</t>
        </is>
      </c>
      <c r="D621" s="3" t="n">
        <v>39</v>
      </c>
      <c r="E621" s="3" t="inlineStr">
        <is>
          <t>3 · DEPENDENT (feeds an action only)</t>
        </is>
      </c>
      <c r="F621" s="3" t="inlineStr">
        <is>
          <t>NOT DETERMINED — the code carries no note saying what this is for, and it has no row in the old inventory. Needs reading.</t>
        </is>
      </c>
      <c r="G621" s="13" t="inlineStr">
        <is>
          <t>out = {}
from = {}
the answer = out</t>
        </is>
      </c>
      <c r="H621" s="3" t="inlineStr">
        <is>
          <t>Out is {}. From is {}. The answer is out.</t>
        </is>
      </c>
      <c r="I621" s="3" t="inlineStr">
        <is>
          <t>READ FROM THE CODE — rendered from the expressions the function runs</t>
        </is>
      </c>
      <c r="J621" s="3" t="inlineStr">
        <is>
          <t>Nothing is handed to it</t>
        </is>
      </c>
      <c r="K621" s="3" t="inlineStr">
        <is>
          <t>Record&lt;string, FigureSpec&gt;</t>
        </is>
      </c>
      <c r="L621" s="3" t="inlineStr">
        <is>
          <t>—</t>
        </is>
      </c>
      <c r="M621" s="3" t="inlineStr">
        <is>
          <t>None found in this function — anything it assumes comes from the functions it depends on.</t>
        </is>
      </c>
      <c r="N621" s="3" t="inlineStr">
        <is>
          <t>No</t>
        </is>
      </c>
      <c r="O621" s="3" t="inlineStr">
        <is>
          <t>MK-CF-F-132 map</t>
        </is>
      </c>
      <c r="P621" s="3" t="n">
        <v>1</v>
      </c>
      <c r="Q621" s="3" t="inlineStr">
        <is>
          <t>MK-CF-F-132 map</t>
        </is>
      </c>
      <c r="R621" s="3" t="inlineStr">
        <is>
          <t>MK-CF-F-132 map → MK-XS-F-181 merge</t>
        </is>
      </c>
      <c r="S621" s="3" t="inlineStr">
        <is>
          <t>—</t>
        </is>
      </c>
      <c r="T621" s="3" t="inlineStr">
        <is>
          <t>—</t>
        </is>
      </c>
      <c r="U621" s="3" t="inlineStr">
        <is>
          <t>ACTIVE</t>
        </is>
      </c>
      <c r="V621" s="3" t="inlineStr">
        <is>
          <t>2026-09-14</t>
        </is>
      </c>
      <c r="Y621" s="3" t="inlineStr">
        <is>
          <t>NOTHING OPEN</t>
        </is>
      </c>
    </row>
    <row r="622">
      <c r="A622" s="3" t="inlineStr">
        <is>
          <t>MK-XS-F-182</t>
        </is>
      </c>
      <c r="B622" s="3" t="inlineStr">
        <is>
          <t>figureSpec</t>
        </is>
      </c>
      <c r="C622" s="3" t="inlineStr">
        <is>
          <t>MoneyKeel/functions/figures.ts</t>
        </is>
      </c>
      <c r="D622" s="3" t="n">
        <v>73</v>
      </c>
      <c r="E622" s="3" t="inlineStr">
        <is>
          <t>2 · DISPLAYED</t>
        </is>
      </c>
      <c r="F622" s="3" t="inlineStr">
        <is>
          <t>The declaration behind an identifier, or a refusal that names the identifier — never a silent blank.</t>
        </is>
      </c>
      <c r="G622" s="13" t="inlineStr">
        <is>
          <t>spec = FIGURE_REGISTER[id]
the answer = spec</t>
        </is>
      </c>
      <c r="H622" s="3" t="inlineStr">
        <is>
          <t>Spec is FIGURE_REGISTER[id]. The answer is spec.</t>
        </is>
      </c>
      <c r="I622" s="3" t="inlineStr">
        <is>
          <t>READ FROM THE CODE — rendered from the expressions the function runs</t>
        </is>
      </c>
      <c r="J622" s="3" t="inlineStr">
        <is>
          <t>id: string</t>
        </is>
      </c>
      <c r="K622" s="3" t="inlineStr">
        <is>
          <t>FigureSpec</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2026-09-14</t>
        </is>
      </c>
      <c r="Y622" s="3" t="inlineStr">
        <is>
          <t>NOTHING OPEN</t>
        </is>
      </c>
    </row>
  </sheetData>
  <autoFilter ref="A1:Y62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78</v>
      </c>
      <c r="C3" s="3" t="n">
        <v>10</v>
      </c>
      <c r="D3" s="3" t="n">
        <v>0</v>
      </c>
      <c r="E3" s="3" t="n">
        <v>40</v>
      </c>
      <c r="F3" s="3" t="n">
        <v>7</v>
      </c>
    </row>
    <row r="4">
      <c r="A4" s="3" t="inlineStr">
        <is>
          <t>2 · DISPLAYED</t>
        </is>
      </c>
      <c r="B4" s="3" t="n">
        <v>259</v>
      </c>
      <c r="C4" s="3" t="n">
        <v>29</v>
      </c>
      <c r="D4" s="3" t="n">
        <v>4</v>
      </c>
      <c r="E4" s="3" t="n">
        <v>51</v>
      </c>
      <c r="F4" s="3" t="n">
        <v>24</v>
      </c>
    </row>
    <row r="5">
      <c r="A5" s="3" t="inlineStr">
        <is>
          <t>2 · DISPLAYED (presentation only)</t>
        </is>
      </c>
      <c r="B5" s="3" t="n">
        <v>3</v>
      </c>
      <c r="C5" s="3" t="n">
        <v>0</v>
      </c>
      <c r="D5" s="3" t="n">
        <v>0</v>
      </c>
      <c r="E5" s="3" t="n">
        <v>0</v>
      </c>
      <c r="F5" s="3" t="n">
        <v>0</v>
      </c>
    </row>
    <row r="6">
      <c r="A6" s="3" t="inlineStr">
        <is>
          <t>3 · DEPENDENT</t>
        </is>
      </c>
      <c r="B6" s="3" t="n">
        <v>173</v>
      </c>
      <c r="C6" s="3" t="n">
        <v>14</v>
      </c>
      <c r="D6" s="3" t="n">
        <v>0</v>
      </c>
      <c r="E6" s="3" t="n">
        <v>16</v>
      </c>
      <c r="F6" s="3" t="n">
        <v>5</v>
      </c>
    </row>
    <row r="7">
      <c r="A7" s="3" t="inlineStr">
        <is>
          <t>3 · DEPENDENT (feeds an action only)</t>
        </is>
      </c>
      <c r="B7" s="3" t="n">
        <v>91</v>
      </c>
      <c r="C7" s="3" t="n">
        <v>16</v>
      </c>
      <c r="D7" s="3" t="n">
        <v>0</v>
      </c>
      <c r="E7" s="3" t="n">
        <v>23</v>
      </c>
      <c r="F7" s="3" t="n">
        <v>11</v>
      </c>
    </row>
    <row r="8">
      <c r="A8" s="3" t="inlineStr">
        <is>
          <t>4 · BRINGS DATA IN</t>
        </is>
      </c>
      <c r="B8" s="3" t="n">
        <v>16</v>
      </c>
      <c r="C8" s="3" t="n">
        <v>5</v>
      </c>
      <c r="D8" s="3" t="n">
        <v>0</v>
      </c>
      <c r="E8" s="3" t="n">
        <v>1</v>
      </c>
      <c r="F8" s="3" t="n">
        <v>1</v>
      </c>
    </row>
    <row r="9">
      <c r="A9" s="14" t="inlineStr">
        <is>
          <t>TOTAL</t>
        </is>
      </c>
      <c r="B9" s="3" t="n">
        <v>620</v>
      </c>
      <c r="C9" s="3" t="n">
        <v>74</v>
      </c>
      <c r="D9" s="3" t="n">
        <v>4</v>
      </c>
      <c r="E9" s="3" t="n">
        <v>131</v>
      </c>
      <c r="F9" s="3" t="n">
        <v>48</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c r="A3" s="3" t="inlineStr">
        <is>
          <t>Cashflow</t>
        </is>
      </c>
      <c r="B3" s="3" t="n">
        <v>54</v>
      </c>
      <c r="C3" s="3" t="n">
        <v>1</v>
      </c>
      <c r="D3" s="3" t="n">
        <v>4</v>
      </c>
      <c r="E3" s="3" t="n">
        <v>36</v>
      </c>
      <c r="F3" s="3" t="n">
        <v>13</v>
      </c>
    </row>
    <row r="4">
      <c r="A4" s="3" t="inlineStr">
        <is>
          <t>Home</t>
        </is>
      </c>
      <c r="B4" s="3" t="n">
        <v>4</v>
      </c>
      <c r="C4" s="3" t="n">
        <v>1</v>
      </c>
      <c r="D4" s="3" t="n">
        <v>1</v>
      </c>
      <c r="E4" s="3" t="n">
        <v>0</v>
      </c>
      <c r="F4" s="3" t="n">
        <v>2</v>
      </c>
    </row>
    <row r="5">
      <c r="A5" s="3" t="inlineStr">
        <is>
          <t>Menu</t>
        </is>
      </c>
      <c r="B5" s="3" t="n">
        <v>30</v>
      </c>
      <c r="C5" s="3" t="n">
        <v>0</v>
      </c>
      <c r="D5" s="3" t="n">
        <v>8</v>
      </c>
      <c r="E5" s="3" t="n">
        <v>11</v>
      </c>
      <c r="F5" s="3" t="n">
        <v>11</v>
      </c>
    </row>
    <row r="6">
      <c r="A6" s="3" t="inlineStr">
        <is>
          <t>Networth</t>
        </is>
      </c>
      <c r="B6" s="3" t="n">
        <v>45</v>
      </c>
      <c r="C6" s="3" t="n">
        <v>6</v>
      </c>
      <c r="D6" s="3" t="n">
        <v>15</v>
      </c>
      <c r="E6" s="3" t="n">
        <v>14</v>
      </c>
      <c r="F6" s="3" t="n">
        <v>10</v>
      </c>
    </row>
    <row r="7">
      <c r="A7" s="3" t="inlineStr">
        <is>
          <t>Performance</t>
        </is>
      </c>
      <c r="B7" s="3" t="n">
        <v>12</v>
      </c>
      <c r="C7" s="3" t="n">
        <v>2</v>
      </c>
      <c r="D7" s="3" t="n">
        <v>4</v>
      </c>
      <c r="E7" s="3" t="n">
        <v>5</v>
      </c>
      <c r="F7" s="3" t="n">
        <v>1</v>
      </c>
    </row>
    <row r="8">
      <c r="A8" s="3" t="inlineStr">
        <is>
          <t>Plan</t>
        </is>
      </c>
      <c r="B8" s="3" t="n">
        <v>37</v>
      </c>
      <c r="C8" s="3" t="n">
        <v>0</v>
      </c>
      <c r="D8" s="3" t="n">
        <v>8</v>
      </c>
      <c r="E8" s="3" t="n">
        <v>9</v>
      </c>
      <c r="F8" s="3" t="n">
        <v>20</v>
      </c>
    </row>
    <row r="9">
      <c r="A9" s="3" t="inlineStr">
        <is>
          <t>Shown on more than one screen</t>
        </is>
      </c>
      <c r="B9" s="3" t="n">
        <v>7</v>
      </c>
      <c r="C9" s="3" t="n">
        <v>0</v>
      </c>
      <c r="D9" s="3" t="n">
        <v>1</v>
      </c>
      <c r="E9" s="3" t="n">
        <v>5</v>
      </c>
      <c r="F9" s="3" t="n">
        <v>1</v>
      </c>
    </row>
    <row r="10">
      <c r="A10" s="14" t="inlineStr">
        <is>
          <t>TOTAL</t>
        </is>
      </c>
      <c r="B10" s="3" t="n">
        <v>189</v>
      </c>
      <c r="C10" s="3" t="n">
        <v>10</v>
      </c>
      <c r="D10" s="3" t="n">
        <v>41</v>
      </c>
      <c r="E10" s="3" t="n">
        <v>80</v>
      </c>
      <c r="F10" s="3" t="n">
        <v>58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2026-09-26T19:55:06Z</dcterms:created>
  <dcterms:modified xsi:type="dcterms:W3CDTF">2026-09-26T19:55:41Z</dcterms:modified>
</cp:coreProperties>
</file>