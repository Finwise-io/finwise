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'home'!$A$1:$AO$20</definedName>
    <definedName name="_xlnm._FilterDatabase" localSheetId="5" hidden="1">'networth'!$A$1:$AO$69</definedName>
    <definedName name="_xlnm._FilterDatabase" localSheetId="6" hidden="1">'performance'!$A$1:$AO$25</definedName>
    <definedName name="_xlnm._FilterDatabase" localSheetId="7" hidden="1">'plan'!$A$1:$AO$47</definedName>
    <definedName name="_xlnm._FilterDatabase" localSheetId="8" hidden="1">'cashflow'!$A$1:$AO$82</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'engines-old-tab'!$A$1:$F$63</definedName>
    <definedName name="_xlnm._FilterDatabase" localSheetId="15" hidden="1">'functions_from_code'!$A$1:$Y$697</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2026-10-02</t>
        </is>
      </c>
    </row>
    <row r="5" ht="30" customHeight="1">
      <c r="A5" s="4" t="inlineStr">
        <is>
          <t>Date file last modified</t>
        </is>
      </c>
      <c r="B5" s="3" t="inlineStr">
        <is>
          <t>2026-10-02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220 of 220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695, read from the code on this build. PARTIAL for figures: 31 of 220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220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695 functions carry both forms on this build: 23 no arithmetic · 22 not read · 334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2026-10-02</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2026-10-02</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2026-10-02</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2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/month-detail</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Home</t>
        </is>
      </c>
      <c r="C17" s="3" t="inlineStr">
        <is>
          <t>/monthly-income</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/onboarding</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no calculated figure on this screen</t>
        </is>
      </c>
      <c r="Z18" s="3" t="n"/>
      <c r="AA18" s="3" t="n"/>
      <c r="AB18" s="3" t="n"/>
      <c r="AC18" s="3" t="n"/>
      <c r="AD18" s="3" t="n"/>
      <c r="AE18" s="3" t="n"/>
      <c r="AF18" s="3" t="n"/>
      <c r="AG18" s="3" t="n"/>
      <c r="AH18" s="3" t="n"/>
      <c r="AI18" s="3" t="n"/>
      <c r="AJ18" s="3" t="n"/>
      <c r="AK18" s="3" t="n"/>
      <c r="AL18" s="3" t="n"/>
      <c r="AM18" s="3" t="n"/>
      <c r="AN18" s="3" t="n"/>
      <c r="AO18" s="3" t="n"/>
    </row>
    <row r="19" ht="45" customHeight="1">
      <c r="A19" s="3" t="inlineStr"/>
      <c r="B19" s="3" t="inlineStr">
        <is>
          <t>Home</t>
        </is>
      </c>
      <c r="C19" s="3" t="inlineStr">
        <is>
          <t>/paycheck-months</t>
        </is>
      </c>
      <c r="D19" s="3" t="inlineStr"/>
      <c r="E19" s="3" t="inlineStr"/>
      <c r="F19" s="3" t="inlineStr"/>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STARTED — screen not yet read</t>
        </is>
      </c>
      <c r="Y19" s="3" t="n"/>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Home</t>
        </is>
      </c>
      <c r="C20" s="3" t="inlineStr">
        <is>
          <t>/performance</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the same screen as /invest, reached by a second route</t>
        </is>
      </c>
      <c r="Z20" s="3" t="n"/>
      <c r="AA20" s="3" t="n"/>
      <c r="AB20" s="3" t="n"/>
      <c r="AC20" s="3" t="n"/>
      <c r="AD20" s="3" t="n"/>
      <c r="AE20" s="3" t="n"/>
      <c r="AF20" s="3" t="n"/>
      <c r="AG20" s="3" t="n"/>
      <c r="AH20" s="3" t="n"/>
      <c r="AI20" s="3" t="n"/>
      <c r="AJ20" s="3" t="n"/>
      <c r="AK20" s="3" t="n"/>
      <c r="AL20" s="3" t="n"/>
      <c r="AM20" s="3" t="n"/>
      <c r="AN20" s="3" t="n"/>
      <c r="AO20" s="3" t="n"/>
    </row>
  </sheetData>
  <autoFilter ref="A1:AO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2026-10-02</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2026-10-02</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2026-10-02</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2026-10-02</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2026-10-02</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2026-10-02</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2026-10-02</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2026-10-02</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2026-10-02</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2026-10-02</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2026-10-02</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2026-10-02</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2026-10-02</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2026-10-02</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2026-10-02</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2026-10-02</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2026-10-02</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2026-10-02</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2026-10-02</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2026-10-02</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2026-10-02</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2026-10-02</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2026-10-02</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2026-10-02</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2026-10-02</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2026-10-02</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2026-10-02</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2026-10-02</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2026-10-02</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2026-10-02</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2026-10-02</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2026-10-02</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2026-10-02</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2026-10-02</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2026-10-02</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2026-10-02</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2026-10-02</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2026-10-02</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2026-10-02</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2026-10-02</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2026-10-02</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2026-10-02</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2026-10-02</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2026-10-02</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2026-10-02</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2026-10-02</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2026-10-02</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2026-10-02</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2026-10-02</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2026-10-02</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2026-10-02</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2026-10-02</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2026-10-02</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2026-10-02</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2026-10-02</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2026-10-02</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2026-10-02</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2026-10-02</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2026-10-02</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2026-10-02</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2026-10-02</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2026-10-02</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2026-10-02</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2026-10-02</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2026-10-02</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2026-10-02</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2026-10-02</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2026-10-02</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2026-10-02</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2026-10-02</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2026-10-02</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2026-10-02</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2026-10-02</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2026-10-02</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2026-10-02</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2026-10-02</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2026-10-02</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2026-10-02</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2026-10-02</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2026-10-02</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2026-10-02</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2026-10-02</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/paycheck-months</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82"/>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/month-detail</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Cashflow</t>
        </is>
      </c>
      <c r="C11" s="3" t="inlineStr">
        <is>
          <t>/monthly-income</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/onboarding</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Cashflow</t>
        </is>
      </c>
      <c r="C13" s="3" t="inlineStr">
        <is>
          <t>/paycheck-months</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Cashflow</t>
        </is>
      </c>
      <c r="C14" s="3" t="inlineStr">
        <is>
          <t>/performance</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the same screen as /invest, reached by a second route</t>
        </is>
      </c>
      <c r="Z14" s="3" t="n"/>
      <c r="AA14" s="3" t="n"/>
      <c r="AB14" s="3" t="n"/>
      <c r="AC14" s="3" t="n"/>
      <c r="AD14" s="3" t="n"/>
      <c r="AE14" s="3" t="n"/>
      <c r="AF14" s="3" t="n"/>
      <c r="AG14" s="3" t="n"/>
      <c r="AH14" s="3" t="n"/>
      <c r="AI14" s="3" t="n"/>
      <c r="AJ14" s="3" t="n"/>
      <c r="AK14" s="3" t="n"/>
      <c r="AL14" s="3" t="n"/>
      <c r="AM14" s="3" t="n"/>
      <c r="AN14" s="3" t="n"/>
      <c r="AO14" s="3" t="n"/>
    </row>
    <row r="15" ht="60" customHeight="1">
      <c r="A15" s="3" t="inlineStr">
        <is>
          <t>MK-CF-M-001</t>
        </is>
      </c>
      <c r="B15" s="3" t="inlineStr">
        <is>
          <t>Cashflow</t>
        </is>
      </c>
      <c r="C15" s="3" t="inlineStr">
        <is>
          <t>/cashflow</t>
        </is>
      </c>
      <c r="D15" s="3" t="inlineStr">
        <is>
          <t>Expenses</t>
        </is>
      </c>
      <c r="E15" s="3" t="inlineStr">
        <is>
          <t>expenses</t>
        </is>
      </c>
      <c r="F15" s="3" t="inlineStr">
        <is>
          <t>theMonth</t>
        </is>
      </c>
      <c r="G15" s="3" t="inlineStr">
        <is>
          <t>MK-CF-O-010</t>
        </is>
      </c>
      <c r="H15" s="3" t="inlineStr">
        <is>
          <t>your budget — the per-category plan added up</t>
        </is>
      </c>
      <c r="I15" s="3" t="inlineStr">
        <is>
          <t>your budget — the per-category plan added up</t>
        </is>
      </c>
      <c r="J15" s="3" t="inlineStr">
        <is>
          <t>MK-CF-I-001 your logged expenses</t>
        </is>
      </c>
      <c r="K15" s="3" t="inlineStr">
        <is>
          <t>dollars, whole a month</t>
        </is>
      </c>
      <c r="L15" s="3" t="inlineStr">
        <is>
          <t>$0, and under it the one line "Nothing entered yet. Add your income ›" (mock approved 2026-09-12). A real zero that was entered shows a plain $0 with no line.</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One line on This month, and the Expenses tab is its detail — not a second answer to the same question (his correction, 2026-09-28).</t>
        </is>
      </c>
      <c r="R15" s="3" t="inlineStr">
        <is>
          <t>One line on This month, and the Expenses tab is its detail — not a second answer to the same question (his correction, 2026-09-28).</t>
        </is>
      </c>
      <c r="S15" s="3" t="inlineStr"/>
      <c r="T15" s="3" t="inlineStr">
        <is>
          <t>One line on This month, and the Expenses tab is its detail — not a second answer to the same question (his correction, 2026-09-28).</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income ›'). File written; the screen follows the approved empty-state mock (one pattern, one screen), then every screen.</t>
        </is>
      </c>
      <c r="AF15" s="3" t="inlineStr">
        <is>
          <t>ACTIVE</t>
        </is>
      </c>
      <c r="AG15" s="3" t="inlineStr">
        <is>
          <t>2026-10-02</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5" s="7" t="inlineStr">
        <is>
          <t>RULED, NOT CODED (Q-CF-2 — one question, one function)</t>
        </is>
      </c>
    </row>
    <row r="16" ht="60" customHeight="1">
      <c r="A16" s="3" t="inlineStr">
        <is>
          <t>MK-CF-M-002</t>
        </is>
      </c>
      <c r="B16" s="3" t="inlineStr">
        <is>
          <t>Cashflow</t>
        </is>
      </c>
      <c r="C16" s="3" t="inlineStr">
        <is>
          <t>/cashflow · /home</t>
        </is>
      </c>
      <c r="D16" s="3">
        <f> Planned surplus</f>
        <v/>
      </c>
      <c r="E16" s="3" t="inlineStr">
        <is>
          <t>planned_surplus</t>
        </is>
      </c>
      <c r="F16" s="3" t="inlineStr">
        <is>
          <t>theMonth</t>
        </is>
      </c>
      <c r="G16" s="3" t="inlineStr">
        <is>
          <t>MK-CF-O-010</t>
        </is>
      </c>
      <c r="H16" s="3" t="inlineStr">
        <is>
          <t>the inflow, less every debt payment due, less the budget, less each big-ticket item</t>
        </is>
      </c>
      <c r="I16" s="3" t="inlineStr">
        <is>
          <t>the inflow, less every debt payment due, less the budget, less each big-ticket item</t>
        </is>
      </c>
      <c r="J16" s="3" t="inlineStr">
        <is>
          <t>MK-XS-I-023 salary and other income
MK-NW-I-002 your debts
MK-CF-I-001 your logged expenses</t>
        </is>
      </c>
      <c r="K16" s="3" t="inlineStr">
        <is>
          <t>dollars, whole a month</t>
        </is>
      </c>
      <c r="L16" s="3" t="inlineStr">
        <is>
          <t>$0, and under it the one line "Nothing entered yet. Add your bills ›" (mock approved 2026-09-12). A real zero that was entered shows a plain $0 with no line.</t>
        </is>
      </c>
      <c r="M16" s="3" t="inlineStr">
        <is>
          <t>one figure per household</t>
        </is>
      </c>
      <c r="N16" s="3" t="inlineStr">
        <is>
          <t>a month</t>
        </is>
      </c>
      <c r="O16" s="3" t="inlineStr">
        <is>
          <t>1. MK-CF-F-203 (MONTH) → NOT DECLARED — the code does not say what it gives back
2. MK-CF-F-155 (cash) → number
3. MK-CF-O-002 (expenses) → Expenses
4. MK-CF-O-003 (thisMonth) → ThisMonth</t>
        </is>
      </c>
      <c r="P16" s="3" t="inlineStr">
        <is>
          <t>Declared by MK-CF-O-010 theMonth</t>
        </is>
      </c>
      <c r="Q16" s="3" t="inlineStr">
        <is>
          <t>EVERY ROW SHOWN IS A ROW DEDUCTED (his rule under the approved design): nothing appears on This month without being in the sum.</t>
        </is>
      </c>
      <c r="R16" s="3" t="inlineStr">
        <is>
          <t>EVERY ROW SHOWN IS A ROW DEDUCTED (his rule under the approved design): nothing appears on This month without being in the sum.</t>
        </is>
      </c>
      <c r="S16" s="3" t="inlineStr"/>
      <c r="T16"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bills ›'). File written; the screen follows the approved empty-state mock (one pattern, one screen), then every screen.</t>
        </is>
      </c>
      <c r="AF16" s="3" t="inlineStr">
        <is>
          <t>ACTIVE</t>
        </is>
      </c>
      <c r="AG16" s="3" t="inlineStr">
        <is>
          <t>2026-10-02</t>
        </is>
      </c>
      <c r="AH16" s="3" t="inlineStr"/>
      <c r="AI16" s="3" t="inlineStr"/>
      <c r="AJ1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6" s="7" t="inlineStr">
        <is>
          <t>RULED, NOT CODED (Q-CF-2 — one question, one function)</t>
        </is>
      </c>
    </row>
    <row r="17" ht="60" customHeight="1">
      <c r="A17" s="3" t="inlineStr">
        <is>
          <t>MK-CF-M-003</t>
        </is>
      </c>
      <c r="B17" s="3" t="inlineStr">
        <is>
          <t>Cashflow</t>
        </is>
      </c>
      <c r="C17" s="3" t="inlineStr">
        <is>
          <t>/cashflow · /month-detail</t>
        </is>
      </c>
      <c r="D17" s="3">
        <f> Actual surplus so far</f>
        <v/>
      </c>
      <c r="E17" s="3" t="inlineStr">
        <is>
          <t>actual_surplus_so_far</t>
        </is>
      </c>
      <c r="F17" s="3" t="inlineStr">
        <is>
          <t>theMonth</t>
        </is>
      </c>
      <c r="G17" s="3" t="inlineStr">
        <is>
          <t>MK-CF-O-010</t>
        </is>
      </c>
      <c r="H17" s="3" t="inlineStr">
        <is>
          <t>the inflow received, less each debt actually paid, less everything logged by hand and imported</t>
        </is>
      </c>
      <c r="I17" s="3" t="inlineStr">
        <is>
          <t>the inflow received, less each debt actually paid, less everything logged by hand and imported</t>
        </is>
      </c>
      <c r="J17" s="3" t="inlineStr">
        <is>
          <t>MK-NW-I-004 the activity records
MK-CF-I-001 your logged expenses</t>
        </is>
      </c>
      <c r="K17" s="3" t="inlineStr">
        <is>
          <t>dollars, whole a month</t>
        </is>
      </c>
      <c r="L17" s="3" t="inlineStr">
        <is>
          <t>Nothing logged and no card linked — it says so and offers the door.</t>
        </is>
      </c>
      <c r="M17" s="3" t="inlineStr">
        <is>
          <t>one figure per household</t>
        </is>
      </c>
      <c r="N17" s="3" t="inlineStr">
        <is>
          <t>a month</t>
        </is>
      </c>
      <c r="O17" s="3" t="inlineStr">
        <is>
          <t>1. MK-CF-F-203 (MONTH) → NOT DECLARED — the code does not say what it gives back
2. MK-CF-F-155 (cash) → number
3. MK-CF-O-002 (expenses) → Expenses
4. MK-CF-O-003 (thisMonth) → ThisMonth</t>
        </is>
      </c>
      <c r="P17" s="3" t="inlineStr">
        <is>
          <t>Declared by MK-CF-O-010 theMonth</t>
        </is>
      </c>
      <c r="Q17"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7"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7" s="3" t="inlineStr"/>
      <c r="T17"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c r="AF17" s="3" t="inlineStr">
        <is>
          <t>ACTIVE</t>
        </is>
      </c>
      <c r="AG17" s="3" t="inlineStr">
        <is>
          <t>2026-10-02</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MK-CF-O-010 theMonth</t>
        </is>
      </c>
      <c r="AN17"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7" s="7" t="inlineStr">
        <is>
          <t>RULED, NOT CODED (Q-CF-2 — one question, one function)</t>
        </is>
      </c>
    </row>
    <row r="18" ht="60" customHeight="1">
      <c r="A18" s="3" t="inlineStr">
        <is>
          <t>MK-CF-M-004</t>
        </is>
      </c>
      <c r="B18" s="3" t="inlineStr">
        <is>
          <t>Cashflow</t>
        </is>
      </c>
      <c r="C18" s="3" t="inlineStr">
        <is>
          <t>/cashflow</t>
        </is>
      </c>
      <c r="D18" s="3" t="inlineStr">
        <is>
          <t>each row of the month — what it is and what it costs</t>
        </is>
      </c>
      <c r="E18" s="3" t="inlineStr">
        <is>
          <t>each_row_of_the_month__what_it_is_and_wh</t>
        </is>
      </c>
      <c r="F18" s="3" t="inlineStr">
        <is>
          <t>theMonth</t>
        </is>
      </c>
      <c r="G18" s="3" t="inlineStr">
        <is>
          <t>MK-CF-F-194</t>
        </is>
      </c>
      <c r="H18" s="3" t="inlineStr">
        <is>
          <t>outflow = expenses this month + debt actually paid this month  (a month with a saved snapshot: its expenses + debt paid; a month without one: the expenses logged so far)</t>
        </is>
      </c>
      <c r="I18" s="3" t="inlineStr">
        <is>
          <t>This month's outflow: everything logged as an expense plus every debt payment actually made — from one function (MK-CF-F-194 monthOutflow), never added on the screen. The label says what is inside: "Outflow (expenses + debt)".</t>
        </is>
      </c>
      <c r="J18" s="3" t="inlineStr">
        <is>
          <t>MK-XS-I-023 salary and other income
MK-NW-I-002 your debts
MK-CF-I-001 your logged expenses</t>
        </is>
      </c>
      <c r="K18" s="3" t="inlineStr">
        <is>
          <t>dollars, whole</t>
        </is>
      </c>
      <c r="L18" s="3" t="inlineStr">
        <is>
          <t>$0, and under it the one line "Nothing entered yet. Log your expenses ›" (mock approved 2026-09-12). A real zero that was entered shows a plain $0 with no line.</t>
        </is>
      </c>
      <c r="M18" s="3" t="inlineStr">
        <is>
          <t>one row</t>
        </is>
      </c>
      <c r="N18" s="3" t="inlineStr">
        <is>
          <t>as of today</t>
        </is>
      </c>
      <c r="O18" s="3" t="inlineStr">
        <is>
          <t>None — it reads its inputs and answers</t>
        </is>
      </c>
      <c r="P18" s="3" t="inlineStr">
        <is>
          <t>Declared by MK-CF-O-010 theMonth</t>
        </is>
      </c>
      <c r="Q18" s="3" t="inlineStr">
        <is>
          <t>Drawn from the approved design (cash-flow_v01): the flow is SPELLED OUT, not summarised into three numbers.</t>
        </is>
      </c>
      <c r="R18" s="3" t="inlineStr">
        <is>
          <t>Drawn from the approved design (cash-flow_v01): the flow is SPELLED OUT, not summarised into three numbers.</t>
        </is>
      </c>
      <c r="S18" s="3" t="inlineStr"/>
      <c r="T18"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8" s="3" t="inlineStr"/>
      <c r="V18"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8" s="9" t="inlineStr">
        <is>
          <t>count them</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('Log your expenses ›'). File written; the screen follows the approved empty-state mock (one pattern, one screen), then every screen.</t>
        </is>
      </c>
      <c r="AF18" s="3" t="inlineStr">
        <is>
          <t>ACTIVE</t>
        </is>
      </c>
      <c r="AG18" s="3" t="inlineStr">
        <is>
          <t>2026-10-02</t>
        </is>
      </c>
      <c r="AH18" s="3" t="inlineStr"/>
      <c r="AI18" s="3" t="inlineStr"/>
      <c r="AJ18" s="3" t="inlineStr">
        <is>
          <t>NONE — no function in this chain reads a stored input the sweep knows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MK-CF-O-010 theMonth</t>
        </is>
      </c>
      <c r="AN1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8" s="9" t="inlineStr">
        <is>
          <t>WAITING ON YOU — question Q50 · RULED, NOT CODED (Q-CF-2 — one question, one function)</t>
        </is>
      </c>
    </row>
    <row r="19" ht="60" customHeight="1">
      <c r="A19" s="3" t="inlineStr">
        <is>
          <t>MK-CF-M-006</t>
        </is>
      </c>
      <c r="B19" s="3" t="inlineStr">
        <is>
          <t>Cashflow</t>
        </is>
      </c>
      <c r="C19" s="3" t="inlineStr">
        <is>
          <t>/cashflow</t>
        </is>
      </c>
      <c r="D19" s="3" t="inlineStr">
        <is>
          <t>YOUR SOURCES — Base salary</t>
        </is>
      </c>
      <c r="E19" s="3" t="inlineStr">
        <is>
          <t>your_sources__base_salary</t>
        </is>
      </c>
      <c r="F19" s="3" t="inlineStr">
        <is>
          <t>incomeSummary</t>
        </is>
      </c>
      <c r="G19" s="3" t="inlineStr">
        <is>
          <t>MK-CF-O-004</t>
        </is>
      </c>
      <c r="H19" s="3" t="inlineStr">
        <is>
          <t>the base salary of each earner, in the period it was entered</t>
        </is>
      </c>
      <c r="I19" s="3" t="inlineStr">
        <is>
          <t>the base salary of each earner, in the period it was entered</t>
        </is>
      </c>
      <c r="J19" s="3" t="inlineStr">
        <is>
          <t>MK-XS-I-023 salary and other income
MK-XS-I-060 how a person is paid — weekly, fortnightly, monthly</t>
        </is>
      </c>
      <c r="K19" s="3" t="inlineStr">
        <is>
          <t>dollars, whole</t>
        </is>
      </c>
      <c r="L19" s="3" t="inlineStr">
        <is>
          <t>$0, and under it the one line "Nothing entered yet. Add your income ›" (mock approved 2026-09-12). A real zero that was entered shows a plain $0 with no line.</t>
        </is>
      </c>
      <c r="M19" s="3" t="inlineStr">
        <is>
          <t>one earner</t>
        </is>
      </c>
      <c r="N19" s="3" t="inlineStr">
        <is>
          <t>as of today</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9" s="3" t="inlineStr">
        <is>
          <t>Declared by MK-CF-O-004 incomeSummary</t>
        </is>
      </c>
      <c r="Q19" s="3" t="inlineStr">
        <is>
          <t>NEVER CONVERTED SILENTLY: the amount is shown in the period it was entered, and the period is said beside it.</t>
        </is>
      </c>
      <c r="R19" s="3" t="inlineStr">
        <is>
          <t>NEVER CONVERTED SILENTLY: the amount is shown in the period it was entered, and the period is said beside it.</t>
        </is>
      </c>
      <c r="S19" s="3" t="inlineStr"/>
      <c r="T19" s="3" t="inlineStr">
        <is>
          <t>NEVER CONVERTED SILENTLY: the amount is shown in the period it was entered, and the period is said beside it.</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2026-10-02</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9" s="7" t="inlineStr">
        <is>
          <t>RULED, NOT CODED (Q-CF-1 — one question, one function)</t>
        </is>
      </c>
    </row>
    <row r="20" ht="60" customHeight="1">
      <c r="A20" s="3" t="inlineStr">
        <is>
          <t>MK-CF-M-007</t>
        </is>
      </c>
      <c r="B20" s="3" t="inlineStr">
        <is>
          <t>Cashflow</t>
        </is>
      </c>
      <c r="C20" s="3" t="inlineStr">
        <is>
          <t>/cashflow</t>
        </is>
      </c>
      <c r="D20" s="3" t="inlineStr">
        <is>
          <t>YOUR SOURCES — Self-employment</t>
        </is>
      </c>
      <c r="E20" s="3" t="inlineStr">
        <is>
          <t>your_sources__selfemployment</t>
        </is>
      </c>
      <c r="F20" s="3" t="inlineStr">
        <is>
          <t>incomeSummary</t>
        </is>
      </c>
      <c r="G20" s="3" t="inlineStr">
        <is>
          <t>MK-CF-O-004</t>
        </is>
      </c>
      <c r="H20" s="3" t="inlineStr">
        <is>
          <t>the self-employment amount as entered, monthly or yearly</t>
        </is>
      </c>
      <c r="I20" s="3" t="inlineStr">
        <is>
          <t>the self-employment amount as entered, monthly or yearly</t>
        </is>
      </c>
      <c r="J20" s="3" t="inlineStr">
        <is>
          <t>MK-XS-I-023 salary and other income</t>
        </is>
      </c>
      <c r="K20" s="3" t="inlineStr">
        <is>
          <t>dollars, whole</t>
        </is>
      </c>
      <c r="L20" s="3" t="inlineStr">
        <is>
          <t>$0, and under it the one line "Nothing entered yet. Add your income ›" (mock approved 2026-09-12). A real zero that was entered shows a plain $0 with no line.</t>
        </is>
      </c>
      <c r="M20" s="3" t="inlineStr">
        <is>
          <t>one figure per household</t>
        </is>
      </c>
      <c r="N20" s="3" t="inlineStr">
        <is>
          <t>as of today</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2026-10-02</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20" s="7" t="inlineStr">
        <is>
          <t>RULED, NOT CODED (Q-CF-1 — one question, one function)</t>
        </is>
      </c>
    </row>
    <row r="21" ht="60" customHeight="1">
      <c r="A21" s="3" t="inlineStr">
        <is>
          <t>MK-CF-M-008</t>
        </is>
      </c>
      <c r="B21" s="3" t="inlineStr">
        <is>
          <t>Cashflow</t>
        </is>
      </c>
      <c r="C21" s="3" t="inlineStr">
        <is>
          <t>/cashflow</t>
        </is>
      </c>
      <c r="D21" s="3" t="inlineStr">
        <is>
          <t>YOUR SOURCES — Bonus</t>
        </is>
      </c>
      <c r="E21" s="3" t="inlineStr">
        <is>
          <t>your_sources__bonus</t>
        </is>
      </c>
      <c r="F21" s="3" t="inlineStr">
        <is>
          <t>incomeSummary</t>
        </is>
      </c>
      <c r="G21" s="3" t="inlineStr">
        <is>
          <t>MK-CF-O-004</t>
        </is>
      </c>
      <c r="H21" s="3" t="inlineStr">
        <is>
          <t>the bonus as entered, a year; shown in the month it lands, never spread</t>
        </is>
      </c>
      <c r="I21" s="3" t="inlineStr">
        <is>
          <t>the bonus as entered, a year; shown in the month it lands, never spread</t>
        </is>
      </c>
      <c r="J21" s="3" t="inlineStr">
        <is>
          <t>MK-CF-I-009 bonus
MK-XS-I-059 the month a bonus lands</t>
        </is>
      </c>
      <c r="K21" s="3" t="inlineStr">
        <is>
          <t>dollars, whole a year</t>
        </is>
      </c>
      <c r="L21" s="3" t="inlineStr">
        <is>
          <t>$0, and under it the one line "Nothing entered yet. Add your income ›" (mock approved 2026-09-12). A real zero that was entered shows a plain $0 with no line.</t>
        </is>
      </c>
      <c r="M21" s="3" t="inlineStr">
        <is>
          <t>one figure per household</t>
        </is>
      </c>
      <c r="N21" s="3" t="inlineStr">
        <is>
          <t>a year</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1" s="3" t="inlineStr">
        <is>
          <t>Declared by MK-CF-O-004 incomeSummary</t>
        </is>
      </c>
      <c r="Q21" s="3" t="inlineStr">
        <is>
          <t>A LUMP THAT LANDS ONCE IS NEVER AVERAGED across the year (founder, 2026-08-28).</t>
        </is>
      </c>
      <c r="R21" s="3" t="inlineStr">
        <is>
          <t>A LUMP THAT LANDS ONCE IS NEVER AVERAGED across the year (founder, 2026-08-28).</t>
        </is>
      </c>
      <c r="S21" s="3" t="inlineStr"/>
      <c r="T21" s="3" t="inlineStr">
        <is>
          <t>A LUMP THAT LANDS ONCE IS NEVER AVERAGED across the year (founder, 2026-08-28).</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is>
          <t>G32 / Q48 — 2026-09-09: the 'division with nothing on the bottom' boilerplate is gone; this cell now states the row's real refusal. Where it says 'built', the screen already does it; the rest follow the empty-state mock.</t>
        </is>
      </c>
      <c r="AF21" s="3" t="inlineStr">
        <is>
          <t>ACTIVE</t>
        </is>
      </c>
      <c r="AG21" s="3" t="inlineStr">
        <is>
          <t>2026-10-02</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21" s="7" t="inlineStr">
        <is>
          <t>RULED, NOT CODED (Q-CF-1 — one question, one function)</t>
        </is>
      </c>
    </row>
    <row r="22" ht="60" customHeight="1">
      <c r="A22" s="3" t="inlineStr">
        <is>
          <t>MK-CF-M-009</t>
        </is>
      </c>
      <c r="B22" s="3" t="inlineStr">
        <is>
          <t>Cashflow</t>
        </is>
      </c>
      <c r="C22" s="3" t="inlineStr">
        <is>
          <t>/cashflow</t>
        </is>
      </c>
      <c r="D22" s="3" t="inlineStr">
        <is>
          <t>YOUR SOURCES — Stock vesting (equity)</t>
        </is>
      </c>
      <c r="E22" s="3" t="inlineStr">
        <is>
          <t>your_sources__stock_vesting_equity</t>
        </is>
      </c>
      <c r="F22" s="3" t="inlineStr">
        <is>
          <t>incomeSummary</t>
        </is>
      </c>
      <c r="G22" s="3" t="inlineStr">
        <is>
          <t>MK-CF-O-004</t>
        </is>
      </c>
      <c r="H22" s="3" t="inlineStr">
        <is>
          <t>shares vesting × price per share; with a grant schedule, the total ÷ the years it vests over</t>
        </is>
      </c>
      <c r="I22" s="3" t="inlineStr">
        <is>
          <t>shares vesting × price per share; with a grant schedule, the total ÷ the years it vests over</t>
        </is>
      </c>
      <c r="J22" s="3" t="inlineStr">
        <is>
          <t>MK-CF-I-010 equity vesting
MK-XS-I-005 holding price</t>
        </is>
      </c>
      <c r="K22" s="3" t="inlineStr">
        <is>
          <t>dollars, whole a year</t>
        </is>
      </c>
      <c r="L22" s="3" t="inlineStr">
        <is>
          <t>$0, and under it the one line "Nothing entered yet. Add your income ›" (mock approved 2026-09-12). A real zero that was entered shows a plain $0 with no line.</t>
        </is>
      </c>
      <c r="M22" s="3" t="inlineStr">
        <is>
          <t>one figure per household</t>
        </is>
      </c>
      <c r="N22" s="3" t="inlineStr">
        <is>
          <t>a year</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2026-09-09: the 'division with nothing on the bottom' boilerplate is gone; this cell now states the row's real refusal. Where it says 'built', the screen already does it; the rest follow the empty-state mock.</t>
        </is>
      </c>
      <c r="AF22" s="3" t="inlineStr">
        <is>
          <t>ACTIVE</t>
        </is>
      </c>
      <c r="AG22" s="3" t="inlineStr">
        <is>
          <t>2026-10-02</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2" s="7" t="inlineStr">
        <is>
          <t>RULED, NOT CODED (Q-CF-1 — one question, one function)</t>
        </is>
      </c>
    </row>
    <row r="23" ht="60" customHeight="1">
      <c r="A23" s="3" t="inlineStr">
        <is>
          <t>MK-CF-M-010</t>
        </is>
      </c>
      <c r="B23" s="3" t="inlineStr">
        <is>
          <t>Cashflow</t>
        </is>
      </c>
      <c r="C23" s="3" t="inlineStr">
        <is>
          <t>/cashflow</t>
        </is>
      </c>
      <c r="D23" s="3" t="inlineStr">
        <is>
          <t>YOUR SOURCES — Rental property</t>
        </is>
      </c>
      <c r="E23" s="3" t="inlineStr">
        <is>
          <t>your_sources__rental_property</t>
        </is>
      </c>
      <c r="F23" s="3" t="inlineStr">
        <is>
          <t>incomeSummary</t>
        </is>
      </c>
      <c r="G23" s="3" t="inlineStr">
        <is>
          <t>MK-CF-O-004</t>
        </is>
      </c>
      <c r="H23" s="3" t="inlineStr">
        <is>
          <t>(rent − running costs) for each rental, added up</t>
        </is>
      </c>
      <c r="I23" s="3" t="inlineStr">
        <is>
          <t>(rent − running costs) for each rental, added up</t>
        </is>
      </c>
      <c r="J23" s="3" t="inlineStr">
        <is>
          <t>MK-CF-I-007 rental income</t>
        </is>
      </c>
      <c r="K23" s="3" t="inlineStr">
        <is>
          <t>dollars, whole a month</t>
        </is>
      </c>
      <c r="L23" s="3" t="inlineStr">
        <is>
          <t>No rental entered — the row does not appear.</t>
        </is>
      </c>
      <c r="M23" s="3" t="inlineStr">
        <is>
          <t>one figure per household</t>
        </is>
      </c>
      <c r="N23" s="3" t="inlineStr">
        <is>
          <t>a month</t>
        </is>
      </c>
      <c r="O2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3" s="3" t="inlineStr">
        <is>
          <t>Declared by MK-CF-O-004 incomeSummary</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2026-10-02</t>
        </is>
      </c>
      <c r="AA23" s="3" t="inlineStr"/>
      <c r="AB23" s="3" t="inlineStr"/>
      <c r="AC23" s="3" t="inlineStr"/>
      <c r="AD23" s="3" t="inlineStr"/>
      <c r="AE23" s="3" t="inlineStr"/>
      <c r="AF23" s="3" t="inlineStr">
        <is>
          <t>ACTIVE</t>
        </is>
      </c>
      <c r="AG23" s="3" t="inlineStr">
        <is>
          <t>2026-10-02</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2026-10-02; the figure, its formula, inputs and refusal live in MK-CF-O-004 incomeSummary</t>
        </is>
      </c>
      <c r="AN23"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3" s="7" t="inlineStr">
        <is>
          <t>RULED, NOT CODED (Q-CF-1 — one question, one function)</t>
        </is>
      </c>
    </row>
    <row r="24" ht="60" customHeight="1">
      <c r="A24" s="3" t="inlineStr">
        <is>
          <t>MK-CF-M-011</t>
        </is>
      </c>
      <c r="B24" s="3" t="inlineStr">
        <is>
          <t>Cashflow</t>
        </is>
      </c>
      <c r="C24" s="3" t="inlineStr">
        <is>
          <t>/cashflow</t>
        </is>
      </c>
      <c r="D24" s="3" t="inlineStr">
        <is>
          <t>YOUR SOURCES — Social Security · pension</t>
        </is>
      </c>
      <c r="E24" s="3" t="inlineStr">
        <is>
          <t>your_sources__social_security__pension</t>
        </is>
      </c>
      <c r="F24" s="3" t="inlineStr">
        <is>
          <t>incomeSummary</t>
        </is>
      </c>
      <c r="G24" s="3" t="inlineStr">
        <is>
          <t>MK-CF-O-004</t>
        </is>
      </c>
      <c r="H24" s="3" t="inlineStr">
        <is>
          <t>Social Security + pension + annuity + other, each brought to a monthly amount</t>
        </is>
      </c>
      <c r="I24" s="3" t="inlineStr">
        <is>
          <t>Social Security + pension + annuity + other, each brought to a monthly amount</t>
        </is>
      </c>
      <c r="J24" s="3" t="inlineStr">
        <is>
          <t>MK-XS-I-020 Social Security monthly amount
MK-XS-I-022 pension monthly amount
MK-XS-I-035 annuity income
MK-XS-I-036 other guaranteed income</t>
        </is>
      </c>
      <c r="K24" s="3" t="inlineStr">
        <is>
          <t>dollars, whole a month</t>
        </is>
      </c>
      <c r="L24" s="3" t="inlineStr">
        <is>
          <t>$0, and under it the one line "Nothing entered yet. Add your income ›" (mock approved 2026-09-12). A real zero that was entered shows a plain $0 with no line.</t>
        </is>
      </c>
      <c r="M24" s="3" t="inlineStr">
        <is>
          <t>one figure per household</t>
        </is>
      </c>
      <c r="N24" s="3" t="inlineStr">
        <is>
          <t>a month</t>
        </is>
      </c>
      <c r="O2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4" s="3" t="inlineStr">
        <is>
          <t>Declared by MK-CF-O-004 incomeSummary</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('Add your income ›'). File written; the screen follows the approved empty-state mock (one pattern, one screen), then every screen.</t>
        </is>
      </c>
      <c r="AF24" s="3" t="inlineStr">
        <is>
          <t>ACTIVE</t>
        </is>
      </c>
      <c r="AG24" s="3" t="inlineStr">
        <is>
          <t>2026-10-02</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MK-CF-O-004 incomeSummary</t>
        </is>
      </c>
      <c r="AN24"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4" s="7" t="inlineStr">
        <is>
          <t>RULED, NOT CODED (Q-PL-2 — one question, one function)</t>
        </is>
      </c>
    </row>
    <row r="25" ht="60" customHeight="1">
      <c r="A25" s="3" t="inlineStr">
        <is>
          <t>MK-CF-M-012</t>
        </is>
      </c>
      <c r="B25" s="3" t="inlineStr">
        <is>
          <t>Cashflow</t>
        </is>
      </c>
      <c r="C25" s="3" t="inlineStr">
        <is>
          <t>/cashflow · /income · /income-manager</t>
        </is>
      </c>
      <c r="D25" s="3" t="inlineStr">
        <is>
          <t>RECEIVED · &lt;month&gt; — each payment</t>
        </is>
      </c>
      <c r="E25" s="3" t="inlineStr">
        <is>
          <t>received__month__each_payment</t>
        </is>
      </c>
      <c r="F25" s="3" t="inlineStr">
        <is>
          <t>whatsComing</t>
        </is>
      </c>
      <c r="G25" s="3" t="inlineStr">
        <is>
          <t>MK-CF-O-008</t>
        </is>
      </c>
      <c r="H25" s="3" t="inlineStr">
        <is>
          <t>the income records dated inside the month</t>
        </is>
      </c>
      <c r="I25" s="3" t="inlineStr">
        <is>
          <t>the income records dated inside the month</t>
        </is>
      </c>
      <c r="J25" s="3" t="inlineStr">
        <is>
          <t>MK-NW-I-004 the activity records</t>
        </is>
      </c>
      <c r="K25" s="3" t="inlineStr">
        <is>
          <t>dollars, two decimals</t>
        </is>
      </c>
      <c r="L25" s="3" t="inlineStr">
        <is>
          <t>Nothing received yet this month.</t>
        </is>
      </c>
      <c r="M25" s="3" t="inlineStr">
        <is>
          <t>one payment</t>
        </is>
      </c>
      <c r="N25" s="3" t="inlineStr">
        <is>
          <t>as of today</t>
        </is>
      </c>
      <c r="O25" s="3" t="inlineStr">
        <is>
          <t>MK-CF-F-019 (upcomingBills) → NOT DECLARED — the code does not say what it gives back</t>
        </is>
      </c>
      <c r="P25" s="3" t="inlineStr">
        <is>
          <t>Declared by MK-CF-O-008 whatsComing</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2026-09-27</t>
        </is>
      </c>
      <c r="AA25" s="3" t="inlineStr"/>
      <c r="AB25" s="3" t="inlineStr"/>
      <c r="AC25" s="3" t="inlineStr"/>
      <c r="AD25" s="3" t="inlineStr"/>
      <c r="AE25" s="3" t="inlineStr"/>
      <c r="AF25" s="3" t="inlineStr">
        <is>
          <t>ACTIVE</t>
        </is>
      </c>
      <c r="AG25" s="3" t="inlineStr">
        <is>
          <t>2026-10-02</t>
        </is>
      </c>
      <c r="AH25" s="3" t="inlineStr"/>
      <c r="AI25" s="3" t="inlineStr"/>
      <c r="AJ2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MK-CF-O-008 whatsComing</t>
        </is>
      </c>
      <c r="AN25" s="3" t="inlineStr">
        <is>
          <t>Two $3,600 salary payments landed in September, on the 15th and the 30th; one landed on 31 August.
GIVES: $3,600.00
(the test re-runs this through MK-CF-O-008 whatsComing on every build)</t>
        </is>
      </c>
      <c r="AO25" s="7" t="inlineStr">
        <is>
          <t>RULED, NOT CODED (Q-CF-3 — one question, one function)</t>
        </is>
      </c>
    </row>
    <row r="26" ht="60" customHeight="1">
      <c r="A26" s="3" t="inlineStr">
        <is>
          <t>MK-CF-M-013</t>
        </is>
      </c>
      <c r="B26" s="3" t="inlineStr">
        <is>
          <t>Cashflow</t>
        </is>
      </c>
      <c r="C26" s="3" t="inlineStr">
        <is>
          <t>/cashflow · /month-detail</t>
        </is>
      </c>
      <c r="D26" s="3" t="inlineStr">
        <is>
          <t>&lt;MONTH&gt; · $X SPENT</t>
        </is>
      </c>
      <c r="E26" s="3" t="inlineStr">
        <is>
          <t>month__x_spent</t>
        </is>
      </c>
      <c r="F26" s="3" t="inlineStr">
        <is>
          <t>theMonth</t>
        </is>
      </c>
      <c r="G26" s="3" t="inlineStr">
        <is>
          <t>MK-CF-O-010</t>
        </is>
      </c>
      <c r="H26" s="3" t="inlineStr">
        <is>
          <t>every expense logged inside the month, added up — a debt payment logged as an expense is counted with the debts, not here</t>
        </is>
      </c>
      <c r="I26" s="3" t="inlineStr">
        <is>
          <t>every expense logged inside the month, added up — a debt payment logged as an expense is counted with the debts, not here</t>
        </is>
      </c>
      <c r="J26" s="3" t="inlineStr">
        <is>
          <t>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figure per household</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2026-10-02</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6" s="7" t="inlineStr">
        <is>
          <t>RULED, NOT CODED (Q-CF-2 — one question, one function)</t>
        </is>
      </c>
    </row>
    <row r="27" ht="60" customHeight="1">
      <c r="A27" s="3" t="inlineStr">
        <is>
          <t>MK-CF-M-014</t>
        </is>
      </c>
      <c r="B27" s="3" t="inlineStr">
        <is>
          <t>Cashflow</t>
        </is>
      </c>
      <c r="C27" s="3" t="inlineStr">
        <is>
          <t>/cashflow · /worth-a-look</t>
        </is>
      </c>
      <c r="D27" s="3" t="inlineStr">
        <is>
          <t>each expense and its amount</t>
        </is>
      </c>
      <c r="E27" s="3" t="inlineStr">
        <is>
          <t>each_expense_and_its_amount</t>
        </is>
      </c>
      <c r="F27" s="3" t="inlineStr">
        <is>
          <t>theMonth</t>
        </is>
      </c>
      <c r="G27" s="3" t="inlineStr">
        <is>
          <t>MK-CF-O-010</t>
        </is>
      </c>
      <c r="H27" s="3" t="inlineStr">
        <is>
          <t>the amount as logged</t>
        </is>
      </c>
      <c r="I27" s="3" t="inlineStr">
        <is>
          <t>the amount as logged</t>
        </is>
      </c>
      <c r="J27" s="3" t="inlineStr">
        <is>
          <t>MK-CF-I-016 logged expense</t>
        </is>
      </c>
      <c r="K27" s="3" t="inlineStr">
        <is>
          <t>dollars, two decimals</t>
        </is>
      </c>
      <c r="L27" s="3" t="inlineStr">
        <is>
          <t>$0, and under it the one line "Nothing entered yet. Log your expenses ›" (mock approved 2026-09-12). A real zero that was entered shows a plain $0 with no line.</t>
        </is>
      </c>
      <c r="M27" s="3" t="inlineStr">
        <is>
          <t>one expense</t>
        </is>
      </c>
      <c r="N27" s="3" t="inlineStr">
        <is>
          <t>as of today</t>
        </is>
      </c>
      <c r="O27" s="3" t="inlineStr">
        <is>
          <t>1. MK-CF-F-203 (MONTH) → NOT DECLARED — the code does not say what it gives back
2. MK-CF-F-155 (cash) → number
3. MK-CF-O-002 (expenses) → Expenses
4. MK-CF-O-003 (thisMonth) → ThisMonth</t>
        </is>
      </c>
      <c r="P27" s="3" t="inlineStr">
        <is>
          <t>Declared by MK-CF-O-010 theMonth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2026-10-02</t>
        </is>
      </c>
      <c r="AA27" s="3" t="inlineStr"/>
      <c r="AB27" s="3" t="inlineStr"/>
      <c r="AC27" s="3" t="inlineStr"/>
      <c r="AD27" s="3" t="inlineStr"/>
      <c r="AE27" s="3" t="inlineStr">
        <is>
          <t>G32 / Q48 — RULED 2026-09-09: $0 stays, with the sentence '$0 — nothing entered yet.' and this row's door ('Log your expenses ›'). File written; the screen follows the approved empty-state mock (one pattern, one screen), then every screen.</t>
        </is>
      </c>
      <c r="AF27" s="3" t="inlineStr">
        <is>
          <t>ACTIVE</t>
        </is>
      </c>
      <c r="AG27" s="3" t="inlineStr">
        <is>
          <t>2026-10-02</t>
        </is>
      </c>
      <c r="AH27" s="3" t="inlineStr"/>
      <c r="AI27" s="3" t="inlineStr"/>
      <c r="AJ2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2026-10-02; the figure, its formula, inputs and refusal live in MK-CF-O-010 theMonth</t>
        </is>
      </c>
      <c r="AN27"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7" s="7" t="inlineStr">
        <is>
          <t>RULED, NOT CODED (Q-CF-2 — one question, one function)</t>
        </is>
      </c>
    </row>
    <row r="28" ht="60" customHeight="1">
      <c r="A28" s="3" t="inlineStr">
        <is>
          <t>MK-CF-M-015</t>
        </is>
      </c>
      <c r="B28" s="3" t="inlineStr">
        <is>
          <t>Cashflow</t>
        </is>
      </c>
      <c r="C28" s="3" t="inlineStr">
        <is>
          <t>/cashflow</t>
        </is>
      </c>
      <c r="D28" s="3" t="inlineStr">
        <is>
          <t>BY CATEGORY VS PLAN — $X of $Y</t>
        </is>
      </c>
      <c r="E28" s="3" t="inlineStr">
        <is>
          <t>by_category_vs_plan__x_of_y</t>
        </is>
      </c>
      <c r="F28" s="3" t="inlineStr">
        <is>
          <t>theMonth</t>
        </is>
      </c>
      <c r="G28" s="3" t="inlineStr">
        <is>
          <t>MK-CF-O-010</t>
        </is>
      </c>
      <c r="H28" s="3" t="inlineStr">
        <is>
          <t>planned = the category’s budget line; spent = the expenses logged in that category inside the month</t>
        </is>
      </c>
      <c r="I28" s="3" t="inlineStr">
        <is>
          <t>planned = the category’s budget line; spent = the expenses logged in that category inside the month</t>
        </is>
      </c>
      <c r="J28" s="3" t="inlineStr">
        <is>
          <t>MK-CF-I-012 planned expenses
MK-CF-I-001 your logged expenses</t>
        </is>
      </c>
      <c r="K28" s="3" t="inlineStr">
        <is>
          <t>dollars, whole</t>
        </is>
      </c>
      <c r="L28" s="3" t="inlineStr">
        <is>
          <t>$0, and under it the one line "Nothing entered yet. Log your expenses ›" (mock approved 2026-09-12). A real zero that was entered shows a plain $0 with no line.</t>
        </is>
      </c>
      <c r="M28" s="3" t="inlineStr">
        <is>
          <t>one category</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NONE RECORDED — the declaration names none.</t>
        </is>
      </c>
      <c r="R28" s="3" t="inlineStr">
        <is>
          <t>NONE RECORDED — the declaration names none.</t>
        </is>
      </c>
      <c r="S28" s="3" t="inlineStr"/>
      <c r="T28"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is>
          <t>G32 / Q48 — RULED 2026-09-09: $0 stays, with the sentence '$0 — nothing entered yet.' and this row's door ('Log your expenses ›'). File written; the screen follows the approved empty-state mock (one pattern, one screen), then every screen.</t>
        </is>
      </c>
      <c r="AF28" s="3" t="inlineStr">
        <is>
          <t>ACTIVE</t>
        </is>
      </c>
      <c r="AG28" s="3" t="inlineStr">
        <is>
          <t>2026-10-02</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8" s="7" t="inlineStr">
        <is>
          <t>RULED, NOT CODED (Q-CF-2 — one question, one function)</t>
        </is>
      </c>
    </row>
    <row r="29" ht="60" customHeight="1">
      <c r="A29" s="3" t="inlineStr">
        <is>
          <t>MK-CF-M-016</t>
        </is>
      </c>
      <c r="B29" s="3" t="inlineStr">
        <is>
          <t>Cashflow</t>
        </is>
      </c>
      <c r="C29" s="3" t="inlineStr">
        <is>
          <t>/cashflow · /bill-calendar</t>
        </is>
      </c>
      <c r="D29" s="3" t="inlineStr">
        <is>
          <t>BIG-TICKET RADAR — &lt;bill&gt; · due &lt;month&gt;</t>
        </is>
      </c>
      <c r="E29" s="3" t="inlineStr">
        <is>
          <t>bigticket_radar__bill__due_month</t>
        </is>
      </c>
      <c r="F29" s="3" t="inlineStr">
        <is>
          <t>whatsComing</t>
        </is>
      </c>
      <c r="G29" s="3" t="inlineStr">
        <is>
          <t>MK-CF-O-008</t>
        </is>
      </c>
      <c r="H29" s="3" t="inlineStr">
        <is>
          <t>the dated bills above the everyday size, in date order</t>
        </is>
      </c>
      <c r="I29" s="3" t="inlineStr">
        <is>
          <t>the dated bills above the everyday size, in date order</t>
        </is>
      </c>
      <c r="J29" s="3" t="inlineStr">
        <is>
          <t>MK-CF-I-002 your bills</t>
        </is>
      </c>
      <c r="K29" s="3" t="inlineStr">
        <is>
          <t>dollars, whole</t>
        </is>
      </c>
      <c r="L29" s="3" t="inlineStr">
        <is>
          <t>Nothing unusual ahead — the section keeps its heading and says so.</t>
        </is>
      </c>
      <c r="M29" s="3" t="inlineStr">
        <is>
          <t>one bill</t>
        </is>
      </c>
      <c r="N29" s="3" t="inlineStr">
        <is>
          <t>as of today</t>
        </is>
      </c>
      <c r="O29" s="3" t="inlineStr">
        <is>
          <t>MK-CF-F-019 (upcomingBills) → NOT DECLARED — the code does not say what it gives back</t>
        </is>
      </c>
      <c r="P29" s="3" t="inlineStr">
        <is>
          <t>Declared by MK-CF-O-008 whatsComing</t>
        </is>
      </c>
      <c r="Q29" s="3" t="inlineStr">
        <is>
          <t>A regular monthly debt is never a radar item: a warning you see every month stops being a warning.</t>
        </is>
      </c>
      <c r="R29" s="3" t="inlineStr">
        <is>
          <t>A regular monthly debt is never a radar item: a warning you see every month stops being a warning.</t>
        </is>
      </c>
      <c r="S29" s="3" t="inlineStr"/>
      <c r="T29" s="3" t="inlineStr">
        <is>
          <t>A regular monthly debt is never a radar item: a warning you see every month stops being a warning.</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c r="AF29" s="3" t="inlineStr">
        <is>
          <t>ACTIVE</t>
        </is>
      </c>
      <c r="AG29" s="3" t="inlineStr">
        <is>
          <t>2026-10-02</t>
        </is>
      </c>
      <c r="AH29" s="3" t="inlineStr"/>
      <c r="AI29" s="3" t="inlineStr"/>
      <c r="AJ2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MK-CF-O-008 whatsComing</t>
        </is>
      </c>
      <c r="AN29" s="3" t="inlineStr">
        <is>
          <t>On 28 Sep 2026, with $8,000 in the account: car insurance of $1,400 due 15 Oct and property tax of $4,800 due 1 Nov. Nothing else is dated.
GIVES: $1,400
(the test re-runs this through MK-CF-O-008 whatsComing on every build)</t>
        </is>
      </c>
      <c r="AO29" s="7" t="inlineStr">
        <is>
          <t>RULED, NOT CODED (Q-CF-3 — one question, one function)</t>
        </is>
      </c>
    </row>
    <row r="30" ht="60" customHeight="1">
      <c r="A30" s="3" t="inlineStr">
        <is>
          <t>MK-CF-M-017</t>
        </is>
      </c>
      <c r="B30" s="3" t="inlineStr">
        <is>
          <t>Cashflow</t>
        </is>
      </c>
      <c r="C30" s="3" t="inlineStr">
        <is>
          <t>/worth-a-look</t>
        </is>
      </c>
      <c r="D30" s="3" t="inlineStr">
        <is>
          <t>well above your usual &lt;category&gt;</t>
        </is>
      </c>
      <c r="E30" s="3" t="inlineStr">
        <is>
          <t>well_above_your_usual_category</t>
        </is>
      </c>
      <c r="F30" s="3" t="inlineStr">
        <is>
          <t>whatsComing</t>
        </is>
      </c>
      <c r="G30" s="3" t="inlineStr">
        <is>
          <t>MK-CF-O-008</t>
        </is>
      </c>
      <c r="H30" s="3" t="inlineStr">
        <is>
          <t>this expense against the typical one in its category, over the months logged</t>
        </is>
      </c>
      <c r="I30" s="3" t="inlineStr">
        <is>
          <t>this expense against the typical one in its category, over the months logged</t>
        </is>
      </c>
      <c r="J30" s="3" t="inlineStr">
        <is>
          <t>MK-CF-I-001 your logged expenses</t>
        </is>
      </c>
      <c r="K30" s="3" t="inlineStr">
        <is>
          <t>a sentence</t>
        </is>
      </c>
      <c r="L30" s="3" t="inlineStr">
        <is>
          <t>Too little history to call anything unusual.</t>
        </is>
      </c>
      <c r="M30" s="3" t="inlineStr">
        <is>
          <t>one expense</t>
        </is>
      </c>
      <c r="N30" s="3" t="inlineStr">
        <is>
          <t>as of today</t>
        </is>
      </c>
      <c r="O30" s="3" t="inlineStr">
        <is>
          <t>MK-CF-F-019 (upcomingBills) → NOT DECLARED — the code does not say what it gives back</t>
        </is>
      </c>
      <c r="P30" s="3" t="inlineStr">
        <is>
          <t>Declared by MK-CF-O-008 whatsComing</t>
        </is>
      </c>
      <c r="Q30" s="3" t="inlineStr">
        <is>
          <t>There must BE a usual to compare against: with too little logged, nothing is flagged. A first month’s expenses are not unusual, they are all there is.</t>
        </is>
      </c>
      <c r="R30" s="3" t="inlineStr">
        <is>
          <t>There must BE a usual to compare against: with too little logged, nothing is flagged. A first month’s expenses are not unusual, they are all there is.</t>
        </is>
      </c>
      <c r="S30" s="3" t="inlineStr"/>
      <c r="T30" s="3" t="inlineStr">
        <is>
          <t>There must BE a usual to compare against: with too little logged, nothing is flagged. A first month’s expenses are not unusual, they are all there is.</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2026-10-02</t>
        </is>
      </c>
      <c r="AH30" s="3" t="inlineStr"/>
      <c r="AI30" s="3" t="inlineStr"/>
      <c r="AJ30"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MK-CF-O-008 whatsComing</t>
        </is>
      </c>
      <c r="AN30" s="3" t="inlineStr">
        <is>
          <t>Five grocery trips of about $60 at Safeway over the summer, then a $640 one on 27 September.
GIVES: $640 — well above your usual Groceries
(the test re-runs this through MK-CF-O-008 whatsComing on every build)</t>
        </is>
      </c>
      <c r="AO30" s="7" t="inlineStr">
        <is>
          <t>RULED, NOT CODED (Q-CF-3 — one question, one function)</t>
        </is>
      </c>
    </row>
    <row r="31" ht="60" customHeight="1">
      <c r="A31" s="3" t="inlineStr">
        <is>
          <t>MK-CF-M-020</t>
        </is>
      </c>
      <c r="B31" s="3" t="inlineStr">
        <is>
          <t>Cashflow</t>
        </is>
      </c>
      <c r="C31" s="3" t="inlineStr">
        <is>
          <t>/cashflow</t>
        </is>
      </c>
      <c r="D31" s="3" t="inlineStr">
        <is>
          <t>THIS MONTH — free to use</t>
        </is>
      </c>
      <c r="E31" s="3" t="inlineStr">
        <is>
          <t>this_month__free_to_use</t>
        </is>
      </c>
      <c r="F31" s="3" t="inlineStr">
        <is>
          <t>theMonth</t>
        </is>
      </c>
      <c r="G31" s="3" t="inlineStr">
        <is>
          <t>MK-CF-O-010</t>
        </is>
      </c>
      <c r="H31" s="3">
        <f> Planned surplus (MK-CF-M-002) − the goals’ commitments (MK-CF-M-021)</f>
        <v/>
      </c>
      <c r="I31" s="3">
        <f> Planned surplus (MK-CF-M-002) − the goals’ commitments (MK-CF-M-021)</f>
        <v/>
      </c>
      <c r="J31" s="3" t="inlineStr">
        <is>
          <t>MK-XS-I-023 salary and other income
MK-NW-I-002 your debts
MK-CF-I-012 planned expenses
MK-XS-I-027 goals (target, saved, date)</t>
        </is>
      </c>
      <c r="K31" s="3" t="inlineStr">
        <is>
          <t>dollars, whole</t>
        </is>
      </c>
      <c r="L31" s="3" t="inlineStr">
        <is>
          <t>No budget set — nothing is called free until there is a plan to be free of.</t>
        </is>
      </c>
      <c r="M31" s="3" t="inlineStr">
        <is>
          <t>one figure per household</t>
        </is>
      </c>
      <c r="N31" s="3" t="inlineStr">
        <is>
          <t>as of today</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A PROMISE TO A GOAL IS MONEY ALREADY SPOKEN FOR — it never reads as free.</t>
        </is>
      </c>
      <c r="R31" s="3" t="inlineStr">
        <is>
          <t>A PROMISE TO A GOAL IS MONEY ALREADY SPOKEN FOR — it never reads as free.</t>
        </is>
      </c>
      <c r="S31" s="3" t="inlineStr"/>
      <c r="T31" s="3" t="inlineStr">
        <is>
          <t>A PROMISE TO A GOAL IS MONEY ALREADY SPOKEN FOR — it never reads as free.</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c r="AF31" s="3" t="inlineStr">
        <is>
          <t>ACTIVE</t>
        </is>
      </c>
      <c r="AG31" s="3" t="inlineStr">
        <is>
          <t>2026-10-02</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31" s="7" t="inlineStr">
        <is>
          <t>RULED, NOT CODED (Q-CF-2 — one question, one function)</t>
        </is>
      </c>
    </row>
    <row r="32" ht="60" customHeight="1">
      <c r="A32" s="3" t="inlineStr">
        <is>
          <t>MK-CF-M-021</t>
        </is>
      </c>
      <c r="B32" s="3" t="inlineStr">
        <is>
          <t>Cashflow</t>
        </is>
      </c>
      <c r="C32" s="3" t="inlineStr">
        <is>
          <t>/cashflow</t>
        </is>
      </c>
      <c r="D32" s="3" t="inlineStr">
        <is>
          <t>&lt;goal&gt; · from your Plan</t>
        </is>
      </c>
      <c r="E32" s="3" t="inlineStr">
        <is>
          <t>goal__from_your_plan</t>
        </is>
      </c>
      <c r="F32" s="3" t="inlineStr">
        <is>
          <t>theMonth</t>
        </is>
      </c>
      <c r="G32" s="3" t="inlineStr">
        <is>
          <t>MK-CF-O-010</t>
        </is>
      </c>
      <c r="H32" s="3" t="inlineStr">
        <is>
          <t>the goal’s monthly amount, as the Plan set it</t>
        </is>
      </c>
      <c r="I32" s="3" t="inlineStr">
        <is>
          <t>the goal’s monthly amount, as the Plan set it</t>
        </is>
      </c>
      <c r="J32" s="3" t="inlineStr">
        <is>
          <t>MK-XS-I-027 goals (target, saved, date)</t>
        </is>
      </c>
      <c r="K32" s="3" t="inlineStr">
        <is>
          <t>dollars, whole a month</t>
        </is>
      </c>
      <c r="L32" s="3" t="inlineStr">
        <is>
          <t>$0, and under it the one line "Nothing entered yet. Add a goal ›" (mock approved 2026-09-12). A real zero that was entered shows a plain $0 with no line.</t>
        </is>
      </c>
      <c r="M32" s="3" t="inlineStr">
        <is>
          <t>one goal</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is>
          <t>G32 / Q48 — RULED 2026-09-09: $0 stays, with the sentence '$0 — nothing entered yet.' and this row's door ('Add a goal ›'). File written; the screen follows the approved empty-state mock (one pattern, one screen), then every screen.</t>
        </is>
      </c>
      <c r="AF32" s="3" t="inlineStr">
        <is>
          <t>ACTIVE</t>
        </is>
      </c>
      <c r="AG32" s="3" t="inlineStr">
        <is>
          <t>2026-10-02</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32" s="7" t="inlineStr">
        <is>
          <t>RULED, NOT CODED (Q-PL-6 — one question, one function)</t>
        </is>
      </c>
    </row>
    <row r="33" ht="60" customHeight="1">
      <c r="A33" s="3" t="inlineStr">
        <is>
          <t>MK-CF-M-022</t>
        </is>
      </c>
      <c r="B33" s="3" t="inlineStr">
        <is>
          <t>Cashflow</t>
        </is>
      </c>
      <c r="C33" s="3" t="inlineStr">
        <is>
          <t>/cashflow</t>
        </is>
      </c>
      <c r="D33" s="3" t="inlineStr">
        <is>
          <t>YOUR FUTURE PAYCHECK — At &lt;age&gt;: ~$X/month</t>
        </is>
      </c>
      <c r="E33" s="3" t="inlineStr">
        <is>
          <t>your_future_paycheck__at_age_xmonth</t>
        </is>
      </c>
      <c r="F33" s="3" t="inlineStr">
        <is>
          <t>1. buildPaycheckYear (the draw from savings)
2. guaranteedOutsideStreams (summed)
3. simulate (the projected pot it draws from)</t>
        </is>
      </c>
      <c r="G33" s="3" t="inlineStr">
        <is>
          <t>1. MK-CF-F-107
2. MK-CF-F-076
3. MK-PL-F-050</t>
        </is>
      </c>
      <c r="H33"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3"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3" s="3" t="inlineStr">
        <is>
          <t>MK-NW-I-001 your accounts
MK-XS-I-017 birth year
MK-XS-I-018 retirement age
MK-XS-I-028 assumed return
MK-XS-I-020 Social Security monthly amount</t>
        </is>
      </c>
      <c r="K33" s="3" t="inlineStr">
        <is>
          <t>dollars, whole a month</t>
        </is>
      </c>
      <c r="L33" s="3" t="inlineStr">
        <is>
          <t>No pot to project from, or retirement age already reached — the card is not drawn.</t>
        </is>
      </c>
      <c r="M33" s="3" t="inlineStr">
        <is>
          <t>one figure per household</t>
        </is>
      </c>
      <c r="N33" s="3" t="inlineStr">
        <is>
          <t>a month</t>
        </is>
      </c>
      <c r="O33"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3" s="3" t="inlineStr">
        <is>
          <t>Declared by MK-CF-O-017 futurePaycheck</t>
        </is>
      </c>
      <c r="Q33" s="3" t="inlineStr">
        <is>
          <t>AN ESTIMATE, SAID TO BE ONE on the screen — never a promise.
NOTHING BEFORE THERE IS A POT: with no accounts, or past retirement age, the card is not drawn.</t>
        </is>
      </c>
      <c r="R33" s="3" t="inlineStr">
        <is>
          <t>AN ESTIMATE, SAID TO BE ONE on the screen — never a promise.
NOTHING BEFORE THERE IS A POT: with no accounts, or past retirement age, the card is not drawn.</t>
        </is>
      </c>
      <c r="S33" s="3" t="inlineStr"/>
      <c r="T33" s="3" t="inlineStr">
        <is>
          <t>AN ESTIMATE, SAID TO BE ONE on the screen — never a promise.
NOTHING BEFORE THERE IS A POT: with no accounts, or past retirement age, the card is not drawn.</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G17 — the draw from savings behind this figure now runs 1,000 futures (was 300). Closed 2026-09-08.
G14 — CLOSED 2026-09-08: the row now names the three real producers and states the draw rule. File matches code; no code change.</t>
        </is>
      </c>
      <c r="AF33" s="3" t="inlineStr">
        <is>
          <t>ACTIVE</t>
        </is>
      </c>
      <c r="AG33" s="3" t="inlineStr">
        <is>
          <t>2026-10-02</t>
        </is>
      </c>
      <c r="AH33" s="3" t="inlineStr"/>
      <c r="AI33" s="3" t="inlineStr"/>
      <c r="AJ33" s="3" t="inlineStr">
        <is>
          <t>1. MK-XS-I-001 account balance — read by MK-CF-F-019, MK-CF-F-215, MK-NW-F-031, MK-NW-F-032, MK-NW-F-056, MK-NW-F-078, MK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MK-XS-I-008 transaction amount — read by MK-CF-F-109
8. MK-XS-I-009 transaction date — read by MK-CF-F-109
9. MK-XS-I-010 transaction words (the institution's own wording) — read by MK-CF-F-109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MK-XS-I-014 debt balance — read by MK-CF-F-157, MK-CF-O-010, MK-XS-F-004
14. MK-XS-I-015 debt interest rate — read by MK-CF-F-157, MK-CF-O-010
15. MK-XS-I-016 debt minimum payment — read by MK-CF-F-023, MK-CF-F-157, MK-CF-O-010
16. MK-XS-I-017 birth year — read by MK-CF-F-089, MK-ST-F-024
17. MK-XS-I-018 retirement age — read by MK-CF-F-106, MK-PL-F-050
18. MK-XS-I-020 Social Security monthly amount — read by MK-CF-F-072, MK-CF-F-075, MK-CF-F-076
19. MK-XS-I-022 pension monthly amount — read by MK-CF-F-072, MK-CF-F-075, MK-CF-F-076, MK-CF-F-215
20. MK-XS-I-023 salary and other income — read by MK-CF-F-019, MK-CF-F-074, MK-CF-F-082, MK-CF-F-083, MK-CF-F-084, MK-CF-F-088, MK
21. MK-XS-I-024 logged expenses — read by MK-CF-F-005, MK-CF-F-067, MK-CF-F-068, MK-CF-F-107, MK-CF-F-109, MK-CF-F-150, MK
22. MK-XS-I-026 big costs (amount and year) — read by MK-XS-F-004
23. MK-XS-I-027 goals (target, saved, date) — read by MK-CF-F-204, MK-PL-F-012
24. MK-XS-I-028 assumed return — read by MK-CF-F-106, MK-CF-F-215, MK-NW-O-001, MK-PL-F-050
25. MK-XS-I-029 inflation rate — read by MK-CF-F-106, MK-CF-F-215, MK-PL-F-050
26. MK-XS-I-030 tax filing status and age — read by MK-CF-F-085, MK-CF-F-089, MK-CF-F-098, MK-CF-F-099, MK-CF-F-100, MK-CF-F-101, MK
27. MK-XS-I-031 daily and monthly snapshots — read by MK-ST-F-036
28. MK-XS-I-032 expenses categories the person set up — read by MK-CF-F-004, MK-CF-F-008, MK-CF-F-019, MK-CF-F-214, MK-CF-F-215, MK-CF-O-008, MK
29. MK-XS-I-034 option positions — contracts, strike, expiry, put or call — read by MK-CF-F-062
30. MK-XS-I-035 annuity income — read by MK-CF-F-072, MK-CF-F-075, MK-CF-F-076
31. MK-XS-I-036 other guaranteed income — read by MK-CF-F-072, MK-CF-F-075, MK-CF-F-076, MK-PL-F-050
32. MK-XS-I-037 required-withdrawal income stream (ri_rmd) — read by MK-CF-F-075
33. MK-XS-I-038 withdrawal income stream (ri_withdrawals) — read by MK-CF-F-075
34. MK-XS-I-039 how often each income arrives — read by MK-CF-F-071, MK-CF-F-072, MK-CF-F-074, MK-CF-F-075, MK-CF-F-076, MK-CF-F-105, MK
35. MK-XS-I-040 whether a stream is already being received — read by MK-CF-F-019, MK-CF-F-072, MK-CF-F-105
36. MK-XS-I-041 the payment the person chose to make on a debt — read by MK-CF-F-023
37. MK-XS-I-042 how a stream is paid — monthly, yearly or one lump — read by MK-CF-F-021, MK-CF-F-022, MK-CF-F-023, MK-CF-F-149, MK-CF-F-150, MK-CF-F-152, MK
38. MK-XS-I-043 their own retirement contribution — read by MK-CF-F-106, MK-CF-F-181, MK-CF-F-206, MK-PL-F-050
39. MK-XS-I-048 the person’s own asset-class answer — read by MK-NW-F-011, MK-ST-F-027
40. MK-XS-I-049 bond price — what the bond is worth today — read by MK-NW-F-056, MK-NW-F-057, MK-NW-F-059, MK-NW-F-060, MK-NW-F-061, MK-NW-F-064, MK
41. MK-XS-I-050 the share of an account earmarked for retirement — read by MK-NW-F-032
42. MK-XS-I-052 the day of the month a debt payment is due — read by MK-CF-F-005, MK-XS-F-004
43. MK-XS-I-053 the month a debt is first paid — read by MK-XS-F-004
44. MK-XS-I-054 the date a debt is due to be paid off in full — read by MK-XS-F-004
45. MK-XS-I-055 the wrapper an account sits in — ISA, 401(k), IRA and the rest — read by MK-CF-F-005, MK-CF-F-075, MK-CF-F-076, MK-CF-F-107, MK-CF-F-156, MK-NW-F-011, MK
46. MK-XS-I-059 the month a bonus lands — read by MK-CF-F-088, MK-CF-F-092, MK-XS-F-004
47. MK-XS-I-060 how a person is paid — weekly, fortnightly, monthly — read by MK-CF-F-130
48. MK-XS-I-064 the unit beside a quantity — shares, coins, contracts, ounces or units — read by MK-CF-F-003, MK-CF-F-008, MK-CF-F-019, MK-CF-F-204, MK-CF-F-215, MK-NW-F-078, MK
49.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MK-CF-O-017 futurePaycheck</t>
        </is>
      </c>
      <c r="AN33" s="3" t="inlineStr">
        <is>
          <t>Born in 1981, retiring at 67, with $200,000 in a 401(k) earning 6% and $2,000/month of Social Security from 67.
GIVES: $4,345/month
(the test re-runs this through MK-CF-O-017 futurePaycheck on every build)</t>
        </is>
      </c>
      <c r="AO33" s="7" t="inlineStr">
        <is>
          <t>RULED, NOT CODED (Q-PL-2 — one question, one function)</t>
        </is>
      </c>
    </row>
    <row r="34" ht="60" customHeight="1">
      <c r="A34" s="3" t="inlineStr">
        <is>
          <t>MK-CF-M-023</t>
        </is>
      </c>
      <c r="B34" s="3" t="inlineStr">
        <is>
          <t>Cashflow</t>
        </is>
      </c>
      <c r="C34" s="3" t="inlineStr">
        <is>
          <t>/cashflow</t>
        </is>
      </c>
      <c r="D34" s="3" t="inlineStr">
        <is>
          <t>YOUR FUTURE PAYCHECK — Social Security · pension</t>
        </is>
      </c>
      <c r="E34" s="3" t="inlineStr">
        <is>
          <t>your_future_paycheck__social_security__p</t>
        </is>
      </c>
      <c r="F34" s="3" t="inlineStr">
        <is>
          <t>guaranteedOutsideStreams (summed)</t>
        </is>
      </c>
      <c r="G34" s="3" t="inlineStr">
        <is>
          <t>MK-CF-F-076</t>
        </is>
      </c>
      <c r="H34" s="3" t="inlineStr">
        <is>
          <t>guaranteed income a month = Social Security + pension + annuity + other stated income — the four OUTSIDE sources, each converted to a monthly figure</t>
        </is>
      </c>
      <c r="I34"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4" s="3" t="inlineStr">
        <is>
          <t>1. Social Security → ri_ss [MK-XS-I-020]
2. pension → ri_pension [MK-XS-I-022]
3. annuity → ri_annuities [MK-XS-I-035]
4. other → ri_other [MK-XS-I-036]
5. how often each arrives → the matching frequency [MK-XS-I-039]</t>
        </is>
      </c>
      <c r="K34" s="3" t="inlineStr">
        <is>
          <t>dollars, whole a month</t>
        </is>
      </c>
      <c r="L34" s="3" t="inlineStr">
        <is>
          <t>No pot to project from, or retirement age already reached — the card is not drawn.</t>
        </is>
      </c>
      <c r="M34" s="3" t="inlineStr">
        <is>
          <t>one figure per household</t>
        </is>
      </c>
      <c r="N34" s="3" t="inlineStr">
        <is>
          <t>a month</t>
        </is>
      </c>
      <c r="O34" s="3" t="inlineStr">
        <is>
          <t>MK-ST-F-052 (toNum) → number</t>
        </is>
      </c>
      <c r="P34" s="3" t="inlineStr">
        <is>
          <t>Declared by MK-CF-O-017 futurePaycheck</t>
        </is>
      </c>
      <c r="Q34" s="3" t="inlineStr">
        <is>
          <t>NONE RECORDED — the declaration names none.</t>
        </is>
      </c>
      <c r="R34" s="3" t="inlineStr">
        <is>
          <t>NONE RECORDED — the declaration names none.</t>
        </is>
      </c>
      <c r="S34" s="3" t="inlineStr"/>
      <c r="T34" s="3" t="inlineStr">
        <is>
          <t>NONE RECORDED — the declaration names none.
[Founder] brief Q-38 (2026-08-20): the paycheck DISPLAY shows every line; the plan's guaranteed INPUT — and this card's guaranteed line, which sits beside a savings draw — takes outside money only.</t>
        </is>
      </c>
      <c r="U34" s="3" t="inlineStr"/>
      <c r="V34" s="3" t="inlineStr"/>
      <c r="W34" s="3" t="inlineStr"/>
      <c r="X34" s="3" t="inlineStr"/>
      <c r="Y34" s="3" t="inlineStr"/>
      <c r="Z34" s="3" t="inlineStr">
        <is>
          <t>DECLARED IN THE CODE (rule 11) — printed from the door, not typed. RULED 2026-10-02</t>
        </is>
      </c>
      <c r="AA34" s="3" t="inlineStr"/>
      <c r="AB34" s="3" t="inlineStr"/>
      <c r="AC34" s="3" t="inlineStr"/>
      <c r="AD34" s="3" t="inlineStr"/>
      <c r="AE34"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4" s="3" t="inlineStr">
        <is>
          <t>ACTIVE</t>
        </is>
      </c>
      <c r="AG34" s="3" t="inlineStr">
        <is>
          <t>2026-10-02</t>
        </is>
      </c>
      <c r="AH34" s="3" t="inlineStr"/>
      <c r="AI34" s="3" t="inlineStr"/>
      <c r="AJ34"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2026-10-02; the figure, its formula, inputs and refusal live in MK-CF-O-017 futurePaycheck</t>
        </is>
      </c>
      <c r="AN34" s="3" t="inlineStr">
        <is>
          <t>Born in 1981, retiring at 67, with $200,000 in a 401(k) earning 6% and $2,000/month of Social Security from 67.
GIVES: $2,000/month
(the test re-runs this through MK-CF-O-017 futurePaycheck on every build)</t>
        </is>
      </c>
      <c r="AO34" s="7" t="inlineStr">
        <is>
          <t>RULED, NOT CODED (Q-PL-2 — one question, one function)</t>
        </is>
      </c>
    </row>
    <row r="35" ht="60" customHeight="1">
      <c r="A35" s="3" t="inlineStr">
        <is>
          <t>MK-CF-M-024</t>
        </is>
      </c>
      <c r="B35" s="3" t="inlineStr">
        <is>
          <t>Cashflow</t>
        </is>
      </c>
      <c r="C35" s="3" t="inlineStr">
        <is>
          <t>/monthly-income · /month-detail · /paycheck-months</t>
        </is>
      </c>
      <c r="D35" s="3" t="inlineStr">
        <is>
          <t>each source of guaranteed income</t>
        </is>
      </c>
      <c r="E35" s="3" t="inlineStr">
        <is>
          <t>each_source_of_guaranteed_income</t>
        </is>
      </c>
      <c r="F35" s="3" t="inlineStr">
        <is>
          <t>incomeSummary</t>
        </is>
      </c>
      <c r="G35" s="3" t="inlineStr">
        <is>
          <t>MK-CF-O-004</t>
        </is>
      </c>
      <c r="H35" s="3" t="inlineStr">
        <is>
          <t>each stream as entered, brought to a monthly amount</t>
        </is>
      </c>
      <c r="I35" s="3" t="inlineStr">
        <is>
          <t>each stream as entered, brought to a monthly amount</t>
        </is>
      </c>
      <c r="J35" s="3" t="inlineStr">
        <is>
          <t>MK-XS-I-020 Social Security monthly amount
MK-XS-I-022 pension monthly amount
MK-XS-I-035 annuity income
MK-XS-I-036 other guaranteed income</t>
        </is>
      </c>
      <c r="K35" s="3" t="inlineStr">
        <is>
          <t>dollars, whole a month</t>
        </is>
      </c>
      <c r="L35" s="3" t="inlineStr">
        <is>
          <t>Nothing entered — the list is replaced by the door to enter it.</t>
        </is>
      </c>
      <c r="M35" s="3" t="inlineStr">
        <is>
          <t>one source</t>
        </is>
      </c>
      <c r="N35" s="3" t="inlineStr">
        <is>
          <t>a month</t>
        </is>
      </c>
      <c r="O3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5" s="3" t="inlineStr">
        <is>
          <t>Declared by MK-CF-O-004 incomeSummary</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2026-10-02</t>
        </is>
      </c>
      <c r="AA35" s="3" t="inlineStr"/>
      <c r="AB35" s="3" t="inlineStr"/>
      <c r="AC35" s="3" t="inlineStr"/>
      <c r="AD35" s="3" t="inlineStr"/>
      <c r="AE35" s="3" t="inlineStr"/>
      <c r="AF35" s="3" t="inlineStr">
        <is>
          <t>ACTIVE</t>
        </is>
      </c>
      <c r="AG35" s="3" t="inlineStr">
        <is>
          <t>2026-10-02</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2026-10-02; the figure, its formula, inputs and refusal live in MK-CF-O-004 incomeSummary</t>
        </is>
      </c>
      <c r="AN35"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5" s="7" t="inlineStr">
        <is>
          <t>RULED, NOT CODED (Q-PL-2 — one question, one function)</t>
        </is>
      </c>
    </row>
    <row r="36" ht="60" customHeight="1">
      <c r="A36" s="3" t="inlineStr">
        <is>
          <t>MK-CF-M-026</t>
        </is>
      </c>
      <c r="B36" s="3" t="inlineStr">
        <is>
          <t>Cashflow</t>
        </is>
      </c>
      <c r="C36" s="3" t="inlineStr">
        <is>
          <t>/paycheck-months</t>
        </is>
      </c>
      <c r="D36" s="3" t="inlineStr">
        <is>
          <t>the months a paycheck lands</t>
        </is>
      </c>
      <c r="E36" s="3" t="inlineStr">
        <is>
          <t>the_months_a_paycheck_lands</t>
        </is>
      </c>
      <c r="F36" s="3" t="inlineStr">
        <is>
          <t>whatsComing</t>
        </is>
      </c>
      <c r="G36" s="3" t="inlineStr">
        <is>
          <t>MK-CF-O-008</t>
        </is>
      </c>
      <c r="H36" s="3" t="inlineStr">
        <is>
          <t>the pay dates that fall in each month, counted</t>
        </is>
      </c>
      <c r="I36" s="3" t="inlineStr">
        <is>
          <t>the pay dates that fall in each month, counted</t>
        </is>
      </c>
      <c r="J36" s="3" t="inlineStr">
        <is>
          <t>MK-XS-I-023 salary and other income</t>
        </is>
      </c>
      <c r="K36" s="3" t="inlineStr">
        <is>
          <t>a sentence</t>
        </is>
      </c>
      <c r="L36" s="3" t="inlineStr">
        <is>
          <t>Paid monthly — every month carries one, so there is nothing to point out.</t>
        </is>
      </c>
      <c r="M36" s="3" t="inlineStr">
        <is>
          <t>one month</t>
        </is>
      </c>
      <c r="N36" s="3" t="inlineStr">
        <is>
          <t>as of today</t>
        </is>
      </c>
      <c r="O36" s="3" t="inlineStr">
        <is>
          <t>MK-CF-F-019 (upcomingBills) → NOT DECLARED — the code does not say what it gives back</t>
        </is>
      </c>
      <c r="P36" s="3" t="inlineStr">
        <is>
          <t>Declared by MK-CF-O-008 whatsComing</t>
        </is>
      </c>
      <c r="Q36" s="3" t="inlineStr">
        <is>
          <t>NONE RECORDED — the declaration names none.</t>
        </is>
      </c>
      <c r="R36" s="3" t="inlineStr">
        <is>
          <t>NONE RECORDED — the declaration names none.</t>
        </is>
      </c>
      <c r="S36" s="3" t="inlineStr"/>
      <c r="T36" s="3" t="inlineStr">
        <is>
          <t>NONE RECORDED — the declaration names none.</t>
        </is>
      </c>
      <c r="U36" s="3" t="inlineStr"/>
      <c r="V36" s="9" t="inlineStr">
        <is>
          <t>Q30 — The draw from savings is shown as one figure a month. Should it hold steady in today's dollars, or rise with inflation each year?</t>
        </is>
      </c>
      <c r="W36" s="9" t="inlineStr">
        <is>
          <t>rise with inflation each year</t>
        </is>
      </c>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2026-10-02</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Retired on $2,100/month of Social Security, with a $1,400 car-insurance bill in October.
GIVES: Sep — $2,100
(the test re-runs this through MK-CF-O-008 whatsComing on every build)</t>
        </is>
      </c>
      <c r="AO36" s="9" t="inlineStr">
        <is>
          <t>WAITING ON YOU — question Q30 · RULED, NOT CODED (Q-CF-3 — one question, one function)</t>
        </is>
      </c>
    </row>
    <row r="37" ht="60" customHeight="1">
      <c r="A37" s="3" t="inlineStr">
        <is>
          <t>MK-CF-M-027</t>
        </is>
      </c>
      <c r="B37" s="3" t="inlineStr">
        <is>
          <t>Cashflow</t>
        </is>
      </c>
      <c r="C37" s="3" t="inlineStr">
        <is>
          <t>/income-manager</t>
        </is>
      </c>
      <c r="D37" s="3" t="inlineStr">
        <is>
          <t>each income source and its amount</t>
        </is>
      </c>
      <c r="E37" s="3" t="inlineStr">
        <is>
          <t>each_income_source_and_its_amount</t>
        </is>
      </c>
      <c r="F37" s="3" t="inlineStr">
        <is>
          <t>incomeSummary</t>
        </is>
      </c>
      <c r="G37" s="3" t="inlineStr">
        <is>
          <t>MK-CF-O-004</t>
        </is>
      </c>
      <c r="H37" s="3" t="inlineStr">
        <is>
          <t>a monthly source × 12; a yearly source as it is; a salary from its pay period</t>
        </is>
      </c>
      <c r="I37" s="3" t="inlineStr">
        <is>
          <t>a monthly source × 12; a yearly source as it is; a salary from its pay period</t>
        </is>
      </c>
      <c r="J37" s="3" t="inlineStr">
        <is>
          <t>MK-XS-I-023 salary and other income
MK-CF-I-009 bonus
MK-CF-I-010 equity vesting
MK-CF-I-007 rental income</t>
        </is>
      </c>
      <c r="K37" s="3" t="inlineStr">
        <is>
          <t>dollars, whole a year</t>
        </is>
      </c>
      <c r="L37" s="3" t="inlineStr">
        <is>
          <t>$0, and under it the one line "Nothing entered yet. Add your income ›" (mock approved 2026-09-12). A real zero that was entered shows a plain $0 with no line.</t>
        </is>
      </c>
      <c r="M37" s="3" t="inlineStr">
        <is>
          <t>one source</t>
        </is>
      </c>
      <c r="N37" s="3" t="inlineStr">
        <is>
          <t>a year</t>
        </is>
      </c>
      <c r="O3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7" s="3" t="inlineStr">
        <is>
          <t>Declared by MK-CF-O-004 incomeSummary</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2026-10-02</t>
        </is>
      </c>
      <c r="AA37" s="3" t="inlineStr"/>
      <c r="AB37" s="3" t="inlineStr"/>
      <c r="AC37" s="3" t="inlineStr"/>
      <c r="AD37" s="3" t="inlineStr"/>
      <c r="AE37" s="3" t="inlineStr">
        <is>
          <t>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2026-10-02</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2026-10-02; the figure, its formula, inputs and refusal live in MK-CF-O-004 incomeSummary</t>
        </is>
      </c>
      <c r="AN37"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7" s="7" t="inlineStr">
        <is>
          <t>RULED, NOT CODED (Q-CF-1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2026-10-02</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2026-10-02</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2026-10-02</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2026-10-02</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2026-10-02</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2026-10-02</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2026-10-02</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2026-10-02</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2026-10-02</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2026-10-02</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2026-10-02</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The two earners above, plus $24,000/year of self-employment, a $12,000 bonus in March, 50 shares vesting at $400, a rental bringing in $2,000/month against $800 of costs, and $2,100/month of Social Security.
GIVES: $40,052
(the test re-runs this through MK-CF-O-004 incomeSummary on every build)</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2026-10-02</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The two earners above, with $3,600/year of interest and dividends earned inside their accounts and left there.
GIVES: $300/month
(the test re-runs this through MK-CF-O-004 incomeSummary on every build)</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2026-10-02</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2026-10-02</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2026-10-02</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2026-10-02</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2026-10-02</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2026-10-02</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2026-10-02</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2026-10-02</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2026-10-02</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2026-10-02</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2026-10-02</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2026-10-02</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2026-10-02</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2026-10-02</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MK-CF-M-055</t>
        </is>
      </c>
      <c r="B64" s="3" t="inlineStr">
        <is>
          <t>Cashflow</t>
        </is>
      </c>
      <c r="C64" s="3" t="inlineStr">
        <is>
          <t>/cashflow · /month-detail · /paycheck-months</t>
        </is>
      </c>
      <c r="D64" s="3" t="inlineStr">
        <is>
          <t>Draw from savings</t>
        </is>
      </c>
      <c r="E64" s="3" t="inlineStr">
        <is>
          <t>draw_from_savings</t>
        </is>
      </c>
      <c r="F64" s="3" t="inlineStr">
        <is>
          <t>futurePaycheck</t>
        </is>
      </c>
      <c r="G64" s="3" t="inlineStr">
        <is>
          <t>MK-CF-O-017</t>
        </is>
      </c>
      <c r="H64" s="3" t="inlineStr">
        <is>
          <t>the paycheck year’s level draw from the pot, at the assumed return and horizon</t>
        </is>
      </c>
      <c r="I64" s="3" t="inlineStr">
        <is>
          <t>the paycheck year’s level draw from the pot, at the assumed return and horizon</t>
        </is>
      </c>
      <c r="J64" s="3" t="inlineStr">
        <is>
          <t>MK-NW-I-001 your accounts
MK-XS-I-028 assumed return
MK-XS-I-018 retirement age</t>
        </is>
      </c>
      <c r="K64" s="3" t="inlineStr">
        <is>
          <t>dollars, whole a month</t>
        </is>
      </c>
      <c r="L64" s="3" t="inlineStr">
        <is>
          <t>No pot — no draw; the paycheck is the guaranteed income alone.</t>
        </is>
      </c>
      <c r="M64" s="3" t="inlineStr">
        <is>
          <t>one figure per household</t>
        </is>
      </c>
      <c r="N64" s="3" t="inlineStr">
        <is>
          <t>a month</t>
        </is>
      </c>
      <c r="O64"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4" s="3" t="inlineStr">
        <is>
          <t>Declared by MK-CF-O-017 futurePaycheck</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2026-10-02</t>
        </is>
      </c>
      <c r="AH64" s="3" t="inlineStr"/>
      <c r="AI64" s="3" t="inlineStr"/>
      <c r="AJ64" s="3" t="inlineStr">
        <is>
          <t>1. MK-XS-I-001 account balance — read by MK-CF-F-019, MK-CF-F-215, MK-CF-O-017, MK-NW-F-031, MK-NW-F-032, MK-NW-F-056,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MK-XS-I-008 transaction amount — read by MK-CF-F-109
8. MK-XS-I-009 transaction date — read by MK-CF-F-109
9. MK-XS-I-010 transaction words (the institution's own wording) — read by MK-CF-F-109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MK-XS-I-014 debt balance — read by MK-CF-F-157, MK-CF-O-010, MK-XS-F-004
14. MK-XS-I-015 debt interest rate — read by MK-CF-F-157, MK-CF-O-010
15. MK-XS-I-016 debt minimum payment — read by MK-CF-F-023, MK-CF-F-157, MK-CF-O-010
16. MK-XS-I-017 birth year — read by MK-CF-F-089, MK-CF-F-197, MK-CF-O-017, MK-PL-F-057, MK-PL-F-058, MK-PL-F-060, MK
17. MK-XS-I-018 retirement age — read by MK-CF-F-106, MK-CF-O-017, MK-PL-F-049, MK-PL-F-050, MK-PL-F-067
18. MK-XS-I-019 monthly expenses in retirement — read by MK-PL-F-049
19. MK-XS-I-020 Social Security monthly amount — read by MK-CF-F-072, MK-CF-F-075, MK-CF-F-076, MK-PL-F-060, MK-PL-F-067
20. MK-XS-I-021 Social Security claim age — read by MK-PL-F-058, MK-PL-F-060, MK-PL-F-067
21. MK-XS-I-022 pension monthly amount — read by MK-CF-F-072, MK-CF-F-075, MK-CF-F-076, MK-CF-F-215, MK-CF-O-017, MK-PL-F-049
22. MK-XS-I-023 salary and other income — read by MK-CF-F-019, MK-CF-F-074, MK-CF-F-082, MK-CF-F-083, MK-CF-F-084, MK-CF-F-088, MK
23. MK-XS-I-024 logged expenses — read by MK-CF-F-005, MK-CF-F-067, MK-CF-F-068, MK-CF-F-107, MK-CF-F-109, MK-CF-F-150, MK
24. MK-XS-I-026 big costs (amount and year) — read by MK-CF-O-017, MK-PL-F-065, MK-PL-F-067, MK-XS-F-004
25. MK-XS-I-027 goals (target, saved, date) — read by MK-CF-F-204, MK-PL-F-012
26. MK-XS-I-028 assumed return — read by MK-CF-F-106, MK-CF-F-215, MK-CF-O-017, MK-NW-O-001, MK-PL-F-049, MK-PL-F-050, MK
27. MK-XS-I-029 inflation rate — read by MK-CF-F-106, MK-CF-F-215, MK-CF-O-017, MK-PL-F-004, MK-PL-F-049, MK-PL-F-050, MK
28. MK-XS-I-030 tax filing status and age — read by MK-CF-F-085, MK-CF-F-089, MK-CF-F-098, MK-CF-F-099, MK-CF-F-100, MK-CF-F-101, MK
29. MK-XS-I-031 daily and monthly snapshots — read by MK-ST-F-036
30. MK-XS-I-032 expenses categories the person set up — read by MK-CF-F-004, MK-CF-F-008, MK-CF-F-019, MK-CF-F-214, MK-CF-F-215, MK-CF-O-008, MK
31. MK-XS-I-034 option positions — contracts, strike, expiry, put or call — read by MK-CF-F-062
32. MK-XS-I-035 annuity income — read by MK-CF-F-072, MK-CF-F-075, MK-CF-F-076, MK-CF-O-017, MK-NW-F-035, MK-PL-F-049
33. MK-XS-I-036 other guaranteed income — read by MK-CF-F-072, MK-CF-F-075, MK-CF-F-076, MK-PL-F-049, MK-PL-F-050, MK-PL-F-067
34. MK-XS-I-037 required-withdrawal income stream (ri_rmd) — read by MK-CF-F-075
35. MK-XS-I-038 withdrawal income stream (ri_withdrawals) — read by MK-CF-F-075
36. MK-XS-I-039 how often each income arrives — read by MK-CF-F-071, MK-CF-F-072, MK-CF-F-074, MK-CF-F-075, MK-CF-F-076, MK-CF-F-105, MK
37. MK-XS-I-040 whether a stream is already being received — read by MK-CF-F-019, MK-CF-F-072, MK-CF-F-105, MK-CF-O-017
38. MK-XS-I-041 the payment the person chose to make on a debt — read by MK-CF-F-023
39. MK-XS-I-042 how a stream is paid — monthly, yearly or one lump — read by MK-CF-F-021, MK-CF-F-022, MK-CF-F-023, MK-CF-F-149, MK-CF-F-150, MK-CF-F-152, MK
40. MK-XS-I-043 their own retirement contribution — read by MK-CF-F-106, MK-CF-F-178, MK-CF-F-181, MK-CF-F-206, MK-NW-F-041, MK-PL-F-049, MK
41. MK-XS-I-044 the person’s own plan overrides — read by MK-CF-O-017, MK-PL-F-049, MK-PL-F-065, MK-PL-F-067
42. MK-XS-I-045 where they will live in retirement — read by MK-PL-F-049
43. MK-XS-I-046 how the employer match is expressed — percent or dollars — read by MK-CF-F-178
44. MK-XS-I-047 money to leave behind — read by MK-PL-F-067
45. MK-XS-I-048 the person’s own asset-class answer — read by MK-NW-F-011, MK-ST-F-027
46. MK-XS-I-049 bond price — what the bond is worth today — read by MK-NW-F-056, MK-NW-F-057, MK-NW-F-059, MK-NW-F-060, MK-NW-F-061, MK-NW-F-064, MK
47. MK-XS-I-050 the share of an account earmarked for retirement — read by MK-CF-O-017, MK-NW-F-032
48. MK-XS-I-051 what an account actually returned over the last twelve months — read by MK-NW-F-004
49. MK-XS-I-052 the day of the month a debt payment is due — read by MK-CF-F-005, MK-XS-F-004
50. MK-XS-I-053 the month a debt is first paid — read by MK-XS-F-004
51. MK-XS-I-054 the date a debt is due to be paid off in full — read by MK-XS-F-004
52. MK-XS-I-055 the wrapper an account sits in — ISA, 401(k), IRA and the rest — read by MK-CF-F-005, MK-CF-F-075, MK-CF-F-076, MK-CF-F-107, MK-CF-F-156, MK-NW-F-011, MK
53. MK-XS-I-059 the month a bonus lands — read by MK-CF-F-088, MK-CF-F-092, MK-XS-F-004
54. MK-XS-I-060 how a person is paid — weekly, fortnightly, monthly — read by MK-CF-F-130
55. MK-XS-I-064 the unit beside a quantity — shares, coins, contracts, ounces or units — read by MK-CF-F-003, MK-CF-F-008, MK-CF-F-019, MK-CF-F-204, MK-CF-F-215, MK-CF-O-017, MK
56.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MK-CF-O-017 futurePaycheck</t>
        </is>
      </c>
      <c r="AN64" s="3" t="inlineStr">
        <is>
          <t>Born in 1981, retiring at 67, with $200,000 in a 401(k) earning 6% and $2,000/month of Social Security from 67.
GIVES: $2,345/month
(the test re-runs this through MK-CF-O-017 futurePaycheck on every build)</t>
        </is>
      </c>
      <c r="AO64" s="3" t="inlineStr">
        <is>
          <t>NOTHING OPEN</t>
        </is>
      </c>
    </row>
    <row r="65" ht="60" customHeight="1">
      <c r="A65" s="3" t="inlineStr">
        <is>
          <t>MK-CF-M-056</t>
        </is>
      </c>
      <c r="B65" s="3" t="inlineStr">
        <is>
          <t>Cashflow</t>
        </is>
      </c>
      <c r="C65" s="3" t="inlineStr">
        <is>
          <t>/cashflow</t>
        </is>
      </c>
      <c r="D65" s="3" t="inlineStr">
        <is>
          <t>left of your budget</t>
        </is>
      </c>
      <c r="E65" s="3" t="inlineStr">
        <is>
          <t>left_of_your_budget</t>
        </is>
      </c>
      <c r="F65" s="3" t="inlineStr">
        <is>
          <t>theMonth</t>
        </is>
      </c>
      <c r="G65" s="3" t="inlineStr">
        <is>
          <t>MK-CF-O-010</t>
        </is>
      </c>
      <c r="H65" s="3" t="inlineStr">
        <is>
          <t>the budget (MK-CF-M-001) − spent so far (MK-CF-M-013); below zero it reads as over</t>
        </is>
      </c>
      <c r="I65" s="3" t="inlineStr">
        <is>
          <t>the budget (MK-CF-M-001) − spent so far (MK-CF-M-013); below zero it reads as over</t>
        </is>
      </c>
      <c r="J65" s="3" t="inlineStr">
        <is>
          <t>MK-CF-I-012 planned expenses
MK-CF-I-001 your logged expenses</t>
        </is>
      </c>
      <c r="K65" s="3" t="inlineStr">
        <is>
          <t>dollars, whole</t>
        </is>
      </c>
      <c r="L65" s="3" t="inlineStr">
        <is>
          <t>No budget set — nothing to be left of.</t>
        </is>
      </c>
      <c r="M65" s="3" t="inlineStr">
        <is>
          <t>one figure per household</t>
        </is>
      </c>
      <c r="N65" s="3" t="inlineStr">
        <is>
          <t>as of today</t>
        </is>
      </c>
      <c r="O65" s="3" t="inlineStr">
        <is>
          <t>1. MK-CF-F-203 (MONTH) → NOT DECLARED — the code does not say what it gives back
2. MK-CF-F-155 (cash) → number
3. MK-CF-O-002 (expenses) → Expenses
4. MK-CF-O-003 (thisMonth) → ThisMonth</t>
        </is>
      </c>
      <c r="P65" s="3" t="inlineStr">
        <is>
          <t>Declared by MK-CF-O-010 theMonth</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2026-10-02</t>
        </is>
      </c>
      <c r="AH65" s="3" t="inlineStr"/>
      <c r="AI65" s="3" t="inlineStr"/>
      <c r="AJ6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MK-CF-O-010 theMonth</t>
        </is>
      </c>
      <c r="AN6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5" s="3" t="inlineStr">
        <is>
          <t>NOTHING OPEN</t>
        </is>
      </c>
    </row>
    <row r="66" ht="60" customHeight="1">
      <c r="A66" s="3" t="inlineStr">
        <is>
          <t>MK-CF-M-057</t>
        </is>
      </c>
      <c r="B66" s="3" t="inlineStr">
        <is>
          <t>Cashflow</t>
        </is>
      </c>
      <c r="C66" s="3" t="inlineStr">
        <is>
          <t>/cashflow</t>
        </is>
      </c>
      <c r="D66" s="3" t="inlineStr">
        <is>
          <t>/month interest</t>
        </is>
      </c>
      <c r="E66" s="3" t="inlineStr">
        <is>
          <t>month_interest</t>
        </is>
      </c>
      <c r="F66" s="3" t="inlineStr">
        <is>
          <t>theDebts</t>
        </is>
      </c>
      <c r="G66" s="3" t="inlineStr">
        <is>
          <t>MK-CF-O-018</t>
        </is>
      </c>
      <c r="H66" s="3" t="inlineStr">
        <is>
          <t>Σ balance × yearly rate ÷ 12, over every debt still owed</t>
        </is>
      </c>
      <c r="I66" s="3" t="inlineStr">
        <is>
          <t>Σ balance × yearly rate ÷ 12, over every debt still owed</t>
        </is>
      </c>
      <c r="J66" s="3" t="inlineStr">
        <is>
          <t>MK-XS-I-014 debt balance
MK-XS-I-015 debt interest rate</t>
        </is>
      </c>
      <c r="K66" s="3" t="inlineStr">
        <is>
          <t>dollars, whole a month</t>
        </is>
      </c>
      <c r="L66" s="3" t="inlineStr">
        <is>
          <t>No debts — $0.</t>
        </is>
      </c>
      <c r="M66" s="3" t="inlineStr">
        <is>
          <t>one figure per household</t>
        </is>
      </c>
      <c r="N66" s="3" t="inlineStr">
        <is>
          <t>a month</t>
        </is>
      </c>
      <c r="O66" s="3" t="inlineStr">
        <is>
          <t>1. MK-CF-F-025 (minimumDebtService) → number
2. MK-CF-F-034 (payoffPlan) → PayoffResult
3. MK-CF-F-024 (totalDebtMonthly) → number</t>
        </is>
      </c>
      <c r="P66" s="3" t="inlineStr">
        <is>
          <t>Declared by MK-CF-O-018 theDebts</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2026-10-02</t>
        </is>
      </c>
      <c r="AH66" s="3" t="inlineStr"/>
      <c r="AI66" s="3" t="inlineStr"/>
      <c r="AJ6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MK-CF-O-018 theDebts</t>
        </is>
      </c>
      <c r="AN66" s="3" t="inlineStr">
        <is>
          <t>A $9,000 card at 24% with a $200 minimum and a $14,000 car loan at 6.9% with a $250 minimum, nothing extra paid.
GIVES: $261/month
(the test re-runs this through MK-CF-O-018 theDebts on every build)</t>
        </is>
      </c>
      <c r="AO66" s="3" t="inlineStr">
        <is>
          <t>NOTHING OPEN</t>
        </is>
      </c>
    </row>
    <row r="67" ht="60" customHeight="1">
      <c r="A67" s="3" t="inlineStr">
        <is>
          <t>MK-CF-M-058</t>
        </is>
      </c>
      <c r="B67" s="3" t="inlineStr">
        <is>
          <t>Cashflow</t>
        </is>
      </c>
      <c r="C67" s="3" t="inlineStr">
        <is>
          <t>/cashflow</t>
        </is>
      </c>
      <c r="D67" s="3" t="inlineStr">
        <is>
          <t>debt-free</t>
        </is>
      </c>
      <c r="E67" s="3" t="inlineStr">
        <is>
          <t>debtfree</t>
        </is>
      </c>
      <c r="F67" s="3" t="inlineStr">
        <is>
          <t>theDebts</t>
        </is>
      </c>
      <c r="G67" s="3" t="inlineStr">
        <is>
          <t>MK-CF-O-018</t>
        </is>
      </c>
      <c r="H67" s="3" t="inlineStr">
        <is>
          <t>the payoff plan: each month pay every minimum, put the extra on the costliest debt, roll a cleared debt’s payment onto the next</t>
        </is>
      </c>
      <c r="I67" s="3" t="inlineStr">
        <is>
          <t>the payoff plan: each month pay every minimum, put the extra on the costliest debt, roll a cleared debt’s payment onto the next</t>
        </is>
      </c>
      <c r="J67" s="3" t="inlineStr">
        <is>
          <t>MK-XS-I-014 debt balance
MK-XS-I-015 debt interest rate
MK-XS-I-016 debt minimum payment</t>
        </is>
      </c>
      <c r="K67" s="3" t="inlineStr">
        <is>
          <t>a count</t>
        </is>
      </c>
      <c r="L67" s="3" t="inlineStr">
        <is>
          <t>The payments cannot cover the interest — the screen says never, not a number.</t>
        </is>
      </c>
      <c r="M67" s="3" t="inlineStr">
        <is>
          <t>one figure per household</t>
        </is>
      </c>
      <c r="N67" s="3" t="inlineStr">
        <is>
          <t>as of today</t>
        </is>
      </c>
      <c r="O67" s="3" t="inlineStr">
        <is>
          <t>1. MK-CF-F-025 (minimumDebtService) → number
2. MK-CF-F-034 (payoffPlan) → PayoffResult
3. MK-CF-F-024 (totalDebtMonthly) → number</t>
        </is>
      </c>
      <c r="P67" s="3" t="inlineStr">
        <is>
          <t>Declared by MK-CF-O-018 theDebts</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2026-10-02</t>
        </is>
      </c>
      <c r="AH67" s="3" t="inlineStr"/>
      <c r="AI67" s="3" t="inlineStr"/>
      <c r="AJ6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MK-CF-O-018 theDebts</t>
        </is>
      </c>
      <c r="AN67" s="3" t="inlineStr">
        <is>
          <t>A $9,000 card at 24% with a $200 minimum and a $14,000 car loan at 6.9% with a $250 minimum, nothing extra paid.
GIVES: 84
(the test re-runs this through MK-CF-O-018 theDebts on every build)</t>
        </is>
      </c>
      <c r="AO67" s="3" t="inlineStr">
        <is>
          <t>NOTHING OPEN</t>
        </is>
      </c>
    </row>
    <row r="68" ht="60" customHeight="1">
      <c r="A68" s="3" t="inlineStr">
        <is>
          <t>MK-CF-M-059</t>
        </is>
      </c>
      <c r="B68" s="3" t="inlineStr">
        <is>
          <t>Cashflow</t>
        </is>
      </c>
      <c r="C68" s="3" t="inlineStr">
        <is>
          <t>/cashflow</t>
        </is>
      </c>
      <c r="D68" s="3" t="inlineStr">
        <is>
          <t>total interest</t>
        </is>
      </c>
      <c r="E68" s="3" t="inlineStr">
        <is>
          <t>total_interest</t>
        </is>
      </c>
      <c r="F68" s="3" t="inlineStr">
        <is>
          <t>theDebts</t>
        </is>
      </c>
      <c r="G68" s="3" t="inlineStr">
        <is>
          <t>MK-CF-O-018</t>
        </is>
      </c>
      <c r="H68" s="3" t="inlineStr">
        <is>
          <t>the interest paid month by month over the payoff plan, added up</t>
        </is>
      </c>
      <c r="I68" s="3" t="inlineStr">
        <is>
          <t>the interest paid month by month over the payoff plan, added up</t>
        </is>
      </c>
      <c r="J68" s="3" t="inlineStr">
        <is>
          <t>MK-XS-I-014 debt balance
MK-XS-I-015 debt interest rate
MK-XS-I-016 debt minimum payment</t>
        </is>
      </c>
      <c r="K68" s="3" t="inlineStr">
        <is>
          <t>dollars, whole</t>
        </is>
      </c>
      <c r="L68" s="3" t="inlineStr">
        <is>
          <t>The payments cannot cover the interest — the screen says never, not a number.</t>
        </is>
      </c>
      <c r="M68" s="3" t="inlineStr">
        <is>
          <t>one figure per household</t>
        </is>
      </c>
      <c r="N68" s="3" t="inlineStr">
        <is>
          <t>as of today</t>
        </is>
      </c>
      <c r="O68" s="3" t="inlineStr">
        <is>
          <t>1. MK-CF-F-025 (minimumDebtService) → number
2. MK-CF-F-034 (payoffPlan) → PayoffResult
3. MK-CF-F-024 (totalDebtMonthly) → number</t>
        </is>
      </c>
      <c r="P68" s="3" t="inlineStr">
        <is>
          <t>Declared by MK-CF-O-018 theDebts</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2026-10-02</t>
        </is>
      </c>
      <c r="AH68" s="3" t="inlineStr"/>
      <c r="AI68" s="3" t="inlineStr"/>
      <c r="AJ6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MK-CF-O-018 theDebts</t>
        </is>
      </c>
      <c r="AN68" s="3" t="inlineStr">
        <is>
          <t>A $9,000 card at 24% with a $200 minimum and a $14,000 car loan at 6.9% with a $250 minimum, nothing extra paid.
GIVES: $14,787
(the test re-runs this through MK-CF-O-018 theDebts on every build)</t>
        </is>
      </c>
      <c r="AO68" s="3" t="inlineStr">
        <is>
          <t>NOTHING OPEN</t>
        </is>
      </c>
    </row>
    <row r="69" ht="60" customHeight="1">
      <c r="A69" s="3" t="inlineStr">
        <is>
          <t>MK-CF-M-060</t>
        </is>
      </c>
      <c r="B69" s="3" t="inlineStr">
        <is>
          <t>Cashflow</t>
        </is>
      </c>
      <c r="C69" s="3" t="inlineStr">
        <is>
          <t>/bill-calendar</t>
        </is>
      </c>
      <c r="D69" s="3" t="inlineStr">
        <is>
          <t>Lowest point</t>
        </is>
      </c>
      <c r="E69" s="3" t="inlineStr">
        <is>
          <t>lowest_point</t>
        </is>
      </c>
      <c r="F69" s="3" t="inlineStr">
        <is>
          <t>whatsComing</t>
        </is>
      </c>
      <c r="G69" s="3" t="inlineStr">
        <is>
          <t>MK-CF-O-008</t>
        </is>
      </c>
      <c r="H69" s="3" t="inlineStr">
        <is>
          <t>the smallest running balance across the twelve month-ends, starting from the balance you gave</t>
        </is>
      </c>
      <c r="I69" s="3" t="inlineStr">
        <is>
          <t>the smallest running balance across the twelve month-ends, starting from the balance you gave</t>
        </is>
      </c>
      <c r="J69" s="3" t="inlineStr">
        <is>
          <t>MK-NW-I-001 your accounts
MK-CF-I-002 your bills
MK-XS-I-023 salary and other income</t>
        </is>
      </c>
      <c r="K69" s="3" t="inlineStr">
        <is>
          <t>dollars, whole</t>
        </is>
      </c>
      <c r="L69" s="3" t="inlineStr">
        <is>
          <t>No starting balance — the table starts from $0 and says so.</t>
        </is>
      </c>
      <c r="M69" s="3" t="inlineStr">
        <is>
          <t>one figure per household</t>
        </is>
      </c>
      <c r="N69" s="3" t="inlineStr">
        <is>
          <t>as of today</t>
        </is>
      </c>
      <c r="O69" s="3" t="inlineStr">
        <is>
          <t>MK-CF-F-019 (upcomingBills) → NOT DECLARED — the code does not say what it gives back</t>
        </is>
      </c>
      <c r="P69" s="3" t="inlineStr">
        <is>
          <t>Declared by MK-CF-O-008 whatsComing</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2026-10-02</t>
        </is>
      </c>
      <c r="AH69" s="3" t="inlineStr"/>
      <c r="AI69" s="3" t="inlineStr"/>
      <c r="AJ6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MK-CF-O-008 whatsComing</t>
        </is>
      </c>
      <c r="AN69" s="3" t="inlineStr">
        <is>
          <t>On 28 Sep 2026, with $8,000 in the account: car insurance of $1,400 due 15 Oct and property tax of $4,800 due 1 Nov. Nothing else is dated.
GIVES: $1,800
(the test re-runs this through MK-CF-O-008 whatsComing on every build)</t>
        </is>
      </c>
      <c r="AO69" s="3" t="inlineStr">
        <is>
          <t>NOTHING OPEN</t>
        </is>
      </c>
    </row>
    <row r="70" ht="60" customHeight="1">
      <c r="A70" s="3" t="inlineStr">
        <is>
          <t>MK-CF-M-061</t>
        </is>
      </c>
      <c r="B70" s="3" t="inlineStr">
        <is>
          <t>Cashflow</t>
        </is>
      </c>
      <c r="C70" s="3" t="inlineStr">
        <is>
          <t>/bill-calendar</t>
        </is>
      </c>
      <c r="D70" s="3" t="inlineStr">
        <is>
          <t>END — where the month leaves you</t>
        </is>
      </c>
      <c r="E70" s="3" t="inlineStr">
        <is>
          <t>end__where_the_month_leaves_you</t>
        </is>
      </c>
      <c r="F70" s="3" t="inlineStr">
        <is>
          <t>whatsComing</t>
        </is>
      </c>
      <c r="G70" s="3" t="inlineStr">
        <is>
          <t>MK-CF-O-008</t>
        </is>
      </c>
      <c r="H70" s="3" t="inlineStr">
        <is>
          <t>running balance = last month’s end + inflow − outflow, month by month from the starting balance</t>
        </is>
      </c>
      <c r="I70" s="3" t="inlineStr">
        <is>
          <t>running balance = last month’s end + inflow − outflow, month by month from the starting balance</t>
        </is>
      </c>
      <c r="J70" s="3" t="inlineStr">
        <is>
          <t>MK-NW-I-001 your accounts
MK-CF-I-002 your bills
MK-XS-I-023 salary and other income</t>
        </is>
      </c>
      <c r="K70" s="3" t="inlineStr">
        <is>
          <t>dollars, whole</t>
        </is>
      </c>
      <c r="L70" s="3" t="inlineStr">
        <is>
          <t>No starting balance — the chain starts from $0 and says so.</t>
        </is>
      </c>
      <c r="M70" s="3" t="inlineStr">
        <is>
          <t>one month</t>
        </is>
      </c>
      <c r="N70" s="3" t="inlineStr">
        <is>
          <t>as of today</t>
        </is>
      </c>
      <c r="O70" s="3" t="inlineStr">
        <is>
          <t>MK-CF-F-019 (upcomingBills) → NOT DECLARED — the code does not say what it gives back</t>
        </is>
      </c>
      <c r="P70" s="3" t="inlineStr">
        <is>
          <t>Declared by MK-CF-O-008 whatsComing</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2026-10-02</t>
        </is>
      </c>
      <c r="AH70" s="3" t="inlineStr"/>
      <c r="AI70" s="3" t="inlineStr"/>
      <c r="AJ70"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MK-CF-O-008 whatsComing</t>
        </is>
      </c>
      <c r="AN70" s="3" t="inlineStr">
        <is>
          <t>On 28 Sep 2026, with $8,000 in the account: car insurance of $1,400 due 15 Oct and property tax of $4,800 due 1 Nov. Nothing else is dated.
GIVES: $6,600
(the test re-runs this through MK-CF-O-008 whatsComing on every build)</t>
        </is>
      </c>
      <c r="AO70" s="3" t="inlineStr">
        <is>
          <t>NOTHING OPEN</t>
        </is>
      </c>
    </row>
    <row r="71" ht="60" customHeight="1">
      <c r="A71" s="3" t="inlineStr">
        <is>
          <t>MK-CF-M-062</t>
        </is>
      </c>
      <c r="B71" s="3" t="inlineStr">
        <is>
          <t>Cashflow</t>
        </is>
      </c>
      <c r="C71" s="3" t="inlineStr">
        <is>
          <t>/bill-calendar</t>
        </is>
      </c>
      <c r="D71" s="3" t="inlineStr">
        <is>
          <t>Short — set it aside by &lt;date&gt;</t>
        </is>
      </c>
      <c r="E71" s="3" t="inlineStr">
        <is>
          <t>short__set_it_aside_by_date</t>
        </is>
      </c>
      <c r="F71" s="3" t="inlineStr">
        <is>
          <t>whatsComing</t>
        </is>
      </c>
      <c r="G71" s="3" t="inlineStr">
        <is>
          <t>MK-CF-O-008</t>
        </is>
      </c>
      <c r="H71" s="3" t="inlineStr">
        <is>
          <t>the bill − what is projected to be in the account on its need-by date, when that is less</t>
        </is>
      </c>
      <c r="I71" s="3" t="inlineStr">
        <is>
          <t>the bill − what is projected to be in the account on its need-by date, when that is less</t>
        </is>
      </c>
      <c r="J71" s="3" t="inlineStr">
        <is>
          <t>MK-NW-I-001 your accounts
MK-CF-I-002 your bills</t>
        </is>
      </c>
      <c r="K71" s="3" t="inlineStr">
        <is>
          <t>dollars, whole</t>
        </is>
      </c>
      <c r="L71" s="3" t="inlineStr">
        <is>
          <t>Nothing short — the line reads Covered instead.</t>
        </is>
      </c>
      <c r="M71" s="3" t="inlineStr">
        <is>
          <t>one bill</t>
        </is>
      </c>
      <c r="N71" s="3" t="inlineStr">
        <is>
          <t>as of today</t>
        </is>
      </c>
      <c r="O71" s="3" t="inlineStr">
        <is>
          <t>MK-CF-F-019 (upcomingBills) → NOT DECLARED — the code does not say what it gives back</t>
        </is>
      </c>
      <c r="P71" s="3" t="inlineStr">
        <is>
          <t>Declared by MK-CF-O-008 whatsComing</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2026-10-02</t>
        </is>
      </c>
      <c r="AH71" s="3" t="inlineStr"/>
      <c r="AI71" s="3" t="inlineStr"/>
      <c r="AJ7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MK-CF-O-008 whatsComing</t>
        </is>
      </c>
      <c r="AN71" s="3" t="inlineStr">
        <is>
          <t>On 28 Sep 2026, with $8,000 in the account: car insurance of $1,400 due 15 Oct and property tax of $4,800 due 1 Nov. Nothing else is dated.
GIVES: $0
(the test re-runs this through MK-CF-O-008 whatsComing on every build)</t>
        </is>
      </c>
      <c r="AO71" s="3" t="inlineStr">
        <is>
          <t>NOTHING OPEN</t>
        </is>
      </c>
    </row>
    <row r="72" ht="60" customHeight="1">
      <c r="A72" s="3" t="inlineStr">
        <is>
          <t>MK-CF-M-063</t>
        </is>
      </c>
      <c r="B72" s="3" t="inlineStr">
        <is>
          <t>Cashflow</t>
        </is>
      </c>
      <c r="C72" s="3" t="inlineStr">
        <is>
          <t>/bill-calendar</t>
        </is>
      </c>
      <c r="D72" s="3" t="inlineStr">
        <is>
          <t>Covered — about $X there by &lt;date&gt;</t>
        </is>
      </c>
      <c r="E72" s="3" t="inlineStr">
        <is>
          <t>covered__about_x_there_by_date</t>
        </is>
      </c>
      <c r="F72" s="3" t="inlineStr">
        <is>
          <t>whatsComing</t>
        </is>
      </c>
      <c r="G72" s="3" t="inlineStr">
        <is>
          <t>MK-CF-O-008</t>
        </is>
      </c>
      <c r="H72" s="3" t="inlineStr">
        <is>
          <t>the starting balance, less every earlier dated bill, on the need-by date</t>
        </is>
      </c>
      <c r="I72" s="3" t="inlineStr">
        <is>
          <t>the starting balance, less every earlier dated bill, on the need-by date</t>
        </is>
      </c>
      <c r="J72" s="3" t="inlineStr">
        <is>
          <t>MK-NW-I-001 your accounts
MK-CF-I-002 your bills</t>
        </is>
      </c>
      <c r="K72" s="3" t="inlineStr">
        <is>
          <t>dollars, whole</t>
        </is>
      </c>
      <c r="L72" s="3" t="inlineStr">
        <is>
          <t>No balance to start from — nothing is projected.</t>
        </is>
      </c>
      <c r="M72" s="3" t="inlineStr">
        <is>
          <t>one bill</t>
        </is>
      </c>
      <c r="N72" s="3" t="inlineStr">
        <is>
          <t>as of today</t>
        </is>
      </c>
      <c r="O72" s="3" t="inlineStr">
        <is>
          <t>MK-CF-F-019 (upcomingBills) → NOT DECLARED — the code does not say what it gives back</t>
        </is>
      </c>
      <c r="P72" s="3" t="inlineStr">
        <is>
          <t>Declared by MK-CF-O-008 whatsComing</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2026-10-02</t>
        </is>
      </c>
      <c r="AH72" s="3" t="inlineStr"/>
      <c r="AI72" s="3" t="inlineStr"/>
      <c r="AJ72"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MK-CF-O-008 whatsComing</t>
        </is>
      </c>
      <c r="AN72" s="3" t="inlineStr">
        <is>
          <t>On 28 Sep 2026, with $8,000 in the account: car insurance of $1,400 due 15 Oct and property tax of $4,800 due 1 Nov. Nothing else is dated.
GIVES: $8,000
(the test re-runs this through MK-CF-O-008 whatsComing on every build)</t>
        </is>
      </c>
      <c r="AO72" s="3" t="inlineStr">
        <is>
          <t>NOTHING OPEN</t>
        </is>
      </c>
    </row>
    <row r="73" ht="60" customHeight="1">
      <c r="A73" s="3" t="inlineStr">
        <is>
          <t>MK-CF-M-064</t>
        </is>
      </c>
      <c r="B73" s="3" t="inlineStr">
        <is>
          <t>Cashflow</t>
        </is>
      </c>
      <c r="C73" s="3" t="inlineStr">
        <is>
          <t>/paycheck-months</t>
        </is>
      </c>
      <c r="D73" s="3" t="inlineStr">
        <is>
          <t>This year</t>
        </is>
      </c>
      <c r="E73" s="3" t="inlineStr">
        <is>
          <t>this_year</t>
        </is>
      </c>
      <c r="F73" s="3" t="inlineStr">
        <is>
          <t>whatsComing</t>
        </is>
      </c>
      <c r="G73" s="3" t="inlineStr">
        <is>
          <t>MK-CF-O-008</t>
        </is>
      </c>
      <c r="H73" s="3" t="inlineStr">
        <is>
          <t>Σ over the twelve months of (guaranteed income + draw − the month’s big dated bills)</t>
        </is>
      </c>
      <c r="I73" s="3" t="inlineStr">
        <is>
          <t>Σ over the twelve months of (guaranteed income + draw − the month’s big dated bills)</t>
        </is>
      </c>
      <c r="J73" s="3" t="inlineStr">
        <is>
          <t>MK-XS-I-020 Social Security monthly amount
MK-XS-I-022 pension monthly amount
MK-NW-I-001 your accounts
MK-CF-I-002 your bills</t>
        </is>
      </c>
      <c r="K73" s="3" t="inlineStr">
        <is>
          <t>dollars, whole a year</t>
        </is>
      </c>
      <c r="L73" s="3" t="inlineStr">
        <is>
          <t>No guaranteed income entered — the year is not added up; the screen asks for it.</t>
        </is>
      </c>
      <c r="M73" s="3" t="inlineStr">
        <is>
          <t>one figure per household</t>
        </is>
      </c>
      <c r="N73" s="3" t="inlineStr">
        <is>
          <t>a year</t>
        </is>
      </c>
      <c r="O73" s="3" t="inlineStr">
        <is>
          <t>MK-CF-F-019 (upcomingBills) → NOT DECLARED — the code does not say what it gives back</t>
        </is>
      </c>
      <c r="P73" s="3" t="inlineStr">
        <is>
          <t>Declared by MK-CF-O-008 whatsComing</t>
        </is>
      </c>
      <c r="Q73" s="3" t="inlineStr">
        <is>
          <t>EXACT SUM OF THE TWELVE, never monthly × 12 — a pension that lands in December is in December.</t>
        </is>
      </c>
      <c r="R73" s="3" t="inlineStr">
        <is>
          <t>EXACT SUM OF THE TWELVE, never monthly × 12 — a pension that lands in December is in December.</t>
        </is>
      </c>
      <c r="S73" s="3" t="inlineStr"/>
      <c r="T73" s="3" t="inlineStr">
        <is>
          <t>EXACT SUM OF THE TWELVE, never monthly × 12 — a pension that lands in December is in December.</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2026-10-02</t>
        </is>
      </c>
      <c r="AH73" s="3" t="inlineStr"/>
      <c r="AI73" s="3" t="inlineStr"/>
      <c r="AJ7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MK-CF-O-008 whatsComing</t>
        </is>
      </c>
      <c r="AN73" s="3" t="inlineStr">
        <is>
          <t>Retired, with $2,100/month of Social Security and no pot; a $1,400 car-insurance bill in October.
GIVES: $23,800/year
(the test re-runs this through MK-CF-O-008 whatsComing on every build)</t>
        </is>
      </c>
      <c r="AO73" s="3" t="inlineStr">
        <is>
          <t>NOTHING OPEN</t>
        </is>
      </c>
    </row>
    <row r="74" ht="60" customHeight="1">
      <c r="A74" s="3" t="inlineStr">
        <is>
          <t>MK-CF-M-065</t>
        </is>
      </c>
      <c r="B74" s="3" t="inlineStr">
        <is>
          <t>Cashflow</t>
        </is>
      </c>
      <c r="C74" s="3" t="inlineStr">
        <is>
          <t>/income-manager</t>
        </is>
      </c>
      <c r="D74" s="3" t="inlineStr">
        <is>
          <t>total income / year (gross)</t>
        </is>
      </c>
      <c r="E74" s="3" t="inlineStr">
        <is>
          <t>total_income__year_gross</t>
        </is>
      </c>
      <c r="F74" s="3" t="inlineStr">
        <is>
          <t>incomeSummary</t>
        </is>
      </c>
      <c r="G74" s="3" t="inlineStr">
        <is>
          <t>MK-CF-O-004</t>
        </is>
      </c>
      <c r="H74" s="3" t="inlineStr">
        <is>
          <t>every source’s yearly amount added up, wages at gross</t>
        </is>
      </c>
      <c r="I74" s="3" t="inlineStr">
        <is>
          <t>every source’s yearly amount added up, wages at gross</t>
        </is>
      </c>
      <c r="J74" s="3" t="inlineStr">
        <is>
          <t>MK-XS-I-023 salary and other income
MK-CF-I-009 bonus
MK-CF-I-010 equity vesting
MK-CF-I-007 rental income</t>
        </is>
      </c>
      <c r="K74" s="3" t="inlineStr">
        <is>
          <t>dollars, whole a year</t>
        </is>
      </c>
      <c r="L74" s="3" t="inlineStr">
        <is>
          <t>Nothing entered — $0, with the door to enter income.</t>
        </is>
      </c>
      <c r="M74" s="3" t="inlineStr">
        <is>
          <t>one figure per household</t>
        </is>
      </c>
      <c r="N74" s="3" t="inlineStr">
        <is>
          <t>a year</t>
        </is>
      </c>
      <c r="O7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4" s="3" t="inlineStr">
        <is>
          <t>Declared by MK-CF-O-004 incomeSummary</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2026-10-02</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MK-CF-O-004 incomeSummary</t>
        </is>
      </c>
      <c r="AN74" s="3" t="inlineStr">
        <is>
          <t>Two earners filing jointly: $4,200 every two weeks ($109,200/year) and $5,000/month ($60,000), paying $1,200 and $400/month into their 401(k)s, with the tax rate typed at 22%.
GIVES: $169,200/year
(the test re-runs this through MK-CF-O-004 incomeSummary on every build)</t>
        </is>
      </c>
      <c r="AO74" s="3" t="inlineStr">
        <is>
          <t>NOTHING OPEN</t>
        </is>
      </c>
    </row>
    <row r="75" ht="60" customHeight="1">
      <c r="A75" s="3" t="inlineStr">
        <is>
          <t>MK-CF-M-066</t>
        </is>
      </c>
      <c r="B75" s="3" t="inlineStr">
        <is>
          <t>Cashflow</t>
        </is>
      </c>
      <c r="C75" s="3" t="inlineStr">
        <is>
          <t>/income-manager</t>
        </is>
      </c>
      <c r="D75" s="3" t="inlineStr">
        <is>
          <t>Dividends, interest &amp; coupons</t>
        </is>
      </c>
      <c r="E75" s="3" t="inlineStr">
        <is>
          <t>dividends_interest__coupons</t>
        </is>
      </c>
      <c r="F75" s="3" t="inlineStr">
        <is>
          <t>incomeSummary</t>
        </is>
      </c>
      <c r="G75" s="3" t="inlineStr">
        <is>
          <t>MK-CF-O-004</t>
        </is>
      </c>
      <c r="H75" s="3" t="inlineStr">
        <is>
          <t>the dividend, interest and coupon records of the last twelve months, added up</t>
        </is>
      </c>
      <c r="I75" s="3" t="inlineStr">
        <is>
          <t>the dividend, interest and coupon records of the last twelve months, added up</t>
        </is>
      </c>
      <c r="J75" s="3" t="inlineStr">
        <is>
          <t>MK-NW-I-004 the activity records
MK-NW-I-001 your accounts</t>
        </is>
      </c>
      <c r="K75" s="3" t="inlineStr">
        <is>
          <t>dollars, whole a year</t>
        </is>
      </c>
      <c r="L75" s="3" t="inlineStr">
        <is>
          <t>No record of any — $0, never an estimate.</t>
        </is>
      </c>
      <c r="M75" s="3" t="inlineStr">
        <is>
          <t>one figure per household</t>
        </is>
      </c>
      <c r="N75" s="3" t="inlineStr">
        <is>
          <t>a year</t>
        </is>
      </c>
      <c r="O7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5" s="3" t="inlineStr">
        <is>
          <t>Declared by MK-CF-O-004 incomeSummary</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2026-10-02</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MK-CF-O-004 incomeSummary</t>
        </is>
      </c>
      <c r="AN75" s="3" t="inlineStr">
        <is>
          <t>One account that recorded a $300 dividend in June and $120 of interest in March.
GIVES: $420/year
(the test re-runs this through MK-CF-O-004 incomeSummary on every build)</t>
        </is>
      </c>
      <c r="AO75" s="3" t="inlineStr">
        <is>
          <t>NOTHING OPEN</t>
        </is>
      </c>
    </row>
    <row r="76" ht="60" customHeight="1">
      <c r="A76" s="3" t="inlineStr">
        <is>
          <t>MK-CF-M-067</t>
        </is>
      </c>
      <c r="B76" s="3" t="inlineStr">
        <is>
          <t>Cashflow</t>
        </is>
      </c>
      <c r="C76" s="3" t="inlineStr">
        <is>
          <t>/income</t>
        </is>
      </c>
      <c r="D76" s="3" t="inlineStr">
        <is>
          <t>You earned</t>
        </is>
      </c>
      <c r="E76" s="3" t="inlineStr">
        <is>
          <t>you_earned</t>
        </is>
      </c>
      <c r="F76" s="3" t="inlineStr">
        <is>
          <t>incomeSummary</t>
        </is>
      </c>
      <c r="G76" s="3" t="inlineStr">
        <is>
          <t>MK-CF-O-004</t>
        </is>
      </c>
      <c r="H76" s="3" t="inlineStr">
        <is>
          <t>the hours entered × the rate entered — 37.5 hours × $24 = $900.00</t>
        </is>
      </c>
      <c r="I76" s="3" t="inlineStr">
        <is>
          <t>the hours entered × the rate entered — 37.5 hours × $24 = $900.00</t>
        </is>
      </c>
      <c r="J76" s="3" t="inlineStr">
        <is>
          <t>MK-CF-I-015 income recorded as received</t>
        </is>
      </c>
      <c r="K76" s="3" t="inlineStr">
        <is>
          <t>dollars, two decimals</t>
        </is>
      </c>
      <c r="L76" s="3" t="inlineStr">
        <is>
          <t>Nothing entered yet — $0.00.</t>
        </is>
      </c>
      <c r="M76" s="3" t="inlineStr">
        <is>
          <t>one figure per household</t>
        </is>
      </c>
      <c r="N76" s="3" t="inlineStr">
        <is>
          <t>as of today</t>
        </is>
      </c>
      <c r="O7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6" s="3" t="inlineStr">
        <is>
          <t>Declared by MK-CF-O-004 incomeSummary</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2026-10-02</t>
        </is>
      </c>
      <c r="AA76" s="3" t="inlineStr"/>
      <c r="AB76" s="3" t="inlineStr"/>
      <c r="AC76" s="3" t="inlineStr"/>
      <c r="AD76" s="3" t="inlineStr"/>
      <c r="AE76" s="3" t="inlineStr"/>
      <c r="AF76" s="3" t="inlineStr">
        <is>
          <t>ACTIVE</t>
        </is>
      </c>
      <c r="AG76" s="3" t="inlineStr">
        <is>
          <t>2026-10-02</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2026-10-02; the figure, its formula, inputs and refusal live in MK-CF-O-004 incomeSummary</t>
        </is>
      </c>
      <c r="AN76" s="3" t="inlineStr">
        <is>
          <t>Logging 37.5 hours of work at a rate of $24 an hour, before it is saved.
GIVES: $900.00
(the test re-runs this through MK-CF-O-004 incomeSummary on every build)</t>
        </is>
      </c>
      <c r="AO76" s="3" t="inlineStr">
        <is>
          <t>NOTHING OPEN</t>
        </is>
      </c>
    </row>
    <row r="77" ht="60" customHeight="1">
      <c r="A77" s="3" t="inlineStr">
        <is>
          <t>MK-CF-M-068</t>
        </is>
      </c>
      <c r="B77" s="3" t="inlineStr">
        <is>
          <t>Cashflow</t>
        </is>
      </c>
      <c r="C77" s="3" t="inlineStr">
        <is>
          <t>/income</t>
        </is>
      </c>
      <c r="D77" s="3" t="inlineStr">
        <is>
          <t>Monthly equivalent</t>
        </is>
      </c>
      <c r="E77" s="3" t="inlineStr">
        <is>
          <t>monthly_equivalent</t>
        </is>
      </c>
      <c r="F77" s="3" t="inlineStr">
        <is>
          <t>incomeSummary</t>
        </is>
      </c>
      <c r="G77" s="3" t="inlineStr">
        <is>
          <t>MK-CF-O-004</t>
        </is>
      </c>
      <c r="H77" s="3" t="inlineStr">
        <is>
          <t>amount × the number of payments in a month (weekly 4.33, every two weeks 2.17, yearly 1÷12); a one-time amount is itself</t>
        </is>
      </c>
      <c r="I77" s="3" t="inlineStr">
        <is>
          <t>amount × the number of payments in a month (weekly 4.33, every two weeks 2.17, yearly 1÷12); a one-time amount is itself</t>
        </is>
      </c>
      <c r="J77" s="3" t="inlineStr">
        <is>
          <t>MK-CF-I-015 income recorded as received
MK-XS-I-039 how often each income arrives</t>
        </is>
      </c>
      <c r="K77" s="3" t="inlineStr">
        <is>
          <t>dollars, two decimals a month</t>
        </is>
      </c>
      <c r="L77" s="3" t="inlineStr">
        <is>
          <t>Nothing entered yet — $0.00.</t>
        </is>
      </c>
      <c r="M77" s="3" t="inlineStr">
        <is>
          <t>one figure per household</t>
        </is>
      </c>
      <c r="N77" s="3" t="inlineStr">
        <is>
          <t>a month</t>
        </is>
      </c>
      <c r="O7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7" s="3" t="inlineStr">
        <is>
          <t>Declared by MK-CF-O-004 incomeSummary</t>
        </is>
      </c>
      <c r="Q77" s="3" t="inlineStr">
        <is>
          <t>NONE RECORDED — the declaration names none.</t>
        </is>
      </c>
      <c r="R77" s="3" t="inlineStr">
        <is>
          <t>NONE RECORDED — the declaration names none.</t>
        </is>
      </c>
      <c r="S77" s="3" t="inlineStr"/>
      <c r="T77" s="3" t="inlineStr">
        <is>
          <t>NONE RECORDED — the declaration names none.</t>
        </is>
      </c>
      <c r="U77" s="3" t="inlineStr"/>
      <c r="V77" s="3" t="inlineStr"/>
      <c r="W77" s="3" t="inlineStr"/>
      <c r="X77" s="3" t="inlineStr"/>
      <c r="Y77" s="3" t="inlineStr"/>
      <c r="Z77" s="3" t="inlineStr">
        <is>
          <t>DECLARED IN THE CODE (rule 11) — printed from the door, not typed. RULED 2026-10-02</t>
        </is>
      </c>
      <c r="AA77" s="3" t="inlineStr"/>
      <c r="AB77" s="3" t="inlineStr"/>
      <c r="AC77" s="3" t="inlineStr"/>
      <c r="AD77" s="3" t="inlineStr"/>
      <c r="AE77" s="3" t="inlineStr"/>
      <c r="AF77" s="3" t="inlineStr">
        <is>
          <t>ACTIVE</t>
        </is>
      </c>
      <c r="AG77" s="3" t="inlineStr">
        <is>
          <t>2026-10-02</t>
        </is>
      </c>
      <c r="AH77" s="3" t="inlineStr"/>
      <c r="AI77" s="3" t="inlineStr"/>
      <c r="AJ7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7" s="3" t="inlineStr">
        <is>
          <t>(the claim now stands in 'Inputs it needs' until the row is approved)</t>
        </is>
      </c>
      <c r="AL77" s="3" t="inlineStr"/>
      <c r="AM77" s="3" t="inlineStr">
        <is>
          <t>TESTED, NOT VERIFIED — you ruled on this row 2026-10-02; the figure, its formula, inputs and refusal live in MK-CF-O-004 incomeSummary</t>
        </is>
      </c>
      <c r="AN77" s="3" t="inlineStr">
        <is>
          <t>Logging $900 that arrives every week, to see what that is in a month.
GIVES: $3,897.00/month
(the test re-runs this through MK-CF-O-004 incomeSummary on every build)</t>
        </is>
      </c>
      <c r="AO77" s="3" t="inlineStr">
        <is>
          <t>NOTHING OPEN</t>
        </is>
      </c>
    </row>
    <row r="78" ht="60" customHeight="1">
      <c r="A78" s="3" t="inlineStr">
        <is>
          <t>MK-CF-M-069</t>
        </is>
      </c>
      <c r="B78" s="3" t="inlineStr">
        <is>
          <t>Cashflow</t>
        </is>
      </c>
      <c r="C78" s="3" t="inlineStr">
        <is>
          <t>/monthly-income</t>
        </is>
      </c>
      <c r="D78" s="3" t="inlineStr">
        <is>
          <t>Your guaranteed income</t>
        </is>
      </c>
      <c r="E78" s="3" t="inlineStr">
        <is>
          <t>your_guaranteed_income</t>
        </is>
      </c>
      <c r="F78" s="3" t="inlineStr">
        <is>
          <t>incomeSummary</t>
        </is>
      </c>
      <c r="G78" s="3" t="inlineStr">
        <is>
          <t>MK-CF-O-004</t>
        </is>
      </c>
      <c r="H78" s="3" t="inlineStr">
        <is>
          <t>the sum of each source of guaranteed income (MK-CF-M-024)</t>
        </is>
      </c>
      <c r="I78" s="3" t="inlineStr">
        <is>
          <t>the sum of each source of guaranteed income (MK-CF-M-024)</t>
        </is>
      </c>
      <c r="J78" s="3" t="inlineStr">
        <is>
          <t>MK-XS-I-020 Social Security monthly amount
MK-XS-I-022 pension monthly amount
MK-XS-I-035 annuity income
MK-XS-I-036 other guaranteed income</t>
        </is>
      </c>
      <c r="K78" s="3" t="inlineStr">
        <is>
          <t>dollars, whole a month</t>
        </is>
      </c>
      <c r="L78" s="3" t="inlineStr">
        <is>
          <t>Nothing entered — $0, with the door to enter it.</t>
        </is>
      </c>
      <c r="M78" s="3" t="inlineStr">
        <is>
          <t>one figure per household</t>
        </is>
      </c>
      <c r="N78" s="3" t="inlineStr">
        <is>
          <t>a month</t>
        </is>
      </c>
      <c r="O7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8" s="3" t="inlineStr">
        <is>
          <t>Declared by MK-CF-O-004 incomeSummary</t>
        </is>
      </c>
      <c r="Q78" s="3" t="inlineStr">
        <is>
          <t>NONE RECORDED — the declaration names none.</t>
        </is>
      </c>
      <c r="R78" s="3" t="inlineStr">
        <is>
          <t>NONE RECORDED — the declaration names none.</t>
        </is>
      </c>
      <c r="S78" s="3" t="inlineStr"/>
      <c r="T78" s="3" t="inlineStr">
        <is>
          <t>NONE RECORDED — the declaration names none.</t>
        </is>
      </c>
      <c r="U78" s="3" t="inlineStr"/>
      <c r="V78" s="3" t="inlineStr"/>
      <c r="W78" s="3" t="inlineStr"/>
      <c r="X78" s="3" t="inlineStr"/>
      <c r="Y78" s="3" t="inlineStr"/>
      <c r="Z78" s="3" t="inlineStr">
        <is>
          <t>DECLARED IN THE CODE (rule 11) — printed from the door, not typed. RULED 2026-10-02</t>
        </is>
      </c>
      <c r="AA78" s="3" t="inlineStr"/>
      <c r="AB78" s="3" t="inlineStr"/>
      <c r="AC78" s="3" t="inlineStr"/>
      <c r="AD78" s="3" t="inlineStr"/>
      <c r="AE78" s="3" t="inlineStr"/>
      <c r="AF78" s="3" t="inlineStr">
        <is>
          <t>ACTIVE</t>
        </is>
      </c>
      <c r="AG78" s="3" t="inlineStr">
        <is>
          <t>2026-10-02</t>
        </is>
      </c>
      <c r="AH78" s="3" t="inlineStr"/>
      <c r="AI78" s="3" t="inlineStr"/>
      <c r="AJ7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8" s="3" t="inlineStr">
        <is>
          <t>(the claim now stands in 'Inputs it needs' until the row is approved)</t>
        </is>
      </c>
      <c r="AL78" s="3" t="inlineStr"/>
      <c r="AM78" s="3" t="inlineStr">
        <is>
          <t>TESTED, NOT VERIFIED — you ruled on this row 2026-10-02; the figure, its formula, inputs and refusal live in MK-CF-O-004 incomeSummary</t>
        </is>
      </c>
      <c r="AN78"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8" s="3" t="inlineStr">
        <is>
          <t>NOTHING OPEN</t>
        </is>
      </c>
    </row>
    <row r="79" ht="60" customHeight="1">
      <c r="A79" s="3" t="inlineStr">
        <is>
          <t>MK-CF-M-070</t>
        </is>
      </c>
      <c r="B79" s="3" t="inlineStr">
        <is>
          <t>Cashflow</t>
        </is>
      </c>
      <c r="C79" s="3" t="inlineStr">
        <is>
          <t>/cashflow</t>
        </is>
      </c>
      <c r="D79" s="3" t="inlineStr">
        <is>
          <t>each step of the withdrawal order</t>
        </is>
      </c>
      <c r="E79" s="3" t="inlineStr">
        <is>
          <t>each_step_of_the_withdrawal_order</t>
        </is>
      </c>
      <c r="F79" s="3" t="inlineStr">
        <is>
          <t>futurePaycheck</t>
        </is>
      </c>
      <c r="G79" s="3" t="inlineStr">
        <is>
          <t>MK-CF-O-017</t>
        </is>
      </c>
      <c r="H79" s="3" t="inlineStr">
        <is>
          <t>cash first, then taxable, then pre-tax, then Roth — each with what is earmarked for retirement in it</t>
        </is>
      </c>
      <c r="I79" s="3" t="inlineStr">
        <is>
          <t>cash first, then taxable, then pre-tax, then Roth — each with what is earmarked for retirement in it</t>
        </is>
      </c>
      <c r="J79" s="3" t="inlineStr">
        <is>
          <t>MK-NW-I-001 your accounts
MK-XS-I-002 account type (taxable, pre-tax, Roth)
MK-XS-I-050 the share of an account earmarked for retirement</t>
        </is>
      </c>
      <c r="K79" s="3" t="inlineStr">
        <is>
          <t>dollars, whole</t>
        </is>
      </c>
      <c r="L79" s="3" t="inlineStr">
        <is>
          <t>No retirement money in any pot — no order to explain.</t>
        </is>
      </c>
      <c r="M79" s="3" t="inlineStr">
        <is>
          <t>one step</t>
        </is>
      </c>
      <c r="N79" s="3" t="inlineStr">
        <is>
          <t>as of today</t>
        </is>
      </c>
      <c r="O79"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9" s="3" t="inlineStr">
        <is>
          <t>Declared by MK-CF-O-017 futurePaycheck</t>
        </is>
      </c>
      <c r="Q79" s="3" t="inlineStr">
        <is>
          <t>NONE RECORDED — the declaration names none.</t>
        </is>
      </c>
      <c r="R79" s="3" t="inlineStr">
        <is>
          <t>NONE RECORDED — the declaration names none.</t>
        </is>
      </c>
      <c r="S79" s="3" t="inlineStr"/>
      <c r="T79" s="3" t="inlineStr">
        <is>
          <t>NONE RECORDED — the declaration names none.</t>
        </is>
      </c>
      <c r="U79" s="3" t="inlineStr"/>
      <c r="V79" s="3" t="inlineStr"/>
      <c r="W79" s="3" t="inlineStr"/>
      <c r="X79" s="3" t="inlineStr"/>
      <c r="Y79" s="3" t="inlineStr"/>
      <c r="Z79" s="3" t="inlineStr">
        <is>
          <t>DECLARED IN THE CODE (rule 11) — printed from the door, not typed. RULED 2026-10-02</t>
        </is>
      </c>
      <c r="AA79" s="3" t="inlineStr"/>
      <c r="AB79" s="3" t="inlineStr"/>
      <c r="AC79" s="3" t="inlineStr"/>
      <c r="AD79" s="3" t="inlineStr"/>
      <c r="AE79" s="3" t="inlineStr"/>
      <c r="AF79" s="3" t="inlineStr">
        <is>
          <t>ACTIVE</t>
        </is>
      </c>
      <c r="AG79" s="3" t="inlineStr">
        <is>
          <t>2026-10-02</t>
        </is>
      </c>
      <c r="AH79" s="3" t="inlineStr"/>
      <c r="AI79" s="3" t="inlineStr"/>
      <c r="AJ79" s="3" t="inlineStr">
        <is>
          <t>1. MK-XS-I-001 account balance — read by MK-CF-F-019, MK-CF-F-215, MK-CF-O-017, MK-NW-F-031, MK-NW-F-032, MK-NW-F-056,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MK-XS-I-008 transaction amount — read by MK-CF-F-109
8. MK-XS-I-009 transaction date — read by MK-CF-F-109
9. MK-XS-I-010 transaction words (the institution's own wording) — read by MK-CF-F-109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MK-XS-I-014 debt balance — read by MK-CF-F-157, MK-CF-O-010, MK-XS-F-004
14. MK-XS-I-015 debt interest rate — read by MK-CF-F-157, MK-CF-O-010
15. MK-XS-I-016 debt minimum payment — read by MK-CF-F-023, MK-CF-F-157, MK-CF-O-010
16. MK-XS-I-017 birth year — read by MK-CF-F-089, MK-CF-F-197, MK-CF-O-017, MK-PL-F-057, MK-PL-F-058, MK-PL-F-060, MK
17. MK-XS-I-018 retirement age — read by MK-CF-F-106, MK-CF-O-017, MK-PL-F-049, MK-PL-F-050, MK-PL-F-067
18. MK-XS-I-019 monthly expenses in retirement — read by MK-PL-F-049
19. MK-XS-I-020 Social Security monthly amount — read by MK-CF-F-072, MK-CF-F-075, MK-CF-F-076, MK-PL-F-060, MK-PL-F-067
20. MK-XS-I-021 Social Security claim age — read by MK-PL-F-058, MK-PL-F-060, MK-PL-F-067
21. MK-XS-I-022 pension monthly amount — read by MK-CF-F-072, MK-CF-F-075, MK-CF-F-076, MK-CF-F-215, MK-CF-O-017, MK-PL-F-049
22. MK-XS-I-023 salary and other income — read by MK-CF-F-019, MK-CF-F-074, MK-CF-F-082, MK-CF-F-083, MK-CF-F-084, MK-CF-F-088, MK
23. MK-XS-I-024 logged expenses — read by MK-CF-F-005, MK-CF-F-067, MK-CF-F-068, MK-CF-F-107, MK-CF-F-109, MK-CF-F-150, MK
24. MK-XS-I-026 big costs (amount and year) — read by MK-CF-O-017, MK-PL-F-065, MK-PL-F-067, MK-XS-F-004
25. MK-XS-I-027 goals (target, saved, date) — read by MK-CF-F-204, MK-PL-F-012
26. MK-XS-I-028 assumed return — read by MK-CF-F-106, MK-CF-F-215, MK-CF-O-017, MK-NW-O-001, MK-PL-F-049, MK-PL-F-050, MK
27. MK-XS-I-029 inflation rate — read by MK-CF-F-106, MK-CF-F-215, MK-CF-O-017, MK-PL-F-004, MK-PL-F-049, MK-PL-F-050, MK
28. MK-XS-I-030 tax filing status and age — read by MK-CF-F-085, MK-CF-F-089, MK-CF-F-098, MK-CF-F-099, MK-CF-F-100, MK-CF-F-101, MK
29. MK-XS-I-031 daily and monthly snapshots — read by MK-ST-F-036
30. MK-XS-I-032 expenses categories the person set up — read by MK-CF-F-004, MK-CF-F-008, MK-CF-F-019, MK-CF-F-214, MK-CF-F-215, MK-CF-O-008, MK
31. MK-XS-I-034 option positions — contracts, strike, expiry, put or call — read by MK-CF-F-062
32. MK-XS-I-035 annuity income — read by MK-CF-F-072, MK-CF-F-075, MK-CF-F-076, MK-CF-O-017, MK-NW-F-035, MK-PL-F-049
33. MK-XS-I-036 other guaranteed income — read by MK-CF-F-072, MK-CF-F-075, MK-CF-F-076, MK-PL-F-049, MK-PL-F-050, MK-PL-F-067
34. MK-XS-I-037 required-withdrawal income stream (ri_rmd) — read by MK-CF-F-075
35. MK-XS-I-038 withdrawal income stream (ri_withdrawals) — read by MK-CF-F-075
36. MK-XS-I-039 how often each income arrives — read by MK-CF-F-071, MK-CF-F-072, MK-CF-F-074, MK-CF-F-075, MK-CF-F-076, MK-CF-F-105, MK
37. MK-XS-I-040 whether a stream is already being received — read by MK-CF-F-019, MK-CF-F-072, MK-CF-F-105, MK-CF-O-017
38. MK-XS-I-041 the payment the person chose to make on a debt — read by MK-CF-F-023
39. MK-XS-I-042 how a stream is paid — monthly, yearly or one lump — read by MK-CF-F-021, MK-CF-F-022, MK-CF-F-023, MK-CF-F-149, MK-CF-F-150, MK-CF-F-152, MK
40. MK-XS-I-043 their own retirement contribution — read by MK-CF-F-106, MK-CF-F-178, MK-CF-F-181, MK-CF-F-206, MK-NW-F-041, MK-PL-F-049, MK
41. MK-XS-I-044 the person’s own plan overrides — read by MK-CF-O-017, MK-PL-F-049, MK-PL-F-065, MK-PL-F-067
42. MK-XS-I-045 where they will live in retirement — read by MK-PL-F-049
43. MK-XS-I-046 how the employer match is expressed — percent or dollars — read by MK-CF-F-178
44. MK-XS-I-047 money to leave behind — read by MK-PL-F-067
45. MK-XS-I-048 the person’s own asset-class answer — read by MK-NW-F-011, MK-ST-F-027
46. MK-XS-I-049 bond price — what the bond is worth today — read by MK-NW-F-056, MK-NW-F-057, MK-NW-F-059, MK-NW-F-060, MK-NW-F-061, MK-NW-F-064, MK
47. MK-XS-I-050 the share of an account earmarked for retirement — read by MK-CF-O-017, MK-NW-F-032
48. MK-XS-I-051 what an account actually returned over the last twelve months — read by MK-NW-F-004
49. MK-XS-I-052 the day of the month a debt payment is due — read by MK-CF-F-005, MK-XS-F-004
50. MK-XS-I-053 the month a debt is first paid — read by MK-XS-F-004
51. MK-XS-I-054 the date a debt is due to be paid off in full — read by MK-XS-F-004
52. MK-XS-I-055 the wrapper an account sits in — ISA, 401(k), IRA and the rest — read by MK-CF-F-005, MK-CF-F-075, MK-CF-F-076, MK-CF-F-107, MK-CF-F-156, MK-NW-F-011, MK
53. MK-XS-I-059 the month a bonus lands — read by MK-CF-F-088, MK-CF-F-092, MK-XS-F-004
54. MK-XS-I-060 how a person is paid — weekly, fortnightly, monthly — read by MK-CF-F-130
55. MK-XS-I-064 the unit beside a quantity — shares, coins, contracts, ounces or units — read by MK-CF-F-003, MK-CF-F-008, MK-CF-F-019, MK-CF-F-204, MK-CF-F-215, MK-CF-O-017, MK
56.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9" s="3" t="inlineStr">
        <is>
          <t>(the claim now stands in 'Inputs it needs' until the row is approved)</t>
        </is>
      </c>
      <c r="AL79" s="3" t="inlineStr"/>
      <c r="AM79" s="3" t="inlineStr">
        <is>
          <t>TESTED, NOT VERIFIED — you ruled on this row 2026-10-02; the figure, its formula, inputs and refusal live in MK-CF-O-017 futurePaycheck</t>
        </is>
      </c>
      <c r="AN79" s="3" t="inlineStr">
        <is>
          <t>A $50,000 taxable brokerage account and a $120,000 pre-tax 401(k), both for retirement, at 68.
GIVES: $50,000
(the test re-runs this through MK-CF-O-017 futurePaycheck on every build)</t>
        </is>
      </c>
      <c r="AO79" s="3" t="inlineStr">
        <is>
          <t>NOTHING OPEN</t>
        </is>
      </c>
    </row>
    <row r="80" ht="60" customHeight="1">
      <c r="A80" s="3" t="inlineStr">
        <is>
          <t>MK-CF-M-071</t>
        </is>
      </c>
      <c r="B80" s="3" t="inlineStr">
        <is>
          <t>Cashflow</t>
        </is>
      </c>
      <c r="C80" s="3" t="inlineStr">
        <is>
          <t>/cashflow</t>
        </is>
      </c>
      <c r="D80" s="3" t="inlineStr">
        <is>
          <t>/month min</t>
        </is>
      </c>
      <c r="E80" s="3" t="inlineStr">
        <is>
          <t>month_min</t>
        </is>
      </c>
      <c r="F80" s="3" t="inlineStr">
        <is>
          <t>theDebts</t>
        </is>
      </c>
      <c r="G80" s="3" t="inlineStr">
        <is>
          <t>MK-CF-O-018</t>
        </is>
      </c>
      <c r="H80" s="3" t="inlineStr">
        <is>
          <t>Σ the minimum monthly payment of every debt still owed</t>
        </is>
      </c>
      <c r="I80" s="3" t="inlineStr">
        <is>
          <t>Σ the minimum monthly payment of every debt still owed</t>
        </is>
      </c>
      <c r="J80" s="3" t="inlineStr">
        <is>
          <t>MK-XS-I-016 debt minimum payment</t>
        </is>
      </c>
      <c r="K80" s="3" t="inlineStr">
        <is>
          <t>dollars, whole a month</t>
        </is>
      </c>
      <c r="L80" s="3" t="inlineStr">
        <is>
          <t>No debts — $0.</t>
        </is>
      </c>
      <c r="M80" s="3" t="inlineStr">
        <is>
          <t>one figure per household</t>
        </is>
      </c>
      <c r="N80" s="3" t="inlineStr">
        <is>
          <t>a month</t>
        </is>
      </c>
      <c r="O80" s="3" t="inlineStr">
        <is>
          <t>1. MK-CF-F-025 (minimumDebtService) → number
2. MK-CF-F-034 (payoffPlan) → PayoffResult
3. MK-CF-F-024 (totalDebtMonthly) → number</t>
        </is>
      </c>
      <c r="P80" s="3" t="inlineStr">
        <is>
          <t>Declared by MK-CF-O-018 theDebts</t>
        </is>
      </c>
      <c r="Q80" s="3" t="inlineStr">
        <is>
          <t>NONE RECORDED — the declaration names none.</t>
        </is>
      </c>
      <c r="R80" s="3" t="inlineStr">
        <is>
          <t>NONE RECORDED — the declaration names none.</t>
        </is>
      </c>
      <c r="S80" s="3" t="inlineStr"/>
      <c r="T80" s="3" t="inlineStr">
        <is>
          <t>NONE RECORDED — the declaration names none.</t>
        </is>
      </c>
      <c r="U80" s="3" t="inlineStr"/>
      <c r="V80" s="3" t="inlineStr"/>
      <c r="W80" s="3" t="inlineStr"/>
      <c r="X80" s="3" t="inlineStr"/>
      <c r="Y80" s="3" t="inlineStr"/>
      <c r="Z80" s="3" t="inlineStr">
        <is>
          <t>DECLARED IN THE CODE (rule 11) — printed from the door, not typed. RULED 2026-10-02</t>
        </is>
      </c>
      <c r="AA80" s="3" t="inlineStr"/>
      <c r="AB80" s="3" t="inlineStr"/>
      <c r="AC80" s="3" t="inlineStr"/>
      <c r="AD80" s="3" t="inlineStr"/>
      <c r="AE80" s="3" t="inlineStr"/>
      <c r="AF80" s="3" t="inlineStr">
        <is>
          <t>ACTIVE</t>
        </is>
      </c>
      <c r="AG80" s="3" t="inlineStr">
        <is>
          <t>2026-10-02</t>
        </is>
      </c>
      <c r="AH80" s="3" t="inlineStr"/>
      <c r="AI80" s="3" t="inlineStr"/>
      <c r="AJ8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0" s="3" t="inlineStr">
        <is>
          <t>(the claim now stands in 'Inputs it needs' until the row is approved)</t>
        </is>
      </c>
      <c r="AL80" s="3" t="inlineStr"/>
      <c r="AM80" s="3" t="inlineStr">
        <is>
          <t>TESTED, NOT VERIFIED — you ruled on this row 2026-10-02; the figure, its formula, inputs and refusal live in MK-CF-O-018 theDebts</t>
        </is>
      </c>
      <c r="AN80" s="3" t="inlineStr">
        <is>
          <t>A $9,000 card at 24% with a $200 minimum and a $14,000 car loan at 6.9% with a $250 minimum, nothing extra paid.
GIVES: $450/month
(the test re-runs this through MK-CF-O-018 theDebts on every build)</t>
        </is>
      </c>
      <c r="AO80" s="3" t="inlineStr">
        <is>
          <t>NOTHING OPEN</t>
        </is>
      </c>
    </row>
    <row r="81" ht="60" customHeight="1">
      <c r="A81" s="3" t="inlineStr">
        <is>
          <t>MK-CF-M-072</t>
        </is>
      </c>
      <c r="B81" s="3" t="inlineStr">
        <is>
          <t>Cashflow</t>
        </is>
      </c>
      <c r="C81" s="3" t="inlineStr">
        <is>
          <t>/cashflow</t>
        </is>
      </c>
      <c r="D81" s="3" t="inlineStr">
        <is>
          <t>/month total</t>
        </is>
      </c>
      <c r="E81" s="3" t="inlineStr">
        <is>
          <t>month_total</t>
        </is>
      </c>
      <c r="F81" s="3" t="inlineStr">
        <is>
          <t>theDebts</t>
        </is>
      </c>
      <c r="G81" s="3" t="inlineStr">
        <is>
          <t>MK-CF-O-018</t>
        </is>
      </c>
      <c r="H81" s="3" t="inlineStr">
        <is>
          <t>the minimums added up (MK-CF-M-071) + the extra a month you set</t>
        </is>
      </c>
      <c r="I81" s="3" t="inlineStr">
        <is>
          <t>the minimums added up (MK-CF-M-071) + the extra a month you set</t>
        </is>
      </c>
      <c r="J81" s="3" t="inlineStr">
        <is>
          <t>MK-XS-I-016 debt minimum payment
MK-XS-I-041 the payment the person chose to make on a debt</t>
        </is>
      </c>
      <c r="K81" s="3" t="inlineStr">
        <is>
          <t>dollars, whole a month</t>
        </is>
      </c>
      <c r="L81" s="3" t="inlineStr">
        <is>
          <t>No debts — $0.</t>
        </is>
      </c>
      <c r="M81" s="3" t="inlineStr">
        <is>
          <t>one figure per household</t>
        </is>
      </c>
      <c r="N81" s="3" t="inlineStr">
        <is>
          <t>a month</t>
        </is>
      </c>
      <c r="O81" s="3" t="inlineStr">
        <is>
          <t>1. MK-CF-F-025 (minimumDebtService) → number
2. MK-CF-F-034 (payoffPlan) → PayoffResult
3. MK-CF-F-024 (totalDebtMonthly) → number</t>
        </is>
      </c>
      <c r="P81" s="3" t="inlineStr">
        <is>
          <t>Declared by MK-CF-O-018 theDebts</t>
        </is>
      </c>
      <c r="Q81" s="3" t="inlineStr">
        <is>
          <t>NONE RECORDED — the declaration names none.</t>
        </is>
      </c>
      <c r="R81" s="3" t="inlineStr">
        <is>
          <t>NONE RECORDED — the declaration names none.</t>
        </is>
      </c>
      <c r="S81" s="3" t="inlineStr"/>
      <c r="T81" s="3" t="inlineStr">
        <is>
          <t>NONE RECORDED — the declaration names none.</t>
        </is>
      </c>
      <c r="U81" s="3" t="inlineStr"/>
      <c r="V81" s="3" t="inlineStr"/>
      <c r="W81" s="3" t="inlineStr"/>
      <c r="X81" s="3" t="inlineStr"/>
      <c r="Y81" s="3" t="inlineStr"/>
      <c r="Z81" s="3" t="inlineStr">
        <is>
          <t>DECLARED IN THE CODE (rule 11) — printed from the door, not typed. RULED 2026-10-02</t>
        </is>
      </c>
      <c r="AA81" s="3" t="inlineStr"/>
      <c r="AB81" s="3" t="inlineStr"/>
      <c r="AC81" s="3" t="inlineStr"/>
      <c r="AD81" s="3" t="inlineStr"/>
      <c r="AE81" s="3" t="inlineStr"/>
      <c r="AF81" s="3" t="inlineStr">
        <is>
          <t>ACTIVE</t>
        </is>
      </c>
      <c r="AG81" s="3" t="inlineStr">
        <is>
          <t>2026-10-02</t>
        </is>
      </c>
      <c r="AH81" s="3" t="inlineStr"/>
      <c r="AI81" s="3" t="inlineStr"/>
      <c r="AJ8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1" s="3" t="inlineStr">
        <is>
          <t>(the claim now stands in 'Inputs it needs' until the row is approved)</t>
        </is>
      </c>
      <c r="AL81" s="3" t="inlineStr"/>
      <c r="AM81" s="3" t="inlineStr">
        <is>
          <t>TESTED, NOT VERIFIED — you ruled on this row 2026-10-02; the figure, its formula, inputs and refusal live in MK-CF-O-018 theDebts</t>
        </is>
      </c>
      <c r="AN81" s="3" t="inlineStr">
        <is>
          <t>A $9,000 card at 24% with a $200 minimum and a $14,000 car loan at 6.9% with a $250 minimum, nothing extra paid.
GIVES: $450/month
(the test re-runs this through MK-CF-O-018 theDebts on every build)</t>
        </is>
      </c>
      <c r="AO81" s="3" t="inlineStr">
        <is>
          <t>NOTHING OPEN</t>
        </is>
      </c>
    </row>
    <row r="82" ht="60" customHeight="1">
      <c r="A82" s="3" t="inlineStr">
        <is>
          <t>MK-CF-M-073</t>
        </is>
      </c>
      <c r="B82" s="3" t="inlineStr">
        <is>
          <t>Cashflow</t>
        </is>
      </c>
      <c r="C82" s="3" t="inlineStr">
        <is>
          <t>/cashflow · /bill-calendar</t>
        </is>
      </c>
      <c r="D82" s="3" t="inlineStr">
        <is>
          <t>/month</t>
        </is>
      </c>
      <c r="E82" s="3" t="inlineStr">
        <is>
          <t>month</t>
        </is>
      </c>
      <c r="F82" s="3" t="inlineStr">
        <is>
          <t>theDebts</t>
        </is>
      </c>
      <c r="G82" s="3" t="inlineStr">
        <is>
          <t>MK-CF-O-018</t>
        </is>
      </c>
      <c r="H82" s="3" t="inlineStr">
        <is>
          <t>the payment you chose for the debt; its minimum monthly payment where none is chosen</t>
        </is>
      </c>
      <c r="I82" s="3" t="inlineStr">
        <is>
          <t>the payment you chose for the debt; its minimum monthly payment where none is chosen</t>
        </is>
      </c>
      <c r="J82" s="3" t="inlineStr">
        <is>
          <t>MK-XS-I-016 debt minimum payment
MK-XS-I-041 the payment the person chose to make on a debt</t>
        </is>
      </c>
      <c r="K82" s="3" t="inlineStr">
        <is>
          <t>dollars, whole a month</t>
        </is>
      </c>
      <c r="L82" s="3" t="inlineStr">
        <is>
          <t>A debt due in full on a date has no monthly payment — the line says when the whole balance is due.</t>
        </is>
      </c>
      <c r="M82" s="3" t="inlineStr">
        <is>
          <t>one debt</t>
        </is>
      </c>
      <c r="N82" s="3" t="inlineStr">
        <is>
          <t>a month</t>
        </is>
      </c>
      <c r="O82" s="3" t="inlineStr">
        <is>
          <t>1. MK-CF-F-025 (minimumDebtService) → number
2. MK-CF-F-034 (payoffPlan) → PayoffResult
3. MK-CF-F-024 (totalDebtMonthly) → number</t>
        </is>
      </c>
      <c r="P82" s="3" t="inlineStr">
        <is>
          <t>Declared by MK-CF-O-018 theDebts</t>
        </is>
      </c>
      <c r="Q82" s="3" t="inlineStr">
        <is>
          <t>NONE RECORDED — the declaration names none.</t>
        </is>
      </c>
      <c r="R82" s="3" t="inlineStr">
        <is>
          <t>NONE RECORDED — the declaration names none.</t>
        </is>
      </c>
      <c r="S82" s="3" t="inlineStr"/>
      <c r="T82" s="3" t="inlineStr">
        <is>
          <t>NONE RECORDED — the declaration names none.</t>
        </is>
      </c>
      <c r="U82" s="3" t="inlineStr"/>
      <c r="V82" s="3" t="inlineStr"/>
      <c r="W82" s="3" t="inlineStr"/>
      <c r="X82" s="3" t="inlineStr"/>
      <c r="Y82" s="3" t="inlineStr"/>
      <c r="Z82" s="3" t="inlineStr">
        <is>
          <t>DECLARED IN THE CODE (rule 11) — printed from the door, not typed. RULED 2026-10-02</t>
        </is>
      </c>
      <c r="AA82" s="3" t="inlineStr"/>
      <c r="AB82" s="3" t="inlineStr"/>
      <c r="AC82" s="3" t="inlineStr"/>
      <c r="AD82" s="3" t="inlineStr"/>
      <c r="AE82" s="3" t="inlineStr"/>
      <c r="AF82" s="3" t="inlineStr">
        <is>
          <t>ACTIVE</t>
        </is>
      </c>
      <c r="AG82" s="3" t="inlineStr">
        <is>
          <t>2026-10-02</t>
        </is>
      </c>
      <c r="AH82" s="3" t="inlineStr"/>
      <c r="AI82" s="3" t="inlineStr"/>
      <c r="AJ8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2" s="3" t="inlineStr">
        <is>
          <t>(the claim now stands in 'Inputs it needs' until the row is approved)</t>
        </is>
      </c>
      <c r="AL82" s="3" t="inlineStr"/>
      <c r="AM82" s="3" t="inlineStr">
        <is>
          <t>TESTED, NOT VERIFIED — you ruled on this row 2026-10-02; the figure, its formula, inputs and refusal live in MK-CF-O-018 theDebts</t>
        </is>
      </c>
      <c r="AN82" s="3" t="inlineStr">
        <is>
          <t>A $9,000 card at 24% with a $200 minimum and a $14,000 car loan at 6.9% with a $250 minimum, nothing extra paid.
GIVES: $200/month
(the test re-runs this through MK-CF-O-018 theDebts on every build)</t>
        </is>
      </c>
      <c r="AO82" s="3" t="inlineStr">
        <is>
          <t>NOTHING OPEN</t>
        </is>
      </c>
    </row>
  </sheetData>
  <autoFilter ref="A1:AO8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2026-10-02</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2026-10-02</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2026-10-02</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2026-10-02</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2026-10-02</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2026-10-02</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2026-10-02</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2026-10-02</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2026-10-02</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2026-10-02</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2026-10-02</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2026-10-02</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2026-10-02</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2026-10-02</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On 28 Sep 2026, with $8,000 in the account: car insurance of $1,400 due 15 Oct and property tax of $4,800 due 1 Nov. Nothing else is dated.
GIVES: $6,600
(the test re-runs this through MK-CF-O-008 whatsComing on every build)</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MK-CF-F-215 YEAR
11. MK-NW-F-027 accountClassBreakdown
12. MK-ST-F-027 accountId
13. MK-NW-F-002 alternativesSummary
14. MK-CF-F-125 amortise
… and 47 more — the full list is on functions_from_code</t>
        </is>
      </c>
      <c r="F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2026-10-02</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2026-10-02</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MK-CF-M-022 · MK-CF-M-055 · MK-CF-M-070 · 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MK-CF-M-022 · MK-CF-M-055 · MK-CF-M-070 · 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MK-CF-M-022 · MK-CF-M-055 · MK-CF-M-070 · 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2026-10-02</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2026-10-02</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MK-CF-F-215 YEAR
2. MK-CF-F-210 annualOfSource
3. MK-CF-F-072 currentRetirementIncomeMonthly
4. MK-CF-O-017 futurePaycheck
5. MK-CF-F-076 guaranteedOutsideStreams
6. MK-CF-O-016 incomeSources
7. MK-CF-F-075 retirementIncomeMonthly
8. MK-PL-F-049 retirementSpendMonthly
9. MK-PL-F-031 taxOrganizer</t>
        </is>
      </c>
      <c r="F23"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2026-10-02</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MK-CF-F-215 YEAR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MK-CF-F-215 YEAR
4. MK-NW-F-040 assetsFromOnboarding
5. MK-NW-F-039 buildAssetsState
6. MK-NW-F-052 buildItemizedAccounts
7. MK-PL-F-053 buildRetirementState
8. MK-XS-F-031 buildSnapshot
9. MK-CF-O-017 futurePaycheck
10. MK-XS-F-102 ingestSync
11. MK-NW-F-073 itemising
12. MK-NW-F-094 ledgerGroups
13. MK-PL-F-055 projectNestEgg
14. MK-PL-F-049 retirementSpendMonthly
… and 6 more — the full list is on functions_from_code</t>
        </is>
      </c>
      <c r="F2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2026-10-02</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MK-CF-F-215 YEAR
4. MK-XS-F-057 analyzeExpenses
5. MK-PL-F-053 buildRetirementState
6. MK-XS-F-031 buildSnapshot
7. MK-PL-F-003 depletionAge
8. MK-XS-F-056 fetchEconomicData
9. MK-CF-O-017 futurePaycheck
10. MK-PL-F-055 projectNestEgg
11. MK-XS-F-174 recomputeBalances
12. MK-PL-F-049 retirementSpendMonthly
13. MK-PL-F-050 simulate
14. MK-CF-F-106 solveSafeDraw
… and 4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2026-10-02</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MK-CF-F-215 YEAR
2. MK-CF-F-014 budgetVsActual
3. MK-XS-F-004 buildDatedGrid
4. MK-XS-F-030 effectiveAnnualContribution
5. MK-CF-F-009 monthlyEssentials
6. MK-CF-F-007 nonMonthlyBasis
7. MK-CF-F-214 paycheckMonthWords
8. MK-CF-F-004 spendBuckets
9. MK-CF-F-008 spendByMonth
10. MK-NW-O-004 theEmergencyFund
11. MK-CF-F-019 upcomingBills
12. MK-CF-O-008 whatsComing</t>
        </is>
      </c>
      <c r="F3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2026-10-02</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MK-CF-F-210 annualOfSource
4. MK-CF-F-059 annualizedEnteredSalary
5. MK-XS-F-004 buildDatedGrid
6. MK-CF-F-020 cashflowYear
7. MK-CF-F-186 convertTakeHomeMode
8. MK-CF-F-072 currentRetirementIncomeMonthly
9. MK-CF-F-046 employerMatchAnnual
10. MK-CF-F-180 enteredLandsAnnual
11. MK-CF-F-130 enteredMonthlyRaw
12. MK-CF-F-179 entryFromWage
13. MK-CF-F-071 extraIncome
14. MK-CF-F-076 guaranteedOutsideStreams
… and 10 more — the full list is on functions_from_code</t>
        </is>
      </c>
      <c r="F40"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2026-10-02</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2026-10-02</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2026-10-02</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MK-CF-F-088 taxableByCalendarMonth</t>
        </is>
      </c>
      <c r="F60"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2026-10-02</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MK-CF-F-215 YEAR
… and 16 more — the full list is on functions_from_code</t>
        </is>
      </c>
      <c r="F6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MK-CF-M-022 · MK-CF-M-055 · MK-CF-M-070 · 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MK-CF-M-022, MK-CF-M-055, MK-CF-M-070,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MK-CF-M-022 · MK-CF-M-055 · MK-CF-M-070 · 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MK-CF-M-022 · MK-CF-M-055 · MK-CF-M-070 · 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MK-NW-M-016</t>
        </is>
      </c>
      <c r="D1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MK-CF-M-064, MK-CF-M-065, MK-CF-M-066, MK-CF-M-067, MK-CF-M-068, MK-CF-M-069, MK-CF-M-070,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MK-CF-M-017, MK-CF-M-020, MK-CF-M-021,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MK-CF-M-064 · MK-CF-M-069 · MK-PF-M-007 · MK-PL-M-017 · MK-PL-M-019 · MK-XS-M-004</t>
        </is>
      </c>
      <c r="D21"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MK-CF-M-017, MK-CF-M-020, MK-CF-M-021,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MK-CF-M-067, MK-CF-M-068,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MK-CF-M-064 · MK-CF-M-069</t>
        </is>
      </c>
      <c r="D23"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MK-CF-M-017, MK-CF-M-020, MK-CF-M-021, MK-CF-M-022,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MK-CF-M-067, MK-CF-M-068,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MK-CF-M-026 · MK-CF-M-027 · MK-CF-M-060 · MK-CF-M-061 · MK-CF-M-065 · MK-MN-M-003 · MK-MN-M-004 · MK-MN-M-005 · MK-MN-M-027 · MK-MN-M-028 · MK-MN-M-029</t>
        </is>
      </c>
      <c r="D2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MK-CF-M-017,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MK-CF-M-064, MK-CF-M-066, MK-CF-M-067, MK-CF-M-068, MK-CF-M-069, MK-CF-M-070, MK-CF-M-071, MK-CF-M-072, MK-CF-M-073,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MK-CF-M-017, MK-CF-M-020, MK-CF-M-021, MK-CF-M-022, MK-CF-M-024, MK-CF-M-026,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MK-CF-M-064, MK-CF-M-065, MK-CF-M-066, MK-CF-M-067, MK-CF-M-068, MK-CF-M-069, MK-CF-M-070, MK-CF-M-071, MK-CF-M-072, MK-CF-M-073,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MK-CF-M-017,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MK-CF-M-017, MK-CF-M-020, MK-CF-M-021, MK-CF-M-024, MK-CF-M-026,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MK-CF-M-017, MK-CF-M-020, MK-CF-M-021, MK-CF-M-022,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MK-CF-M-017, MK-CF-M-020, MK-CF-M-021, MK-CF-M-022,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MK-CF-M-068</t>
        </is>
      </c>
      <c r="D40"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PARTLY AGREES — reached but not declared: MK-CF-M-001, MK-CF-M-002, MK-CF-M-003, MK-CF-M-006, MK-CF-M-007, MK-CF-M-008, MK-CF-M-009, MK-CF-M-010, MK-CF-M-011, MK-CF-M-012, MK-CF-M-013, MK-CF-M-014, MK-CF-M-015, MK-CF-M-016, MK-CF-M-017, MK-CF-M-020, MK-CF-M-021, MK-CF-M-022, MK-CF-M-023,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MK-CF-M-017 · MK-CF-M-020 · MK-CF-M-021 · MK-CF-M-022 · MK-CF-M-023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MK-CF-M-017 · MK-CF-M-020 · MK-CF-M-021 · MK-CF-M-022 · MK-CF-M-024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MK-CF-M-064 · MK-CF-M-065 · MK-CF-M-066 · MK-CF-M-067 · MK-CF-M-068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MK-CF-M-017, MK-CF-M-020, MK-CF-M-021, MK-CF-M-022, MK-CF-M-024, MK-CF-M-026,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MK-CF-M-064, MK-CF-M-065, MK-CF-M-066, MK-CF-M-067, MK-CF-M-068,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71</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226</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345</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173</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MK-CF-F-072 currentRetirementIncomeMonthly
23. MK-CF-F-075 retirementIncomeMonthly
24. MK-CF-F-066 rsuAnnual
25. MK-ST-F-035 covers
26. MK-CF-F-171 earnerPay
27. MK-CF-F-204 line
28. MK-ST-F-053 money
29. MK-HM-F-006 money0
30. MK-XS-F-122 n
31. MK-CF-F-198 payrollTaxWithheld
32. MK-CF-F-172 hasWage
33. MK-CF-F-165 salaryMonths
34. MK-CF-F-070 benefitAnnual
35. MK-ST-F-039 on
36. MK-CF-F-069 benefitActiveMonths
37. MK-CF-F-065 equityVestWeights
38. MK-ST-F-056 has
39. MK-CF-F-206 householdK401ByMonth
40. MK-CF-F-087 monthlyTaxRates
41. MK-CF-F-073 otherIncomeMonth
42. MK-CF-F-060 salaryGrossByMonth
43. MK-CF-F-077 scholarshipByCalendarMonth
44. MK-CF-F-088 taxableByCalendarMonth
45. MK-PL-F-012 waterfall
46. MK-CF-F-100 taxableIncomeFor
47. MK-CF-F-102 effectiveRateOnGrossFor
48. MK-CF-F-180 enteredLandsAnnual
49. MK-CF-F-086 stateRateOf
50. MK-CF-O-002 expenses
51. MK-CF-F-067 rentalList
52. MK-CF-F-074 tipsAnnual
53. MK-CF-F-062 equityRowValue
54. MK-CF-F-063 rowVestYear
55. MK-ST-F-034 firstDate
56. MK-CF-F-143 annualisedGross
57. MK-CF-F-145 deductionsFromPay
58. MK-CF-F-128 grossByMonth
59. MK-CF-F-146 payFiguresAgree
60. MK-CF-F-144 takeHomeAsEntered
61. MK-CF-F-203 MONTH
62. MK-XS-F-180 declareFigures
63. MK-ST-F-049 formatMoney
64. MK-CF-F-155 cash
65. MK-HM-F-005 pctTxt
66. MK-CF-F-176 sumMonthsOverEarners
67. MK-CF-F-177 wageGrossByMonth
68. MK-CF-F-090 effectiveRate
69. MK-CF-F-098 progressiveMonthlyTax
70. MK-CF-F-099 deductionFor
71. MK-CF-F-101 taxOwedFor
72. MK-CF-F-151 actualSpending
73. MK-CF-F-150 debtPaymentsCountedAsExpenses
74. MK-CF-F-153 radar
75. MK-CF-F-149 recurringDebtPayments
76. MK-CF-F-081 salaryActiveMonths
77. MK-CF-F-142 monthsOf
78. MK-CF-F-141 perMonth
79. MK-CF-O-010 theMonth
80. MK-ST-F-048 currencySymbol
81. MK-CF-F-130 enteredMonthlyRaw
82. MK-CF-F-166 hasMonthlySalaryTable
83. MK-ST-F-036 reconcile
84. MK-CF-F-167 salaryCalendarYear
85. MK-CF-F-187 seniorDeductionFor
86. MK-CF-F-148 inMonth
87. MK-CF-F-191 ym
88. MK-CF-F-152 isRadarItem
89. MK-CF-F-140 periodsAYear
90. MK-CF-O-003 thisMonth
91. MK-ST-F-047 activeCurrency
92. MK-CF-F-005 actualMonthFlow
93. MK-CF-F-156 plannedMonthFlow
94. MK-NW-F-078 ONE
95. MK-CF-F-157 debtPaymentsByDebt
96. MK-CF-F-192 inflowLabel
97. MK-XS-F-027 takeHomeMonthly
98. MK-NW-F-077 ALL
99. MK-NW-F-059 currentYield
100. MK-NW-O-001 theBonds
101. MK-CF-F-193 inflowSourceWord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207</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233</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MK-CF-F-100 taxableIncomeFor
48. MK-CF-F-102 effectiveRateOnGrossFor
49. MK-CF-F-180 enteredLandsAnnual
50. MK-CF-F-086 stateRateOf
51. MK-CF-O-002 expenses
52. MK-CF-F-067 rentalList
53. MK-CF-F-074 tipsAnnual
54. MK-CF-F-062 equityRowValue
55. MK-CF-F-063 rowVestYear
56. MK-ST-F-034 firstDate
57. MK-CF-F-143 annualisedGross
58. MK-CF-F-145 deductionsFromPay
59. MK-CF-F-128 grossByMonth
60. MK-CF-F-146 payFiguresAgree
61. MK-CF-F-144 takeHomeAsEntered
62. MK-CF-F-203 MONTH
63. MK-XS-F-180 declareFigures
64. MK-ST-F-049 formatMoney
65. MK-CF-F-155 cash
66. MK-HM-F-005 pctTxt
67. MK-CF-F-176 sumMonthsOverEarners
68. MK-CF-F-177 wageGrossByMonth
69. MK-CF-F-090 effectiveRate
70. MK-CF-F-098 progressiveMonthlyTax
71. MK-CF-F-099 deductionFor
72. MK-CF-F-101 taxOwedFor
73. MK-CF-F-151 actualSpending
74. MK-CF-F-150 debtPaymentsCountedAsExpenses
75. MK-CF-F-153 radar
76. MK-CF-F-149 recurringDebtPayments
77. MK-CF-F-081 salaryActiveMonths
78. MK-CF-F-142 monthsOf
79. MK-CF-F-141 perMonth
80. MK-CF-O-010 theMonth
81. MK-ST-F-048 currencySymbol
82. MK-CF-F-130 enteredMonthlyRaw
83. MK-CF-F-166 hasMonthlySalaryTable
84. MK-ST-F-036 reconcile
85. MK-CF-F-167 salaryCalendarYear
86. MK-CF-F-187 seniorDeductionFor
87. MK-CF-F-148 inMonth
88. MK-CF-F-191 ym
89. MK-CF-F-152 isRadarItem
90. MK-CF-F-140 periodsAYear
91. MK-CF-O-003 thisMonth
92. MK-ST-F-047 activeCurrency
93. MK-CF-F-005 actualMonthFlow
94. MK-CF-F-156 plannedMonthFlow
95. MK-NW-F-078 ONE
96. MK-CF-F-157 debtPaymentsByDebt
97. MK-CF-F-192 inflowLabel
98. MK-XS-F-027 takeHomeMonthly
99. MK-NW-F-077 ALL
100. MK-NW-F-059 currentYield
101. MK-NW-O-001 theBonds
102. MK-CF-F-193 inflowSourceWord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257</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298</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336</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404</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433</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473</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527</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602</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645</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180</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MK-CF-F-207 SOURCE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MK-CF-O-016 incomeSources
80. MK-CF-O-001 basePay
81. MK-CF-F-173 earnerWages
82. MK-CF-F-179 entryFromWage
83. MK-CF-F-071 extraIncome
84. MK-CF-F-092 incomeMonthlyGrid
85. MK-CF-F-103 marginalBracketFor
86. MK-CF-F-181 rateInForce
87. MK-CF-F-068 rentalNetAnnual
88. MK-CF-F-082 salaryAnnual
89. MK-CF-F-084 taxableAnnual
90. MK-ST-F-048 currencySymbol
91. MK-ST-F-039 on
92. MK-CF-F-100 taxableIncomeFor
93. MK-ST-F-034 firstDate
94. MK-XS-F-147 call
95. MK-CF-F-075 retirementIncomeMonthly
96. MK-CF-F-066 rsuAnnual
97. MK-CF-F-171 earnerPay
98. MK-CF-F-204 line
99. MK-HM-F-006 money0
100. MK-CF-F-198 payrollTaxWithheld
101. MK-CF-F-172 hasWage
102. MK-CF-F-165 salaryMonths
103. MK-CF-F-070 benefitAnnual
104. MK-CF-F-069 benefitActiveMonths
105. MK-CF-F-065 equityVestWeights
106. MK-CF-F-206 householdK401ByMonth
107. MK-CF-F-087 monthlyTaxRates
108. MK-CF-F-073 otherIncomeMonth
109. MK-CF-F-060 salaryGrossByMonth
110. MK-CF-F-077 scholarshipByCalendarMonth
111. MK-CF-F-088 taxableByCalendarMonth
112. MK-PL-F-012 waterfall
113. MK-CF-F-102 effectiveRateOnGrossFor
114. MK-CF-F-180 enteredLandsAnnual
115. MK-CF-F-086 stateRateOf
116. MK-CF-O-002 expenses
117. MK-CF-F-067 rentalList
118. MK-CF-F-074 tipsAnnual
119. MK-ST-F-047 activeCurrency
120. MK-CF-F-099 deductionFor
121. MK-XS-F-064 currentIdToken
122. MK-XS-F-112 relayUrl
123. MK-CF-F-062 equityRowValue
124. MK-CF-F-063 rowVestYear
125. MK-CF-F-143 annualisedGross
126. MK-CF-F-145 deductionsFromPay
127. MK-CF-F-128 grossByMonth
128. MK-CF-F-146 payFiguresAgree
129. MK-CF-F-144 takeHomeAsEntered
130. MK-CF-F-203 MONTH
131. MK-XS-F-180 declareFigures
132. MK-HM-F-005 pctTxt
133. MK-CF-F-176 sumMonthsOverEarners
134. MK-CF-F-177 wageGrossByMonth
135. MK-CF-F-090 effectiveRate
136. MK-CF-F-098 progressiveMonthlyTax
137. MK-CF-F-151 actualSpending
138. MK-CF-F-150 debtPaymentsCountedAsExpenses
139. MK-CF-F-153 radar
140. MK-CF-F-149 recurringDebtPayments
141. MK-CF-F-081 salaryActiveMonths
142. MK-CF-F-187 seniorDeductionFor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694</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743</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778</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794</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811</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MK-CF-F-207 SOURCE
80. MK-CF-O-004 incomeSummary
81. MK-ST-F-048 currencySymbol
82. MK-ST-F-039 on
83. MK-CF-F-100 taxableIncomeFor
84. MK-ST-F-034 firstDate
85. MK-XS-F-147 call
86. MK-CF-F-075 retirementIncomeMonthly
87. MK-CF-O-016 incomeSources
88. MK-CF-O-001 basePay
89. MK-CF-F-173 earnerWages
90. MK-CF-F-179 entryFromWage
91. MK-CF-F-071 extraIncome
92. MK-CF-F-092 incomeMonthlyGrid
93. MK-CF-F-103 marginalBracketFor
94. MK-CF-F-181 rateInForce
95. MK-CF-F-068 rentalNetAnnual
96. MK-CF-F-082 salaryAnnual
97. MK-CF-F-084 taxableAnnual
98. MK-ST-F-047 activeCurrency
99. MK-CF-F-099 deductionFor
100. MK-XS-F-064 currentIdToken
101. MK-XS-F-112 relayUrl
102. MK-CF-F-066 rsuAnnual
103. MK-CF-F-171 earnerPay
104. MK-CF-F-204 line
105. MK-HM-F-006 money0
106. MK-CF-F-198 payrollTaxWithheld
107. MK-CF-F-172 hasWage
108. MK-CF-F-165 salaryMonths
109. MK-CF-F-070 benefitAnnual
110. MK-CF-F-069 benefitActiveMonths
111. MK-CF-F-065 equityVestWeights
112. MK-CF-F-206 householdK401ByMonth
113. MK-CF-F-087 monthlyTaxRates
114. MK-CF-F-073 otherIncomeMonth
115. MK-CF-F-060 salaryGrossByMonth
116. MK-CF-F-077 scholarshipByCalendarMonth
117. MK-CF-F-088 taxableByCalendarMonth
118. MK-PL-F-012 waterfall
119. MK-CF-F-102 effectiveRateOnGrossFor
120. MK-CF-F-180 enteredLandsAnnual
121. MK-CF-F-086 stateRateOf
122. MK-CF-O-002 expenses
123. MK-CF-F-067 rentalList
124. MK-CF-F-074 tipsAnnual
125. MK-CF-F-187 seniorDeductionFor
126. MK-CF-F-062 equityRowValue
127. MK-CF-F-063 rowVestYear
128. MK-CF-F-143 annualisedGross
129. MK-CF-F-145 deductionsFromPay
130. MK-CF-F-128 grossByMonth
131. MK-CF-F-146 payFiguresAgree
132. MK-CF-F-144 takeHomeAsEntered
133. MK-CF-F-203 MONTH
134. MK-XS-F-180 declareFigures
135. MK-HM-F-005 pctTxt
136. MK-CF-F-176 sumMonthsOverEarners
137. MK-CF-F-177 wageGrossByMonth
138. MK-CF-F-090 effectiveRate
139. MK-CF-F-098 progressiveMonthlyTax
140. MK-CF-F-151 actualSpending
141. MK-CF-F-150 debtPaymentsCountedAsExpenses
142. MK-CF-F-153 radar
143. MK-CF-F-149 recurringDebtPayments
144. MK-CF-F-081 salaryActiveMonths
145. MK-CF-F-142 monthsOf
146. MK-CF-F-141 perMonth
147. MK-CF-O-010 theMonth
148. MK-CF-F-130 enteredMonthlyRaw
149. MK-CF-F-166 hasMonthlySalaryTable
150. MK-ST-F-036 reconcile
151. MK-CF-F-167 salaryCalendarYear
152. MK-CF-F-148 inMonth
153. MK-CF-F-152 isRadarItem
154. MK-CF-F-140 periodsAYear
155. MK-CF-O-003 thisMonth
156. MK-CF-F-005 actualMonthFlow
157. MK-CF-F-156 plannedMonthFlow
158. MK-NW-F-078 ONE
159. MK-CF-F-157 debtPaymentsByDebt
160. MK-CF-F-192 inflowLabel
161. MK-XS-F-027 takeHomeMonthly
162. MK-NW-F-077 ALL
163. MK-NW-F-059 currentYield
164. MK-NW-O-001 theBonds
165. MK-CF-F-193 inflowSourceWord
166. MK-CF-F-011 savingsByMonth
167. MK-NW-F-057 annualCoupon
168. MK-NW-F-056 bondInfo
169. MK-NW-F-064 bondRateSensitivity
170. MK-NW-F-061 bondSummary
171. MK-NW-F-055 isBond
172. MK-NW-F-072 rowOf
173. MK-CF-F-008 spendByMonth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165</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193</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227</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251</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275</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893</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943</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985</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1055</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1127</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1161</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1199</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1233</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1275</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1320</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1366</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1410</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1537</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1611</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1657</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1691</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1750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109</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166</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227</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137</v>
      </c>
      <c r="Q104" s="3" t="inlineStr">
        <is>
          <t>1. MK-XS-F-004 buildDatedGrid
2. MK-CF-F-105 guaranteedRows
3. MK-CF-F-132 map
4. MK-NW-F-033 retirementEarmarkedValue
5. MK-CF-F-106 solveSafeDraw
6. MK-CF-F-215 YEAR
7. MK-CF-F-069 benefitActiveMonths
8. MK-CF-F-072 currentRetirementIncomeMonthly
9. MK-CF-F-018 equityByMonth
10. MK-CF-O-002 expenses
11. MK-ST-F-056 has
12. MK-CF-F-204 line
13. MK-ST-F-053 money
14. MK-CF-F-087 monthlyTaxRates
15. MK-CF-F-073 otherIncomeMonth
16. MK-CF-F-022 paymentShape
17. MK-CF-F-068 rentalNetAnnual
18. MK-CF-F-023 requiredPayment
19. MK-CF-F-060 salaryGrossByMonth
20. MK-CF-F-008 spendByMonth
21. MK-ST-F-052 toNum
22. MK-NW-F-032 earmarkedAmount
23. MK-NW-F-031 primaryCarIdOf
24. MK-PL-F-050 simulate
25. MK-CF-F-205 COMING
26. MK-XS-F-180 declareFigures
27. MK-CF-F-214 paycheckMonthWords
28. MK-CF-F-212 receivedInMonth
29. MK-CF-F-109 reviewTransactions
30. MK-CF-F-213 unusualWords
31. MK-CF-F-075 retirementIncomeMonthly
32. MK-CF-F-062 equityRowValue
33. MK-CF-F-066 rsuAnnual
34. MK-CF-F-121 zero12
35. MK-CF-F-151 actualSpending
36. MK-CF-F-150 debtPaymentsCountedAsExpenses
37. MK-CF-F-153 radar
38. MK-CF-F-149 recurringDebtPayments
39. MK-CF-F-203 MONTH
40. MK-ST-F-049 formatMoney
41. MK-XS-F-122 n
42. MK-CF-F-090 effectiveRate
43. MK-CF-F-085 filingStatusOf
44. MK-CF-F-089 over65CountOf
45. MK-CF-F-098 progressiveMonthlyTax
46. MK-CF-F-181 rateInForce
47. MK-CF-F-086 stateRateOf
48. MK-CF-F-088 taxableByCalendarMonth
49. MK-CF-F-021 defaultPaymentType
50. MK-CF-F-067 rentalList
51. MK-CF-F-176 sumMonthsOverEarners
52. MK-CF-F-177 wageGrossByMonth
53. MK-CF-F-120 pctBaseMonthly
54. MK-CF-F-004 spendBuckets
55. MK-NW-F-030 earmarkDefault
56. MK-NW-F-011 assetClassOf
57. MK-PL-F-074 median
58. MK-PL-F-072 mulberry32
59. MK-PL-F-073 normal
60. MK-PL-F-075 pctOfSorted
61. MK-ST-F-025 rmdStartAgeFromAge
62. MK-CF-O-008 whatsComing
63. MK-CF-F-191 ym
64. MK-CF-F-162 daysApart
65. MK-CF-F-108 isMoneyOut
66. MK-CF-F-131 normPayee
67. MK-CF-F-063 rowVestYear
68. MK-CF-F-148 inMonth
69. MK-CF-F-152 isRadarItem
70. MK-CF-O-010 theMonth
71. MK-ST-F-048 currencySymbol
72. MK-ST-F-039 on
73. MK-CF-F-101 taxOwedFor
74. MK-CF-F-100 taxableIncomeFor
75. MK-CF-F-173 earnerWages
76. MK-CF-F-102 effectiveRateOnGrossFor
77. MK-CF-F-180 enteredLandsAnnual
78. MK-CF-F-082 salaryAnnual
79. MK-CF-F-084 taxableAnnual
80. MK-CF-F-065 equityVestWeights
81. MK-CF-F-071 extraIncome
82. MK-CF-F-206 householdK401ByMonth
83. MK-CF-F-130 enteredMonthlyRaw
84. MK-CF-F-166 hasMonthlySalaryTable
85. MK-ST-F-036 reconcile
86. MK-CF-F-167 salaryCalendarYear
87. MK-CF-F-092 incomeMonthlyGrid
88. MK-CF-F-003 categoryMonthly
89. MK-NW-F-013 realEstateUseOf
90. MK-NW-F-008 incomeBearingClassOf
91. MK-ST-F-024 rmdStartAge
92. MK-CF-F-019 upcomingBills
93. MK-CF-F-155 cash
94. MK-CF-O-003 thisMonth
95. MK-ST-F-047 activeCurrency
96. MK-CF-F-099 deductionFor
97. MK-CF-F-172 hasWage
98. MK-CF-F-074 tipsAnnual
99. MK-CF-F-070 benefitAnnual
100. MK-CF-F-165 salaryMonths
101. MK-CF-F-077 scholarshipByCalendarMonth
102. MK-PL-F-012 waterfall
103. MK-XS-F-027 takeHomeMonthly
104. MK-ST-F-010 nameEvidence
105. MK-CF-F-122 addDays
106. MK-CF-F-160 daysBetweenDates
107. MK-CF-F-061 grossSalaryMonthly
108. MK-ST-F-065 isoLocalDate
109. MK-CF-F-124 nextOccurrence
110. MK-CF-F-083 totalGrossAnnual
111. MK-CF-F-005 actualMonthFlow
112. MK-CF-F-156 plannedMonthFlow
113. MK-CF-F-187 seniorDeductionFor
114. MK-CF-F-081 salaryActiveMonths
115. MK-CF-F-011 savingsByMonth
116. MK-XS-F-147 call
117. MK-NW-F-078 ONE
118. MK-CF-F-157 debtPaymentsByDebt
119. MK-CF-F-192 inflowLabel
120. MK-ST-F-027 accountId
121. MK-XS-F-064 currentIdToken
122. MK-XS-F-112 relayUrl
123. MK-NW-F-077 ALL
124. MK-NW-F-059 currentYield
125. MK-NW-O-001 theBonds
126. MK-CF-F-193 inflowSourceWord
127. MK-NW-F-057 annualCoupon
128. MK-NW-F-056 bondInfo
129. MK-NW-F-064 bondRateSensitivity
130. MK-NW-F-061 bondSummary
131. MK-NW-F-055 isBond
132. MK-NW-F-072 rowOf
133. MK-NW-F-060 approxYTM
134. MK-NW-F-069 priceAtYield
135. MK-NW-F-070 accruedInterestCaveat
136. MK-NW-F-071 isCertificateOfDeposit
137. MK-NW-F-058 yearsToMaturity</t>
        </is>
      </c>
      <c r="R104" s="3" t="inlineStr">
        <is>
          <t>1. MK-CF-O-010 theMonth → MK-CF-F-203 MONTH → MK-CF-F-205 COMING → MK-CF-F-215 YEAR → MK-XS-F-004 buildDatedGrid → MK-CF-F-107 buildPaycheckYear
2. MK-CF-F-019 upcomingBills → MK-CF-O-008 whatsComing → MK-CF-F-205 COMING → MK-CF-F-215 YEAR → MK-XS-F-004 buildDatedGrid → MK-CF-F-107 buildPaycheckYear
3. buildDatedGrid (already above — a loop) → MK-CF-F-215 YEAR → MK-XS-F-004 buildDatedGrid → MK-CF-F-107 buildPaycheckYear
4. buildPaycheckYear (already above — a loop) → MK-CF-F-215 YEAR → MK-XS-F-004 buildDatedGrid → MK-CF-F-107 buildPaycheckYear
5. MK-XS-F-180 declareFigures → MK-CF-F-215 YEAR → MK-XS-F-004 buildDatedGrid → MK-CF-F-107 buildPaycheckYear
6. MK-ST-F-048 currencySymbol → MK-ST-F-049 formatMoney → MK-CF-F-214 paycheckMonthWords → MK-CF-F-215 YEAR → MK-XS-F-004 buildDatedGrid → MK-CF-F-107 buildPaycheckYear
7. MK-XS-F-122 n → MK-ST-F-049 formatMoney → MK-CF-F-214 paycheckMonthWords → MK-CF-F-215 YEAR → MK-XS-F-004 buildDatedGrid → MK-CF-F-107 buildPaycheckYear
8. MK-ST-F-039 on → MK-ST-F-049 formatMoney → MK-CF-F-214 paycheckMonthWords → MK-CF-F-215 YEAR → MK-XS-F-004 buildDatedGrid → MK-CF-F-107 buildPaycheckYear
9. … and 5 more paths</t>
        </is>
      </c>
      <c r="S104" s="3" t="inlineStr">
        <is>
          <t>MK-CF-M-022</t>
        </is>
      </c>
      <c r="T104" s="3" t="inlineStr">
        <is>
          <t>—</t>
        </is>
      </c>
      <c r="U104" s="3" t="inlineStr">
        <is>
          <t>ACTIVE</t>
        </is>
      </c>
      <c r="V104" s="3" t="inlineStr">
        <is>
          <t>2026-10-02</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460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620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771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35</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135</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161</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121</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154</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216</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256</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305</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115</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528</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1020</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1026</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MK-CF-F-215 YEAR
2. MK-XS-F-180 declareFigures
3. MK-CF-O-005 theContributionRoom</t>
        </is>
      </c>
      <c r="P192" s="3" t="n">
        <v>146</v>
      </c>
      <c r="Q192" s="3" t="inlineStr">
        <is>
          <t>1. MK-CF-F-215 YEAR
2. MK-XS-F-180 declareFigures
3. MK-CF-O-005 theContributionRoom
4. MK-CF-F-205 COMING
5. MK-XS-F-004 buildDatedGrid
6. MK-CF-F-107 buildPaycheckYear
7. MK-CF-F-214 paycheckMonthWords
8. MK-CF-F-212 receivedInMonth
9. MK-CF-F-109 reviewTransactions
10. MK-CF-F-213 unusualWords
11. MK-CF-F-197 ageAttainedInYear
12. MK-CF-F-055 annualHsaLimit
13. MK-CF-F-054 annualIraLimit
14. MK-CF-F-056 k401Headroom
15. MK-CF-F-195 monthsLeftInYear
16. MK-CF-F-196 perMonthToFill
17. MK-CF-F-203 MONTH
18. MK-CF-O-008 whatsComing
19. MK-CF-F-069 benefitActiveMonths
20. MK-CF-F-072 currentRetirementIncomeMonthly
21. MK-CF-F-018 equityByMonth
22. MK-CF-O-002 expenses
23. MK-ST-F-056 has
24. MK-CF-F-204 line
25. MK-CF-F-132 map
26. MK-ST-F-053 money
27. MK-CF-F-087 monthlyTaxRates
28. MK-CF-F-073 otherIncomeMonth
29. MK-CF-F-022 paymentShape
30. MK-CF-F-068 rentalNetAnnual
31. MK-CF-F-023 requiredPayment
32. MK-CF-F-060 salaryGrossByMonth
33. MK-CF-F-008 spendByMonth
34. MK-ST-F-052 toNum
35. MK-CF-F-105 guaranteedRows
36. MK-NW-F-033 retirementEarmarkedValue
37. MK-CF-F-106 solveSafeDraw
38. MK-ST-F-049 formatMoney
39. MK-CF-F-191 ym
40. MK-CF-F-162 daysApart
41. MK-CF-F-108 isMoneyOut
42. MK-PL-F-074 median
43. MK-CF-F-131 normPayee
44. MK-CF-F-053 annual401kLimit
45. MK-CF-O-010 theMonth
46. MK-CF-F-019 upcomingBills
47. MK-CF-F-075 retirementIncomeMonthly
48. MK-CF-F-062 equityRowValue
49. MK-CF-F-066 rsuAnnual
50. MK-CF-F-121 zero12
51. MK-CF-F-151 actualSpending
52. MK-CF-F-150 debtPaymentsCountedAsExpenses
53. MK-CF-F-153 radar
54. MK-CF-F-149 recurringDebtPayments
55. MK-XS-F-122 n
56. MK-CF-F-090 effectiveRate
57. MK-CF-F-085 filingStatusOf
58. MK-CF-F-089 over65CountOf
59. MK-CF-F-098 progressiveMonthlyTax
60. MK-CF-F-181 rateInForce
61. MK-CF-F-086 stateRateOf
62. MK-CF-F-088 taxableByCalendarMonth
63. MK-CF-F-021 defaultPaymentType
64. MK-CF-F-067 rentalList
65. MK-CF-F-176 sumMonthsOverEarners
66. MK-CF-F-177 wageGrossByMonth
67. MK-CF-F-120 pctBaseMonthly
68. MK-CF-F-004 spendBuckets
69. MK-NW-F-032 earmarkedAmount
70. MK-NW-F-031 primaryCarIdOf
71. MK-PL-F-050 simulate
72. MK-ST-F-048 currencySymbol
73. MK-ST-F-039 on
74. MK-CF-F-155 cash
75. MK-CF-O-003 thisMonth
76. MK-CF-F-122 addDays
77. MK-CF-F-070 benefitAnnual
78. MK-CF-F-160 daysBetweenDates
79. MK-CF-F-061 grossSalaryMonthly
80. MK-ST-F-065 isoLocalDate
81. MK-CF-F-124 nextOccurrence
82. MK-CF-F-084 taxableAnnual
83. MK-CF-F-083 totalGrossAnnual
84. MK-CF-F-063 rowVestYear
85. MK-CF-F-148 inMonth
86. MK-CF-F-152 isRadarItem
87. MK-CF-F-101 taxOwedFor
88. MK-CF-F-100 taxableIncomeFor
89. MK-CF-F-173 earnerWages
90. MK-CF-F-102 effectiveRateOnGrossFor
91. MK-CF-F-180 enteredLandsAnnual
92. MK-CF-F-082 salaryAnnual
93. MK-CF-F-065 equityVestWeights
94. MK-CF-F-071 extraIncome
95. MK-CF-F-206 householdK401ByMonth
96. MK-CF-F-130 enteredMonthlyRaw
97. MK-CF-F-166 hasMonthlySalaryTable
98. MK-ST-F-036 reconcile
99. MK-CF-F-167 salaryCalendarYear
100. MK-CF-F-092 incomeMonthlyGrid
101. MK-CF-F-003 categoryMonthly
102. MK-NW-F-030 earmarkDefault
103. MK-NW-F-011 assetClassOf
104. MK-PL-F-072 mulberry32
105. MK-PL-F-073 normal
106. MK-PL-F-075 pctOfSorted
107. MK-ST-F-025 rmdStartAgeFromAge
108. MK-ST-F-047 activeCurrency
109. MK-CF-F-005 actualMonthFlow
110. MK-CF-F-156 plannedMonthFlow
111. MK-CF-F-074 tipsAnnual
112. MK-CF-F-099 deductionFor
113. MK-CF-F-172 hasWage
114. MK-CF-F-165 salaryMonths
115. MK-CF-F-077 scholarshipByCalendarMonth
116. MK-PL-F-012 waterfall
117. MK-XS-F-027 takeHomeMonthly
118. MK-NW-F-013 realEstateUseOf
119. MK-NW-F-008 incomeBearingClassOf
120. MK-ST-F-024 rmdStartAge
121. MK-NW-F-078 ONE
122. MK-CF-F-157 debtPaymentsByDebt
123. MK-CF-F-192 inflowLabel
124. MK-CF-F-081 salaryActiveMonths
125. MK-CF-F-187 seniorDeductionFor
126. MK-CF-F-011 savingsByMonth
127. MK-ST-F-010 nameEvidence
128. MK-NW-F-077 ALL
129. MK-NW-F-059 currentYield
130. MK-NW-O-001 theBonds
131. MK-CF-F-193 inflowSourceWord
132. MK-XS-F-147 call
133. MK-NW-F-057 annualCoupon
134. MK-ST-F-027 accountId
135. MK-NW-F-056 bondInfo
136. MK-NW-F-064 bondRateSensitivity
137. MK-NW-F-061 bondSummary
138. MK-NW-F-055 isBond
139. MK-NW-F-072 rowOf
140. MK-XS-F-064 currentIdToken
141. MK-XS-F-112 relayUrl
142. MK-NW-F-060 approxYTM
143. MK-NW-F-069 priceAtYield
144. MK-NW-F-070 accruedInterestCaveat
145. MK-NW-F-071 isCertificateOfDeposit
146. MK-NW-F-058 yearsToMaturity</t>
        </is>
      </c>
      <c r="R192" s="3" t="inlineStr">
        <is>
          <t>1. MONTH (already above — a loop) → MK-CF-O-010 theMonth → MK-CF-F-203 MONTH → MK-CF-F-205 COMING → MK-CF-F-215 YEAR → MK-CF-F-199 ROOM
2. MK-CF-F-155 cash → MK-CF-O-010 theMonth → MK-CF-F-203 MONTH → MK-CF-F-205 COMING → MK-CF-F-215 YEAR → MK-CF-F-199 ROOM
3. MK-CF-O-002 expenses → MK-CF-O-010 theMonth → MK-CF-F-203 MONTH → MK-CF-F-205 COMING → MK-CF-F-215 YEAR → MK-CF-F-199 ROOM
4. MK-CF-O-003 thisMonth → MK-CF-O-010 theMonth → MK-CF-F-203 MONTH → MK-CF-F-205 COMING → MK-CF-F-215 YEAR → MK-CF-F-199 ROOM
5. MK-CF-F-122 addDays → MK-CF-F-019 upcomingBills → MK-CF-O-008 whatsComing → MK-CF-F-205 COMING → MK-CF-F-215 YEAR → MK-CF-F-199 ROOM
6. MK-CF-F-070 benefitAnnual → MK-CF-F-019 upcomingBills → MK-CF-O-008 whatsComing → MK-CF-F-205 COMING → MK-CF-F-215 YEAR → MK-CF-F-199 ROOM
7. MK-CF-F-072 currentRetirementIncomeMonthly → MK-CF-F-019 upcomingBills → MK-CF-O-008 whatsComing → MK-CF-F-205 COMING → MK-CF-F-215 YEAR → MK-CF-F-199 ROOM
8. MK-CF-F-160 daysBetweenDates → MK-CF-F-019 upcomingBills → MK-CF-O-008 whatsComing → MK-CF-F-205 COMING → MK-CF-F-215 YEAR → MK-CF-F-199 ROOM
9. … and 5 more paths</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101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MK-CF-F-132 map
11. MK-CF-F-103 marginalBracketFor
12. MK-CF-F-089 over65CountOf
13. MK-CF-F-181 rateInForce
14. MK-CF-F-068 rentalNetAnnual
15. MK-CF-F-082 salaryAnnual
16. MK-CF-F-084 taxableAnnual
17. MK-ST-F-052 toNum
18. MK-CF-F-072 currentRetirementIncomeMonthly
19. MK-CF-F-075 retirementIncomeMonthly
20. MK-CF-F-066 rsuAnnual
21. MK-ST-F-035 covers
22. MK-CF-F-171 earnerPay
23. MK-CF-F-204 line
24. MK-ST-F-053 money
25. MK-HM-F-006 money0
26. MK-XS-F-122 n
27. MK-CF-F-198 payrollTaxWithheld
28. MK-CF-F-172 hasWage
29. MK-CF-F-165 salaryMonths
30. MK-CF-F-070 benefitAnnual
31. MK-ST-F-039 on
32. MK-CF-F-069 benefitActiveMonths
33. MK-CF-F-065 equityVestWeights
34. MK-ST-F-056 has
35. MK-CF-F-206 householdK401ByMonth
36. MK-CF-F-087 monthlyTaxRates
37. MK-CF-F-073 otherIncomeMonth
38. MK-CF-F-060 salaryGrossByMonth
39. MK-CF-F-077 scholarshipByCalendarMonth
40. MK-CF-F-088 taxableByCalendarMonth
41. MK-PL-F-012 waterfall
42. MK-CF-F-100 taxableIncomeFor
43. MK-CF-F-102 effectiveRateOnGrossFor
44. MK-CF-F-180 enteredLandsAnnual
45. MK-CF-F-086 stateRateOf
46. MK-CF-O-002 expenses
47. MK-CF-F-067 rentalList
48. MK-CF-F-074 tipsAnnual
49. MK-CF-F-062 equityRowValue
50. MK-CF-F-063 rowVestYear
51. MK-ST-F-034 firstDate
52. MK-CF-F-143 annualisedGross
53. MK-CF-F-145 deductionsFromPay
54. MK-CF-F-128 grossByMonth
55. MK-CF-F-146 payFiguresAgree
56. MK-CF-F-144 takeHomeAsEntered
57. MK-CF-F-203 MONTH
58. MK-XS-F-180 declareFigures
59. MK-ST-F-049 formatMoney
60. MK-CF-F-155 cash
61. MK-HM-F-005 pctTxt
62. MK-CF-F-176 sumMonthsOverEarners
63. MK-CF-F-177 wageGrossByMonth
64. MK-CF-F-090 effectiveRate
65. MK-CF-F-098 progressiveMonthlyTax
66. MK-CF-F-099 deductionFor
67. MK-CF-F-101 taxOwedFor
68. MK-CF-F-151 actualSpending
69. MK-CF-F-150 debtPaymentsCountedAsExpenses
70. MK-CF-F-153 radar
71. MK-CF-F-149 recurringDebtPayments
72. MK-CF-F-081 salaryActiveMonths
73. MK-CF-F-142 monthsOf
74. MK-CF-F-141 perMonth
75. MK-CF-O-010 theMonth
76. MK-ST-F-048 currencySymbol
77. MK-CF-F-130 enteredMonthlyRaw
78. MK-CF-F-166 hasMonthlySalaryTable
79. MK-ST-F-036 reconcile
80. MK-CF-F-167 salaryCalendarYear
81. MK-CF-F-187 seniorDeductionFor
82. MK-CF-F-148 inMonth
83. MK-CF-F-191 ym
84. MK-CF-F-022 paymentShape
85. MK-CF-F-152 isRadarItem
86. MK-CF-F-023 requiredPayment
87. MK-CF-F-140 periodsAYear
88. MK-CF-O-003 thisMonth
89. MK-ST-F-047 activeCurrency
90. MK-CF-F-021 defaultPaymentType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188</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223</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146</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1483</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145</v>
      </c>
      <c r="E200" s="3" t="inlineStr">
        <is>
          <t>1 · ACTION</t>
        </is>
      </c>
      <c r="F200" s="3" t="inlineStr">
        <is>
          <t>NOT DETERMINED — the code carries no note saying what this is for, and it has no row in the old inventory. Needs reading.</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45" customHeight="1">
      <c r="A201" s="3" t="inlineStr">
        <is>
          <t>MK-CF-F-208</t>
        </is>
      </c>
      <c r="B201" s="3" t="inlineStr">
        <is>
          <t>hourlyEarned</t>
        </is>
      </c>
      <c r="C201" s="3" t="inlineStr">
        <is>
          <t>MoneyKeel/functions/cashflow/income-summary.ts</t>
        </is>
      </c>
      <c r="D201" s="3" t="n">
        <v>170</v>
      </c>
      <c r="E201" s="3" t="inlineStr">
        <is>
          <t>2 · DISPLAYED</t>
        </is>
      </c>
      <c r="F201" s="3" t="inlineStr">
        <is>
          <t>What a number of hours at a rate comes to.</t>
        </is>
      </c>
      <c r="G201" s="11" t="inlineStr">
        <is>
          <t>(number(hours) or 0) × (number(rate) or 0)</t>
        </is>
      </c>
      <c r="H201" s="3" t="inlineStr">
        <is>
          <t>(number(hours) or 0) times (number(rate) or 0).</t>
        </is>
      </c>
      <c r="I201" s="3" t="inlineStr">
        <is>
          <t>READ FROM THE CODE — rendered from the expressions the function runs</t>
        </is>
      </c>
      <c r="J201" s="3" t="inlineStr">
        <is>
          <t>1. hours: number
2. rate: number</t>
        </is>
      </c>
      <c r="K201" s="3" t="inlineStr">
        <is>
          <t>number</t>
        </is>
      </c>
      <c r="L201" s="3" t="inlineStr">
        <is>
          <t>"You earned" — on the income screen</t>
        </is>
      </c>
      <c r="M201" s="3" t="inlineStr">
        <is>
          <t>None found in this function — anything it assumes comes from the functions it depends on.</t>
        </is>
      </c>
      <c r="N201" s="3" t="inlineStr">
        <is>
          <t>Yes</t>
        </is>
      </c>
      <c r="O201" s="3" t="inlineStr">
        <is>
          <t>—</t>
        </is>
      </c>
      <c r="P201" s="3" t="n">
        <v>0</v>
      </c>
      <c r="Q201" s="3" t="inlineStr">
        <is>
          <t>None — no dependent function stands behind it</t>
        </is>
      </c>
      <c r="R201" s="3" t="inlineStr">
        <is>
          <t>No dependent function — it reads its inputs and answers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MK-CF-F-209</t>
        </is>
      </c>
      <c r="B202" s="3" t="inlineStr">
        <is>
          <t>monthlyEquivalent</t>
        </is>
      </c>
      <c r="C202" s="3" t="inlineStr">
        <is>
          <t>MoneyKeel/functions/cashflow/income-summary.ts</t>
        </is>
      </c>
      <c r="D202" s="3" t="n">
        <v>198</v>
      </c>
      <c r="E202" s="3" t="inlineStr">
        <is>
          <t>2 · DISPLAYED</t>
        </is>
      </c>
      <c r="F202" s="3" t="inlineStr">
        <is>
          <t>What an amount paid at a frequency comes to in a month; a one-time amount is itself.</t>
        </is>
      </c>
      <c r="G202" s="11" t="inlineStr">
        <is>
          <t>amt = amount read as a number (or 0 when missing or zero)
the answer:
amt   if mode = 'lump'
amt × (MONTHS_OF[freq] ?? 1)   otherwise</t>
        </is>
      </c>
      <c r="H202" s="3" t="inlineStr">
        <is>
          <t>Amt is amount read as a number (or 0 — when missing or zero). The answer is amt — when mode = 'lump'; amt times (MONTHS_OF[freq] ?? 1) — otherwise.</t>
        </is>
      </c>
      <c r="I202" s="3" t="inlineStr">
        <is>
          <t>PARTLY READ — some of the code is still showing through; needs a hand pass</t>
        </is>
      </c>
      <c r="J202" s="3" t="inlineStr">
        <is>
          <t>1. amount: number
2. freq: string
3. mode: 'lump' | 'recurring' = 'recurring'</t>
        </is>
      </c>
      <c r="K202" s="3" t="inlineStr">
        <is>
          <t>number</t>
        </is>
      </c>
      <c r="L202" s="3" t="inlineStr">
        <is>
          <t>NOT FOUND — a screen calls it, but the words printed beside its answer could not be traced automatically. Needs reading.</t>
        </is>
      </c>
      <c r="M202" s="3" t="inlineStr">
        <is>
          <t>· If m o n t h s o f[freq] is missing it uses 1.</t>
        </is>
      </c>
      <c r="N202" s="3" t="inlineStr">
        <is>
          <t>Yes</t>
        </is>
      </c>
      <c r="O202" s="3" t="inlineStr">
        <is>
          <t>—</t>
        </is>
      </c>
      <c r="P202" s="3" t="n">
        <v>0</v>
      </c>
      <c r="Q202" s="3" t="inlineStr">
        <is>
          <t>None — no dependent function stands behind it</t>
        </is>
      </c>
      <c r="R202" s="3" t="inlineStr">
        <is>
          <t>No dependent function — it reads its inputs and answers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MK-CF-F-210</t>
        </is>
      </c>
      <c r="B203" s="3" t="inlineStr">
        <is>
          <t>annualOfSource</t>
        </is>
      </c>
      <c r="C203" s="3" t="inlineStr">
        <is>
          <t>MoneyKeel/functions/cashflow/income-summary.ts</t>
        </is>
      </c>
      <c r="D203" s="3" t="n">
        <v>231</v>
      </c>
      <c r="E203" s="3" t="inlineStr">
        <is>
          <t>3 · DEPENDENT (feeds an action only)</t>
        </is>
      </c>
      <c r="F203" s="3" t="inlineStr">
        <is>
          <t>A source's yearly amount: a monthly one × 12, a yearly one as it is, a salary from its pay period.</t>
        </is>
      </c>
      <c r="G203" s="11" t="inlineStr">
        <is>
          <t>amount × 12   when per = 'month'
amount   when per = 'year'
salary annual((op ?? {}) as any) (or amount when missing or zero)</t>
        </is>
      </c>
      <c r="H203" s="3" t="inlineStr">
        <is>
          <t>When per = 'month', it answers amount times 12. When per = 'year', it answers amount. salary annual((op ?? {}) as any) (or amount — when missing or zero).</t>
        </is>
      </c>
      <c r="I203" s="3" t="inlineStr">
        <is>
          <t>PARTLY READ — some of the code is still showing through; needs a hand pass</t>
        </is>
      </c>
      <c r="J203" s="3" t="inlineStr">
        <is>
          <t>1. x: IncomeSource
2. op?: Record&lt;string, any&gt; | null</t>
        </is>
      </c>
      <c r="K203" s="3" t="inlineStr">
        <is>
          <t>number</t>
        </is>
      </c>
      <c r="L203" s="3" t="inlineStr">
        <is>
          <t>—</t>
        </is>
      </c>
      <c r="M203" s="3" t="inlineStr">
        <is>
          <t>· Turns a monthly figure into a year by multiplying by twelve.</t>
        </is>
      </c>
      <c r="N203" s="3" t="inlineStr">
        <is>
          <t>No</t>
        </is>
      </c>
      <c r="O203" s="3" t="inlineStr">
        <is>
          <t>1. MK-CF-F-201 INCOME
2. MK-CF-F-207 SOURCE
3. MK-XS-F-180 declareFigures
4. MK-CF-F-076 guaranteedOutsideStreams
5. MK-CF-F-208 hourlyEarned
6. MK-CF-F-184 incomeFromAccounts
7. MK-CF-O-004 incomeSummary
8. MK-CF-F-209 monthlyEquivalent
9. MK-CF-F-075 retirementIncomeMonthly
10. MK-CF-F-082 salaryAnnual
11. MK-CF-F-083 totalGrossAnnual</t>
        </is>
      </c>
      <c r="P203" s="3" t="n">
        <v>132</v>
      </c>
      <c r="Q203" s="3" t="inlineStr">
        <is>
          <t>1. MK-CF-F-201 INCOME
2. MK-CF-F-207 SOURCE
3. MK-XS-F-180 declareFigures
4. MK-CF-F-076 guaranteedOutsideStreams
5. MK-CF-F-208 hourlyEarned
6. MK-CF-F-184 incomeFromAccounts
7. MK-CF-O-004 incomeSummary
8. MK-CF-F-209 monthlyEquivalent
9. MK-CF-F-075 retirementIncomeMonthly
10. MK-CF-F-082 salaryAnnual
11. MK-CF-F-083 totalGrossAnnual
12. MK-CF-O-016 incomeSources
13. MK-ST-F-052 toNum
14. MK-CF-F-182 asPercent
15. MK-NW-F-011 assetClassOf
16. MK-ST-F-053 money
17. MK-CF-F-183 paidOutByAccount
18. MK-CF-O-001 basePay
19. MK-CF-F-173 earnerWages
20. MK-CF-F-179 entryFromWage
21. MK-CF-F-071 extraIncome
22. MK-CF-F-085 filingStatusOf
23. MK-CF-F-092 incomeMonthlyGrid
24. MK-CF-F-132 map
25. MK-CF-F-103 marginalBracketFor
26. MK-CF-F-089 over65CountOf
27. MK-CF-F-181 rateInForce
28. MK-CF-F-068 rentalNetAnnual
29. MK-CF-F-084 taxableAnnual
30. MK-CF-F-060 salaryGrossByMonth
31. MK-CF-F-072 currentRetirementIncomeMonthly
32. MK-CF-F-066 rsuAnnual
33. MK-CF-F-074 tipsAnnual
34. MK-XS-F-122 n
35. MK-NW-F-008 incomeBearingClassOf
36. MK-ST-F-049 formatMoney
37. MK-ST-F-065 isoLocalDate
38. MK-ST-F-035 covers
39. MK-CF-F-171 earnerPay
40. MK-CF-F-204 line
41. MK-HM-F-006 money0
42. MK-CF-F-198 payrollTaxWithheld
43. MK-CF-F-172 hasWage
44. MK-CF-F-165 salaryMonths
45. MK-CF-F-070 benefitAnnual
46. MK-ST-F-039 on
47. MK-CF-F-069 benefitActiveMonths
48. MK-CF-F-065 equityVestWeights
49. MK-ST-F-056 has
50. MK-CF-F-206 householdK401ByMonth
51. MK-CF-F-087 monthlyTaxRates
52. MK-CF-F-073 otherIncomeMonth
53. MK-CF-F-077 scholarshipByCalendarMonth
54. MK-CF-F-088 taxableByCalendarMonth
55. MK-PL-F-012 waterfall
56. MK-CF-F-100 taxableIncomeFor
57. MK-CF-F-102 effectiveRateOnGrossFor
58. MK-CF-F-180 enteredLandsAnnual
59. MK-CF-F-086 stateRateOf
60. MK-CF-O-002 expenses
61. MK-CF-F-067 rentalList
62. MK-CF-F-176 sumMonthsOverEarners
63. MK-CF-F-177 wageGrossByMonth
64. MK-CF-F-062 equityRowValue
65. MK-CF-F-063 rowVestYear
66. MK-CF-F-081 salaryActiveMonths
67. MK-CF-F-155 cash
68. MK-ST-F-010 nameEvidence
69. MK-ST-F-048 currencySymbol
70. MK-ST-F-034 firstDate
71. MK-CF-F-143 annualisedGross
72. MK-CF-F-145 deductionsFromPay
73. MK-CF-F-128 grossByMonth
74. MK-CF-F-146 payFiguresAgree
75. MK-CF-F-144 takeHomeAsEntered
76. MK-CF-F-203 MONTH
77. MK-HM-F-005 pctTxt
78. MK-CF-F-090 effectiveRate
79. MK-CF-F-098 progressiveMonthlyTax
80. MK-CF-F-099 deductionFor
81. MK-CF-F-101 taxOwedFor
82. MK-CF-F-151 actualSpending
83. MK-CF-F-150 debtPaymentsCountedAsExpenses
84. MK-CF-F-153 radar
85. MK-CF-F-149 recurringDebtPayments
86. MK-CF-F-130 enteredMonthlyRaw
87. MK-CF-F-166 hasMonthlySalaryTable
88. MK-ST-F-036 reconcile
89. MK-CF-F-167 salaryCalendarYear
90. MK-XS-F-147 call
91. MK-ST-F-047 activeCurrency
92. MK-CF-F-142 monthsOf
93. MK-CF-F-141 perMonth
94. MK-CF-O-010 theMonth
95. MK-CF-F-187 seniorDeductionFor
96. MK-CF-F-148 inMonth
97. MK-CF-F-191 ym
98. MK-CF-F-022 paymentShape
99. MK-CF-F-152 isRadarItem
100. MK-CF-F-023 requiredPayment
101. MK-ST-F-027 accountId
102. MK-XS-F-064 currentIdToken
103. MK-XS-F-112 relayUrl
104. MK-CF-F-140 periodsAYear
105. MK-CF-O-003 thisMonth
106. MK-CF-F-021 defaultPaymentType
107. MK-CF-F-005 actualMonthFlow
108. MK-CF-F-156 plannedMonthFlow
109. MK-NW-F-078 ONE
110. MK-CF-F-157 debtPaymentsByDebt
111. MK-CF-F-192 inflowLabel
112. MK-XS-F-027 takeHomeMonthly
113. MK-NW-F-077 ALL
114. MK-NW-F-059 currentYield
115. MK-NW-O-001 theBonds
116. MK-CF-F-193 inflowSourceWord
117. MK-CF-F-011 savingsByMonth
118. MK-NW-F-057 annualCoupon
119. MK-NW-F-056 bondInfo
120. MK-NW-F-064 bondRateSensitivity
121. MK-NW-F-061 bondSummary
122. MK-NW-F-055 isBond
123. MK-NW-F-072 rowOf
124. MK-CF-F-008 spendByMonth
125. MK-NW-F-060 approxYTM
126. MK-NW-F-069 priceAtYield
127. MK-NW-F-070 accruedInterestCaveat
128. MK-NW-F-071 isCertificateOfDeposit
129. MK-NW-F-058 yearsToMaturity
130. MK-CF-F-120 pctBaseMonthly
131. MK-CF-F-004 spendBuckets
132. MK-CF-F-003 categoryMonthly</t>
        </is>
      </c>
      <c r="R203"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MK-CF-F-211</t>
        </is>
      </c>
      <c r="B204" s="3" t="inlineStr">
        <is>
          <t>DEBTS</t>
        </is>
      </c>
      <c r="C204" s="3" t="inlineStr">
        <is>
          <t>MoneyKeel/functions/cashflow/the-debts.ts</t>
        </is>
      </c>
      <c r="D204" s="3" t="n">
        <v>91</v>
      </c>
      <c r="E204" s="3" t="inlineStr">
        <is>
          <t>1 · ACTION</t>
        </is>
      </c>
      <c r="F204" s="3" t="inlineStr">
        <is>
          <t>NOT DETERMINED — the code carries no note saying what this is for, and it has no row in the old inventory. Needs reading.</t>
        </is>
      </c>
      <c r="G204" s="11" t="inlineStr">
        <is>
          <t>the debts(EXAMPLE)</t>
        </is>
      </c>
      <c r="H204" s="3" t="inlineStr">
        <is>
          <t>the debts(EXAMPLE)</t>
        </is>
      </c>
      <c r="I204" s="3" t="inlineStr">
        <is>
          <t>READ FROM THE CODE — rendered from the expressions the function runs</t>
        </is>
      </c>
      <c r="J204" s="3" t="inlineStr">
        <is>
          <t>Nothing is handed to it</t>
        </is>
      </c>
      <c r="K204" s="3" t="inlineStr">
        <is>
          <t>NOT DECLARED — the code does not say what it gives back</t>
        </is>
      </c>
      <c r="L204" s="3" t="inlineStr">
        <is>
          <t>—</t>
        </is>
      </c>
      <c r="M204" s="3" t="inlineStr">
        <is>
          <t>None found in this function — anything it assumes comes from the functions it depends on.</t>
        </is>
      </c>
      <c r="N204" s="3" t="inlineStr">
        <is>
          <t>No</t>
        </is>
      </c>
      <c r="O204" s="3" t="inlineStr">
        <is>
          <t>1. MK-XS-F-180 declareFigures
2. MK-CF-F-023 requiredPayment
3. MK-CF-O-018 theDebts</t>
        </is>
      </c>
      <c r="P204" s="3" t="n">
        <v>128</v>
      </c>
      <c r="Q204" s="3" t="inlineStr">
        <is>
          <t>1. MK-XS-F-180 declareFigures
2. MK-CF-F-023 requiredPayment
3. MK-CF-O-018 theDebts
4. MK-CF-F-022 paymentShape
5. MK-CF-F-025 minimumDebtService
6. MK-CF-F-034 payoffPlan
7. MK-CF-F-024 totalDebtMonthly
8. MK-CF-F-021 defaultPaymentType
9. MK-CF-F-132 map
10. MK-CF-F-201 INCOME
11. MK-CF-F-207 SOURCE
12. MK-CF-O-004 incomeSummary
13. MK-CF-O-016 incomeSources
14. MK-CF-O-001 basePay
15. MK-CF-F-173 earnerWages
16. MK-CF-F-179 entryFromWage
17. MK-CF-F-071 extraIncome
18. MK-CF-F-085 filingStatusOf
19. MK-CF-F-092 incomeMonthlyGrid
20. MK-CF-F-103 marginalBracketFor
21. MK-CF-F-089 over65CountOf
22. MK-CF-F-181 rateInForce
23. MK-CF-F-068 rentalNetAnnual
24. MK-CF-F-082 salaryAnnual
25. MK-CF-F-084 taxableAnnual
26. MK-ST-F-052 toNum
27. MK-CF-F-072 currentRetirementIncomeMonthly
28. MK-CF-F-075 retirementIncomeMonthly
29. MK-CF-F-066 rsuAnnual
30. MK-ST-F-035 covers
31. MK-CF-F-171 earnerPay
32. MK-CF-F-204 line
33. MK-ST-F-053 money
34. MK-HM-F-006 money0
35. MK-XS-F-122 n
36. MK-CF-F-198 payrollTaxWithheld
37. MK-CF-F-172 hasWage
38. MK-CF-F-165 salaryMonths
39. MK-CF-F-070 benefitAnnual
40. MK-ST-F-039 on
41. MK-CF-F-069 benefitActiveMonths
42. MK-CF-F-065 equityVestWeights
43. MK-ST-F-056 has
44. MK-CF-F-206 householdK401ByMonth
45. MK-CF-F-087 monthlyTaxRates
46. MK-CF-F-073 otherIncomeMonth
47. MK-CF-F-060 salaryGrossByMonth
48. MK-CF-F-077 scholarshipByCalendarMonth
49. MK-CF-F-088 taxableByCalendarMonth
50. MK-PL-F-012 waterfall
51. MK-CF-F-100 taxableIncomeFor
52. MK-CF-F-102 effectiveRateOnGrossFor
53. MK-CF-F-180 enteredLandsAnnual
54. MK-CF-F-086 stateRateOf
55. MK-CF-O-002 expenses
56. MK-CF-F-067 rentalList
57. MK-CF-F-074 tipsAnnual
58. MK-CF-F-062 equityRowValue
59. MK-CF-F-063 rowVestYear
60. MK-ST-F-034 firstDate
61. MK-CF-F-143 annualisedGross
62. MK-CF-F-145 deductionsFromPay
63. MK-CF-F-128 grossByMonth
64. MK-CF-F-146 payFiguresAgree
65. MK-CF-F-144 takeHomeAsEntered
66. MK-CF-F-203 MONTH
67. MK-ST-F-049 formatMoney
68. MK-CF-F-155 cash
69. MK-HM-F-005 pctTxt
70. MK-CF-F-176 sumMonthsOverEarners
71. MK-CF-F-177 wageGrossByMonth
72. MK-CF-F-090 effectiveRate
73. MK-CF-F-098 progressiveMonthlyTax
74. MK-CF-F-099 deductionFor
75. MK-CF-F-101 taxOwedFor
76. MK-CF-F-151 actualSpending
77. MK-CF-F-150 debtPaymentsCountedAsExpenses
78. MK-CF-F-153 radar
79. MK-CF-F-149 recurringDebtPayments
80. MK-CF-F-081 salaryActiveMonths
81. MK-CF-F-142 monthsOf
82. MK-CF-F-141 perMonth
83. MK-CF-O-010 theMonth
84. MK-ST-F-048 currencySymbol
85. MK-CF-F-130 enteredMonthlyRaw
86. MK-CF-F-166 hasMonthlySalaryTable
87. MK-ST-F-036 reconcile
88. MK-CF-F-167 salaryCalendarYear
89. MK-CF-F-187 seniorDeductionFor
90. MK-CF-F-148 inMonth
91. MK-CF-F-191 ym
92. MK-CF-F-152 isRadarItem
93. MK-CF-F-140 periodsAYear
94. MK-CF-O-003 thisMonth
95. MK-ST-F-047 activeCurrency
96. MK-CF-F-005 actualMonthFlow
97. MK-CF-F-156 plannedMonthFlow
98. MK-NW-F-078 ONE
99. MK-CF-F-157 debtPaymentsByDebt
100. MK-CF-F-192 inflowLabel
101. MK-XS-F-027 takeHomeMonthly
102. MK-NW-F-077 ALL
103. MK-NW-F-059 currentYield
104. MK-NW-O-001 theBonds
105. MK-CF-F-193 inflowSourceWord
106. MK-CF-F-011 savingsByMonth
107. MK-NW-F-057 annualCoupon
108. MK-ST-F-027 accountId
109. MK-NW-F-056 bondInfo
110. MK-NW-F-064 bondRateSensitivity
111. MK-NW-F-061 bondSummary
112. MK-NW-F-055 isBond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4" s="3" t="inlineStr">
        <is>
          <t>1. MK-XS-F-180 declareFigures → MK-CF-F-211 DEBTS
2. MK-CF-F-021 defaultPaymentType → MK-CF-F-022 paymentShape → MK-CF-F-023 requiredPayment → MK-CF-F-211 DEBTS
3. MK-CF-F-021 defaultPaymentType → MK-CF-F-022 paymentShape → MK-CF-F-025 minimumDebtService → MK-CF-O-018 theDebts → MK-CF-F-211 DEBTS
4. MK-CF-F-132 map → MK-CF-F-034 payoffPlan → MK-CF-O-018 theDebts → MK-CF-F-211 DEBTS
5. MK-CF-F-021 defaultPaymentType → MK-CF-F-022 paymentShape → MK-CF-F-034 payoffPlan → MK-CF-O-018 theDebts → MK-CF-F-211 DEBTS
6. MK-CF-O-016 incomeSources → MK-CF-F-207 SOURCE → MK-CF-F-201 INCOME → MK-CF-F-024 totalDebtMonthly → MK-CF-O-018 theDebts → MK-CF-F-211 DEBTS
7. MK-CF-O-001 basePay → MK-CF-O-004 incomeSummary → MK-CF-F-201 INCOME → MK-CF-F-024 totalDebtMonthly → MK-CF-O-018 theDebts → MK-CF-F-211 DEBTS
8. MK-CF-F-173 earnerWages → MK-CF-O-004 incomeSummary → MK-CF-F-201 INCOME → MK-CF-F-024 totalDebtMonthly → MK-CF-O-018 theDebts → MK-CF-F-211 DEBTS
9. … and 4 more paths</t>
        </is>
      </c>
      <c r="S204" s="3" t="inlineStr">
        <is>
          <t>—</t>
        </is>
      </c>
      <c r="T204" s="3" t="inlineStr">
        <is>
          <t>—</t>
        </is>
      </c>
      <c r="U204" s="3" t="inlineStr">
        <is>
          <t>ACTIVE</t>
        </is>
      </c>
      <c r="V204" s="3" t="inlineStr">
        <is>
          <t>2026-10-02</t>
        </is>
      </c>
      <c r="W204" s="3" t="n"/>
      <c r="X204" s="3" t="n"/>
      <c r="Y204" s="3" t="inlineStr">
        <is>
          <t>NOTHING OPEN</t>
        </is>
      </c>
    </row>
    <row r="205" ht="60" customHeight="1">
      <c r="A205" s="3" t="inlineStr">
        <is>
          <t>MK-CF-F-212</t>
        </is>
      </c>
      <c r="B205" s="3" t="inlineStr">
        <is>
          <t>receivedInMonth</t>
        </is>
      </c>
      <c r="C205" s="3" t="inlineStr">
        <is>
          <t>MoneyKeel/functions/cashflow/whats-coming.ts</t>
        </is>
      </c>
      <c r="D205" s="3" t="n">
        <v>152</v>
      </c>
      <c r="E205" s="3" t="inlineStr">
        <is>
          <t>2 · DISPLAYED</t>
        </is>
      </c>
      <c r="F205" s="3" t="inlineStr">
        <is>
          <t>RECEIVED THIS MONTH (MK-CF-M-012) — the income records dated inside the month, newest first.</t>
        </is>
      </c>
      <c r="G205" s="11" t="inlineStr">
        <is>
          <t>NOT READ YET — the body is not a shape this can render faithfully, so nothing is claimed rather than something being guessed. It needs reading by hand.</t>
        </is>
      </c>
      <c r="H205" s="3" t="inlineStr">
        <is>
          <t>NOT READ YET — the body is not a shape this can render faithfully, so nothing is claimed rather than something being guessed. It needs reading by hand.</t>
        </is>
      </c>
      <c r="I205" s="3" t="inlineStr">
        <is>
          <t>NOT READ — nothing is claimed rather than something guessed</t>
        </is>
      </c>
      <c r="J205" s="3" t="inlineStr">
        <is>
          <t>1. incomes: { date?: string; amount?: any }[] | null | undefined
2. ym: string</t>
        </is>
      </c>
      <c r="K205" s="3" t="inlineStr">
        <is>
          <t>NOT DECLARED — the code does not say what it gives back</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MK-CF-F-191 ym</t>
        </is>
      </c>
      <c r="P205" s="3" t="n">
        <v>1</v>
      </c>
      <c r="Q205" s="3" t="inlineStr">
        <is>
          <t>MK-CF-F-191 ym</t>
        </is>
      </c>
      <c r="R205" s="3" t="inlineStr">
        <is>
          <t>MK-CF-F-191 ym → MK-CF-F-212 receivedInMonth</t>
        </is>
      </c>
      <c r="S205" s="3" t="inlineStr">
        <is>
          <t>—</t>
        </is>
      </c>
      <c r="T205" s="3" t="inlineStr">
        <is>
          <t>—</t>
        </is>
      </c>
      <c r="U205" s="3" t="inlineStr">
        <is>
          <t>ACTIVE</t>
        </is>
      </c>
      <c r="V205" s="3" t="inlineStr">
        <is>
          <t>2026-10-02</t>
        </is>
      </c>
      <c r="W205" s="3" t="n"/>
      <c r="X205" s="3" t="n"/>
      <c r="Y205" s="3" t="inlineStr">
        <is>
          <t>NOTHING OPEN</t>
        </is>
      </c>
    </row>
    <row r="206" ht="60" customHeight="1">
      <c r="A206" s="3" t="inlineStr">
        <is>
          <t>MK-CF-F-213</t>
        </is>
      </c>
      <c r="B206" s="3" t="inlineStr">
        <is>
          <t>unusualWords</t>
        </is>
      </c>
      <c r="C206" s="3" t="inlineStr">
        <is>
          <t>MoneyKeel/functions/cashflow/whats-coming.ts</t>
        </is>
      </c>
      <c r="D206" s="3" t="n">
        <v>158</v>
      </c>
      <c r="E206" s="3" t="inlineStr">
        <is>
          <t>3 · DEPENDENT</t>
        </is>
      </c>
      <c r="F206" s="3" t="inlineStr">
        <is>
          <t>WELL ABOVE YOUR USUAL (MK-CF-M-017) — the words for a flagged expense, from the one review function.</t>
        </is>
      </c>
      <c r="G206" s="11" t="inlineStr">
        <is>
          <t>`${format money(flag.amount)} — well above your usual ${category}`   if flag and flag.reason = 'unusually_large'
nothing   otherwise</t>
        </is>
      </c>
      <c r="H206" s="3" t="inlineStr">
        <is>
          <t>`${format money(flag.amount)} — well above your usual ${category}` — when flag and flag.reason = 'unusually_large'; no answer — otherwise.</t>
        </is>
      </c>
      <c r="I206" s="3" t="inlineStr">
        <is>
          <t>PARTLY READ — some of the code is still showing through; needs a hand pass</t>
        </is>
      </c>
      <c r="J206" s="3" t="inlineStr">
        <is>
          <t>1. flag: TxnFlag | null | undefined
2. category: string</t>
        </is>
      </c>
      <c r="K206" s="3" t="inlineStr">
        <is>
          <t>string | null</t>
        </is>
      </c>
      <c r="L206" s="3" t="inlineStr">
        <is>
          <t>—</t>
        </is>
      </c>
      <c r="M206" s="3" t="inlineStr">
        <is>
          <t>None found in this function — anything it assumes comes from the functions it depends on.</t>
        </is>
      </c>
      <c r="N206" s="3" t="inlineStr">
        <is>
          <t>Yes</t>
        </is>
      </c>
      <c r="O206" s="3" t="inlineStr">
        <is>
          <t>MK-ST-F-049 formatMoney</t>
        </is>
      </c>
      <c r="P206" s="3" t="n">
        <v>5</v>
      </c>
      <c r="Q206" s="3" t="inlineStr">
        <is>
          <t>1. MK-ST-F-049 formatMoney
2. MK-ST-F-048 currencySymbol
3. MK-XS-F-122 n
4. MK-ST-F-039 on
5. MK-ST-F-047 activeCurrency</t>
        </is>
      </c>
      <c r="R206" s="3" t="inlineStr">
        <is>
          <t>1. MK-ST-F-047 activeCurrency → MK-ST-F-048 currencySymbol → MK-ST-F-049 formatMoney → MK-CF-F-213 unusualWords
2. MK-XS-F-122 n → MK-ST-F-049 formatMoney → MK-CF-F-213 unusualWords
3. MK-ST-F-039 on → MK-ST-F-049 formatMoney → MK-CF-F-213 unusualWords</t>
        </is>
      </c>
      <c r="S206" s="3" t="inlineStr">
        <is>
          <t>—</t>
        </is>
      </c>
      <c r="T206" s="3" t="inlineStr">
        <is>
          <t>—</t>
        </is>
      </c>
      <c r="U206" s="3" t="inlineStr">
        <is>
          <t>ACTIVE</t>
        </is>
      </c>
      <c r="V206" s="3" t="inlineStr">
        <is>
          <t>2026-10-02</t>
        </is>
      </c>
      <c r="W206" s="3" t="n"/>
      <c r="X206" s="3" t="n"/>
      <c r="Y206" s="3" t="inlineStr">
        <is>
          <t>NOTHING OPEN</t>
        </is>
      </c>
    </row>
    <row r="207" ht="60" customHeight="1">
      <c r="A207" s="3" t="inlineStr">
        <is>
          <t>MK-CF-F-214</t>
        </is>
      </c>
      <c r="B207" s="3" t="inlineStr">
        <is>
          <t>paycheckMonthWords</t>
        </is>
      </c>
      <c r="C207" s="3" t="inlineStr">
        <is>
          <t>MoneyKeel/functions/cashflow/whats-coming.ts</t>
        </is>
      </c>
      <c r="D207" s="3" t="n">
        <v>162</v>
      </c>
      <c r="E207" s="3" t="inlineStr">
        <is>
          <t>3 · DEPENDENT</t>
        </is>
      </c>
      <c r="F207" s="3" t="inlineStr">
        <is>
          <t>THE MONTHS A PAYCHECK LANDS (MK-CF-M-026) — one month of the paycheck year, in words.</t>
        </is>
      </c>
      <c r="G207" s="11" t="inlineStr">
        <is>
          <t>`${label} — ${format money(net safe to spend)}${bills total &gt; 0 ? ', lower: a big bill lands' : ''}`</t>
        </is>
      </c>
      <c r="H207" s="3" t="inlineStr">
        <is>
          <t>`${label} — ${format money(net safe to spend)}${bills total &gt; 0 ? ', lower: a big bill lands' : ''}`.</t>
        </is>
      </c>
      <c r="I207" s="3" t="inlineStr">
        <is>
          <t>PARTLY READ — some of the code is still showing through; needs a hand pass</t>
        </is>
      </c>
      <c r="J207" s="3" t="inlineStr">
        <is>
          <t>m: { label: string; netSafeToSpend: number; billsTotal: number }</t>
        </is>
      </c>
      <c r="K207" s="3" t="inlineStr">
        <is>
          <t>string</t>
        </is>
      </c>
      <c r="L207" s="3" t="inlineStr">
        <is>
          <t>—</t>
        </is>
      </c>
      <c r="M207" s="3" t="inlineStr">
        <is>
          <t>None found in this function — anything it assumes comes from the functions it depends on.</t>
        </is>
      </c>
      <c r="N207" s="3" t="inlineStr">
        <is>
          <t>Yes</t>
        </is>
      </c>
      <c r="O207" s="3" t="inlineStr">
        <is>
          <t>1. MK-ST-F-049 formatMoney
2. MK-CF-F-132 map</t>
        </is>
      </c>
      <c r="P207" s="3" t="n">
        <v>6</v>
      </c>
      <c r="Q207" s="3" t="inlineStr">
        <is>
          <t>1. MK-ST-F-049 formatMoney
2. MK-CF-F-132 map
3. MK-ST-F-048 currencySymbol
4. MK-XS-F-122 n
5. MK-ST-F-039 on
6. MK-ST-F-047 activeCurrency</t>
        </is>
      </c>
      <c r="R207" s="3" t="inlineStr">
        <is>
          <t>1. MK-ST-F-047 activeCurrency → MK-ST-F-048 currencySymbol → MK-ST-F-049 formatMoney → MK-CF-F-214 paycheckMonthWords
2. MK-XS-F-122 n → MK-ST-F-049 formatMoney → MK-CF-F-214 paycheckMonthWords
3. MK-ST-F-039 on → MK-ST-F-049 formatMoney → MK-CF-F-214 paycheckMonthWords
4. MK-CF-F-132 map → MK-CF-F-214 paycheckMonthWords</t>
        </is>
      </c>
      <c r="S207" s="3" t="inlineStr">
        <is>
          <t>—</t>
        </is>
      </c>
      <c r="T207" s="3" t="inlineStr">
        <is>
          <t>—</t>
        </is>
      </c>
      <c r="U207" s="3" t="inlineStr">
        <is>
          <t>ACTIVE</t>
        </is>
      </c>
      <c r="V207" s="3" t="inlineStr">
        <is>
          <t>2026-10-02</t>
        </is>
      </c>
      <c r="W207" s="3" t="n"/>
      <c r="X207" s="3" t="n"/>
      <c r="Y207" s="3" t="inlineStr">
        <is>
          <t>NOTHING OPEN</t>
        </is>
      </c>
    </row>
    <row r="208" ht="60" customHeight="1">
      <c r="A208" s="3" t="inlineStr">
        <is>
          <t>MK-CF-F-215</t>
        </is>
      </c>
      <c r="B208" s="3" t="inlineStr">
        <is>
          <t>YEAR</t>
        </is>
      </c>
      <c r="C208" s="3" t="inlineStr">
        <is>
          <t>MoneyKeel/functions/cashflow/whats-coming.ts</t>
        </is>
      </c>
      <c r="D208" s="3" t="n">
        <v>173</v>
      </c>
      <c r="E208" s="3" t="inlineStr">
        <is>
          <t>2 · DISPLAYED</t>
        </is>
      </c>
      <c r="F208" s="3" t="inlineStr">
        <is>
          <t>NOT DETERMINED — the code carries no note saying what this is for, and it has no row in the old inventory. Needs reading.</t>
        </is>
      </c>
      <c r="G208" s="11" t="inlineStr">
        <is>
          <t>NOT READ YET — the body is not a shape this can render faithfully, so nothing is claimed rather than something being guessed. It needs reading by hand.</t>
        </is>
      </c>
      <c r="H208" s="3" t="inlineStr">
        <is>
          <t>NOT READ YET — the body is not a shape this can render faithfully, so nothing is claimed rather than something being guessed. It needs reading by hand.</t>
        </is>
      </c>
      <c r="I208" s="3" t="inlineStr">
        <is>
          <t>NOT READ — nothing is claimed rather than something guessed</t>
        </is>
      </c>
      <c r="J208" s="3" t="inlineStr">
        <is>
          <t>Nothing is handed to it</t>
        </is>
      </c>
      <c r="K208" s="3" t="inlineStr">
        <is>
          <t>[], liabilities: [], now: EXAMPLE.now,</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MK-CF-F-205 COMING
2. MK-XS-F-004 buildDatedGrid
3. MK-CF-F-107 buildPaycheckYear
4. MK-XS-F-180 declareFigures
5. MK-CF-F-214 paycheckMonthWords
6. MK-CF-F-212 receivedInMonth
7. MK-CF-F-109 reviewTransactions
8. MK-CF-F-213 unusualWords</t>
        </is>
      </c>
      <c r="P208" s="3" t="n">
        <v>137</v>
      </c>
      <c r="Q208" s="3" t="inlineStr">
        <is>
          <t>1. MK-CF-F-205 COMING
2. MK-XS-F-004 buildDatedGrid
3. MK-CF-F-107 buildPaycheckYear
4. MK-XS-F-180 declareFigures
5. MK-CF-F-214 paycheckMonthWords
6. MK-CF-F-212 receivedInMonth
7. MK-CF-F-109 reviewTransactions
8. MK-CF-F-213 unusualWords
9. MK-CF-F-203 MONTH
10. MK-CF-O-008 whatsComing
11. MK-CF-F-069 benefitActiveMonths
12. MK-CF-F-072 currentRetirementIncomeMonthly
13. MK-CF-F-018 equityByMonth
14. MK-CF-O-002 expenses
15. MK-ST-F-056 has
16. MK-CF-F-204 line
17. MK-CF-F-132 map
18. MK-ST-F-053 money
19. MK-CF-F-087 monthlyTaxRates
20. MK-CF-F-073 otherIncomeMonth
21. MK-CF-F-022 paymentShape
22. MK-CF-F-068 rentalNetAnnual
23. MK-CF-F-023 requiredPayment
24. MK-CF-F-060 salaryGrossByMonth
25. MK-CF-F-008 spendByMonth
26. MK-ST-F-052 toNum
27. MK-CF-F-105 guaranteedRows
28. MK-NW-F-033 retirementEarmarkedValue
29. MK-CF-F-106 solveSafeDraw
30. MK-ST-F-049 formatMoney
31. MK-CF-F-191 ym
32. MK-CF-F-162 daysApart
33. MK-CF-F-108 isMoneyOut
34. MK-PL-F-074 median
35. MK-CF-F-131 normPayee
36. MK-CF-O-010 theMonth
37. MK-CF-F-019 upcomingBills
38. MK-CF-F-075 retirementIncomeMonthly
39. MK-CF-F-062 equityRowValue
40. MK-CF-F-066 rsuAnnual
41. MK-CF-F-121 zero12
42. MK-CF-F-151 actualSpending
43. MK-CF-F-150 debtPaymentsCountedAsExpenses
44. MK-CF-F-153 radar
45. MK-CF-F-149 recurringDebtPayments
46. MK-XS-F-122 n
47. MK-CF-F-090 effectiveRate
48. MK-CF-F-085 filingStatusOf
49. MK-CF-F-089 over65CountOf
50. MK-CF-F-098 progressiveMonthlyTax
51. MK-CF-F-181 rateInForce
52. MK-CF-F-086 stateRateOf
53. MK-CF-F-088 taxableByCalendarMonth
54. MK-CF-F-021 defaultPaymentType
55. MK-CF-F-067 rentalList
56. MK-CF-F-176 sumMonthsOverEarners
57. MK-CF-F-177 wageGrossByMonth
58. MK-CF-F-120 pctBaseMonthly
59. MK-CF-F-004 spendBuckets
60. MK-NW-F-032 earmarkedAmount
61. MK-NW-F-031 primaryCarIdOf
62. MK-PL-F-050 simulate
63. MK-ST-F-048 currencySymbol
64. MK-ST-F-039 on
65. MK-CF-F-155 cash
66. MK-CF-O-003 thisMonth
67. MK-CF-F-122 addDays
68. MK-CF-F-070 benefitAnnual
69. MK-CF-F-160 daysBetweenDates
70. MK-CF-F-061 grossSalaryMonthly
71. MK-ST-F-065 isoLocalDate
72. MK-CF-F-124 nextOccurrence
73. MK-CF-F-084 taxableAnnual
74. MK-CF-F-083 totalGrossAnnual
75. MK-CF-F-063 rowVestYear
76. MK-CF-F-148 inMonth
77. MK-CF-F-152 isRadarItem
78. MK-CF-F-101 taxOwedFor
79. MK-CF-F-100 taxableIncomeFor
80. MK-CF-F-173 earnerWages
81. MK-CF-F-102 effectiveRateOnGrossFor
82. MK-CF-F-180 enteredLandsAnnual
83. MK-CF-F-082 salaryAnnual
84. MK-CF-F-065 equityVestWeights
85. MK-CF-F-071 extraIncome
86. MK-CF-F-206 householdK401ByMonth
87. MK-CF-F-130 enteredMonthlyRaw
88. MK-CF-F-166 hasMonthlySalaryTable
89. MK-ST-F-036 reconcile
90. MK-CF-F-167 salaryCalendarYear
91. MK-CF-F-092 incomeMonthlyGrid
92. MK-CF-F-003 categoryMonthly
93. MK-NW-F-030 earmarkDefault
94. MK-NW-F-011 assetClassOf
95. MK-PL-F-072 mulberry32
96. MK-PL-F-073 normal
97. MK-PL-F-075 pctOfSorted
98. MK-ST-F-025 rmdStartAgeFromAge
99. MK-ST-F-047 activeCurrency
100. MK-CF-F-005 actualMonthFlow
101. MK-CF-F-156 plannedMonthFlow
102. MK-CF-F-074 tipsAnnual
103. MK-CF-F-099 deductionFor
104. MK-CF-F-172 hasWage
105. MK-CF-F-165 salaryMonths
106. MK-CF-F-077 scholarshipByCalendarMonth
107. MK-PL-F-012 waterfall
108. MK-XS-F-027 takeHomeMonthly
109. MK-NW-F-013 realEstateUseOf
110. MK-NW-F-008 incomeBearingClassOf
111. MK-ST-F-024 rmdStartAge
112. MK-NW-F-078 ONE
113. MK-CF-F-157 debtPaymentsByDebt
114. MK-CF-F-192 inflowLabel
115. MK-CF-F-081 salaryActiveMonths
116. MK-CF-F-187 seniorDeductionFor
117. MK-CF-F-011 savingsByMonth
118. MK-ST-F-010 nameEvidence
119. MK-NW-F-077 ALL
120. MK-NW-F-059 currentYield
121. MK-NW-O-001 theBonds
122. MK-CF-F-193 inflowSourceWord
123. MK-XS-F-147 call
124. MK-NW-F-057 annualCoupon
125. MK-ST-F-027 accountId
126. MK-NW-F-056 bondInfo
127. MK-NW-F-064 bondRateSensitivity
128. MK-NW-F-061 bondSummary
129. MK-NW-F-055 isBond
130. MK-NW-F-072 rowOf
131. MK-XS-F-064 currentIdToken
132. MK-XS-F-112 relayUrl
133. MK-NW-F-060 approxYTM
134. MK-NW-F-069 priceAtYield
135. MK-NW-F-070 accruedInterestCaveat
136. MK-NW-F-071 isCertificateOfDeposit
137. MK-NW-F-058 yearsToMaturity</t>
        </is>
      </c>
      <c r="R208" s="3" t="inlineStr">
        <is>
          <t>1. MONTH (already above — a loop) → MK-CF-O-010 theMonth → MK-CF-F-203 MONTH → MK-CF-F-205 COMING → MK-CF-F-215 YEAR
2. MK-XS-F-122 n → MK-CF-F-155 cash → MK-CF-O-010 theMonth → MK-CF-F-203 MONTH → MK-CF-F-205 COMING → MK-CF-F-215 YEAR
3. MK-CF-F-151 actualSpending → MK-CF-O-002 expenses → MK-CF-O-010 theMonth → MK-CF-F-203 MONTH → MK-CF-F-205 COMING → MK-CF-F-215 YEAR
4. MK-CF-F-150 debtPaymentsCountedAsExpenses → MK-CF-O-002 expenses → MK-CF-O-010 theMonth → MK-CF-F-203 MONTH → MK-CF-F-205 COMING → MK-CF-F-215 YEAR
5. MK-CF-F-153 radar → MK-CF-O-002 expenses → MK-CF-O-010 theMonth → MK-CF-F-203 MONTH → MK-CF-F-205 COMING → MK-CF-F-215 YEAR
6. MK-CF-F-149 recurringDebtPayments → MK-CF-O-002 expenses → MK-CF-O-010 theMonth → MK-CF-F-203 MONTH → MK-CF-F-205 COMING → MK-CF-F-215 YEAR
7. MK-CF-F-005 actualMonthFlow → MK-CF-O-003 thisMonth → MK-CF-O-010 theMonth → MK-CF-F-203 MONTH → MK-CF-F-205 COMING → MK-CF-F-215 YEAR
8. MK-CF-F-156 plannedMonthFlow → MK-CF-O-003 thisMonth → MK-CF-O-010 theMonth → MK-CF-F-203 MONTH → MK-CF-F-205 COMING → MK-CF-F-215 YEAR
9. … and 5 more paths</t>
        </is>
      </c>
      <c r="S208" s="3" t="inlineStr">
        <is>
          <t>—</t>
        </is>
      </c>
      <c r="T208" s="3" t="inlineStr">
        <is>
          <t>—</t>
        </is>
      </c>
      <c r="U208" s="3" t="inlineStr">
        <is>
          <t>ACTIVE</t>
        </is>
      </c>
      <c r="V208" s="3" t="inlineStr">
        <is>
          <t>2026-10-02</t>
        </is>
      </c>
      <c r="W208" s="3" t="n"/>
      <c r="X208" s="3" t="n"/>
      <c r="Y208" s="3" t="inlineStr">
        <is>
          <t>NOTHING OPEN</t>
        </is>
      </c>
    </row>
    <row r="209" ht="60" customHeight="1">
      <c r="A209" s="3" t="inlineStr">
        <is>
          <t>MK-CF-O-001</t>
        </is>
      </c>
      <c r="B209" s="3" t="inlineStr">
        <is>
          <t>basePay</t>
        </is>
      </c>
      <c r="C209" s="3" t="inlineStr">
        <is>
          <t>MoneyKeel/functions/cashflow/base-pay.ts</t>
        </is>
      </c>
      <c r="D209" s="3" t="n">
        <v>888</v>
      </c>
      <c r="E209" s="3" t="inlineStr">
        <is>
          <t>2 · DISPLAYED</t>
        </is>
      </c>
      <c r="F209" s="3" t="inlineStr">
        <is>
          <t>NOT DETERMINED — the code carries no note saying what this is for, and it has no row in the old inventory. Needs reading.</t>
        </is>
      </c>
      <c r="G209"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9"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9" s="3" t="inlineStr">
        <is>
          <t>PARTLY READ — some of the code is still showing through; needs a hand pass</t>
        </is>
      </c>
      <c r="J209" s="3" t="inlineStr">
        <is>
          <t>h: HouseholdPayInput</t>
        </is>
      </c>
      <c r="K209" s="3" t="inlineStr">
        <is>
          <t>BasePay</t>
        </is>
      </c>
      <c r="L209"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9" s="3" t="inlineStr">
        <is>
          <t>1. If over65 is missing it uses 0.
2. If gross annualised is missing it uses 0.
3. Uses a built-in f i c a s h a r e of 7.65%.
4. Rounds the answer to a whole number.</t>
        </is>
      </c>
      <c r="N209" s="3" t="inlineStr">
        <is>
          <t>Yes</t>
        </is>
      </c>
      <c r="O209" s="3" t="inlineStr">
        <is>
          <t>1. MK-ST-F-035 covers
2. MK-CF-F-171 earnerPay
3. MK-CF-F-204 line
4. MK-CF-F-132 map
5. MK-CF-F-103 marginalBracketFor
6. MK-ST-F-053 money
7. MK-HM-F-006 money0
8. MK-XS-F-122 n
9. MK-CF-F-198 payrollTaxWithheld
10. MK-CF-F-181 rateInForce</t>
        </is>
      </c>
      <c r="P209" s="3" t="n">
        <v>118</v>
      </c>
      <c r="Q209"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9"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9" s="3" t="inlineStr">
        <is>
          <t>MK-CF-M-030 · MK-CF-M-031 · MK-CF-M-032 · MK-CF-M-033 · MK-CF-M-034 · MK-CF-M-035 · MK-CF-M-036 · MK-CF-M-045 · MK-CF-M-046</t>
        </is>
      </c>
      <c r="T209" s="3" t="inlineStr">
        <is>
          <t>—</t>
        </is>
      </c>
      <c r="U209" s="3" t="inlineStr">
        <is>
          <t>ACTIVE</t>
        </is>
      </c>
      <c r="V209" s="3" t="inlineStr">
        <is>
          <t>2026-09-09</t>
        </is>
      </c>
      <c r="W209" s="3" t="n"/>
      <c r="X209" s="3" t="n"/>
      <c r="Y209" s="6" t="inlineStr">
        <is>
          <t>TESTED, NOT VERIFIED (G37, G38, G4, G41, G42, G45)</t>
        </is>
      </c>
    </row>
    <row r="210" ht="60" customHeight="1">
      <c r="A210" s="3" t="inlineStr">
        <is>
          <t>MK-CF-O-002</t>
        </is>
      </c>
      <c r="B210" s="3" t="inlineStr">
        <is>
          <t>expenses</t>
        </is>
      </c>
      <c r="C210" s="3" t="inlineStr">
        <is>
          <t>MoneyKeel/functions/cashflow/expenses.ts</t>
        </is>
      </c>
      <c r="D210" s="3" t="n">
        <v>324</v>
      </c>
      <c r="E210" s="3" t="inlineStr">
        <is>
          <t>2 · DISPLAYED</t>
        </is>
      </c>
      <c r="F210" s="3" t="inlineStr">
        <is>
          <t>NOT DETERMINED — the code carries no note saying what this is for, and it has no row in the old inventory. Needs reading.</t>
        </is>
      </c>
      <c r="G210" s="11" t="inlineStr">
        <is>
          <t>rec = recurring debt payments(s)
act = actual expenses(s)
debt exp = debt payments counted as expenses(s, purchases captured)</t>
        </is>
      </c>
      <c r="H210" s="3" t="inlineStr">
        <is>
          <t>Rec is recurring debt payments(s). Act is actual expenses(s). Debt exp is debt payments counted as expenses(s, purchases captured).</t>
        </is>
      </c>
      <c r="I210" s="3" t="inlineStr">
        <is>
          <t>READ FROM THE CODE — rendered from the expressions the function runs</t>
        </is>
      </c>
      <c r="J210" s="3" t="inlineStr">
        <is>
          <t>1. s: ExpensesInput
2. purchasesCaptured: Set&lt;string&gt; = new Set()</t>
        </is>
      </c>
      <c r="K210" s="3" t="inlineStr">
        <is>
          <t>Expenses</t>
        </is>
      </c>
      <c r="L210" s="3" t="inlineStr">
        <is>
          <t>NOT FOUND — a screen calls it, but the words printed beside its answer could not be traced automatically. Needs reading.</t>
        </is>
      </c>
      <c r="M210" s="3" t="inlineStr">
        <is>
          <t>None found in this function — anything it assumes comes from the functions it depends on.</t>
        </is>
      </c>
      <c r="N210" s="3" t="inlineStr">
        <is>
          <t>Yes</t>
        </is>
      </c>
      <c r="O210" s="3" t="inlineStr">
        <is>
          <t>1. MK-CF-F-151 actualSpending
2. MK-CF-F-150 debtPaymentsCountedAsExpenses
3. MK-CF-F-153 radar
4. MK-CF-F-149 recurringDebtPayments</t>
        </is>
      </c>
      <c r="P210" s="3" t="n">
        <v>14</v>
      </c>
      <c r="Q210"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10"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10" s="3" t="inlineStr">
        <is>
          <t>—</t>
        </is>
      </c>
      <c r="T210" s="3" t="inlineStr">
        <is>
          <t>—</t>
        </is>
      </c>
      <c r="U210" s="3" t="inlineStr">
        <is>
          <t>DECOMMISSIONED 2026-09-28 — it was here and is not any more. Kept so the number is never reused and earlier work can still be traced.</t>
        </is>
      </c>
      <c r="V210" s="3" t="inlineStr">
        <is>
          <t>2026-09-28</t>
        </is>
      </c>
      <c r="W210" s="3" t="n"/>
      <c r="X210" s="3" t="n"/>
      <c r="Y210" s="9" t="inlineStr">
        <is>
          <t>CODED, NOT TESTED (Cash-flow worked example)</t>
        </is>
      </c>
    </row>
    <row r="211" ht="60" customHeight="1">
      <c r="A211" s="3" t="inlineStr">
        <is>
          <t>MK-CF-O-003</t>
        </is>
      </c>
      <c r="B211" s="3" t="inlineStr">
        <is>
          <t>thisMonth</t>
        </is>
      </c>
      <c r="C211" s="3" t="inlineStr">
        <is>
          <t>MoneyKeel/functions/cashflow/this-month.ts</t>
        </is>
      </c>
      <c r="D211" s="3" t="n">
        <v>634</v>
      </c>
      <c r="E211" s="3" t="inlineStr">
        <is>
          <t>3 · DEPENDENT</t>
        </is>
      </c>
      <c r="F211" s="3" t="inlineStr">
        <is>
          <t>NOT DETERMINED — the code carries no note saying what this is for, and it has no row in the old inventory. Needs reading.</t>
        </is>
      </c>
      <c r="G211" s="11" t="inlineStr">
        <is>
          <t>planned = planned month flow(m)
actual = actual month flow(m)</t>
        </is>
      </c>
      <c r="H211" s="3" t="inlineStr">
        <is>
          <t>planned = planned month flow(m); actual = actual month flow(m).</t>
        </is>
      </c>
      <c r="I211" s="3" t="inlineStr">
        <is>
          <t>READ FROM THE CODE — rendered from the expressions the function runs</t>
        </is>
      </c>
      <c r="J211" s="3" t="inlineStr">
        <is>
          <t>m: MonthInput</t>
        </is>
      </c>
      <c r="K211" s="3" t="inlineStr">
        <is>
          <t>ThisMonth</t>
        </is>
      </c>
      <c r="L211" s="3" t="inlineStr">
        <is>
          <t>—</t>
        </is>
      </c>
      <c r="M211" s="3" t="inlineStr">
        <is>
          <t>None found in this function — anything it assumes comes from the functions it depends on.</t>
        </is>
      </c>
      <c r="N211" s="3" t="inlineStr">
        <is>
          <t>Yes</t>
        </is>
      </c>
      <c r="O211" s="3" t="inlineStr">
        <is>
          <t>1. MK-CF-F-005 actualMonthFlow
2. MK-CF-F-156 plannedMonthFlow</t>
        </is>
      </c>
      <c r="P211" s="3" t="n">
        <v>101</v>
      </c>
      <c r="Q211"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1"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11" s="3" t="inlineStr">
        <is>
          <t>MK-CF-M-047 · MK-CF-M-048 · MK-CF-M-049 · MK-CF-M-050 · MK-CF-M-051 · MK-CF-M-052 · MK-CF-M-053 · MK-CF-M-054</t>
        </is>
      </c>
      <c r="T211" s="3" t="inlineStr">
        <is>
          <t>—</t>
        </is>
      </c>
      <c r="U211" s="3" t="inlineStr">
        <is>
          <t>ACTIVE</t>
        </is>
      </c>
      <c r="V211" s="3" t="inlineStr">
        <is>
          <t>2026-09-28</t>
        </is>
      </c>
      <c r="W211" s="3" t="n"/>
      <c r="X211" s="3" t="n"/>
      <c r="Y211" s="9" t="inlineStr">
        <is>
          <t>CODED, NOT TESTED (Cash-flow worked example)</t>
        </is>
      </c>
    </row>
    <row r="212" ht="60" customHeight="1">
      <c r="A212" s="3" t="inlineStr">
        <is>
          <t>MK-CF-O-004</t>
        </is>
      </c>
      <c r="B212" s="3" t="inlineStr">
        <is>
          <t>incomeSummary</t>
        </is>
      </c>
      <c r="C212" s="3" t="inlineStr">
        <is>
          <t>MoneyKeel/functions/cashflow/income-summary.ts</t>
        </is>
      </c>
      <c r="D212" s="3" t="n">
        <v>681</v>
      </c>
      <c r="E212" s="3" t="inlineStr">
        <is>
          <t>2 · DISPLAYED</t>
        </is>
      </c>
      <c r="F212" s="3" t="inlineStr">
        <is>
          <t>NOT DETERMINED — the code carries no note saying what this is for, and it has no row in the old inventory. Needs reading.</t>
        </is>
      </c>
      <c r="G212"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12"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12" s="3" t="inlineStr">
        <is>
          <t>PARTLY READ — some of the code is still showing through; needs a hand pass</t>
        </is>
      </c>
      <c r="J212" s="3" t="inlineStr">
        <is>
          <t>op: Record&lt;string, any&gt; | null</t>
        </is>
      </c>
      <c r="K212" s="3" t="inlineStr">
        <is>
          <t>IncomeSummary</t>
        </is>
      </c>
      <c r="L212" s="3" t="inlineStr">
        <is>
          <t>1. "Add your income ›" — on the income summary screen
2. "Federal tax bracket" — on the income summary screen
3. "Take-home each month" — on the income summary screen
4. "What it is taxed on" — on the income summary screen</t>
        </is>
      </c>
      <c r="M212" s="3" t="inlineStr">
        <is>
          <t>None found in this function — anything it assumes comes from the functions it depends on.</t>
        </is>
      </c>
      <c r="N212" s="3" t="inlineStr">
        <is>
          <t>Yes</t>
        </is>
      </c>
      <c r="O212"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12" s="3" t="n">
        <v>120</v>
      </c>
      <c r="Q212"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12"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12" s="3" t="inlineStr">
        <is>
          <t>MK-CF-M-006 · MK-CF-M-007 · MK-CF-M-008 · MK-CF-M-009 · MK-CF-M-010 · MK-CF-M-011 · MK-CF-M-024 · MK-CF-M-027 · MK-CF-M-037 · MK-CF-M-038 · MK-CF-M-039 · MK-CF-M-040 · MK-CF-M-041 · MK-CF-M-042 · MK-CF-M-043 · MK-CF-M-044 · MK-CF-M-065 · MK-CF-M-066 · MK-CF-M-067 · MK-CF-M-068 · MK-CF-M-069 · MK-MN-M-011 · MK-MN-M-012 · MK-MN-M-013</t>
        </is>
      </c>
      <c r="T212" s="3" t="inlineStr">
        <is>
          <t>—</t>
        </is>
      </c>
      <c r="U212" s="3" t="inlineStr">
        <is>
          <t>ACTIVE</t>
        </is>
      </c>
      <c r="V212" s="3" t="inlineStr">
        <is>
          <t>2026-09-09</t>
        </is>
      </c>
      <c r="W212" s="3" t="n"/>
      <c r="X212" s="3" t="n"/>
      <c r="Y212" s="6" t="inlineStr">
        <is>
          <t>TESTED, NOT VERIFIED (G37, G47, G48)</t>
        </is>
      </c>
    </row>
    <row r="213" ht="60" customHeight="1">
      <c r="A213" s="3" t="inlineStr">
        <is>
          <t>MK-CF-O-005</t>
        </is>
      </c>
      <c r="B213" s="3" t="inlineStr">
        <is>
          <t>theContributionRoom</t>
        </is>
      </c>
      <c r="C213" s="3" t="inlineStr">
        <is>
          <t>MoneyKeel/functions/cashflow/contribution-room.ts</t>
        </is>
      </c>
      <c r="D213" s="3" t="n">
        <v>106</v>
      </c>
      <c r="E213" s="3" t="inlineStr">
        <is>
          <t>2 · DISPLAYED</t>
        </is>
      </c>
      <c r="F213" s="3" t="inlineStr">
        <is>
          <t>── ORCHESTRATOR ───────────────────────────────────────────────────────────────────── The one function a screen calls for this question.</t>
        </is>
      </c>
      <c r="G213"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3"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 Turns a monthly figure into a year by multiplying by twelve.</t>
        </is>
      </c>
      <c r="N213" s="3" t="inlineStr">
        <is>
          <t>Yes</t>
        </is>
      </c>
      <c r="O213" s="3" t="inlineStr">
        <is>
          <t>1. MK-CF-F-197 ageAttainedInYear
2. MK-CF-F-055 annualHsaLimit
3. MK-CF-F-054 annualIraLimit
4. MK-CF-F-056 k401Headroom
5. MK-CF-F-195 monthsLeftInYear
6. MK-CF-F-196 perMonthToFill</t>
        </is>
      </c>
      <c r="P213" s="3" t="n">
        <v>7</v>
      </c>
      <c r="Q213" s="3" t="inlineStr">
        <is>
          <t>1. MK-CF-F-197 ageAttainedInYear
2. MK-CF-F-055 annualHsaLimit
3. MK-CF-F-054 annualIraLimit
4. MK-CF-F-056 k401Headroom
5. MK-CF-F-195 monthsLeftInYear
6. MK-CF-F-196 perMonthToFill
7. MK-CF-F-053 annual401kLimit</t>
        </is>
      </c>
      <c r="R213"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MK-CF-O-006</t>
        </is>
      </c>
      <c r="B214" s="3" t="inlineStr">
        <is>
          <t>theCreditLine</t>
        </is>
      </c>
      <c r="C214" s="3" t="inlineStr">
        <is>
          <t>MoneyKeel/functions/cashflow/credit-line.ts</t>
        </is>
      </c>
      <c r="D214" s="3" t="n">
        <v>90</v>
      </c>
      <c r="E214" s="3" t="inlineStr">
        <is>
          <t>2 · DISPLAYED</t>
        </is>
      </c>
      <c r="F214" s="3" t="inlineStr">
        <is>
          <t>── ORCHESTRATOR ───────────────────────────────────────────────────────────────────── The one function a screen calls for this question.</t>
        </is>
      </c>
      <c r="G214"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4"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4" s="3" t="inlineStr">
        <is>
          <t>PARTLY READ — some of the code is still showing through; needs a hand pass</t>
        </is>
      </c>
      <c r="J214" s="3" t="inlineStr">
        <is>
          <t>input: { balance: number; limit: number }</t>
        </is>
      </c>
      <c r="K214" s="3" t="inlineStr">
        <is>
          <t>CreditLine</t>
        </is>
      </c>
      <c r="L214" s="3" t="inlineStr">
        <is>
          <t>NOT FOUND — a screen calls it, but the words printed beside its answer could not be traced automatically. Needs reading.</t>
        </is>
      </c>
      <c r="M214" s="3" t="inlineStr">
        <is>
          <t>1. If balance is missing it counts as zero, so nothing recorded and a real zero look the same.
2. If limit is missing it counts as zero, so nothing recorded and a real zero look the same.</t>
        </is>
      </c>
      <c r="N214" s="3" t="inlineStr">
        <is>
          <t>Yes</t>
        </is>
      </c>
      <c r="O214" s="3" t="inlineStr">
        <is>
          <t>1. MK-CF-F-031 creditUtilization
2. MK-CF-F-204 line</t>
        </is>
      </c>
      <c r="P214" s="3" t="n">
        <v>104</v>
      </c>
      <c r="Q214"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14"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4" s="3" t="inlineStr">
        <is>
          <t>MK-MN-M-006</t>
        </is>
      </c>
      <c r="T214" s="3" t="inlineStr">
        <is>
          <t>—</t>
        </is>
      </c>
      <c r="U214" s="3" t="inlineStr">
        <is>
          <t>ACTIVE</t>
        </is>
      </c>
      <c r="V214" s="3" t="inlineStr">
        <is>
          <t>2026-09-28</t>
        </is>
      </c>
      <c r="W214" s="3" t="n"/>
      <c r="X214" s="3" t="n"/>
      <c r="Y214" s="3" t="inlineStr">
        <is>
          <t>NOTHING OPEN</t>
        </is>
      </c>
    </row>
    <row r="215" ht="60" customHeight="1">
      <c r="A215" s="3" t="inlineStr">
        <is>
          <t>MK-CF-O-007</t>
        </is>
      </c>
      <c r="B215" s="3" t="inlineStr">
        <is>
          <t>theTaxOrganizer</t>
        </is>
      </c>
      <c r="C215" s="3" t="inlineStr">
        <is>
          <t>MoneyKeel/functions/cashflow/tax-organizer.ts</t>
        </is>
      </c>
      <c r="D215" s="3" t="n">
        <v>68</v>
      </c>
      <c r="E215" s="3" t="inlineStr">
        <is>
          <t>2 · DISPLAYED</t>
        </is>
      </c>
      <c r="F215" s="3" t="inlineStr">
        <is>
          <t>── ORCHESTRATOR ───────────────────────────────────────────────────────────────────── The one function a screen calls for this question.</t>
        </is>
      </c>
      <c r="G215" s="11" t="inlineStr">
        <is>
          <t>year = input.year (or the date ).get full year( when missing)
actual passive = round(income from accounts(input.accounts ?? [], input.transactions ?? []).annual)</t>
        </is>
      </c>
      <c r="H215" s="3" t="inlineStr">
        <is>
          <t>Year is input.year (or the date ).get full year( — when missing). Actual passive is income from accounts(input.accounts ?? [], input.transactions ?? [], to a whole number.annual).</t>
        </is>
      </c>
      <c r="I215" s="3" t="inlineStr">
        <is>
          <t>PARTLY READ — some of the code is still showing through; needs a hand pass</t>
        </is>
      </c>
      <c r="J215" s="3" t="inlineStr">
        <is>
          <t>Nothing is handed to it</t>
        </is>
      </c>
      <c r="K215" s="3" t="inlineStr">
        <is>
          <t>NOT DECLARED — the code does not say what it gives back</t>
        </is>
      </c>
      <c r="L215" s="3" t="inlineStr">
        <is>
          <t>NOT FOUND — a screen calls it, but the words printed beside its answer could not be traced automatically. Needs reading.</t>
        </is>
      </c>
      <c r="M215" s="3" t="inlineStr">
        <is>
          <t>1. Uses today's date from the device clock, so the answer changes by itself overnight.
2. Rounds the answer to a whole number.</t>
        </is>
      </c>
      <c r="N215" s="3" t="inlineStr">
        <is>
          <t>Yes</t>
        </is>
      </c>
      <c r="O215" s="3" t="inlineStr">
        <is>
          <t>1. MK-CF-F-184 incomeFromAccounts
2. MK-PL-F-031 taxOrganizer</t>
        </is>
      </c>
      <c r="P215" s="3" t="n">
        <v>71</v>
      </c>
      <c r="Q215"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5"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MK-CF-O-008</t>
        </is>
      </c>
      <c r="B216" s="3" t="inlineStr">
        <is>
          <t>whatsComing</t>
        </is>
      </c>
      <c r="C216" s="3" t="inlineStr">
        <is>
          <t>MoneyKeel/functions/cashflow/whats-coming.ts</t>
        </is>
      </c>
      <c r="D216" s="3" t="n">
        <v>84</v>
      </c>
      <c r="E216" s="3" t="inlineStr">
        <is>
          <t>2 · DISPLAYED</t>
        </is>
      </c>
      <c r="F216" s="3" t="inlineStr">
        <is>
          <t>── ORCHESTRATOR ───────────────────────────────────────────────────────────────────── The one function a screen calls for this question.</t>
        </is>
      </c>
      <c r="G216" s="11" t="inlineStr">
        <is>
          <t>bills = bills
next = the first of bills   if count of bills
nothing   otherwise</t>
        </is>
      </c>
      <c r="H216" s="3" t="inlineStr">
        <is>
          <t>bills = bills; next = the first of bills — when how many bills there are; no answer — otherwise.</t>
        </is>
      </c>
      <c r="I216" s="3" t="inlineStr">
        <is>
          <t>READ FROM THE CODE — rendered from the expressions the function runs</t>
        </is>
      </c>
      <c r="J216" s="3" t="inlineStr">
        <is>
          <t>Nothing is handed to it</t>
        </is>
      </c>
      <c r="K216" s="3" t="inlineStr">
        <is>
          <t>NOT DECLARED — the code does not say what it gives back</t>
        </is>
      </c>
      <c r="L216" s="3" t="inlineStr">
        <is>
          <t>1. "Bill calendar" — on the Bill calendar screen
2. "If you can't pay everything, pay these first" — on the Bill calendar screen</t>
        </is>
      </c>
      <c r="M216" s="3" t="inlineStr">
        <is>
          <t>1. If start balance is missing it uses 0.
2. Uses today's date from the device clock, so the answer changes by itself overnight.</t>
        </is>
      </c>
      <c r="N216" s="3" t="inlineStr">
        <is>
          <t>Yes</t>
        </is>
      </c>
      <c r="O216" s="3" t="inlineStr">
        <is>
          <t>MK-CF-F-019 upcomingBills</t>
        </is>
      </c>
      <c r="P216" s="3" t="n">
        <v>109</v>
      </c>
      <c r="Q216"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6"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6" s="3" t="inlineStr">
        <is>
          <t>MK-CF-M-012 · MK-CF-M-016 · MK-CF-M-017 · MK-CF-M-026 · MK-CF-M-028 · MK-CF-M-060 · MK-CF-M-061 · MK-CF-M-062 · MK-CF-M-063 · MK-CF-M-064 · MK-MN-M-030</t>
        </is>
      </c>
      <c r="T216" s="3" t="inlineStr">
        <is>
          <t>—</t>
        </is>
      </c>
      <c r="U216" s="3" t="inlineStr">
        <is>
          <t>ACTIVE</t>
        </is>
      </c>
      <c r="V216" s="3" t="inlineStr">
        <is>
          <t>2026-09-28</t>
        </is>
      </c>
      <c r="W216" s="3" t="n"/>
      <c r="X216" s="3" t="n"/>
      <c r="Y216" s="3" t="inlineStr">
        <is>
          <t>NOTHING OPEN</t>
        </is>
      </c>
    </row>
    <row r="217" ht="60" customHeight="1">
      <c r="A217" s="3" t="inlineStr">
        <is>
          <t>MK-CF-O-010</t>
        </is>
      </c>
      <c r="B217" s="3" t="inlineStr">
        <is>
          <t>theMonth</t>
        </is>
      </c>
      <c r="C217" s="3" t="inlineStr">
        <is>
          <t>MoneyKeel/functions/cashflow/the-month.ts</t>
        </is>
      </c>
      <c r="D217" s="3" t="n">
        <v>104</v>
      </c>
      <c r="E217" s="3" t="inlineStr">
        <is>
          <t>2 · DISPLAYED</t>
        </is>
      </c>
      <c r="F217" s="3" t="inlineStr">
        <is>
          <t>── ORCHESTRATOR ───────────────────────────────────────────────────────────────────── The one function a screen calls for this question.</t>
        </is>
      </c>
      <c r="G217" s="11" t="inlineStr">
        <is>
          <t>flow = this month(input)
committed = cash((input.commitments ?? []).reduce((t, c) =&gt; t + (monthly amount or 0), 0))</t>
        </is>
      </c>
      <c r="H217" s="3" t="inlineStr">
        <is>
          <t>Flow is this month(input). Committed is cash((input.commitments ?? []).reduce((t, c) =&gt; t plus (monthly amount or 0), 0)).</t>
        </is>
      </c>
      <c r="I217" s="3" t="inlineStr">
        <is>
          <t>PARTLY READ — some of the code is still showing through; needs a hand pass</t>
        </is>
      </c>
      <c r="J217" s="3" t="inlineStr">
        <is>
          <t>input: MonthInput &amp; ExpensesInput</t>
        </is>
      </c>
      <c r="K217" s="3" t="inlineStr">
        <is>
          <t>TheMonth</t>
        </is>
      </c>
      <c r="L217" s="3" t="inlineStr">
        <is>
          <t>1. "Cash flow" — on the Cash flow screen
2. "Outflow (expenses + debt)" — on the Cash flow screen, under "YOUR BUDGET"
3. "Planned inflow" — on the Cash flow screen, under "YOUR BUDGET"
4. "That month’s activity ›" — on the Cash flow screen, under "YOUR BUDGET"</t>
        </is>
      </c>
      <c r="M217" s="3" t="inlineStr">
        <is>
          <t>· If monthly amount is missing it counts as zero, so nothing recorded and a real zero look the same.</t>
        </is>
      </c>
      <c r="N217" s="3" t="inlineStr">
        <is>
          <t>Yes</t>
        </is>
      </c>
      <c r="O217" s="3" t="inlineStr">
        <is>
          <t>1. MK-CF-F-203 MONTH
2. MK-CF-F-155 cash
3. MK-CF-O-002 expenses
4. MK-CF-O-003 thisMonth</t>
        </is>
      </c>
      <c r="P217" s="3" t="n">
        <v>101</v>
      </c>
      <c r="Q217"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7"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7" s="3" t="inlineStr">
        <is>
          <t>MK-CF-M-001 · MK-CF-M-002 · MK-CF-M-003 · MK-CF-M-013 · MK-CF-M-014 · MK-CF-M-015 · MK-CF-M-020 · MK-CF-M-021 · MK-CF-M-056</t>
        </is>
      </c>
      <c r="T217" s="3" t="inlineStr">
        <is>
          <t>—</t>
        </is>
      </c>
      <c r="U217" s="3" t="inlineStr">
        <is>
          <t>ACTIVE</t>
        </is>
      </c>
      <c r="V217" s="3" t="inlineStr">
        <is>
          <t>2026-10-01</t>
        </is>
      </c>
      <c r="W217" s="3" t="n"/>
      <c r="X217" s="3" t="n"/>
      <c r="Y217" s="3" t="inlineStr">
        <is>
          <t>NOTHING OPEN</t>
        </is>
      </c>
    </row>
    <row r="218" ht="60" customHeight="1">
      <c r="A218" s="3" t="inlineStr">
        <is>
          <t>MK-CF-O-011</t>
        </is>
      </c>
      <c r="B218" s="3" t="inlineStr">
        <is>
          <t>PAY</t>
        </is>
      </c>
      <c r="C218" s="3" t="inlineStr">
        <is>
          <t>MoneyKeel/functions/cashflow/base-pay.ts</t>
        </is>
      </c>
      <c r="D218" s="3" t="n">
        <v>663</v>
      </c>
      <c r="E218" s="3" t="inlineStr">
        <is>
          <t>1 · ACTION</t>
        </is>
      </c>
      <c r="F218" s="3" t="inlineStr">
        <is>
          <t>NOT DETERMINED — the code carries no note saying what this is for, and it has no row in the old inventory. Needs reading.</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 as any, filingStatus: 'married', over65: 0,</t>
        </is>
      </c>
      <c r="L218" s="3" t="inlineStr">
        <is>
          <t>—</t>
        </is>
      </c>
      <c r="M218" s="3" t="inlineStr">
        <is>
          <t>None found in this function — anything it assumes comes from the functions it depends on.</t>
        </is>
      </c>
      <c r="N218" s="3" t="inlineStr">
        <is>
          <t>No</t>
        </is>
      </c>
      <c r="O218" s="3" t="inlineStr">
        <is>
          <t>MK-CF-O-001 basePay</t>
        </is>
      </c>
      <c r="P218" s="3" t="n">
        <v>119</v>
      </c>
      <c r="Q218"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8"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MK-CF-O-012</t>
        </is>
      </c>
      <c r="B219" s="3" t="inlineStr">
        <is>
          <t>PAY_ESTIMATED</t>
        </is>
      </c>
      <c r="C219" s="3" t="inlineStr">
        <is>
          <t>MoneyKeel/functions/cashflow/base-pay.ts</t>
        </is>
      </c>
      <c r="D219" s="3" t="n">
        <v>684</v>
      </c>
      <c r="E219" s="3" t="inlineStr">
        <is>
          <t>1 · ACTION</t>
        </is>
      </c>
      <c r="F219" s="3" t="inlineStr">
        <is>
          <t>NOT DETERMINED — the code carries no note saying what this is for, and it has no row in the old inventory. Needs reading.</t>
        </is>
      </c>
      <c r="G219" s="11" t="inlineStr">
        <is>
          <t>NOT READ YET — the body is not a shape this can render faithfully, so nothing is claimed rather than something being guessed. It needs reading by hand.</t>
        </is>
      </c>
      <c r="H219" s="3" t="inlineStr">
        <is>
          <t>NOT READ YET — the body is not a shape this can render faithfully, so nothing is claimed rather than something being guessed. It needs reading by hand.</t>
        </is>
      </c>
      <c r="I219" s="3" t="inlineStr">
        <is>
          <t>NOT READ — nothing is claimed rather than something guessed</t>
        </is>
      </c>
      <c r="J219" s="3" t="inlineStr">
        <is>
          <t>Nothing is handed to it</t>
        </is>
      </c>
      <c r="K219" s="3" t="inlineStr">
        <is>
          <t>EXAMPLE_EARNERS as any, filingStatus: 'married', over65: 0, profile:</t>
        </is>
      </c>
      <c r="L219" s="3" t="inlineStr">
        <is>
          <t>—</t>
        </is>
      </c>
      <c r="M219" s="3" t="inlineStr">
        <is>
          <t>None found in this function — anything it assumes comes from the functions it depends on.</t>
        </is>
      </c>
      <c r="N219" s="3" t="inlineStr">
        <is>
          <t>No</t>
        </is>
      </c>
      <c r="O219" s="3" t="inlineStr">
        <is>
          <t>MK-CF-O-001 basePay</t>
        </is>
      </c>
      <c r="P219" s="3" t="n">
        <v>119</v>
      </c>
      <c r="Q21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9"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MK-CF-O-013</t>
        </is>
      </c>
      <c r="B220" s="3" t="inlineStr">
        <is>
          <t>PAY_LANDS_TYPED</t>
        </is>
      </c>
      <c r="C220" s="3" t="inlineStr">
        <is>
          <t>MoneyKeel/functions/cashflow/base-pay.ts</t>
        </is>
      </c>
      <c r="D220" s="3" t="n">
        <v>702</v>
      </c>
      <c r="E220" s="3" t="inlineStr">
        <is>
          <t>1 · ACTION</t>
        </is>
      </c>
      <c r="F220" s="3" t="inlineStr">
        <is>
          <t>NOT DETERMINED — the code carries no note saying what this is for, and it has no row in the old inventory. Needs reading.</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Nothing is handed to it</t>
        </is>
      </c>
      <c r="K220" s="3" t="inlineStr">
        <is>
          <t>EXAMPLE_EARNERS_WITH_LANDS as any, filingStatus: 'married', over65: 0, profile:</t>
        </is>
      </c>
      <c r="L220" s="3" t="inlineStr">
        <is>
          <t>—</t>
        </is>
      </c>
      <c r="M220" s="3" t="inlineStr">
        <is>
          <t>None found in this function — anything it assumes comes from the functions it depends on.</t>
        </is>
      </c>
      <c r="N220" s="3" t="inlineStr">
        <is>
          <t>No</t>
        </is>
      </c>
      <c r="O220" s="3" t="inlineStr">
        <is>
          <t>1. MK-CF-O-011 PAY
2. MK-CF-O-012 PAY_ESTIMATED
3. MK-CF-O-001 basePay
4. MK-XS-F-180 declareFigures
5. MK-ST-F-039 on</t>
        </is>
      </c>
      <c r="P220" s="3" t="n">
        <v>121</v>
      </c>
      <c r="Q220"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20"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MK-CF-O-014</t>
        </is>
      </c>
      <c r="B221" s="3" t="inlineStr">
        <is>
          <t>M</t>
        </is>
      </c>
      <c r="C221" s="3" t="inlineStr">
        <is>
          <t>MoneyKeel/functions/cashflow/this-month.ts</t>
        </is>
      </c>
      <c r="D221" s="3" t="n">
        <v>459</v>
      </c>
      <c r="E221" s="3" t="inlineStr">
        <is>
          <t>1 · ACTION</t>
        </is>
      </c>
      <c r="F221" s="3" t="inlineStr">
        <is>
          <t>NOT DETERMINED — the code carries no note saying what this is for, and it has no row in the old inventory. Needs reading.</t>
        </is>
      </c>
      <c r="G221" s="11" t="inlineStr">
        <is>
          <t>this month(EXAMPLE)</t>
        </is>
      </c>
      <c r="H221" s="3" t="inlineStr">
        <is>
          <t>this month(EXAMPLE)</t>
        </is>
      </c>
      <c r="I221" s="3" t="inlineStr">
        <is>
          <t>READ FROM THE CODE — rendered from the expressions the function runs</t>
        </is>
      </c>
      <c r="J221" s="3" t="inlineStr">
        <is>
          <t>Nothing is handed to it</t>
        </is>
      </c>
      <c r="K221" s="3" t="inlineStr">
        <is>
          <t>NOT DECLARED — the code does not say what it gives back</t>
        </is>
      </c>
      <c r="L221" s="3" t="inlineStr">
        <is>
          <t>—</t>
        </is>
      </c>
      <c r="M221" s="3" t="inlineStr">
        <is>
          <t>None found in this function — anything it assumes comes from the functions it depends on.</t>
        </is>
      </c>
      <c r="N221" s="3" t="inlineStr">
        <is>
          <t>No</t>
        </is>
      </c>
      <c r="O221" s="3" t="inlineStr">
        <is>
          <t>MK-CF-O-003 thisMonth</t>
        </is>
      </c>
      <c r="P221" s="3" t="n">
        <v>102</v>
      </c>
      <c r="Q221"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21"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21" s="3" t="inlineStr">
        <is>
          <t>—</t>
        </is>
      </c>
      <c r="T221" s="3" t="inlineStr">
        <is>
          <t>—</t>
        </is>
      </c>
      <c r="U221" s="3" t="inlineStr">
        <is>
          <t>ACTIVE</t>
        </is>
      </c>
      <c r="V221" s="3" t="inlineStr">
        <is>
          <t>2026-09-28</t>
        </is>
      </c>
      <c r="W221" s="3" t="n"/>
      <c r="X221" s="3" t="n"/>
      <c r="Y221" s="3" t="inlineStr">
        <is>
          <t>NOTHING OPEN</t>
        </is>
      </c>
    </row>
    <row r="222" ht="60" customHeight="1">
      <c r="A222" s="3" t="inlineStr">
        <is>
          <t>MK-CF-O-015</t>
        </is>
      </c>
      <c r="B222" s="3" t="inlineStr">
        <is>
          <t>workedLineAmount</t>
        </is>
      </c>
      <c r="C222" s="3" t="inlineStr">
        <is>
          <t>MoneyKeel/functions/cashflow/this-month.ts</t>
        </is>
      </c>
      <c r="D222" s="3" t="n">
        <v>477</v>
      </c>
      <c r="E222" s="3" t="inlineStr">
        <is>
          <t>1 · ACTION</t>
        </is>
      </c>
      <c r="F222" s="3" t="inlineStr">
        <is>
          <t>NOT DETERMINED — the code carries no note saying what this is for, and it has no row in the old inventory. Needs reading.</t>
        </is>
      </c>
      <c r="G222" s="11" t="inlineStr">
        <is>
          <t>NOT READ YET — the body is not a shape this can render faithfully, so nothing is claimed rather than something being guessed. It needs reading by hand.</t>
        </is>
      </c>
      <c r="H222" s="3" t="inlineStr">
        <is>
          <t>NOT READ YET — the body is not a shape this can render faithfully, so nothing is claimed rather than something being guessed. It needs reading by hand.</t>
        </is>
      </c>
      <c r="I222" s="3" t="inlineStr">
        <is>
          <t>NOT READ — nothing is claimed rather than something guessed</t>
        </is>
      </c>
      <c r="J222" s="3" t="inlineStr">
        <is>
          <t>1. block: 'planned' | 'actual'
2. startsWith: string</t>
        </is>
      </c>
      <c r="K222" s="3" t="inlineStr">
        <is>
          <t>NOT DECLARED — the code does not say what it gives back</t>
        </is>
      </c>
      <c r="L222" s="3" t="inlineStr">
        <is>
          <t>—</t>
        </is>
      </c>
      <c r="M222" s="3" t="inlineStr">
        <is>
          <t>None found in this function — anything it assumes comes from the functions it depends on.</t>
        </is>
      </c>
      <c r="N222" s="3" t="inlineStr">
        <is>
          <t>No</t>
        </is>
      </c>
      <c r="O222" s="3" t="inlineStr">
        <is>
          <t>1. MK-CF-O-014 M
2. MK-XS-F-180 declareFigures</t>
        </is>
      </c>
      <c r="P222" s="3" t="n">
        <v>103</v>
      </c>
      <c r="Q222"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22"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2" s="3" t="inlineStr">
        <is>
          <t>—</t>
        </is>
      </c>
      <c r="T222" s="3" t="inlineStr">
        <is>
          <t>—</t>
        </is>
      </c>
      <c r="U222" s="3" t="inlineStr">
        <is>
          <t>ACTIVE</t>
        </is>
      </c>
      <c r="V222" s="3" t="inlineStr">
        <is>
          <t>2026-09-28</t>
        </is>
      </c>
      <c r="W222" s="3" t="n"/>
      <c r="X222" s="3" t="n"/>
      <c r="Y222" s="3" t="inlineStr">
        <is>
          <t>NOTHING OPEN</t>
        </is>
      </c>
    </row>
    <row r="223" ht="60" customHeight="1">
      <c r="A223" s="3" t="inlineStr">
        <is>
          <t>MK-CF-O-016</t>
        </is>
      </c>
      <c r="B223" s="3" t="inlineStr">
        <is>
          <t>incomeSources</t>
        </is>
      </c>
      <c r="C223" s="3" t="inlineStr">
        <is>
          <t>MoneyKeel/functions/cashflow/income-summary.ts</t>
        </is>
      </c>
      <c r="D223" s="3" t="n">
        <v>579</v>
      </c>
      <c r="E223" s="3" t="inlineStr">
        <is>
          <t>3 · DEPENDENT</t>
        </is>
      </c>
      <c r="F223" s="3" t="inlineStr">
        <is>
          <t>NOT DETERMINED — the code carries no note saying what this is for, and it has no row in the old inventory. Needs reading.</t>
        </is>
      </c>
      <c r="G223"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3"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3" s="3" t="inlineStr">
        <is>
          <t>PARTLY READ — some of the code is still showing through; needs a hand pass</t>
        </is>
      </c>
      <c r="J223" s="3" t="inlineStr">
        <is>
          <t>op: Record&lt;string, any&gt; | null</t>
        </is>
      </c>
      <c r="K223" s="3" t="inlineStr">
        <is>
          <t>IncomeSource[]</t>
        </is>
      </c>
      <c r="L223" s="3" t="inlineStr">
        <is>
          <t>—</t>
        </is>
      </c>
      <c r="M223" s="3" t="inlineStr">
        <is>
          <t>None found in this function — anything it assumes comes from the functions it depends on.</t>
        </is>
      </c>
      <c r="N223" s="3" t="inlineStr">
        <is>
          <t>Yes</t>
        </is>
      </c>
      <c r="O223" s="3" t="inlineStr">
        <is>
          <t>1. MK-CF-F-207 SOURCE
2. MK-CF-F-072 currentRetirementIncomeMonthly
3. MK-CF-F-173 earnerWages
4. MK-CF-F-068 rentalNetAnnual
5. MK-CF-F-075 retirementIncomeMonthly
6. MK-CF-F-066 rsuAnnual
7. MK-ST-F-052 toNum</t>
        </is>
      </c>
      <c r="P223" s="3" t="n">
        <v>25</v>
      </c>
      <c r="Q223"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23"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3" s="3" t="inlineStr">
        <is>
          <t>—</t>
        </is>
      </c>
      <c r="T223" s="3" t="inlineStr">
        <is>
          <t>—</t>
        </is>
      </c>
      <c r="U223" s="3" t="inlineStr">
        <is>
          <t>ACTIVE</t>
        </is>
      </c>
      <c r="V223" s="3" t="inlineStr">
        <is>
          <t>2026-10-02</t>
        </is>
      </c>
      <c r="W223" s="3" t="n"/>
      <c r="X223" s="3" t="n"/>
      <c r="Y223" s="3" t="inlineStr">
        <is>
          <t>NOTHING OPEN</t>
        </is>
      </c>
    </row>
    <row r="224" ht="60" customHeight="1">
      <c r="A224" s="3" t="inlineStr">
        <is>
          <t>MK-CF-O-017</t>
        </is>
      </c>
      <c r="B224" s="3" t="inlineStr">
        <is>
          <t>futurePaycheck</t>
        </is>
      </c>
      <c r="C224" s="3" t="inlineStr">
        <is>
          <t>MoneyKeel/functions/cashflow/future-paycheck.ts</t>
        </is>
      </c>
      <c r="D224" s="3" t="n">
        <v>66</v>
      </c>
      <c r="E224" s="3" t="inlineStr">
        <is>
          <t>2 · DISPLAYED</t>
        </is>
      </c>
      <c r="F224" s="3" t="inlineStr">
        <is>
          <t>── ORCHESTRATOR ──────────────────────────────────────────────────────────────────────────── The one function the Cash flow tab calls for the projection card.</t>
        </is>
      </c>
      <c r="G224"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4"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4" s="3" t="inlineStr">
        <is>
          <t>PARTLY READ — some of the code is still showing through; needs a hand pass</t>
        </is>
      </c>
      <c r="J224" s="3" t="inlineStr">
        <is>
          <t>Nothing is handed to it</t>
        </is>
      </c>
      <c r="K224" s="3" t="inlineStr">
        <is>
          <t>NOT DECLARED — the code does not say what it gives back</t>
        </is>
      </c>
      <c r="L224" s="3" t="inlineStr">
        <is>
          <t>1. "Draw from savings" — on the Cash flow screen, under "YOUR FUTURE PAYCHECK"
2. "PROJECTION — an estimate, not a promise" — on the Cash flow screen, under "YOUR FUTURE PAYCHECK"
3. "Social Security
4. pension" — on the Cash flow screen, under "YOUR FUTURE PAYCHECK"</t>
        </is>
      </c>
      <c r="M224" s="3" t="inlineStr">
        <is>
          <t>· Rounds the answer to a whole number.</t>
        </is>
      </c>
      <c r="N224" s="3" t="inlineStr">
        <is>
          <t>Yes</t>
        </is>
      </c>
      <c r="O224" s="3" t="inlineStr">
        <is>
          <t>1. MK-CF-F-107 buildPaycheckYear
2. MK-XS-F-180 declareFigures
3. MK-CF-F-076 guaranteedOutsideStreams
4. MK-ST-F-039 on
5. MK-PL-F-050 simulate
6. MK-PL-F-001 taxBucketSplit
7. MK-PL-F-067 willItLastInputs
8. MK-PL-F-004 withdrawalOrder</t>
        </is>
      </c>
      <c r="P224" s="3" t="n">
        <v>166</v>
      </c>
      <c r="Q224"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MK-CF-F-215 YEAR
42. MK-CF-F-069 benefitActiveMonths
43. MK-CF-F-072 currentRetirementIncomeMonthly
44. MK-CF-F-018 equityByMonth
45. MK-ST-F-056 has
46. MK-CF-F-204 line
47. MK-ST-F-053 money
48. MK-CF-F-087 monthlyTaxRates
49. MK-CF-F-073 otherIncomeMonth
50. MK-CF-F-022 paymentShape
51. MK-CF-F-068 rentalNetAnnual
52. MK-CF-F-023 requiredPayment
53. MK-CF-F-060 salaryGrossByMonth
54. MK-CF-F-008 spendByMonth
55. MK-NW-F-031 primaryCarIdOf
56. MK-CF-F-151 actualSpending
57. MK-CF-F-150 debtPaymentsCountedAsExpenses
58. MK-CF-F-153 radar
59. MK-CF-F-149 recurringDebtPayments
60. MK-ST-F-024 rmdStartAge
61. MK-NW-F-030 earmarkDefault
62. MK-XS-F-017 currentAge
63. MK-NW-F-034 benchmarkReturn
64. MK-CF-F-155 cash
65. MK-CF-F-101 taxOwedFor
66. MK-CF-F-078 employerMatchMonthly
67. MK-PL-F-047 colFactor
68. MK-PL-F-058 ssClaimFactorFor
69. MK-CF-F-071 extraIncome
70. MK-CF-F-066 rsuAnnual
71. MK-CF-F-082 salaryAnnual
72. MK-CF-F-074 tipsAnnual
73. MK-PL-F-077 clamp
74. MK-PL-F-078 rmdDivisorAtAge
75. MK-CF-F-205 COMING
76. MK-CF-F-214 paycheckMonthWords
77. MK-CF-F-212 receivedInMonth
78. MK-CF-F-109 reviewTransactions
79. MK-CF-F-213 unusualWords
80. MK-CF-F-075 retirementIncomeMonthly
81. MK-CF-F-062 equityRowValue
82. MK-CF-F-121 zero12
83. MK-CF-F-203 MONTH
84. MK-ST-F-049 formatMoney
85. MK-CF-F-090 effectiveRate
86. MK-CF-F-098 progressiveMonthlyTax
87. MK-CF-F-181 rateInForce
88. MK-CF-F-088 taxableByCalendarMonth
89. MK-CF-F-021 defaultPaymentType
90. MK-CF-F-067 rentalList
91. MK-CF-F-176 sumMonthsOverEarners
92. MK-CF-F-177 wageGrossByMonth
93. MK-CF-F-120 pctBaseMonthly
94. MK-CF-F-004 spendBuckets
95. MK-NW-F-011 assetClassOf
96. MK-CF-F-148 inMonth
97. MK-CF-F-191 ym
98. MK-CF-F-152 isRadarItem
99. MK-NW-F-013 realEstateUseOf
100. MK-NW-F-007 assetKind
101. MK-CF-F-100 taxableIncomeFor
102. MK-CF-F-175 sumOverEarners
103. MK-CF-F-178 wageMatchMonthly
104. MK-PL-F-057 fullRetirementAge
105. MK-CF-F-070 benefitAnnual
106. MK-CF-F-063 rowVestYear
107. MK-CF-F-081 salaryActiveMonths
108. MK-CF-O-008 whatsComing
109. MK-CF-F-162 daysApart
110. MK-CF-F-108 isMoneyOut
111. MK-CF-F-131 normPayee
112. MK-CF-O-010 theMonth
113. MK-ST-F-048 currencySymbol
114. MK-CF-F-173 earnerWages
115. MK-CF-F-180 enteredLandsAnnual
116. MK-CF-F-084 taxableAnnual
117. MK-CF-F-065 equityVestWeights
118. MK-CF-F-206 householdK401ByMonth
119. MK-CF-F-130 enteredMonthlyRaw
120. MK-CF-F-166 hasMonthlySalaryTable
121. MK-ST-F-036 reconcile
122. MK-CF-F-167 salaryCalendarYear
123. MK-CF-F-092 incomeMonthlyGrid
124. MK-CF-F-003 categoryMonthly
125. MK-NW-F-008 incomeBearingClassOf
126. MK-CF-F-099 deductionFor
127. MK-CF-F-019 upcomingBills
128. MK-CF-O-003 thisMonth
129. MK-ST-F-047 activeCurrency
130. MK-CF-F-172 hasWage
131. MK-CF-F-165 salaryMonths
132. MK-CF-F-077 scholarshipByCalendarMonth
133. MK-PL-F-012 waterfall
134. MK-XS-F-027 takeHomeMonthly
135. MK-ST-F-010 nameEvidence
136. MK-CF-F-187 seniorDeductionFor
137. MK-CF-F-122 addDays
138. MK-CF-F-160 daysBetweenDates
139. MK-CF-F-061 grossSalaryMonthly
140. MK-ST-F-065 isoLocalDate
141. MK-CF-F-124 nextOccurrence
142. MK-CF-F-005 actualMonthFlow
143. MK-CF-F-156 plannedMonthFlow
144. MK-CF-F-011 savingsByMonth
145. MK-XS-F-147 call
146. MK-NW-F-078 ONE
147. MK-CF-F-157 debtPaymentsByDebt
148. MK-CF-F-192 inflowLabel
149. MK-ST-F-027 accountId
150. MK-XS-F-064 currentIdToken
151. MK-XS-F-112 relayUrl
152. MK-NW-F-077 ALL
153. MK-NW-F-059 currentYield
154. MK-NW-O-001 theBonds
155. MK-CF-F-193 inflowSourceWord
156. MK-NW-F-057 annualCoupon
157. MK-NW-F-056 bondInfo
158. MK-NW-F-064 bondRateSensitivity
159. MK-NW-F-061 bondSummary
160. MK-NW-F-055 isBond
161. MK-NW-F-072 rowOf
162. MK-NW-F-060 approxYTM
163. MK-NW-F-069 priceAtYield
164. MK-NW-F-070 accruedInterestCaveat
165. MK-NW-F-071 isCertificateOfDeposit
166. MK-NW-F-058 yearsToMaturity</t>
        </is>
      </c>
      <c r="R224" s="3" t="inlineStr">
        <is>
          <t>1. MK-CF-F-203 MONTH → MK-CF-F-205 COMING → MK-CF-F-215 YEAR → MK-XS-F-004 buildDatedGrid → MK-CF-F-107 buildPaycheckYear → MK-CF-O-017 futurePaycheck
2. MK-CF-O-008 whatsComing → MK-CF-F-205 COMING → MK-CF-F-215 YEAR → MK-XS-F-004 buildDatedGrid → MK-CF-F-107 buildPaycheckYear → MK-CF-O-017 futurePaycheck
3. buildDatedGrid (already above — a loop) → MK-CF-F-215 YEAR → MK-XS-F-004 buildDatedGrid → MK-CF-F-107 buildPaycheckYear → MK-CF-O-017 futurePaycheck
4. buildPaycheckYear (already above — a loop) → MK-CF-F-215 YEAR → MK-XS-F-004 buildDatedGrid → MK-CF-F-107 buildPaycheckYear → MK-CF-O-017 futurePaycheck
5. MK-XS-F-180 declareFigures → MK-CF-F-215 YEAR → MK-XS-F-004 buildDatedGrid → MK-CF-F-107 buildPaycheckYear → MK-CF-O-017 futurePaycheck
6. MK-ST-F-049 formatMoney → MK-CF-F-214 paycheckMonthWords → MK-CF-F-215 YEAR → MK-XS-F-004 buildDatedGrid → MK-CF-F-107 buildPaycheckYear → MK-CF-O-017 futurePaycheck
7. MK-CF-F-132 map → MK-CF-F-214 paycheckMonthWords → MK-CF-F-215 YEAR → MK-XS-F-004 buildDatedGrid → MK-CF-F-107 buildPaycheckYear → MK-CF-O-017 futurePaycheck
8. MK-CF-F-191 ym → MK-CF-F-212 receivedInMonth → MK-CF-F-215 YEAR → MK-XS-F-004 buildDatedGrid → MK-CF-F-107 buildPaycheckYear → MK-CF-O-017 futurePaycheck
9. … and 5 more paths</t>
        </is>
      </c>
      <c r="S224" s="3" t="inlineStr">
        <is>
          <t>MK-CF-M-055 · MK-CF-M-070</t>
        </is>
      </c>
      <c r="T224" s="3" t="inlineStr">
        <is>
          <t>—</t>
        </is>
      </c>
      <c r="U224" s="3" t="inlineStr">
        <is>
          <t>ACTIVE</t>
        </is>
      </c>
      <c r="V224" s="3" t="inlineStr">
        <is>
          <t>2026-10-02</t>
        </is>
      </c>
      <c r="W224" s="3" t="n"/>
      <c r="X224" s="3" t="n"/>
      <c r="Y224" s="3" t="inlineStr">
        <is>
          <t>NOTHING OPEN</t>
        </is>
      </c>
    </row>
    <row r="225" ht="60" customHeight="1">
      <c r="A225" s="3" t="inlineStr">
        <is>
          <t>MK-CF-O-018</t>
        </is>
      </c>
      <c r="B225" s="3" t="inlineStr">
        <is>
          <t>theDebts</t>
        </is>
      </c>
      <c r="C225" s="3" t="inlineStr">
        <is>
          <t>MoneyKeel/functions/cashflow/the-debts.ts</t>
        </is>
      </c>
      <c r="D225" s="3" t="n">
        <v>54</v>
      </c>
      <c r="E225" s="3" t="inlineStr">
        <is>
          <t>3 · DEPENDENT (feeds an action only)</t>
        </is>
      </c>
      <c r="F225" s="3" t="inlineStr">
        <is>
          <t>── ORCHESTRATOR ──────────────────────────────────────────────────────────────────────────── The one function the Debts tab calls.</t>
        </is>
      </c>
      <c r="G225" s="11" t="inlineStr">
        <is>
          <t>active = input.debts (or none when missing) where (remaining balance or 0) &gt; 0</t>
        </is>
      </c>
      <c r="H225" s="3" t="inlineStr">
        <is>
          <t>Active is input.debts (or none — when missing) where (remaining balance or 0) &gt; 0.</t>
        </is>
      </c>
      <c r="I225" s="3" t="inlineStr">
        <is>
          <t>PARTLY READ — some of the code is still showing through; needs a hand pass</t>
        </is>
      </c>
      <c r="J225" s="3" t="inlineStr">
        <is>
          <t>input: { debts: Debt[]; extraMonthly?: number; method?: PayoffMethod; now?: Date }</t>
        </is>
      </c>
      <c r="K225" s="3" t="inlineStr">
        <is>
          <t>TheDebts</t>
        </is>
      </c>
      <c r="L225" s="3" t="inlineStr">
        <is>
          <t>—</t>
        </is>
      </c>
      <c r="M225" s="3" t="inlineStr">
        <is>
          <t>1. If extra monthly is missing it uses 0.
2. If remaining balance is missing it counts as zero, so nothing recorded and a real zero look the same.
3. If interest rate apr is missing it counts as zero, so nothing recorded and a real zero look the same.
4. Uses today's date from the device clock, so the answer changes by itself overnight.</t>
        </is>
      </c>
      <c r="N225" s="3" t="inlineStr">
        <is>
          <t>No</t>
        </is>
      </c>
      <c r="O225" s="3" t="inlineStr">
        <is>
          <t>1. MK-CF-F-025 minimumDebtService
2. MK-CF-F-034 payoffPlan
3. MK-CF-F-024 totalDebtMonthly</t>
        </is>
      </c>
      <c r="P225" s="3" t="n">
        <v>127</v>
      </c>
      <c r="Q225"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MK-CF-F-103 marginalBracketFor
19. MK-CF-F-089 over65CountOf
20. MK-CF-F-181 rateInForce
21. MK-CF-F-068 rentalNetAnnual
22. MK-CF-F-082 salaryAnnual
23. MK-CF-F-084 taxableAnnual
24. MK-ST-F-052 toNum
25. MK-CF-F-072 currentRetirementIncomeMonthly
26. MK-CF-F-075 retirementIncomeMonthly
27. MK-CF-F-066 rsuAnnual
28. MK-ST-F-035 covers
29. MK-CF-F-171 earnerPay
30. MK-CF-F-204 line
31. MK-ST-F-053 money
32. MK-HM-F-006 money0
33. MK-XS-F-122 n
34. MK-CF-F-198 payrollTaxWithheld
35. MK-CF-F-172 hasWage
36. MK-CF-F-165 salaryMonths
37. MK-CF-F-070 benefitAnnual
38. MK-ST-F-039 on
39. MK-CF-F-069 benefitActiveMonths
40. MK-CF-F-065 equityVestWeights
41. MK-ST-F-056 has
42. MK-CF-F-206 householdK401ByMonth
43. MK-CF-F-087 monthlyTaxRates
44. MK-CF-F-073 otherIncomeMonth
45. MK-CF-F-060 salaryGrossByMonth
46. MK-CF-F-077 scholarshipByCalendarMonth
47. MK-CF-F-088 taxableByCalendarMonth
48. MK-PL-F-012 waterfall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MK-CF-F-192 inflowLabel
100. MK-XS-F-027 takeHomeMonthly
101. MK-NW-F-077 ALL
102. MK-NW-F-059 currentYield
103. MK-NW-O-001 theBonds
104. MK-CF-F-193 inflowSourceWord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5"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5" s="3" t="inlineStr">
        <is>
          <t>MK-CF-M-057 · MK-CF-M-058 · MK-CF-M-059 · MK-CF-M-071 · MK-CF-M-072 · MK-CF-M-073</t>
        </is>
      </c>
      <c r="T225" s="3" t="inlineStr">
        <is>
          <t>—</t>
        </is>
      </c>
      <c r="U225" s="3" t="inlineStr">
        <is>
          <t>ACTIVE</t>
        </is>
      </c>
      <c r="V225" s="3" t="inlineStr">
        <is>
          <t>2026-10-02</t>
        </is>
      </c>
      <c r="W225" s="3" t="n"/>
      <c r="X225" s="3" t="n"/>
      <c r="Y225" s="3" t="inlineStr">
        <is>
          <t>NOTHING OPEN</t>
        </is>
      </c>
    </row>
    <row r="226" ht="45" customHeight="1">
      <c r="A226" s="3" t="inlineStr">
        <is>
          <t>MK-HM-F-001</t>
        </is>
      </c>
      <c r="B226" s="3" t="inlineStr">
        <is>
          <t>buildInsights</t>
        </is>
      </c>
      <c r="C226" s="3" t="inlineStr">
        <is>
          <t>src/domain/insights/index.ts</t>
        </is>
      </c>
      <c r="D226" s="3" t="n">
        <v>181</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69</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103</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t>
        </is>
      </c>
      <c r="P231" s="3" t="n">
        <v>3</v>
      </c>
      <c r="Q231" s="3" t="inlineStr">
        <is>
          <t>1. MK-CF-F-155 cash
2. MK-XS-F-122 n
3. MK-HM-F-005 pctTxt</t>
        </is>
      </c>
      <c r="R231" s="3" t="inlineStr">
        <is>
          <t>1. MK-XS-F-122 n → MK-CF-F-155 cash → MK-HM-F-006 money0
2. MK-XS-F-122 n → MK-HM-F-006 money0
3. MK-HM-F-005 pctTxt → MK-HM-F-006 money0</t>
        </is>
      </c>
      <c r="S231" s="3" t="inlineStr">
        <is>
          <t>—</t>
        </is>
      </c>
      <c r="T231" s="3" t="inlineStr">
        <is>
          <t>—</t>
        </is>
      </c>
      <c r="U231" s="3" t="inlineStr">
        <is>
          <t>ACTIVE</t>
        </is>
      </c>
      <c r="V231" s="3" t="inlineStr">
        <is>
          <t>2026-09-12</t>
        </is>
      </c>
      <c r="W231" s="3" t="n"/>
      <c r="X231" s="3" t="n"/>
      <c r="Y231" s="3" t="inlineStr">
        <is>
          <t>NOTHING OPEN</t>
        </is>
      </c>
    </row>
    <row r="232" ht="45" customHeight="1">
      <c r="A232" s="3" t="inlineStr">
        <is>
          <t>MK-NW-F-001</t>
        </is>
      </c>
      <c r="B232" s="3" t="inlineStr">
        <is>
          <t>isAlternative</t>
        </is>
      </c>
      <c r="C232" s="3" t="inlineStr">
        <is>
          <t>src/domain/alternatives/index.ts</t>
        </is>
      </c>
      <c r="D232" s="3" t="n">
        <v>36</v>
      </c>
      <c r="E232" s="3" t="inlineStr">
        <is>
          <t>2 · DISPLAYED</t>
        </is>
      </c>
      <c r="F232" s="3" t="inlineStr">
        <is>
          <t>Is this account an "other investment" — an alternative held at a manual value (not a bond, not cash/property)?</t>
        </is>
      </c>
      <c r="G232" s="11" t="inlineStr">
        <is>
          <t>ALT_KINDS.includes((kind ?? '') as alt kind) and !maturity date and tax bucket ! = 'PROPERTY'</t>
        </is>
      </c>
      <c r="H232" s="3" t="inlineStr">
        <is>
          <t>ALT_KINDS.includes((kind ?? '') as alt kind) and !maturity date and tax bucket ! = 'PROPERTY'.</t>
        </is>
      </c>
      <c r="I232" s="3" t="inlineStr">
        <is>
          <t>PARTLY READ — some of the code is still showing through; needs a hand pass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IS_ALTERNATIVE</t>
        </is>
      </c>
      <c r="U232" s="3" t="inlineStr">
        <is>
          <t>ACTIVE</t>
        </is>
      </c>
      <c r="V232" s="3" t="inlineStr">
        <is>
          <t>2026-08-27</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66</v>
      </c>
      <c r="E233" s="3" t="inlineStr">
        <is>
          <t>3 · DEPENDENT</t>
        </is>
      </c>
      <c r="F233" s="3" t="inlineStr">
        <is>
          <t>NOT DETERMINED — the code carries no note saying what this is for, and it has no row in the old inventory. Needs reading.</t>
        </is>
      </c>
      <c r="G233" s="11" t="inlineStr">
        <is>
          <t>alts = accounts (or none when missing) where is alternative
total = Σ over alts of (balance (or 0 when missing or zero))
weighted = Σ over total &gt; 0 ? alts of ((balance or 0) × benchmark return(kind))÷ total : 0</t>
        </is>
      </c>
      <c r="H233" s="3" t="inlineStr">
        <is>
          <t>Alts is accounts (or none — when missing) where is alternative. Total: the balance (or 0 — when missing or zero) added up across alts. Weighted: the (balance or 0 added up across total &gt; 0 ? alts times benchmark return(kind))÷ total : 0.</t>
        </is>
      </c>
      <c r="I233" s="3" t="inlineStr">
        <is>
          <t>READ FROM THE CODE — rendered from the expressions the function runs</t>
        </is>
      </c>
      <c r="J233" s="3" t="inlineStr">
        <is>
          <t>accounts: AssetAccount[]</t>
        </is>
      </c>
      <c r="K233" s="3" t="inlineStr">
        <is>
          <t>AltSummary</t>
        </is>
      </c>
      <c r="L233" s="3" t="inlineStr">
        <is>
          <t>—</t>
        </is>
      </c>
      <c r="M233" s="3" t="inlineStr">
        <is>
          <t>· If balance is missing it counts as zero, so nothing recorded and a real zero look the same.</t>
        </is>
      </c>
      <c r="N233" s="3" t="inlineStr">
        <is>
          <t>Yes</t>
        </is>
      </c>
      <c r="O233" s="3" t="inlineStr">
        <is>
          <t>1. MK-NW-F-034 benchmarkReturn
2. MK-NW-F-001 isAlternative</t>
        </is>
      </c>
      <c r="P233" s="3" t="n">
        <v>14</v>
      </c>
      <c r="Q233"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3"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33" s="3" t="inlineStr">
        <is>
          <t>—</t>
        </is>
      </c>
      <c r="T233" s="3" t="inlineStr">
        <is>
          <t>—</t>
        </is>
      </c>
      <c r="U233" s="3" t="inlineStr">
        <is>
          <t>ACTIVE</t>
        </is>
      </c>
      <c r="V233" s="3" t="inlineStr">
        <is>
          <t>2026-10-01</t>
        </is>
      </c>
      <c r="W233" s="3" t="n"/>
      <c r="X233" s="3" t="n"/>
      <c r="Y233" s="3" t="inlineStr">
        <is>
          <t>NOTHING OPEN</t>
        </is>
      </c>
    </row>
    <row r="234" ht="60" customHeight="1">
      <c r="A234" s="3" t="inlineStr">
        <is>
          <t>MK-NW-F-003</t>
        </is>
      </c>
      <c r="B234" s="3" t="inlineStr">
        <is>
          <t>valueFreshness</t>
        </is>
      </c>
      <c r="C234" s="3" t="inlineStr">
        <is>
          <t>src/domain/assets/index.ts</t>
        </is>
      </c>
      <c r="D234" s="3" t="n">
        <v>127</v>
      </c>
      <c r="E234" s="3" t="inlineStr">
        <is>
          <t>2 · DISPLAYED</t>
        </is>
      </c>
      <c r="F234" s="3" t="inlineStr">
        <is>
          <t>Manual-value freshness (FCC): how old a hand-entered value is, and whether it needs a nudge.</t>
        </is>
      </c>
      <c r="G234"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4"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t>
        </is>
      </c>
      <c r="P234" s="3" t="n">
        <v>0</v>
      </c>
      <c r="Q234" s="3" t="inlineStr">
        <is>
          <t>None — no dependent function stands behind it</t>
        </is>
      </c>
      <c r="R234" s="3" t="inlineStr">
        <is>
          <t>No dependent function — it reads its inputs and answers</t>
        </is>
      </c>
      <c r="S234" s="3" t="inlineStr">
        <is>
          <t>—</t>
        </is>
      </c>
      <c r="T234" s="3" t="inlineStr">
        <is>
          <t>HAND_VALUE_AGE</t>
        </is>
      </c>
      <c r="U234" s="3" t="inlineStr">
        <is>
          <t>ACTIVE</t>
        </is>
      </c>
      <c r="V234" s="3" t="inlineStr">
        <is>
          <t>2026-08-27</t>
        </is>
      </c>
      <c r="W234" s="3" t="n"/>
      <c r="X234" s="3" t="n"/>
      <c r="Y234" s="3" t="inlineStr">
        <is>
          <t>NOTHING OPEN</t>
        </is>
      </c>
    </row>
    <row r="235" ht="60" customHeight="1">
      <c r="A235" s="3" t="inlineStr">
        <is>
          <t>MK-NW-F-004</t>
        </is>
      </c>
      <c r="B235" s="3" t="inlineStr">
        <is>
          <t>portfolioActualReturn</t>
        </is>
      </c>
      <c r="C235" s="3" t="inlineStr">
        <is>
          <t>src/domain/assets/index.ts</t>
        </is>
      </c>
      <c r="D235" s="3" t="n">
        <v>163</v>
      </c>
      <c r="E235" s="3" t="inlineStr">
        <is>
          <t>2 · DISPLAYED</t>
        </is>
      </c>
      <c r="F235" s="3" t="inlineStr">
        <is>
          <t>Value-weighted ACTUAL trailing-12mo return across holdings that have one reported.</t>
        </is>
      </c>
      <c r="G235"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5"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14</v>
      </c>
      <c r="Q235"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5"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5" s="3" t="inlineStr">
        <is>
          <t>—</t>
        </is>
      </c>
      <c r="T235" s="3" t="inlineStr">
        <is>
          <t>REPORTED_RETURN</t>
        </is>
      </c>
      <c r="U235" s="3" t="inlineStr">
        <is>
          <t>ACTIVE</t>
        </is>
      </c>
      <c r="V235" s="3" t="inlineStr">
        <is>
          <t>2026-09-09</t>
        </is>
      </c>
      <c r="W235" s="3" t="n"/>
      <c r="X235" s="3" t="n"/>
      <c r="Y235" s="3" t="inlineStr">
        <is>
          <t>NOTHING OPEN</t>
        </is>
      </c>
    </row>
    <row r="236" ht="60" customHeight="1">
      <c r="A236" s="3" t="inlineStr">
        <is>
          <t>MK-NW-F-005</t>
        </is>
      </c>
      <c r="B236" s="3" t="inlineStr">
        <is>
          <t>accountAllowsTicker</t>
        </is>
      </c>
      <c r="C236" s="3" t="inlineStr">
        <is>
          <t>src/domain/assets/index.ts</t>
        </is>
      </c>
      <c r="D236" s="3" t="n">
        <v>195</v>
      </c>
      <c r="E236" s="3" t="inlineStr">
        <is>
          <t>2 · DISPLAYED</t>
        </is>
      </c>
      <c r="F236" s="3" t="inlineStr">
        <is>
          <t>Can this account hold individual ticker securities?</t>
        </is>
      </c>
      <c r="G236"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6" s="3" t="inlineStr">
        <is>
          <t>READ FROM THE CODE — rendered from the expressions the function runs</t>
        </is>
      </c>
      <c r="J236" s="3" t="inlineStr">
        <is>
          <t>a: AssetAccount</t>
        </is>
      </c>
      <c r="K236" s="3" t="inlineStr">
        <is>
          <t>boolean</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1. MK-NW-F-011 assetClassOf
2. MK-CF-F-155 cash</t>
        </is>
      </c>
      <c r="P236" s="3" t="n">
        <v>11</v>
      </c>
      <c r="Q236" s="3" t="inlineStr">
        <is>
          <t>1. MK-NW-F-011 assetClassOf
2. MK-CF-F-155 cash
3. MK-NW-F-008 incomeBearingClassOf
4. MK-XS-F-122 n
5. MK-ST-F-010 nameEvidence
6. MK-XS-F-147 call
7. MK-ST-F-056 has
8. MK-CF-F-132 map
9. MK-ST-F-027 accountId
10. MK-XS-F-064 currentIdToken
11. MK-XS-F-112 relayUrl</t>
        </is>
      </c>
      <c r="R236"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6" s="3" t="inlineStr">
        <is>
          <t>—</t>
        </is>
      </c>
      <c r="T236" s="3" t="inlineStr">
        <is>
          <t>CAN_HOLD_TICKERS</t>
        </is>
      </c>
      <c r="U236" s="3" t="inlineStr">
        <is>
          <t>ACTIVE</t>
        </is>
      </c>
      <c r="V236" s="3" t="inlineStr">
        <is>
          <t>2026-08-27</t>
        </is>
      </c>
      <c r="W236" s="3" t="n"/>
      <c r="X236" s="3" t="n"/>
      <c r="Y236" s="3" t="inlineStr">
        <is>
          <t>NOTHING OPEN</t>
        </is>
      </c>
    </row>
    <row r="237" ht="60" customHeight="1">
      <c r="A237" s="3" t="inlineStr">
        <is>
          <t>MK-NW-F-006</t>
        </is>
      </c>
      <c r="B237" s="3" t="inlineStr">
        <is>
          <t>isCashKind</t>
        </is>
      </c>
      <c r="C237" s="3" t="inlineStr">
        <is>
          <t>src/domain/assets/index.ts</t>
        </is>
      </c>
      <c r="D237" s="3" t="n">
        <v>262</v>
      </c>
      <c r="E237" s="3" t="inlineStr">
        <is>
          <t>1 · ACTION</t>
        </is>
      </c>
      <c r="F237" s="3" t="inlineStr">
        <is>
          <t>Does this account type sit under the Cash heading on screen?</t>
        </is>
      </c>
      <c r="G237" s="11" t="inlineStr">
        <is>
          <t>asset kind(kind).bucket = 'CASH'</t>
        </is>
      </c>
      <c r="H237" s="3" t="inlineStr">
        <is>
          <t>asset kind(kind).bucket = 'CASH'</t>
        </is>
      </c>
      <c r="I237" s="3" t="inlineStr">
        <is>
          <t>PARTLY READ — some of the code is still showing through; needs a hand pass</t>
        </is>
      </c>
      <c r="J237" s="3" t="inlineStr">
        <is>
          <t>kind?: string</t>
        </is>
      </c>
      <c r="K237" s="3" t="inlineStr">
        <is>
          <t>NOT DECLARED — the code does not say what it gives back</t>
        </is>
      </c>
      <c r="L237" s="3" t="inlineStr">
        <is>
          <t>—</t>
        </is>
      </c>
      <c r="M237" s="3" t="inlineStr">
        <is>
          <t>None found in this function — anything it assumes comes from the functions it depends on.</t>
        </is>
      </c>
      <c r="N237" s="3" t="inlineStr">
        <is>
          <t>No</t>
        </is>
      </c>
      <c r="O237" s="3" t="inlineStr">
        <is>
          <t>MK-NW-F-007 assetKind</t>
        </is>
      </c>
      <c r="P237" s="3" t="n">
        <v>12</v>
      </c>
      <c r="Q237" s="3" t="inlineStr">
        <is>
          <t>1. MK-NW-F-007 assetKind
2. MK-NW-F-011 assetClassOf
3. MK-CF-F-155 cash
4. MK-NW-F-008 incomeBearingClassOf
5. MK-XS-F-122 n
6. MK-ST-F-010 nameEvidence
7. MK-XS-F-147 call
8. MK-ST-F-056 has
9. MK-CF-F-132 map
10. MK-ST-F-027 accountId
11. MK-XS-F-064 currentIdToken
12. MK-XS-F-112 relayUrl</t>
        </is>
      </c>
      <c r="R237"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7" s="3" t="inlineStr">
        <is>
          <t>—</t>
        </is>
      </c>
      <c r="T237" s="3" t="inlineStr">
        <is>
          <t>KIND_IS_CASH</t>
        </is>
      </c>
      <c r="U237" s="3" t="inlineStr">
        <is>
          <t>ACTIVE</t>
        </is>
      </c>
      <c r="V237" s="3" t="inlineStr">
        <is>
          <t>2026-08-27</t>
        </is>
      </c>
      <c r="W237" s="3" t="n"/>
      <c r="X237" s="3" t="n"/>
      <c r="Y237" s="3" t="inlineStr">
        <is>
          <t>NOTHING OPEN</t>
        </is>
      </c>
    </row>
    <row r="238" ht="60" customHeight="1">
      <c r="A238" s="3" t="inlineStr">
        <is>
          <t>MK-NW-F-007</t>
        </is>
      </c>
      <c r="B238" s="3" t="inlineStr">
        <is>
          <t>assetKind</t>
        </is>
      </c>
      <c r="C238" s="3" t="inlineStr">
        <is>
          <t>src/domain/assets/index.ts</t>
        </is>
      </c>
      <c r="D238" s="3" t="n">
        <v>286</v>
      </c>
      <c r="E238" s="3" t="inlineStr">
        <is>
          <t>2 · DISPLAYED</t>
        </is>
      </c>
      <c r="F238" s="3" t="inlineStr">
        <is>
          <t>What do we know about this kind of account?</t>
        </is>
      </c>
      <c r="G238" s="11" t="inlineStr">
        <is>
          <t>id = id); }</t>
        </is>
      </c>
      <c r="H238" s="3" t="inlineStr">
        <is>
          <t>id = id); }</t>
        </is>
      </c>
      <c r="I238" s="3" t="inlineStr">
        <is>
          <t>READ FROM THE CODE — rendered from the expressions the function runs</t>
        </is>
      </c>
      <c r="J238" s="3" t="inlineStr">
        <is>
          <t>id?: string</t>
        </is>
      </c>
      <c r="K238" s="3" t="inlineStr">
        <is>
          <t>NOT DECLARED — the code does not say what it gives back</t>
        </is>
      </c>
      <c r="L238" s="3" t="inlineStr">
        <is>
          <t>1. "ACCOUNTS / INVESTING" — on a card used on more than one screen (MoneySheets)
2. "Type" — on the Other investments screen
3. "Type" — on the account portfolio screen, under "IF INTEREST RATES MOVE"</t>
        </is>
      </c>
      <c r="M238" s="3" t="inlineStr">
        <is>
          <t>None found in this function — anything it assumes comes from the functions it depends on.</t>
        </is>
      </c>
      <c r="N238" s="3" t="inlineStr">
        <is>
          <t>Yes</t>
        </is>
      </c>
      <c r="O238" s="3" t="inlineStr">
        <is>
          <t>1. MK-NW-F-011 assetClassOf
2. MK-CF-F-155 cash</t>
        </is>
      </c>
      <c r="P238" s="3" t="n">
        <v>11</v>
      </c>
      <c r="Q238" s="3" t="inlineStr">
        <is>
          <t>1. MK-NW-F-011 assetClassOf
2. MK-CF-F-155 cash
3. MK-NW-F-008 incomeBearingClassOf
4. MK-XS-F-122 n
5. MK-ST-F-010 nameEvidence
6. MK-XS-F-147 call
7. MK-ST-F-056 has
8. MK-CF-F-132 map
9. MK-ST-F-027 accountId
10. MK-XS-F-064 currentIdToken
11. MK-XS-F-112 relayUrl</t>
        </is>
      </c>
      <c r="R238"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8" s="3" t="inlineStr">
        <is>
          <t>—</t>
        </is>
      </c>
      <c r="T238" s="3" t="inlineStr">
        <is>
          <t>ACCOUNT_TYPE_FACTS</t>
        </is>
      </c>
      <c r="U238" s="3" t="inlineStr">
        <is>
          <t>ACTIVE</t>
        </is>
      </c>
      <c r="V238" s="3" t="inlineStr">
        <is>
          <t>2026-08-27</t>
        </is>
      </c>
      <c r="W238" s="3" t="n"/>
      <c r="X238" s="3" t="n"/>
      <c r="Y238" s="3" t="inlineStr">
        <is>
          <t>NOTHING OPEN</t>
        </is>
      </c>
    </row>
    <row r="239" ht="60" customHeight="1">
      <c r="A239" s="3" t="inlineStr">
        <is>
          <t>MK-NW-F-008</t>
        </is>
      </c>
      <c r="B239" s="3" t="inlineStr">
        <is>
          <t>incomeBearingClassOf</t>
        </is>
      </c>
      <c r="C239" s="3" t="inlineStr">
        <is>
          <t>src/domain/assets/index.ts</t>
        </is>
      </c>
      <c r="D239" s="3" t="n">
        <v>341</v>
      </c>
      <c r="E239" s="3" t="inlineStr">
        <is>
          <t>3 · DEPENDENT</t>
        </is>
      </c>
      <c r="F239" s="3" t="inlineStr">
        <is>
          <t>FOUNDER RULE 2026-08-04 (supersedes the money-market=cash rule and the 12-month CD split): CASH means cash only — a sweep/settlement balance.</t>
        </is>
      </c>
      <c r="G239" s="11" t="inlineStr">
        <is>
          <t>name evidence(label)</t>
        </is>
      </c>
      <c r="H239" s="3" t="inlineStr">
        <is>
          <t>name evidence(label).</t>
        </is>
      </c>
      <c r="I239" s="3" t="inlineStr">
        <is>
          <t>READ FROM THE CODE — rendered from the expressions the function runs</t>
        </is>
      </c>
      <c r="J239" s="3" t="inlineStr">
        <is>
          <t>label?: string</t>
        </is>
      </c>
      <c r="K239" s="3" t="inlineStr">
        <is>
          <t>AssetClass | null</t>
        </is>
      </c>
      <c r="L239" s="3" t="inlineStr">
        <is>
          <t>—</t>
        </is>
      </c>
      <c r="M239" s="3" t="inlineStr">
        <is>
          <t>None found in this function — anything it assumes comes from the functions it depends on.</t>
        </is>
      </c>
      <c r="N239" s="3" t="inlineStr">
        <is>
          <t>Yes</t>
        </is>
      </c>
      <c r="O239" s="3" t="inlineStr">
        <is>
          <t>1. MK-CF-F-155 cash
2. MK-ST-F-010 nameEvidence</t>
        </is>
      </c>
      <c r="P239" s="3" t="n">
        <v>9</v>
      </c>
      <c r="Q239" s="3" t="inlineStr">
        <is>
          <t>1. MK-CF-F-155 cash
2. MK-ST-F-010 nameEvidence
3. MK-XS-F-122 n
4. MK-XS-F-147 call
5. MK-ST-F-056 has
6. MK-CF-F-132 map
7. MK-ST-F-027 accountId
8. MK-XS-F-064 currentIdToken
9. MK-XS-F-112 relayUrl</t>
        </is>
      </c>
      <c r="R239"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9" s="3" t="inlineStr">
        <is>
          <t>—</t>
        </is>
      </c>
      <c r="T239" s="3" t="inlineStr">
        <is>
          <t>CLASS_FROM_NAME_TEXT</t>
        </is>
      </c>
      <c r="U239" s="3" t="inlineStr">
        <is>
          <t>ACTIVE</t>
        </is>
      </c>
      <c r="V239" s="3" t="inlineStr">
        <is>
          <t>2026-08-27</t>
        </is>
      </c>
      <c r="W239" s="3" t="n"/>
      <c r="X239" s="3" t="n"/>
      <c r="Y239" s="3" t="inlineStr">
        <is>
          <t>NOTHING OPEN</t>
        </is>
      </c>
    </row>
    <row r="240" ht="60" customHeight="1">
      <c r="A240" s="3" t="inlineStr">
        <is>
          <t>MK-NW-F-009</t>
        </is>
      </c>
      <c r="B240" s="3" t="inlineStr">
        <is>
          <t>maturityClass</t>
        </is>
      </c>
      <c r="C240" s="3" t="inlineStr">
        <is>
          <t>src/domain/assets/index.ts</t>
        </is>
      </c>
      <c r="D240" s="3" t="n">
        <v>376</v>
      </c>
      <c r="E240" s="3" t="inlineStr">
        <is>
          <t>2 · DISPLAYED</t>
        </is>
      </c>
      <c r="F240" s="3" t="inlineStr">
        <is>
          <t>FOUNDER RULE 2026-08-04 (supersedes build-34 #8's 12-month split): ANY maturity-dated instrument is a BOND — it pays interest, so it must sit in the measured bucket regardless of how soon it matures.</t>
        </is>
      </c>
      <c r="G240" s="11" t="inlineStr">
        <is>
          <t>'bonds'   if maturity date and string(maturity date).trim()
'cash'   otherwise</t>
        </is>
      </c>
      <c r="H240" s="3" t="inlineStr">
        <is>
          <t>'bonds' — when maturity date and string(maturity date).trim(); 'cash' — otherwise.</t>
        </is>
      </c>
      <c r="I240" s="3" t="inlineStr">
        <is>
          <t>PARTLY READ — some of the code is still showing through; needs a hand pass</t>
        </is>
      </c>
      <c r="J240" s="3" t="inlineStr">
        <is>
          <t>maturityDate?: string | null</t>
        </is>
      </c>
      <c r="K240" s="3" t="inlineStr">
        <is>
          <t>'cash' | 'bonds'</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MATURITY_MEANS_BOND</t>
        </is>
      </c>
      <c r="U240" s="3" t="inlineStr">
        <is>
          <t>ACTIVE</t>
        </is>
      </c>
      <c r="V240" s="3" t="inlineStr">
        <is>
          <t>2026-08-27</t>
        </is>
      </c>
      <c r="W240" s="3" t="n"/>
      <c r="X240" s="3" t="n"/>
      <c r="Y240" s="3" t="inlineStr">
        <is>
          <t>NOTHING OPEN</t>
        </is>
      </c>
    </row>
    <row r="241" ht="60" customHeight="1">
      <c r="A241" s="3" t="inlineStr">
        <is>
          <t>MK-NW-F-010</t>
        </is>
      </c>
      <c r="B241" s="3" t="inlineStr">
        <is>
          <t>wrapperAccount</t>
        </is>
      </c>
      <c r="C241" s="3" t="inlineStr">
        <is>
          <t>src/domain/assets/index.ts</t>
        </is>
      </c>
      <c r="D241" s="3" t="n">
        <v>405</v>
      </c>
      <c r="E241" s="3" t="inlineStr">
        <is>
          <t>2 · DISPLAYED</t>
        </is>
      </c>
      <c r="F241" s="3" t="inlineStr">
        <is>
          <t>The person picked how this account is taxed — what does that make it?</t>
        </is>
      </c>
      <c r="G241" s="11" t="inlineStr">
        <is>
          <t>401k → kind '401k', bucket PRE_TAX
trad_ira → 'trad_ira', PRE_TAX
roth → 'roth_ira', ROTH
hsa → 'hsa', PRE_TAX
anything else → 'brokerage', TAXABLE</t>
        </is>
      </c>
      <c r="H241" s="3" t="inlineStr">
        <is>
          <t>The account kind and tax bucket for the wrapper a person picked when adding an account — a 401(k), traditional IRA and HSA are pre-tax, a Roth is tax-free, anything else (or nothing) is a taxable brokerage. No arithmetic.</t>
        </is>
      </c>
      <c r="I241" s="3" t="inlineStr">
        <is>
          <t>READ BY HAND 2026-08-26 — checked line by line against the code</t>
        </is>
      </c>
      <c r="J241" s="3" t="inlineStr">
        <is>
          <t>w?: AddWrapper | null</t>
        </is>
      </c>
      <c r="K241" s="3" t="inlineStr">
        <is>
          <t>NOT DECLARED — the code does not say what it gives back</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MK-CF-F-155 cash</t>
        </is>
      </c>
      <c r="P241" s="3" t="n">
        <v>2</v>
      </c>
      <c r="Q241" s="3" t="inlineStr">
        <is>
          <t>1. MK-CF-F-155 cash
2. MK-XS-F-122 n</t>
        </is>
      </c>
      <c r="R241" s="3" t="inlineStr">
        <is>
          <t>MK-XS-F-122 n → MK-CF-F-155 cash → MK-NW-F-010 wrapperAccount</t>
        </is>
      </c>
      <c r="S241" s="3" t="inlineStr">
        <is>
          <t>—</t>
        </is>
      </c>
      <c r="T241" s="3" t="inlineStr">
        <is>
          <t>TAX_TYPE_TO_ACCOUNT</t>
        </is>
      </c>
      <c r="U241" s="3" t="inlineStr">
        <is>
          <t>ACTIVE</t>
        </is>
      </c>
      <c r="V241" s="3" t="inlineStr">
        <is>
          <t>2026-09-12</t>
        </is>
      </c>
      <c r="W241" s="3" t="n"/>
      <c r="X241" s="3" t="n"/>
      <c r="Y241" s="3" t="inlineStr">
        <is>
          <t>NOTHING OPEN</t>
        </is>
      </c>
    </row>
    <row r="242" ht="60" customHeight="1">
      <c r="A242" s="3" t="inlineStr">
        <is>
          <t>MK-NW-F-011</t>
        </is>
      </c>
      <c r="B242" s="3" t="inlineStr">
        <is>
          <t>assetClassOf</t>
        </is>
      </c>
      <c r="C242" s="3" t="inlineStr">
        <is>
          <t>src/domain/assets/index.ts</t>
        </is>
      </c>
      <c r="D242" s="3" t="n">
        <v>467</v>
      </c>
      <c r="E242" s="3" t="inlineStr">
        <is>
          <t>2 · DISPLAYED</t>
        </is>
      </c>
      <c r="F242" s="3" t="inlineStr">
        <is>
          <t>WHAT the account is (asset class).</t>
        </is>
      </c>
      <c r="G242"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42"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42" s="3" t="inlineStr">
        <is>
          <t>PARTLY READ — some of the code is still showing through; needs a hand pass</t>
        </is>
      </c>
      <c r="J242" s="3" t="inlineStr">
        <is>
          <t>a: AssetAccount</t>
        </is>
      </c>
      <c r="K242" s="3" t="inlineStr">
        <is>
          <t>AssetClass</t>
        </is>
      </c>
      <c r="L242" s="3" t="inlineStr">
        <is>
          <t>1. "Bonds &amp; alternatives — recorded on their own pages" — on the Performance screen
2. "Nothing entered yet." — on the Net worth screen, under "DEBTS"</t>
        </is>
      </c>
      <c r="M242" s="3" t="inlineStr">
        <is>
          <t>None found in this function — anything it assumes comes from the functions it depends on.</t>
        </is>
      </c>
      <c r="N242" s="3" t="inlineStr">
        <is>
          <t>Yes</t>
        </is>
      </c>
      <c r="O242" s="3" t="inlineStr">
        <is>
          <t>MK-NW-F-008 incomeBearingClassOf</t>
        </is>
      </c>
      <c r="P242" s="3" t="n">
        <v>10</v>
      </c>
      <c r="Q242" s="3" t="inlineStr">
        <is>
          <t>1. MK-NW-F-008 incomeBearingClassOf
2. MK-CF-F-155 cash
3. MK-ST-F-010 nameEvidence
4. MK-XS-F-122 n
5. MK-XS-F-147 call
6. MK-ST-F-056 has
7. MK-CF-F-132 map
8. MK-ST-F-027 accountId
9. MK-XS-F-064 currentIdToken
10. MK-XS-F-112 relayUrl</t>
        </is>
      </c>
      <c r="R242"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42" s="3" t="inlineStr">
        <is>
          <t>—</t>
        </is>
      </c>
      <c r="T242" s="3" t="inlineStr">
        <is>
          <t>ASSET_CLASS_OF_ACCOUNT</t>
        </is>
      </c>
      <c r="U242" s="3" t="inlineStr">
        <is>
          <t>ACTIVE</t>
        </is>
      </c>
      <c r="V242" s="3" t="inlineStr">
        <is>
          <t>2026-08-27</t>
        </is>
      </c>
      <c r="W242" s="3" t="n"/>
      <c r="X242" s="3" t="n"/>
      <c r="Y242" s="3" t="inlineStr">
        <is>
          <t>NOTHING OPEN</t>
        </is>
      </c>
    </row>
    <row r="243" ht="60" customHeight="1">
      <c r="A243" s="3" t="inlineStr">
        <is>
          <t>MK-NW-F-012</t>
        </is>
      </c>
      <c r="B243" s="3" t="inlineStr">
        <is>
          <t>taxTreatmentOf</t>
        </is>
      </c>
      <c r="C243" s="3" t="inlineStr">
        <is>
          <t>src/domain/assets/index.ts</t>
        </is>
      </c>
      <c r="D243" s="3" t="n">
        <v>508</v>
      </c>
      <c r="E243" s="3" t="inlineStr">
        <is>
          <t>2 · DISPLAYED</t>
        </is>
      </c>
      <c r="F243" s="3" t="inlineStr">
        <is>
          <t>HOW the account is taxed (wrapper).</t>
        </is>
      </c>
      <c r="G243" s="11" t="inlineStr">
        <is>
          <t>tax treatment   when tax treatment
'tax_deferred'   when tax bucket = 'PRE_TAX'
'tax_free'   when tax bucket = 'ROTH'
'taxable'</t>
        </is>
      </c>
      <c r="H243" s="3" t="inlineStr">
        <is>
          <t>When tax treatment, it answers tax treatment. When tax bucket = 'PRE_TAX', it answers 'tax_deferred'. When tax bucket = 'ROTH', it answers 'tax_free'. 'taxable'.</t>
        </is>
      </c>
      <c r="I243" s="3" t="inlineStr">
        <is>
          <t>READ FROM THE CODE — rendered from the expressions the function runs</t>
        </is>
      </c>
      <c r="J243" s="3" t="inlineStr">
        <is>
          <t>a: AssetAccount</t>
        </is>
      </c>
      <c r="K243" s="3" t="inlineStr">
        <is>
          <t>TaxTreatment</t>
        </is>
      </c>
      <c r="L243" s="3" t="inlineStr">
        <is>
          <t>NOT FOUND — a screen calls it, but the words printed beside its answer could not be traced automatically. Needs reading.</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TAX_TREATMENT</t>
        </is>
      </c>
      <c r="U243" s="3" t="inlineStr">
        <is>
          <t>ACTIVE</t>
        </is>
      </c>
      <c r="V243" s="3" t="inlineStr">
        <is>
          <t>2026-08-27</t>
        </is>
      </c>
      <c r="W243" s="3" t="n"/>
      <c r="X243" s="3" t="n"/>
      <c r="Y243" s="3" t="inlineStr">
        <is>
          <t>NOTHING OPEN</t>
        </is>
      </c>
    </row>
    <row r="244" ht="45" customHeight="1">
      <c r="A244" s="3" t="inlineStr">
        <is>
          <t>MK-NW-F-013</t>
        </is>
      </c>
      <c r="B244" s="3" t="inlineStr">
        <is>
          <t>realEstateUseOf</t>
        </is>
      </c>
      <c r="C244" s="3" t="inlineStr">
        <is>
          <t>src/domain/assets/index.ts</t>
        </is>
      </c>
      <c r="D244" s="3" t="n">
        <v>544</v>
      </c>
      <c r="E244" s="3" t="inlineStr">
        <is>
          <t>3 · DEPENDENT</t>
        </is>
      </c>
      <c r="F244" s="3" t="inlineStr">
        <is>
          <t>Real-estate use (primary/rental/secondary/land); only meaningful when assetClassOf === 'real_estate'.</t>
        </is>
      </c>
      <c r="G244" s="11" t="inlineStr">
        <is>
          <t>re use (or 'primary' when missing)</t>
        </is>
      </c>
      <c r="H244" s="3" t="inlineStr">
        <is>
          <t>re use (or 'primary' — when missing).</t>
        </is>
      </c>
      <c r="I244" s="3" t="inlineStr">
        <is>
          <t>READ FROM THE CODE — rendered from the expressions the function runs</t>
        </is>
      </c>
      <c r="J244" s="3" t="inlineStr">
        <is>
          <t>a: AssetAccount</t>
        </is>
      </c>
      <c r="K244" s="3" t="inlineStr">
        <is>
          <t>RealEstateUse</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HOW_A_HOME_IS_USED</t>
        </is>
      </c>
      <c r="U244" s="3" t="inlineStr">
        <is>
          <t>ACTIVE</t>
        </is>
      </c>
      <c r="V244" s="3" t="inlineStr">
        <is>
          <t>2026-08-27</t>
        </is>
      </c>
      <c r="W244" s="3" t="n"/>
      <c r="X244" s="3" t="n"/>
      <c r="Y244" s="3" t="inlineStr">
        <is>
          <t>NOTHING OPEN</t>
        </is>
      </c>
    </row>
    <row r="245" ht="60" customHeight="1">
      <c r="A245" s="3" t="inlineStr">
        <is>
          <t>MK-NW-F-014</t>
        </is>
      </c>
      <c r="B245" s="3" t="inlineStr">
        <is>
          <t>isRealAsset</t>
        </is>
      </c>
      <c r="C245" s="3" t="inlineStr">
        <is>
          <t>src/domain/assets/index.ts</t>
        </is>
      </c>
      <c r="D245" s="3" t="n">
        <v>571</v>
      </c>
      <c r="E245" s="3" t="inlineStr">
        <is>
          <t>3 · DEPENDENT</t>
        </is>
      </c>
      <c r="F245" s="3" t="inlineStr">
        <is>
          <t>True when the asset is a real/physical asset (real estate or personal property) — excluded from investable assets and the nest egg (Term #4/#7).</t>
        </is>
      </c>
      <c r="G245" s="11" t="inlineStr">
        <is>
          <t>c = asset class of(a)
the answer = c = 'real_estate' (or c = 'personal_property' when missing or zero)</t>
        </is>
      </c>
      <c r="H245" s="3" t="inlineStr">
        <is>
          <t>C is asset class of(a). The answer is c = 'real_estate' (or c = 'personal_property' — when missing or zero).</t>
        </is>
      </c>
      <c r="I245" s="3" t="inlineStr">
        <is>
          <t>READ FROM THE CODE — rendered from the expressions the function runs</t>
        </is>
      </c>
      <c r="J245" s="3" t="inlineStr">
        <is>
          <t>a: AssetAccount</t>
        </is>
      </c>
      <c r="K245" s="3" t="inlineStr">
        <is>
          <t>boolean</t>
        </is>
      </c>
      <c r="L245" s="3" t="inlineStr">
        <is>
          <t>—</t>
        </is>
      </c>
      <c r="M245" s="3" t="inlineStr">
        <is>
          <t>None found in this function — anything it assumes comes from the functions it depends on.</t>
        </is>
      </c>
      <c r="N245" s="3" t="inlineStr">
        <is>
          <t>Yes</t>
        </is>
      </c>
      <c r="O245" s="3" t="inlineStr">
        <is>
          <t>MK-NW-F-011 assetClassOf</t>
        </is>
      </c>
      <c r="P245" s="3" t="n">
        <v>11</v>
      </c>
      <c r="Q245" s="3" t="inlineStr">
        <is>
          <t>1. MK-NW-F-011 assetClassOf
2. MK-NW-F-008 incomeBearingClassOf
3. MK-CF-F-155 cash
4. MK-ST-F-010 nameEvidence
5. MK-XS-F-122 n
6. MK-XS-F-147 call
7. MK-ST-F-056 has
8. MK-CF-F-132 map
9. MK-ST-F-027 accountId
10. MK-XS-F-064 currentIdToken
11. MK-XS-F-112 relayUrl</t>
        </is>
      </c>
      <c r="R245"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5" s="3" t="inlineStr">
        <is>
          <t>—</t>
        </is>
      </c>
      <c r="T245" s="3" t="inlineStr">
        <is>
          <t>IS_PHYSICAL_ASSET</t>
        </is>
      </c>
      <c r="U245" s="3" t="inlineStr">
        <is>
          <t>ACTIVE</t>
        </is>
      </c>
      <c r="V245" s="3" t="inlineStr">
        <is>
          <t>2026-08-27</t>
        </is>
      </c>
      <c r="W245" s="3" t="n"/>
      <c r="X245" s="3" t="n"/>
      <c r="Y245" s="3" t="inlineStr">
        <is>
          <t>NOTHING OPEN</t>
        </is>
      </c>
    </row>
    <row r="246" ht="60" customHeight="1">
      <c r="A246" s="3" t="inlineStr">
        <is>
          <t>MK-NW-F-015</t>
        </is>
      </c>
      <c r="B246" s="3" t="inlineStr">
        <is>
          <t>totalAssets</t>
        </is>
      </c>
      <c r="C246" s="3" t="inlineStr">
        <is>
          <t>src/domain/assets/index.ts</t>
        </is>
      </c>
      <c r="D246" s="3" t="n">
        <v>634</v>
      </c>
      <c r="E246" s="3" t="inlineStr">
        <is>
          <t>3 · DEPENDENT</t>
        </is>
      </c>
      <c r="F246" s="3" t="inlineStr">
        <is>
          <t>NOT DETERMINED — the code carries no note saying what this is for, and it has no row in the old inventory. Needs reading.</t>
        </is>
      </c>
      <c r="G246" s="11" t="inlineStr">
        <is>
          <t>Σ over accounts (or none when missing) of (balance (or 0 when missing or zero))</t>
        </is>
      </c>
      <c r="H246" s="3" t="inlineStr">
        <is>
          <t>the balance (or 0 — when missing or zero) added up across accounts (or none — when missing).</t>
        </is>
      </c>
      <c r="I246" s="3" t="inlineStr">
        <is>
          <t>READ FROM THE CODE — rendered from the expressions the function runs</t>
        </is>
      </c>
      <c r="J246" s="3" t="inlineStr">
        <is>
          <t>accounts: AssetAccount[]</t>
        </is>
      </c>
      <c r="K246" s="3" t="inlineStr">
        <is>
          <t>number</t>
        </is>
      </c>
      <c r="L246" s="3" t="inlineStr">
        <is>
          <t>—</t>
        </is>
      </c>
      <c r="M246" s="3" t="inlineStr">
        <is>
          <t>· If balance is missing it counts as zero, so nothing recorded and a real zero look the same.</t>
        </is>
      </c>
      <c r="N246" s="3" t="inlineStr">
        <is>
          <t>Yes</t>
        </is>
      </c>
      <c r="O246" s="3" t="inlineStr">
        <is>
          <t>—</t>
        </is>
      </c>
      <c r="P246" s="3" t="n">
        <v>0</v>
      </c>
      <c r="Q246" s="3" t="inlineStr">
        <is>
          <t>None — no dependent function stands behind it</t>
        </is>
      </c>
      <c r="R246" s="3" t="inlineStr">
        <is>
          <t>No dependent function — it reads its inputs and answers</t>
        </is>
      </c>
      <c r="S246" s="3" t="inlineStr">
        <is>
          <t>—</t>
        </is>
      </c>
      <c r="T246" s="3" t="inlineStr">
        <is>
          <t>—</t>
        </is>
      </c>
      <c r="U246" s="3" t="inlineStr">
        <is>
          <t>ACTIVE</t>
        </is>
      </c>
      <c r="V246" s="3" t="inlineStr">
        <is>
          <t>2026-09-09</t>
        </is>
      </c>
      <c r="W246" s="3" t="n"/>
      <c r="X246" s="3" t="n"/>
      <c r="Y246" s="3" t="inlineStr">
        <is>
          <t>NOTHING OPEN</t>
        </is>
      </c>
    </row>
    <row r="247" ht="60" customHeight="1">
      <c r="A247" s="3" t="inlineStr">
        <is>
          <t>MK-NW-F-016</t>
        </is>
      </c>
      <c r="B247" s="3" t="inlineStr">
        <is>
          <t>cashTotal</t>
        </is>
      </c>
      <c r="C247" s="3" t="inlineStr">
        <is>
          <t>src/domain/assets/index.ts</t>
        </is>
      </c>
      <c r="D247" s="3" t="n">
        <v>666</v>
      </c>
      <c r="E247" s="3" t="inlineStr">
        <is>
          <t>2 · DISPLAYED</t>
        </is>
      </c>
      <c r="F247" s="3" t="inlineStr">
        <is>
          <t>Cash &amp; cash equivalents (Term #3) — THE cash number, and the same one the Net Worth CASH group shows.</t>
        </is>
      </c>
      <c r="G247" s="11" t="inlineStr">
        <is>
          <t>b = account class breakdown(a)
the answer = t + (b ? cash : asset class of(a) = 'cash' ? (balance or 0) : 0)</t>
        </is>
      </c>
      <c r="H247" s="3" t="inlineStr">
        <is>
          <t>B is account class breakdown(a). The answer is t plus (b ? cash : asset class of(a) = 'cash' ? (balance or 0) : 0).</t>
        </is>
      </c>
      <c r="I247" s="3" t="inlineStr">
        <is>
          <t>READ FROM THE CODE — rendered from the expressions the function runs</t>
        </is>
      </c>
      <c r="J247" s="3" t="inlineStr">
        <is>
          <t>accounts: AssetAccount[]</t>
        </is>
      </c>
      <c r="K247" s="3" t="inlineStr">
        <is>
          <t>number</t>
        </is>
      </c>
      <c r="L247" s="3" t="inlineStr">
        <is>
          <t>"Cash on hand now" — on the Bill calendar screen</t>
        </is>
      </c>
      <c r="M247" s="3" t="inlineStr">
        <is>
          <t>· If balance is missing it counts as zero, so nothing recorded and a real zero look the same.</t>
        </is>
      </c>
      <c r="N247" s="3" t="inlineStr">
        <is>
          <t>Yes</t>
        </is>
      </c>
      <c r="O247" s="3" t="inlineStr">
        <is>
          <t>1. MK-NW-F-027 accountClassBreakdown
2. MK-NW-F-011 assetClassOf</t>
        </is>
      </c>
      <c r="P247" s="3" t="n">
        <v>12</v>
      </c>
      <c r="Q247"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7"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7" s="3" t="inlineStr">
        <is>
          <t>MK-NW-M-014</t>
        </is>
      </c>
      <c r="T247" s="3" t="inlineStr">
        <is>
          <t>TOTAL_CASH</t>
        </is>
      </c>
      <c r="U247" s="3" t="inlineStr">
        <is>
          <t>ACTIVE</t>
        </is>
      </c>
      <c r="V247" s="3" t="inlineStr">
        <is>
          <t>2026-08-27</t>
        </is>
      </c>
      <c r="W247" s="3" t="n"/>
      <c r="X247" s="3" t="n"/>
      <c r="Y247" s="3" t="inlineStr">
        <is>
          <t>NOTHING OPEN</t>
        </is>
      </c>
    </row>
    <row r="248" ht="60" customHeight="1">
      <c r="A248" s="3" t="inlineStr">
        <is>
          <t>MK-NW-F-017</t>
        </is>
      </c>
      <c r="B248" s="3" t="inlineStr">
        <is>
          <t>equitiesTotal</t>
        </is>
      </c>
      <c r="C248" s="3" t="inlineStr">
        <is>
          <t>src/domain/assets/index.ts</t>
        </is>
      </c>
      <c r="D248" s="3" t="n">
        <v>687</v>
      </c>
      <c r="E248" s="3" t="inlineStr">
        <is>
          <t>3 · DEPENDENT (feeds an action only)</t>
        </is>
      </c>
      <c r="F248" s="3" t="inlineStr">
        <is>
          <t>NOT DETERMINED — the code carries no note saying what this is for, and it has no row in the old inventory. Needs reading.</t>
        </is>
      </c>
      <c r="G248" s="11" t="inlineStr">
        <is>
          <t>sum where(accounts, (a) =&gt; asset class of(a) = 'stocks_etf')</t>
        </is>
      </c>
      <c r="H248" s="3" t="inlineStr">
        <is>
          <t>sum where(accounts, (a) =&gt; asset class of(a) = 'stocks_etf').</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1. MK-NW-F-011 assetClassOf
2. MK-NW-F-066 sumWhere</t>
        </is>
      </c>
      <c r="P248" s="3" t="n">
        <v>12</v>
      </c>
      <c r="Q248" s="3" t="inlineStr">
        <is>
          <t>1. MK-NW-F-011 assetClassOf
2. MK-NW-F-066 sumWhere
3. MK-NW-F-008 incomeBearingClassOf
4. MK-CF-F-155 cash
5. MK-ST-F-010 nameEvidence
6. MK-XS-F-122 n
7. MK-XS-F-147 call
8. MK-ST-F-056 has
9. MK-CF-F-132 map
10. MK-ST-F-027 accountId
11. MK-XS-F-064 currentIdToken
12. MK-XS-F-112 relayUrl</t>
        </is>
      </c>
      <c r="R248"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8" s="3" t="inlineStr">
        <is>
          <t>—</t>
        </is>
      </c>
      <c r="T248" s="3" t="inlineStr">
        <is>
          <t>—</t>
        </is>
      </c>
      <c r="U248" s="3" t="inlineStr">
        <is>
          <t>ACTIVE</t>
        </is>
      </c>
      <c r="V248" s="3" t="inlineStr">
        <is>
          <t>2026-08-27</t>
        </is>
      </c>
      <c r="W248" s="3" t="n"/>
      <c r="X248" s="3" t="n"/>
      <c r="Y248" s="3" t="inlineStr">
        <is>
          <t>NOTHING OPEN</t>
        </is>
      </c>
    </row>
    <row r="249" ht="60" customHeight="1">
      <c r="A249" s="3" t="inlineStr">
        <is>
          <t>MK-NW-F-018</t>
        </is>
      </c>
      <c r="B249" s="3" t="inlineStr">
        <is>
          <t>fixedIncomeTotal</t>
        </is>
      </c>
      <c r="C249" s="3" t="inlineStr">
        <is>
          <t>src/domain/assets/index.ts</t>
        </is>
      </c>
      <c r="D249" s="3" t="n">
        <v>705</v>
      </c>
      <c r="E249" s="3" t="inlineStr">
        <is>
          <t>3 · DEPENDENT (feeds an action only)</t>
        </is>
      </c>
      <c r="F249" s="3" t="inlineStr">
        <is>
          <t>NOT DETERMINED — the code carries no note saying what this is for, and it has no row in the old inventory. Needs reading.</t>
        </is>
      </c>
      <c r="G249" s="11" t="inlineStr">
        <is>
          <t>sum where(accounts, (a) =&gt; asset class of(a) = 'bonds')</t>
        </is>
      </c>
      <c r="H249" s="3" t="inlineStr">
        <is>
          <t>sum where(accounts, (a) =&gt; asset class of(a) = 'bonds').</t>
        </is>
      </c>
      <c r="I249" s="3" t="inlineStr">
        <is>
          <t>PARTLY READ — some of the code is still showing through; needs a hand pass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No</t>
        </is>
      </c>
      <c r="O249" s="3" t="inlineStr">
        <is>
          <t>1. MK-NW-F-011 assetClassOf
2. MK-NW-F-066 sumWhere</t>
        </is>
      </c>
      <c r="P249" s="3" t="n">
        <v>12</v>
      </c>
      <c r="Q249" s="3" t="inlineStr">
        <is>
          <t>1. MK-NW-F-011 assetClassOf
2. MK-NW-F-066 sumWhere
3. MK-NW-F-008 incomeBearingClassOf
4. MK-CF-F-155 cash
5. MK-ST-F-010 nameEvidence
6. MK-XS-F-122 n
7. MK-XS-F-147 call
8. MK-ST-F-056 has
9. MK-CF-F-132 map
10. MK-ST-F-027 accountId
11. MK-XS-F-064 currentIdToken
12. MK-XS-F-112 relayUrl</t>
        </is>
      </c>
      <c r="R249"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MK-NW-F-019</t>
        </is>
      </c>
      <c r="B250" s="3" t="inlineStr">
        <is>
          <t>alternativesTotal</t>
        </is>
      </c>
      <c r="C250" s="3" t="inlineStr">
        <is>
          <t>src/domain/assets/index.ts</t>
        </is>
      </c>
      <c r="D250" s="3" t="n">
        <v>723</v>
      </c>
      <c r="E250" s="3" t="inlineStr">
        <is>
          <t>3 · DEPENDENT (feeds an action only)</t>
        </is>
      </c>
      <c r="F250" s="3" t="inlineStr">
        <is>
          <t>NOT DETERMINED — the code carries no note saying what this is for, and it has no row in the old inventory. Needs reading.</t>
        </is>
      </c>
      <c r="G250" s="11" t="inlineStr">
        <is>
          <t>sum where(accounts, (a) =&gt; asset class of(a) = 'alternatives')</t>
        </is>
      </c>
      <c r="H250" s="3" t="inlineStr">
        <is>
          <t>sum where(accounts, (a) =&gt; asset class of(a) = 'alternatives').</t>
        </is>
      </c>
      <c r="I250" s="3" t="inlineStr">
        <is>
          <t>PARTLY READ — some of the code is still showing through; needs a hand pass</t>
        </is>
      </c>
      <c r="J250" s="3" t="inlineStr">
        <is>
          <t>accounts: AssetAccount[]</t>
        </is>
      </c>
      <c r="K250" s="3" t="inlineStr">
        <is>
          <t>number</t>
        </is>
      </c>
      <c r="L250" s="3" t="inlineStr">
        <is>
          <t>—</t>
        </is>
      </c>
      <c r="M250" s="3" t="inlineStr">
        <is>
          <t>None found in this function — anything it assumes comes from the functions it depends on.</t>
        </is>
      </c>
      <c r="N250" s="3" t="inlineStr">
        <is>
          <t>No</t>
        </is>
      </c>
      <c r="O250" s="3" t="inlineStr">
        <is>
          <t>1. MK-NW-F-011 assetClassOf
2. MK-NW-F-066 sumWhere</t>
        </is>
      </c>
      <c r="P250" s="3" t="n">
        <v>12</v>
      </c>
      <c r="Q250" s="3" t="inlineStr">
        <is>
          <t>1. MK-NW-F-011 assetClassOf
2. MK-NW-F-066 sumWhere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MK-NW-F-020</t>
        </is>
      </c>
      <c r="B251" s="3" t="inlineStr">
        <is>
          <t>realEstateTotal</t>
        </is>
      </c>
      <c r="C251" s="3" t="inlineStr">
        <is>
          <t>src/domain/assets/index.ts</t>
        </is>
      </c>
      <c r="D251" s="3" t="n">
        <v>741</v>
      </c>
      <c r="E251" s="3" t="inlineStr">
        <is>
          <t>3 · DEPENDENT (feeds an action only)</t>
        </is>
      </c>
      <c r="F251" s="3" t="inlineStr">
        <is>
          <t>NOT DETERMINED — the code carries no note saying what this is for, and it has no row in the old inventory. Needs reading.</t>
        </is>
      </c>
      <c r="G251" s="11" t="inlineStr">
        <is>
          <t>sum where(accounts, (a) =&gt; asset class of(a) = 'real_estate')</t>
        </is>
      </c>
      <c r="H251" s="3" t="inlineStr">
        <is>
          <t>sum where(accounts, (a) =&gt; asset class of(a) = 'real_estate').</t>
        </is>
      </c>
      <c r="I251" s="3" t="inlineStr">
        <is>
          <t>PARTLY READ — some of the code is still showing through; needs a hand pass</t>
        </is>
      </c>
      <c r="J251" s="3" t="inlineStr">
        <is>
          <t>accounts: AssetAccount[]</t>
        </is>
      </c>
      <c r="K251" s="3" t="inlineStr">
        <is>
          <t>number</t>
        </is>
      </c>
      <c r="L251" s="3" t="inlineStr">
        <is>
          <t>—</t>
        </is>
      </c>
      <c r="M251" s="3" t="inlineStr">
        <is>
          <t>None found in this function — anything it assumes comes from the functions it depends on.</t>
        </is>
      </c>
      <c r="N251" s="3" t="inlineStr">
        <is>
          <t>No</t>
        </is>
      </c>
      <c r="O251" s="3" t="inlineStr">
        <is>
          <t>1. MK-NW-F-011 assetClassOf
2. MK-NW-F-066 sumWhere</t>
        </is>
      </c>
      <c r="P251" s="3" t="n">
        <v>12</v>
      </c>
      <c r="Q251" s="3" t="inlineStr">
        <is>
          <t>1. MK-NW-F-011 assetClassOf
2. MK-NW-F-066 sumWhere
3. MK-NW-F-008 incomeBearingClassOf
4. MK-CF-F-155 cash
5. MK-ST-F-010 nameEvidence
6. MK-XS-F-122 n
7. MK-XS-F-147 call
8. MK-ST-F-056 has
9. MK-CF-F-132 map
10. MK-ST-F-027 accountId
11. MK-XS-F-064 currentIdToken
12. MK-XS-F-112 relayUrl</t>
        </is>
      </c>
      <c r="R251"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MK-NW-F-021</t>
        </is>
      </c>
      <c r="B252" s="3" t="inlineStr">
        <is>
          <t>investmentsTotal</t>
        </is>
      </c>
      <c r="C252" s="3" t="inlineStr">
        <is>
          <t>src/domain/assets/index.ts</t>
        </is>
      </c>
      <c r="D252" s="3" t="n">
        <v>765</v>
      </c>
      <c r="E252" s="3" t="inlineStr">
        <is>
          <t>2 · DISPLAYED</t>
        </is>
      </c>
      <c r="F252" s="3" t="inlineStr">
        <is>
          <t>Investments / holdings (allocation view, Term #4) = equities + fixed income + alternatives, ACROSS all wrappers (so a 401(k)'s stocks count).</t>
        </is>
      </c>
      <c r="G252" s="11" t="inlineStr">
        <is>
          <t>sum where(accounts, (a) =&gt; { const c = asset class of(a); return c = 'stocks_etf' or c = 'bonds' or c = 'alternatives' or c = 'mixed'; })</t>
        </is>
      </c>
      <c r="H252" s="3" t="inlineStr">
        <is>
          <t>sum where(accounts, (a) =&gt; { const c = asset class of(a); return c = 'stocks_etf' or c = 'bonds' or c = 'alternatives' or c = 'mixed'; }).</t>
        </is>
      </c>
      <c r="I252" s="3" t="inlineStr">
        <is>
          <t>PARTLY READ — some of the code is still showing through; needs a hand pass</t>
        </is>
      </c>
      <c r="J252" s="3" t="inlineStr">
        <is>
          <t>accounts: AssetAccount[]</t>
        </is>
      </c>
      <c r="K252" s="3" t="inlineStr">
        <is>
          <t>number</t>
        </is>
      </c>
      <c r="L252" s="3" t="inlineStr">
        <is>
          <t>NOT FOUND — a screen calls it, but the words printed beside its answer could not be traced automatically. Needs reading.</t>
        </is>
      </c>
      <c r="M252" s="3" t="inlineStr">
        <is>
          <t>None found in this function — anything it assumes comes from the functions it depends on.</t>
        </is>
      </c>
      <c r="N252" s="3" t="inlineStr">
        <is>
          <t>Yes</t>
        </is>
      </c>
      <c r="O252" s="3" t="inlineStr">
        <is>
          <t>1. MK-NW-F-011 assetClassOf
2. MK-NW-F-066 sumWhere</t>
        </is>
      </c>
      <c r="P252" s="3" t="n">
        <v>12</v>
      </c>
      <c r="Q252" s="3" t="inlineStr">
        <is>
          <t>1. MK-NW-F-011 assetClassOf
2. MK-NW-F-066 sumWhere
3. MK-NW-F-008 incomeBearingClassOf
4. MK-CF-F-155 cash
5. MK-ST-F-010 nameEvidence
6. MK-XS-F-122 n
7. MK-XS-F-147 call
8. MK-ST-F-056 has
9. MK-CF-F-132 map
10. MK-ST-F-027 accountId
11. MK-XS-F-064 currentIdToken
12. MK-XS-F-112 relayUrl</t>
        </is>
      </c>
      <c r="R252"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52" s="3" t="inlineStr">
        <is>
          <t>—</t>
        </is>
      </c>
      <c r="T252" s="3" t="inlineStr">
        <is>
          <t>TOTAL_INVESTMENTS</t>
        </is>
      </c>
      <c r="U252" s="3" t="inlineStr">
        <is>
          <t>ACTIVE</t>
        </is>
      </c>
      <c r="V252" s="3" t="inlineStr">
        <is>
          <t>2026-08-27</t>
        </is>
      </c>
      <c r="W252" s="3" t="n"/>
      <c r="X252" s="3" t="n"/>
      <c r="Y252" s="6" t="inlineStr">
        <is>
          <t>TESTED, NOT VERIFIED (C3)</t>
        </is>
      </c>
    </row>
    <row r="253" ht="60" customHeight="1">
      <c r="A253" s="3" t="inlineStr">
        <is>
          <t>MK-NW-F-022</t>
        </is>
      </c>
      <c r="B253" s="3" t="inlineStr">
        <is>
          <t>investableAssets</t>
        </is>
      </c>
      <c r="C253" s="3" t="inlineStr">
        <is>
          <t>src/domain/assets/index.ts</t>
        </is>
      </c>
      <c r="D253" s="3" t="n">
        <v>789</v>
      </c>
      <c r="E253" s="3" t="inlineStr">
        <is>
          <t>2 · DISPLAYED</t>
        </is>
      </c>
      <c r="F253" s="3" t="inlineStr">
        <is>
          <t>Investable assets (Term #4) = all financial assets (cash + investments + retirement balances), EXCLUDING real estate + personal property.</t>
        </is>
      </c>
      <c r="G253" s="11" t="inlineStr">
        <is>
          <t>sum where(accounts, (a) =&gt; !is real asset(a))</t>
        </is>
      </c>
      <c r="H253" s="3" t="inlineStr">
        <is>
          <t>sum where(accounts, (a) =&gt; !is real asset(a)).</t>
        </is>
      </c>
      <c r="I253" s="3" t="inlineStr">
        <is>
          <t>PARTLY READ — some of the code is still showing through; needs a hand pass</t>
        </is>
      </c>
      <c r="J253" s="3" t="inlineStr">
        <is>
          <t>accounts: AssetAccount[]</t>
        </is>
      </c>
      <c r="K253" s="3" t="inlineStr">
        <is>
          <t>number</t>
        </is>
      </c>
      <c r="L253" s="3" t="inlineStr">
        <is>
          <t>NOT FOUND — a screen calls it, but the words printed beside its answer could not be traced automatically. Needs reading.</t>
        </is>
      </c>
      <c r="M253" s="3" t="inlineStr">
        <is>
          <t>None found in this function — anything it assumes comes from the functions it depends on.</t>
        </is>
      </c>
      <c r="N253" s="3" t="inlineStr">
        <is>
          <t>Yes</t>
        </is>
      </c>
      <c r="O253" s="3" t="inlineStr">
        <is>
          <t>1. MK-NW-F-014 isRealAsset
2. MK-NW-F-066 sumWhere
3. MK-NW-F-015 totalAssets</t>
        </is>
      </c>
      <c r="P253" s="3" t="n">
        <v>14</v>
      </c>
      <c r="Q253"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53"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53" s="3" t="inlineStr">
        <is>
          <t>—</t>
        </is>
      </c>
      <c r="T253" s="3" t="inlineStr">
        <is>
          <t>TOTAL_INVESTABLE</t>
        </is>
      </c>
      <c r="U253" s="3" t="inlineStr">
        <is>
          <t>ACTIVE</t>
        </is>
      </c>
      <c r="V253" s="3" t="inlineStr">
        <is>
          <t>2026-08-27</t>
        </is>
      </c>
      <c r="W253" s="3" t="n"/>
      <c r="X253" s="3" t="n"/>
      <c r="Y253" s="3" t="inlineStr">
        <is>
          <t>NOTHING OPEN</t>
        </is>
      </c>
    </row>
    <row r="254" ht="60" customHeight="1">
      <c r="A254" s="3" t="inlineStr">
        <is>
          <t>MK-NW-F-023</t>
        </is>
      </c>
      <c r="B254" s="3" t="inlineStr">
        <is>
          <t>wrapperWord</t>
        </is>
      </c>
      <c r="C254" s="3" t="inlineStr">
        <is>
          <t>src/domain/assets/index.ts</t>
        </is>
      </c>
      <c r="D254" s="3" t="n">
        <v>830</v>
      </c>
      <c r="E254" s="3" t="inlineStr">
        <is>
          <t>1 · ACTION</t>
        </is>
      </c>
      <c r="F254" s="3" t="inlineStr">
        <is>
          <t>NOT DETERMINED — the code carries no note saying what this is for, and it has no row in the old inventory. Needs reading.</t>
        </is>
      </c>
      <c r="G254" s="11" t="inlineStr">
        <is>
          <t>KIND_TO_WRAPPER[kind] (or '' when missing)   if kind
''   otherwise</t>
        </is>
      </c>
      <c r="H254" s="3" t="inlineStr">
        <is>
          <t>KIND_TO_WRAPPER[kind] (or '' when missing) — when kind; '' — otherwise</t>
        </is>
      </c>
      <c r="I254" s="3" t="inlineStr">
        <is>
          <t>READ FROM THE CODE — rendered from the expressions the function runs</t>
        </is>
      </c>
      <c r="J254" s="3" t="inlineStr">
        <is>
          <t>kind?: string</t>
        </is>
      </c>
      <c r="K254" s="3" t="inlineStr">
        <is>
          <t>string</t>
        </is>
      </c>
      <c r="L254" s="3" t="inlineStr">
        <is>
          <t>—</t>
        </is>
      </c>
      <c r="M254" s="3" t="inlineStr">
        <is>
          <t>None found in this function — anything it assumes comes from the functions it depends on.</t>
        </is>
      </c>
      <c r="N254" s="3" t="inlineStr">
        <is>
          <t>Yes</t>
        </is>
      </c>
      <c r="O254" s="3" t="inlineStr">
        <is>
          <t>—</t>
        </is>
      </c>
      <c r="P254" s="3" t="n">
        <v>0</v>
      </c>
      <c r="Q254" s="3" t="inlineStr">
        <is>
          <t>None — no dependent function stands behind it</t>
        </is>
      </c>
      <c r="R254" s="3" t="inlineStr">
        <is>
          <t>No dependent function — it reads its inputs and answers</t>
        </is>
      </c>
      <c r="S254" s="3" t="inlineStr">
        <is>
          <t>—</t>
        </is>
      </c>
      <c r="T254" s="3" t="inlineStr">
        <is>
          <t>—</t>
        </is>
      </c>
      <c r="U254" s="3" t="inlineStr">
        <is>
          <t>ACTIVE</t>
        </is>
      </c>
      <c r="V254" s="3" t="inlineStr">
        <is>
          <t>2026-08-27</t>
        </is>
      </c>
      <c r="W254" s="3" t="n"/>
      <c r="X254" s="3" t="n"/>
      <c r="Y254" s="3" t="inlineStr">
        <is>
          <t>NOTHING OPEN</t>
        </is>
      </c>
    </row>
    <row r="255" ht="60" customHeight="1">
      <c r="A255" s="3" t="inlineStr">
        <is>
          <t>MK-NW-F-024</t>
        </is>
      </c>
      <c r="B255" s="3" t="inlineStr">
        <is>
          <t>accountLastFour</t>
        </is>
      </c>
      <c r="C255" s="3" t="inlineStr">
        <is>
          <t>src/domain/assets/index.ts</t>
        </is>
      </c>
      <c r="D255" s="3" t="n">
        <v>858</v>
      </c>
      <c r="E255" s="3" t="inlineStr">
        <is>
          <t>3 · DEPENDENT</t>
        </is>
      </c>
      <c r="F255" s="3" t="inlineStr">
        <is>
          <t>The last four digits of an account, or null when we genuinely don't have them.</t>
        </is>
      </c>
      <c r="G255" s="11" t="inlineStr">
        <is>
          <t>digits = string(raw ?? '').replace( ÷ \D ÷ g, '')
digits.slice(-4)   when digits.length ≥ 4
[LOOP — the answer is found inside a loop the extractor cannot render; the steps above are the ones before it. Read by hand.]</t>
        </is>
      </c>
      <c r="H255" s="3" t="inlineStr">
        <is>
          <t>Digits is string(raw ?? '').replace( divided by \D divided by g, ''). When digits.length is at least 4, it answers digits.slice(-4). The answer is no answer. The answer is found inside a loop that cannot be rendered here; read the code by hand.</t>
        </is>
      </c>
      <c r="I255" s="3" t="inlineStr">
        <is>
          <t>PARTLY READ — the body has a loop the extractor cannot render; the steps shown are the ones before it. Needs a hand pass (G23).</t>
        </is>
      </c>
      <c r="J255" s="3" t="inlineStr">
        <is>
          <t>a: { mask?: string; account_number?: string }</t>
        </is>
      </c>
      <c r="K255" s="3" t="inlineStr">
        <is>
          <t>string | null</t>
        </is>
      </c>
      <c r="L255" s="3" t="inlineStr">
        <is>
          <t>—</t>
        </is>
      </c>
      <c r="M255" s="3" t="inlineStr">
        <is>
          <t>None found in this function — anything it assumes comes from the functions it depends on.</t>
        </is>
      </c>
      <c r="N255" s="3" t="inlineStr">
        <is>
          <t>Yes</t>
        </is>
      </c>
      <c r="O255" s="3" t="inlineStr">
        <is>
          <t>—</t>
        </is>
      </c>
      <c r="P255" s="3" t="n">
        <v>0</v>
      </c>
      <c r="Q255" s="3" t="inlineStr">
        <is>
          <t>None — no dependent function stands behind it</t>
        </is>
      </c>
      <c r="R255" s="3" t="inlineStr">
        <is>
          <t>No dependent function — it reads its inputs and answers</t>
        </is>
      </c>
      <c r="S255" s="3" t="inlineStr">
        <is>
          <t>—</t>
        </is>
      </c>
      <c r="T255" s="3" t="inlineStr">
        <is>
          <t>—</t>
        </is>
      </c>
      <c r="U255" s="3" t="inlineStr">
        <is>
          <t>ACTIVE</t>
        </is>
      </c>
      <c r="V255" s="3" t="inlineStr">
        <is>
          <t>2026-09-08</t>
        </is>
      </c>
      <c r="W255" s="3" t="n"/>
      <c r="X255" s="3" t="n"/>
      <c r="Y255" s="3" t="inlineStr">
        <is>
          <t>NOTHING OPEN</t>
        </is>
      </c>
    </row>
    <row r="256" ht="60" customHeight="1">
      <c r="A256" s="3" t="inlineStr">
        <is>
          <t>MK-NW-F-025</t>
        </is>
      </c>
      <c r="B256" s="3" t="inlineStr">
        <is>
          <t>accountDisplayName</t>
        </is>
      </c>
      <c r="C256" s="3" t="inlineStr">
        <is>
          <t>src/domain/assets/index.ts</t>
        </is>
      </c>
      <c r="D256" s="3" t="n">
        <v>905</v>
      </c>
      <c r="E256" s="3" t="inlineStr">
        <is>
          <t>3 · DEPENDENT</t>
        </is>
      </c>
      <c r="F256"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56"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6"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6" s="3" t="inlineStr">
        <is>
          <t>PARTLY READ — some of the code is still showing through; needs a hand pass</t>
        </is>
      </c>
      <c r="J256" s="3" t="inlineStr">
        <is>
          <t>a: Pick&lt;AssetAccount, 'label' | 'institution' | 'mask'&gt; &amp; { positions?: unknown[]; kind?: string; tax_bucket?: TaxBucket; tax_treatment?: TaxTreatment }</t>
        </is>
      </c>
      <c r="K256" s="3" t="inlineStr">
        <is>
          <t>string</t>
        </is>
      </c>
      <c r="L256" s="3" t="inlineStr">
        <is>
          <t>—</t>
        </is>
      </c>
      <c r="M256" s="3" t="inlineStr">
        <is>
          <t>None found in this function — anything it assumes comes from the functions it depends on.</t>
        </is>
      </c>
      <c r="N256" s="3" t="inlineStr">
        <is>
          <t>Yes</t>
        </is>
      </c>
      <c r="O256" s="3" t="inlineStr">
        <is>
          <t>1. MK-NW-F-026 accountDisplayNames
2. MK-NW-F-024 accountLastFour
3. MK-NW-F-012 taxTreatmentOf
4. MK-NW-F-023 wrapperWord</t>
        </is>
      </c>
      <c r="P256" s="3" t="n">
        <v>7</v>
      </c>
      <c r="Q256" s="3" t="inlineStr">
        <is>
          <t>1. MK-NW-F-026 accountDisplayNames
2. MK-NW-F-024 accountLastFour
3. MK-NW-F-012 taxTreatmentOf
4. MK-NW-F-023 wrapperWord
5. MK-CF-F-155 cash
6. MK-CF-F-132 map
7. MK-XS-F-122 n</t>
        </is>
      </c>
      <c r="R256"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MK-NW-F-026</t>
        </is>
      </c>
      <c r="B257" s="3" t="inlineStr">
        <is>
          <t>accountDisplayNames</t>
        </is>
      </c>
      <c r="C257" s="3" t="inlineStr">
        <is>
          <t>src/domain/assets/index.ts</t>
        </is>
      </c>
      <c r="D257" s="3" t="n">
        <v>979</v>
      </c>
      <c r="E257" s="3" t="inlineStr">
        <is>
          <t>2 · DISPLAYED</t>
        </is>
      </c>
      <c r="F257" s="3" t="inlineStr">
        <is>
          <t>Display names for a whole LIST of accounts.</t>
        </is>
      </c>
      <c r="G257" s="11" t="inlineStr">
        <is>
          <t>base = a lookup of for each of accounts: [asset id, account display name(each)]
counts = new map&lt;string, number&gt;()
seen = new map&lt;string, number&gt;()
out = new map&lt;string, string&gt;()
n = base.get(asset id)!
i = (seen.get(n) ?? 0) + 1
the answer = out</t>
        </is>
      </c>
      <c r="H257" s="3" t="inlineStr">
        <is>
          <t>Base is a lookup of for each of accounts: [asset id, account display name(each)]. Counts is new map&lt;string, number&gt;(). Seen is new map&lt;string, number&gt;(). Out is new map&lt;string, string&gt;(). N is base.get(asset id)!. I is (seen.get(n) ?? 0) plus 1. The answer is out.</t>
        </is>
      </c>
      <c r="I257" s="3" t="inlineStr">
        <is>
          <t>PARTLY READ — some of the code is still showing through; needs a hand pass</t>
        </is>
      </c>
      <c r="J257" s="3" t="inlineStr">
        <is>
          <t>accounts: (Pick&lt;AssetAccount, 'asset_id' | 'label' | 'institution' | 'mask'&gt; &amp; { positions?: unknown[] })[]</t>
        </is>
      </c>
      <c r="K257" s="3" t="inlineStr">
        <is>
          <t>Map&lt;string, string&gt;</t>
        </is>
      </c>
      <c r="L257" s="3" t="inlineStr">
        <is>
          <t>"Bonds &amp; alternatives — recorded on their own pages" — on the Performance screen</t>
        </is>
      </c>
      <c r="M257" s="3" t="inlineStr">
        <is>
          <t>None found in this function — anything it assumes comes from the functions it depends on.</t>
        </is>
      </c>
      <c r="N257" s="3" t="inlineStr">
        <is>
          <t>Yes</t>
        </is>
      </c>
      <c r="O257" s="3" t="inlineStr">
        <is>
          <t>1. MK-NW-F-025 accountDisplayName
2. MK-CF-F-155 cash
3. MK-CF-F-132 map
4. MK-XS-F-122 n</t>
        </is>
      </c>
      <c r="P257" s="3" t="n">
        <v>7</v>
      </c>
      <c r="Q257" s="3" t="inlineStr">
        <is>
          <t>1. MK-NW-F-025 accountDisplayName
2. MK-CF-F-155 cash
3. MK-CF-F-132 map
4. MK-XS-F-122 n
5. MK-NW-F-024 accountLastFour
6. MK-NW-F-012 taxTreatmentOf
7. MK-NW-F-023 wrapperWord</t>
        </is>
      </c>
      <c r="R257"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7" s="3" t="inlineStr">
        <is>
          <t>—</t>
        </is>
      </c>
      <c r="T257" s="3" t="inlineStr">
        <is>
          <t>ACCOUNT_NAMES</t>
        </is>
      </c>
      <c r="U257" s="3" t="inlineStr">
        <is>
          <t>ACTIVE</t>
        </is>
      </c>
      <c r="V257" s="3" t="inlineStr">
        <is>
          <t>2026-08-27</t>
        </is>
      </c>
      <c r="W257" s="3" t="n"/>
      <c r="X257" s="3" t="n"/>
      <c r="Y257" s="3" t="inlineStr">
        <is>
          <t>NOTHING OPEN</t>
        </is>
      </c>
    </row>
    <row r="258" ht="60" customHeight="1">
      <c r="A258" s="3" t="inlineStr">
        <is>
          <t>MK-NW-F-027</t>
        </is>
      </c>
      <c r="B258" s="3" t="inlineStr">
        <is>
          <t>accountClassBreakdown</t>
        </is>
      </c>
      <c r="C258" s="3" t="inlineStr">
        <is>
          <t>src/domain/assets/index.ts</t>
        </is>
      </c>
      <c r="D258" s="3" t="n">
        <v>1053</v>
      </c>
      <c r="E258" s="3" t="inlineStr">
        <is>
          <t>2 · DISPLAYED</t>
        </is>
      </c>
      <c r="F258"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8"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8"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8" s="3" t="inlineStr">
        <is>
          <t>PARTLY READ — some of the code is still showing through; needs a hand pass</t>
        </is>
      </c>
      <c r="J258" s="3" t="inlineStr">
        <is>
          <t>a: AssetAccount</t>
        </is>
      </c>
      <c r="K258" s="3" t="inlineStr">
        <is>
          <t>Record&lt;AssetClass, number&gt; | null</t>
        </is>
      </c>
      <c r="L258" s="3" t="inlineStr">
        <is>
          <t>NOT FOUND — a screen calls it, but the words printed beside its answer could not be traced automatically. Needs reading.</t>
        </is>
      </c>
      <c r="M258"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8" s="3" t="inlineStr">
        <is>
          <t>Yes</t>
        </is>
      </c>
      <c r="O258" s="3" t="inlineStr">
        <is>
          <t>1. MK-NW-F-011 assetClassOf
2. MK-CF-F-155 cash
3. MK-NW-F-008 incomeBearingClassOf</t>
        </is>
      </c>
      <c r="P258" s="3" t="n">
        <v>11</v>
      </c>
      <c r="Q258" s="3" t="inlineStr">
        <is>
          <t>1. MK-NW-F-011 assetClassOf
2. MK-CF-F-155 cash
3. MK-NW-F-008 incomeBearingClassOf
4. MK-XS-F-122 n
5. MK-ST-F-010 nameEvidence
6. MK-XS-F-147 call
7. MK-ST-F-056 has
8. MK-CF-F-132 map
9. MK-ST-F-027 accountId
10. MK-XS-F-064 currentIdToken
11. MK-XS-F-112 relayUrl</t>
        </is>
      </c>
      <c r="R258"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8" s="3" t="inlineStr">
        <is>
          <t>—</t>
        </is>
      </c>
      <c r="T258" s="3" t="inlineStr">
        <is>
          <t>ACCOUNT_SPLIT</t>
        </is>
      </c>
      <c r="U258" s="3" t="inlineStr">
        <is>
          <t>ACTIVE</t>
        </is>
      </c>
      <c r="V258" s="3" t="inlineStr">
        <is>
          <t>2026-09-09</t>
        </is>
      </c>
      <c r="W258" s="3" t="n"/>
      <c r="X258" s="3" t="n"/>
      <c r="Y258" s="3" t="inlineStr">
        <is>
          <t>NOTHING OPEN</t>
        </is>
      </c>
    </row>
    <row r="259" ht="60" customHeight="1">
      <c r="A259" s="3" t="inlineStr">
        <is>
          <t>MK-NW-F-028</t>
        </is>
      </c>
      <c r="B259" s="3" t="inlineStr">
        <is>
          <t>classPortionLabel</t>
        </is>
      </c>
      <c r="C259" s="3" t="inlineStr">
        <is>
          <t>src/domain/assets/index.ts</t>
        </is>
      </c>
      <c r="D259" s="3" t="n">
        <v>1163</v>
      </c>
      <c r="E259" s="3" t="inlineStr">
        <is>
          <t>2 · DISPLAYED</t>
        </is>
      </c>
      <c r="F259" s="3" t="inlineStr">
        <is>
          <t>Plain words for an account's slice inside a class row.</t>
        </is>
      </c>
      <c r="G259"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9"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9" s="3" t="inlineStr">
        <is>
          <t>PARTLY READ — some of the code is still showing through; needs a hand pass</t>
        </is>
      </c>
      <c r="J259" s="3" t="inlineStr">
        <is>
          <t>1. a: AssetAccount
2. cls: AssetClass</t>
        </is>
      </c>
      <c r="K259" s="3" t="inlineStr">
        <is>
          <t>string</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MK-CF-F-204 line
2. MK-XS-F-120 nameOf
3. MK-NW-F-067 plural</t>
        </is>
      </c>
      <c r="P259" s="3" t="n">
        <v>105</v>
      </c>
      <c r="Q259"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9"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9" s="3" t="inlineStr">
        <is>
          <t>—</t>
        </is>
      </c>
      <c r="T259" s="3" t="inlineStr">
        <is>
          <t>SLICE_WORDING</t>
        </is>
      </c>
      <c r="U259" s="3" t="inlineStr">
        <is>
          <t>ACTIVE</t>
        </is>
      </c>
      <c r="V259" s="3" t="inlineStr">
        <is>
          <t>2026-08-27</t>
        </is>
      </c>
      <c r="W259" s="3" t="n"/>
      <c r="X259" s="3" t="n"/>
      <c r="Y259" s="3" t="inlineStr">
        <is>
          <t>NOTHING OPEN</t>
        </is>
      </c>
    </row>
    <row r="260" ht="60" customHeight="1">
      <c r="A260" s="3" t="inlineStr">
        <is>
          <t>MK-NW-F-029</t>
        </is>
      </c>
      <c r="B260" s="3" t="inlineStr">
        <is>
          <t>assetAllocation</t>
        </is>
      </c>
      <c r="C260" s="3" t="inlineStr">
        <is>
          <t>src/domain/assets/index.ts</t>
        </is>
      </c>
      <c r="D260" s="3" t="n">
        <v>1231</v>
      </c>
      <c r="E260" s="3" t="inlineStr">
        <is>
          <t>2 · DISPLAYED</t>
        </is>
      </c>
      <c r="F260" s="3" t="inlineStr">
        <is>
          <t>How much money sits in each of the seven classes?</t>
        </is>
      </c>
      <c r="G260" s="11" t="inlineStr">
        <is>
          <t>out = cash = 0
bonds = 0
stocks etf = 0
alternatives = 0
real estate = 0
personal property = 0
mixed = 0
b = account class breakdown(a)
the answer = out</t>
        </is>
      </c>
      <c r="H260" s="3" t="inlineStr">
        <is>
          <t>Out is cash = 0; bonds = 0; stocks etf = 0; alternatives = 0; real estate = 0; personal property = 0; mixed = 0. B is account class breakdown(a). The answer is out.</t>
        </is>
      </c>
      <c r="I260" s="3" t="inlineStr">
        <is>
          <t>READ FROM THE CODE — rendered from the expressions the function runs</t>
        </is>
      </c>
      <c r="J260" s="3" t="inlineStr">
        <is>
          <t>accounts: AssetAccount[]</t>
        </is>
      </c>
      <c r="K260" s="3" t="inlineStr">
        <is>
          <t>Record&lt;AssetClass, number&gt;</t>
        </is>
      </c>
      <c r="L260" s="3" t="inlineStr">
        <is>
          <t>NOT FOUND — a screen calls it, but the words printed beside its answer could not be traced automatically. Needs reading.</t>
        </is>
      </c>
      <c r="M260" s="3" t="inlineStr">
        <is>
          <t>· If balance is missing it counts as zero, so nothing recorded and a real zero look the same.</t>
        </is>
      </c>
      <c r="N260" s="3" t="inlineStr">
        <is>
          <t>Yes</t>
        </is>
      </c>
      <c r="O260" s="3" t="inlineStr">
        <is>
          <t>1. MK-NW-F-027 accountClassBreakdown
2. MK-NW-F-011 assetClassOf</t>
        </is>
      </c>
      <c r="P260" s="3" t="n">
        <v>12</v>
      </c>
      <c r="Q260"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60" s="3" t="inlineStr">
        <is>
          <t>—</t>
        </is>
      </c>
      <c r="T260" s="3" t="inlineStr">
        <is>
          <t>ALLOCATION_BY_CLASS</t>
        </is>
      </c>
      <c r="U260" s="3" t="inlineStr">
        <is>
          <t>ACTIVE</t>
        </is>
      </c>
      <c r="V260" s="3" t="inlineStr">
        <is>
          <t>2026-08-27</t>
        </is>
      </c>
      <c r="W260" s="3" t="n"/>
      <c r="X260" s="3" t="n"/>
      <c r="Y260" s="3" t="inlineStr">
        <is>
          <t>NOTHING OPEN</t>
        </is>
      </c>
    </row>
    <row r="261" ht="60" customHeight="1">
      <c r="A261" s="3" t="inlineStr">
        <is>
          <t>MK-NW-F-030</t>
        </is>
      </c>
      <c r="B261" s="3" t="inlineStr">
        <is>
          <t>earmarkDefault</t>
        </is>
      </c>
      <c r="C261" s="3" t="inlineStr">
        <is>
          <t>src/domain/assets/index.ts</t>
        </is>
      </c>
      <c r="D261" s="3" t="n">
        <v>1288</v>
      </c>
      <c r="E261" s="3" t="inlineStr">
        <is>
          <t>2 · DISPLAYED</t>
        </is>
      </c>
      <c r="F261" s="3" t="inlineStr">
        <is>
          <t>Default % of an account that's earmarked for retirement (rest funds other goals).</t>
        </is>
      </c>
      <c r="G261" s="11" t="inlineStr">
        <is>
          <t>0   when kind = 'college_529'
0   when asset class of(a) = 'real_estate' and real estate use of(a) = 'primary'
0   when asset id = primary car id
100</t>
        </is>
      </c>
      <c r="H261" s="3" t="inlineStr">
        <is>
          <t>When kind = 'college_529', it answers 0. When asset class of(a) = 'real_estate' and real estate use of(a) = 'primary', it answers 0. When asset id = primary car id, it answers 0. 100.</t>
        </is>
      </c>
      <c r="I261" s="3" t="inlineStr">
        <is>
          <t>READ FROM THE CODE — rendered from the expressions the function runs</t>
        </is>
      </c>
      <c r="J261" s="3" t="inlineStr">
        <is>
          <t>1. a: AssetAccount
2. primaryCarId?: string</t>
        </is>
      </c>
      <c r="K261" s="3" t="inlineStr">
        <is>
          <t>number</t>
        </is>
      </c>
      <c r="L261"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61" s="3" t="inlineStr">
        <is>
          <t>None found in this function — anything it assumes comes from the functions it depends on.</t>
        </is>
      </c>
      <c r="N261" s="3" t="inlineStr">
        <is>
          <t>Yes</t>
        </is>
      </c>
      <c r="O261" s="3" t="inlineStr">
        <is>
          <t>1. MK-NW-F-011 assetClassOf
2. MK-NW-F-013 realEstateUseOf</t>
        </is>
      </c>
      <c r="P261" s="3" t="n">
        <v>12</v>
      </c>
      <c r="Q261"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61"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61" s="3" t="inlineStr">
        <is>
          <t>—</t>
        </is>
      </c>
      <c r="T261" s="3" t="inlineStr">
        <is>
          <t>RETIREMENT_SHARE_DEFAULT</t>
        </is>
      </c>
      <c r="U261" s="3" t="inlineStr">
        <is>
          <t>ACTIVE</t>
        </is>
      </c>
      <c r="V261" s="3" t="inlineStr">
        <is>
          <t>2026-08-27</t>
        </is>
      </c>
      <c r="W261" s="3" t="n"/>
      <c r="X261" s="3" t="n"/>
      <c r="Y261" s="3" t="inlineStr">
        <is>
          <t>NOTHING OPEN</t>
        </is>
      </c>
    </row>
    <row r="262" ht="60" customHeight="1">
      <c r="A262" s="3" t="inlineStr">
        <is>
          <t>MK-NW-F-031</t>
        </is>
      </c>
      <c r="B262" s="3" t="inlineStr">
        <is>
          <t>primaryCarIdOf</t>
        </is>
      </c>
      <c r="C262" s="3" t="inlineStr">
        <is>
          <t>src/domain/assets/index.ts</t>
        </is>
      </c>
      <c r="D262" s="3" t="n">
        <v>1330</v>
      </c>
      <c r="E262" s="3" t="inlineStr">
        <is>
          <t>2 · DISPLAYED</t>
        </is>
      </c>
      <c r="F262" s="3" t="inlineStr">
        <is>
          <t>The vehicle treated as "the car you drive" — the most valuable one, so a second car stays a real asset.</t>
        </is>
      </c>
      <c r="G262"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62"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62" s="3" t="inlineStr">
        <is>
          <t>PARTLY READ — some of the code is still showing through; needs a hand pass</t>
        </is>
      </c>
      <c r="J262" s="3" t="inlineStr">
        <is>
          <t>accounts: AssetAccount[]</t>
        </is>
      </c>
      <c r="K262" s="3" t="inlineStr">
        <is>
          <t>string | undefined</t>
        </is>
      </c>
      <c r="L262" s="3" t="inlineStr">
        <is>
          <t>"WHAT COUNTS TOWARD RETIREMENT" — on a card used on more than one screen (PlanInputs), under "WHAT COUNTS TOWARD RETIREMENT"</t>
        </is>
      </c>
      <c r="M262" s="3" t="inlineStr">
        <is>
          <t>· If balance is missing it counts as zero, so nothing recorded and a real zero look the same.</t>
        </is>
      </c>
      <c r="N262" s="3" t="inlineStr">
        <is>
          <t>Yes</t>
        </is>
      </c>
      <c r="O262" s="3" t="inlineStr">
        <is>
          <t>MK-NW-F-011 assetClassOf</t>
        </is>
      </c>
      <c r="P262" s="3" t="n">
        <v>11</v>
      </c>
      <c r="Q262" s="3" t="inlineStr">
        <is>
          <t>1. MK-NW-F-011 assetClassOf
2. MK-NW-F-008 incomeBearingClassOf
3. MK-CF-F-155 cash
4. MK-ST-F-010 nameEvidence
5. MK-XS-F-122 n
6. MK-XS-F-147 call
7. MK-ST-F-056 has
8. MK-CF-F-132 map
9. MK-ST-F-027 accountId
10. MK-XS-F-064 currentIdToken
11. MK-XS-F-112 relayUrl</t>
        </is>
      </c>
      <c r="R262"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62" s="3" t="inlineStr">
        <is>
          <t>—</t>
        </is>
      </c>
      <c r="T262" s="3" t="inlineStr">
        <is>
          <t>PRIMARY_CAR</t>
        </is>
      </c>
      <c r="U262" s="3" t="inlineStr">
        <is>
          <t>ACTIVE</t>
        </is>
      </c>
      <c r="V262" s="3" t="inlineStr">
        <is>
          <t>2026-08-27</t>
        </is>
      </c>
      <c r="W262" s="3" t="n"/>
      <c r="X262" s="3" t="n"/>
      <c r="Y262" s="3" t="inlineStr">
        <is>
          <t>NOTHING OPEN</t>
        </is>
      </c>
    </row>
    <row r="263" ht="60" customHeight="1">
      <c r="A263" s="3" t="inlineStr">
        <is>
          <t>MK-NW-F-032</t>
        </is>
      </c>
      <c r="B263" s="3" t="inlineStr">
        <is>
          <t>earmarkedAmount</t>
        </is>
      </c>
      <c r="C263" s="3" t="inlineStr">
        <is>
          <t>src/domain/assets/index.ts</t>
        </is>
      </c>
      <c r="D263" s="3" t="n">
        <v>1373</v>
      </c>
      <c r="E263" s="3" t="inlineStr">
        <is>
          <t>2 · DISPLAYED</t>
        </is>
      </c>
      <c r="F263" s="3" t="inlineStr">
        <is>
          <t>The retirement-earmarked $ for one account (uses the saved % or the smart default).</t>
        </is>
      </c>
      <c r="G263" s="11" t="inlineStr">
        <is>
          <t>pct = earmark default(a, primary car id)   if retirement pct = nothing
retirement pct   otherwise
the answer = (balance or 0) × max(0, min(100, pct)) ÷ 100</t>
        </is>
      </c>
      <c r="H263" s="3" t="inlineStr">
        <is>
          <t>Pct is earmark default(a, primary car id) — when retirement pct is missing; retirement pct — otherwise. The answer is (balance or 0) times the smaller of 100 and pct, never below zero divided by 100.</t>
        </is>
      </c>
      <c r="I263" s="3" t="inlineStr">
        <is>
          <t>READ FROM THE CODE — rendered from the expressions the function runs</t>
        </is>
      </c>
      <c r="J263" s="3" t="inlineStr">
        <is>
          <t>1. a: AssetAccount
2. primaryCarId?: string</t>
        </is>
      </c>
      <c r="K263" s="3" t="inlineStr">
        <is>
          <t>number</t>
        </is>
      </c>
      <c r="L263" s="3" t="inlineStr">
        <is>
          <t>"WHAT COUNTS TOWARD RETIREMENT" — on a card used on more than one screen (PlanInputs), under "WHAT COUNTS TOWARD RETIREMENT"</t>
        </is>
      </c>
      <c r="M263" s="3" t="inlineStr">
        <is>
          <t>1. If balance is missing it counts as zero, so nothing recorded and a real zero look the same.
2. Caps percent at 100.</t>
        </is>
      </c>
      <c r="N263" s="3" t="inlineStr">
        <is>
          <t>Yes</t>
        </is>
      </c>
      <c r="O263" s="3" t="inlineStr">
        <is>
          <t>MK-NW-F-030 earmarkDefault</t>
        </is>
      </c>
      <c r="P263" s="3" t="n">
        <v>13</v>
      </c>
      <c r="Q263"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3"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3" s="3" t="inlineStr">
        <is>
          <t>—</t>
        </is>
      </c>
      <c r="T263" s="3" t="inlineStr">
        <is>
          <t>RETIREMENT_SHARE_AMOUNT</t>
        </is>
      </c>
      <c r="U263" s="3" t="inlineStr">
        <is>
          <t>ACTIVE</t>
        </is>
      </c>
      <c r="V263" s="3" t="inlineStr">
        <is>
          <t>2026-09-09</t>
        </is>
      </c>
      <c r="W263" s="3" t="n"/>
      <c r="X263" s="3" t="n"/>
      <c r="Y263" s="3" t="inlineStr">
        <is>
          <t>NOTHING OPEN</t>
        </is>
      </c>
    </row>
    <row r="264" ht="60" customHeight="1">
      <c r="A264" s="3" t="inlineStr">
        <is>
          <t>MK-NW-F-033</t>
        </is>
      </c>
      <c r="B264" s="3" t="inlineStr">
        <is>
          <t>retirementEarmarkedValue</t>
        </is>
      </c>
      <c r="C264" s="3" t="inlineStr">
        <is>
          <t>src/domain/assets/index.ts</t>
        </is>
      </c>
      <c r="D264" s="3" t="n">
        <v>1402</v>
      </c>
      <c r="E264" s="3" t="inlineStr">
        <is>
          <t>2 · DISPLAYED</t>
        </is>
      </c>
      <c r="F264" s="3" t="inlineStr">
        <is>
          <t>Total nest egg = sum of each account's retirement-earmarked portion.</t>
        </is>
      </c>
      <c r="G264" s="11" t="inlineStr">
        <is>
          <t>car = primary car id of(accounts)
the answer = Σ over accounts (or none when missing) of (earmarked amount(each, car))</t>
        </is>
      </c>
      <c r="H264" s="3" t="inlineStr">
        <is>
          <t>Car is primary car id of(accounts). The answer: the earmarked amount(each, car) added up across accounts (or none — when missing).</t>
        </is>
      </c>
      <c r="I264" s="3" t="inlineStr">
        <is>
          <t>READ FROM THE CODE — rendered from the expressions the function runs</t>
        </is>
      </c>
      <c r="J264" s="3" t="inlineStr">
        <is>
          <t>accounts: AssetAccount[]</t>
        </is>
      </c>
      <c r="K264" s="3" t="inlineStr">
        <is>
          <t>number</t>
        </is>
      </c>
      <c r="L264"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4" s="3" t="inlineStr">
        <is>
          <t>None found in this function — anything it assumes comes from the functions it depends on.</t>
        </is>
      </c>
      <c r="N264" s="3" t="inlineStr">
        <is>
          <t>Yes</t>
        </is>
      </c>
      <c r="O264" s="3" t="inlineStr">
        <is>
          <t>1. MK-NW-F-032 earmarkedAmount
2. MK-NW-F-031 primaryCarIdOf</t>
        </is>
      </c>
      <c r="P264" s="3" t="n">
        <v>15</v>
      </c>
      <c r="Q264"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4"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4" s="3" t="inlineStr">
        <is>
          <t>—</t>
        </is>
      </c>
      <c r="T264" s="3" t="inlineStr">
        <is>
          <t>NEST_EGG</t>
        </is>
      </c>
      <c r="U264" s="3" t="inlineStr">
        <is>
          <t>ACTIVE</t>
        </is>
      </c>
      <c r="V264" s="3" t="inlineStr">
        <is>
          <t>2026-09-09</t>
        </is>
      </c>
      <c r="W264" s="3" t="n"/>
      <c r="X264" s="3" t="n"/>
      <c r="Y264" s="3" t="inlineStr">
        <is>
          <t>NOTHING OPEN</t>
        </is>
      </c>
    </row>
    <row r="265" ht="60" customHeight="1">
      <c r="A265" s="3" t="inlineStr">
        <is>
          <t>MK-NW-F-034</t>
        </is>
      </c>
      <c r="B265" s="3" t="inlineStr">
        <is>
          <t>benchmarkReturn</t>
        </is>
      </c>
      <c r="C265" s="3" t="inlineStr">
        <is>
          <t>src/domain/assets/index.ts</t>
        </is>
      </c>
      <c r="D265" s="3" t="n">
        <v>1436</v>
      </c>
      <c r="E265" s="3" t="inlineStr">
        <is>
          <t>2 · DISPLAYED</t>
        </is>
      </c>
      <c r="F265" s="3" t="inlineStr">
        <is>
          <t>Benchmark expected annual return for an asset kind — user override if set, else the ASSET_KINDS default.</t>
        </is>
      </c>
      <c r="G265" s="11" t="inlineStr">
        <is>
          <t>overrides[kind]   when kind and overrides and overrides[kind] ≠ nothing
asset kind(kind).ret (or 0.06 when missing)</t>
        </is>
      </c>
      <c r="H265" s="3" t="inlineStr">
        <is>
          <t>When kind and overrides and overrides[kind] is not no answer, it answers overrides[kind]. asset kind(kind).ret (or 0.06 — when missing).</t>
        </is>
      </c>
      <c r="I265" s="3" t="inlineStr">
        <is>
          <t>PARTLY READ — some of the code is still showing through; needs a hand pass</t>
        </is>
      </c>
      <c r="J265" s="3" t="inlineStr">
        <is>
          <t>1. kind: string | undefined
2. overrides?: Record&lt;string, number&gt;</t>
        </is>
      </c>
      <c r="K265" s="3" t="inlineStr">
        <is>
          <t>number</t>
        </is>
      </c>
      <c r="L265" s="3" t="inlineStr">
        <is>
          <t>1. "Type" — on the Other investments screen
2. "Typical yearly return for this type" — on the account portfolio screen, under "IF INTEREST RATES MOVE"</t>
        </is>
      </c>
      <c r="M265" s="3" t="inlineStr">
        <is>
          <t>· If return is missing it uses 6%.</t>
        </is>
      </c>
      <c r="N265" s="3" t="inlineStr">
        <is>
          <t>Yes</t>
        </is>
      </c>
      <c r="O265" s="3" t="inlineStr">
        <is>
          <t>MK-NW-F-007 assetKind</t>
        </is>
      </c>
      <c r="P265" s="3" t="n">
        <v>12</v>
      </c>
      <c r="Q265" s="3" t="inlineStr">
        <is>
          <t>1. MK-NW-F-007 assetKind
2. MK-NW-F-011 assetClassOf
3. MK-CF-F-155 cash
4. MK-NW-F-008 incomeBearingClassOf
5. MK-XS-F-122 n
6. MK-ST-F-010 nameEvidence
7. MK-XS-F-147 call
8. MK-ST-F-056 has
9. MK-CF-F-132 map
10. MK-ST-F-027 accountId
11. MK-XS-F-064 currentIdToken
12. MK-XS-F-112 relayUrl</t>
        </is>
      </c>
      <c r="R265"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5" s="3" t="inlineStr">
        <is>
          <t>—</t>
        </is>
      </c>
      <c r="T265" s="3" t="inlineStr">
        <is>
          <t>EXPECTED_RETURN_BY_KIND</t>
        </is>
      </c>
      <c r="U265" s="3" t="inlineStr">
        <is>
          <t>ACTIVE</t>
        </is>
      </c>
      <c r="V265" s="3" t="inlineStr">
        <is>
          <t>2026-08-27</t>
        </is>
      </c>
      <c r="W265" s="3" t="n"/>
      <c r="X265" s="3" t="n"/>
      <c r="Y265" s="3" t="inlineStr">
        <is>
          <t>NOTHING OPEN</t>
        </is>
      </c>
    </row>
    <row r="266" ht="60" customHeight="1">
      <c r="A266" s="3" t="inlineStr">
        <is>
          <t>MK-NW-F-035</t>
        </is>
      </c>
      <c r="B266" s="3" t="inlineStr">
        <is>
          <t>blendedVolatility</t>
        </is>
      </c>
      <c r="C266" s="3" t="inlineStr">
        <is>
          <t>src/domain/assets/index.ts</t>
        </is>
      </c>
      <c r="D266" s="3" t="n">
        <v>1512</v>
      </c>
      <c r="E266" s="3" t="inlineStr">
        <is>
          <t>3 · DEPENDENT</t>
        </is>
      </c>
      <c r="F266" s="3" t="inlineStr">
        <is>
          <t>The volatility of THIS portfolio — each account's own class volatility, weighted the way the money actually is (the same weighting `blendedReturn` uses, so the pair always describes one portfolio).</t>
        </is>
      </c>
      <c r="G266"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6"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6" s="3" t="inlineStr">
        <is>
          <t>PARTLY READ — some of the code is still showing through; needs a hand pass</t>
        </is>
      </c>
      <c r="J266" s="3" t="inlineStr">
        <is>
          <t>1. accounts: AssetAccount[]
2. overrides?: Record&lt;string, number&gt;</t>
        </is>
      </c>
      <c r="K266" s="3" t="inlineStr">
        <is>
          <t>number</t>
        </is>
      </c>
      <c r="L266" s="3" t="inlineStr">
        <is>
          <t>—</t>
        </is>
      </c>
      <c r="M266" s="3" t="inlineStr">
        <is>
          <t>· If v is missing it uses 12%.</t>
        </is>
      </c>
      <c r="N266" s="3" t="inlineStr">
        <is>
          <t>Yes</t>
        </is>
      </c>
      <c r="O266" s="3" t="inlineStr">
        <is>
          <t>1. MK-CF-F-155 cash
2. MK-NW-F-032 earmarkedAmount
3. MK-NW-F-031 primaryCarIdOf</t>
        </is>
      </c>
      <c r="P266" s="3" t="n">
        <v>15</v>
      </c>
      <c r="Q266"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6"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6" s="3" t="inlineStr">
        <is>
          <t>—</t>
        </is>
      </c>
      <c r="T266" s="3" t="inlineStr">
        <is>
          <t>EXPECTED_SWING_BLENDED</t>
        </is>
      </c>
      <c r="U266" s="3" t="inlineStr">
        <is>
          <t>ACTIVE</t>
        </is>
      </c>
      <c r="V266" s="3" t="inlineStr">
        <is>
          <t>2026-08-27</t>
        </is>
      </c>
      <c r="W266" s="3" t="n"/>
      <c r="X266" s="3" t="n"/>
      <c r="Y266" s="6" t="inlineStr">
        <is>
          <t>TESTED, NOT VERIFIED (G24)</t>
        </is>
      </c>
    </row>
    <row r="267" ht="60" customHeight="1">
      <c r="A267" s="3" t="inlineStr">
        <is>
          <t>MK-NW-F-036</t>
        </is>
      </c>
      <c r="B267" s="3" t="inlineStr">
        <is>
          <t>benchmarkInfo</t>
        </is>
      </c>
      <c r="C267" s="3" t="inlineStr">
        <is>
          <t>src/domain/assets/index.ts</t>
        </is>
      </c>
      <c r="D267" s="3" t="n">
        <v>1572</v>
      </c>
      <c r="E267" s="3" t="inlineStr">
        <is>
          <t>2 · DISPLAYED</t>
        </is>
      </c>
      <c r="F267" s="3" t="inlineStr">
        <is>
          <t>Benchmark return + its source/period for an asset kind.</t>
        </is>
      </c>
      <c r="G267"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7"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7" s="3" t="inlineStr">
        <is>
          <t>PARTLY READ — some of the code is still showing through; needs a hand pass</t>
        </is>
      </c>
      <c r="J267" s="3" t="inlineStr">
        <is>
          <t>1. kind: string | undefined
2. overrides?: Record&lt;string, number&gt;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MK-NW-F-034 benchmarkReturn</t>
        </is>
      </c>
      <c r="P267" s="3" t="n">
        <v>13</v>
      </c>
      <c r="Q267"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7"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7" s="3" t="inlineStr">
        <is>
          <t>—</t>
        </is>
      </c>
      <c r="T267" s="3" t="inlineStr">
        <is>
          <t>—</t>
        </is>
      </c>
      <c r="U267" s="3" t="inlineStr">
        <is>
          <t>ACTIVE</t>
        </is>
      </c>
      <c r="V267" s="3" t="inlineStr">
        <is>
          <t>2026-08-27</t>
        </is>
      </c>
      <c r="W267" s="3" t="n"/>
      <c r="X267" s="3" t="n"/>
      <c r="Y267" s="3" t="inlineStr">
        <is>
          <t>NOTHING OPEN</t>
        </is>
      </c>
    </row>
    <row r="268" ht="60" customHeight="1">
      <c r="A268" s="3" t="inlineStr">
        <is>
          <t>MK-NW-F-037</t>
        </is>
      </c>
      <c r="B268" s="3" t="inlineStr">
        <is>
          <t>blendedReturn</t>
        </is>
      </c>
      <c r="C268" s="3" t="inlineStr">
        <is>
          <t>src/domain/assets/index.ts</t>
        </is>
      </c>
      <c r="D268" s="3" t="n">
        <v>1609</v>
      </c>
      <c r="E268" s="3" t="inlineStr">
        <is>
          <t>2 · DISPLAYED</t>
        </is>
      </c>
      <c r="F268" s="3" t="inlineStr">
        <is>
          <t>Blended expected return across the EARMARKED nest egg, weighted by each holding's share.</t>
        </is>
      </c>
      <c r="G268"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8"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8" s="3" t="inlineStr">
        <is>
          <t>READ FROM THE CODE — rendered from the expressions the function runs</t>
        </is>
      </c>
      <c r="J268" s="3" t="inlineStr">
        <is>
          <t>1. accounts: AssetAccount[]
2. overrides?: Record&lt;string, number&gt;</t>
        </is>
      </c>
      <c r="K268" s="3" t="inlineStr">
        <is>
          <t>number</t>
        </is>
      </c>
      <c r="L268" s="3" t="inlineStr">
        <is>
          <t>1. "Expected return" — on the Retirement cockpit screen, under "scRetired ?"
2. "Weighted average" — on the Retirement cockpit screen</t>
        </is>
      </c>
      <c r="M268" s="3" t="inlineStr">
        <is>
          <t>None found in this function — anything it assumes comes from the functions it depends on.</t>
        </is>
      </c>
      <c r="N268" s="3" t="inlineStr">
        <is>
          <t>Yes</t>
        </is>
      </c>
      <c r="O268" s="3" t="inlineStr">
        <is>
          <t>1. MK-NW-F-034 benchmarkReturn
2. MK-NW-F-032 earmarkedAmount
3. MK-NW-F-031 primaryCarIdOf</t>
        </is>
      </c>
      <c r="P268" s="3" t="n">
        <v>17</v>
      </c>
      <c r="Q268"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8"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8" s="3" t="inlineStr">
        <is>
          <t>—</t>
        </is>
      </c>
      <c r="T268" s="3" t="inlineStr">
        <is>
          <t>EXPECTED_RETURN_BLENDED</t>
        </is>
      </c>
      <c r="U268" s="3" t="inlineStr">
        <is>
          <t>ACTIVE</t>
        </is>
      </c>
      <c r="V268" s="3" t="inlineStr">
        <is>
          <t>2026-09-09</t>
        </is>
      </c>
      <c r="W268" s="3" t="n"/>
      <c r="X268" s="3" t="n"/>
      <c r="Y268" s="6" t="inlineStr">
        <is>
          <t>TESTED, NOT VERIFIED (G24)</t>
        </is>
      </c>
    </row>
    <row r="269" ht="60" customHeight="1">
      <c r="A269" s="3" t="inlineStr">
        <is>
          <t>MK-NW-F-038</t>
        </is>
      </c>
      <c r="B269" s="3" t="inlineStr">
        <is>
          <t>earmarkedKinds</t>
        </is>
      </c>
      <c r="C269" s="3" t="inlineStr">
        <is>
          <t>src/domain/assets/index.ts</t>
        </is>
      </c>
      <c r="D269" s="3" t="n">
        <v>1640</v>
      </c>
      <c r="E269" s="3" t="inlineStr">
        <is>
          <t>3 · DEPENDENT (feeds an action only)</t>
        </is>
      </c>
      <c r="F269" s="3" t="inlineStr">
        <is>
          <t>Distinct investment kinds present in the earmarked nest egg (for the benchmark editor).</t>
        </is>
      </c>
      <c r="G269" s="11" t="inlineStr">
        <is>
          <t>seen = new set&lt;string&gt;()
the answer = array.from(seen)</t>
        </is>
      </c>
      <c r="H269" s="3" t="inlineStr">
        <is>
          <t>Seen is new set&lt;string&gt;(). The answer is array.from(seen).</t>
        </is>
      </c>
      <c r="I269" s="3" t="inlineStr">
        <is>
          <t>PARTLY READ — some of the code is still showing through; needs a hand pass</t>
        </is>
      </c>
      <c r="J269" s="3" t="inlineStr">
        <is>
          <t>accounts: AssetAccount[]</t>
        </is>
      </c>
      <c r="K269" s="3" t="inlineStr">
        <is>
          <t>string[]</t>
        </is>
      </c>
      <c r="L269" s="3" t="inlineStr">
        <is>
          <t>—</t>
        </is>
      </c>
      <c r="M269" s="3" t="inlineStr">
        <is>
          <t>· Uses a built-in d e f a u l t r e t u r n of 7%.</t>
        </is>
      </c>
      <c r="N269" s="3" t="inlineStr">
        <is>
          <t>No</t>
        </is>
      </c>
      <c r="O269" s="3" t="inlineStr">
        <is>
          <t>MK-NW-F-032 earmarkedAmount</t>
        </is>
      </c>
      <c r="P269" s="3" t="n">
        <v>14</v>
      </c>
      <c r="Q269"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9"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MK-NW-F-039</t>
        </is>
      </c>
      <c r="B270" s="3" t="inlineStr">
        <is>
          <t>buildAssetsState</t>
        </is>
      </c>
      <c r="C270" s="3" t="inlineStr">
        <is>
          <t>src/domain/assets/index.ts</t>
        </is>
      </c>
      <c r="D270" s="3" t="n">
        <v>1682</v>
      </c>
      <c r="E270" s="3" t="inlineStr">
        <is>
          <t>2 · DISPLAYED</t>
        </is>
      </c>
      <c r="F270" s="3" t="inlineStr">
        <is>
          <t>How much of everything sits in each account, and what return do they blend to?</t>
        </is>
      </c>
      <c r="G270" s="11" t="inlineStr">
        <is>
          <t>total asset value      = round(Σ over every account of (balance), 2 dp)
share of portfolio (a) = round(balance of a ÷ total × 100, 2 dp)
average target return  = round(Σ(target return × balance) ÷ total, 4 dp)</t>
        </is>
      </c>
      <c r="H270"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70" s="3" t="inlineStr">
        <is>
          <t>READ BY HAND 2026-08-26 — checked line by line against the code</t>
        </is>
      </c>
      <c r="J270" s="3" t="inlineStr">
        <is>
          <t>1. uid: UserId
2. accounts: AssetAccount[]</t>
        </is>
      </c>
      <c r="K270" s="3" t="inlineStr">
        <is>
          <t>AssetsState</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MK-CF-F-132 map
2. MK-XS-F-175 uid</t>
        </is>
      </c>
      <c r="P270" s="3" t="n">
        <v>80</v>
      </c>
      <c r="Q270"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70"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70" s="3" t="inlineStr">
        <is>
          <t>—</t>
        </is>
      </c>
      <c r="T270" s="3" t="inlineStr">
        <is>
          <t>ACCOUNT_SHARE_OF_TOTAL</t>
        </is>
      </c>
      <c r="U270" s="3" t="inlineStr">
        <is>
          <t>ACTIVE</t>
        </is>
      </c>
      <c r="V270" s="3" t="inlineStr">
        <is>
          <t>2026-08-27</t>
        </is>
      </c>
      <c r="W270" s="3" t="n"/>
      <c r="X270" s="3" t="n"/>
      <c r="Y270" s="3" t="inlineStr">
        <is>
          <t>NOTHING OPEN</t>
        </is>
      </c>
    </row>
    <row r="271" ht="60" customHeight="1">
      <c r="A271" s="3" t="inlineStr">
        <is>
          <t>MK-NW-F-040</t>
        </is>
      </c>
      <c r="B271" s="3" t="inlineStr">
        <is>
          <t>assetsFromOnboarding</t>
        </is>
      </c>
      <c r="C271" s="3" t="inlineStr">
        <is>
          <t>src/domain/assets/index.ts</t>
        </is>
      </c>
      <c r="D271" s="3" t="n">
        <v>1731</v>
      </c>
      <c r="E271" s="3" t="inlineStr">
        <is>
          <t>3 · DEPENDENT</t>
        </is>
      </c>
      <c r="F271" s="3" t="inlineStr">
        <is>
          <t>Build asset accounts from onboarding answers (accumulation: retirement savings + holdings).</t>
        </is>
      </c>
      <c r="G271" s="11" t="inlineStr">
        <is>
          <t>a = op (or none when missing)
accounts = []
bal = raw read as a number (0 when it is not one)
the answer:
user id = uid
accounts = accounts</t>
        </is>
      </c>
      <c r="H271" s="3" t="inlineStr">
        <is>
          <t>A is op (or none — when missing). Accounts is []. Bal is raw read as a number (0 — when it is one is missing). The answer is user id = uid; accounts = accounts.</t>
        </is>
      </c>
      <c r="I271" s="3" t="inlineStr">
        <is>
          <t>READ FROM THE CODE — rendered from the expressions the function runs</t>
        </is>
      </c>
      <c r="J271" s="3" t="inlineStr">
        <is>
          <t>1. uid: UserId
2. op: Record&lt;string, any&gt; | null</t>
        </is>
      </c>
      <c r="K271" s="3" t="inlineStr">
        <is>
          <t>AssetsDoc</t>
        </is>
      </c>
      <c r="L271" s="3" t="inlineStr">
        <is>
          <t>—</t>
        </is>
      </c>
      <c r="M271" s="3" t="inlineStr">
        <is>
          <t>None found in this function — anything it assumes comes from the functions it depends on.</t>
        </is>
      </c>
      <c r="N271" s="3" t="inlineStr">
        <is>
          <t>Yes</t>
        </is>
      </c>
      <c r="O271" s="3" t="inlineStr">
        <is>
          <t>1. MK-ST-F-043 newEntityId
2. MK-ST-F-052 toNum
3. MK-XS-F-175 uid</t>
        </is>
      </c>
      <c r="P271" s="3" t="n">
        <v>79</v>
      </c>
      <c r="Q271"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71"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71" s="3" t="inlineStr">
        <is>
          <t>—</t>
        </is>
      </c>
      <c r="T271" s="3" t="inlineStr">
        <is>
          <t>ACCOUNTS_FROM_SETUP</t>
        </is>
      </c>
      <c r="U271" s="3" t="inlineStr">
        <is>
          <t>ACTIVE</t>
        </is>
      </c>
      <c r="V271" s="3" t="inlineStr">
        <is>
          <t>2026-08-27</t>
        </is>
      </c>
      <c r="W271" s="3" t="n"/>
      <c r="X271" s="3" t="n"/>
      <c r="Y271" s="3" t="inlineStr">
        <is>
          <t>NOTHING OPEN</t>
        </is>
      </c>
    </row>
    <row r="272" ht="60" customHeight="1">
      <c r="A272" s="3" t="inlineStr">
        <is>
          <t>MK-NW-F-041</t>
        </is>
      </c>
      <c r="B272" s="3" t="inlineStr">
        <is>
          <t>monthlyContributionsFromOnboarding</t>
        </is>
      </c>
      <c r="C272" s="3" t="inlineStr">
        <is>
          <t>src/domain/assets/index.ts</t>
        </is>
      </c>
      <c r="D272" s="3" t="n">
        <v>1773</v>
      </c>
      <c r="E272" s="3" t="inlineStr">
        <is>
          <t>2 · DISPLAYED</t>
        </is>
      </c>
      <c r="F272" s="3" t="inlineStr">
        <is>
          <t>Total monthly contributions across types + employer match (feeds the retirement projection).</t>
        </is>
      </c>
      <c r="G272" s="11" t="inlineStr">
        <is>
          <t>a = op (or none when missing)
the answer = Σ over ['c_401k', 'c_roth', 'c_invest', 'c_property'] of (a[each] read as a number (0 when it is not one))+ employer match monthly(op)</t>
        </is>
      </c>
      <c r="H272" s="3" t="inlineStr">
        <is>
          <t>A is op (or none — when missing). The answer: the a[each] read as a number (0 — when it is one is missing))+ employer match monthly(op added up across ['c_401k', 'c_roth', 'c_invest', 'c_property'].</t>
        </is>
      </c>
      <c r="I272" s="3" t="inlineStr">
        <is>
          <t>PARTLY READ — some of the code is still showing through; needs a hand pass</t>
        </is>
      </c>
      <c r="J272" s="3" t="inlineStr">
        <is>
          <t>op: Record&lt;string, any&gt; | null</t>
        </is>
      </c>
      <c r="K272" s="3" t="inlineStr">
        <is>
          <t>number</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MK-CF-F-078 employerMatchMonthly
2. MK-ST-F-052 toNum</t>
        </is>
      </c>
      <c r="P272" s="3" t="n">
        <v>8</v>
      </c>
      <c r="Q272" s="3" t="inlineStr">
        <is>
          <t>1. MK-CF-F-078 employerMatchMonthly
2. MK-ST-F-052 toNum
3. MK-CF-F-175 sumOverEarners
4. MK-CF-F-178 wageMatchMonthly
5. MK-XS-F-122 n
6. MK-CF-F-173 earnerWages
7. MK-CF-F-172 hasWage
8. MK-ST-F-056 has</t>
        </is>
      </c>
      <c r="R272"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72" s="3" t="inlineStr">
        <is>
          <t>—</t>
        </is>
      </c>
      <c r="T272" s="3" t="inlineStr">
        <is>
          <t>MONTHLY_SAVING</t>
        </is>
      </c>
      <c r="U272" s="3" t="inlineStr">
        <is>
          <t>ACTIVE</t>
        </is>
      </c>
      <c r="V272" s="3" t="inlineStr">
        <is>
          <t>2026-08-27</t>
        </is>
      </c>
      <c r="W272" s="3" t="n"/>
      <c r="X272" s="3" t="n"/>
      <c r="Y272" s="3" t="inlineStr">
        <is>
          <t>NOTHING OPEN</t>
        </is>
      </c>
    </row>
    <row r="273" ht="60" customHeight="1">
      <c r="A273" s="3" t="inlineStr">
        <is>
          <t>MK-NW-F-042</t>
        </is>
      </c>
      <c r="B273" s="3" t="inlineStr">
        <is>
          <t>loadAssets</t>
        </is>
      </c>
      <c r="C273" s="3" t="inlineStr">
        <is>
          <t>src/domain/assets/index.ts</t>
        </is>
      </c>
      <c r="D273" s="3" t="n">
        <v>1798</v>
      </c>
      <c r="E273" s="3" t="inlineStr">
        <is>
          <t>3 · DEPENDENT (feeds an action only)</t>
        </is>
      </c>
      <c r="F273" s="3" t="inlineStr">
        <is>
          <t>NOT DETERMINED — the code carries no note saying what this is for, and it has no row in the old inventory. Needs reading.</t>
        </is>
      </c>
      <c r="G273" s="11" t="inlineStr">
        <is>
          <t>It reaches outside the app for data and hands back what came back — no arithmetic of its own.</t>
        </is>
      </c>
      <c r="H273" s="3" t="inlineStr">
        <is>
          <t>It reaches outside the app for data and hands back what came back — no arithmetic of its own.</t>
        </is>
      </c>
      <c r="I273" s="3" t="inlineStr">
        <is>
          <t>NO ARITHMETIC — there is no formula to state</t>
        </is>
      </c>
      <c r="J273" s="3" t="inlineStr">
        <is>
          <t>uid: UserId</t>
        </is>
      </c>
      <c r="K273" s="3" t="inlineStr">
        <is>
          <t>NOT DECLARED — the code does not say what it gives back</t>
        </is>
      </c>
      <c r="L273" s="3" t="inlineStr">
        <is>
          <t>—</t>
        </is>
      </c>
      <c r="M273" s="3" t="inlineStr">
        <is>
          <t>None found in this function — anything it assumes comes from the functions it depends on.</t>
        </is>
      </c>
      <c r="N273" s="3" t="inlineStr">
        <is>
          <t>No</t>
        </is>
      </c>
      <c r="O273" s="3" t="inlineStr">
        <is>
          <t>MK-XS-F-175 uid</t>
        </is>
      </c>
      <c r="P273" s="3" t="n">
        <v>80</v>
      </c>
      <c r="Q27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73"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3" s="3" t="inlineStr">
        <is>
          <t>—</t>
        </is>
      </c>
      <c r="T273" s="3" t="inlineStr">
        <is>
          <t>—</t>
        </is>
      </c>
      <c r="U273" s="3" t="inlineStr">
        <is>
          <t>ACTIVE</t>
        </is>
      </c>
      <c r="V273" s="3" t="inlineStr">
        <is>
          <t>2026-08-27</t>
        </is>
      </c>
      <c r="W273" s="3" t="n"/>
      <c r="X273" s="3" t="n"/>
      <c r="Y273" s="3" t="inlineStr">
        <is>
          <t>NOTHING OPEN</t>
        </is>
      </c>
    </row>
    <row r="274" ht="60" customHeight="1">
      <c r="A274" s="3" t="inlineStr">
        <is>
          <t>MK-NW-F-043</t>
        </is>
      </c>
      <c r="B274" s="3" t="inlineStr">
        <is>
          <t>saveAssets</t>
        </is>
      </c>
      <c r="C274" s="3" t="inlineStr">
        <is>
          <t>src/domain/assets/index.ts</t>
        </is>
      </c>
      <c r="D274" s="3" t="n">
        <v>1814</v>
      </c>
      <c r="E274" s="3" t="inlineStr">
        <is>
          <t>1 · ACTION</t>
        </is>
      </c>
      <c r="F274" s="3" t="inlineStr">
        <is>
          <t>NOT DETERMINED — the code carries no note saying what this is for, and it has no row in the old inventory. Needs reading.</t>
        </is>
      </c>
      <c r="G274" s="11" t="inlineStr">
        <is>
          <t>It records or announces something and returns no figure — no arithmetic of its own.</t>
        </is>
      </c>
      <c r="H274" s="3" t="inlineStr">
        <is>
          <t>It records or announces something and returns no figure — no arithmetic of its own.</t>
        </is>
      </c>
      <c r="I274" s="3" t="inlineStr">
        <is>
          <t>NO ARITHMETIC — there is no formula to state</t>
        </is>
      </c>
      <c r="J274" s="3" t="inlineStr">
        <is>
          <t>d: AssetsDoc</t>
        </is>
      </c>
      <c r="K274" s="3" t="inlineStr">
        <is>
          <t>d.user_id }); }</t>
        </is>
      </c>
      <c r="L274" s="3" t="inlineStr">
        <is>
          <t>—</t>
        </is>
      </c>
      <c r="M274" s="3" t="inlineStr">
        <is>
          <t>None found in this function — anything it assumes comes from the functions it depends on.</t>
        </is>
      </c>
      <c r="N274" s="3" t="inlineStr">
        <is>
          <t>No</t>
        </is>
      </c>
      <c r="O274" s="3" t="inlineStr">
        <is>
          <t>1. MK-ST-F-040 emit
2. MK-ST-F-042 setUserDoc</t>
        </is>
      </c>
      <c r="P274" s="3" t="n">
        <v>82</v>
      </c>
      <c r="Q274"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74"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4" s="3" t="inlineStr">
        <is>
          <t>—</t>
        </is>
      </c>
      <c r="T274" s="3" t="inlineStr">
        <is>
          <t>—</t>
        </is>
      </c>
      <c r="U274" s="3" t="inlineStr">
        <is>
          <t>ACTIVE</t>
        </is>
      </c>
      <c r="V274" s="3" t="inlineStr">
        <is>
          <t>2026-08-27</t>
        </is>
      </c>
      <c r="W274" s="3" t="n"/>
      <c r="X274" s="3" t="n"/>
      <c r="Y274" s="3" t="inlineStr">
        <is>
          <t>NOTHING OPEN</t>
        </is>
      </c>
    </row>
    <row r="275" ht="60" customHeight="1">
      <c r="A275" s="3" t="inlineStr">
        <is>
          <t>MK-NW-F-044</t>
        </is>
      </c>
      <c r="B275" s="3" t="inlineStr">
        <is>
          <t>getAssetsState</t>
        </is>
      </c>
      <c r="C275" s="3" t="inlineStr">
        <is>
          <t>src/domain/assets/index.ts</t>
        </is>
      </c>
      <c r="D275" s="3" t="n">
        <v>1831</v>
      </c>
      <c r="E275" s="3" t="inlineStr">
        <is>
          <t>3 · DEPENDENT (feeds an action only)</t>
        </is>
      </c>
      <c r="F275" s="3" t="inlineStr">
        <is>
          <t>NOT DETERMINED — the code carries no note saying what this is for, and it has no row in the old inventory. Needs reading.</t>
        </is>
      </c>
      <c r="G275" s="11" t="inlineStr">
        <is>
          <t>d = build assets state(uid, accounts ?? [])   if await load assets(uid); return d
nothing   otherwise</t>
        </is>
      </c>
      <c r="H275" s="3" t="inlineStr">
        <is>
          <t>D is build assets state(uid, accounts ?? []) — when await load assets(uid); return d; no answer — otherwise.</t>
        </is>
      </c>
      <c r="I275" s="3" t="inlineStr">
        <is>
          <t>PARTLY READ — some of the code is still showing through; needs a hand pass</t>
        </is>
      </c>
      <c r="J275" s="3" t="inlineStr">
        <is>
          <t>uid: UserId</t>
        </is>
      </c>
      <c r="K275" s="3" t="inlineStr">
        <is>
          <t>NOT DECLARED — the code does not say what it gives back</t>
        </is>
      </c>
      <c r="L275" s="3" t="inlineStr">
        <is>
          <t>—</t>
        </is>
      </c>
      <c r="M275" s="3" t="inlineStr">
        <is>
          <t>None found in this function — anything it assumes comes from the functions it depends on.</t>
        </is>
      </c>
      <c r="N275" s="3" t="inlineStr">
        <is>
          <t>No</t>
        </is>
      </c>
      <c r="O275" s="3" t="inlineStr">
        <is>
          <t>1. MK-NW-F-039 buildAssetsState
2. MK-NW-F-042 loadAssets
3. MK-XS-F-175 uid</t>
        </is>
      </c>
      <c r="P275" s="3" t="n">
        <v>82</v>
      </c>
      <c r="Q275"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75"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5" s="3" t="inlineStr">
        <is>
          <t>—</t>
        </is>
      </c>
      <c r="T275" s="3" t="inlineStr">
        <is>
          <t>—</t>
        </is>
      </c>
      <c r="U275" s="3" t="inlineStr">
        <is>
          <t>ACTIVE</t>
        </is>
      </c>
      <c r="V275" s="3" t="inlineStr">
        <is>
          <t>2026-08-27</t>
        </is>
      </c>
      <c r="W275" s="3" t="n"/>
      <c r="X275" s="3" t="n"/>
      <c r="Y275" s="3" t="inlineStr">
        <is>
          <t>NOTHING OPEN</t>
        </is>
      </c>
    </row>
    <row r="276" ht="60" customHeight="1">
      <c r="A276" s="3" t="inlineStr">
        <is>
          <t>MK-NW-F-045</t>
        </is>
      </c>
      <c r="B276" s="3" t="inlineStr">
        <is>
          <t>sourceWording</t>
        </is>
      </c>
      <c r="C276" s="3" t="inlineStr">
        <is>
          <t>src/domain/assets/index.ts</t>
        </is>
      </c>
      <c r="D276" s="3" t="n">
        <v>1864</v>
      </c>
      <c r="E276" s="3" t="inlineStr">
        <is>
          <t>2 · DISPLAYED</t>
        </is>
      </c>
      <c r="F276" s="3" t="inlineStr">
        <is>
          <t>THE source wording (Build-47 walk row 8, audit Strategy #9): one sentence per source, used by every screen that names where an account's numbers come from.</t>
        </is>
      </c>
      <c r="G276"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6"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6" s="3" t="inlineStr">
        <is>
          <t>PARTLY READ — some of the code is still showing through; needs a hand pass</t>
        </is>
      </c>
      <c r="J276" s="3" t="inlineStr">
        <is>
          <t>1. a: AssetAccount
2. now: number = Date.now()</t>
        </is>
      </c>
      <c r="K276" s="3" t="inlineStr">
        <is>
          <t>string</t>
        </is>
      </c>
      <c r="L276" s="3" t="inlineStr">
        <is>
          <t>NOT FOUND — a screen calls it, but the words printed beside its answer could not be traced automatically. Needs reading.</t>
        </is>
      </c>
      <c r="M276" s="3" t="inlineStr">
        <is>
          <t>· Uses today's date from the device clock, so the answer changes by itself overnight.</t>
        </is>
      </c>
      <c r="N276" s="3" t="inlineStr">
        <is>
          <t>Yes</t>
        </is>
      </c>
      <c r="O276" s="3" t="inlineStr">
        <is>
          <t>1. MK-ST-F-076 ageLabel
2. MK-ST-F-077 isStale</t>
        </is>
      </c>
      <c r="P276" s="3" t="n">
        <v>3</v>
      </c>
      <c r="Q276" s="3" t="inlineStr">
        <is>
          <t>1. MK-ST-F-076 ageLabel
2. MK-ST-F-077 isStale
3. MK-XS-F-170 daysSince</t>
        </is>
      </c>
      <c r="R276" s="3" t="inlineStr">
        <is>
          <t>1. MK-XS-F-170 daysSince → MK-ST-F-076 ageLabel → MK-NW-F-045 sourceWording
2. MK-XS-F-170 daysSince → MK-ST-F-077 isStale → MK-NW-F-045 sourceWording</t>
        </is>
      </c>
      <c r="S276" s="3" t="inlineStr">
        <is>
          <t>—</t>
        </is>
      </c>
      <c r="T276" s="3" t="inlineStr">
        <is>
          <t>WHERE_THE_VALUE_CAME_FROM</t>
        </is>
      </c>
      <c r="U276" s="3" t="inlineStr">
        <is>
          <t>ACTIVE</t>
        </is>
      </c>
      <c r="V276" s="3" t="inlineStr">
        <is>
          <t>2026-10-01</t>
        </is>
      </c>
      <c r="W276" s="3" t="n"/>
      <c r="X276" s="3" t="n"/>
      <c r="Y276" s="3" t="inlineStr">
        <is>
          <t>NOTHING OPEN</t>
        </is>
      </c>
    </row>
    <row r="277" ht="60" customHeight="1">
      <c r="A277" s="3" t="inlineStr">
        <is>
          <t>MK-NW-F-046</t>
        </is>
      </c>
      <c r="B277" s="3" t="inlineStr">
        <is>
          <t>historyCoverage</t>
        </is>
      </c>
      <c r="C277" s="3" t="inlineStr">
        <is>
          <t>src/domain/assets/index.ts</t>
        </is>
      </c>
      <c r="D277" s="3" t="n">
        <v>1919</v>
      </c>
      <c r="E277" s="3" t="inlineStr">
        <is>
          <t>2 · DISPLAYED</t>
        </is>
      </c>
      <c r="F277" s="3" t="inlineStr">
        <is>
          <t>NOT DETERMINED — the code carries no note saying what this is for, and it has no row in the old inventory. Needs reading.</t>
        </is>
      </c>
      <c r="G277"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7"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7" s="3" t="inlineStr">
        <is>
          <t>PARTLY READ — some of the code is still showing through; needs a hand pass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1. Turns a monthly figure into a year by multiplying by twelve.
2. Uses today's date from the device clock, so the answer changes by itself overnight.
3. Rounds the answer to 1 decimal place.</t>
        </is>
      </c>
      <c r="N277" s="3" t="inlineStr">
        <is>
          <t>Yes</t>
        </is>
      </c>
      <c r="O277" s="3" t="inlineStr">
        <is>
          <t>1. MK-CF-F-132 map
2. MK-NW-F-068 prettyDay</t>
        </is>
      </c>
      <c r="P277" s="3" t="n">
        <v>2</v>
      </c>
      <c r="Q277" s="3" t="inlineStr">
        <is>
          <t>1. MK-CF-F-132 map
2. MK-NW-F-068 prettyDay</t>
        </is>
      </c>
      <c r="R277" s="3" t="inlineStr">
        <is>
          <t>1. MK-CF-F-132 map → MK-NW-F-046 historyCoverage
2. MK-CF-F-132 map → MK-NW-F-068 prettyDay → MK-NW-F-046 historyCoverage</t>
        </is>
      </c>
      <c r="S277" s="3" t="inlineStr">
        <is>
          <t>—</t>
        </is>
      </c>
      <c r="T277" s="3" t="inlineStr">
        <is>
          <t>—</t>
        </is>
      </c>
      <c r="U277" s="3" t="inlineStr">
        <is>
          <t>ACTIVE</t>
        </is>
      </c>
      <c r="V277" s="3" t="inlineStr">
        <is>
          <t>2026-08-27</t>
        </is>
      </c>
      <c r="W277" s="3" t="n"/>
      <c r="X277" s="3" t="n"/>
      <c r="Y277" s="3" t="inlineStr">
        <is>
          <t>NOTHING OPEN</t>
        </is>
      </c>
    </row>
    <row r="278" ht="60" customHeight="1">
      <c r="A278" s="3" t="inlineStr">
        <is>
          <t>MK-NW-F-047</t>
        </is>
      </c>
      <c r="B278" s="3" t="inlineStr">
        <is>
          <t>uberGroupOf</t>
        </is>
      </c>
      <c r="C278" s="3" t="inlineStr">
        <is>
          <t>src/domain/assets/index.ts</t>
        </is>
      </c>
      <c r="D278" s="3" t="n">
        <v>2002</v>
      </c>
      <c r="E278" s="3" t="inlineStr">
        <is>
          <t>1 · ACTION</t>
        </is>
      </c>
      <c r="F278" s="3" t="inlineStr">
        <is>
          <t>NOT DETERMINED — the code carries no note saying what this is for, and it has no row in the old inventory. Needs reading.</t>
        </is>
      </c>
      <c r="G278" s="11" t="inlineStr">
        <is>
          <t>CLASS_UBER[cls] (or 'investments' when missing)</t>
        </is>
      </c>
      <c r="H278" s="3" t="inlineStr">
        <is>
          <t>CLASS_UBER[cls] (or 'investments' — when missing)</t>
        </is>
      </c>
      <c r="I278" s="3" t="inlineStr">
        <is>
          <t>READ FROM THE CODE — rendered from the expressions the function runs</t>
        </is>
      </c>
      <c r="J278" s="3" t="inlineStr">
        <is>
          <t>cls: AssetClass</t>
        </is>
      </c>
      <c r="K278" s="3" t="inlineStr">
        <is>
          <t>UberGroup</t>
        </is>
      </c>
      <c r="L278" s="3" t="inlineStr">
        <is>
          <t>"Nothing entered yet." — on the Net worth screen, under "DEBTS"</t>
        </is>
      </c>
      <c r="M278" s="3" t="inlineStr">
        <is>
          <t>None found in this function — anything it assumes comes from the functions it depends on.</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t>
        </is>
      </c>
      <c r="U278" s="3" t="inlineStr">
        <is>
          <t>ACTIVE</t>
        </is>
      </c>
      <c r="V278" s="3" t="inlineStr">
        <is>
          <t>2026-08-27</t>
        </is>
      </c>
      <c r="W278" s="3" t="n"/>
      <c r="X278" s="3" t="n"/>
      <c r="Y278" s="3" t="inlineStr">
        <is>
          <t>NOTHING OPEN</t>
        </is>
      </c>
    </row>
    <row r="279" ht="45" customHeight="1">
      <c r="A279" s="3" t="inlineStr">
        <is>
          <t>MK-NW-F-048</t>
        </is>
      </c>
      <c r="B279" s="3" t="inlineStr">
        <is>
          <t>uberGroupRows</t>
        </is>
      </c>
      <c r="C279" s="3" t="inlineStr">
        <is>
          <t>src/domain/assets/index.ts</t>
        </is>
      </c>
      <c r="D279" s="3" t="n">
        <v>2020</v>
      </c>
      <c r="E279" s="3" t="inlineStr">
        <is>
          <t>2 · DISPLAYED</t>
        </is>
      </c>
      <c r="F279" s="3" t="inlineStr">
        <is>
          <t>Group per-class totals into the three uber-groups, keeping class order inside each.</t>
        </is>
      </c>
      <c r="G279" s="11" t="inlineStr">
        <is>
          <t>classes = class rows where uber group of(key) = group</t>
        </is>
      </c>
      <c r="H279" s="3" t="inlineStr">
        <is>
          <t>Classes is class rows where uber group of(key) = group.</t>
        </is>
      </c>
      <c r="I279" s="3" t="inlineStr">
        <is>
          <t>READ FROM THE CODE — rendered from the expressions the function runs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MK-CF-F-132 map
2. MK-NW-F-047 uberGroupOf</t>
        </is>
      </c>
      <c r="P279" s="3" t="n">
        <v>2</v>
      </c>
      <c r="Q279" s="3" t="inlineStr">
        <is>
          <t>1. MK-CF-F-132 map
2. MK-NW-F-047 uberGroupOf</t>
        </is>
      </c>
      <c r="R279" s="3" t="inlineStr">
        <is>
          <t>1. MK-CF-F-132 map → MK-NW-F-048 uberGroupRows
2. MK-NW-F-047 uberGroupOf → MK-NW-F-048 uberGroupRows</t>
        </is>
      </c>
      <c r="S279" s="3" t="inlineStr">
        <is>
          <t>—</t>
        </is>
      </c>
      <c r="T279" s="3" t="inlineStr">
        <is>
          <t>NET_WORTH_GROUPING</t>
        </is>
      </c>
      <c r="U279" s="3" t="inlineStr">
        <is>
          <t>ACTIVE</t>
        </is>
      </c>
      <c r="V279" s="3" t="inlineStr">
        <is>
          <t>2026-08-27</t>
        </is>
      </c>
      <c r="W279" s="3" t="n"/>
      <c r="X279" s="3" t="n"/>
      <c r="Y279" s="3" t="inlineStr">
        <is>
          <t>NOTHING OPEN</t>
        </is>
      </c>
    </row>
    <row r="280" ht="30" customHeight="1">
      <c r="A280" s="3" t="inlineStr">
        <is>
          <t>MK-NW-F-049</t>
        </is>
      </c>
      <c r="B280" s="3" t="inlineStr">
        <is>
          <t>itemizedTotal</t>
        </is>
      </c>
      <c r="C280" s="3" t="inlineStr">
        <is>
          <t>src/domain/assets/itemize.ts</t>
        </is>
      </c>
      <c r="D280" s="3" t="n">
        <v>51</v>
      </c>
      <c r="E280" s="3" t="inlineStr">
        <is>
          <t>1 · ACTION</t>
        </is>
      </c>
      <c r="F280" s="3" t="inlineStr">
        <is>
          <t>Σ of the itemized holding values.</t>
        </is>
      </c>
      <c r="G280" s="11" t="inlineStr">
        <is>
          <t>the answer = Σ over items of (value, or 0 when missing)</t>
        </is>
      </c>
      <c r="H280" s="3" t="inlineStr">
        <is>
          <t>Adds up the value of every holding entered while itemising an account.</t>
        </is>
      </c>
      <c r="I280" s="3" t="inlineStr">
        <is>
          <t>READ BY HAND 2026-08-26 — checked line by line against the code</t>
        </is>
      </c>
      <c r="J280" s="3" t="inlineStr">
        <is>
          <t>items: ItemHolding[]</t>
        </is>
      </c>
      <c r="K280" s="3" t="inlineStr">
        <is>
          <t>number</t>
        </is>
      </c>
      <c r="L280" s="3" t="inlineStr">
        <is>
          <t>—</t>
        </is>
      </c>
      <c r="M280" s="3" t="inlineStr">
        <is>
          <t>· If value is missing it counts as zero, so nothing recorded and a real zero look the same.</t>
        </is>
      </c>
      <c r="N280" s="3" t="inlineStr">
        <is>
          <t>Yes</t>
        </is>
      </c>
      <c r="O280" s="3" t="inlineStr">
        <is>
          <t>—</t>
        </is>
      </c>
      <c r="P280" s="3" t="n">
        <v>0</v>
      </c>
      <c r="Q280" s="3" t="inlineStr">
        <is>
          <t>None — no dependent function stands behind it</t>
        </is>
      </c>
      <c r="R280" s="3" t="inlineStr">
        <is>
          <t>No dependent function — it reads its inputs and answers</t>
        </is>
      </c>
      <c r="S280" s="3" t="inlineStr">
        <is>
          <t>—</t>
        </is>
      </c>
      <c r="T280" s="3" t="inlineStr">
        <is>
          <t>ITEMISED_TOTAL</t>
        </is>
      </c>
      <c r="U280" s="3" t="inlineStr">
        <is>
          <t>ACTIVE</t>
        </is>
      </c>
      <c r="V280" s="3" t="inlineStr">
        <is>
          <t>2026-09-12</t>
        </is>
      </c>
      <c r="W280" s="3" t="n"/>
      <c r="X280" s="3" t="n"/>
      <c r="Y280" s="3" t="inlineStr">
        <is>
          <t>NOTHING OPEN</t>
        </is>
      </c>
    </row>
    <row r="281" ht="45" customHeight="1">
      <c r="A281" s="3" t="inlineStr">
        <is>
          <t>MK-NW-F-050</t>
        </is>
      </c>
      <c r="B281" s="3" t="inlineStr">
        <is>
          <t>itemizeRemainder</t>
        </is>
      </c>
      <c r="C281" s="3" t="inlineStr">
        <is>
          <t>src/domain/assets/itemize.ts</t>
        </is>
      </c>
      <c r="D281" s="3" t="n">
        <v>78</v>
      </c>
      <c r="E281" s="3" t="inlineStr">
        <is>
          <t>1 · ACTION</t>
        </is>
      </c>
      <c r="F281" s="3" t="inlineStr">
        <is>
          <t>Lump balance − Σ holdings.</t>
        </is>
      </c>
      <c r="G281" s="11" t="inlineStr">
        <is>
          <t>the answer = (lump balance, or 0) − itemized total(items)</t>
        </is>
      </c>
      <c r="H281" s="3" t="inlineStr">
        <is>
          <t>The lump balance less the holdings entered so far: positive means money still unallocated, negative means the holdings exceed the entered total.</t>
        </is>
      </c>
      <c r="I281" s="3" t="inlineStr">
        <is>
          <t>READ BY HAND 2026-08-26 — checked line by line against the code</t>
        </is>
      </c>
      <c r="J281" s="3" t="inlineStr">
        <is>
          <t>1. lumpBalance: number
2. items: ItemHolding[]</t>
        </is>
      </c>
      <c r="K281" s="3" t="inlineStr">
        <is>
          <t>number</t>
        </is>
      </c>
      <c r="L281" s="3" t="inlineStr">
        <is>
          <t>—</t>
        </is>
      </c>
      <c r="M281" s="3" t="inlineStr">
        <is>
          <t>· If lump balance is missing it counts as zero, so nothing recorded and a real zero look the same.</t>
        </is>
      </c>
      <c r="N281" s="3" t="inlineStr">
        <is>
          <t>Yes</t>
        </is>
      </c>
      <c r="O281" s="3" t="inlineStr">
        <is>
          <t>MK-NW-F-049 itemizedTotal</t>
        </is>
      </c>
      <c r="P281" s="3" t="n">
        <v>1</v>
      </c>
      <c r="Q281" s="3" t="inlineStr">
        <is>
          <t>MK-NW-F-049 itemizedTotal</t>
        </is>
      </c>
      <c r="R281" s="3" t="inlineStr">
        <is>
          <t>MK-NW-F-049 itemizedTotal → MK-NW-F-050 itemizeRemainder</t>
        </is>
      </c>
      <c r="S281" s="3" t="inlineStr">
        <is>
          <t>—</t>
        </is>
      </c>
      <c r="T281" s="3" t="inlineStr">
        <is>
          <t>ITEMISED_REMAINDER</t>
        </is>
      </c>
      <c r="U281" s="3" t="inlineStr">
        <is>
          <t>ACTIVE</t>
        </is>
      </c>
      <c r="V281" s="3" t="inlineStr">
        <is>
          <t>2026-09-12</t>
        </is>
      </c>
      <c r="W281" s="3" t="n"/>
      <c r="X281" s="3" t="n"/>
      <c r="Y281" s="3" t="inlineStr">
        <is>
          <t>NOTHING OPEN</t>
        </is>
      </c>
    </row>
    <row r="282" ht="60" customHeight="1">
      <c r="A282" s="3" t="inlineStr">
        <is>
          <t>MK-NW-F-051</t>
        </is>
      </c>
      <c r="B282" s="3" t="inlineStr">
        <is>
          <t>itemizedResultTotal</t>
        </is>
      </c>
      <c r="C282" s="3" t="inlineStr">
        <is>
          <t>src/domain/assets/itemize.ts</t>
        </is>
      </c>
      <c r="D282" s="3" t="n">
        <v>103</v>
      </c>
      <c r="E282" s="3" t="inlineStr">
        <is>
          <t>2 · DISPLAYED</t>
        </is>
      </c>
      <c r="F282" s="3" t="inlineStr">
        <is>
          <t>The account total AFTER itemizing.</t>
        </is>
      </c>
      <c r="G282" s="11" t="inlineStr">
        <is>
          <t>sum = itemized total(items)
remainder = itemize remainder(lump.balance, items)
the answer:
sum + remainder   if keep remainder as cash and remainder &gt; 0
sum   otherwise</t>
        </is>
      </c>
      <c r="H282" s="3" t="inlineStr">
        <is>
          <t>Sum is itemized total(items). Remainder is itemize remainder(lump.balance, items). The answer is sum plus remainder — when keep remainder as cash and remainder &gt; 0; sum — otherwise.</t>
        </is>
      </c>
      <c r="I282" s="3" t="inlineStr">
        <is>
          <t>READ FROM THE CODE — rendered from the expressions the function runs</t>
        </is>
      </c>
      <c r="J282" s="3" t="inlineStr">
        <is>
          <t>Nothing is handed to it</t>
        </is>
      </c>
      <c r="K282" s="3" t="inlineStr">
        <is>
          <t>NOT DECLARED — the code does not say what it gives back</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1. MK-NW-F-050 itemizeRemainder
2. MK-NW-F-049 itemizedTotal</t>
        </is>
      </c>
      <c r="P282" s="3" t="n">
        <v>2</v>
      </c>
      <c r="Q282" s="3" t="inlineStr">
        <is>
          <t>1. MK-NW-F-050 itemizeRemainder
2. MK-NW-F-049 itemizedTotal</t>
        </is>
      </c>
      <c r="R282" s="3" t="inlineStr">
        <is>
          <t>1. MK-NW-F-049 itemizedTotal → MK-NW-F-050 itemizeRemainder → MK-NW-F-051 itemizedResultTotal
2. MK-NW-F-049 itemizedTotal → MK-NW-F-051 itemizedResultTotal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MK-NW-F-052</t>
        </is>
      </c>
      <c r="B283" s="3" t="inlineStr">
        <is>
          <t>buildItemizedAccounts</t>
        </is>
      </c>
      <c r="C283" s="3" t="inlineStr">
        <is>
          <t>src/domain/assets/itemize.ts</t>
        </is>
      </c>
      <c r="D283" s="3" t="n">
        <v>144</v>
      </c>
      <c r="E283" s="3" t="inlineStr">
        <is>
          <t>2 · DISPLAYED</t>
        </is>
      </c>
      <c r="F283" s="3" t="inlineStr">
        <is>
          <t>Build the new accounts to CREATE when committing an itemization.</t>
        </is>
      </c>
      <c r="G283" s="11" t="inlineStr">
        <is>
          <t>institution = (lump.institution or lump.label or '').trim() (or undefined when missing or zero)
bucket = lump.tax bucket
the answer = acct
remainder = itemize remainder(lump.balance, items)</t>
        </is>
      </c>
      <c r="H283" s="3" t="inlineStr">
        <is>
          <t>Institution is (lump.institution or lump.label or '').trim() (or undefined — when missing or zero). Bucket is lump.tax bucket. The answer is acct. Remainder is itemize remainder(lump.balance, items).</t>
        </is>
      </c>
      <c r="I283" s="3" t="inlineStr">
        <is>
          <t>PARTLY READ — some of the code is still showing through; needs a hand pass</t>
        </is>
      </c>
      <c r="J283" s="3" t="inlineStr">
        <is>
          <t>Nothing is handed to it</t>
        </is>
      </c>
      <c r="K283" s="3" t="inlineStr">
        <is>
          <t>NOT DECLARED — the code does not say what it gives back</t>
        </is>
      </c>
      <c r="L283" s="3" t="inlineStr">
        <is>
          <t>NOT FOUND — a screen calls it, but the words printed beside its answer could not be traced automatically. Needs reading.</t>
        </is>
      </c>
      <c r="M283" s="3" t="inlineStr">
        <is>
          <t>1. If value is missing it counts as zero, so nothing recorded and a real zero look the same.
2. If coupon rate is missing it counts as zero, so nothing recorded and a real zero look the same.</t>
        </is>
      </c>
      <c r="N283" s="3" t="inlineStr">
        <is>
          <t>Yes</t>
        </is>
      </c>
      <c r="O283" s="3" t="inlineStr">
        <is>
          <t>1. MK-NW-F-050 itemizeRemainder
2. MK-CF-F-132 map</t>
        </is>
      </c>
      <c r="P283" s="3" t="n">
        <v>3</v>
      </c>
      <c r="Q283" s="3" t="inlineStr">
        <is>
          <t>1. MK-NW-F-050 itemizeRemainder
2. MK-CF-F-132 map
3. MK-NW-F-049 itemizedTotal</t>
        </is>
      </c>
      <c r="R283" s="3" t="inlineStr">
        <is>
          <t>1. MK-NW-F-049 itemizedTotal → MK-NW-F-050 itemizeRemainder → MK-NW-F-052 buildItemizedAccounts
2. MK-CF-F-132 map → MK-NW-F-052 buildItemizedAccounts</t>
        </is>
      </c>
      <c r="S283" s="3" t="inlineStr">
        <is>
          <t>—</t>
        </is>
      </c>
      <c r="T283" s="3" t="inlineStr">
        <is>
          <t>ITEMISE_AN_ACCOUNT</t>
        </is>
      </c>
      <c r="U283" s="3" t="inlineStr">
        <is>
          <t>ACTIVE</t>
        </is>
      </c>
      <c r="V283" s="3" t="inlineStr">
        <is>
          <t>2026-08-27</t>
        </is>
      </c>
      <c r="W283" s="3" t="n"/>
      <c r="X283" s="3" t="n"/>
      <c r="Y283" s="3" t="inlineStr">
        <is>
          <t>NOTHING OPEN</t>
        </is>
      </c>
    </row>
    <row r="284" ht="60" customHeight="1">
      <c r="A284" s="3" t="inlineStr">
        <is>
          <t>MK-NW-F-053</t>
        </is>
      </c>
      <c r="B284" s="3" t="inlineStr">
        <is>
          <t>correctClassOf</t>
        </is>
      </c>
      <c r="C284" s="3" t="inlineStr">
        <is>
          <t>src/domain/assets/reclassify.ts</t>
        </is>
      </c>
      <c r="D284" s="3" t="n">
        <v>45</v>
      </c>
      <c r="E284" s="3" t="inlineStr">
        <is>
          <t>3 · DEPENDENT</t>
        </is>
      </c>
      <c r="F284" s="3" t="inlineStr">
        <is>
          <t>The class an account SHOULD carry under the current rule.</t>
        </is>
      </c>
      <c r="G284" s="11" t="inlineStr">
        <is>
          <t>by label = income bearing class of(label)
by label   when by label
maturity class(maturity date)   when maturity date
'stocks_etf'   when kind = 'money_market'
'bonds'   when kind = 'cd'
the answer = nothing</t>
        </is>
      </c>
      <c r="H284" s="3" t="inlineStr">
        <is>
          <t>By label is income bearing class of(label). When by label, it answers by label. When maturity date, it answers maturity class(maturity date). When kind = 'money_market', it answers 'stocks_etf'. When kind = 'cd', it answers 'bonds'. The answer is no answer.</t>
        </is>
      </c>
      <c r="I284" s="3" t="inlineStr">
        <is>
          <t>READ FROM THE CODE — rendered from the expressions the function runs</t>
        </is>
      </c>
      <c r="J284" s="3" t="inlineStr">
        <is>
          <t>a: AssetAccount</t>
        </is>
      </c>
      <c r="K284" s="3" t="inlineStr">
        <is>
          <t>AssetClass | null</t>
        </is>
      </c>
      <c r="L284" s="3" t="inlineStr">
        <is>
          <t>—</t>
        </is>
      </c>
      <c r="M284" s="3" t="inlineStr">
        <is>
          <t>None found in this function — anything it assumes comes from the functions it depends on.</t>
        </is>
      </c>
      <c r="N284" s="3" t="inlineStr">
        <is>
          <t>Yes</t>
        </is>
      </c>
      <c r="O284" s="3" t="inlineStr">
        <is>
          <t>1. MK-NW-F-008 incomeBearingClassOf
2. MK-NW-F-009 maturityClass</t>
        </is>
      </c>
      <c r="P284" s="3" t="n">
        <v>11</v>
      </c>
      <c r="Q284" s="3" t="inlineStr">
        <is>
          <t>1. MK-NW-F-008 incomeBearingClassOf
2. MK-NW-F-009 maturityClass
3. MK-CF-F-155 cash
4. MK-ST-F-010 nameEvidence
5. MK-XS-F-122 n
6. MK-XS-F-147 call
7. MK-ST-F-056 has
8. MK-CF-F-132 map
9. MK-ST-F-027 accountId
10. MK-XS-F-064 currentIdToken
11. MK-XS-F-112 relayUrl</t>
        </is>
      </c>
      <c r="R284"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4" s="3" t="inlineStr">
        <is>
          <t>—</t>
        </is>
      </c>
      <c r="T284" s="3" t="inlineStr">
        <is>
          <t>—</t>
        </is>
      </c>
      <c r="U284" s="3" t="inlineStr">
        <is>
          <t>ACTIVE</t>
        </is>
      </c>
      <c r="V284" s="3" t="inlineStr">
        <is>
          <t>2026-09-12</t>
        </is>
      </c>
      <c r="W284" s="3" t="n"/>
      <c r="X284" s="3" t="n"/>
      <c r="Y284" s="3" t="inlineStr">
        <is>
          <t>NOTHING OPEN</t>
        </is>
      </c>
    </row>
    <row r="285" ht="60" customHeight="1">
      <c r="A285" s="3" t="inlineStr">
        <is>
          <t>MK-NW-F-054</t>
        </is>
      </c>
      <c r="B285" s="3" t="inlineStr">
        <is>
          <t>reclassifyAccounts</t>
        </is>
      </c>
      <c r="C285" s="3" t="inlineStr">
        <is>
          <t>src/domain/assets/reclassify.ts</t>
        </is>
      </c>
      <c r="D285" s="3" t="n">
        <v>91</v>
      </c>
      <c r="E285" s="3" t="inlineStr">
        <is>
          <t>3 · DEPENDENT</t>
        </is>
      </c>
      <c r="F285" s="3" t="inlineStr">
        <is>
          <t>NOT DETERMINED — the code carries no note saying what this is for, and it has no row in the old inventory. Needs reading.</t>
        </is>
      </c>
      <c r="G285" s="11" t="inlineStr">
        <is>
          <t>changed = 0
want = correct class of(a)
next = a
ps = (next.positions ?? []) as any[]
the answer = p</t>
        </is>
      </c>
      <c r="H285" s="3" t="inlineStr">
        <is>
          <t>Changed is 0. Want is correct class of(a). Next is a. Ps is (next.positions ?? []) as any[]. The answer is p.</t>
        </is>
      </c>
      <c r="I285" s="3" t="inlineStr">
        <is>
          <t>PARTLY READ — some of the code is still showing through; needs a hand pass</t>
        </is>
      </c>
      <c r="J285" s="3" t="inlineStr">
        <is>
          <t>accounts: AssetAccount[]</t>
        </is>
      </c>
      <c r="K285" s="3" t="inlineStr">
        <is>
          <t>NOT DECLARED — the code does not say what it gives back</t>
        </is>
      </c>
      <c r="L285" s="3" t="inlineStr">
        <is>
          <t>—</t>
        </is>
      </c>
      <c r="M285" s="3" t="inlineStr">
        <is>
          <t>· Uses a built-in changed of 0.</t>
        </is>
      </c>
      <c r="N285" s="3" t="inlineStr">
        <is>
          <t>Yes</t>
        </is>
      </c>
      <c r="O285" s="3" t="inlineStr">
        <is>
          <t>1. MK-NW-F-053 correctClassOf
2. MK-NW-F-008 incomeBearingClassOf
3. MK-CF-F-132 map</t>
        </is>
      </c>
      <c r="P285" s="3" t="n">
        <v>12</v>
      </c>
      <c r="Q285"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5"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5" s="3" t="inlineStr">
        <is>
          <t>—</t>
        </is>
      </c>
      <c r="T285" s="3" t="inlineStr">
        <is>
          <t>—</t>
        </is>
      </c>
      <c r="U285" s="3" t="inlineStr">
        <is>
          <t>ACTIVE</t>
        </is>
      </c>
      <c r="V285" s="3" t="inlineStr">
        <is>
          <t>2026-09-12</t>
        </is>
      </c>
      <c r="W285" s="3" t="n"/>
      <c r="X285" s="3" t="n"/>
      <c r="Y285" s="3" t="inlineStr">
        <is>
          <t>NOTHING OPEN</t>
        </is>
      </c>
    </row>
    <row r="286" ht="60" customHeight="1">
      <c r="A286" s="3" t="inlineStr">
        <is>
          <t>MK-NW-F-055</t>
        </is>
      </c>
      <c r="B286" s="3" t="inlineStr">
        <is>
          <t>isBond</t>
        </is>
      </c>
      <c r="C286" s="3" t="inlineStr">
        <is>
          <t>src/domain/bonds/index.ts</t>
        </is>
      </c>
      <c r="D286" s="3" t="n">
        <v>39</v>
      </c>
      <c r="E286" s="3" t="inlineStr">
        <is>
          <t>2 · DISPLAYED</t>
        </is>
      </c>
      <c r="F286" s="3" t="inlineStr">
        <is>
          <t>An AssetAccount is a bond if its ASSET CLASS is bonds (spec §2: "detected by assetClass, NOT maturity date").</t>
        </is>
      </c>
      <c r="G286" s="11" t="inlineStr">
        <is>
          <t>asset class of(a) = 'bonds'</t>
        </is>
      </c>
      <c r="H286" s="3" t="inlineStr">
        <is>
          <t>asset class of(a) = 'bonds'.</t>
        </is>
      </c>
      <c r="I286" s="3" t="inlineStr">
        <is>
          <t>READ FROM THE CODE — rendered from the expressions the function runs</t>
        </is>
      </c>
      <c r="J286" s="3" t="inlineStr">
        <is>
          <t>a: AssetAccount</t>
        </is>
      </c>
      <c r="K286" s="3" t="inlineStr">
        <is>
          <t>boolean</t>
        </is>
      </c>
      <c r="L286" s="3" t="inlineStr">
        <is>
          <t>NOT FOUND — a screen calls it, but the words printed beside its answer could not be traced automatically. Needs reading.</t>
        </is>
      </c>
      <c r="M286" s="3" t="inlineStr">
        <is>
          <t>None found in this function — anything it assumes comes from the functions it depends on.</t>
        </is>
      </c>
      <c r="N286" s="3" t="inlineStr">
        <is>
          <t>Yes</t>
        </is>
      </c>
      <c r="O286" s="3" t="inlineStr">
        <is>
          <t>MK-NW-F-011 assetClassOf</t>
        </is>
      </c>
      <c r="P286" s="3" t="n">
        <v>11</v>
      </c>
      <c r="Q286" s="3" t="inlineStr">
        <is>
          <t>1. MK-NW-F-011 assetClassOf
2. MK-NW-F-008 incomeBearingClassOf
3. MK-CF-F-155 cash
4. MK-ST-F-010 nameEvidence
5. MK-XS-F-122 n
6. MK-XS-F-147 call
7. MK-ST-F-056 has
8. MK-CF-F-132 map
9. MK-ST-F-027 accountId
10. MK-XS-F-064 currentIdToken
11. MK-XS-F-112 relayUrl</t>
        </is>
      </c>
      <c r="R286"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6" s="3" t="inlineStr">
        <is>
          <t>—</t>
        </is>
      </c>
      <c r="T286" s="3" t="inlineStr">
        <is>
          <t>IS_BOND</t>
        </is>
      </c>
      <c r="U286" s="3" t="inlineStr">
        <is>
          <t>ACTIVE</t>
        </is>
      </c>
      <c r="V286" s="3" t="inlineStr">
        <is>
          <t>2026-08-27</t>
        </is>
      </c>
      <c r="W286" s="3" t="n"/>
      <c r="X286" s="3" t="n"/>
      <c r="Y286" s="3" t="inlineStr">
        <is>
          <t>NOTHING OPEN</t>
        </is>
      </c>
    </row>
    <row r="287" ht="60" customHeight="1">
      <c r="A287" s="3" t="inlineStr">
        <is>
          <t>MK-NW-F-056</t>
        </is>
      </c>
      <c r="B287" s="3" t="inlineStr">
        <is>
          <t>bondInfo</t>
        </is>
      </c>
      <c r="C287" s="3" t="inlineStr">
        <is>
          <t>src/domain/bonds/index.ts</t>
        </is>
      </c>
      <c r="D287" s="3" t="n">
        <v>85</v>
      </c>
      <c r="E287" s="3" t="inlineStr">
        <is>
          <t>3 · DEPENDENT</t>
        </is>
      </c>
      <c r="F287" s="3" t="inlineStr">
        <is>
          <t>What are this holding's bond facts?</t>
        </is>
      </c>
      <c r="G287" s="11" t="inlineStr">
        <is>
          <t>face = face value or 0
coupon rate = coupon rate or 0
maturity = maturity date or ''
value = balance or 0
accrued interest = the entered figure, or nothing when not entered</t>
        </is>
      </c>
      <c r="H287" s="3" t="inlineStr">
        <is>
          <t>Reads the bond's facts off the account record — face value, coupon rate, maturity date, the value as entered, and the accrued interest when the person entered it (MK-XS-I-065). No arithmetic.</t>
        </is>
      </c>
      <c r="I287" s="3" t="inlineStr">
        <is>
          <t>READ BY HAND 2026-08-26 — checked line by line against the code</t>
        </is>
      </c>
      <c r="J287" s="3" t="inlineStr">
        <is>
          <t>a: AssetAccount</t>
        </is>
      </c>
      <c r="K287" s="3" t="inlineStr">
        <is>
          <t>BondInfo</t>
        </is>
      </c>
      <c r="L287" s="3" t="inlineStr">
        <is>
          <t>—</t>
        </is>
      </c>
      <c r="M287"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7" s="3" t="inlineStr">
        <is>
          <t>Yes</t>
        </is>
      </c>
      <c r="O287" s="3" t="inlineStr">
        <is>
          <t>MK-CF-F-155 cash</t>
        </is>
      </c>
      <c r="P287" s="3" t="n">
        <v>2</v>
      </c>
      <c r="Q287" s="3" t="inlineStr">
        <is>
          <t>1. MK-CF-F-155 cash
2. MK-XS-F-122 n</t>
        </is>
      </c>
      <c r="R287" s="3" t="inlineStr">
        <is>
          <t>MK-XS-F-122 n → MK-CF-F-155 cash → MK-NW-F-056 bondInfo</t>
        </is>
      </c>
      <c r="S287" s="3" t="inlineStr">
        <is>
          <t>—</t>
        </is>
      </c>
      <c r="T287" s="3" t="inlineStr">
        <is>
          <t>BOND_FACTS</t>
        </is>
      </c>
      <c r="U287" s="3" t="inlineStr">
        <is>
          <t>ACTIVE</t>
        </is>
      </c>
      <c r="V287" s="3" t="inlineStr">
        <is>
          <t>2026-09-27</t>
        </is>
      </c>
      <c r="W287" s="3" t="inlineStr">
        <is>
          <t>[from MK-NW-M-041 / M-042 / M-045] bond display rule (nine facts; value current → cost → face; else 'need more information'); why compute yield when the coupon rate is an input?</t>
        </is>
      </c>
      <c r="X28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7" s="6" t="inlineStr">
        <is>
          <t>WAITING ON YOU — answer to read</t>
        </is>
      </c>
    </row>
    <row r="288" ht="60" customHeight="1">
      <c r="A288" s="3" t="inlineStr">
        <is>
          <t>MK-NW-F-057</t>
        </is>
      </c>
      <c r="B288" s="3" t="inlineStr">
        <is>
          <t>annualCoupon</t>
        </is>
      </c>
      <c r="C288" s="3" t="inlineStr">
        <is>
          <t>src/domain/bonds/index.ts</t>
        </is>
      </c>
      <c r="D288" s="3" t="n">
        <v>124</v>
      </c>
      <c r="E288" s="3" t="inlineStr">
        <is>
          <t>3 · DEPENDENT</t>
        </is>
      </c>
      <c r="F288" s="3" t="inlineStr">
        <is>
          <t>Annual coupon income = face value × coupon rate (paid as cash).</t>
        </is>
      </c>
      <c r="G288" s="11" t="inlineStr">
        <is>
          <t>annual coupon = face value × coupon rate</t>
        </is>
      </c>
      <c r="H288" s="3" t="inlineStr">
        <is>
          <t>What the bond pays in interest over a year: its face value times its stated rate. Paid semi-annually in practice; this figure is the yearly total.</t>
        </is>
      </c>
      <c r="I288" s="3" t="inlineStr">
        <is>
          <t>READ BY HAND 2026-08-26 — checked line by line against the code</t>
        </is>
      </c>
      <c r="J288" s="3" t="inlineStr">
        <is>
          <t>b: BondInfo</t>
        </is>
      </c>
      <c r="K288" s="3" t="inlineStr">
        <is>
          <t>number</t>
        </is>
      </c>
      <c r="L288" s="3" t="inlineStr">
        <is>
          <t>—</t>
        </is>
      </c>
      <c r="M288" s="3" t="inlineStr">
        <is>
          <t>None found in this function — anything it assumes comes from the functions it depends on.</t>
        </is>
      </c>
      <c r="N288" s="3" t="inlineStr">
        <is>
          <t>Yes</t>
        </is>
      </c>
      <c r="O288" s="3" t="inlineStr">
        <is>
          <t>—</t>
        </is>
      </c>
      <c r="P288" s="3" t="n">
        <v>0</v>
      </c>
      <c r="Q288" s="3" t="inlineStr">
        <is>
          <t>None — no dependent function stands behind it</t>
        </is>
      </c>
      <c r="R288" s="3" t="inlineStr">
        <is>
          <t>No dependent function — it reads its inputs and answers</t>
        </is>
      </c>
      <c r="S288" s="3" t="inlineStr">
        <is>
          <t>—</t>
        </is>
      </c>
      <c r="T288" s="3" t="inlineStr">
        <is>
          <t>BOND_COUPON</t>
        </is>
      </c>
      <c r="U288" s="3" t="inlineStr">
        <is>
          <t>ACTIVE</t>
        </is>
      </c>
      <c r="V288" s="3" t="inlineStr">
        <is>
          <t>2026-09-27</t>
        </is>
      </c>
      <c r="W288" s="3" t="inlineStr">
        <is>
          <t>[from MK-NW-M-043] a matured bond must not earn a coupon; one label ('Calculated annual interest') instead of COUPON / YR and Interest payments; maturity date as an input.</t>
        </is>
      </c>
      <c r="X288" s="6" t="inlineStr">
        <is>
          <t>JJ-3: face × rate with no look at maturity — wrong for any matured bond, and inherited by F-061 and F-063. Fix: takes the maturity date and today; 0 once matured; adds MK-XS-I-013 to its inputs. Label: Q40; matured display: Q39.</t>
        </is>
      </c>
      <c r="Y288" s="6" t="inlineStr">
        <is>
          <t>WAITING ON YOU — answer to read</t>
        </is>
      </c>
    </row>
    <row r="289" ht="60" customHeight="1">
      <c r="A289" s="3" t="inlineStr">
        <is>
          <t>MK-NW-F-058</t>
        </is>
      </c>
      <c r="B289" s="3" t="inlineStr">
        <is>
          <t>yearsToMaturity</t>
        </is>
      </c>
      <c r="C289" s="3" t="inlineStr">
        <is>
          <t>src/domain/bonds/index.ts</t>
        </is>
      </c>
      <c r="D289" s="3" t="n">
        <v>160</v>
      </c>
      <c r="E289" s="3" t="inlineStr">
        <is>
          <t>3 · DEPENDENT</t>
        </is>
      </c>
      <c r="F289" s="3" t="inlineStr">
        <is>
          <t>How long until this bond pays back?</t>
        </is>
      </c>
      <c r="G289" s="11" t="inlineStr">
        <is>
          <t>years to maturity = max(0, (maturity date − today) ÷ 365.25 days)</t>
        </is>
      </c>
      <c r="H289" s="3" t="inlineStr">
        <is>
          <t>How long until the bond repays, as a fraction of a year, never negative. Uses 365.25 days — the master file says 365, which is finding A31.</t>
        </is>
      </c>
      <c r="I289" s="3" t="inlineStr">
        <is>
          <t>READ BY HAND 2026-08-26 — checked line by line against the code</t>
        </is>
      </c>
      <c r="J289" s="3" t="inlineStr">
        <is>
          <t>1. maturity: string
2. now: Date = new Date()</t>
        </is>
      </c>
      <c r="K289" s="3" t="inlineStr">
        <is>
          <t>number | null</t>
        </is>
      </c>
      <c r="L289" s="3" t="inlineStr">
        <is>
          <t>—</t>
        </is>
      </c>
      <c r="M289"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9" s="3" t="inlineStr">
        <is>
          <t>Yes</t>
        </is>
      </c>
      <c r="O289" s="3" t="inlineStr">
        <is>
          <t>—</t>
        </is>
      </c>
      <c r="P289" s="3" t="n">
        <v>0</v>
      </c>
      <c r="Q289" s="3" t="inlineStr">
        <is>
          <t>None — no dependent function stands behind it</t>
        </is>
      </c>
      <c r="R289" s="3" t="inlineStr">
        <is>
          <t>No dependent function — it reads its inputs and answers</t>
        </is>
      </c>
      <c r="S289" s="3" t="inlineStr">
        <is>
          <t>—</t>
        </is>
      </c>
      <c r="T289" s="3" t="inlineStr">
        <is>
          <t>BOND_YEARS_LEFT</t>
        </is>
      </c>
      <c r="U289" s="3" t="inlineStr">
        <is>
          <t>ACTIVE</t>
        </is>
      </c>
      <c r="V289" s="3" t="inlineStr">
        <is>
          <t>2026-09-27</t>
        </is>
      </c>
      <c r="W289" s="3" t="n"/>
      <c r="X289" s="3" t="n"/>
      <c r="Y289" s="6" t="inlineStr">
        <is>
          <t>TESTED, NOT VERIFIED (G11)</t>
        </is>
      </c>
    </row>
    <row r="290" ht="60" customHeight="1">
      <c r="A290" s="3" t="inlineStr">
        <is>
          <t>MK-NW-F-059</t>
        </is>
      </c>
      <c r="B290" s="3" t="inlineStr">
        <is>
          <t>currentYield</t>
        </is>
      </c>
      <c r="C290" s="3" t="inlineStr">
        <is>
          <t>src/domain/bonds/index.ts</t>
        </is>
      </c>
      <c r="D290" s="3" t="n">
        <v>199</v>
      </c>
      <c r="E290" s="3" t="inlineStr">
        <is>
          <t>3 · DEPENDENT</t>
        </is>
      </c>
      <c r="F290" s="3" t="inlineStr">
        <is>
          <t>Current yield = annual coupon ÷ current price/value.</t>
        </is>
      </c>
      <c r="G290" s="11" t="inlineStr">
        <is>
          <t>current yield = annual coupon ÷ current value</t>
        </is>
      </c>
      <c r="H290" s="3" t="inlineStr">
        <is>
          <t>The interest a year as a share of what the bond is worth now. If the recorded value is a dirty price it carries accrued interest, and the yield reads low — the file does not say which it is.</t>
        </is>
      </c>
      <c r="I290" s="3" t="inlineStr">
        <is>
          <t>READ BY HAND 2026-08-26 — checked line by line against the code</t>
        </is>
      </c>
      <c r="J290" s="3" t="inlineStr">
        <is>
          <t>b: BondInfo</t>
        </is>
      </c>
      <c r="K290" s="3" t="inlineStr">
        <is>
          <t>number | null</t>
        </is>
      </c>
      <c r="L290" s="3" t="inlineStr">
        <is>
          <t>—</t>
        </is>
      </c>
      <c r="M290" s="3" t="inlineStr">
        <is>
          <t>· If accrued interest is missing it uses 0.</t>
        </is>
      </c>
      <c r="N290" s="3" t="inlineStr">
        <is>
          <t>Yes</t>
        </is>
      </c>
      <c r="O290" s="3" t="inlineStr">
        <is>
          <t>MK-NW-F-057 annualCoupon</t>
        </is>
      </c>
      <c r="P290" s="3" t="n">
        <v>1</v>
      </c>
      <c r="Q290" s="3" t="inlineStr">
        <is>
          <t>MK-NW-F-057 annualCoupon</t>
        </is>
      </c>
      <c r="R290" s="3" t="inlineStr">
        <is>
          <t>MK-NW-F-057 annualCoupon → MK-NW-F-059 currentYield</t>
        </is>
      </c>
      <c r="S290" s="3" t="inlineStr">
        <is>
          <t>—</t>
        </is>
      </c>
      <c r="T290" s="3" t="inlineStr">
        <is>
          <t>BOND_CURRENT_YIELD</t>
        </is>
      </c>
      <c r="U290" s="3" t="inlineStr">
        <is>
          <t>ACTIVE</t>
        </is>
      </c>
      <c r="V290" s="3" t="inlineStr">
        <is>
          <t>2026-09-27</t>
        </is>
      </c>
      <c r="W290" s="3" t="inlineStr">
        <is>
          <t>[from MK-NW-M-044, typed A47; and K45] subtract accrued interest when recorded, caveat when not; yield always two decimals.</t>
        </is>
      </c>
      <c r="X290" s="6" t="inlineStr">
        <is>
          <t>coupon ÷ value, no accrued-interest term (no field exists yet — after brief Q-38 (2026-08-20)). Two decimals: already on the Bonds screen; account detail's two yield rows still one decimal — fix there. Caveat wording: Q45.</t>
        </is>
      </c>
      <c r="Y290" s="6" t="inlineStr">
        <is>
          <t>WAITING ON YOU — answer to read · TESTED, NOT VERIFIED (A47)</t>
        </is>
      </c>
    </row>
    <row r="291" ht="60" customHeight="1">
      <c r="A291" s="3" t="inlineStr">
        <is>
          <t>MK-NW-F-060</t>
        </is>
      </c>
      <c r="B291" s="3" t="inlineStr">
        <is>
          <t>approxYTM</t>
        </is>
      </c>
      <c r="C291" s="3" t="inlineStr">
        <is>
          <t>src/domain/bonds/index.ts</t>
        </is>
      </c>
      <c r="D291" s="3" t="n">
        <v>274</v>
      </c>
      <c r="E291" s="3" t="inlineStr">
        <is>
          <t>3 · DEPENDENT</t>
        </is>
      </c>
      <c r="F291" s="3" t="inlineStr">
        <is>
          <t>Approximate yield to maturity (standard approximation), decimal.</t>
        </is>
      </c>
      <c r="G291" s="11" t="inlineStr">
        <is>
          <t>yield to maturity ≈ round( (annual coupon + (face − value) ÷ years left)
                           ÷ ((face + value) ÷ 2), 4 dp )</t>
        </is>
      </c>
      <c r="H291"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91" s="3" t="inlineStr">
        <is>
          <t>READ BY HAND 2026-08-26 — checked line by line against the code</t>
        </is>
      </c>
      <c r="J291" s="3" t="inlineStr">
        <is>
          <t>1. b: BondInfo
2. now: Date = new Date()</t>
        </is>
      </c>
      <c r="K291" s="3" t="inlineStr">
        <is>
          <t>number | null</t>
        </is>
      </c>
      <c r="L291" s="3" t="inlineStr">
        <is>
          <t>—</t>
        </is>
      </c>
      <c r="M291" s="3" t="inlineStr">
        <is>
          <t>1. Uses today's date from the device clock, so the answer changes by itself overnight.
2. 'value' is the bond's current value as entered (the balance) — the SAME total basis as face, not a price per $100 (founder question G20, 2026-09-08).</t>
        </is>
      </c>
      <c r="N291" s="3" t="inlineStr">
        <is>
          <t>Yes</t>
        </is>
      </c>
      <c r="O291" s="3" t="inlineStr">
        <is>
          <t>1. MK-NW-F-057 annualCoupon
2. MK-XS-F-122 n
3. MK-NW-F-058 yearsToMaturity</t>
        </is>
      </c>
      <c r="P291" s="3" t="n">
        <v>3</v>
      </c>
      <c r="Q291" s="3" t="inlineStr">
        <is>
          <t>1. MK-NW-F-057 annualCoupon
2. MK-XS-F-122 n
3. MK-NW-F-058 yearsToMaturity</t>
        </is>
      </c>
      <c r="R291" s="3" t="inlineStr">
        <is>
          <t>1. MK-NW-F-057 annualCoupon → MK-NW-F-060 approxYTM
2. MK-XS-F-122 n → MK-NW-F-060 approxYTM
3. MK-NW-F-058 yearsToMaturity → MK-NW-F-060 approxYTM</t>
        </is>
      </c>
      <c r="S291" s="3" t="inlineStr">
        <is>
          <t>—</t>
        </is>
      </c>
      <c r="T291" s="3" t="inlineStr">
        <is>
          <t>BOND_YIELD_TO_MATURITY</t>
        </is>
      </c>
      <c r="U291" s="3" t="inlineStr">
        <is>
          <t>ACTIVE</t>
        </is>
      </c>
      <c r="V291" s="3" t="inlineStr">
        <is>
          <t>2026-09-27</t>
        </is>
      </c>
      <c r="W291" s="3" t="inlineStr">
        <is>
          <t>[from MK-NW-M-041, Formula (in words)] why compute yield when the coupon rate is an input?</t>
        </is>
      </c>
      <c r="X291" s="6" t="inlineStr">
        <is>
          <t>Yield to maturity is derived from coupon, face, value and years left — it cannot be an input. Coupon RATE stays an input (MK-XS-I-012). Two decimals on the account-detail row still owed (K45).</t>
        </is>
      </c>
      <c r="Y291" s="6" t="inlineStr">
        <is>
          <t>WAITING ON YOU — answer to read · TESTED, NOT VERIFIED (G11, G20)</t>
        </is>
      </c>
    </row>
    <row r="292" ht="60" customHeight="1">
      <c r="A292" s="3" t="inlineStr">
        <is>
          <t>MK-NW-F-061</t>
        </is>
      </c>
      <c r="B292" s="3" t="inlineStr">
        <is>
          <t>bondSummary</t>
        </is>
      </c>
      <c r="C292" s="3" t="inlineStr">
        <is>
          <t>src/domain/bonds/index.ts</t>
        </is>
      </c>
      <c r="D292" s="3" t="n">
        <v>329</v>
      </c>
      <c r="E292" s="3" t="inlineStr">
        <is>
          <t>3 · DEPENDENT</t>
        </is>
      </c>
      <c r="F292" s="3" t="inlineStr">
        <is>
          <t>NOT DETERMINED — the code carries no note saying what this is for, and it has no row in the old inventory. Needs reading.</t>
        </is>
      </c>
      <c r="G292"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92"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92" s="3" t="inlineStr">
        <is>
          <t>PARTLY READ — some of the code is still showing through; needs a hand pass</t>
        </is>
      </c>
      <c r="J292" s="3" t="inlineStr">
        <is>
          <t>1. bonds: BondInfo[]
2. now: Date = new Date()</t>
        </is>
      </c>
      <c r="K292" s="3" t="inlineStr">
        <is>
          <t>BondSummary</t>
        </is>
      </c>
      <c r="L292" s="3" t="inlineStr">
        <is>
          <t>—</t>
        </is>
      </c>
      <c r="M292" s="3" t="inlineStr">
        <is>
          <t>· Uses today's date from the device clock, so the answer changes by itself overnight.</t>
        </is>
      </c>
      <c r="N292" s="3" t="inlineStr">
        <is>
          <t>Yes</t>
        </is>
      </c>
      <c r="O292" s="3" t="inlineStr">
        <is>
          <t>1. MK-NW-F-057 annualCoupon
2. MK-CF-F-132 map</t>
        </is>
      </c>
      <c r="P292" s="3" t="n">
        <v>2</v>
      </c>
      <c r="Q292" s="3" t="inlineStr">
        <is>
          <t>1. MK-NW-F-057 annualCoupon
2. MK-CF-F-132 map</t>
        </is>
      </c>
      <c r="R292" s="3" t="inlineStr">
        <is>
          <t>1. MK-NW-F-057 annualCoupon → MK-NW-F-061 bondSummary
2. MK-CF-F-132 map → MK-NW-F-061 bondSummary</t>
        </is>
      </c>
      <c r="S292" s="3" t="inlineStr">
        <is>
          <t>—</t>
        </is>
      </c>
      <c r="T292" s="3" t="inlineStr">
        <is>
          <t>—</t>
        </is>
      </c>
      <c r="U292" s="3" t="inlineStr">
        <is>
          <t>ACTIVE</t>
        </is>
      </c>
      <c r="V292" s="3" t="inlineStr">
        <is>
          <t>2026-09-27</t>
        </is>
      </c>
      <c r="W292" s="3" t="inlineStr">
        <is>
          <t>[from MK-NW-M-041 / M-042 / M-043] total value = sum of what? inputs should be face value; matured bonds and the coupon total.</t>
        </is>
      </c>
      <c r="X292" s="6" t="inlineStr">
        <is>
          <t>totalValue = Σ each bond's entered value (the balance); totalFace = Σ face (MK-XS-I-011); count = number of bond records; the coupon total inherits JJ-3 (matured bonds still counted). This is the real producer of MK-NW-M-041 and M-042 — both rows should name it.</t>
        </is>
      </c>
      <c r="Y292" s="6" t="inlineStr">
        <is>
          <t>WAITING ON YOU — answer to read</t>
        </is>
      </c>
    </row>
    <row r="293" ht="60" customHeight="1">
      <c r="A293" s="3" t="inlineStr">
        <is>
          <t>MK-NW-F-062</t>
        </is>
      </c>
      <c r="B293" s="3" t="inlineStr">
        <is>
          <t>couponIncomeAnnual</t>
        </is>
      </c>
      <c r="C293" s="3" t="inlineStr">
        <is>
          <t>src/domain/bonds/index.ts</t>
        </is>
      </c>
      <c r="D293" s="3" t="n">
        <v>354</v>
      </c>
      <c r="E293" s="3" t="inlineStr">
        <is>
          <t>3 · DEPENDENT (feeds an action only)</t>
        </is>
      </c>
      <c r="F293" s="3" t="inlineStr">
        <is>
          <t>Total annual coupon income across the user's INDIVIDUAL bonds (kept for the Bonds screen summary).</t>
        </is>
      </c>
      <c r="G293" s="11" t="inlineStr">
        <is>
          <t>Σ over accounts (or none when missing) where is bond of (annual coupon(bond info(each)))</t>
        </is>
      </c>
      <c r="H293" s="3" t="inlineStr">
        <is>
          <t>the annual coupon(bond info(each)) added up across accounts (or none — when missing) where is bond.</t>
        </is>
      </c>
      <c r="I293" s="3" t="inlineStr">
        <is>
          <t>READ FROM THE CODE — rendered from the expressions the function runs</t>
        </is>
      </c>
      <c r="J293" s="3" t="inlineStr">
        <is>
          <t>accounts: AssetAccount[]</t>
        </is>
      </c>
      <c r="K293" s="3" t="inlineStr">
        <is>
          <t>number</t>
        </is>
      </c>
      <c r="L293" s="3" t="inlineStr">
        <is>
          <t>—</t>
        </is>
      </c>
      <c r="M293" s="3" t="inlineStr">
        <is>
          <t>None found in this function — anything it assumes comes from the functions it depends on.</t>
        </is>
      </c>
      <c r="N293" s="3" t="inlineStr">
        <is>
          <t>No</t>
        </is>
      </c>
      <c r="O293" s="3" t="inlineStr">
        <is>
          <t>1. MK-NW-F-057 annualCoupon
2. MK-NW-F-056 bondInfo
3. MK-NW-F-055 isBond</t>
        </is>
      </c>
      <c r="P293" s="3" t="n">
        <v>14</v>
      </c>
      <c r="Q293"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3"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3" s="3" t="inlineStr">
        <is>
          <t>—</t>
        </is>
      </c>
      <c r="T293" s="3" t="inlineStr">
        <is>
          <t>—</t>
        </is>
      </c>
      <c r="U293" s="3" t="inlineStr">
        <is>
          <t>ACTIVE</t>
        </is>
      </c>
      <c r="V293" s="3" t="inlineStr">
        <is>
          <t>2026-09-09</t>
        </is>
      </c>
      <c r="W293" s="3" t="n"/>
      <c r="X293" s="3" t="n"/>
      <c r="Y293" s="3" t="inlineStr">
        <is>
          <t>NOTHING OPEN</t>
        </is>
      </c>
    </row>
    <row r="294" ht="60" customHeight="1">
      <c r="A294" s="3" t="inlineStr">
        <is>
          <t>MK-NW-F-063</t>
        </is>
      </c>
      <c r="B294" s="3" t="inlineStr">
        <is>
          <t>interestIncomeAnnual</t>
        </is>
      </c>
      <c r="C294" s="3" t="inlineStr">
        <is>
          <t>src/domain/bonds/index.ts</t>
        </is>
      </c>
      <c r="D294" s="3" t="n">
        <v>389</v>
      </c>
      <c r="E294" s="3" t="inlineStr">
        <is>
          <t>3 · DEPENDENT (feeds an action only)</t>
        </is>
      </c>
      <c r="F294" s="3" t="inlineStr">
        <is>
          <t>Canonical annual INTEREST income across all interest-bearing holdings (Term #6).</t>
        </is>
      </c>
      <c r="G294" s="11" t="inlineStr">
        <is>
          <t>cls = asset class of(a)
coupon = (coupon rate or 0) × (face value or 0)
t + coupon   when coupon &gt; 0
t + (balance or 0) × (coupon rate as number)   when (coupon rate or 0) &gt; 0
the answer = t</t>
        </is>
      </c>
      <c r="H294" s="3" t="inlineStr">
        <is>
          <t>Cls is asset class of(a). Coupon is (coupon rate or 0) times (face value or 0). When coupon &gt; 0, it answers t plus coupon. When (coupon rate or 0) &gt; 0, it answers t plus (balance or 0) times (coupon rate as number). The answer is t.</t>
        </is>
      </c>
      <c r="I294" s="3" t="inlineStr">
        <is>
          <t>READ FROM THE CODE — rendered from the expressions the function runs</t>
        </is>
      </c>
      <c r="J294" s="3" t="inlineStr">
        <is>
          <t>accounts: AssetAccount[]</t>
        </is>
      </c>
      <c r="K294" s="3" t="inlineStr">
        <is>
          <t>number</t>
        </is>
      </c>
      <c r="L294" s="3" t="inlineStr">
        <is>
          <t>—</t>
        </is>
      </c>
      <c r="M294"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4" s="3" t="inlineStr">
        <is>
          <t>No</t>
        </is>
      </c>
      <c r="O294" s="3" t="inlineStr">
        <is>
          <t>MK-NW-F-011 assetClassOf</t>
        </is>
      </c>
      <c r="P294" s="3" t="n">
        <v>11</v>
      </c>
      <c r="Q294" s="3" t="inlineStr">
        <is>
          <t>1. MK-NW-F-011 assetClassOf
2. MK-NW-F-008 incomeBearingClassOf
3. MK-CF-F-155 cash
4. MK-ST-F-010 nameEvidence
5. MK-XS-F-122 n
6. MK-XS-F-147 call
7. MK-ST-F-056 has
8. MK-CF-F-132 map
9. MK-ST-F-027 accountId
10. MK-XS-F-064 currentIdToken
11. MK-XS-F-112 relayUrl</t>
        </is>
      </c>
      <c r="R294"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4" s="3" t="inlineStr">
        <is>
          <t>—</t>
        </is>
      </c>
      <c r="T294" s="3" t="inlineStr">
        <is>
          <t>—</t>
        </is>
      </c>
      <c r="U294" s="3" t="inlineStr">
        <is>
          <t>ACTIVE</t>
        </is>
      </c>
      <c r="V294" s="3" t="inlineStr">
        <is>
          <t>2026-09-11</t>
        </is>
      </c>
      <c r="W294" s="3" t="inlineStr">
        <is>
          <t>[from MK-NW-M-043 / M-045, typed A46] If coupon rate is not available use 0.</t>
        </is>
      </c>
      <c r="X294" s="6" t="inlineStr">
        <is>
          <t>JJ-4: still falls back to 4.2% (DEFAULT_BOND_YIELD) for a bond fund with no rate, and the paycheck income lines do the same. Fix: 0 + 'no rate recorded'. Also inherits JJ-3 (matured bonds). The other 4.2%/4% figures are expected-return defaults, a different concept — Q44.</t>
        </is>
      </c>
      <c r="Y294" s="6" t="inlineStr">
        <is>
          <t>WAITING ON YOU — answer to read · TESTED, NOT VERIFIED (A46)</t>
        </is>
      </c>
    </row>
    <row r="295" ht="60" customHeight="1">
      <c r="A295" s="3" t="inlineStr">
        <is>
          <t>MK-NW-F-064</t>
        </is>
      </c>
      <c r="B295" s="3" t="inlineStr">
        <is>
          <t>bondRateSensitivity</t>
        </is>
      </c>
      <c r="C295" s="3" t="inlineStr">
        <is>
          <t>src/domain/bonds/index.ts</t>
        </is>
      </c>
      <c r="D295" s="3" t="n">
        <v>507</v>
      </c>
      <c r="E295" s="3" t="inlineStr">
        <is>
          <t>3 · DEPENDENT</t>
        </is>
      </c>
      <c r="F295" s="3" t="inlineStr">
        <is>
          <t>What happens to this bond if interest rates move?</t>
        </is>
      </c>
      <c r="G295" s="11" t="inlineStr">
        <is>
          <t>ytm = approx ytm(b, now)
nothing   when ytm = nothing (or face ≤ 0 (or coupon rate ≤ 0 when missing or zero) when missing or zero)
v = price at yield(b, math.max(0.0001, ytm + delta), now)
the answer:
rates up = move(0.01)
rates down = move(-0.01)</t>
        </is>
      </c>
      <c r="H295"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5" s="3" t="inlineStr">
        <is>
          <t>PARTLY READ — some of the code is still showing through; needs a hand pass</t>
        </is>
      </c>
      <c r="J295" s="3" t="inlineStr">
        <is>
          <t>1. b: BondInfo
2. now: Date = new Date()</t>
        </is>
      </c>
      <c r="K295" s="3" t="inlineStr">
        <is>
          <t>RateSensitivity | null</t>
        </is>
      </c>
      <c r="L295" s="3" t="inlineStr">
        <is>
          <t>—</t>
        </is>
      </c>
      <c r="M295" s="3" t="inlineStr">
        <is>
          <t>1. Applies a built-in rate of 99% to v.
2. Uses today's date from the device clock, so the answer changes by itself overnight.
3. Rounds the answer to a whole number.</t>
        </is>
      </c>
      <c r="N295" s="3" t="inlineStr">
        <is>
          <t>Yes</t>
        </is>
      </c>
      <c r="O295" s="3" t="inlineStr">
        <is>
          <t>1. MK-NW-F-060 approxYTM
2. MK-NW-F-069 priceAtYield</t>
        </is>
      </c>
      <c r="P295" s="3" t="n">
        <v>5</v>
      </c>
      <c r="Q295" s="3" t="inlineStr">
        <is>
          <t>1. MK-NW-F-060 approxYTM
2. MK-NW-F-069 priceAtYield
3. MK-NW-F-057 annualCoupon
4. MK-XS-F-122 n
5. MK-NW-F-058 yearsToMaturity</t>
        </is>
      </c>
      <c r="R295"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5" s="3" t="inlineStr">
        <is>
          <t>MK-NW-M-028</t>
        </is>
      </c>
      <c r="T295" s="3" t="inlineStr">
        <is>
          <t>IF_RATES_MOVE</t>
        </is>
      </c>
      <c r="U295" s="3" t="inlineStr">
        <is>
          <t>ACTIVE</t>
        </is>
      </c>
      <c r="V295" s="3" t="inlineStr">
        <is>
          <t>2026-09-27</t>
        </is>
      </c>
      <c r="W295" s="3" t="n"/>
      <c r="X295" s="3" t="n"/>
      <c r="Y295" s="6" t="inlineStr">
        <is>
          <t>TESTED, NOT VERIFIED (G11)</t>
        </is>
      </c>
    </row>
    <row r="296" ht="60" customHeight="1">
      <c r="A296" s="3" t="inlineStr">
        <is>
          <t>MK-NW-F-065</t>
        </is>
      </c>
      <c r="B296" s="3" t="inlineStr">
        <is>
          <t>buildNetWorth</t>
        </is>
      </c>
      <c r="C296" s="3" t="inlineStr">
        <is>
          <t>src/domain/networth/index.ts</t>
        </is>
      </c>
      <c r="D296" s="3" t="n">
        <v>33</v>
      </c>
      <c r="E296" s="3" t="inlineStr">
        <is>
          <t>3 · DEPENDENT</t>
        </is>
      </c>
      <c r="F296" s="3" t="inlineStr">
        <is>
          <t>What is this household worth?</t>
        </is>
      </c>
      <c r="G296" s="11" t="inlineStr">
        <is>
          <t>gross assets = round(assets total, 2 dp)
gross debt   = round(debt total, 2 dp)
net worth    = round(assets total − debt total, 2 dp)</t>
        </is>
      </c>
      <c r="H29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6" s="3" t="inlineStr">
        <is>
          <t>READ BY HAND 2026-08-26 — checked line by line against the code</t>
        </is>
      </c>
      <c r="J296" s="3" t="inlineStr">
        <is>
          <t>1. uid: UserId
2. grossAssets: number
3. grossDebt: number</t>
        </is>
      </c>
      <c r="K296" s="3" t="inlineStr">
        <is>
          <t>NetWorthState</t>
        </is>
      </c>
      <c r="L296" s="3" t="inlineStr">
        <is>
          <t>—</t>
        </is>
      </c>
      <c r="M296" s="3" t="inlineStr">
        <is>
          <t>None found in this function — anything it assumes comes from the functions it depends on.</t>
        </is>
      </c>
      <c r="N296" s="3" t="inlineStr">
        <is>
          <t>Yes</t>
        </is>
      </c>
      <c r="O296" s="3" t="inlineStr">
        <is>
          <t>MK-XS-F-175 uid</t>
        </is>
      </c>
      <c r="P296" s="3" t="n">
        <v>80</v>
      </c>
      <c r="Q29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96"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6" s="3" t="inlineStr">
        <is>
          <t>—</t>
        </is>
      </c>
      <c r="T296" s="3" t="inlineStr">
        <is>
          <t>NET_WORTH</t>
        </is>
      </c>
      <c r="U296" s="3" t="inlineStr">
        <is>
          <t>ACTIVE</t>
        </is>
      </c>
      <c r="V296" s="3" t="inlineStr">
        <is>
          <t>2026-09-27</t>
        </is>
      </c>
      <c r="W296" s="3" t="n"/>
      <c r="X296" s="3" t="n"/>
      <c r="Y296" s="3" t="inlineStr">
        <is>
          <t>NOTHING OPEN</t>
        </is>
      </c>
    </row>
    <row r="297" ht="60" customHeight="1">
      <c r="A297" s="3" t="inlineStr">
        <is>
          <t>MK-NW-F-066</t>
        </is>
      </c>
      <c r="B297" s="3" t="inlineStr">
        <is>
          <t>sumWhere</t>
        </is>
      </c>
      <c r="C297" s="3" t="inlineStr">
        <is>
          <t>src/domain/assets/index.ts</t>
        </is>
      </c>
      <c r="D297" s="3" t="n">
        <v>607</v>
      </c>
      <c r="E297" s="3" t="inlineStr">
        <is>
          <t>3 · DEPENDENT</t>
        </is>
      </c>
      <c r="F297" s="3" t="inlineStr">
        <is>
          <t>── Canonical asset totals (Term #2/#3/#4) ──────────────────────────────────── THE single source for each total — screens read these, never re-sum inline.</t>
        </is>
      </c>
      <c r="G297" s="11" t="inlineStr">
        <is>
          <t>Σ over accounts (or none when missing) where pred of (balance (or 0 when missing or zero))</t>
        </is>
      </c>
      <c r="H297" s="3" t="inlineStr">
        <is>
          <t>the balance (or 0 — when missing or zero) added up across accounts (or none — when missing) where pred.</t>
        </is>
      </c>
      <c r="I297" s="3" t="inlineStr">
        <is>
          <t>READ FROM THE CODE — rendered from the expressions the function runs</t>
        </is>
      </c>
      <c r="J297" s="3" t="inlineStr">
        <is>
          <t>1. accounts: AssetAccount[]
2. pred: (a: AssetAccount) =&gt; boolean</t>
        </is>
      </c>
      <c r="K297" s="3" t="inlineStr">
        <is>
          <t>number</t>
        </is>
      </c>
      <c r="L297" s="3" t="inlineStr">
        <is>
          <t>—</t>
        </is>
      </c>
      <c r="M297" s="3" t="inlineStr">
        <is>
          <t>· If balance is missing it counts as zero, so nothing recorded and a real zero look the same.</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2026-09-09</t>
        </is>
      </c>
      <c r="W297" s="3" t="n"/>
      <c r="X297" s="3" t="n"/>
      <c r="Y297" s="3" t="inlineStr">
        <is>
          <t>NOTHING OPEN</t>
        </is>
      </c>
    </row>
    <row r="298" ht="60" customHeight="1">
      <c r="A298" s="3" t="inlineStr">
        <is>
          <t>MK-NW-F-067</t>
        </is>
      </c>
      <c r="B298" s="3" t="inlineStr">
        <is>
          <t>plural</t>
        </is>
      </c>
      <c r="C298" s="3" t="inlineStr">
        <is>
          <t>src/domain/assets/index.ts</t>
        </is>
      </c>
      <c r="D298" s="3" t="n">
        <v>1128</v>
      </c>
      <c r="E298" s="3" t="inlineStr">
        <is>
          <t>1 · ACTION</t>
        </is>
      </c>
      <c r="F298" s="3" t="inlineStr">
        <is>
          <t>NOT DETERMINED — the code carries no note saying what this is for, and it has no row in the old inventory. Needs reading.</t>
        </is>
      </c>
      <c r="G298" s="11" t="inlineStr">
        <is>
          <t>the answer = n + ' ' + (one   when n = 1;   many   otherwise)</t>
        </is>
      </c>
      <c r="H298" s="3" t="inlineStr">
        <is>
          <t>'1 account' or '3 accounts' — the word made plural when the count is not one. Display only.</t>
        </is>
      </c>
      <c r="I298" s="3" t="inlineStr">
        <is>
          <t>READ BY HAND 2026-08-26 — checked line by line against the code</t>
        </is>
      </c>
      <c r="J298" s="3" t="inlineStr">
        <is>
          <t>1. n: number
2. one: string
3. many = `${one}s`</t>
        </is>
      </c>
      <c r="K298" s="3" t="inlineStr">
        <is>
          <t>many}`;</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2026-09-12</t>
        </is>
      </c>
      <c r="W298" s="3" t="n"/>
      <c r="X298" s="3" t="n"/>
      <c r="Y298" s="3" t="inlineStr">
        <is>
          <t>NOTHING OPEN</t>
        </is>
      </c>
    </row>
    <row r="299" ht="60" customHeight="1">
      <c r="A299" s="3" t="inlineStr">
        <is>
          <t>MK-NW-F-068</t>
        </is>
      </c>
      <c r="B299" s="3" t="inlineStr">
        <is>
          <t>prettyDay</t>
        </is>
      </c>
      <c r="C299" s="3" t="inlineStr">
        <is>
          <t>src/domain/assets/index.ts</t>
        </is>
      </c>
      <c r="D299" s="3" t="n">
        <v>1962</v>
      </c>
      <c r="E299" s="3" t="inlineStr">
        <is>
          <t>3 · DEPENDENT</t>
        </is>
      </c>
      <c r="F299" s="3" t="inlineStr">
        <is>
          <t>NOT DETERMINED — the code carries no note saying what this is for, and it has no row in the old inventory. Needs reading.</t>
        </is>
      </c>
      <c r="G299" s="11" t="inlineStr">
        <is>
          <t>`${MONTH_ABBR[(m or 1) − 1]} ${d}, ${y}`</t>
        </is>
      </c>
      <c r="H299" s="3" t="inlineStr">
        <is>
          <t>`${MONTH_ABBR[(m or 1) minus 1]} ${d}, ${y}`.</t>
        </is>
      </c>
      <c r="I299" s="3" t="inlineStr">
        <is>
          <t>PARTLY READ — some of the code is still showing through; needs a hand pass</t>
        </is>
      </c>
      <c r="J299" s="3" t="inlineStr">
        <is>
          <t>iso: string</t>
        </is>
      </c>
      <c r="K299" s="3" t="inlineStr">
        <is>
          <t>string</t>
        </is>
      </c>
      <c r="L299" s="3" t="inlineStr">
        <is>
          <t>—</t>
        </is>
      </c>
      <c r="M299" s="3" t="inlineStr">
        <is>
          <t>None found in this function — anything it assumes comes from the functions it depends on.</t>
        </is>
      </c>
      <c r="N299" s="3" t="inlineStr">
        <is>
          <t>Yes</t>
        </is>
      </c>
      <c r="O299" s="3" t="inlineStr">
        <is>
          <t>MK-CF-F-132 map</t>
        </is>
      </c>
      <c r="P299" s="3" t="n">
        <v>1</v>
      </c>
      <c r="Q299" s="3" t="inlineStr">
        <is>
          <t>MK-CF-F-132 map</t>
        </is>
      </c>
      <c r="R299" s="3" t="inlineStr">
        <is>
          <t>MK-CF-F-132 map → MK-NW-F-068 prettyDay</t>
        </is>
      </c>
      <c r="S299" s="3" t="inlineStr">
        <is>
          <t>—</t>
        </is>
      </c>
      <c r="T299" s="3" t="inlineStr">
        <is>
          <t>—</t>
        </is>
      </c>
      <c r="U299" s="3" t="inlineStr">
        <is>
          <t>ACTIVE</t>
        </is>
      </c>
      <c r="V299" s="3" t="inlineStr">
        <is>
          <t>2026-08-27</t>
        </is>
      </c>
      <c r="W299" s="3" t="n"/>
      <c r="X299" s="3" t="n"/>
      <c r="Y299" s="3" t="inlineStr">
        <is>
          <t>NOTHING OPEN</t>
        </is>
      </c>
    </row>
    <row r="300" ht="60" customHeight="1">
      <c r="A300" s="3" t="inlineStr">
        <is>
          <t>MK-NW-F-069</t>
        </is>
      </c>
      <c r="B300" s="3" t="inlineStr">
        <is>
          <t>priceAtYield</t>
        </is>
      </c>
      <c r="C300" s="3" t="inlineStr">
        <is>
          <t>src/domain/bonds/index.ts</t>
        </is>
      </c>
      <c r="D300" s="3" t="n">
        <v>453</v>
      </c>
      <c r="E300" s="3" t="inlineStr">
        <is>
          <t>3 · DEPENDENT</t>
        </is>
      </c>
      <c r="F300" s="3" t="inlineStr">
        <is>
          <t>Price the bond's future cash flows at a given annual yield (yearly approximation).</t>
        </is>
      </c>
      <c r="G300" s="11" t="inlineStr">
        <is>
          <t>years = years to maturity(maturity, now)
value   when years = nothing
n = max(1, round(years))
c = annual coupon(b)
pv = 0
[LOOP — the answer is found inside a loop the extractor cannot render; the steps above are the ones before it. Read by hand.]</t>
        </is>
      </c>
      <c r="H300"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300" s="3" t="inlineStr">
        <is>
          <t>PARTLY READ — the body has a loop the extractor cannot render; the steps shown are the ones before it. Needs a hand pass (G23).</t>
        </is>
      </c>
      <c r="J300" s="3" t="inlineStr">
        <is>
          <t>1. b: BondInfo
2. y: number
3. now: Date</t>
        </is>
      </c>
      <c r="K300" s="3" t="inlineStr">
        <is>
          <t>number</t>
        </is>
      </c>
      <c r="L300" s="3" t="inlineStr">
        <is>
          <t>—</t>
        </is>
      </c>
      <c r="M300" s="3" t="inlineStr">
        <is>
          <t>1. Uses a built-in pv of 0.
2. Rounds the answer to a whole number.</t>
        </is>
      </c>
      <c r="N300" s="3" t="inlineStr">
        <is>
          <t>Yes</t>
        </is>
      </c>
      <c r="O300" s="3" t="inlineStr">
        <is>
          <t>1. MK-NW-F-057 annualCoupon
2. MK-XS-F-122 n
3. MK-NW-F-058 yearsToMaturity</t>
        </is>
      </c>
      <c r="P300" s="3" t="n">
        <v>3</v>
      </c>
      <c r="Q300" s="3" t="inlineStr">
        <is>
          <t>1. MK-NW-F-057 annualCoupon
2. MK-XS-F-122 n
3. MK-NW-F-058 yearsToMaturity</t>
        </is>
      </c>
      <c r="R300" s="3" t="inlineStr">
        <is>
          <t>1. MK-NW-F-057 annualCoupon → MK-NW-F-069 priceAtYield
2. MK-XS-F-122 n → MK-NW-F-069 priceAtYield
3. MK-NW-F-058 yearsToMaturity → MK-NW-F-069 priceAtYield</t>
        </is>
      </c>
      <c r="S300" s="3" t="inlineStr">
        <is>
          <t>—</t>
        </is>
      </c>
      <c r="T300" s="3" t="inlineStr">
        <is>
          <t>—</t>
        </is>
      </c>
      <c r="U300" s="3" t="inlineStr">
        <is>
          <t>ACTIVE</t>
        </is>
      </c>
      <c r="V300" s="3" t="inlineStr">
        <is>
          <t>2026-09-12</t>
        </is>
      </c>
      <c r="W300" s="3" t="n"/>
      <c r="X300" s="3" t="n"/>
      <c r="Y300" s="3" t="inlineStr">
        <is>
          <t>NOTHING OPEN</t>
        </is>
      </c>
    </row>
    <row r="301" ht="60" customHeight="1">
      <c r="A301" s="3" t="inlineStr">
        <is>
          <t>MK-NW-F-070</t>
        </is>
      </c>
      <c r="B301" s="3" t="inlineStr">
        <is>
          <t>accruedInterestCaveat</t>
        </is>
      </c>
      <c r="C301" s="3" t="inlineStr">
        <is>
          <t>src/domain/bonds/index.ts</t>
        </is>
      </c>
      <c r="D301" s="3" t="n">
        <v>235</v>
      </c>
      <c r="E301" s="3" t="inlineStr">
        <is>
          <t>3 · DEPENDENT</t>
        </is>
      </c>
      <c r="F301" s="3" t="inlineStr">
        <is>
          <t>A47 (founder, 2026-08-26): subtract accrued interest when known; say so when not.</t>
        </is>
      </c>
      <c r="G301" s="11" t="inlineStr">
        <is>
          <t>'accrued interest not entered — the yield uses the price as you entered it'   if accrued interest = nothing
nothing   otherwise</t>
        </is>
      </c>
      <c r="H301" s="3" t="inlineStr">
        <is>
          <t>'accrued interest entered is missing — the yield uses the price as you entered it' — when accrued interest is missing; no answer — otherwise.</t>
        </is>
      </c>
      <c r="I301" s="3" t="inlineStr">
        <is>
          <t>READ FROM THE CODE — rendered from the expressions the function runs</t>
        </is>
      </c>
      <c r="J301" s="3" t="inlineStr">
        <is>
          <t>b: BondInfo</t>
        </is>
      </c>
      <c r="K301" s="3" t="inlineStr">
        <is>
          <t>string | null</t>
        </is>
      </c>
      <c r="L301" s="3" t="inlineStr">
        <is>
          <t>—</t>
        </is>
      </c>
      <c r="M301" s="3" t="inlineStr">
        <is>
          <t>None found in this function — anything it assumes comes from the functions it depends on.</t>
        </is>
      </c>
      <c r="N301" s="3" t="inlineStr">
        <is>
          <t>Yes</t>
        </is>
      </c>
      <c r="O301" s="3" t="inlineStr">
        <is>
          <t>—</t>
        </is>
      </c>
      <c r="P301" s="3" t="n">
        <v>0</v>
      </c>
      <c r="Q301" s="3" t="inlineStr">
        <is>
          <t>None — no dependent function stands behind it</t>
        </is>
      </c>
      <c r="R301" s="3" t="inlineStr">
        <is>
          <t>No dependent function — it reads its inputs and answers</t>
        </is>
      </c>
      <c r="S301" s="3" t="inlineStr">
        <is>
          <t>—</t>
        </is>
      </c>
      <c r="T301" s="3" t="inlineStr">
        <is>
          <t>—</t>
        </is>
      </c>
      <c r="U301" s="3" t="inlineStr">
        <is>
          <t>ACTIVE</t>
        </is>
      </c>
      <c r="V301" s="3" t="inlineStr">
        <is>
          <t>2026-09-27</t>
        </is>
      </c>
      <c r="W301" s="3" t="n"/>
      <c r="X301" s="3" t="n"/>
      <c r="Y301" s="6" t="inlineStr">
        <is>
          <t>TESTED, NOT VERIFIED (A47)</t>
        </is>
      </c>
    </row>
    <row r="302" ht="60" customHeight="1">
      <c r="A302" s="3" t="inlineStr">
        <is>
          <t>MK-NW-F-071</t>
        </is>
      </c>
      <c r="B302" s="3" t="inlineStr">
        <is>
          <t>isCertificateOfDeposit</t>
        </is>
      </c>
      <c r="C302" s="3" t="inlineStr">
        <is>
          <t>MoneyKeel/functions/networth-and-performance/bonds.ts</t>
        </is>
      </c>
      <c r="D302" s="3" t="n">
        <v>56</v>
      </c>
      <c r="E302" s="3" t="inlineStr">
        <is>
          <t>3 · DEPENDENT</t>
        </is>
      </c>
      <c r="F302" s="3" t="inlineStr">
        <is>
          <t>NOT DETERMINED — the code carries no note saying what this is for, and it has no row in the old inventory. Needs reading.</t>
        </is>
      </c>
      <c r="G302" s="11" t="inlineStr">
        <is>
          <t>CD_RE.test(`${label ?? ''} ${institution ?? ''}`)</t>
        </is>
      </c>
      <c r="H302" s="3" t="inlineStr">
        <is>
          <t>CD_RE.test(`${label ?? ''} ${institution ?? ''}`).</t>
        </is>
      </c>
      <c r="I302" s="3" t="inlineStr">
        <is>
          <t>PARTLY READ — some of the code is still showing through; needs a hand pass</t>
        </is>
      </c>
      <c r="J302" s="3" t="inlineStr">
        <is>
          <t>a: Pick&lt;AssetAccount, 'label'&gt; &amp; { institution?: string }</t>
        </is>
      </c>
      <c r="K302" s="3" t="inlineStr">
        <is>
          <t>boolean</t>
        </is>
      </c>
      <c r="L302" s="3" t="inlineStr">
        <is>
          <t>—</t>
        </is>
      </c>
      <c r="M302" s="3" t="inlineStr">
        <is>
          <t>None found in this function — anything it assumes comes from the functions it depends on.</t>
        </is>
      </c>
      <c r="N302" s="3" t="inlineStr">
        <is>
          <t>Yes</t>
        </is>
      </c>
      <c r="O302" s="3" t="inlineStr">
        <is>
          <t>—</t>
        </is>
      </c>
      <c r="P302" s="3" t="n">
        <v>0</v>
      </c>
      <c r="Q302" s="3" t="inlineStr">
        <is>
          <t>None — no dependent function stands behind it</t>
        </is>
      </c>
      <c r="R302" s="3" t="inlineStr">
        <is>
          <t>No dependent function — it reads its inputs and answers</t>
        </is>
      </c>
      <c r="S302" s="3" t="inlineStr">
        <is>
          <t>—</t>
        </is>
      </c>
      <c r="T302" s="3" t="inlineStr">
        <is>
          <t>—</t>
        </is>
      </c>
      <c r="U302" s="3" t="inlineStr">
        <is>
          <t>ACTIVE</t>
        </is>
      </c>
      <c r="V302" s="3" t="inlineStr">
        <is>
          <t>2026-09-27</t>
        </is>
      </c>
      <c r="W302" s="3" t="n"/>
      <c r="X302" s="3" t="n"/>
      <c r="Y302" s="3" t="inlineStr">
        <is>
          <t>NOTHING OPEN</t>
        </is>
      </c>
    </row>
    <row r="303" ht="60" customHeight="1">
      <c r="A303" s="3" t="inlineStr">
        <is>
          <t>MK-NW-F-072</t>
        </is>
      </c>
      <c r="B303" s="3" t="inlineStr">
        <is>
          <t>rowOf</t>
        </is>
      </c>
      <c r="C303" s="3" t="inlineStr">
        <is>
          <t>MoneyKeel/functions/networth-and-performance/bonds.ts</t>
        </is>
      </c>
      <c r="D303" s="3" t="n">
        <v>139</v>
      </c>
      <c r="E303" s="3" t="inlineStr">
        <is>
          <t>3 · DEPENDENT</t>
        </is>
      </c>
      <c r="F303" s="3" t="inlineStr">
        <is>
          <t>NOT DETERMINED — the code carries no note saying what this is for, and it has no row in the old inventory. Needs reading.</t>
        </is>
      </c>
      <c r="G303" s="11" t="inlineStr">
        <is>
          <t>b = bond info(a)</t>
        </is>
      </c>
      <c r="H303" s="3" t="inlineStr">
        <is>
          <t>B is bond info(a).</t>
        </is>
      </c>
      <c r="I303" s="3" t="inlineStr">
        <is>
          <t>READ FROM THE CODE — rendered from the expressions the function runs</t>
        </is>
      </c>
      <c r="J303" s="3" t="inlineStr">
        <is>
          <t>1. a: AssetAccount
2. now: Date</t>
        </is>
      </c>
      <c r="K303" s="3" t="inlineStr">
        <is>
          <t>BondRow</t>
        </is>
      </c>
      <c r="L303" s="3" t="inlineStr">
        <is>
          <t>—</t>
        </is>
      </c>
      <c r="M303" s="3" t="inlineStr">
        <is>
          <t>None found in this function — anything it assumes comes from the functions it depends on.</t>
        </is>
      </c>
      <c r="N303" s="3" t="inlineStr">
        <is>
          <t>Yes</t>
        </is>
      </c>
      <c r="O303" s="3" t="inlineStr">
        <is>
          <t>1. MK-NW-F-070 accruedInterestCaveat
2. MK-NW-F-057 annualCoupon
3. MK-NW-F-060 approxYTM
4. MK-NW-F-056 bondInfo
5. MK-NW-F-059 currentYield
6. MK-NW-F-071 isCertificateOfDeposit
7. MK-NW-F-058 yearsToMaturity</t>
        </is>
      </c>
      <c r="P303" s="3" t="n">
        <v>9</v>
      </c>
      <c r="Q303" s="3" t="inlineStr">
        <is>
          <t>1. MK-NW-F-070 accruedInterestCaveat
2. MK-NW-F-057 annualCoupon
3. MK-NW-F-060 approxYTM
4. MK-NW-F-056 bondInfo
5. MK-NW-F-059 currentYield
6. MK-NW-F-071 isCertificateOfDeposit
7. MK-NW-F-058 yearsToMaturity
8. MK-XS-F-122 n
9. MK-CF-F-155 cash</t>
        </is>
      </c>
      <c r="R303"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3" s="3" t="inlineStr">
        <is>
          <t>—</t>
        </is>
      </c>
      <c r="T303" s="3" t="inlineStr">
        <is>
          <t>—</t>
        </is>
      </c>
      <c r="U303" s="3" t="inlineStr">
        <is>
          <t>ACTIVE</t>
        </is>
      </c>
      <c r="V303" s="3" t="inlineStr">
        <is>
          <t>2026-09-27</t>
        </is>
      </c>
      <c r="W303" s="3" t="n"/>
      <c r="X303" s="3" t="n"/>
      <c r="Y303" s="3" t="inlineStr">
        <is>
          <t>NOTHING OPEN</t>
        </is>
      </c>
    </row>
    <row r="304" ht="60" customHeight="1">
      <c r="A304" s="3" t="inlineStr">
        <is>
          <t>MK-NW-F-073</t>
        </is>
      </c>
      <c r="B304" s="3" t="inlineStr">
        <is>
          <t>itemising</t>
        </is>
      </c>
      <c r="C304" s="3" t="inlineStr">
        <is>
          <t>MoneyKeel/functions/networth-and-performance/account.ts</t>
        </is>
      </c>
      <c r="D304" s="3" t="n">
        <v>208</v>
      </c>
      <c r="E304" s="3" t="inlineStr">
        <is>
          <t>2 · DISPLAYED</t>
        </is>
      </c>
      <c r="F304" s="3" t="inlineStr">
        <is>
          <t>NOT DETERMINED — the code carries no note saying what this is for, and it has no row in the old inventory. Needs reading.</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1. lumpBalance: number
2. items: ItemHolding[]</t>
        </is>
      </c>
      <c r="K304" s="3" t="inlineStr">
        <is>
          <t>Itemising</t>
        </is>
      </c>
      <c r="L304" s="3" t="inlineStr">
        <is>
          <t>NOT FOUND — a screen calls it, but the words printed beside its answer could not be traced automatically. Needs reading.</t>
        </is>
      </c>
      <c r="M304" s="3" t="inlineStr">
        <is>
          <t>None found in this function — anything it assumes comes from the functions it depends on.</t>
        </is>
      </c>
      <c r="N304" s="3" t="inlineStr">
        <is>
          <t>Yes</t>
        </is>
      </c>
      <c r="O304" s="3" t="inlineStr">
        <is>
          <t>1. MK-NW-F-050 itemizeRemainder
2. MK-NW-F-049 itemizedTotal</t>
        </is>
      </c>
      <c r="P304" s="3" t="n">
        <v>2</v>
      </c>
      <c r="Q304" s="3" t="inlineStr">
        <is>
          <t>1. MK-NW-F-050 itemizeRemainder
2. MK-NW-F-049 itemizedTotal</t>
        </is>
      </c>
      <c r="R304" s="3" t="inlineStr">
        <is>
          <t>1. MK-NW-F-049 itemizedTotal → MK-NW-F-050 itemizeRemainder → MK-NW-F-073 itemising
2. MK-NW-F-049 itemizedTotal → MK-NW-F-073 itemising</t>
        </is>
      </c>
      <c r="S304" s="3" t="inlineStr">
        <is>
          <t>—</t>
        </is>
      </c>
      <c r="T304" s="3" t="inlineStr">
        <is>
          <t>—</t>
        </is>
      </c>
      <c r="U304" s="3" t="inlineStr">
        <is>
          <t>ACTIVE</t>
        </is>
      </c>
      <c r="V304" s="3" t="inlineStr">
        <is>
          <t>2026-09-27</t>
        </is>
      </c>
      <c r="W304" s="3" t="n"/>
      <c r="X304" s="3" t="n"/>
      <c r="Y304" s="3" t="inlineStr">
        <is>
          <t>NOTHING OPEN</t>
        </is>
      </c>
    </row>
    <row r="305" ht="60" customHeight="1">
      <c r="A305" s="3" t="inlineStr">
        <is>
          <t>MK-NW-F-075</t>
        </is>
      </c>
      <c r="B305" s="3" t="inlineStr">
        <is>
          <t>ACC</t>
        </is>
      </c>
      <c r="C305" s="3" t="inlineStr">
        <is>
          <t>MoneyKeel/functions/networth-and-performance/account.ts</t>
        </is>
      </c>
      <c r="D305" s="3" t="n">
        <v>262</v>
      </c>
      <c r="E305" s="3" t="inlineStr">
        <is>
          <t>1 · ACTION</t>
        </is>
      </c>
      <c r="F305" s="3" t="inlineStr">
        <is>
          <t>NOT DETERMINED — the code carries no note saying what this is for, and it has no row in the old inventory. Needs reading.</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EXAMPLE_ACCOUNT, transactions: EXAMPLE_LEDGER });</t>
        </is>
      </c>
      <c r="L305" s="3" t="inlineStr">
        <is>
          <t>—</t>
        </is>
      </c>
      <c r="M305" s="3" t="inlineStr">
        <is>
          <t>None found in this function — anything it assumes comes from the functions it depends on.</t>
        </is>
      </c>
      <c r="N305" s="3" t="inlineStr">
        <is>
          <t>No</t>
        </is>
      </c>
      <c r="O305" s="3" t="inlineStr">
        <is>
          <t>1. MK-CF-F-155 cash
2. MK-XS-F-180 declareFigures
3. MK-NW-F-073 itemising
4. MK-PF-F-004 marketValue
5. MK-ST-F-030 record
6. MK-NW-O-002 theAccount</t>
        </is>
      </c>
      <c r="P305" s="3" t="n">
        <v>24</v>
      </c>
      <c r="Q305"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5"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MK-NW-F-076</t>
        </is>
      </c>
      <c r="B306" s="3" t="inlineStr">
        <is>
          <t>ALT</t>
        </is>
      </c>
      <c r="C306" s="3" t="inlineStr">
        <is>
          <t>MoneyKeel/functions/networth-and-performance/alternatives-outlook.ts</t>
        </is>
      </c>
      <c r="D306" s="3" t="n">
        <v>143</v>
      </c>
      <c r="E306" s="3" t="inlineStr">
        <is>
          <t>3 · DEPENDENT (feeds an action only)</t>
        </is>
      </c>
      <c r="F306" s="3" t="inlineStr">
        <is>
          <t>NOT DETERMINED — the code carries no note saying what this is for, and it has no row in the old inventory. Needs reading.</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 });</t>
        </is>
      </c>
      <c r="L306" s="3" t="inlineStr">
        <is>
          <t>—</t>
        </is>
      </c>
      <c r="M306" s="3" t="inlineStr">
        <is>
          <t>None found in this function — anything it assumes comes from the functions it depends on.</t>
        </is>
      </c>
      <c r="N306" s="3" t="inlineStr">
        <is>
          <t>No</t>
        </is>
      </c>
      <c r="O306" s="3" t="inlineStr">
        <is>
          <t>1. MK-XS-F-180 declareFigures
2. MK-NW-O-005 theAlternativesOutlook</t>
        </is>
      </c>
      <c r="P306" s="3" t="n">
        <v>22</v>
      </c>
      <c r="Q306"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6"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6" s="3" t="inlineStr">
        <is>
          <t>—</t>
        </is>
      </c>
      <c r="T306" s="3" t="inlineStr">
        <is>
          <t>—</t>
        </is>
      </c>
      <c r="U306" s="3" t="inlineStr">
        <is>
          <t>ACTIVE</t>
        </is>
      </c>
      <c r="V306" s="3" t="inlineStr">
        <is>
          <t>2026-10-01</t>
        </is>
      </c>
      <c r="W306" s="3" t="n"/>
      <c r="X306" s="3" t="n"/>
      <c r="Y306" s="3" t="inlineStr">
        <is>
          <t>NOTHING OPEN</t>
        </is>
      </c>
    </row>
    <row r="307" ht="60" customHeight="1">
      <c r="A307" s="3" t="inlineStr">
        <is>
          <t>MK-NW-F-077</t>
        </is>
      </c>
      <c r="B307" s="3" t="inlineStr">
        <is>
          <t>ALL</t>
        </is>
      </c>
      <c r="C307" s="3" t="inlineStr">
        <is>
          <t>MoneyKeel/functions/networth-and-performance/bonds.ts</t>
        </is>
      </c>
      <c r="D307" s="3" t="n">
        <v>339</v>
      </c>
      <c r="E307" s="3" t="inlineStr">
        <is>
          <t>1 · ACTION</t>
        </is>
      </c>
      <c r="F307" s="3" t="inlineStr">
        <is>
          <t>NOT DETERMINED — the code carries no note saying what this is for, and it has no row in the old inventory. Needs reading.</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 today: TODAY });</t>
        </is>
      </c>
      <c r="L307" s="3" t="inlineStr">
        <is>
          <t>—</t>
        </is>
      </c>
      <c r="M307" s="3" t="inlineStr">
        <is>
          <t>None found in this function — anything it assumes comes from the functions it depends on.</t>
        </is>
      </c>
      <c r="N307" s="3" t="inlineStr">
        <is>
          <t>Yes</t>
        </is>
      </c>
      <c r="O307" s="3" t="inlineStr">
        <is>
          <t>MK-NW-O-001 theBonds</t>
        </is>
      </c>
      <c r="P307" s="3" t="n">
        <v>24</v>
      </c>
      <c r="Q307"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7"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MK-NW-F-078</t>
        </is>
      </c>
      <c r="B308" s="3" t="inlineStr">
        <is>
          <t>ONE</t>
        </is>
      </c>
      <c r="C308" s="3" t="inlineStr">
        <is>
          <t>MoneyKeel/functions/networth-and-performance/bonds.ts</t>
        </is>
      </c>
      <c r="D308" s="3" t="n">
        <v>379</v>
      </c>
      <c r="E308" s="3" t="inlineStr">
        <is>
          <t>2 · DISPLAYED</t>
        </is>
      </c>
      <c r="F308" s="3" t="inlineStr">
        <is>
          <t>NOT DETERMINED — the code carries no note saying what this is for, and it has no row in the old inventory. Needs reading.</t>
        </is>
      </c>
      <c r="G308" s="11" t="inlineStr">
        <is>
          <t>NOT READ YET — the body is not a shape this can render faithfully, so nothing is claimed rather than something being guessed. It needs reading by hand.</t>
        </is>
      </c>
      <c r="H308" s="3" t="inlineStr">
        <is>
          <t>NOT READ YET — the body is not a shape this can render faithfully, so nothing is claimed rather than something being guessed. It needs reading by hand.</t>
        </is>
      </c>
      <c r="I308" s="3" t="inlineStr">
        <is>
          <t>NOT READ — nothing is claimed rather than something guessed</t>
        </is>
      </c>
      <c r="J308" s="3" t="inlineStr">
        <is>
          <t>Nothing is handed to it</t>
        </is>
      </c>
      <c r="K308" s="3" t="inlineStr">
        <is>
          <t>EXAMPLE, accountId: 'b1', today: TODAY }).one!;</t>
        </is>
      </c>
      <c r="L308" s="3" t="inlineStr">
        <is>
          <t>NOT FOUND — a screen calls it, but the words printed beside its answer could not be traced automatically. Needs reading.</t>
        </is>
      </c>
      <c r="M308" s="3" t="inlineStr">
        <is>
          <t>1. If current yield is missing it uses 0.
2. If years left is missing it uses 0.
3. Shows 2 decimal places.
4. Shows 1 decimal place.</t>
        </is>
      </c>
      <c r="N308" s="3" t="inlineStr">
        <is>
          <t>Yes</t>
        </is>
      </c>
      <c r="O308" s="3" t="inlineStr">
        <is>
          <t>1. MK-NW-F-077 ALL
2. MK-NW-F-059 currentYield
3. MK-XS-F-180 declareFigures
4. MK-ST-F-049 formatMoney
5. MK-ST-F-053 money
6. MK-NW-O-001 theBonds</t>
        </is>
      </c>
      <c r="P308" s="3" t="n">
        <v>31</v>
      </c>
      <c r="Q308"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8"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MK-NW-F-079</t>
        </is>
      </c>
      <c r="B309" s="3" t="inlineStr">
        <is>
          <t>EF</t>
        </is>
      </c>
      <c r="C309" s="3" t="inlineStr">
        <is>
          <t>MoneyKeel/functions/networth-and-performance/emergency-fund.ts</t>
        </is>
      </c>
      <c r="D309" s="3" t="n">
        <v>245</v>
      </c>
      <c r="E309" s="3" t="inlineStr">
        <is>
          <t>1 · ACTION</t>
        </is>
      </c>
      <c r="F309" s="3" t="inlineStr">
        <is>
          <t>NOT DETERMINED — the code carries no note saying what this is for, and it has no row in the old inventory. Needs reading.</t>
        </is>
      </c>
      <c r="G309" s="11" t="inlineStr">
        <is>
          <t>the emergency fund(EXAMPLE)</t>
        </is>
      </c>
      <c r="H309" s="3" t="inlineStr">
        <is>
          <t>the emergency fund(EXAMPLE)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1. Rounds the answer to 1 decimal place.
2. Shows 1 decimal place.</t>
        </is>
      </c>
      <c r="N309" s="3" t="inlineStr">
        <is>
          <t>No</t>
        </is>
      </c>
      <c r="O309" s="3" t="inlineStr">
        <is>
          <t>1. MK-CF-F-155 cash
2. MK-XS-F-180 declareFigures
3. MK-CF-F-190 essentialsMonthly
4. MK-ST-F-049 formatMoney
5. MK-NW-O-004 theEmergencyFund</t>
        </is>
      </c>
      <c r="P309" s="3" t="n">
        <v>110</v>
      </c>
      <c r="Q309"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9"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MK-NW-F-080</t>
        </is>
      </c>
      <c r="B310" s="3" t="inlineStr">
        <is>
          <t>HOLD</t>
        </is>
      </c>
      <c r="C310" s="3" t="inlineStr">
        <is>
          <t>MoneyKeel/functions/networth-and-performance/holding.ts</t>
        </is>
      </c>
      <c r="D310" s="3" t="n">
        <v>244</v>
      </c>
      <c r="E310" s="3" t="inlineStr">
        <is>
          <t>1 · ACTION</t>
        </is>
      </c>
      <c r="F310" s="3" t="inlineStr">
        <is>
          <t>NOT DETERMINED — the code carries no note saying what this is for, and it has no row in the old inventory. Needs reading.</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Nothing is handed to it</t>
        </is>
      </c>
      <c r="K310" s="3" t="inlineStr">
        <is>
          <t>EXAMPLE_POSITION, accountId: 'a2', price: 290,</t>
        </is>
      </c>
      <c r="L310" s="3" t="inlineStr">
        <is>
          <t>—</t>
        </is>
      </c>
      <c r="M310" s="3" t="inlineStr">
        <is>
          <t>None found in this function — anything it assumes comes from the functions it depends on.</t>
        </is>
      </c>
      <c r="N310" s="3" t="inlineStr">
        <is>
          <t>No</t>
        </is>
      </c>
      <c r="O310" s="3" t="inlineStr">
        <is>
          <t>1. MK-XS-F-180 declareFigures
2. MK-NW-O-006 theHolding</t>
        </is>
      </c>
      <c r="P310" s="3" t="n">
        <v>10</v>
      </c>
      <c r="Q310" s="3" t="inlineStr">
        <is>
          <t>1. MK-XS-F-180 declareFigures
2. MK-NW-O-006 theHolding
3. MK-PF-F-006 capGains
4. MK-PF-F-002 costBasis
5. MK-CF-F-132 map
6. MK-PF-F-004 marketValue
7. MK-PF-F-028 realizedFromLedger
8. MK-PF-F-001 totalShares
9. MK-XS-F-122 n
10. MK-PF-F-031 contractMultiplier</t>
        </is>
      </c>
      <c r="R310"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10" s="3" t="inlineStr">
        <is>
          <t>—</t>
        </is>
      </c>
      <c r="T310" s="3" t="inlineStr">
        <is>
          <t>—</t>
        </is>
      </c>
      <c r="U310" s="3" t="inlineStr">
        <is>
          <t>ACTIVE</t>
        </is>
      </c>
      <c r="V310" s="3" t="inlineStr">
        <is>
          <t>2026-09-28</t>
        </is>
      </c>
      <c r="W310" s="3" t="n"/>
      <c r="X310" s="3" t="n"/>
      <c r="Y310" s="3" t="inlineStr">
        <is>
          <t>NOTHING OPEN</t>
        </is>
      </c>
    </row>
    <row r="311" ht="60" customHeight="1">
      <c r="A311" s="3" t="inlineStr">
        <is>
          <t>MK-NW-F-081</t>
        </is>
      </c>
      <c r="B311" s="3" t="inlineStr">
        <is>
          <t>LB</t>
        </is>
      </c>
      <c r="C311" s="3" t="inlineStr">
        <is>
          <t>MoneyKeel/functions/networth-and-performance/look-back.ts</t>
        </is>
      </c>
      <c r="D311" s="3" t="n">
        <v>113</v>
      </c>
      <c r="E311" s="3" t="inlineStr">
        <is>
          <t>1 · ACTION</t>
        </is>
      </c>
      <c r="F311" s="3" t="inlineStr">
        <is>
          <t>NOT DETERMINED — the code carries no note saying what this is for, and it has no row in the old inventory. Needs reading.</t>
        </is>
      </c>
      <c r="G311" s="11" t="inlineStr">
        <is>
          <t>the look back(EXAMPLE)!</t>
        </is>
      </c>
      <c r="H311" s="3" t="inlineStr">
        <is>
          <t>the look back(EXAMPLE)!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1. MK-XS-F-180 declareFigures
2. MK-ST-F-053 money
3. MK-NW-O-007 theLookBack</t>
        </is>
      </c>
      <c r="P311" s="3" t="n">
        <v>11</v>
      </c>
      <c r="Q311" s="3" t="inlineStr">
        <is>
          <t>1. MK-XS-F-180 declareFigures
2. MK-ST-F-053 money
3. MK-NW-O-007 theLookBack
4. MK-ST-F-049 formatMoney
5. MK-XS-F-122 n
6. MK-PF-F-023 lookBack
7. MK-ST-F-048 currencySymbol
8. MK-ST-F-039 on
9. MK-PF-F-022 factorOverMonths
10. MK-ST-F-047 activeCurrency
11. MK-ST-F-065 isoLocalDate</t>
        </is>
      </c>
      <c r="R311"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11" s="3" t="inlineStr">
        <is>
          <t>—</t>
        </is>
      </c>
      <c r="T311" s="3" t="inlineStr">
        <is>
          <t>—</t>
        </is>
      </c>
      <c r="U311" s="3" t="inlineStr">
        <is>
          <t>ACTIVE</t>
        </is>
      </c>
      <c r="V311" s="3" t="inlineStr">
        <is>
          <t>2026-09-28</t>
        </is>
      </c>
      <c r="W311" s="3" t="n"/>
      <c r="X311" s="3" t="n"/>
      <c r="Y311" s="3" t="inlineStr">
        <is>
          <t>NOTHING OPEN</t>
        </is>
      </c>
    </row>
    <row r="312" ht="60" customHeight="1">
      <c r="A312" s="3" t="inlineStr">
        <is>
          <t>MK-NW-F-082</t>
        </is>
      </c>
      <c r="B312" s="3" t="inlineStr">
        <is>
          <t>NW</t>
        </is>
      </c>
      <c r="C312" s="3" t="inlineStr">
        <is>
          <t>MoneyKeel/functions/networth-and-performance/net-worth.ts</t>
        </is>
      </c>
      <c r="D312" s="3" t="n">
        <v>347</v>
      </c>
      <c r="E312" s="3" t="inlineStr">
        <is>
          <t>1 · ACTION</t>
        </is>
      </c>
      <c r="F312" s="3" t="inlineStr">
        <is>
          <t>NOT DETERMINED — the code carries no note saying what this is for, and it has no row in the old inventory. Needs reading.</t>
        </is>
      </c>
      <c r="G312" s="11" t="inlineStr">
        <is>
          <t>the net worth(EXAMPLE)</t>
        </is>
      </c>
      <c r="H312" s="3" t="inlineStr">
        <is>
          <t>the net worth(EXAMPLE)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Yes</t>
        </is>
      </c>
      <c r="O312" s="3" t="inlineStr">
        <is>
          <t>1. MK-NW-F-097 LEDGER
2. MK-NW-O-003 theNetWorth</t>
        </is>
      </c>
      <c r="P312" s="3" t="n">
        <v>201</v>
      </c>
      <c r="Q312"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MK-CF-F-207 SOURCE
120. MK-CF-O-004 incomeSummary
121. MK-CF-F-100 taxableIncomeFor
122. MK-ST-F-034 firstDate
123. MK-CF-F-075 retirementIncomeMonthly
124. MK-XS-F-064 currentIdToken
125. MK-XS-F-112 relayUrl
126. MK-CF-O-016 incomeSources
127. MK-CF-O-001 basePay
128. MK-CF-F-173 earnerWages
129. MK-CF-F-179 entryFromWage
130. MK-CF-F-071 extraIncome
131. MK-CF-F-092 incomeMonthlyGrid
132. MK-CF-F-103 marginalBracketFor
133. MK-CF-F-181 rateInForce
134. MK-CF-F-068 rentalNetAnnual
135. MK-CF-F-082 salaryAnnual
136. MK-CF-F-084 taxableAnnual
137. MK-CF-F-099 deductionFor
138. MK-CF-F-066 rsuAnnual
139. MK-CF-F-171 earnerPay
140. MK-CF-F-204 line
141. MK-HM-F-006 money0
142. MK-CF-F-198 payrollTaxWithheld
143. MK-CF-F-172 hasWage
144. MK-CF-F-165 salaryMonths
145. MK-CF-F-070 benefitAnnual
146. MK-CF-F-069 benefitActiveMonths
147. MK-CF-F-065 equityVestWeights
148. MK-CF-F-206 householdK401ByMonth
149. MK-CF-F-087 monthlyTaxRates
150. MK-CF-F-073 otherIncomeMonth
151. MK-CF-F-060 salaryGrossByMonth
152. MK-CF-F-077 scholarshipByCalendarMonth
153. MK-CF-F-088 taxableByCalendarMonth
154. MK-PL-F-012 waterfall
155. MK-CF-F-102 effectiveRateOnGrossFor
156. MK-CF-F-180 enteredLandsAnnual
157. MK-CF-F-086 stateRateOf
158. MK-CF-O-002 expenses
159. MK-CF-F-067 rentalList
160. MK-CF-F-074 tipsAnnual
161. MK-CF-F-187 seniorDeductionFor
162. MK-CF-F-062 equityRowValue
163. MK-CF-F-063 rowVestYear
164. MK-CF-F-143 annualisedGross
165. MK-CF-F-145 deductionsFromPay
166. MK-CF-F-128 grossByMonth
167. MK-CF-F-146 payFiguresAgree
168. MK-CF-F-144 takeHomeAsEntered
169. MK-CF-F-203 MONTH
170. MK-HM-F-005 pctTxt
171. MK-CF-F-176 sumMonthsOverEarners
172. MK-CF-F-177 wageGrossByMonth
173. MK-CF-F-090 effectiveRate
174. MK-CF-F-098 progressiveMonthlyTax
175. MK-CF-F-151 actualSpending
176. MK-CF-F-150 debtPaymentsCountedAsExpenses
177. MK-CF-F-153 radar
178. MK-CF-F-149 recurringDebtPayments
179. MK-CF-F-081 salaryActiveMonths
180. MK-CF-F-142 monthsOf
181. MK-CF-F-141 perMonth
182. MK-CF-O-010 theMonth
183. MK-CF-F-130 enteredMonthlyRaw
184. MK-CF-F-166 hasMonthlySalaryTable
185. MK-ST-F-036 reconcile
186. MK-CF-F-167 salaryCalendarYear
187. MK-CF-F-148 inMonth
188. MK-CF-F-152 isRadarItem
189. MK-CF-F-140 periodsAYear
190. MK-CF-O-003 thisMonth
191. MK-CF-F-005 actualMonthFlow
192. MK-CF-F-156 plannedMonthFlow
193. MK-CF-F-157 debtPaymentsByDebt
194. MK-CF-F-192 inflowLabel
195. MK-XS-F-027 takeHomeMonthly
196. MK-CF-F-193 inflowSourceWord
197. MK-CF-F-011 savingsByMonth
198. MK-CF-F-008 spendByMonth
199. MK-CF-F-120 pctBaseMonthly
200. MK-CF-F-004 spendBuckets
201. MK-CF-F-003 categoryMonthly</t>
        </is>
      </c>
      <c r="R312"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12" s="3" t="inlineStr">
        <is>
          <t>—</t>
        </is>
      </c>
      <c r="T312" s="3" t="inlineStr">
        <is>
          <t>—</t>
        </is>
      </c>
      <c r="U312" s="3" t="inlineStr">
        <is>
          <t>ACTIVE</t>
        </is>
      </c>
      <c r="V312" s="3" t="inlineStr">
        <is>
          <t>2026-09-28</t>
        </is>
      </c>
      <c r="W312" s="3" t="n"/>
      <c r="X312" s="3" t="n"/>
      <c r="Y312" s="3" t="inlineStr">
        <is>
          <t>NOTHING OPEN</t>
        </is>
      </c>
    </row>
    <row r="313" ht="60" customHeight="1">
      <c r="A313" s="3" t="inlineStr">
        <is>
          <t>MK-NW-F-083</t>
        </is>
      </c>
      <c r="B313" s="3" t="inlineStr">
        <is>
          <t>PERF</t>
        </is>
      </c>
      <c r="C313" s="3" t="inlineStr">
        <is>
          <t>MoneyKeel/functions/networth-and-performance/performance.ts</t>
        </is>
      </c>
      <c r="D313" s="3" t="n">
        <v>699</v>
      </c>
      <c r="E313" s="3" t="inlineStr">
        <is>
          <t>1 · ACTION</t>
        </is>
      </c>
      <c r="F313" s="3" t="inlineStr">
        <is>
          <t>NOT DETERMINED — the code carries no note saying what this is for, and it has no row in the old inventory. Needs reading.</t>
        </is>
      </c>
      <c r="G313" s="11" t="inlineStr">
        <is>
          <t>the performance(EXAMPLE)</t>
        </is>
      </c>
      <c r="H313" s="3" t="inlineStr">
        <is>
          <t>the performance(EXAMPLE)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MK-NW-O-008 thePerformance</t>
        </is>
      </c>
      <c r="P313" s="3" t="n">
        <v>48</v>
      </c>
      <c r="Q313"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3"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MK-NW-F-084</t>
        </is>
      </c>
      <c r="B314" s="3" t="inlineStr">
        <is>
          <t>categoryEarnings</t>
        </is>
      </c>
      <c r="C314" s="3" t="inlineStr">
        <is>
          <t>MoneyKeel/functions/networth-and-performance/performance.ts</t>
        </is>
      </c>
      <c r="D314" s="3" t="n">
        <v>564</v>
      </c>
      <c r="E314" s="3" t="inlineStr">
        <is>
          <t>2 · DISPLAYED</t>
        </is>
      </c>
      <c r="F314" s="3" t="inlineStr">
        <is>
          <t>NOT DETERMINED — the code carries no note saying what this is for, and it has no row in the old inventory. Needs reading.</t>
        </is>
      </c>
      <c r="G314"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14"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14" s="3" t="inlineStr">
        <is>
          <t>PARTLY READ — some of the code is still showing through; needs a hand pass</t>
        </is>
      </c>
      <c r="J314" s="3" t="inlineStr">
        <is>
          <t>Nothing is handed to it</t>
        </is>
      </c>
      <c r="K314" s="3" t="inlineStr">
        <is>
          <t>NOT DECLARED — the code does not say what it gives back</t>
        </is>
      </c>
      <c r="L314" s="3" t="inlineStr">
        <is>
          <t>NOT FOUND — a screen calls it, but the words printed beside its answer could not be traced automatically. Needs reading.</t>
        </is>
      </c>
      <c r="M314" s="3" t="inlineStr">
        <is>
          <t>· If market value is missing it uses 0.</t>
        </is>
      </c>
      <c r="N314" s="3" t="inlineStr">
        <is>
          <t>Yes</t>
        </is>
      </c>
      <c r="O314" s="3" t="inlineStr">
        <is>
          <t>1. MK-CF-F-155 cash
2. MK-ST-F-030 record</t>
        </is>
      </c>
      <c r="P314" s="3" t="n">
        <v>3</v>
      </c>
      <c r="Q314" s="3" t="inlineStr">
        <is>
          <t>1. MK-CF-F-155 cash
2. MK-ST-F-030 record
3. MK-XS-F-122 n</t>
        </is>
      </c>
      <c r="R314" s="3" t="inlineStr">
        <is>
          <t>1. MK-XS-F-122 n → MK-CF-F-155 cash → MK-NW-F-084 categoryEarnings
2. MK-ST-F-030 record → MK-NW-F-084 categoryEarnings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MK-NW-F-085</t>
        </is>
      </c>
      <c r="B315" s="3" t="inlineStr">
        <is>
          <t>PERF_ONE</t>
        </is>
      </c>
      <c r="C315" s="3" t="inlineStr">
        <is>
          <t>MoneyKeel/functions/networth-and-performance/performance.ts</t>
        </is>
      </c>
      <c r="D315" s="3" t="n">
        <v>726</v>
      </c>
      <c r="E315" s="3" t="inlineStr">
        <is>
          <t>1 · ACTION</t>
        </is>
      </c>
      <c r="F315" s="3" t="inlineStr">
        <is>
          <t>PER ACCOUNT (Performance pass 1, 2026-09-30).</t>
        </is>
      </c>
      <c r="G315" s="11" t="inlineStr">
        <is>
          <t>NOT READ YET — the body is not a shape this can render faithfully, so nothing is claimed rather than something being guessed. It needs reading by hand.</t>
        </is>
      </c>
      <c r="H315" s="3" t="inlineStr">
        <is>
          <t>NOT READ YET — the body is not a shape this can render faithfully, so nothing is claimed rather than something being guessed. It needs reading by hand.</t>
        </is>
      </c>
      <c r="I315" s="3" t="inlineStr">
        <is>
          <t>NOT READ — nothing is claimed rather than something guessed</t>
        </is>
      </c>
      <c r="J315" s="3" t="inlineStr">
        <is>
          <t>ids: string[]</t>
        </is>
      </c>
      <c r="K315" s="3" t="inlineStr">
        <is>
          <t>new Set(ids) });</t>
        </is>
      </c>
      <c r="L315" s="3" t="inlineStr">
        <is>
          <t>—</t>
        </is>
      </c>
      <c r="M315" s="3" t="inlineStr">
        <is>
          <t>None found in this function — anything it assumes comes from the functions it depends on.</t>
        </is>
      </c>
      <c r="N315" s="3" t="inlineStr">
        <is>
          <t>No</t>
        </is>
      </c>
      <c r="O315" s="3" t="inlineStr">
        <is>
          <t>MK-NW-O-008 thePerformance</t>
        </is>
      </c>
      <c r="P315" s="3" t="n">
        <v>48</v>
      </c>
      <c r="Q315"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5"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MK-NW-F-086</t>
        </is>
      </c>
      <c r="B316" s="3" t="inlineStr">
        <is>
          <t>CATS</t>
        </is>
      </c>
      <c r="C316" s="3" t="inlineStr">
        <is>
          <t>MoneyKeel/functions/networth-and-performance/performance.ts</t>
        </is>
      </c>
      <c r="D316" s="3" t="n">
        <v>772</v>
      </c>
      <c r="E316" s="3" t="inlineStr">
        <is>
          <t>1 · ACTION</t>
        </is>
      </c>
      <c r="F316" s="3" t="inlineStr">
        <is>
          <t>NOT DETERMINED — the code carries no note saying what this is for, and it has no row in the old inventory. Needs reading.</t>
        </is>
      </c>
      <c r="G316" s="11" t="inlineStr">
        <is>
          <t>category earnings(CAT_EXAMPLE)</t>
        </is>
      </c>
      <c r="H316" s="3" t="inlineStr">
        <is>
          <t>category earnings(CAT_EXAMPLE)</t>
        </is>
      </c>
      <c r="I316" s="3" t="inlineStr">
        <is>
          <t>READ FROM THE CODE — rendered from the expressions the function runs</t>
        </is>
      </c>
      <c r="J316" s="3" t="inlineStr">
        <is>
          <t>Nothing is handed to it</t>
        </is>
      </c>
      <c r="K316" s="3" t="inlineStr">
        <is>
          <t>NOT DECLARED — the code does not say what it gives back</t>
        </is>
      </c>
      <c r="L316" s="3" t="inlineStr">
        <is>
          <t>—</t>
        </is>
      </c>
      <c r="M316" s="3" t="inlineStr">
        <is>
          <t>None found in this function — anything it assumes comes from the functions it depends on.</t>
        </is>
      </c>
      <c r="N316" s="3" t="inlineStr">
        <is>
          <t>No</t>
        </is>
      </c>
      <c r="O316" s="3" t="inlineStr">
        <is>
          <t>MK-NW-F-084 categoryEarnings</t>
        </is>
      </c>
      <c r="P316" s="3" t="n">
        <v>4</v>
      </c>
      <c r="Q316" s="3" t="inlineStr">
        <is>
          <t>1. MK-NW-F-084 categoryEarnings
2. MK-CF-F-155 cash
3. MK-ST-F-030 record
4. MK-XS-F-122 n</t>
        </is>
      </c>
      <c r="R316" s="3" t="inlineStr">
        <is>
          <t>1. MK-XS-F-122 n → MK-CF-F-155 cash → MK-NW-F-084 categoryEarnings → MK-NW-F-086 CATS
2. MK-ST-F-030 record → MK-NW-F-084 categoryEarnings → MK-NW-F-086 CATS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MK-NW-F-087</t>
        </is>
      </c>
      <c r="B317" s="3" t="inlineStr">
        <is>
          <t>CAT</t>
        </is>
      </c>
      <c r="C317" s="3" t="inlineStr">
        <is>
          <t>MoneyKeel/functions/networth-and-performance/performance.ts</t>
        </is>
      </c>
      <c r="D317" s="3" t="n">
        <v>792</v>
      </c>
      <c r="E317" s="3" t="inlineStr">
        <is>
          <t>1 · ACTION</t>
        </is>
      </c>
      <c r="F317" s="3" t="inlineStr">
        <is>
          <t>NOT DETERMINED — the code carries no note saying what this is for, and it has no row in the old inventory. Needs reading.</t>
        </is>
      </c>
      <c r="G317" s="11" t="inlineStr">
        <is>
          <t>CATS().find((c) =&gt; key = key)</t>
        </is>
      </c>
      <c r="H317" s="3" t="inlineStr">
        <is>
          <t>CATS().find((c) =&gt; key = key)</t>
        </is>
      </c>
      <c r="I317" s="3" t="inlineStr">
        <is>
          <t>PARTLY READ — some of the code is still showing through; needs a hand pass</t>
        </is>
      </c>
      <c r="J317" s="3" t="inlineStr">
        <is>
          <t>key: string</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MK-NW-F-086 CATS</t>
        </is>
      </c>
      <c r="P317" s="3" t="n">
        <v>5</v>
      </c>
      <c r="Q317" s="3" t="inlineStr">
        <is>
          <t>1. MK-NW-F-086 CATS
2. MK-NW-F-084 categoryEarnings
3. MK-CF-F-155 cash
4. MK-ST-F-030 record
5. MK-XS-F-122 n</t>
        </is>
      </c>
      <c r="R317" s="3" t="inlineStr">
        <is>
          <t>1. MK-XS-F-122 n → MK-CF-F-155 cash → MK-NW-F-084 categoryEarnings → MK-NW-F-086 CATS → MK-NW-F-087 CAT
2. MK-ST-F-030 record → MK-NW-F-084 categoryEarnings → MK-NW-F-086 CATS → MK-NW-F-087 CAT</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MK-NW-F-088</t>
        </is>
      </c>
      <c r="B318" s="3" t="inlineStr">
        <is>
          <t>BENCH</t>
        </is>
      </c>
      <c r="C318" s="3" t="inlineStr">
        <is>
          <t>MoneyKeel/functions/networth-and-performance/performance.ts</t>
        </is>
      </c>
      <c r="D318" s="3" t="n">
        <v>820</v>
      </c>
      <c r="E318" s="3" t="inlineStr">
        <is>
          <t>3 · DEPENDENT (feeds an action only)</t>
        </is>
      </c>
      <c r="F318" s="3" t="inlineStr">
        <is>
          <t>NOT DETERMINED — the code carries no note saying what this is for, and it has no row in the old inventory. Needs reading.</t>
        </is>
      </c>
      <c r="G318" s="11" t="inlineStr">
        <is>
          <t>portfolio bench return([</t>
        </is>
      </c>
      <c r="H318" s="3" t="inlineStr">
        <is>
          <t>portfolio bench return([</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1. MK-NW-F-087 CAT
2. MK-NW-F-083 PERF
3. MK-NW-F-085 PERF_ONE
4. MK-NW-F-093 QUIET_PERF
5. MK-CF-F-135 availableCash
6. MK-XS-F-180 declareFigures
7. MK-ST-F-049 formatMoney
8. MK-PF-F-020 portfolioBenchReturn</t>
        </is>
      </c>
      <c r="P318" s="3" t="n">
        <v>60</v>
      </c>
      <c r="Q318"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8"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MK-NW-F-090</t>
        </is>
      </c>
      <c r="B319" s="3" t="inlineStr">
        <is>
          <t>windowStartKey</t>
        </is>
      </c>
      <c r="C319" s="3" t="inlineStr">
        <is>
          <t>MoneyKeel/functions/networth-and-performance/performance.ts</t>
        </is>
      </c>
      <c r="D319" s="3" t="n">
        <v>112</v>
      </c>
      <c r="E319" s="3" t="inlineStr">
        <is>
          <t>2 · DISPLAYED</t>
        </is>
      </c>
      <c r="F319" s="3" t="inlineStr">
        <is>
          <t>MK-NW-F-090 · The first day of a window.</t>
        </is>
      </c>
      <c r="G319"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9"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9" s="3" t="inlineStr">
        <is>
          <t>PARTLY READ — some of the code is still showing through; needs a hand pass</t>
        </is>
      </c>
      <c r="J319" s="3" t="inlineStr">
        <is>
          <t>1. period: string
2. recordDates: string[]
3. today: string</t>
        </is>
      </c>
      <c r="K319" s="3" t="inlineStr">
        <is>
          <t>string</t>
        </is>
      </c>
      <c r="L319" s="3" t="inlineStr">
        <is>
          <t>NOT FOUND — a screen calls it, but the words printed beside its answer could not be traced automatically. Needs reading.</t>
        </is>
      </c>
      <c r="M319" s="3" t="inlineStr">
        <is>
          <t>· If months[period] is missing it uses 12.</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MK-NW-F-091</t>
        </is>
      </c>
      <c r="B320" s="3" t="inlineStr">
        <is>
          <t>pricedGainOf</t>
        </is>
      </c>
      <c r="C320" s="3" t="inlineStr">
        <is>
          <t>MoneyKeel/functions/networth-and-performance/performance.ts</t>
        </is>
      </c>
      <c r="D320" s="3" t="n">
        <v>151</v>
      </c>
      <c r="E320" s="3" t="inlineStr">
        <is>
          <t>2 · DISPLAYED</t>
        </is>
      </c>
      <c r="F320" s="3" t="inlineStr">
        <is>
          <t>MK-NW-F-091 · What the PRICED holdings gained over the window.</t>
        </is>
      </c>
      <c r="G320" s="11" t="inlineStr">
        <is>
          <t>t + (gain ?? 0)   when capped since
mv = market value (or 0 when missing)
pr = period return
the answer = t + (pr ≠ nothing and mv &gt; 0 ? mv × (1 − 1 ÷ (1 + pr)) : 0)</t>
        </is>
      </c>
      <c r="H320" s="3" t="inlineStr">
        <is>
          <t>When capped since, it answers t plus (gain ?? 0). Mv is market value (or 0 — when missing). Pr is period return. The answer is t plus (pr is not no answer and mv &gt; 0 ? mv times (1 minus 1 divided by (1 plus pr)) : 0).</t>
        </is>
      </c>
      <c r="I320" s="3" t="inlineStr">
        <is>
          <t>PARTLY READ — some of the code is still showing through; needs a hand pass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gain is missing it uses 0.
2. If market value is missing it uses 0.</t>
        </is>
      </c>
      <c r="N320" s="3" t="inlineStr">
        <is>
          <t>Yes</t>
        </is>
      </c>
      <c r="O320" s="3" t="inlineStr">
        <is>
          <t>1. MK-CF-F-215 YEAR
2. MK-ST-F-039 on</t>
        </is>
      </c>
      <c r="P320" s="3" t="n">
        <v>138</v>
      </c>
      <c r="Q320" s="3" t="inlineStr">
        <is>
          <t>1. MK-CF-F-215 YEAR
2. MK-ST-F-039 on
3. MK-CF-F-205 COMING
4. MK-XS-F-004 buildDatedGrid
5. MK-CF-F-107 buildPaycheckYear
6. MK-XS-F-180 declareFigures
7. MK-CF-F-214 paycheckMonthWords
8. MK-CF-F-212 receivedInMonth
9. MK-CF-F-109 reviewTransactions
10. MK-CF-F-213 unusualWords
11. MK-CF-F-203 MONTH
12. MK-CF-O-008 whatsComing
13. MK-CF-F-069 benefitActiveMonths
14. MK-CF-F-072 currentRetirementIncomeMonthly
15. MK-CF-F-018 equityByMonth
16. MK-CF-O-002 expenses
17. MK-ST-F-056 has
18. MK-CF-F-204 line
19. MK-CF-F-132 map
20. MK-ST-F-053 money
21. MK-CF-F-087 monthlyTaxRates
22. MK-CF-F-073 otherIncomeMonth
23. MK-CF-F-022 paymentShape
24. MK-CF-F-068 rentalNetAnnual
25. MK-CF-F-023 requiredPayment
26. MK-CF-F-060 salaryGrossByMonth
27. MK-CF-F-008 spendByMonth
28. MK-ST-F-052 toNum
29. MK-CF-F-105 guaranteedRows
30. MK-NW-F-033 retirementEarmarkedValue
31. MK-CF-F-106 solveSafeDraw
32. MK-ST-F-049 formatMoney
33. MK-CF-F-191 ym
34. MK-CF-F-162 daysApart
35. MK-CF-F-108 isMoneyOut
36. MK-PL-F-074 median
37. MK-CF-F-131 normPayee
38. MK-CF-O-010 theMonth
39. MK-CF-F-019 upcomingBills
40. MK-CF-F-075 retirementIncomeMonthly
41. MK-CF-F-062 equityRowValue
42. MK-CF-F-066 rsuAnnual
43. MK-CF-F-121 zero12
44. MK-CF-F-151 actualSpending
45. MK-CF-F-150 debtPaymentsCountedAsExpenses
46. MK-CF-F-153 radar
47. MK-CF-F-149 recurringDebtPayments
48. MK-XS-F-122 n
49. MK-CF-F-090 effectiveRate
50. MK-CF-F-085 filingStatusOf
51. MK-CF-F-089 over65CountOf
52. MK-CF-F-098 progressiveMonthlyTax
53. MK-CF-F-181 rateInForce
54. MK-CF-F-086 stateRateOf
55. MK-CF-F-088 taxableByCalendarMonth
56. MK-CF-F-021 defaultPaymentType
57. MK-CF-F-067 rentalList
58. MK-CF-F-176 sumMonthsOverEarners
59. MK-CF-F-177 wageGrossByMonth
60. MK-CF-F-120 pctBaseMonthly
61. MK-CF-F-004 spendBuckets
62. MK-NW-F-032 earmarkedAmount
63. MK-NW-F-031 primaryCarIdOf
64. MK-PL-F-050 simulate
65. MK-ST-F-048 currencySymbol
66. MK-CF-F-155 cash
67. MK-CF-O-003 thisMonth
68. MK-CF-F-122 addDays
69. MK-CF-F-070 benefitAnnual
70. MK-CF-F-160 daysBetweenDates
71. MK-CF-F-061 grossSalaryMonthly
72. MK-ST-F-065 isoLocalDate
73. MK-CF-F-124 nextOccurrence
74. MK-CF-F-084 taxableAnnual
75. MK-CF-F-083 totalGrossAnnual
76. MK-CF-F-063 rowVestYear
77. MK-CF-F-148 inMonth
78. MK-CF-F-152 isRadarItem
79. MK-CF-F-101 taxOwedFor
80. MK-CF-F-100 taxableIncomeFor
81. MK-CF-F-173 earnerWages
82. MK-CF-F-102 effectiveRateOnGrossFor
83. MK-CF-F-180 enteredLandsAnnual
84. MK-CF-F-082 salaryAnnual
85. MK-CF-F-065 equityVestWeights
86. MK-CF-F-071 extraIncome
87. MK-CF-F-206 householdK401ByMonth
88. MK-CF-F-130 enteredMonthlyRaw
89. MK-CF-F-166 hasMonthlySalaryTable
90. MK-ST-F-036 reconcile
91. MK-CF-F-167 salaryCalendarYear
92. MK-CF-F-092 incomeMonthlyGrid
93. MK-CF-F-003 categoryMonthly
94. MK-NW-F-030 earmarkDefault
95. MK-NW-F-011 assetClassOf
96. MK-PL-F-072 mulberry32
97. MK-PL-F-073 normal
98. MK-PL-F-075 pctOfSorted
99. MK-ST-F-025 rmdStartAgeFromAge
100. MK-ST-F-047 activeCurrency
101. MK-CF-F-005 actualMonthFlow
102. MK-CF-F-156 plannedMonthFlow
103. MK-CF-F-074 tipsAnnual
104. MK-CF-F-099 deductionFor
105. MK-CF-F-172 hasWage
106. MK-CF-F-165 salaryMonths
107. MK-CF-F-077 scholarshipByCalendarMonth
108. MK-PL-F-012 waterfall
109. MK-XS-F-027 takeHomeMonthly
110. MK-NW-F-013 realEstateUseOf
111. MK-NW-F-008 incomeBearingClassOf
112. MK-ST-F-024 rmdStartAge
113. MK-NW-F-078 ONE
114. MK-CF-F-157 debtPaymentsByDebt
115. MK-CF-F-192 inflowLabel
116. MK-CF-F-081 salaryActiveMonths
117. MK-CF-F-187 seniorDeductionFor
118. MK-CF-F-011 savingsByMonth
119. MK-ST-F-010 nameEvidence
120. MK-NW-F-077 ALL
121. MK-NW-F-059 currentYield
122. MK-NW-O-001 theBonds
123. MK-CF-F-193 inflowSourceWord
124. MK-XS-F-147 call
125. MK-NW-F-057 annualCoupon
126. MK-ST-F-027 accountId
127. MK-NW-F-056 bondInfo
128. MK-NW-F-064 bondRateSensitivity
129. MK-NW-F-061 bondSummary
130. MK-NW-F-055 isBond
131. MK-NW-F-072 rowOf
132. MK-XS-F-064 currentIdToken
133. MK-XS-F-112 relayUrl
134. MK-NW-F-060 approxYTM
135. MK-NW-F-069 priceAtYield
136. MK-NW-F-070 accruedInterestCaveat
137. MK-NW-F-071 isCertificateOfDeposit
138. MK-NW-F-058 yearsToMaturity</t>
        </is>
      </c>
      <c r="R320" s="3" t="inlineStr">
        <is>
          <t>1. MONTH (already above — a loop) → MK-CF-O-010 theMonth → MK-CF-F-203 MONTH → MK-CF-F-205 COMING → MK-CF-F-215 YEAR → MK-NW-F-091 pricedGainOf
2. MK-CF-F-155 cash → MK-CF-O-010 theMonth → MK-CF-F-203 MONTH → MK-CF-F-205 COMING → MK-CF-F-215 YEAR → MK-NW-F-091 pricedGainOf
3. MK-CF-O-002 expenses → MK-CF-O-010 theMonth → MK-CF-F-203 MONTH → MK-CF-F-205 COMING → MK-CF-F-215 YEAR → MK-NW-F-091 pricedGainOf
4. MK-CF-O-003 thisMonth → MK-CF-O-010 theMonth → MK-CF-F-203 MONTH → MK-CF-F-205 COMING → MK-CF-F-215 YEAR → MK-NW-F-091 pricedGainOf
5. MK-CF-F-122 addDays → MK-CF-F-019 upcomingBills → MK-CF-O-008 whatsComing → MK-CF-F-205 COMING → MK-CF-F-215 YEAR → MK-NW-F-091 pricedGainOf
6. MK-CF-F-070 benefitAnnual → MK-CF-F-019 upcomingBills → MK-CF-O-008 whatsComing → MK-CF-F-205 COMING → MK-CF-F-215 YEAR → MK-NW-F-091 pricedGainOf
7. MK-CF-F-072 currentRetirementIncomeMonthly → MK-CF-F-019 upcomingBills → MK-CF-O-008 whatsComing → MK-CF-F-205 COMING → MK-CF-F-215 YEAR → MK-NW-F-091 pricedGainOf
8. MK-CF-F-160 daysBetweenDates → MK-CF-F-019 upcomingBills → MK-CF-O-008 whatsComing → MK-CF-F-205 COMING → MK-CF-F-215 YEAR → MK-NW-F-091 pricedGainOf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MK-NW-F-092</t>
        </is>
      </c>
      <c r="B321" s="3" t="inlineStr">
        <is>
          <t>investmentAccountIdsOf</t>
        </is>
      </c>
      <c r="C321" s="3" t="inlineStr">
        <is>
          <t>MoneyKeel/functions/networth-and-performance/performance.ts</t>
        </is>
      </c>
      <c r="D321" s="3" t="n">
        <v>256</v>
      </c>
      <c r="E321" s="3" t="inlineStr">
        <is>
          <t>2 · DISPLAYED</t>
        </is>
      </c>
      <c r="F321" s="3" t="inlineStr">
        <is>
          <t>MK-NW-F-092 · Which accounts this door measures: the invested ones.</t>
        </is>
      </c>
      <c r="G321" s="11" t="inlineStr">
        <is>
          <t>invested = a list with no repeats of ['stocks_etf', 'bonds', 'alternatives', 'mixed']
the answer = a list with no repeats of accounts (or none when missing) where invested.has(class of(each))for each of : string(asset id)</t>
        </is>
      </c>
      <c r="H321" s="3" t="inlineStr">
        <is>
          <t>Invested is a list with no repeats of ['stocks_etf', 'bonds', 'alternatives', 'mixed']. The answer is a list with no repeats of accounts (or none — when missing) where invested.has(class of(each))for each of : string(asset id).</t>
        </is>
      </c>
      <c r="I321" s="3" t="inlineStr">
        <is>
          <t>PARTLY READ — some of the code is still showing through; needs a hand pass</t>
        </is>
      </c>
      <c r="J321" s="3" t="inlineStr">
        <is>
          <t>Nothing is handed to it</t>
        </is>
      </c>
      <c r="K321" s="3" t="inlineStr">
        <is>
          <t>NOT DECLARED — the code does not say what it gives back</t>
        </is>
      </c>
      <c r="L321" s="3" t="inlineStr">
        <is>
          <t>NOT FOUND — a screen calls it, but the words printed beside its answer could not be traced automatically. Needs reading.</t>
        </is>
      </c>
      <c r="M321" s="3" t="inlineStr">
        <is>
          <t>None found in this function — anything it assumes comes from the functions it depends on.</t>
        </is>
      </c>
      <c r="N321" s="3" t="inlineStr">
        <is>
          <t>Yes</t>
        </is>
      </c>
      <c r="O321" s="3" t="inlineStr">
        <is>
          <t>1. MK-ST-F-056 has
2. MK-CF-F-132 map</t>
        </is>
      </c>
      <c r="P321" s="3" t="n">
        <v>2</v>
      </c>
      <c r="Q321" s="3" t="inlineStr">
        <is>
          <t>1. MK-ST-F-056 has
2. MK-CF-F-132 map</t>
        </is>
      </c>
      <c r="R321" s="3" t="inlineStr">
        <is>
          <t>1. MK-ST-F-056 has → MK-NW-F-092 investmentAccountIdsOf
2. MK-CF-F-132 map → MK-NW-F-092 investmentAccountIdsOf</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MK-NW-F-093</t>
        </is>
      </c>
      <c r="B322" s="3" t="inlineStr">
        <is>
          <t>QUIET_PERF</t>
        </is>
      </c>
      <c r="C322" s="3" t="inlineStr">
        <is>
          <t>MoneyKeel/functions/networth-and-performance/performance.ts</t>
        </is>
      </c>
      <c r="D322" s="3" t="n">
        <v>680</v>
      </c>
      <c r="E322" s="3" t="inlineStr">
        <is>
          <t>1 · ACTION</t>
        </is>
      </c>
      <c r="F322" s="3" t="inlineStr">
        <is>
          <t>NOT DETERMINED — the code carries no note saying what this is for, and it has no row in the old inventory. Needs reading.</t>
        </is>
      </c>
      <c r="G322" s="11" t="inlineStr">
        <is>
          <t>the performance(QUIET)</t>
        </is>
      </c>
      <c r="H322" s="3" t="inlineStr">
        <is>
          <t>the performance(QUIET)</t>
        </is>
      </c>
      <c r="I322" s="3" t="inlineStr">
        <is>
          <t>READ FROM THE CODE — rendered from the expressions the function runs</t>
        </is>
      </c>
      <c r="J322" s="3" t="inlineStr">
        <is>
          <t>Nothing is handed to it</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MK-NW-O-008 thePerformance</t>
        </is>
      </c>
      <c r="P322" s="3" t="n">
        <v>48</v>
      </c>
      <c r="Q32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22"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MK-NW-F-094</t>
        </is>
      </c>
      <c r="B323" s="3" t="inlineStr">
        <is>
          <t>ledgerGroups</t>
        </is>
      </c>
      <c r="C323" s="3" t="inlineStr">
        <is>
          <t>MoneyKeel/functions/networth-and-performance/net-worth.ts</t>
        </is>
      </c>
      <c r="D323" s="3" t="n">
        <v>269</v>
      </c>
      <c r="E323" s="3" t="inlineStr">
        <is>
          <t>2 · DISPLAYED</t>
        </is>
      </c>
      <c r="F323" s="3" t="inlineStr">
        <is>
          <t>NOT DETERMINED — the code carries no note saying what this is for, and it has no row in the old inventory. Needs reading.</t>
        </is>
      </c>
      <c r="G323"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3"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3" s="3" t="inlineStr">
        <is>
          <t>PARTLY READ — the body has a loop the extractor cannot render; the steps shown are the ones before it. Needs a hand pass (G23).</t>
        </is>
      </c>
      <c r="J323" s="3" t="inlineStr">
        <is>
          <t>Nothing is handed to it</t>
        </is>
      </c>
      <c r="K323" s="3" t="inlineStr">
        <is>
          <t>NOT DECLARED — the code does not say what it gives back</t>
        </is>
      </c>
      <c r="L323" s="3" t="inlineStr">
        <is>
          <t>NOT FOUND — a screen calls it, but the words printed beside its answer could not be traced automatically. Needs reading.</t>
        </is>
      </c>
      <c r="M323" s="3" t="inlineStr">
        <is>
          <t>· If balance is missing it counts as zero, so nothing recorded and a real zero look the same.</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MK-NW-F-095</t>
        </is>
      </c>
      <c r="B324" s="3" t="inlineStr">
        <is>
          <t>CLASS_LABEL_OF</t>
        </is>
      </c>
      <c r="C324" s="3" t="inlineStr">
        <is>
          <t>MoneyKeel/functions/networth-and-performance/net-worth.ts</t>
        </is>
      </c>
      <c r="D324" s="3" t="n">
        <v>387</v>
      </c>
      <c r="E324" s="3" t="inlineStr">
        <is>
          <t>1 · ACTION</t>
        </is>
      </c>
      <c r="F324" s="3" t="inlineStr">
        <is>
          <t>NOT DETERMINED — the code carries no note saying what this is for, and it has no row in the old inventory. Needs reading.</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a: any</t>
        </is>
      </c>
      <c r="K324" s="3" t="inlineStr">
        <is>
          <t>NOT DECLARED — the code does not say what it gives back</t>
        </is>
      </c>
      <c r="L324" s="3" t="inlineStr">
        <is>
          <t>—</t>
        </is>
      </c>
      <c r="M324" s="3" t="inlineStr">
        <is>
          <t>None found in this function — anything it assumes comes from the functions it depends on.</t>
        </is>
      </c>
      <c r="N324" s="3" t="inlineStr">
        <is>
          <t>No</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MK-NW-F-096</t>
        </is>
      </c>
      <c r="B325" s="3" t="inlineStr">
        <is>
          <t>CLASS_KEY_OF</t>
        </is>
      </c>
      <c r="C325" s="3" t="inlineStr">
        <is>
          <t>MoneyKeel/functions/networth-and-performance/net-worth.ts</t>
        </is>
      </c>
      <c r="D325" s="3" t="n">
        <v>411</v>
      </c>
      <c r="E325" s="3" t="inlineStr">
        <is>
          <t>1 · ACTION</t>
        </is>
      </c>
      <c r="F325" s="3" t="inlineStr">
        <is>
          <t>NOT DETERMINED — the code carries no note saying what this is for, and it has no row in the old inventory. Needs reading.</t>
        </is>
      </c>
      <c r="G325" s="11" t="inlineStr">
        <is>
          <t>string(asset class)</t>
        </is>
      </c>
      <c r="H325" s="3" t="inlineStr">
        <is>
          <t>string(asset class)</t>
        </is>
      </c>
      <c r="I325" s="3" t="inlineStr">
        <is>
          <t>READ FROM THE CODE — rendered from the expressions the function runs</t>
        </is>
      </c>
      <c r="J325" s="3" t="inlineStr">
        <is>
          <t>a: any</t>
        </is>
      </c>
      <c r="K325" s="3" t="inlineStr">
        <is>
          <t>NOT DECLARED — the code does not say what it gives back</t>
        </is>
      </c>
      <c r="L325" s="3" t="inlineStr">
        <is>
          <t>—</t>
        </is>
      </c>
      <c r="M325" s="3" t="inlineStr">
        <is>
          <t>None found in this function — anything it assumes comes from the functions it depends on.</t>
        </is>
      </c>
      <c r="N325" s="3" t="inlineStr">
        <is>
          <t>No</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MK-NW-F-097</t>
        </is>
      </c>
      <c r="B326" s="3" t="inlineStr">
        <is>
          <t>LEDGER</t>
        </is>
      </c>
      <c r="C326" s="3" t="inlineStr">
        <is>
          <t>MoneyKeel/functions/networth-and-performance/net-worth.ts</t>
        </is>
      </c>
      <c r="D326" s="3" t="n">
        <v>433</v>
      </c>
      <c r="E326" s="3" t="inlineStr">
        <is>
          <t>1 · ACTION</t>
        </is>
      </c>
      <c r="F326" s="3" t="inlineStr">
        <is>
          <t>NOT DETERMINED — the code carries no note saying what this is for, and it has no row in the old inventory. Needs reading.</t>
        </is>
      </c>
      <c r="G326" s="11" t="inlineStr">
        <is>
          <t>ledger groups(LEDGER_ACCOUNTS, by, CLASS_LABEL_OF, CLASS_KEY_OF)</t>
        </is>
      </c>
      <c r="H326" s="3" t="inlineStr">
        <is>
          <t>ledger groups(LEDGER_ACCOUNTS, by, CLASS_LABEL_OF, CLASS_KEY_OF)</t>
        </is>
      </c>
      <c r="I326" s="3" t="inlineStr">
        <is>
          <t>READ FROM THE CODE — rendered from the expressions the function runs</t>
        </is>
      </c>
      <c r="J326" s="3" t="inlineStr">
        <is>
          <t>by: 'class' | 'institution'</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MK-NW-F-096 CLASS_KEY_OF
2. MK-NW-F-095 CLASS_LABEL_OF
3. MK-NW-F-094 ledgerGroups</t>
        </is>
      </c>
      <c r="P326" s="3" t="n">
        <v>3</v>
      </c>
      <c r="Q326" s="3" t="inlineStr">
        <is>
          <t>1. MK-NW-F-096 CLASS_KEY_OF
2. MK-NW-F-095 CLASS_LABEL_OF
3. MK-NW-F-094 ledgerGroups</t>
        </is>
      </c>
      <c r="R326" s="3" t="inlineStr">
        <is>
          <t>1. MK-NW-F-096 CLASS_KEY_OF → MK-NW-F-097 LEDGER
2. MK-NW-F-095 CLASS_LABEL_OF → MK-NW-F-097 LEDGER
3. MK-NW-F-094 ledgerGroups → MK-NW-F-097 LEDGER</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MK-NW-F-098</t>
        </is>
      </c>
      <c r="B327" s="3" t="inlineStr">
        <is>
          <t>LEDGER_BAND</t>
        </is>
      </c>
      <c r="C327" s="3" t="inlineStr">
        <is>
          <t>MoneyKeel/functions/networth-and-performance/net-worth.ts</t>
        </is>
      </c>
      <c r="D327" s="3" t="n">
        <v>452</v>
      </c>
      <c r="E327" s="3" t="inlineStr">
        <is>
          <t>1 · ACTION</t>
        </is>
      </c>
      <c r="F327" s="3" t="inlineStr">
        <is>
          <t>NOT DETERMINED — the code carries no note saying what this is for, and it has no row in the old inventory. Needs reading.</t>
        </is>
      </c>
      <c r="G327" s="11" t="inlineStr">
        <is>
          <t>LEDGER('class').find((g) =&gt; label = label).total (or nothing when missing)</t>
        </is>
      </c>
      <c r="H327" s="3" t="inlineStr">
        <is>
          <t>LEDGER('class').find((g) =&gt; label = label).total (or no answer — when missing)</t>
        </is>
      </c>
      <c r="I327" s="3" t="inlineStr">
        <is>
          <t>PARTLY READ — some of the code is still showing through; needs a hand pass</t>
        </is>
      </c>
      <c r="J327" s="3" t="inlineStr">
        <is>
          <t>label: string</t>
        </is>
      </c>
      <c r="K327" s="3" t="inlineStr">
        <is>
          <t>NOT DECLARED — the code does not say what it gives back</t>
        </is>
      </c>
      <c r="L327" s="3" t="inlineStr">
        <is>
          <t>—</t>
        </is>
      </c>
      <c r="M327" s="3" t="inlineStr">
        <is>
          <t>None found in this function — anything it assumes comes from the functions it depends on.</t>
        </is>
      </c>
      <c r="N327" s="3" t="inlineStr">
        <is>
          <t>Yes</t>
        </is>
      </c>
      <c r="O327" s="3" t="inlineStr">
        <is>
          <t>1. MK-NW-F-097 LEDGER
2. MK-CF-F-200 LINE</t>
        </is>
      </c>
      <c r="P327" s="3" t="n">
        <v>110</v>
      </c>
      <c r="Q327"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7"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MK-NW-F-099</t>
        </is>
      </c>
      <c r="B328" s="3" t="inlineStr">
        <is>
          <t>SNAP</t>
        </is>
      </c>
      <c r="C328" s="3" t="inlineStr">
        <is>
          <t>MoneyKeel/functions/networth-and-performance/net-worth.ts</t>
        </is>
      </c>
      <c r="D328" s="3" t="n">
        <v>478</v>
      </c>
      <c r="E328" s="3" t="inlineStr">
        <is>
          <t>1 · ACTION</t>
        </is>
      </c>
      <c r="F328" s="3" t="inlineStr">
        <is>
          <t>NOT DETERMINED — the code carries no note saying what this is for, and it has no row in the old inventory. Needs reading.</t>
        </is>
      </c>
      <c r="G328" s="11" t="inlineStr">
        <is>
          <t>NOT READ YET — the body is not a shape this can render faithfully, so nothing is claimed rather than something being guessed. It needs reading by hand.</t>
        </is>
      </c>
      <c r="H328" s="3" t="inlineStr">
        <is>
          <t>NOT READ YET — the body is not a shape this can render faithfully, so nothing is claimed rather than something being guessed. It needs reading by hand.</t>
        </is>
      </c>
      <c r="I328" s="3" t="inlineStr">
        <is>
          <t>NOT READ — nothing is claimed rather than something guessed</t>
        </is>
      </c>
      <c r="J328" s="3" t="inlineStr">
        <is>
          <t>1. month: string
2. net: number</t>
        </is>
      </c>
      <c r="K328" s="3" t="inlineStr">
        <is>
          <t>net, gross_assets: net + 242000, gross_debt: 242000 });</t>
        </is>
      </c>
      <c r="L328" s="3" t="inlineStr">
        <is>
          <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t>
        </is>
      </c>
      <c r="U328" s="3" t="inlineStr">
        <is>
          <t>ACTIVE</t>
        </is>
      </c>
      <c r="V328" s="3" t="inlineStr">
        <is>
          <t>2026-09-30</t>
        </is>
      </c>
      <c r="W328" s="3" t="n"/>
      <c r="X328" s="3" t="n"/>
      <c r="Y328" s="3" t="inlineStr">
        <is>
          <t>NOTHING OPEN</t>
        </is>
      </c>
    </row>
    <row r="329" ht="60" customHeight="1">
      <c r="A329" s="3" t="inlineStr">
        <is>
          <t>MK-NW-F-100</t>
        </is>
      </c>
      <c r="B329" s="3" t="inlineStr">
        <is>
          <t>TREND</t>
        </is>
      </c>
      <c r="C329" s="3" t="inlineStr">
        <is>
          <t>MoneyKeel/functions/networth-and-performance/net-worth.ts</t>
        </is>
      </c>
      <c r="D329" s="3" t="n">
        <v>499</v>
      </c>
      <c r="E329" s="3" t="inlineStr">
        <is>
          <t>1 · ACTION</t>
        </is>
      </c>
      <c r="F329" s="3" t="inlineStr">
        <is>
          <t>NOT DETERMINED — the code carries no note saying what this is for, and it has no row in the old inventory. Needs reading.</t>
        </is>
      </c>
      <c r="G329" s="11" t="inlineStr">
        <is>
          <t>NOT READ YET — the body is not a shape this can render faithfully, so nothing is claimed rather than something being guessed. It needs reading by hand.</t>
        </is>
      </c>
      <c r="H329" s="3" t="inlineStr">
        <is>
          <t>NOT READ YET — the body is not a shape this can render faithfully, so nothing is claimed rather than something being guessed. It needs reading by hand.</t>
        </is>
      </c>
      <c r="I329" s="3" t="inlineStr">
        <is>
          <t>NOT READ — nothing is claimed rather than something guessed</t>
        </is>
      </c>
      <c r="J329" s="3" t="inlineStr">
        <is>
          <t>Nothing is handed to it</t>
        </is>
      </c>
      <c r="K329" s="3" t="inlineStr">
        <is>
          <t>NOT DECLARED — the code does not say what it gives back</t>
        </is>
      </c>
      <c r="L329" s="3" t="inlineStr">
        <is>
          <t>—</t>
        </is>
      </c>
      <c r="M329" s="3" t="inlineStr">
        <is>
          <t>None found in this function — anything it assumes comes from the functions it depends on.</t>
        </is>
      </c>
      <c r="N329" s="3" t="inlineStr">
        <is>
          <t>Yes</t>
        </is>
      </c>
      <c r="O329" s="3" t="inlineStr">
        <is>
          <t>1. MK-NW-F-099 SNAP
2. MK-NW-O-003 theNetWorth</t>
        </is>
      </c>
      <c r="P329" s="3" t="n">
        <v>198</v>
      </c>
      <c r="Q329"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MK-CF-F-207 SOURCE
117. MK-CF-O-004 incomeSummary
118. MK-CF-F-100 taxableIncomeFor
119. MK-ST-F-034 firstDate
120. MK-CF-F-075 retirementIncomeMonthly
121. MK-XS-F-064 currentIdToken
122. MK-XS-F-112 relayUrl
123. MK-CF-O-016 incomeSources
124. MK-CF-O-001 basePay
125. MK-CF-F-173 earnerWages
126. MK-CF-F-179 entryFromWage
127. MK-CF-F-071 extraIncome
128. MK-CF-F-092 incomeMonthlyGrid
129. MK-CF-F-103 marginalBracketFor
130. MK-CF-F-181 rateInForce
131. MK-CF-F-068 rentalNetAnnual
132. MK-CF-F-082 salaryAnnual
133. MK-CF-F-084 taxableAnnual
134. MK-CF-F-099 deductionFor
135. MK-CF-F-066 rsuAnnual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MK-CF-F-060 salaryGrossByMonth
149. MK-CF-F-077 scholarshipByCalendarMonth
150. MK-CF-F-088 taxableByCalendarMonth
151. MK-PL-F-012 waterfall
152. MK-CF-F-102 effectiveRateOnGrossFor
153. MK-CF-F-180 enteredLandsAnnual
154. MK-CF-F-086 stateRateOf
155. MK-CF-O-002 expenses
156. MK-CF-F-067 rentalList
157. MK-CF-F-074 tipsAnnual
158. MK-CF-F-187 seniorDeductionFor
159. MK-CF-F-062 equityRowValue
160. MK-CF-F-063 rowVestYear
161. MK-CF-F-143 annualisedGross
162. MK-CF-F-145 deductionsFromPay
163. MK-CF-F-128 grossByMonth
164. MK-CF-F-146 payFiguresAgree
165. MK-CF-F-144 takeHomeAsEntered
166. MK-CF-F-203 MONTH
167. MK-HM-F-005 pctTxt
168. MK-CF-F-176 sumMonthsOverEarners
169. MK-CF-F-177 wageGrossByMonth
170. MK-CF-F-090 effectiveRate
171. MK-CF-F-098 progressiveMonthlyTax
172. MK-CF-F-151 actualSpending
173. MK-CF-F-150 debtPaymentsCountedAsExpenses
174. MK-CF-F-153 radar
175. MK-CF-F-149 recurringDebtPayments
176. MK-CF-F-081 salaryActiveMonths
177. MK-CF-F-142 monthsOf
178. MK-CF-F-141 perMonth
179. MK-CF-O-010 theMonth
180. MK-CF-F-130 enteredMonthlyRaw
181. MK-CF-F-166 hasMonthlySalaryTable
182. MK-ST-F-036 reconcile
183. MK-CF-F-167 salaryCalendarYear
184. MK-CF-F-148 inMonth
185. MK-CF-F-152 isRadarItem
186. MK-CF-F-140 periodsAYear
187. MK-CF-O-003 thisMonth
188. MK-CF-F-005 actualMonthFlow
189. MK-CF-F-156 plannedMonthFlow
190. MK-CF-F-157 debtPaymentsByDebt
191. MK-CF-F-192 inflowLabel
192. MK-XS-F-027 takeHomeMonthly
193. MK-CF-F-193 inflowSourceWord
194. MK-CF-F-011 savingsByMonth
195. MK-CF-F-008 spendByMonth
196. MK-CF-F-120 pctBaseMonthly
197. MK-CF-F-004 spendBuckets
198. MK-CF-F-003 categoryMonthly</t>
        </is>
      </c>
      <c r="R329"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9" s="3" t="inlineStr">
        <is>
          <t>—</t>
        </is>
      </c>
      <c r="T329" s="3" t="inlineStr">
        <is>
          <t>—</t>
        </is>
      </c>
      <c r="U329" s="3" t="inlineStr">
        <is>
          <t>ACTIVE</t>
        </is>
      </c>
      <c r="V329" s="3" t="inlineStr">
        <is>
          <t>2026-09-30</t>
        </is>
      </c>
      <c r="W329" s="3" t="n"/>
      <c r="X329" s="3" t="n"/>
      <c r="Y329" s="3" t="inlineStr">
        <is>
          <t>NOTHING OPEN</t>
        </is>
      </c>
    </row>
    <row r="330" ht="60" customHeight="1">
      <c r="A330" s="3" t="inlineStr">
        <is>
          <t>MK-NW-F-101</t>
        </is>
      </c>
      <c r="B330" s="3" t="inlineStr">
        <is>
          <t>PLAN</t>
        </is>
      </c>
      <c r="C330" s="3" t="inlineStr">
        <is>
          <t>MoneyKeel/functions/networth-and-performance/net-worth.ts</t>
        </is>
      </c>
      <c r="D330" s="3" t="n">
        <v>541</v>
      </c>
      <c r="E330" s="3" t="inlineStr">
        <is>
          <t>2 · DISPLAYED</t>
        </is>
      </c>
      <c r="F330" s="3" t="inlineStr">
        <is>
          <t>NOT DETERMINED — the code carries no note saying what this is for, and it has no row in the old inventory. Needs reading.</t>
        </is>
      </c>
      <c r="G330" s="11" t="inlineStr">
        <is>
          <t>NOT READ YET — the body is not a shape this can render faithfully, so nothing is claimed rather than something being guessed. It needs reading by hand.</t>
        </is>
      </c>
      <c r="H330" s="3" t="inlineStr">
        <is>
          <t>NOT READ YET — the body is not a shape this can render faithfully, so nothing is claimed rather than something being guessed. It needs reading by hand.</t>
        </is>
      </c>
      <c r="I330" s="3" t="inlineStr">
        <is>
          <t>NOT READ — nothing is claimed rather than something guessed</t>
        </is>
      </c>
      <c r="J330" s="3" t="inlineStr">
        <is>
          <t>Nothing is handed to it</t>
        </is>
      </c>
      <c r="K330" s="3" t="inlineStr">
        <is>
          <t>NOT DECLARED — the code does not say what it gives back</t>
        </is>
      </c>
      <c r="L330" s="3" t="inlineStr">
        <is>
          <t>NOT FOUND — a screen calls it, but the words printed beside its answer could not be traced automatically. Needs reading.</t>
        </is>
      </c>
      <c r="M330" s="3" t="inlineStr">
        <is>
          <t>None found in this function — anything it assumes comes from the functions it depends on.</t>
        </is>
      </c>
      <c r="N330" s="3" t="inlineStr">
        <is>
          <t>Yes</t>
        </is>
      </c>
      <c r="O330" s="3" t="inlineStr">
        <is>
          <t>1. MK-NW-F-097 LEDGER
2. MK-NW-F-098 LEDGER_BAND
3. MK-NW-F-082 NW
4. MK-NW-F-100 TREND
5. MK-CF-F-155 cash
6. MK-XS-F-180 declareFigures
7. MK-ST-F-049 formatMoney
8. MK-XS-F-010 investableChangePct
9. MK-CF-F-204 line
10. MK-PL-F-055 projectNestEgg
11. MK-NW-O-003 theNetWorth</t>
        </is>
      </c>
      <c r="P330" s="3" t="n">
        <v>215</v>
      </c>
      <c r="Q330"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MK-CF-F-207 SOURCE
150. MK-CF-O-004 incomeSummary
151. MK-CF-F-100 taxableIncomeFor
152. MK-ST-F-034 firstDate
153. MK-CF-F-075 retirementIncomeMonthly
154. MK-CF-F-193 inflowSourceWord
155. MK-CF-F-092 incomeMonthlyGrid
156. MK-CF-F-011 savingsByMonth
157. MK-XS-F-064 currentIdToken
158. MK-XS-F-112 relayUrl
159. MK-CF-O-016 incomeSources
160. MK-CF-O-001 basePay
161. MK-CF-F-173 earnerWages
162. MK-CF-F-179 entryFromWage
163. MK-CF-F-071 extraIncome
164. MK-CF-F-103 marginalBracketFor
165. MK-CF-F-181 rateInForce
166. MK-CF-F-068 rentalNetAnnual
167. MK-CF-F-082 salaryAnnual
168. MK-CF-F-084 taxableAnnual
169. MK-CF-F-099 deductionFor
170. MK-CF-F-069 benefitActiveMonths
171. MK-CF-F-065 equityVestWeights
172. MK-CF-F-206 householdK401ByMonth
173. MK-CF-F-087 monthlyTaxRates
174. MK-CF-F-073 otherIncomeMonth
175. MK-CF-F-066 rsuAnnual
176. MK-CF-F-060 salaryGrossByMonth
177. MK-CF-F-077 scholarshipByCalendarMonth
178. MK-CF-F-088 taxableByCalendarMonth
179. MK-PL-F-012 waterfall
180. MK-CF-F-008 spendByMonth
181. MK-CF-F-171 earnerPay
182. MK-HM-F-006 money0
183. MK-CF-F-198 payrollTaxWithheld
184. MK-CF-F-172 hasWage
185. MK-CF-F-165 salaryMonths
186. MK-CF-F-070 benefitAnnual
187. MK-CF-F-102 effectiveRateOnGrossFor
188. MK-CF-F-180 enteredLandsAnnual
189. MK-CF-F-086 stateRateOf
190. MK-CF-F-067 rentalList
191. MK-CF-F-074 tipsAnnual
192. MK-CF-F-187 seniorDeductionFor
193. MK-CF-F-062 equityRowValue
194. MK-CF-F-176 sumMonthsOverEarners
195. MK-CF-F-177 wageGrossByMonth
196. MK-CF-F-090 effectiveRate
197. MK-CF-F-098 progressiveMonthlyTax
198. MK-CF-F-063 rowVestYear
199. MK-CF-F-120 pctBaseMonthly
200. MK-CF-F-004 spendBuckets
201. MK-CF-F-143 annualisedGross
202. MK-CF-F-145 deductionsFromPay
203. MK-CF-F-128 grossByMonth
204. MK-CF-F-146 payFiguresAgree
205. MK-CF-F-144 takeHomeAsEntered
206. MK-HM-F-005 pctTxt
207. MK-CF-F-081 salaryActiveMonths
208. MK-CF-F-130 enteredMonthlyRaw
209. MK-CF-F-166 hasMonthlySalaryTable
210. MK-ST-F-036 reconcile
211. MK-CF-F-167 salaryCalendarYear
212. MK-CF-F-003 categoryMonthly
213. MK-CF-F-142 monthsOf
214. MK-CF-F-141 perMonth
215. MK-CF-F-140 periodsAYear</t>
        </is>
      </c>
      <c r="R330"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30" s="3" t="inlineStr">
        <is>
          <t>—</t>
        </is>
      </c>
      <c r="T330" s="3" t="inlineStr">
        <is>
          <t>—</t>
        </is>
      </c>
      <c r="U330" s="3" t="inlineStr">
        <is>
          <t>ACTIVE</t>
        </is>
      </c>
      <c r="V330" s="3" t="inlineStr">
        <is>
          <t>2026-09-30</t>
        </is>
      </c>
      <c r="W330" s="3" t="n"/>
      <c r="X330" s="3" t="n"/>
      <c r="Y330" s="3" t="inlineStr">
        <is>
          <t>NOTHING OPEN</t>
        </is>
      </c>
    </row>
    <row r="331" ht="60" customHeight="1">
      <c r="A331" s="3" t="inlineStr">
        <is>
          <t>MK-NW-F-102</t>
        </is>
      </c>
      <c r="B331" s="3" t="inlineStr">
        <is>
          <t>rateWhereItRefuses</t>
        </is>
      </c>
      <c r="C331" s="3" t="inlineStr">
        <is>
          <t>MoneyKeel/functions/networth-and-performance/performance.ts</t>
        </is>
      </c>
      <c r="D331" s="3" t="n">
        <v>212</v>
      </c>
      <c r="E331" s="3" t="inlineStr">
        <is>
          <t>3 · DEPENDENT</t>
        </is>
      </c>
      <c r="F331" s="3" t="inlineStr">
        <is>
          <t>THE EXACT RATE PER YEAR, FOR ONE WINDOW — what stands in where the window return refuses.</t>
        </is>
      </c>
      <c r="G331" s="11" t="inlineStr">
        <is>
          <t>nothing   when not (input.beginning &gt; 0)
one = 'the − window'
the answer:
rate per year   if 'ratePerYear' in r
nothing   otherwise</t>
        </is>
      </c>
      <c r="H331" s="3" t="inlineStr">
        <is>
          <t>When not (input.beginning &gt; 0), it answers no answer. One is 'the minus window'. The answer is rate per year — when 'ratePerYear' in r; no answer — otherwise.</t>
        </is>
      </c>
      <c r="I331" s="3" t="inlineStr">
        <is>
          <t>READ FROM THE CODE — rendered from the expressions the function runs</t>
        </is>
      </c>
      <c r="J331" s="3" t="inlineStr">
        <is>
          <t>Nothing is handed to it</t>
        </is>
      </c>
      <c r="K331" s="3" t="inlineStr">
        <is>
          <t>NOT DECLARED — the code does not say what it gives back</t>
        </is>
      </c>
      <c r="L331" s="3" t="inlineStr">
        <is>
          <t>—</t>
        </is>
      </c>
      <c r="M331" s="3" t="inlineStr">
        <is>
          <t>· Never lets ending fall below 0.</t>
        </is>
      </c>
      <c r="N331" s="3" t="inlineStr">
        <is>
          <t>Yes</t>
        </is>
      </c>
      <c r="O331" s="3" t="inlineStr">
        <is>
          <t>1. MK-NW-F-078 ONE
2. MK-CF-F-132 map
3. MK-PF-F-026 moneyWeightedReturn</t>
        </is>
      </c>
      <c r="P331" s="3" t="n">
        <v>36</v>
      </c>
      <c r="Q331"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31"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31" s="3" t="inlineStr">
        <is>
          <t>—</t>
        </is>
      </c>
      <c r="T331" s="3" t="inlineStr">
        <is>
          <t>—</t>
        </is>
      </c>
      <c r="U331" s="3" t="inlineStr">
        <is>
          <t>ACTIVE</t>
        </is>
      </c>
      <c r="V331" s="3" t="inlineStr">
        <is>
          <t>2026-10-01</t>
        </is>
      </c>
      <c r="W331" s="3" t="n"/>
      <c r="X331" s="3" t="n"/>
      <c r="Y331" s="3" t="inlineStr">
        <is>
          <t>NOTHING OPEN</t>
        </is>
      </c>
    </row>
    <row r="332" ht="60" customHeight="1">
      <c r="A332" s="3" t="inlineStr">
        <is>
          <t>MK-NW-O-001</t>
        </is>
      </c>
      <c r="B332" s="3" t="inlineStr">
        <is>
          <t>theBonds</t>
        </is>
      </c>
      <c r="C332" s="3" t="inlineStr">
        <is>
          <t>MoneyKeel/functions/networth-and-performance/bonds.ts</t>
        </is>
      </c>
      <c r="D332" s="3" t="n">
        <v>244</v>
      </c>
      <c r="E332" s="3" t="inlineStr">
        <is>
          <t>2 · DISPLAYED</t>
        </is>
      </c>
      <c r="F332" s="3" t="inlineStr">
        <is>
          <t>── ORCHESTRATOR ───────────────────────────────────────────────────────────────────── The one function a screen calls for this question.</t>
        </is>
      </c>
      <c r="G332" s="11" t="inlineStr">
        <is>
          <t>now = input.today (or new date() when missing)
held = input.accounts (or none when missing) where is bond
sum = bond summary(held.map(bond info), now)
one = nothing
b = bond info(opened)
row = row of(opened, now)
years = row.years left (or 0 when missing)</t>
        </is>
      </c>
      <c r="H332" s="3" t="inlineStr">
        <is>
          <t>Now is input.today (or new date() — when missing). Held is input.accounts (or none — when missing) where is bond. Sum is bond summary(held.map(bond info), now). One is no answer. B is bond info(opened). Row is row of(opened, now). Years is row.years left (or 0 — when missing).</t>
        </is>
      </c>
      <c r="I332" s="3" t="inlineStr">
        <is>
          <t>PARTLY READ — some of the code is still showing through; needs a hand pass</t>
        </is>
      </c>
      <c r="J332" s="3" t="inlineStr">
        <is>
          <t>input: BondsInput</t>
        </is>
      </c>
      <c r="K332" s="3" t="inlineStr">
        <is>
          <t>Bonds</t>
        </is>
      </c>
      <c r="L332" s="3" t="inlineStr">
        <is>
          <t>NOT FOUND — a screen calls it, but the words printed beside its answer could not be traced automatically. Needs reading.</t>
        </is>
      </c>
      <c r="M332" s="3" t="inlineStr">
        <is>
          <t>1. If years left is missing it uses 0.
2. Uses today's date from the device clock, so the answer changes by itself overnight.</t>
        </is>
      </c>
      <c r="N332" s="3" t="inlineStr">
        <is>
          <t>Yes</t>
        </is>
      </c>
      <c r="O332" s="3" t="inlineStr">
        <is>
          <t>1. MK-ST-F-027 accountId
2. MK-NW-F-057 annualCoupon
3. MK-NW-F-056 bondInfo
4. MK-NW-F-064 bondRateSensitivity
5. MK-NW-F-061 bondSummary
6. MK-NW-F-055 isBond
7. MK-CF-F-132 map
8. MK-NW-F-072 rowOf</t>
        </is>
      </c>
      <c r="P332" s="3" t="n">
        <v>23</v>
      </c>
      <c r="Q332"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32"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2" s="3" t="inlineStr">
        <is>
          <t>MK-NW-M-023 · MK-NW-M-024 · MK-NW-M-025 · MK-NW-M-026 · MK-NW-M-027 · MK-NW-M-041 · MK-NW-M-042 · MK-NW-M-043 · MK-NW-M-044 · MK-NW-M-045 · MK-NW-M-053 · MK-NW-M-054 · MK-NW-M-055 · MK-NW-M-056 · MK-NW-M-057 · MK-NW-M-058</t>
        </is>
      </c>
      <c r="T332" s="3" t="inlineStr">
        <is>
          <t>—</t>
        </is>
      </c>
      <c r="U332" s="3" t="inlineStr">
        <is>
          <t>ACTIVE</t>
        </is>
      </c>
      <c r="V332" s="3" t="inlineStr">
        <is>
          <t>2026-09-27</t>
        </is>
      </c>
      <c r="W332" s="3" t="n"/>
      <c r="X332" s="3" t="n"/>
      <c r="Y332" s="3" t="inlineStr">
        <is>
          <t>NOTHING OPEN</t>
        </is>
      </c>
    </row>
    <row r="333" ht="60" customHeight="1">
      <c r="A333" s="3" t="inlineStr">
        <is>
          <t>MK-NW-O-002</t>
        </is>
      </c>
      <c r="B333" s="3" t="inlineStr">
        <is>
          <t>theAccount</t>
        </is>
      </c>
      <c r="C333" s="3" t="inlineStr">
        <is>
          <t>MoneyKeel/functions/networth-and-performance/account.ts</t>
        </is>
      </c>
      <c r="D333" s="3" t="n">
        <v>132</v>
      </c>
      <c r="E333" s="3" t="inlineStr">
        <is>
          <t>2 · DISPLAYED</t>
        </is>
      </c>
      <c r="F333" s="3" t="inlineStr">
        <is>
          <t>── ORCHESTRATOR ───────────────────────────────────────────────────────────────────── The one function a screen calls for this question.</t>
        </is>
      </c>
      <c r="G333"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3"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balance is missing it counts as zero, so nothing recorded and a real zero look the same.
2. If amount is missing it counts as zero, so nothing recorded and a real zero look the same.
3. Rounds the answer to a whole number.</t>
        </is>
      </c>
      <c r="N333" s="3" t="inlineStr">
        <is>
          <t>Yes</t>
        </is>
      </c>
      <c r="O333" s="3" t="inlineStr">
        <is>
          <t>1. MK-NW-F-027 accountClassBreakdown
2. MK-CF-F-118 cashEffect
3. MK-CF-F-132 map
4. MK-ST-F-013 personalFlowTotals
5. MK-ST-F-021 toNumber</t>
        </is>
      </c>
      <c r="P333" s="3" t="n">
        <v>15</v>
      </c>
      <c r="Q333"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33"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3" s="3" t="inlineStr">
        <is>
          <t>MK-NW-M-019 · MK-NW-M-020 · MK-NW-M-021 · MK-NW-M-038 · MK-NW-M-039 · MK-NW-M-040 · MK-NW-M-062</t>
        </is>
      </c>
      <c r="T333" s="3" t="inlineStr">
        <is>
          <t>—</t>
        </is>
      </c>
      <c r="U333" s="3" t="inlineStr">
        <is>
          <t>ACTIVE</t>
        </is>
      </c>
      <c r="V333" s="3" t="inlineStr">
        <is>
          <t>2026-09-27</t>
        </is>
      </c>
      <c r="W333" s="3" t="n"/>
      <c r="X333" s="3" t="n"/>
      <c r="Y333" s="3" t="inlineStr">
        <is>
          <t>NOTHING OPEN</t>
        </is>
      </c>
    </row>
    <row r="334" ht="60" customHeight="1">
      <c r="A334" s="3" t="inlineStr">
        <is>
          <t>MK-NW-O-003</t>
        </is>
      </c>
      <c r="B334" s="3" t="inlineStr">
        <is>
          <t>theNetWorth</t>
        </is>
      </c>
      <c r="C334" s="3" t="inlineStr">
        <is>
          <t>MoneyKeel/functions/networth-and-performance/net-worth.ts</t>
        </is>
      </c>
      <c r="D334" s="3" t="n">
        <v>147</v>
      </c>
      <c r="E334" s="3" t="inlineStr">
        <is>
          <t>2 · DISPLAYED</t>
        </is>
      </c>
      <c r="F334" s="3" t="inlineStr">
        <is>
          <t>── ORCHESTRATOR ───────────────────────────────────────────────────────────────────── The one function a screen calls for this question.</t>
        </is>
      </c>
      <c r="G334"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4"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1. "Monthly debt payments" — on the Net worth screen, under "💳  DEBTS"
2. "Net worth so far" — on the Net worth screen, under "EMERGENCY FUND"
3. "Net worth" — on the Home screen
4. "YOUR INVESTMENTS" — on the Home screen, under "WHAT YOU"</t>
        </is>
      </c>
      <c r="M334" s="3" t="inlineStr">
        <is>
          <t>1. If alternatives is missing it uses 0.
2. If remaining balance is missing it counts as zero, so nothing recorded and a real zero look the same.</t>
        </is>
      </c>
      <c r="N334" s="3" t="inlineStr">
        <is>
          <t>Yes</t>
        </is>
      </c>
      <c r="O334"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4" s="3" t="n">
        <v>196</v>
      </c>
      <c r="Q334"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MK-CF-F-207 SOURCE
115. MK-CF-O-004 incomeSummary
116. MK-CF-F-100 taxableIncomeFor
117. MK-ST-F-034 firstDate
118. MK-CF-F-075 retirementIncomeMonthly
119. MK-XS-F-064 currentIdToken
120. MK-XS-F-112 relayUrl
121. MK-CF-O-016 incomeSources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MK-CF-F-066 rsuAnnual
134. MK-CF-F-171 earnerPay
135. MK-CF-F-204 line
136. MK-HM-F-006 money0
137. MK-CF-F-198 payrollTaxWithheld
138. MK-CF-F-172 hasWage
139. MK-CF-F-165 salaryMonths
140. MK-CF-F-070 benefitAnnual
141. MK-CF-F-069 benefitActiveMonths
142. MK-CF-F-065 equityVestWeights
143. MK-CF-F-206 householdK401ByMonth
144. MK-CF-F-087 monthlyTaxRates
145. MK-CF-F-073 otherIncomeMonth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MK-CF-F-062 equityRowValue
158. MK-CF-F-063 rowVestYear
159. MK-CF-F-143 annualisedGross
160. MK-CF-F-145 deductionsFromPay
161. MK-CF-F-128 grossByMonth
162. MK-CF-F-146 payFiguresAgree
163. MK-CF-F-144 takeHomeAsEntered
164. MK-CF-F-203 MONTH
165. MK-HM-F-005 pctTxt
166. MK-CF-F-176 sumMonthsOverEarners
167. MK-CF-F-177 wageGrossByMonth
168. MK-CF-F-090 effectiveRate
169. MK-CF-F-098 progressiveMonthlyTax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34"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4" s="3" t="inlineStr">
        <is>
          <t>MK-MN-M-016 · MK-NW-M-001 · MK-NW-M-002 · MK-NW-M-003 · MK-NW-M-004 · MK-NW-M-005 · MK-NW-M-006 · MK-NW-M-007 · MK-NW-M-008 · MK-NW-M-009 · MK-NW-M-011 · MK-NW-M-015 · MK-NW-M-016 · MK-NW-M-017 · MK-NW-M-049 · MK-NW-M-063 · MK-XS-M-001 · MK-XS-M-003</t>
        </is>
      </c>
      <c r="T334" s="3" t="inlineStr">
        <is>
          <t>—</t>
        </is>
      </c>
      <c r="U334" s="3" t="inlineStr">
        <is>
          <t>ACTIVE</t>
        </is>
      </c>
      <c r="V334" s="3" t="inlineStr">
        <is>
          <t>2026-09-27</t>
        </is>
      </c>
      <c r="W334" s="3" t="n"/>
      <c r="X334" s="3" t="n"/>
      <c r="Y334" s="3" t="inlineStr">
        <is>
          <t>NOTHING OPEN</t>
        </is>
      </c>
    </row>
    <row r="335" ht="60" customHeight="1">
      <c r="A335" s="3" t="inlineStr">
        <is>
          <t>MK-NW-O-004</t>
        </is>
      </c>
      <c r="B335" s="3" t="inlineStr">
        <is>
          <t>theEmergencyFund</t>
        </is>
      </c>
      <c r="C335" s="3" t="inlineStr">
        <is>
          <t>MoneyKeel/functions/networth-and-performance/emergency-fund.ts</t>
        </is>
      </c>
      <c r="D335" s="3" t="n">
        <v>101</v>
      </c>
      <c r="E335" s="3" t="inlineStr">
        <is>
          <t>2 · DISPLAYED</t>
        </is>
      </c>
      <c r="F335" s="3" t="inlineStr">
        <is>
          <t>── ORCHESTRATOR ───────────────────────────────────────────────────────────────────── The one function a screen calls for this question.</t>
        </is>
      </c>
      <c r="G335"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5"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 If monthly is missing it uses 0.</t>
        </is>
      </c>
      <c r="N335" s="3" t="inlineStr">
        <is>
          <t>Yes</t>
        </is>
      </c>
      <c r="O335" s="3" t="inlineStr">
        <is>
          <t>1. MK-CF-F-155 cash
2. MK-NW-F-016 cashTotal
3. MK-CF-F-010 emergencyTest
4. MK-CF-F-190 essentialsMonthly
5. MK-CF-F-009 monthlyEssentials
6. MK-CF-F-002 plannedMonthlySpend
7. MK-CF-F-023 requiredPayment</t>
        </is>
      </c>
      <c r="P335" s="3" t="n">
        <v>109</v>
      </c>
      <c r="Q335"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5"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5" s="3" t="inlineStr">
        <is>
          <t>MK-NW-M-046 · MK-NW-M-047 · MK-NW-M-048</t>
        </is>
      </c>
      <c r="T335" s="3" t="inlineStr">
        <is>
          <t>—</t>
        </is>
      </c>
      <c r="U335" s="3" t="inlineStr">
        <is>
          <t>DECOMMISSIONED 2026-09-28 — it was here and is not any more. Kept so the number is never reused and earlier work can still be traced.</t>
        </is>
      </c>
      <c r="V335" s="3" t="inlineStr">
        <is>
          <t>2026-09-30</t>
        </is>
      </c>
      <c r="W335" s="3" t="n"/>
      <c r="X335" s="3" t="n"/>
      <c r="Y335" s="3" t="inlineStr">
        <is>
          <t>NOTHING OPEN</t>
        </is>
      </c>
    </row>
    <row r="336" ht="60" customHeight="1">
      <c r="A336" s="3" t="inlineStr">
        <is>
          <t>MK-NW-O-005</t>
        </is>
      </c>
      <c r="B336" s="3" t="inlineStr">
        <is>
          <t>theAlternativesOutlook</t>
        </is>
      </c>
      <c r="C336" s="3" t="inlineStr">
        <is>
          <t>MoneyKeel/functions/networth-and-performance/alternatives-outlook.ts</t>
        </is>
      </c>
      <c r="D336" s="3" t="n">
        <v>93</v>
      </c>
      <c r="E336" s="3" t="inlineStr">
        <is>
          <t>2 · DISPLAYED</t>
        </is>
      </c>
      <c r="F336" s="3" t="inlineStr">
        <is>
          <t>── ORCHESTRATOR ───────────────────────────────────────────────────────────────────── The one function a screen calls for this question.</t>
        </is>
      </c>
      <c r="G336" s="11" t="inlineStr">
        <is>
          <t>accounts = input.accounts (or none when missing)
s = alternatives summary(accounts)</t>
        </is>
      </c>
      <c r="H336" s="3" t="inlineStr">
        <is>
          <t>Accounts is input.accounts (or none — when missing). S is alternatives summary(accounts).</t>
        </is>
      </c>
      <c r="I336" s="3" t="inlineStr">
        <is>
          <t>PARTLY READ — some of the code is still showing through; needs a hand pass</t>
        </is>
      </c>
      <c r="J336" s="3" t="inlineStr">
        <is>
          <t>input: { accounts: AssetAccount[] }</t>
        </is>
      </c>
      <c r="K336" s="3" t="inlineStr">
        <is>
          <t>AlternativesOutlook</t>
        </is>
      </c>
      <c r="L336" s="3" t="inlineStr">
        <is>
          <t>1. "EST. GROWTH /year" — on the Other investments screen, under "ALTERNATIVES"
2. "EXP. RETURN" — on the Other investments screen, under "ALTERNATIVES"</t>
        </is>
      </c>
      <c r="M336" s="3" t="inlineStr">
        <is>
          <t>· If balance is missing it counts as zero, so nothing recorded and a real zero look the same.</t>
        </is>
      </c>
      <c r="N336" s="3" t="inlineStr">
        <is>
          <t>Yes</t>
        </is>
      </c>
      <c r="O336" s="3" t="inlineStr">
        <is>
          <t>1. MK-NW-F-002 alternativesSummary
2. MK-NW-F-011 assetClassOf
3. MK-NW-F-034 benchmarkReturn
4. MK-NW-F-037 blendedReturn
5. MK-CF-F-132 map</t>
        </is>
      </c>
      <c r="P336" s="3" t="n">
        <v>20</v>
      </c>
      <c r="Q336"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6"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6" s="3" t="inlineStr">
        <is>
          <t>MK-NW-M-050 · MK-NW-M-051 · MK-NW-M-052</t>
        </is>
      </c>
      <c r="T336" s="3" t="inlineStr">
        <is>
          <t>—</t>
        </is>
      </c>
      <c r="U336" s="3" t="inlineStr">
        <is>
          <t>ACTIVE</t>
        </is>
      </c>
      <c r="V336" s="3" t="inlineStr">
        <is>
          <t>2026-10-01</t>
        </is>
      </c>
      <c r="W336" s="3" t="n"/>
      <c r="X336" s="3" t="n"/>
      <c r="Y336" s="3" t="inlineStr">
        <is>
          <t>NOTHING OPEN</t>
        </is>
      </c>
    </row>
    <row r="337" ht="60" customHeight="1">
      <c r="A337" s="3" t="inlineStr">
        <is>
          <t>MK-NW-O-006</t>
        </is>
      </c>
      <c r="B337" s="3" t="inlineStr">
        <is>
          <t>theHolding</t>
        </is>
      </c>
      <c r="C337" s="3" t="inlineStr">
        <is>
          <t>MoneyKeel/functions/networth-and-performance/holding.ts</t>
        </is>
      </c>
      <c r="D337" s="3" t="n">
        <v>141</v>
      </c>
      <c r="E337" s="3" t="inlineStr">
        <is>
          <t>2 · DISPLAYED</t>
        </is>
      </c>
      <c r="F337" s="3" t="inlineStr">
        <is>
          <t>── ORCHESTRATOR ───────────────────────────────────────────────────────────────────── The one function a screen calls for this question.</t>
        </is>
      </c>
      <c r="G337"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7"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NOT FOUND — a screen calls it, but the words printed beside its answer could not be traced automatically. Needs reading.</t>
        </is>
      </c>
      <c r="M337"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7" s="3" t="inlineStr">
        <is>
          <t>Yes</t>
        </is>
      </c>
      <c r="O337" s="3" t="inlineStr">
        <is>
          <t>1. MK-PF-F-006 capGains
2. MK-PF-F-002 costBasis
3. MK-CF-F-132 map
4. MK-PF-F-004 marketValue
5. MK-PF-F-028 realizedFromLedger
6. MK-PF-F-001 totalShares</t>
        </is>
      </c>
      <c r="P337" s="3" t="n">
        <v>8</v>
      </c>
      <c r="Q337" s="3" t="inlineStr">
        <is>
          <t>1. MK-PF-F-006 capGains
2. MK-PF-F-002 costBasis
3. MK-CF-F-132 map
4. MK-PF-F-004 marketValue
5. MK-PF-F-028 realizedFromLedger
6. MK-PF-F-001 totalShares
7. MK-XS-F-122 n
8. MK-PF-F-031 contractMultiplier</t>
        </is>
      </c>
      <c r="R337"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7" s="3" t="inlineStr">
        <is>
          <t>MK-NW-M-029 · MK-NW-M-030 · MK-NW-M-031 · MK-NW-M-033 · MK-NW-M-034 · MK-NW-M-035 · MK-NW-M-036 · MK-NW-M-037 · MK-NW-M-059 · MK-NW-M-060 · MK-NW-M-061</t>
        </is>
      </c>
      <c r="T337" s="3" t="inlineStr">
        <is>
          <t>—</t>
        </is>
      </c>
      <c r="U337" s="3" t="inlineStr">
        <is>
          <t>ACTIVE</t>
        </is>
      </c>
      <c r="V337" s="3" t="inlineStr">
        <is>
          <t>2026-10-01</t>
        </is>
      </c>
      <c r="W337" s="3" t="n"/>
      <c r="X337" s="3" t="n"/>
      <c r="Y337" s="3" t="inlineStr">
        <is>
          <t>NOTHING OPEN</t>
        </is>
      </c>
    </row>
    <row r="338" ht="60" customHeight="1">
      <c r="A338" s="3" t="inlineStr">
        <is>
          <t>MK-NW-O-007</t>
        </is>
      </c>
      <c r="B338" s="3" t="inlineStr">
        <is>
          <t>theLookBack</t>
        </is>
      </c>
      <c r="C338" s="3" t="inlineStr">
        <is>
          <t>MoneyKeel/functions/networth-and-performance/look-back.ts</t>
        </is>
      </c>
      <c r="D338" s="3" t="n">
        <v>63</v>
      </c>
      <c r="E338" s="3" t="inlineStr">
        <is>
          <t>2 · DISPLAYED</t>
        </is>
      </c>
      <c r="F338" s="3" t="inlineStr">
        <is>
          <t>── ORCHESTRATOR ───────────────────────────────────────────────────────────────────── The one function a screen calls for this question.</t>
        </is>
      </c>
      <c r="G338" s="11" t="inlineStr">
        <is>
          <t>look back(input.amount, input.from series, input.to series, input.months, input.now ?? new date())</t>
        </is>
      </c>
      <c r="H338" s="3" t="inlineStr">
        <is>
          <t>look back(input.amount, input.from series, input.to series, input.months, input.now ?? new date()).</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 Uses today's date from the device clock, so the answer changes by itself overnight.</t>
        </is>
      </c>
      <c r="N338" s="3" t="inlineStr">
        <is>
          <t>Yes</t>
        </is>
      </c>
      <c r="O338" s="3" t="inlineStr">
        <is>
          <t>MK-PF-F-023 lookBack</t>
        </is>
      </c>
      <c r="P338" s="3" t="n">
        <v>3</v>
      </c>
      <c r="Q338" s="3" t="inlineStr">
        <is>
          <t>1. MK-PF-F-023 lookBack
2. MK-PF-F-022 factorOverMonths
3. MK-ST-F-065 isoLocalDate</t>
        </is>
      </c>
      <c r="R338" s="3" t="inlineStr">
        <is>
          <t>MK-ST-F-065 isoLocalDate → MK-PF-F-022 factorOverMonths → MK-PF-F-023 lookBack → MK-NW-O-007 theLookBack</t>
        </is>
      </c>
      <c r="S338" s="3" t="inlineStr">
        <is>
          <t>MK-PF-M-010 · MK-PF-M-011 · MK-PF-M-012</t>
        </is>
      </c>
      <c r="T338" s="3" t="inlineStr">
        <is>
          <t>—</t>
        </is>
      </c>
      <c r="U338" s="3" t="inlineStr">
        <is>
          <t>ACTIVE</t>
        </is>
      </c>
      <c r="V338" s="3" t="inlineStr">
        <is>
          <t>2026-09-28</t>
        </is>
      </c>
      <c r="W338" s="3" t="n"/>
      <c r="X338" s="3" t="n"/>
      <c r="Y338" s="3" t="inlineStr">
        <is>
          <t>NOTHING OPEN</t>
        </is>
      </c>
    </row>
    <row r="339" ht="60" customHeight="1">
      <c r="A339" s="3" t="inlineStr">
        <is>
          <t>MK-NW-O-008</t>
        </is>
      </c>
      <c r="B339" s="3" t="inlineStr">
        <is>
          <t>thePerformance</t>
        </is>
      </c>
      <c r="C339" s="3" t="inlineStr">
        <is>
          <t>MoneyKeel/functions/networth-and-performance/performance.ts</t>
        </is>
      </c>
      <c r="D339" s="3" t="n">
        <v>416</v>
      </c>
      <c r="E339" s="3" t="inlineStr">
        <is>
          <t>2 · DISPLAYED</t>
        </is>
      </c>
      <c r="F339" s="3" t="inlineStr">
        <is>
          <t>NOT DETERMINED — the code carries no note saying what this is for, and it has no row in the old inventory. Needs reading.</t>
        </is>
      </c>
      <c r="G339"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39"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39" s="3" t="inlineStr">
        <is>
          <t>PARTLY READ — some of the code is still showing through; needs a hand pass</t>
        </is>
      </c>
      <c r="J339" s="3" t="inlineStr">
        <is>
          <t>Nothing is handed to it</t>
        </is>
      </c>
      <c r="K339" s="3" t="inlineStr">
        <is>
          <t>NOT DECLARED — the code does not say what it gives back</t>
        </is>
      </c>
      <c r="L339" s="3" t="inlineStr">
        <is>
          <t>"Ending market value" — on the Performance screen</t>
        </is>
      </c>
      <c r="M339" s="3" t="inlineStr">
        <is>
          <t>1. Treats a year as 365 days.
2. Shows 2 decimal places.</t>
        </is>
      </c>
      <c r="N339" s="3" t="inlineStr">
        <is>
          <t>Yes</t>
        </is>
      </c>
      <c r="O339" s="3" t="inlineStr">
        <is>
          <t>1. MK-XS-F-011 buildChangeWalk
2. MK-CF-F-132 map
3. MK-ST-F-064 modifiedDietzOverWindow
4. MK-ST-F-013 personalFlowTotals
5. MK-NW-F-102 rateWhereItRefuses
6. MK-ST-F-030 record
7. MK-ST-F-021 toNumber
8. MK-ST-F-031 valueOn
9. MK-ST-F-038 windowBounds</t>
        </is>
      </c>
      <c r="P339" s="3" t="n">
        <v>47</v>
      </c>
      <c r="Q339"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9"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9" s="3" t="inlineStr">
        <is>
          <t>MK-PF-M-002 · MK-PF-M-003 · MK-PF-M-005 · MK-PF-M-006 · MK-PF-M-007 · MK-PF-M-008 · MK-PF-M-013 · MK-PF-M-014 · MK-PF-M-015 · MK-PF-M-016 · MK-PF-M-017 · MK-PF-M-018 · MK-PF-M-019 · MK-PF-M-020 · MK-XS-M-004</t>
        </is>
      </c>
      <c r="T339" s="3" t="inlineStr">
        <is>
          <t>—</t>
        </is>
      </c>
      <c r="U339" s="3" t="inlineStr">
        <is>
          <t>ACTIVE</t>
        </is>
      </c>
      <c r="V339" s="3" t="inlineStr">
        <is>
          <t>2026-09-28</t>
        </is>
      </c>
      <c r="W339" s="3" t="n"/>
      <c r="X339" s="3" t="n"/>
      <c r="Y339" s="3" t="inlineStr">
        <is>
          <t>NOTHING OPEN</t>
        </is>
      </c>
    </row>
    <row r="340" ht="45" customHeight="1">
      <c r="A340" s="3" t="inlineStr">
        <is>
          <t>MK-PF-F-001</t>
        </is>
      </c>
      <c r="B340" s="3" t="inlineStr">
        <is>
          <t>totalShares</t>
        </is>
      </c>
      <c r="C340" s="3" t="inlineStr">
        <is>
          <t>src/domain/performance/index.ts</t>
        </is>
      </c>
      <c r="D340" s="3" t="n">
        <v>174</v>
      </c>
      <c r="E340" s="3" t="inlineStr">
        <is>
          <t>2 · DISPLAYED</t>
        </is>
      </c>
      <c r="F340" s="3" t="inlineStr">
        <is>
          <t>---- cost basis &amp; value (lot math) ----</t>
        </is>
      </c>
      <c r="G340" s="11" t="inlineStr">
        <is>
          <t>total shares(holding) = Σ over every lot of (shares, or 0 when missing)</t>
        </is>
      </c>
      <c r="H340" s="3" t="inlineStr">
        <is>
          <t>Adds the share count of every lot. A lot with no share count counts as zero, so "nothing recorded" and "a real zero" give the same answer.</t>
        </is>
      </c>
      <c r="I340" s="3" t="inlineStr">
        <is>
          <t>READ BY HAND 2026-08-26 — checked line by line against the code</t>
        </is>
      </c>
      <c r="J340" s="3" t="inlineStr">
        <is>
          <t>p: Position</t>
        </is>
      </c>
      <c r="K340" s="3" t="inlineStr">
        <is>
          <t>number</t>
        </is>
      </c>
      <c r="L340" s="3" t="inlineStr">
        <is>
          <t>NOT FOUND — a screen calls it, but the words printed beside its answer could not be traced automatically. Needs reading.</t>
        </is>
      </c>
      <c r="M340" s="3" t="inlineStr">
        <is>
          <t>· If shares is missing it counts as zero, so nothing recorded and a real zero look the same.</t>
        </is>
      </c>
      <c r="N340" s="3" t="inlineStr">
        <is>
          <t>Yes</t>
        </is>
      </c>
      <c r="O340" s="3" t="inlineStr">
        <is>
          <t>—</t>
        </is>
      </c>
      <c r="P340" s="3" t="n">
        <v>0</v>
      </c>
      <c r="Q340" s="3" t="inlineStr">
        <is>
          <t>None — no dependent function stands behind it</t>
        </is>
      </c>
      <c r="R340" s="3" t="inlineStr">
        <is>
          <t>No dependent function — it reads its inputs and answers</t>
        </is>
      </c>
      <c r="S340" s="3" t="inlineStr">
        <is>
          <t>—</t>
        </is>
      </c>
      <c r="T340" s="3" t="inlineStr">
        <is>
          <t>HOLDING_SHARES</t>
        </is>
      </c>
      <c r="U340" s="3" t="inlineStr">
        <is>
          <t>ACTIVE</t>
        </is>
      </c>
      <c r="V340" s="3" t="inlineStr">
        <is>
          <t>2026-08-27</t>
        </is>
      </c>
      <c r="W340" s="3" t="inlineStr">
        <is>
          <t>[from MK-NW-M-031, typed Q07/Q09] 8 decimals for coins; always capture units.</t>
        </is>
      </c>
      <c r="X340" s="6" t="inlineStr">
        <is>
          <t>Sums raw numbers with no unit and no rounding. Fix: a unit on the position; coin quantities to 8 decimals — see MK-NW-M-031.</t>
        </is>
      </c>
      <c r="Y340" s="6" t="inlineStr">
        <is>
          <t>WAITING ON YOU — answer to read</t>
        </is>
      </c>
    </row>
    <row r="341" ht="60" customHeight="1">
      <c r="A341" s="3" t="inlineStr">
        <is>
          <t>MK-PF-F-002</t>
        </is>
      </c>
      <c r="B341" s="3" t="inlineStr">
        <is>
          <t>costBasis</t>
        </is>
      </c>
      <c r="C341" s="3" t="inlineStr">
        <is>
          <t>src/domain/performance/index.ts</t>
        </is>
      </c>
      <c r="D341" s="3" t="n">
        <v>214</v>
      </c>
      <c r="E341" s="3" t="inlineStr">
        <is>
          <t>2 · DISPLAYED</t>
        </is>
      </c>
      <c r="F341" s="3" t="inlineStr">
        <is>
          <t>What did I pay for this in total?</t>
        </is>
      </c>
      <c r="G341" s="11" t="inlineStr">
        <is>
          <t>cost basis(holding) = Σ over every lot of (shares × cost per share)</t>
        </is>
      </c>
      <c r="H341" s="3" t="inlineStr">
        <is>
          <t>What was paid, added across the lots. A lot with no cost per share contributes nothing, so a holding with neither a price nor a cost lands at $0 and quietly leaves net worth.</t>
        </is>
      </c>
      <c r="I341" s="3" t="inlineStr">
        <is>
          <t>READ BY HAND 2026-08-26 — checked line by line against the code</t>
        </is>
      </c>
      <c r="J341" s="3" t="inlineStr">
        <is>
          <t>p: Position</t>
        </is>
      </c>
      <c r="K341" s="3" t="inlineStr">
        <is>
          <t>number</t>
        </is>
      </c>
      <c r="L341" s="3" t="inlineStr">
        <is>
          <t>NOT FOUND — a screen calls it, but the words printed beside its answer could not be traced automatically. Needs reading.</t>
        </is>
      </c>
      <c r="M341" s="3" t="inlineStr">
        <is>
          <t>1. If shares is missing it counts as zero, so nothing recorded and a real zero look the same.
2. If cost per share is missing it counts as zero, so nothing recorded and a real zero look the same.</t>
        </is>
      </c>
      <c r="N341" s="3" t="inlineStr">
        <is>
          <t>Yes</t>
        </is>
      </c>
      <c r="O341" s="3" t="inlineStr">
        <is>
          <t>MK-PF-F-031 contractMultiplier</t>
        </is>
      </c>
      <c r="P341" s="3" t="n">
        <v>1</v>
      </c>
      <c r="Q341" s="3" t="inlineStr">
        <is>
          <t>MK-PF-F-031 contractMultiplier</t>
        </is>
      </c>
      <c r="R341" s="3" t="inlineStr">
        <is>
          <t>MK-PF-F-031 contractMultiplier → MK-PF-F-002 costBasis</t>
        </is>
      </c>
      <c r="S341" s="3" t="inlineStr">
        <is>
          <t>—</t>
        </is>
      </c>
      <c r="T341" s="3" t="inlineStr">
        <is>
          <t>HOLDING_COST_BASIS</t>
        </is>
      </c>
      <c r="U341" s="3" t="inlineStr">
        <is>
          <t>ACTIVE</t>
        </is>
      </c>
      <c r="V341" s="3" t="inlineStr">
        <is>
          <t>2026-09-09</t>
        </is>
      </c>
      <c r="W341" s="3" t="inlineStr">
        <is>
          <t>[from MK-NW-M-032 / M-033] Average price must not divide by shares whose cost is missing or zero; Total paid vs Price paid (average) — two things or one?</t>
        </is>
      </c>
      <c r="X341"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1" s="6" t="inlineStr">
        <is>
          <t>WAITING ON YOU — answer to read · TESTED, NOT VERIFIED (Q06)</t>
        </is>
      </c>
    </row>
    <row r="342" ht="60" customHeight="1">
      <c r="A342" s="3" t="inlineStr">
        <is>
          <t>MK-PF-F-003</t>
        </is>
      </c>
      <c r="B342" s="3" t="inlineStr">
        <is>
          <t>avgCost</t>
        </is>
      </c>
      <c r="C342" s="3" t="inlineStr">
        <is>
          <t>src/domain/performance/index.ts</t>
        </is>
      </c>
      <c r="D342" s="3" t="n">
        <v>240</v>
      </c>
      <c r="E342" s="3" t="inlineStr">
        <is>
          <t>2 · DISPLAYED</t>
        </is>
      </c>
      <c r="F342" s="3" t="inlineStr">
        <is>
          <t>NOT DETERMINED — the code carries no note saying what this is for, and it has no row in the old inventory. Needs reading.</t>
        </is>
      </c>
      <c r="G342" s="11" t="inlineStr">
        <is>
          <t>sh = total shares(p)
the answer:
cost basis(p) ÷ sh   if sh &gt; 0
0   otherwise</t>
        </is>
      </c>
      <c r="H342" s="3" t="inlineStr">
        <is>
          <t>Sh is total shares(p). The answer is cost basis(p) divided by sh — when sh &gt; 0; 0 — otherwise.</t>
        </is>
      </c>
      <c r="I342" s="3" t="inlineStr">
        <is>
          <t>READ FROM THE CODE — rendered from the expressions the function runs</t>
        </is>
      </c>
      <c r="J342" s="3" t="inlineStr">
        <is>
          <t>p: Position</t>
        </is>
      </c>
      <c r="K342" s="3" t="inlineStr">
        <is>
          <t>number</t>
        </is>
      </c>
      <c r="L342" s="3" t="inlineStr">
        <is>
          <t>NOT FOUND — a screen calls it, but the words printed beside its answer could not be traced automatically. Needs reading.</t>
        </is>
      </c>
      <c r="M342" s="3" t="inlineStr">
        <is>
          <t>None found in this function — anything it assumes comes from the functions it depends on.</t>
        </is>
      </c>
      <c r="N342" s="3" t="inlineStr">
        <is>
          <t>Yes</t>
        </is>
      </c>
      <c r="O342" s="3" t="inlineStr">
        <is>
          <t>1. MK-PF-F-002 costBasis
2. MK-PF-F-001 totalShares</t>
        </is>
      </c>
      <c r="P342" s="3" t="n">
        <v>3</v>
      </c>
      <c r="Q342" s="3" t="inlineStr">
        <is>
          <t>1. MK-PF-F-002 costBasis
2. MK-PF-F-001 totalShares
3. MK-PF-F-031 contractMultiplier</t>
        </is>
      </c>
      <c r="R342" s="3" t="inlineStr">
        <is>
          <t>1. MK-PF-F-031 contractMultiplier → MK-PF-F-002 costBasis → MK-PF-F-003 avgCost
2. MK-PF-F-001 totalShares → MK-PF-F-003 avgCost</t>
        </is>
      </c>
      <c r="S342" s="3" t="inlineStr">
        <is>
          <t>MK-NW-M-032</t>
        </is>
      </c>
      <c r="T342" s="3" t="inlineStr">
        <is>
          <t>—</t>
        </is>
      </c>
      <c r="U342" s="3" t="inlineStr">
        <is>
          <t>ACTIVE</t>
        </is>
      </c>
      <c r="V342" s="3" t="inlineStr">
        <is>
          <t>2026-09-09</t>
        </is>
      </c>
      <c r="W342" s="3" t="inlineStr">
        <is>
          <t>[from MK-NW-M-032 / M-033] see MK-PF-F-002</t>
        </is>
      </c>
      <c r="X342" s="6" t="inlineStr">
        <is>
          <t>Unused by any screen (it clips to cents; the screen wants 3 decimals) and it divides by ALL shares. Retire it or make it the averagePricePaid of JJ-1 (cost &gt; 0 lots only, no cents clipping).</t>
        </is>
      </c>
      <c r="Y342" s="6" t="inlineStr">
        <is>
          <t>WAITING ON YOU — answer to read</t>
        </is>
      </c>
    </row>
    <row r="343" ht="60" customHeight="1">
      <c r="A343" s="3" t="inlineStr">
        <is>
          <t>MK-PF-F-004</t>
        </is>
      </c>
      <c r="B343" s="3" t="inlineStr">
        <is>
          <t>marketValue</t>
        </is>
      </c>
      <c r="C343" s="3" t="inlineStr">
        <is>
          <t>src/domain/performance/index.ts</t>
        </is>
      </c>
      <c r="D343" s="3" t="n">
        <v>278</v>
      </c>
      <c r="E343" s="3" t="inlineStr">
        <is>
          <t>3 · DEPENDENT</t>
        </is>
      </c>
      <c r="F343" s="3" t="inlineStr">
        <is>
          <t>What is this holding worth right now?</t>
        </is>
      </c>
      <c r="G343" s="11" t="inlineStr">
        <is>
          <t>market value(holding) = round(total shares × price, 2 dp)
                      = 0   when no price came back</t>
        </is>
      </c>
      <c r="H34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3" s="3" t="inlineStr">
        <is>
          <t>READ BY HAND 2026-08-26 — checked line by line against the code</t>
        </is>
      </c>
      <c r="J343" s="3" t="inlineStr">
        <is>
          <t>1. p: Position
2. price: number | null | undefined</t>
        </is>
      </c>
      <c r="K343" s="3" t="inlineStr">
        <is>
          <t>number</t>
        </is>
      </c>
      <c r="L343" s="3" t="inlineStr">
        <is>
          <t>—</t>
        </is>
      </c>
      <c r="M343" s="3" t="inlineStr">
        <is>
          <t>None found in this function — anything it assumes comes from the functions it depends on.</t>
        </is>
      </c>
      <c r="N343" s="3" t="inlineStr">
        <is>
          <t>Yes</t>
        </is>
      </c>
      <c r="O343" s="3" t="inlineStr">
        <is>
          <t>1. MK-PF-F-031 contractMultiplier
2. MK-PF-F-001 totalShares</t>
        </is>
      </c>
      <c r="P343" s="3" t="n">
        <v>2</v>
      </c>
      <c r="Q343" s="3" t="inlineStr">
        <is>
          <t>1. MK-PF-F-031 contractMultiplier
2. MK-PF-F-001 totalShares</t>
        </is>
      </c>
      <c r="R343" s="3" t="inlineStr">
        <is>
          <t>1. MK-PF-F-031 contractMultiplier → MK-PF-F-004 marketValue
2. MK-PF-F-001 totalShares → MK-PF-F-004 marketValue</t>
        </is>
      </c>
      <c r="S343" s="3" t="inlineStr">
        <is>
          <t>—</t>
        </is>
      </c>
      <c r="T343" s="3" t="inlineStr">
        <is>
          <t>HOLDING_MARKET_VALUE</t>
        </is>
      </c>
      <c r="U343" s="3" t="inlineStr">
        <is>
          <t>ACTIVE</t>
        </is>
      </c>
      <c r="V343" s="3" t="inlineStr">
        <is>
          <t>2026-08-27</t>
        </is>
      </c>
      <c r="W343" s="3" t="inlineStr">
        <is>
          <t>[from MK-NW-M-030, typed Q06] value is contracts * 100 * price unless stated otherwise by broker or user.</t>
        </is>
      </c>
      <c r="X343" s="6" t="inlineStr">
        <is>
          <t>NOT APPLIED here: market value = units × price, no multiplier. Fix: multiply by the position's multiplier (100 for a contract unless the feed or the person states another) — Q42 on MK-NW-M-030.</t>
        </is>
      </c>
      <c r="Y343" s="6" t="inlineStr">
        <is>
          <t>WAITING ON YOU — answer to read · TESTED, NOT VERIFIED (Q06)</t>
        </is>
      </c>
    </row>
    <row r="344" ht="60" customHeight="1">
      <c r="A344" s="3" t="inlineStr">
        <is>
          <t>MK-PF-F-005</t>
        </is>
      </c>
      <c r="B344" s="3" t="inlineStr">
        <is>
          <t>unrealizedGain</t>
        </is>
      </c>
      <c r="C344" s="3" t="inlineStr">
        <is>
          <t>src/domain/performance/index.ts</t>
        </is>
      </c>
      <c r="D344" s="3" t="n">
        <v>302</v>
      </c>
      <c r="E344" s="3" t="inlineStr">
        <is>
          <t>3 · DEPENDENT</t>
        </is>
      </c>
      <c r="F344" s="3" t="inlineStr">
        <is>
          <t>Unrealized gain = market value − cost basis (null price → 0).</t>
        </is>
      </c>
      <c r="G344" s="11" t="inlineStr">
        <is>
          <t>0   if price = nothing
market value(p, price) − cost basis(p)   otherwise</t>
        </is>
      </c>
      <c r="H344" s="3" t="inlineStr">
        <is>
          <t>0 — when price is missing; market value(p, price) minus cost basis(p) — otherwise.</t>
        </is>
      </c>
      <c r="I344" s="3" t="inlineStr">
        <is>
          <t>READ FROM THE CODE — rendered from the expressions the function runs</t>
        </is>
      </c>
      <c r="J344" s="3" t="inlineStr">
        <is>
          <t>1. p: Position
2. price: number | null | undefined</t>
        </is>
      </c>
      <c r="K344" s="3" t="inlineStr">
        <is>
          <t>number</t>
        </is>
      </c>
      <c r="L344" s="3" t="inlineStr">
        <is>
          <t>—</t>
        </is>
      </c>
      <c r="M344" s="3" t="inlineStr">
        <is>
          <t>None found in this function — anything it assumes comes from the functions it depends on.</t>
        </is>
      </c>
      <c r="N344" s="3" t="inlineStr">
        <is>
          <t>Yes</t>
        </is>
      </c>
      <c r="O344" s="3" t="inlineStr">
        <is>
          <t>1. MK-PF-F-002 costBasis
2. MK-CF-F-204 line
3. MK-PF-F-004 marketValue</t>
        </is>
      </c>
      <c r="P344" s="3" t="n">
        <v>107</v>
      </c>
      <c r="Q344"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44"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4" s="3" t="inlineStr">
        <is>
          <t>—</t>
        </is>
      </c>
      <c r="T344" s="3" t="inlineStr">
        <is>
          <t>HOLDING_UNREALISED_GAIN</t>
        </is>
      </c>
      <c r="U344" s="3" t="inlineStr">
        <is>
          <t>ACTIVE</t>
        </is>
      </c>
      <c r="V344" s="3" t="inlineStr">
        <is>
          <t>2026-09-09</t>
        </is>
      </c>
      <c r="W344" s="3" t="n"/>
      <c r="X344" s="3" t="n"/>
      <c r="Y344" s="3" t="inlineStr">
        <is>
          <t>NOTHING OPEN</t>
        </is>
      </c>
    </row>
    <row r="345" ht="60" customHeight="1">
      <c r="A345" s="3" t="inlineStr">
        <is>
          <t>MK-PF-F-006</t>
        </is>
      </c>
      <c r="B345" s="3" t="inlineStr">
        <is>
          <t>capGains</t>
        </is>
      </c>
      <c r="C345" s="3" t="inlineStr">
        <is>
          <t>src/domain/performance/index.ts</t>
        </is>
      </c>
      <c r="D345" s="3" t="n">
        <v>339</v>
      </c>
      <c r="E345" s="3" t="inlineStr">
        <is>
          <t>3 · DEPENDENT</t>
        </is>
      </c>
      <c r="F345" s="3" t="inlineStr">
        <is>
          <t>If I sold this today, how much of the gain is long-term and how much short-term?</t>
        </is>
      </c>
      <c r="G345" s="11" t="inlineStr">
        <is>
          <t>per lot:  gain = shares × (price − cost per share)
long-term when today is LATER than the first anniversary of the purchase
short-term otherwise, and a lot with no cost recorded is skipped entirely</t>
        </is>
      </c>
      <c r="H34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5" s="3" t="inlineStr">
        <is>
          <t>READ BY HAND 2026-08-26 — checked line by line against the code</t>
        </is>
      </c>
      <c r="J345" s="3" t="inlineStr">
        <is>
          <t>1. p: Position
2. price: number | null | undefined
3. now: Date = new Date()</t>
        </is>
      </c>
      <c r="K345" s="3" t="inlineStr">
        <is>
          <t>CapGains</t>
        </is>
      </c>
      <c r="L345" s="3" t="inlineStr">
        <is>
          <t>—</t>
        </is>
      </c>
      <c r="M345" s="3" t="inlineStr">
        <is>
          <t>· Uses today's date from the device clock, so the answer changes by itself overnight.</t>
        </is>
      </c>
      <c r="N345" s="3" t="inlineStr">
        <is>
          <t>Yes</t>
        </is>
      </c>
      <c r="O345" s="3" t="inlineStr">
        <is>
          <t>MK-XS-F-122 n</t>
        </is>
      </c>
      <c r="P345" s="3" t="n">
        <v>1</v>
      </c>
      <c r="Q345" s="3" t="inlineStr">
        <is>
          <t>MK-XS-F-122 n</t>
        </is>
      </c>
      <c r="R345" s="3" t="inlineStr">
        <is>
          <t>MK-XS-F-122 n → MK-PF-F-006 capGains</t>
        </is>
      </c>
      <c r="S345" s="3" t="inlineStr">
        <is>
          <t>—</t>
        </is>
      </c>
      <c r="T345" s="3" t="inlineStr">
        <is>
          <t>HOLDING_CAP_GAINS</t>
        </is>
      </c>
      <c r="U345" s="3" t="inlineStr">
        <is>
          <t>ACTIVE</t>
        </is>
      </c>
      <c r="V345" s="3" t="inlineStr">
        <is>
          <t>2026-09-28</t>
        </is>
      </c>
      <c r="W345" s="3" t="n"/>
      <c r="X345" s="3" t="n"/>
      <c r="Y345" s="6" t="inlineStr">
        <is>
          <t>TESTED, NOT VERIFIED (G2)</t>
        </is>
      </c>
    </row>
    <row r="346" ht="60" customHeight="1">
      <c r="A346" s="3" t="inlineStr">
        <is>
          <t>MK-PF-F-007</t>
        </is>
      </c>
      <c r="B346" s="3" t="inlineStr">
        <is>
          <t>totalROI</t>
        </is>
      </c>
      <c r="C346" s="3" t="inlineStr">
        <is>
          <t>src/domain/performance/index.ts</t>
        </is>
      </c>
      <c r="D346" s="3" t="n">
        <v>386</v>
      </c>
      <c r="E346" s="3" t="inlineStr">
        <is>
          <t>3 · DEPENDENT</t>
        </is>
      </c>
      <c r="F346" s="3" t="inlineStr">
        <is>
          <t>Total return since purchase = gain / cost basis (decimal).</t>
        </is>
      </c>
      <c r="G346" s="11" t="inlineStr">
        <is>
          <t>basis = cost basis(p)
nothing   when price = nothing (or basis ≤ 0 when missing or zero)
the answer = unrealized gain(p, price) ÷ basis</t>
        </is>
      </c>
      <c r="H346" s="3" t="inlineStr">
        <is>
          <t>Basis is cost basis(p). When price is missing (or basis is at most 0 — when missing or zero), it answers no answer. The answer is unrealized gain(p, price) divided by basis.</t>
        </is>
      </c>
      <c r="I346" s="3" t="inlineStr">
        <is>
          <t>READ FROM THE CODE — rendered from the expressions the function runs</t>
        </is>
      </c>
      <c r="J346" s="3" t="inlineStr">
        <is>
          <t>1. p: Position
2. price: number | null | undefined</t>
        </is>
      </c>
      <c r="K346" s="3" t="inlineStr">
        <is>
          <t>number | null</t>
        </is>
      </c>
      <c r="L346" s="3" t="inlineStr">
        <is>
          <t>—</t>
        </is>
      </c>
      <c r="M346" s="3" t="inlineStr">
        <is>
          <t>None found in this function — anything it assumes comes from the functions it depends on.</t>
        </is>
      </c>
      <c r="N346" s="3" t="inlineStr">
        <is>
          <t>Yes</t>
        </is>
      </c>
      <c r="O346" s="3" t="inlineStr">
        <is>
          <t>1. MK-PF-F-002 costBasis
2. MK-PF-F-005 unrealizedGain</t>
        </is>
      </c>
      <c r="P346" s="3" t="n">
        <v>108</v>
      </c>
      <c r="Q346"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6"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6" s="3" t="inlineStr">
        <is>
          <t>—</t>
        </is>
      </c>
      <c r="T346" s="3" t="inlineStr">
        <is>
          <t>HOLDING_TOTAL_ROI</t>
        </is>
      </c>
      <c r="U346" s="3" t="inlineStr">
        <is>
          <t>ACTIVE</t>
        </is>
      </c>
      <c r="V346" s="3" t="inlineStr">
        <is>
          <t>2026-09-09</t>
        </is>
      </c>
      <c r="W346" s="3" t="n"/>
      <c r="X346" s="3" t="n"/>
      <c r="Y346" s="3" t="inlineStr">
        <is>
          <t>NOTHING OPEN</t>
        </is>
      </c>
    </row>
    <row r="347" ht="45" customHeight="1">
      <c r="A347" s="3" t="inlineStr">
        <is>
          <t>MK-PF-F-008</t>
        </is>
      </c>
      <c r="B347" s="3" t="inlineStr">
        <is>
          <t>startDateFor</t>
        </is>
      </c>
      <c r="C347" s="3" t="inlineStr">
        <is>
          <t>src/domain/performance/index.ts</t>
        </is>
      </c>
      <c r="D347" s="3" t="n">
        <v>414</v>
      </c>
      <c r="E347" s="3" t="inlineStr">
        <is>
          <t>2 · DISPLAYED</t>
        </is>
      </c>
      <c r="F347" s="3" t="inlineStr">
        <is>
          <t>---- period returns from a price series (price return of the security itself) ----</t>
        </is>
      </c>
      <c r="G347" s="11" t="inlineStr">
        <is>
          <t>d = the date now
the answer = d</t>
        </is>
      </c>
      <c r="H347" s="3" t="inlineStr">
        <is>
          <t>D: the date now. The answer is d.</t>
        </is>
      </c>
      <c r="I347" s="3" t="inlineStr">
        <is>
          <t>READ FROM THE CODE — rendered from the expressions the function runs</t>
        </is>
      </c>
      <c r="J347" s="3" t="inlineStr">
        <is>
          <t>1. period: Period
2. now: Date</t>
        </is>
      </c>
      <c r="K347" s="3" t="inlineStr">
        <is>
          <t>Date</t>
        </is>
      </c>
      <c r="L347" s="3" t="inlineStr">
        <is>
          <t>NOT FOUND — a screen calls it, but the words printed beside its answer could not be traced automatically. Needs reading.</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PERIOD_START_DATE</t>
        </is>
      </c>
      <c r="U347" s="3" t="inlineStr">
        <is>
          <t>ACTIVE</t>
        </is>
      </c>
      <c r="V347" s="3" t="inlineStr">
        <is>
          <t>2026-08-27</t>
        </is>
      </c>
      <c r="W347" s="3" t="n"/>
      <c r="X347" s="3" t="n"/>
      <c r="Y347" s="3" t="inlineStr">
        <is>
          <t>NOTHING OPEN</t>
        </is>
      </c>
    </row>
    <row r="348" ht="60" customHeight="1">
      <c r="A348" s="3" t="inlineStr">
        <is>
          <t>MK-PF-F-009</t>
        </is>
      </c>
      <c r="B348" s="3" t="inlineStr">
        <is>
          <t>latestClose</t>
        </is>
      </c>
      <c r="C348" s="3" t="inlineStr">
        <is>
          <t>src/domain/performance/index.ts</t>
        </is>
      </c>
      <c r="D348" s="3" t="n">
        <v>535</v>
      </c>
      <c r="E348" s="3" t="inlineStr">
        <is>
          <t>2 · DISPLAYED</t>
        </is>
      </c>
      <c r="F348" s="3" t="inlineStr">
        <is>
          <t>What is the most recent price we hold for this?</t>
        </is>
      </c>
      <c r="G348" s="11" t="inlineStr">
        <is>
          <t>latest close = the last point in the price series
             = nothing   when the series is empty</t>
        </is>
      </c>
      <c r="H348" s="3" t="inlineStr">
        <is>
          <t>The most recent closing price held for a ticker. It carries no date with it, so nothing downstream can tell a price from this morning from one three weeks old.</t>
        </is>
      </c>
      <c r="I348" s="3" t="inlineStr">
        <is>
          <t>READ BY HAND 2026-08-26 — checked line by line against the code</t>
        </is>
      </c>
      <c r="J348" s="3" t="inlineStr">
        <is>
          <t>series: PriceSeries | null | undefined</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t>
        </is>
      </c>
      <c r="P348" s="3" t="n">
        <v>0</v>
      </c>
      <c r="Q348" s="3" t="inlineStr">
        <is>
          <t>None — no dependent function stands behind it</t>
        </is>
      </c>
      <c r="R348" s="3" t="inlineStr">
        <is>
          <t>No dependent function — it reads its inputs and answers</t>
        </is>
      </c>
      <c r="S348" s="3" t="inlineStr">
        <is>
          <t>—</t>
        </is>
      </c>
      <c r="T348" s="3" t="inlineStr">
        <is>
          <t>PRICE_LATEST</t>
        </is>
      </c>
      <c r="U348" s="3" t="inlineStr">
        <is>
          <t>ACTIVE</t>
        </is>
      </c>
      <c r="V348" s="3" t="inlineStr">
        <is>
          <t>2026-09-08</t>
        </is>
      </c>
      <c r="W348" s="3" t="n"/>
      <c r="X348" s="3" t="n"/>
      <c r="Y348" s="3" t="inlineStr">
        <is>
          <t>NOTHING OPEN</t>
        </is>
      </c>
    </row>
    <row r="349" ht="60" customHeight="1">
      <c r="A349" s="3" t="inlineStr">
        <is>
          <t>MK-PF-F-010</t>
        </is>
      </c>
      <c r="B349" s="3" t="inlineStr">
        <is>
          <t>periodReturn</t>
        </is>
      </c>
      <c r="C349" s="3" t="inlineStr">
        <is>
          <t>src/domain/performance/index.ts</t>
        </is>
      </c>
      <c r="D349" s="3" t="n">
        <v>568</v>
      </c>
      <c r="E349" s="3" t="inlineStr">
        <is>
          <t>3 · DEPENDENT</t>
        </is>
      </c>
      <c r="F349" s="3" t="inlineStr">
        <is>
          <t>Price return of a ticker over a period (decimal).</t>
        </is>
      </c>
      <c r="G349"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9"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9" s="3" t="inlineStr">
        <is>
          <t>READ FROM THE CODE — rendered from the expressions the function runs</t>
        </is>
      </c>
      <c r="J349" s="3" t="inlineStr">
        <is>
          <t>1. series: PriceSeries | null | undefined
2. period: Period
3. now = new Date()</t>
        </is>
      </c>
      <c r="K349" s="3" t="inlineStr">
        <is>
          <t>number | null</t>
        </is>
      </c>
      <c r="L349" s="3" t="inlineStr">
        <is>
          <t>—</t>
        </is>
      </c>
      <c r="M349" s="3" t="inlineStr">
        <is>
          <t>· Uses today's date from the device clock, so the answer changes by itself overnight.</t>
        </is>
      </c>
      <c r="N349" s="3" t="inlineStr">
        <is>
          <t>Yes</t>
        </is>
      </c>
      <c r="O349" s="3" t="inlineStr">
        <is>
          <t>1. MK-PF-F-029 closeAsOf
2. MK-PF-F-009 latestClose
3. MK-PF-F-008 startDateFor</t>
        </is>
      </c>
      <c r="P349" s="3" t="n">
        <v>3</v>
      </c>
      <c r="Q349" s="3" t="inlineStr">
        <is>
          <t>1. MK-PF-F-029 closeAsOf
2. MK-PF-F-009 latestClose
3. MK-PF-F-008 startDateFor</t>
        </is>
      </c>
      <c r="R349" s="3" t="inlineStr">
        <is>
          <t>1. MK-PF-F-029 closeAsOf → MK-PF-F-010 periodReturn
2. MK-PF-F-009 latestClose → MK-PF-F-010 periodReturn
3. MK-PF-F-008 startDateFor → MK-PF-F-010 periodReturn</t>
        </is>
      </c>
      <c r="S349" s="3" t="inlineStr">
        <is>
          <t>—</t>
        </is>
      </c>
      <c r="T349" s="3" t="inlineStr">
        <is>
          <t>PERIOD_RETURN</t>
        </is>
      </c>
      <c r="U349" s="3" t="inlineStr">
        <is>
          <t>ACTIVE</t>
        </is>
      </c>
      <c r="V349" s="3" t="inlineStr">
        <is>
          <t>2026-09-09</t>
        </is>
      </c>
      <c r="W349" s="3" t="n"/>
      <c r="X349" s="3" t="n"/>
      <c r="Y349" s="3" t="inlineStr">
        <is>
          <t>NOTHING OPEN</t>
        </is>
      </c>
    </row>
    <row r="350" ht="60" customHeight="1">
      <c r="A350" s="3" t="inlineStr">
        <is>
          <t>MK-PF-F-011</t>
        </is>
      </c>
      <c r="B350" s="3" t="inlineStr">
        <is>
          <t>periodReturnSince</t>
        </is>
      </c>
      <c r="C350" s="3" t="inlineStr">
        <is>
          <t>src/domain/performance/index.ts</t>
        </is>
      </c>
      <c r="D350" s="3" t="n">
        <v>609</v>
      </c>
      <c r="E350" s="3" t="inlineStr">
        <is>
          <t>2 · DISPLAYED</t>
        </is>
      </c>
      <c r="F350" s="3" t="inlineStr">
        <is>
          <t>Price return from an explicit start DATE to now (for purchase-capped windows).</t>
        </is>
      </c>
      <c r="G35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0" s="3" t="inlineStr">
        <is>
          <t>PARTLY READ — some of the code is still showing through; needs a hand pass</t>
        </is>
      </c>
      <c r="J350" s="3" t="inlineStr">
        <is>
          <t>1. series: PriceSeries | null | undefined
2. sinceISO: string
3. now = new Date()</t>
        </is>
      </c>
      <c r="K350" s="3" t="inlineStr">
        <is>
          <t>number | null</t>
        </is>
      </c>
      <c r="L350" s="3" t="inlineStr">
        <is>
          <t>NOT FOUND — a screen calls it, but the words printed beside its answer could not be traced automatically. Needs reading.</t>
        </is>
      </c>
      <c r="M350" s="3" t="inlineStr">
        <is>
          <t>· Uses today's date from the device clock, so the answer changes by itself overnight.</t>
        </is>
      </c>
      <c r="N350" s="3" t="inlineStr">
        <is>
          <t>Yes</t>
        </is>
      </c>
      <c r="O350" s="3" t="inlineStr">
        <is>
          <t>1. MK-PF-F-029 closeAsOf
2. MK-PF-F-009 latestClose</t>
        </is>
      </c>
      <c r="P350" s="3" t="n">
        <v>2</v>
      </c>
      <c r="Q350" s="3" t="inlineStr">
        <is>
          <t>1. MK-PF-F-029 closeAsOf
2. MK-PF-F-009 latestClose</t>
        </is>
      </c>
      <c r="R350" s="3" t="inlineStr">
        <is>
          <t>1. MK-PF-F-029 closeAsOf → MK-PF-F-011 periodReturnSince
2. MK-PF-F-009 latestClose → MK-PF-F-011 periodReturnSince</t>
        </is>
      </c>
      <c r="S350" s="3" t="inlineStr">
        <is>
          <t>—</t>
        </is>
      </c>
      <c r="T350" s="3" t="inlineStr">
        <is>
          <t>RETURN_SINCE_A_DATE</t>
        </is>
      </c>
      <c r="U350" s="3" t="inlineStr">
        <is>
          <t>ACTIVE</t>
        </is>
      </c>
      <c r="V350" s="3" t="inlineStr">
        <is>
          <t>2026-09-26</t>
        </is>
      </c>
      <c r="W350" s="3" t="n"/>
      <c r="X350" s="3" t="n"/>
      <c r="Y350" s="3" t="inlineStr">
        <is>
          <t>NOTHING OPEN</t>
        </is>
      </c>
    </row>
    <row r="351" ht="60" customHeight="1">
      <c r="A351" s="3" t="inlineStr">
        <is>
          <t>MK-PF-F-012</t>
        </is>
      </c>
      <c r="B351" s="3" t="inlineStr">
        <is>
          <t>earliestPurchaseDate</t>
        </is>
      </c>
      <c r="C351" s="3" t="inlineStr">
        <is>
          <t>src/domain/performance/index.ts</t>
        </is>
      </c>
      <c r="D351" s="3" t="n">
        <v>640</v>
      </c>
      <c r="E351" s="3" t="inlineStr">
        <is>
          <t>3 · DEPENDENT</t>
        </is>
      </c>
      <c r="F351" s="3" t="inlineStr">
        <is>
          <t>Earliest dated lot — the day this holding became YOUR money.</t>
        </is>
      </c>
      <c r="G351" s="11" t="inlineStr">
        <is>
          <t>dates = for each of lots (or none when missing): purchase date where ÷ ^\each{4}-\each{2}-\each{2} ÷ .test(each ?? '')
the answer:
the first 10 of dates.sort()[0]!   if count of dates
nothing   otherwise</t>
        </is>
      </c>
      <c r="H351" s="3" t="inlineStr">
        <is>
          <t>Dates is for each of lots (or none — when missing): purchase date where divided by ^\each{4}-\each{2}-\each{2} divided by .test(each ?? ''). The answer: the first 10 of dates.sort()[0]! — when how many dates there are; no answer — otherwise.</t>
        </is>
      </c>
      <c r="I351" s="3" t="inlineStr">
        <is>
          <t>PARTLY READ — some of the code is still showing through; needs a hand pass</t>
        </is>
      </c>
      <c r="J351" s="3" t="inlineStr">
        <is>
          <t>p: Position</t>
        </is>
      </c>
      <c r="K351" s="3" t="inlineStr">
        <is>
          <t>string | null</t>
        </is>
      </c>
      <c r="L351" s="3" t="inlineStr">
        <is>
          <t>—</t>
        </is>
      </c>
      <c r="M351" s="3" t="inlineStr">
        <is>
          <t>None found in this function — anything it assumes comes from the functions it depends on.</t>
        </is>
      </c>
      <c r="N351" s="3" t="inlineStr">
        <is>
          <t>Yes</t>
        </is>
      </c>
      <c r="O351" s="3" t="inlineStr">
        <is>
          <t>MK-CF-F-132 map</t>
        </is>
      </c>
      <c r="P351" s="3" t="n">
        <v>1</v>
      </c>
      <c r="Q351" s="3" t="inlineStr">
        <is>
          <t>MK-CF-F-132 map</t>
        </is>
      </c>
      <c r="R351" s="3" t="inlineStr">
        <is>
          <t>MK-CF-F-132 map → MK-PF-F-012 earliestPurchaseDate</t>
        </is>
      </c>
      <c r="S351" s="3" t="inlineStr">
        <is>
          <t>—</t>
        </is>
      </c>
      <c r="T351" s="3" t="inlineStr">
        <is>
          <t>HOLDING_FIRST_BOUGHT</t>
        </is>
      </c>
      <c r="U351" s="3" t="inlineStr">
        <is>
          <t>ACTIVE</t>
        </is>
      </c>
      <c r="V351" s="3" t="inlineStr">
        <is>
          <t>2026-08-27</t>
        </is>
      </c>
      <c r="W351" s="3" t="n"/>
      <c r="X351" s="3" t="n"/>
      <c r="Y351" s="3" t="inlineStr">
        <is>
          <t>NOTHING OPEN</t>
        </is>
      </c>
    </row>
    <row r="352" ht="60" customHeight="1">
      <c r="A352" s="3" t="inlineStr">
        <is>
          <t>MK-PF-F-013</t>
        </is>
      </c>
      <c r="B352" s="3" t="inlineStr">
        <is>
          <t>benchmarkTicker</t>
        </is>
      </c>
      <c r="C352" s="3" t="inlineStr">
        <is>
          <t>src/domain/performance/index.ts</t>
        </is>
      </c>
      <c r="D352" s="3" t="n">
        <v>690</v>
      </c>
      <c r="E352" s="3" t="inlineStr">
        <is>
          <t>2 · DISPLAYED</t>
        </is>
      </c>
      <c r="F352" s="3" t="inlineStr">
        <is>
          <t>What should this holding be compared against?</t>
        </is>
      </c>
      <c r="G352" s="11" t="inlineStr">
        <is>
          <t>BENCHMARK_TICKER[kind ?? ''] (or 'SPY' when missing)</t>
        </is>
      </c>
      <c r="H352" s="3" t="inlineStr">
        <is>
          <t>BENCHMARK_TICKER[kind ?? ''] (or 'SPY' — when missing).</t>
        </is>
      </c>
      <c r="I352" s="3" t="inlineStr">
        <is>
          <t>PARTLY READ — some of the code is still showing through; needs a hand pass</t>
        </is>
      </c>
      <c r="J352" s="3" t="inlineStr">
        <is>
          <t>kind?: string</t>
        </is>
      </c>
      <c r="K352" s="3" t="inlineStr">
        <is>
          <t>string</t>
        </is>
      </c>
      <c r="L352" s="3" t="inlineStr">
        <is>
          <t>1. "Name (optional)" — on the Performance screen
2. "You are" — on the Holding detail screen, under "VS THE STOCK MARKET
3. SAME DATES"</t>
        </is>
      </c>
      <c r="M352" s="3" t="inlineStr">
        <is>
          <t>None found in this function — anything it assumes comes from the functions it depends on.</t>
        </is>
      </c>
      <c r="N352" s="3" t="inlineStr">
        <is>
          <t>Yes</t>
        </is>
      </c>
      <c r="O352" s="3" t="inlineStr">
        <is>
          <t>MK-ST-F-053 money</t>
        </is>
      </c>
      <c r="P352" s="3" t="n">
        <v>6</v>
      </c>
      <c r="Q352" s="3" t="inlineStr">
        <is>
          <t>1. MK-ST-F-053 money
2. MK-ST-F-049 formatMoney
3. MK-XS-F-122 n
4. MK-ST-F-048 currencySymbol
5. MK-ST-F-039 on
6. MK-ST-F-047 activeCurrency</t>
        </is>
      </c>
      <c r="R35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2" s="3" t="inlineStr">
        <is>
          <t>—</t>
        </is>
      </c>
      <c r="T352" s="3" t="inlineStr">
        <is>
          <t>BENCHMARK_FOR_KIND</t>
        </is>
      </c>
      <c r="U352" s="3" t="inlineStr">
        <is>
          <t>ACTIVE</t>
        </is>
      </c>
      <c r="V352" s="3" t="inlineStr">
        <is>
          <t>2026-08-27</t>
        </is>
      </c>
      <c r="W352" s="3" t="n"/>
      <c r="X352" s="3" t="n"/>
      <c r="Y352" s="3" t="inlineStr">
        <is>
          <t>NOTHING OPEN</t>
        </is>
      </c>
    </row>
    <row r="353" ht="60" customHeight="1">
      <c r="A353" s="3" t="inlineStr">
        <is>
          <t>MK-PF-F-014</t>
        </is>
      </c>
      <c r="B353" s="3" t="inlineStr">
        <is>
          <t>buildPerformance</t>
        </is>
      </c>
      <c r="C353" s="3" t="inlineStr">
        <is>
          <t>src/domain/performance/index.ts</t>
        </is>
      </c>
      <c r="D353" s="3" t="n">
        <v>742</v>
      </c>
      <c r="E353" s="3" t="inlineStr">
        <is>
          <t>2 · DISPLAYED</t>
        </is>
      </c>
      <c r="F353" s="3" t="inlineStr">
        <is>
          <t>Build the per-holding rows for a period from positions + a price-series lookup.</t>
        </is>
      </c>
      <c r="G353"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3"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NOT FOUND — a screen calls it, but the words printed beside its answer could not be traced automatically. Needs reading.</t>
        </is>
      </c>
      <c r="M353" s="3" t="inlineStr">
        <is>
          <t>· Uses today's date from the device clock, so the answer changes by itself overnight.</t>
        </is>
      </c>
      <c r="N353" s="3" t="inlineStr">
        <is>
          <t>Yes</t>
        </is>
      </c>
      <c r="O35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3" s="3" t="n">
        <v>116</v>
      </c>
      <c r="Q353"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5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3" s="3" t="inlineStr">
        <is>
          <t>—</t>
        </is>
      </c>
      <c r="T353" s="3" t="inlineStr">
        <is>
          <t>PERFORMANCE_TABLE</t>
        </is>
      </c>
      <c r="U353" s="3" t="inlineStr">
        <is>
          <t>ACTIVE</t>
        </is>
      </c>
      <c r="V353" s="3" t="inlineStr">
        <is>
          <t>2026-08-27</t>
        </is>
      </c>
      <c r="W353" s="3" t="n"/>
      <c r="X353" s="3" t="n"/>
      <c r="Y353" s="3" t="inlineStr">
        <is>
          <t>NOTHING OPEN</t>
        </is>
      </c>
    </row>
    <row r="354" ht="60" customHeight="1">
      <c r="A354" s="3" t="inlineStr">
        <is>
          <t>MK-PF-F-015</t>
        </is>
      </c>
      <c r="B354" s="3" t="inlineStr">
        <is>
          <t>topHoldingConcentration</t>
        </is>
      </c>
      <c r="C354" s="3" t="inlineStr">
        <is>
          <t>src/domain/performance/index.ts</t>
        </is>
      </c>
      <c r="D354" s="3" t="n">
        <v>800</v>
      </c>
      <c r="E354" s="3" t="inlineStr">
        <is>
          <t>2 · DISPLAYED</t>
        </is>
      </c>
      <c r="F354" s="3" t="inlineStr">
        <is>
          <t>The holding-concentration FACT (Invest main + the insights function share this one rule): the largest single holding as a % of invested money, reported only at 25%+ with 2+ holdings — below that it isn't a fact worth a card.</t>
        </is>
      </c>
      <c r="G354"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4"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4" s="3" t="inlineStr">
        <is>
          <t>PARTLY READ — some of the code is still showing through; needs a hand pass</t>
        </is>
      </c>
      <c r="J354" s="3" t="inlineStr">
        <is>
          <t>rows: PerformanceRow[]</t>
        </is>
      </c>
      <c r="K354" s="3" t="inlineStr">
        <is>
          <t>NOT DECLARED — the code does not say what it gives back</t>
        </is>
      </c>
      <c r="L354" s="3" t="inlineStr">
        <is>
          <t>NOT FOUND — a screen calls it, but the words printed beside its answer could not be traced automatically. Needs reading.</t>
        </is>
      </c>
      <c r="M354" s="3" t="inlineStr">
        <is>
          <t>· Rounds the answer to a whole number.</t>
        </is>
      </c>
      <c r="N354" s="3" t="inlineStr">
        <is>
          <t>Yes</t>
        </is>
      </c>
      <c r="O354" s="3" t="inlineStr">
        <is>
          <t>MK-PF-F-004 marketValue</t>
        </is>
      </c>
      <c r="P354" s="3" t="n">
        <v>3</v>
      </c>
      <c r="Q354" s="3" t="inlineStr">
        <is>
          <t>1. MK-PF-F-004 marketValue
2. MK-PF-F-031 contractMultiplier
3. MK-PF-F-001 totalShares</t>
        </is>
      </c>
      <c r="R354" s="3" t="inlineStr">
        <is>
          <t>1. MK-PF-F-031 contractMultiplier → MK-PF-F-004 marketValue → MK-PF-F-015 topHoldingConcentration
2. MK-PF-F-001 totalShares → MK-PF-F-004 marketValue → MK-PF-F-015 topHoldingConcentration</t>
        </is>
      </c>
      <c r="S354" s="3" t="inlineStr">
        <is>
          <t>—</t>
        </is>
      </c>
      <c r="T354" s="3" t="inlineStr">
        <is>
          <t>CONCENTRATION</t>
        </is>
      </c>
      <c r="U354" s="3" t="inlineStr">
        <is>
          <t>ACTIVE</t>
        </is>
      </c>
      <c r="V354" s="3" t="inlineStr">
        <is>
          <t>2026-08-27</t>
        </is>
      </c>
      <c r="W354" s="3" t="n"/>
      <c r="X354" s="3" t="n"/>
      <c r="Y354" s="3" t="inlineStr">
        <is>
          <t>NOTHING OPEN</t>
        </is>
      </c>
    </row>
    <row r="355" ht="60" customHeight="1">
      <c r="A355" s="3" t="inlineStr">
        <is>
          <t>MK-PF-F-016</t>
        </is>
      </c>
      <c r="B355" s="3" t="inlineStr">
        <is>
          <t>attribution</t>
        </is>
      </c>
      <c r="C355" s="3" t="inlineStr">
        <is>
          <t>src/domain/performance/index.ts</t>
        </is>
      </c>
      <c r="D355" s="3" t="n">
        <v>826</v>
      </c>
      <c r="E355" s="3" t="inlineStr">
        <is>
          <t>3 · DEPENDENT (feeds an action only)</t>
        </is>
      </c>
      <c r="F355" s="3" t="inlineStr">
        <is>
          <t>Per-holding contribution to the portfolio's period return = weight × the holding's return (pts).</t>
        </is>
      </c>
      <c r="G355" s="11" t="inlineStr">
        <is>
          <t>total = Σ over rows of (market value)
[]   when total ≤ 0</t>
        </is>
      </c>
      <c r="H355" s="3" t="inlineStr">
        <is>
          <t>Total: the market value added up across rows. When total is at most 0, it answers [].</t>
        </is>
      </c>
      <c r="I355" s="3" t="inlineStr">
        <is>
          <t>READ FROM THE CODE — rendered from the expressions the function runs</t>
        </is>
      </c>
      <c r="J355" s="3" t="inlineStr">
        <is>
          <t>rows: PerformanceRow[]</t>
        </is>
      </c>
      <c r="K355" s="3" t="inlineStr">
        <is>
          <t>NOT DECLARED — the code does not say what it gives back</t>
        </is>
      </c>
      <c r="L355" s="3" t="inlineStr">
        <is>
          <t>—</t>
        </is>
      </c>
      <c r="M355" s="3" t="inlineStr">
        <is>
          <t>None found in this function — anything it assumes comes from the functions it depends on.</t>
        </is>
      </c>
      <c r="N355" s="3" t="inlineStr">
        <is>
          <t>No</t>
        </is>
      </c>
      <c r="O355" s="3" t="inlineStr">
        <is>
          <t>1. MK-CF-F-132 map
2. MK-PF-F-004 marketValue</t>
        </is>
      </c>
      <c r="P355" s="3" t="n">
        <v>4</v>
      </c>
      <c r="Q355" s="3" t="inlineStr">
        <is>
          <t>1. MK-CF-F-132 map
2. MK-PF-F-004 marketValue
3. MK-PF-F-031 contractMultiplier
4. MK-PF-F-001 totalShares</t>
        </is>
      </c>
      <c r="R355" s="3" t="inlineStr">
        <is>
          <t>1. MK-CF-F-132 map → MK-PF-F-016 attribution
2. MK-PF-F-031 contractMultiplier → MK-PF-F-004 marketValue → MK-PF-F-016 attribution
3. MK-PF-F-001 totalShares → MK-PF-F-004 marketValue → MK-PF-F-016 attribution</t>
        </is>
      </c>
      <c r="S355" s="3" t="inlineStr">
        <is>
          <t>—</t>
        </is>
      </c>
      <c r="T355" s="3" t="inlineStr">
        <is>
          <t>WHAT_DROVE_THE_RETURN</t>
        </is>
      </c>
      <c r="U355" s="3" t="inlineStr">
        <is>
          <t>ACTIVE</t>
        </is>
      </c>
      <c r="V355" s="3" t="inlineStr">
        <is>
          <t>2026-09-25</t>
        </is>
      </c>
      <c r="W355" s="3" t="n"/>
      <c r="X355" s="3" t="n"/>
      <c r="Y355" s="3" t="inlineStr">
        <is>
          <t>NOTHING OPEN</t>
        </is>
      </c>
    </row>
    <row r="356" ht="60" customHeight="1">
      <c r="A356" s="3" t="inlineStr">
        <is>
          <t>MK-PF-F-017</t>
        </is>
      </c>
      <c r="B356" s="3" t="inlineStr">
        <is>
          <t>allocation</t>
        </is>
      </c>
      <c r="C356" s="3" t="inlineStr">
        <is>
          <t>src/domain/performance/index.ts</t>
        </is>
      </c>
      <c r="D356" s="3" t="n">
        <v>862</v>
      </c>
      <c r="E356" s="3" t="inlineStr">
        <is>
          <t>3 · DEPENDENT (feeds an action only)</t>
        </is>
      </c>
      <c r="F356" s="3" t="inlineStr">
        <is>
          <t>How is my invested money spread?</t>
        </is>
      </c>
      <c r="G356" s="11" t="inlineStr">
        <is>
          <t>by kind = {}
total = Σ over object.values(by kind) of (each)+ max(0, cash)
[]   when total ≤ 0
slices = for each of object.entries(by kind): [key, v]) =&gt; ({ key, value: (v), pct: math.round((v ÷ total) × 1000) ÷ 10 }
the answer = slices.sort((a, b) =&gt; value − value)</t>
        </is>
      </c>
      <c r="H356"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6" s="3" t="inlineStr">
        <is>
          <t>PARTLY READ — some of the code is still showing through; needs a hand pass</t>
        </is>
      </c>
      <c r="J356" s="3" t="inlineStr">
        <is>
          <t>1. rows: PerformanceRow[]
2. cash = 0</t>
        </is>
      </c>
      <c r="K356" s="3" t="inlineStr">
        <is>
          <t>AllocSlice[]</t>
        </is>
      </c>
      <c r="L356" s="3" t="inlineStr">
        <is>
          <t>—</t>
        </is>
      </c>
      <c r="M356" s="3" t="inlineStr">
        <is>
          <t>1. If by kind[k] is missing it counts as zero, so nothing recorded and a real zero look the same.
2. Never lets cash fall below 0.</t>
        </is>
      </c>
      <c r="N356" s="3" t="inlineStr">
        <is>
          <t>No</t>
        </is>
      </c>
      <c r="O356" s="3" t="inlineStr">
        <is>
          <t>1. MK-CF-F-155 cash
2. MK-CF-F-132 map</t>
        </is>
      </c>
      <c r="P356" s="3" t="n">
        <v>3</v>
      </c>
      <c r="Q356" s="3" t="inlineStr">
        <is>
          <t>1. MK-CF-F-155 cash
2. MK-CF-F-132 map
3. MK-XS-F-122 n</t>
        </is>
      </c>
      <c r="R356" s="3" t="inlineStr">
        <is>
          <t>1. MK-XS-F-122 n → MK-CF-F-155 cash → MK-PF-F-017 allocation
2. MK-CF-F-132 map → MK-PF-F-017 allocation</t>
        </is>
      </c>
      <c r="S356" s="3" t="inlineStr">
        <is>
          <t>—</t>
        </is>
      </c>
      <c r="T356" s="3" t="inlineStr">
        <is>
          <t>ALLOCATION_BY_HOLDING_KIND</t>
        </is>
      </c>
      <c r="U356" s="3" t="inlineStr">
        <is>
          <t>ACTIVE</t>
        </is>
      </c>
      <c r="V356" s="3" t="inlineStr">
        <is>
          <t>2026-09-25</t>
        </is>
      </c>
      <c r="W356" s="3" t="n"/>
      <c r="X356" s="3" t="n"/>
      <c r="Y356" s="3" t="inlineStr">
        <is>
          <t>NOTHING OPEN</t>
        </is>
      </c>
    </row>
    <row r="357" ht="60" customHeight="1">
      <c r="A357" s="3" t="inlineStr">
        <is>
          <t>MK-PF-F-018</t>
        </is>
      </c>
      <c r="B357" s="3" t="inlineStr">
        <is>
          <t>portfolioTrend</t>
        </is>
      </c>
      <c r="C357" s="3" t="inlineStr">
        <is>
          <t>src/domain/performance/index.ts</t>
        </is>
      </c>
      <c r="D357" s="3" t="n">
        <v>907</v>
      </c>
      <c r="E357" s="3" t="inlineStr">
        <is>
          <t>3 · DEPENDENT (feeds an action only)</t>
        </is>
      </c>
      <c r="F357" s="3" t="inlineStr">
        <is>
          <t>How has my portfolio moved over the period, against its benchmark?</t>
        </is>
      </c>
      <c r="G357"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7"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t>
        </is>
      </c>
      <c r="M357" s="3" t="inlineStr">
        <is>
          <t>1. Uses a built-in n of 12.
2. Uses today's date from the device clock, so the answer changes by itself overnight.</t>
        </is>
      </c>
      <c r="N357" s="3" t="inlineStr">
        <is>
          <t>No</t>
        </is>
      </c>
      <c r="O357" s="3" t="inlineStr">
        <is>
          <t>1. MK-PF-F-029 closeAsOf
2. MK-CF-F-132 map
3. MK-PF-F-008 startDateFor
4. MK-PF-F-001 totalShares</t>
        </is>
      </c>
      <c r="P357" s="3" t="n">
        <v>4</v>
      </c>
      <c r="Q357" s="3" t="inlineStr">
        <is>
          <t>1. MK-PF-F-029 closeAsOf
2. MK-CF-F-132 map
3. MK-PF-F-008 startDateFor
4. MK-PF-F-001 totalShares</t>
        </is>
      </c>
      <c r="R357" s="3" t="inlineStr">
        <is>
          <t>1. MK-PF-F-029 closeAsOf → MK-PF-F-018 portfolioTrend
2. MK-CF-F-132 map → MK-PF-F-018 portfolioTrend
3. MK-PF-F-008 startDateFor → MK-PF-F-018 portfolioTrend
4. MK-PF-F-001 totalShares → MK-PF-F-018 portfolioTrend</t>
        </is>
      </c>
      <c r="S357" s="3" t="inlineStr">
        <is>
          <t>—</t>
        </is>
      </c>
      <c r="T357" s="3" t="inlineStr">
        <is>
          <t>PORTFOLIO_TREND_LINE</t>
        </is>
      </c>
      <c r="U357" s="3" t="inlineStr">
        <is>
          <t>ACTIVE</t>
        </is>
      </c>
      <c r="V357" s="3" t="inlineStr">
        <is>
          <t>2026-09-25</t>
        </is>
      </c>
      <c r="W357" s="3" t="n"/>
      <c r="X357" s="3" t="n"/>
      <c r="Y357" s="3" t="inlineStr">
        <is>
          <t>NOTHING OPEN</t>
        </is>
      </c>
    </row>
    <row r="358" ht="60" customHeight="1">
      <c r="A358" s="3" t="inlineStr">
        <is>
          <t>MK-PF-F-019</t>
        </is>
      </c>
      <c r="B358" s="3" t="inlineStr">
        <is>
          <t>portfolioPeriodReturn</t>
        </is>
      </c>
      <c r="C358" s="3" t="inlineStr">
        <is>
          <t>src/domain/performance/index.ts</t>
        </is>
      </c>
      <c r="D358" s="3" t="n">
        <v>954</v>
      </c>
      <c r="E358" s="3" t="inlineStr">
        <is>
          <t>3 · DEPENDENT (feeds an action only)</t>
        </is>
      </c>
      <c r="F358" s="3" t="inlineStr">
        <is>
          <t>Value-weighted portfolio period return across holdings that have one (decimal), or null.</t>
        </is>
      </c>
      <c r="G358" s="11" t="inlineStr">
        <is>
          <t>usable = rows where period return ≠ nothing and market value &gt; 0
total = Σ over usable of (market value)
nothing   when total ≤ 0
the answer = Σ over usable of ((period return as number) × market value)÷ total</t>
        </is>
      </c>
      <c r="H358"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8" s="3" t="inlineStr">
        <is>
          <t>READ FROM THE CODE — rendered from the expressions the function runs</t>
        </is>
      </c>
      <c r="J358" s="3" t="inlineStr">
        <is>
          <t>rows: PerformanceRow[]</t>
        </is>
      </c>
      <c r="K358" s="3" t="inlineStr">
        <is>
          <t>number | null</t>
        </is>
      </c>
      <c r="L358" s="3" t="inlineStr">
        <is>
          <t>—</t>
        </is>
      </c>
      <c r="M358" s="3" t="inlineStr">
        <is>
          <t>· Second verification G18, 2026-09-08: this is the value-weighted average of holding returns, not a Dietz return.</t>
        </is>
      </c>
      <c r="N358" s="3" t="inlineStr">
        <is>
          <t>No</t>
        </is>
      </c>
      <c r="O358" s="3" t="inlineStr">
        <is>
          <t>MK-PF-F-004 marketValue</t>
        </is>
      </c>
      <c r="P358" s="3" t="n">
        <v>3</v>
      </c>
      <c r="Q358" s="3" t="inlineStr">
        <is>
          <t>1. MK-PF-F-004 marketValue
2. MK-PF-F-031 contractMultiplier
3. MK-PF-F-001 totalShares</t>
        </is>
      </c>
      <c r="R358" s="3" t="inlineStr">
        <is>
          <t>1. MK-PF-F-031 contractMultiplier → MK-PF-F-004 marketValue → MK-PF-F-019 portfolioPeriodReturn
2. MK-PF-F-001 totalShares → MK-PF-F-004 marketValue → MK-PF-F-019 portfolioPeriodReturn</t>
        </is>
      </c>
      <c r="S358" s="3" t="inlineStr">
        <is>
          <t>—</t>
        </is>
      </c>
      <c r="T358" s="3" t="inlineStr">
        <is>
          <t>VALUE_WEIGHTED_RETURN</t>
        </is>
      </c>
      <c r="U358" s="3" t="inlineStr">
        <is>
          <t>ACTIVE</t>
        </is>
      </c>
      <c r="V358" s="3" t="inlineStr">
        <is>
          <t>2026-09-30</t>
        </is>
      </c>
      <c r="W358" s="3" t="n"/>
      <c r="X358" s="3" t="n"/>
      <c r="Y358" s="6" t="inlineStr">
        <is>
          <t>TESTED, NOT VERIFIED (C1, G18)</t>
        </is>
      </c>
    </row>
    <row r="359" ht="60" customHeight="1">
      <c r="A359" s="3" t="inlineStr">
        <is>
          <t>MK-PF-F-020</t>
        </is>
      </c>
      <c r="B359" s="3" t="inlineStr">
        <is>
          <t>portfolioBenchReturn</t>
        </is>
      </c>
      <c r="C359" s="3" t="inlineStr">
        <is>
          <t>src/domain/performance/index.ts</t>
        </is>
      </c>
      <c r="D359" s="3" t="n">
        <v>985</v>
      </c>
      <c r="E359" s="3" t="inlineStr">
        <is>
          <t>2 · DISPLAYED</t>
        </is>
      </c>
      <c r="F359" s="3" t="inlineStr">
        <is>
          <t>Value-weighted benchmark ("the market, matched to your mix") return across holdings that have one (decimal), or null.</t>
        </is>
      </c>
      <c r="G359" s="11" t="inlineStr">
        <is>
          <t>usable = rows where bench return ≠ nothing and market value &gt; 0
total = Σ over usable of (market value)
nothing   when total ≤ 0
the answer = Σ over usable of ((bench return as number) × market value)÷ total</t>
        </is>
      </c>
      <c r="H359"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9" s="3" t="inlineStr">
        <is>
          <t>READ FROM THE CODE — rendered from the expressions the function runs</t>
        </is>
      </c>
      <c r="J359" s="3" t="inlineStr">
        <is>
          <t>rows: PerformanceRow[]</t>
        </is>
      </c>
      <c r="K359" s="3" t="inlineStr">
        <is>
          <t>number | null</t>
        </is>
      </c>
      <c r="L359" s="3" t="inlineStr">
        <is>
          <t>NOT FOUND — a screen calls it, but the words printed beside its answer could not be traced automatically. Needs reading.</t>
        </is>
      </c>
      <c r="M359" s="3" t="inlineStr">
        <is>
          <t>None found in this function — anything it assumes comes from the functions it depends on.</t>
        </is>
      </c>
      <c r="N359" s="3" t="inlineStr">
        <is>
          <t>Yes</t>
        </is>
      </c>
      <c r="O359" s="3" t="inlineStr">
        <is>
          <t>MK-PF-F-004 marketValue</t>
        </is>
      </c>
      <c r="P359" s="3" t="n">
        <v>3</v>
      </c>
      <c r="Q359" s="3" t="inlineStr">
        <is>
          <t>1. MK-PF-F-004 marketValue
2. MK-PF-F-031 contractMultiplier
3. MK-PF-F-001 totalShares</t>
        </is>
      </c>
      <c r="R359" s="3" t="inlineStr">
        <is>
          <t>1. MK-PF-F-031 contractMultiplier → MK-PF-F-004 marketValue → MK-PF-F-020 portfolioBenchReturn
2. MK-PF-F-001 totalShares → MK-PF-F-004 marketValue → MK-PF-F-020 portfolioBenchReturn</t>
        </is>
      </c>
      <c r="S359" s="3" t="inlineStr">
        <is>
          <t>—</t>
        </is>
      </c>
      <c r="T359" s="3" t="inlineStr">
        <is>
          <t>BENCHMARK_RETURN_BLENDED</t>
        </is>
      </c>
      <c r="U359" s="3" t="inlineStr">
        <is>
          <t>ACTIVE</t>
        </is>
      </c>
      <c r="V359" s="3" t="inlineStr">
        <is>
          <t>2026-08-27</t>
        </is>
      </c>
      <c r="W359" s="3" t="n"/>
      <c r="X359" s="3" t="n"/>
      <c r="Y359" s="3" t="inlineStr">
        <is>
          <t>NOTHING OPEN</t>
        </is>
      </c>
    </row>
    <row r="360" ht="60" customHeight="1">
      <c r="A360" s="3" t="inlineStr">
        <is>
          <t>MK-PF-F-021</t>
        </is>
      </c>
      <c r="B360" s="3" t="inlineStr">
        <is>
          <t>periodDollarDelta</t>
        </is>
      </c>
      <c r="C360" s="3" t="inlineStr">
        <is>
          <t>src/domain/performance/index.ts</t>
        </is>
      </c>
      <c r="D360" s="3" t="n">
        <v>1015</v>
      </c>
      <c r="E360" s="3" t="inlineStr">
        <is>
          <t>3 · DEPENDENT (feeds an action only)</t>
        </is>
      </c>
      <c r="F360" s="3" t="inlineStr">
        <is>
          <t>The DOLLAR change implied by a period return on today's total — the approved Home hero shows "up $11,200 (1.4%) this month": dollars AND percent from the SAME measured return, so the two figures can never disagree (one concept, one source).</t>
        </is>
      </c>
      <c r="G360" s="11" t="inlineStr">
        <is>
          <t>0   when !number.is finite(current total) (or !number.is finite(period return) (or period return ≤ -1 when missing or zero) when missing or zero)
round(current total × period return ÷ (1 + period return))</t>
        </is>
      </c>
      <c r="H360" s="3" t="inlineStr">
        <is>
          <t>When !number.is finite(current total) (or !number.is finite(period return) (or period return is at most -1 — when missing or zero) — when missing or zero), it answers 0. current total times period return divided by (1 plus period return, to a whole number).</t>
        </is>
      </c>
      <c r="I360" s="3" t="inlineStr">
        <is>
          <t>PARTLY READ — some of the code is still showing through; needs a hand pass</t>
        </is>
      </c>
      <c r="J360" s="3" t="inlineStr">
        <is>
          <t>1. currentTotal: number
2. periodReturn: number</t>
        </is>
      </c>
      <c r="K360" s="3" t="inlineStr">
        <is>
          <t>number</t>
        </is>
      </c>
      <c r="L360" s="3" t="inlineStr">
        <is>
          <t>—</t>
        </is>
      </c>
      <c r="M360" s="3" t="inlineStr">
        <is>
          <t>· Rounds the answer to a whole number.</t>
        </is>
      </c>
      <c r="N360" s="3" t="inlineStr">
        <is>
          <t>No</t>
        </is>
      </c>
      <c r="O360" s="3" t="inlineStr">
        <is>
          <t>MK-PF-F-010 periodReturn</t>
        </is>
      </c>
      <c r="P360" s="3" t="n">
        <v>4</v>
      </c>
      <c r="Q360" s="3" t="inlineStr">
        <is>
          <t>1. MK-PF-F-010 periodReturn
2. MK-PF-F-029 closeAsOf
3. MK-PF-F-009 latestClose
4. MK-PF-F-008 startDateFor</t>
        </is>
      </c>
      <c r="R360" s="3" t="inlineStr">
        <is>
          <t>1. MK-PF-F-029 closeAsOf → MK-PF-F-010 periodReturn → MK-PF-F-021 periodDollarDelta
2. MK-PF-F-009 latestClose → MK-PF-F-010 periodReturn → MK-PF-F-021 periodDollarDelta
3. MK-PF-F-008 startDateFor → MK-PF-F-010 periodReturn → MK-PF-F-021 periodDollarDelta</t>
        </is>
      </c>
      <c r="S360" s="3" t="inlineStr">
        <is>
          <t>—</t>
        </is>
      </c>
      <c r="T360" s="3" t="inlineStr">
        <is>
          <t>—</t>
        </is>
      </c>
      <c r="U360" s="3" t="inlineStr">
        <is>
          <t>ACTIVE</t>
        </is>
      </c>
      <c r="V360" s="3" t="inlineStr">
        <is>
          <t>2026-09-30</t>
        </is>
      </c>
      <c r="W360" s="3" t="n"/>
      <c r="X360" s="3" t="n"/>
      <c r="Y360" s="3" t="inlineStr">
        <is>
          <t>NOTHING OPEN</t>
        </is>
      </c>
    </row>
    <row r="361" ht="60" customHeight="1">
      <c r="A361" s="3" t="inlineStr">
        <is>
          <t>MK-PF-F-022</t>
        </is>
      </c>
      <c r="B361" s="3" t="inlineStr">
        <is>
          <t>factorOverMonths</t>
        </is>
      </c>
      <c r="C361" s="3" t="inlineStr">
        <is>
          <t>src/domain/performance/lookBack.ts</t>
        </is>
      </c>
      <c r="D361" s="3" t="n">
        <v>49</v>
      </c>
      <c r="E361" s="3" t="inlineStr">
        <is>
          <t>3 · DEPENDENT</t>
        </is>
      </c>
      <c r="F361" s="3" t="inlineStr">
        <is>
          <t>Price factor over the trailing window: last close ÷ the close at (now − months).</t>
        </is>
      </c>
      <c r="G361"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1"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1" s="3" t="inlineStr">
        <is>
          <t>READ BY HAND 2026-08-26 — checked line by line against the code</t>
        </is>
      </c>
      <c r="J361" s="3" t="inlineStr">
        <is>
          <t>1. series: PriceSeries | null | undefined
2. months: number
3. now: Date = new Date()</t>
        </is>
      </c>
      <c r="K361" s="3" t="inlineStr">
        <is>
          <t>number | null</t>
        </is>
      </c>
      <c r="L361" s="3" t="inlineStr">
        <is>
          <t>—</t>
        </is>
      </c>
      <c r="M361" s="3" t="inlineStr">
        <is>
          <t>1. Uses today's date from the device clock, so the answer changes by itself overnight.
2. The window boundary is a LOCAL calendar date (the person's own day), so the answer is the same in every timezone (TZ-1, 2026-09-08).</t>
        </is>
      </c>
      <c r="N361" s="3" t="inlineStr">
        <is>
          <t>Yes</t>
        </is>
      </c>
      <c r="O361" s="3" t="inlineStr">
        <is>
          <t>MK-ST-F-065 isoLocalDate</t>
        </is>
      </c>
      <c r="P361" s="3" t="n">
        <v>1</v>
      </c>
      <c r="Q361" s="3" t="inlineStr">
        <is>
          <t>MK-ST-F-065 isoLocalDate</t>
        </is>
      </c>
      <c r="R361" s="3" t="inlineStr">
        <is>
          <t>MK-ST-F-065 isoLocalDate → MK-PF-F-022 factorOverMonths</t>
        </is>
      </c>
      <c r="S361" s="3" t="inlineStr">
        <is>
          <t>—</t>
        </is>
      </c>
      <c r="T361" s="3" t="inlineStr">
        <is>
          <t>PRICE_FACTOR_OVER_WINDOW</t>
        </is>
      </c>
      <c r="U361" s="3" t="inlineStr">
        <is>
          <t>ACTIVE</t>
        </is>
      </c>
      <c r="V361" s="3" t="inlineStr">
        <is>
          <t>2026-09-08</t>
        </is>
      </c>
      <c r="W361" s="3" t="n"/>
      <c r="X361" s="3" t="n"/>
      <c r="Y361" s="6" t="inlineStr">
        <is>
          <t>TESTED, NOT VERIFIED (TZ-1)</t>
        </is>
      </c>
    </row>
    <row r="362" ht="60" customHeight="1">
      <c r="A362" s="3" t="inlineStr">
        <is>
          <t>MK-PF-F-023</t>
        </is>
      </c>
      <c r="B362" s="3" t="inlineStr">
        <is>
          <t>lookBack</t>
        </is>
      </c>
      <c r="C362" s="3" t="inlineStr">
        <is>
          <t>src/domain/performance/lookBack.ts</t>
        </is>
      </c>
      <c r="D362" s="3" t="n">
        <v>97</v>
      </c>
      <c r="E362" s="3" t="inlineStr">
        <is>
          <t>3 · DEPENDENT</t>
        </is>
      </c>
      <c r="F362" s="3" t="inlineStr">
        <is>
          <t>What if I had moved this money?</t>
        </is>
      </c>
      <c r="G362"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2"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2" s="3" t="inlineStr">
        <is>
          <t>READ FROM THE CODE — rendered from the expressions the function runs</t>
        </is>
      </c>
      <c r="J362" s="3" t="inlineStr">
        <is>
          <t>1. amount: number
2. fromSeries: PriceSeries | null | undefined
3. toSeries: PriceSeries | null | undefined
4. months: number
5. now: Date = new Date()</t>
        </is>
      </c>
      <c r="K362" s="3" t="inlineStr">
        <is>
          <t>LookBackResult | null</t>
        </is>
      </c>
      <c r="L362" s="3" t="inlineStr">
        <is>
          <t>—</t>
        </is>
      </c>
      <c r="M362" s="3" t="inlineStr">
        <is>
          <t>· Uses today's date from the device clock, so the answer changes by itself overnight.</t>
        </is>
      </c>
      <c r="N362" s="3" t="inlineStr">
        <is>
          <t>Yes</t>
        </is>
      </c>
      <c r="O362" s="3" t="inlineStr">
        <is>
          <t>MK-PF-F-022 factorOverMonths</t>
        </is>
      </c>
      <c r="P362" s="3" t="n">
        <v>2</v>
      </c>
      <c r="Q362" s="3" t="inlineStr">
        <is>
          <t>1. MK-PF-F-022 factorOverMonths
2. MK-ST-F-065 isoLocalDate</t>
        </is>
      </c>
      <c r="R362" s="3" t="inlineStr">
        <is>
          <t>MK-ST-F-065 isoLocalDate → MK-PF-F-022 factorOverMonths → MK-PF-F-023 lookBack</t>
        </is>
      </c>
      <c r="S362" s="3" t="inlineStr">
        <is>
          <t>—</t>
        </is>
      </c>
      <c r="T362" s="3" t="inlineStr">
        <is>
          <t>LOOK_BACK</t>
        </is>
      </c>
      <c r="U362" s="3" t="inlineStr">
        <is>
          <t>ACTIVE</t>
        </is>
      </c>
      <c r="V362" s="3" t="inlineStr">
        <is>
          <t>2026-09-28</t>
        </is>
      </c>
      <c r="W362" s="3" t="n"/>
      <c r="X362" s="3" t="n"/>
      <c r="Y362" s="3" t="inlineStr">
        <is>
          <t>NOTHING OPEN</t>
        </is>
      </c>
    </row>
    <row r="363" ht="60" customHeight="1">
      <c r="A363" s="3" t="inlineStr">
        <is>
          <t>MK-PF-F-024</t>
        </is>
      </c>
      <c r="B363" s="3" t="inlineStr">
        <is>
          <t>userFlows</t>
        </is>
      </c>
      <c r="C363" s="3" t="inlineStr">
        <is>
          <t>src/domain/performance/moneyWeighted.ts</t>
        </is>
      </c>
      <c r="D363" s="3" t="n">
        <v>61</v>
      </c>
      <c r="E363" s="3" t="inlineStr">
        <is>
          <t>3 · DEPENDENT</t>
        </is>
      </c>
      <c r="F363" s="3" t="inlineStr">
        <is>
          <t>The user's dated flows for a measured set of accounts, investor-sign convention: money the user PUT IN is negative, money TAKEN OUT is positive.</t>
        </is>
      </c>
      <c r="G363" s="11" t="inlineStr">
        <is>
          <t>flows = []
in set = account ids.has(string(account id))
counter in set = counter account id ≠ nothing and account ids.has(string(counter account id))
when = date.parse(string(date))
the answer = flows where size of(amount) &gt; 0.004.sort((a, b) =&gt; date − date)</t>
        </is>
      </c>
      <c r="H363"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63" s="3" t="inlineStr">
        <is>
          <t>PARTLY READ — some of the code is still showing through; needs a hand pass</t>
        </is>
      </c>
      <c r="J363" s="3" t="inlineStr">
        <is>
          <t>1. transactions: Transaction[]
2. accountIds: Set&lt;string&gt;</t>
        </is>
      </c>
      <c r="K363" s="3" t="inlineStr">
        <is>
          <t>NOT DECLARED — the code does not say what it gives back</t>
        </is>
      </c>
      <c r="L363" s="3" t="inlineStr">
        <is>
          <t>—</t>
        </is>
      </c>
      <c r="M363"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63" s="3" t="inlineStr">
        <is>
          <t>Yes</t>
        </is>
      </c>
      <c r="O363" s="3" t="inlineStr">
        <is>
          <t>MK-ST-F-056 has</t>
        </is>
      </c>
      <c r="P363" s="3" t="n">
        <v>1</v>
      </c>
      <c r="Q363" s="3" t="inlineStr">
        <is>
          <t>MK-ST-F-056 has</t>
        </is>
      </c>
      <c r="R363" s="3" t="inlineStr">
        <is>
          <t>MK-ST-F-056 has → MK-PF-F-024 userFlows</t>
        </is>
      </c>
      <c r="S363" s="3" t="inlineStr">
        <is>
          <t>—</t>
        </is>
      </c>
      <c r="T363" s="3" t="inlineStr">
        <is>
          <t>PERSONAL_FLOWS</t>
        </is>
      </c>
      <c r="U363" s="3" t="inlineStr">
        <is>
          <t>ACTIVE</t>
        </is>
      </c>
      <c r="V363" s="3" t="inlineStr">
        <is>
          <t>2026-09-30</t>
        </is>
      </c>
      <c r="W363" s="3" t="n"/>
      <c r="X363" s="3" t="n"/>
      <c r="Y363" s="3" t="inlineStr">
        <is>
          <t>NOTHING OPEN</t>
        </is>
      </c>
    </row>
    <row r="364" ht="60" customHeight="1">
      <c r="A364" s="3" t="inlineStr">
        <is>
          <t>MK-PF-F-025</t>
        </is>
      </c>
      <c r="B364" s="3" t="inlineStr">
        <is>
          <t>historyIsComplete</t>
        </is>
      </c>
      <c r="C364" s="3" t="inlineStr">
        <is>
          <t>src/domain/performance/moneyWeighted.ts</t>
        </is>
      </c>
      <c r="D364" s="3" t="n">
        <v>119</v>
      </c>
      <c r="E364" s="3" t="inlineStr">
        <is>
          <t>3 · DEPENDENT</t>
        </is>
      </c>
      <c r="F364" s="3" t="inlineStr">
        <is>
          <t>True iff every measured account's story begins IN the ledger (openable honestly).</t>
        </is>
      </c>
      <c r="G364" s="11" t="inlineStr">
        <is>
          <t>false   when first is missing
false   when !['OPENING_CASH', 'OPENING_POSITION', 'DEPOSIT'].includes(first.type as string)
true
[LOOP — the answer is found inside a loop the extractor cannot render; the steps above are the ones before it. Read by hand.]</t>
        </is>
      </c>
      <c r="H364" s="3" t="inlineStr">
        <is>
          <t>When first is missing, it answers false. When !['OPENING_CASH', 'OPENING_POSITION', 'DEPOSIT'].includes(first.type as string), it answers false. true. The answer is found inside a loop that cannot be rendered here; read the code by hand.</t>
        </is>
      </c>
      <c r="I364" s="3" t="inlineStr">
        <is>
          <t>PARTLY READ — the body has a loop the extractor cannot render; the steps shown are the ones before it. Needs a hand pass (G23).</t>
        </is>
      </c>
      <c r="J364" s="3" t="inlineStr">
        <is>
          <t>1. transactions: Transaction[]
2. accounts: AssetAccount[]
3. accountIds: Set&lt;string&gt;</t>
        </is>
      </c>
      <c r="K364" s="3" t="inlineStr">
        <is>
          <t>boolean</t>
        </is>
      </c>
      <c r="L364" s="3" t="inlineStr">
        <is>
          <t>—</t>
        </is>
      </c>
      <c r="M364" s="3" t="inlineStr">
        <is>
          <t>None found in this function — anything it assumes comes from the functions it depends on.</t>
        </is>
      </c>
      <c r="N364" s="3" t="inlineStr">
        <is>
          <t>Yes</t>
        </is>
      </c>
      <c r="O364" s="3" t="inlineStr">
        <is>
          <t>MK-ST-F-056 has</t>
        </is>
      </c>
      <c r="P364" s="3" t="n">
        <v>1</v>
      </c>
      <c r="Q364" s="3" t="inlineStr">
        <is>
          <t>MK-ST-F-056 has</t>
        </is>
      </c>
      <c r="R364" s="3" t="inlineStr">
        <is>
          <t>MK-ST-F-056 has → MK-PF-F-025 historyIsComplete</t>
        </is>
      </c>
      <c r="S364" s="3" t="inlineStr">
        <is>
          <t>—</t>
        </is>
      </c>
      <c r="T364" s="3" t="inlineStr">
        <is>
          <t>PERSONAL_RETURN_POSSIBLE</t>
        </is>
      </c>
      <c r="U364" s="3" t="inlineStr">
        <is>
          <t>ACTIVE</t>
        </is>
      </c>
      <c r="V364" s="3" t="inlineStr">
        <is>
          <t>2026-09-30</t>
        </is>
      </c>
      <c r="W364" s="3" t="n"/>
      <c r="X364" s="3" t="n"/>
      <c r="Y364" s="3" t="inlineStr">
        <is>
          <t>NOTHING OPEN</t>
        </is>
      </c>
    </row>
    <row r="365" ht="60" customHeight="1">
      <c r="A365" s="3" t="inlineStr">
        <is>
          <t>MK-PF-F-026</t>
        </is>
      </c>
      <c r="B365" s="3" t="inlineStr">
        <is>
          <t>moneyWeightedReturn</t>
        </is>
      </c>
      <c r="C365" s="3" t="inlineStr">
        <is>
          <t>src/domain/performance/moneyWeighted.ts</t>
        </is>
      </c>
      <c r="D365" s="3" t="n">
        <v>202</v>
      </c>
      <c r="E365" s="3" t="inlineStr">
        <is>
          <t>3 · DEPENDENT</t>
        </is>
      </c>
      <c r="F365" s="3" t="inlineStr">
        <is>
          <t>XIRR via bisection — deterministic, no derivative games.</t>
        </is>
      </c>
      <c r="G365"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5"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5" s="3" t="inlineStr">
        <is>
          <t>PARTLY READ — the body has a loop the extractor cannot render; the steps shown are the ones before it. Needs a hand pass (G23).</t>
        </is>
      </c>
      <c r="J365" s="3" t="inlineStr">
        <is>
          <t>Nothing is handed to it</t>
        </is>
      </c>
      <c r="K365" s="3" t="inlineStr">
        <is>
          <t>NOT DECLARED — the code does not say what it gives back</t>
        </is>
      </c>
      <c r="L365" s="3" t="inlineStr">
        <is>
          <t>—</t>
        </is>
      </c>
      <c r="M365" s="3" t="inlineStr">
        <is>
          <t>1. Uses today's date from the device clock, so the answer changes by itself overnight.
2. Never lets current value fall below 0.</t>
        </is>
      </c>
      <c r="N365" s="3" t="inlineStr">
        <is>
          <t>Yes</t>
        </is>
      </c>
      <c r="O365" s="3" t="inlineStr">
        <is>
          <t>1. MK-PF-F-025 historyIsComplete
2. MK-PF-F-030 npv
3. MK-PF-F-024 userFlows</t>
        </is>
      </c>
      <c r="P365" s="3" t="n">
        <v>4</v>
      </c>
      <c r="Q365" s="3" t="inlineStr">
        <is>
          <t>1. MK-PF-F-025 historyIsComplete
2. MK-PF-F-030 npv
3. MK-PF-F-024 userFlows
4. MK-ST-F-056 has</t>
        </is>
      </c>
      <c r="R365" s="3" t="inlineStr">
        <is>
          <t>1. MK-ST-F-056 has → MK-PF-F-025 historyIsComplete → MK-PF-F-026 moneyWeightedReturn
2. MK-PF-F-030 npv → MK-PF-F-026 moneyWeightedReturn
3. MK-ST-F-056 has → MK-PF-F-024 userFlows → MK-PF-F-026 moneyWeightedReturn</t>
        </is>
      </c>
      <c r="S365" s="3" t="inlineStr">
        <is>
          <t>—</t>
        </is>
      </c>
      <c r="T365" s="3" t="inlineStr">
        <is>
          <t>PERSONAL_RETURN</t>
        </is>
      </c>
      <c r="U365" s="3" t="inlineStr">
        <is>
          <t>ACTIVE</t>
        </is>
      </c>
      <c r="V365" s="3" t="inlineStr">
        <is>
          <t>2026-09-30</t>
        </is>
      </c>
      <c r="W365" s="3" t="n"/>
      <c r="X365" s="3" t="n"/>
      <c r="Y365" s="3" t="inlineStr">
        <is>
          <t>NOTHING OPEN</t>
        </is>
      </c>
    </row>
    <row r="366" ht="45" customHeight="1">
      <c r="A366" s="3" t="inlineStr">
        <is>
          <t>MK-PF-F-027</t>
        </is>
      </c>
      <c r="B366" s="3" t="inlineStr">
        <is>
          <t>isMoneyWeighted</t>
        </is>
      </c>
      <c r="C366" s="3" t="inlineStr">
        <is>
          <t>src/domain/performance/moneyWeighted.ts</t>
        </is>
      </c>
      <c r="D366" s="3" t="n">
        <v>247</v>
      </c>
      <c r="E366" s="3" t="inlineStr">
        <is>
          <t>3 · DEPENDENT (feeds an action only)</t>
        </is>
      </c>
      <c r="F366" s="3" t="inlineStr">
        <is>
          <t>Did the personal return produce a number, or a reason it could not?</t>
        </is>
      </c>
      <c r="G366" s="11" t="inlineStr">
        <is>
          <t>(r as money weighted).rate per year ! = undefined</t>
        </is>
      </c>
      <c r="H366" s="3" t="inlineStr">
        <is>
          <t>(r as money weighted).rate per year ! = undefined.</t>
        </is>
      </c>
      <c r="I366" s="3" t="inlineStr">
        <is>
          <t>PARTLY READ — some of the code is still showing through; needs a hand pass</t>
        </is>
      </c>
      <c r="J366" s="3" t="inlineStr">
        <is>
          <t>r: MoneyWeighted | MoneyWeightedMiss</t>
        </is>
      </c>
      <c r="K366" s="3" t="inlineStr">
        <is>
          <t>r is MoneyWeighted</t>
        </is>
      </c>
      <c r="L366" s="3" t="inlineStr">
        <is>
          <t>—</t>
        </is>
      </c>
      <c r="M366" s="3" t="inlineStr">
        <is>
          <t>None found in this function — anything it assumes comes from the functions it depends on.</t>
        </is>
      </c>
      <c r="N366" s="3" t="inlineStr">
        <is>
          <t>No</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PERSONAL_RETURN_ANSWERED</t>
        </is>
      </c>
      <c r="U366" s="3" t="inlineStr">
        <is>
          <t>ACTIVE</t>
        </is>
      </c>
      <c r="V366" s="3" t="inlineStr">
        <is>
          <t>2026-09-25</t>
        </is>
      </c>
      <c r="W366" s="3" t="n"/>
      <c r="X366" s="3" t="n"/>
      <c r="Y366" s="3" t="inlineStr">
        <is>
          <t>NOTHING OPEN</t>
        </is>
      </c>
    </row>
    <row r="367" ht="60" customHeight="1">
      <c r="A367" s="3" t="inlineStr">
        <is>
          <t>MK-PF-F-028</t>
        </is>
      </c>
      <c r="B367" s="3" t="inlineStr">
        <is>
          <t>realizedFromLedger</t>
        </is>
      </c>
      <c r="C367" s="3" t="inlineStr">
        <is>
          <t>src/domain/performance/realized.ts</t>
        </is>
      </c>
      <c r="D367" s="3" t="n">
        <v>44</v>
      </c>
      <c r="E367" s="3" t="inlineStr">
        <is>
          <t>3 · DEPENDENT</t>
        </is>
      </c>
      <c r="F367" s="3" t="inlineStr">
        <is>
          <t>How much profit have I actually taken?</t>
        </is>
      </c>
      <c r="G367"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7"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7" s="3" t="inlineStr">
        <is>
          <t>READ BY HAND 2026-08-26 — checked line by line against the code</t>
        </is>
      </c>
      <c r="J367" s="3" t="inlineStr">
        <is>
          <t>Nothing is handed to it</t>
        </is>
      </c>
      <c r="K367" s="3" t="inlineStr">
        <is>
          <t>NOT DECLARED — the code does not say what it gives back</t>
        </is>
      </c>
      <c r="L367" s="3" t="inlineStr">
        <is>
          <t>—</t>
        </is>
      </c>
      <c r="M367" s="3" t="inlineStr">
        <is>
          <t>1. If shares is missing it uses 0.
2. Uses today's date from the device clock, so the answer changes by itself overnight.
3. Sales dated in the current calendar year make the this-year total; the device clock decides which year that is.</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REALISED_GAIN</t>
        </is>
      </c>
      <c r="U367" s="3" t="inlineStr">
        <is>
          <t>ACTIVE</t>
        </is>
      </c>
      <c r="V367" s="3" t="inlineStr">
        <is>
          <t>2026-09-28</t>
        </is>
      </c>
      <c r="W367"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7"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7" s="6" t="inlineStr">
        <is>
          <t>WAITING ON YOU — answer to read</t>
        </is>
      </c>
    </row>
    <row r="368" ht="60" customHeight="1">
      <c r="A368" s="3" t="inlineStr">
        <is>
          <t>MK-PF-F-029</t>
        </is>
      </c>
      <c r="B368" s="3" t="inlineStr">
        <is>
          <t>closeAsOf</t>
        </is>
      </c>
      <c r="C368" s="3" t="inlineStr">
        <is>
          <t>src/domain/performance/index.ts</t>
        </is>
      </c>
      <c r="D368" s="3" t="n">
        <v>453</v>
      </c>
      <c r="E368" s="3" t="inlineStr">
        <is>
          <t>3 · DEPENDENT</t>
        </is>
      </c>
      <c r="F368" s="3" t="inlineStr">
        <is>
          <t>Close on/just-before a target date (series oldest→newest).</t>
        </is>
      </c>
      <c r="G368" s="11" t="inlineStr">
        <is>
          <t>pts = series.points (or none when missing)
nothing   when count of pts is missing
t = target.get time()
chosen = nothing
the answer = chosen (or pts[0].close when missing)</t>
        </is>
      </c>
      <c r="H368" s="3" t="inlineStr">
        <is>
          <t>Pts is series.points (or none — when missing). When how many pts is missing there are, it answers no answer. T is target.get time(). Chosen is no answer. The answer is chosen (or pts[0].close — when missing).</t>
        </is>
      </c>
      <c r="I368" s="3" t="inlineStr">
        <is>
          <t>PARTLY READ — some of the code is still showing through; needs a hand pass</t>
        </is>
      </c>
      <c r="J368" s="3" t="inlineStr">
        <is>
          <t>1. series: PriceSeries | null | undefined
2. target: Date</t>
        </is>
      </c>
      <c r="K368" s="3" t="inlineStr">
        <is>
          <t>number | null</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MK-PF-F-030</t>
        </is>
      </c>
      <c r="B369" s="3" t="inlineStr">
        <is>
          <t>npv</t>
        </is>
      </c>
      <c r="C369" s="3" t="inlineStr">
        <is>
          <t>src/domain/performance/moneyWeighted.ts</t>
        </is>
      </c>
      <c r="D369" s="3" t="n">
        <v>157</v>
      </c>
      <c r="E369" s="3" t="inlineStr">
        <is>
          <t>3 · DEPENDENT</t>
        </is>
      </c>
      <c r="F369" s="3" t="inlineStr">
        <is>
          <t>NOT DETERMINED — the code carries no note saying what this is for, and it has no row in the old inventory. Needs reading.</t>
        </is>
      </c>
      <c r="G369" s="11" t="inlineStr">
        <is>
          <t>disc = (when: number) =&gt; (1 + rate)^(-((when − t0) ÷ DAY) ÷ 365)
v = 0
[LOOP — the answer is found inside a loop the extractor cannot render; the steps above are the ones before it. Read by hand.]</t>
        </is>
      </c>
      <c r="H369" s="3" t="inlineStr">
        <is>
          <t>Disc is (when: number) =&gt; (1 plus rate)^(-((when minus t0) divided by DAY) divided by 365). V is 0. The answer is v plus end value times disc(end date). The answer is found inside a loop that cannot be rendered here; read the code by hand.</t>
        </is>
      </c>
      <c r="I369" s="3" t="inlineStr">
        <is>
          <t>PARTLY READ — the body has a loop the extractor cannot render; the steps shown are the ones before it. Needs a hand pass (G23).</t>
        </is>
      </c>
      <c r="J369" s="3" t="inlineStr">
        <is>
          <t>1. rate: number
2. flows: { date: number; amount: number }[]
3. endValue: number
4. endDate: number
5. t0: number</t>
        </is>
      </c>
      <c r="K369" s="3" t="inlineStr">
        <is>
          <t>number</t>
        </is>
      </c>
      <c r="L369" s="3" t="inlineStr">
        <is>
          <t>—</t>
        </is>
      </c>
      <c r="M369" s="3" t="inlineStr">
        <is>
          <t>· Treats a year as 365 days.</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2026-09-30</t>
        </is>
      </c>
      <c r="W369" s="3" t="n"/>
      <c r="X369" s="3" t="n"/>
      <c r="Y369" s="3" t="inlineStr">
        <is>
          <t>NOTHING OPEN</t>
        </is>
      </c>
    </row>
    <row r="370" ht="60" customHeight="1">
      <c r="A370" s="3" t="inlineStr">
        <is>
          <t>MK-PF-F-031</t>
        </is>
      </c>
      <c r="B370" s="3" t="inlineStr">
        <is>
          <t>contractMultiplier</t>
        </is>
      </c>
      <c r="C370" s="3" t="inlineStr">
        <is>
          <t>src/domain/performance/index.ts</t>
        </is>
      </c>
      <c r="D370" s="3" t="n">
        <v>67</v>
      </c>
      <c r="E370" s="3" t="inlineStr">
        <is>
          <t>3 · DEPENDENT</t>
        </is>
      </c>
      <c r="F370" s="3" t="inlineStr">
        <is>
          <t>NOT DETERMINED — the code carries no note saying what this is for, and it has no row in the old inventory. Needs reading.</t>
        </is>
      </c>
      <c r="G370" s="11" t="inlineStr">
        <is>
          <t>multiplier   when multiplier ≠ nothing and multiplier &gt; 0
OPTION_CONTRACT_MULTIPLIER   if kind = 'options'
1   otherwise</t>
        </is>
      </c>
      <c r="H370" s="3" t="inlineStr">
        <is>
          <t>When multiplier is not no answer and multiplier &gt; 0, it answers multiplier. OPTION_CONTRACT_MULTIPLIER — when kind = 'options'; 1 — otherwise.</t>
        </is>
      </c>
      <c r="I370" s="3" t="inlineStr">
        <is>
          <t>READ FROM THE CODE — rendered from the expressions the function runs</t>
        </is>
      </c>
      <c r="J370" s="3" t="inlineStr">
        <is>
          <t>p: Pick&lt;Position, 'kind' | 'multiplier'&gt;</t>
        </is>
      </c>
      <c r="K370" s="3" t="inlineStr">
        <is>
          <t>number</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2026-09-11</t>
        </is>
      </c>
      <c r="W370" s="3" t="n"/>
      <c r="X370" s="3" t="n"/>
      <c r="Y370" s="6" t="inlineStr">
        <is>
          <t>TESTED, NOT VERIFIED (Q06)</t>
        </is>
      </c>
    </row>
    <row r="371" ht="60" customHeight="1">
      <c r="A371" s="3" t="inlineStr">
        <is>
          <t>MK-PF-F-032</t>
        </is>
      </c>
      <c r="B371" s="3" t="inlineStr">
        <is>
          <t>quantityUnit</t>
        </is>
      </c>
      <c r="C371" s="3" t="inlineStr">
        <is>
          <t>src/domain/performance/index.ts</t>
        </is>
      </c>
      <c r="D371" s="3" t="n">
        <v>101</v>
      </c>
      <c r="E371" s="3" t="inlineStr">
        <is>
          <t>3 · DEPENDENT</t>
        </is>
      </c>
      <c r="F371" s="3" t="inlineStr">
        <is>
          <t>Q09 (founder, 2026-08-26): the unit beside a quantity — the person's when entered, else the one the kind implies: coins for crypto, contracts for options, ounces for gold and commodities, shares for everything else.</t>
        </is>
      </c>
      <c r="G371" s="11" t="inlineStr">
        <is>
          <t>unit   when unit
'coins'   when kind = 'crypto'
'contracts'   when kind = 'options'
'ounces'   when kind = 'commodities'
'shares'</t>
        </is>
      </c>
      <c r="H371" s="3" t="inlineStr">
        <is>
          <t>When unit, it answers unit. When kind = 'crypto', it answers 'coins'. When kind = 'options', it answers 'contracts'. When kind = 'commodities', it answers 'ounces'. 'shares'.</t>
        </is>
      </c>
      <c r="I371" s="3" t="inlineStr">
        <is>
          <t>READ FROM THE CODE — rendered from the expressions the function runs</t>
        </is>
      </c>
      <c r="J371" s="3" t="inlineStr">
        <is>
          <t>p: Pick&lt;Position, 'kind' | 'unit'&gt;</t>
        </is>
      </c>
      <c r="K371" s="3" t="inlineStr">
        <is>
          <t>QuantityUnit</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2026-09-11</t>
        </is>
      </c>
      <c r="W371" s="3" t="n"/>
      <c r="X371" s="3" t="n"/>
      <c r="Y371" s="6" t="inlineStr">
        <is>
          <t>TESTED, NOT VERIFIED (Q09)</t>
        </is>
      </c>
    </row>
    <row r="372" ht="60" customHeight="1">
      <c r="A372" s="3" t="inlineStr">
        <is>
          <t>MK-PF-F-033</t>
        </is>
      </c>
      <c r="B372" s="3" t="inlineStr">
        <is>
          <t>quantityWithUnit</t>
        </is>
      </c>
      <c r="C372" s="3" t="inlineStr">
        <is>
          <t>src/domain/performance/index.ts</t>
        </is>
      </c>
      <c r="D372" s="3" t="n">
        <v>129</v>
      </c>
      <c r="E372" s="3" t="inlineStr">
        <is>
          <t>2 · DISPLAYED</t>
        </is>
      </c>
      <c r="F372" s="3" t="inlineStr">
        <is>
          <t>"3 shares", "1 coin", "2 contracts" — the quantity printed with its unit, singular when it is one.</t>
        </is>
      </c>
      <c r="G372" s="11" t="inlineStr">
        <is>
          <t>unit = quantity unit(p)
the answer = `${format(qty)} ${qty = 1 ? unit.replace( ÷ s$ ÷ , '') : unit}`</t>
        </is>
      </c>
      <c r="H372" s="3" t="inlineStr">
        <is>
          <t>Unit is quantity unit(p). The answer is `${format(qty)} ${qty = 1 ? unit.replace( divided by s$ divided by , '') : unit}`.</t>
        </is>
      </c>
      <c r="I372" s="3" t="inlineStr">
        <is>
          <t>PARTLY READ — some of the code is still showing through; needs a hand pass</t>
        </is>
      </c>
      <c r="J372" s="3" t="inlineStr">
        <is>
          <t>1. p: Pick&lt;Position, 'kind' | 'unit'&gt;
2. qty: number
3. format: (n: number) =&gt; string = String</t>
        </is>
      </c>
      <c r="K372" s="3" t="inlineStr">
        <is>
          <t>string</t>
        </is>
      </c>
      <c r="L372" s="3" t="inlineStr">
        <is>
          <t>"Quantity" — on the Holding detail screen, under "CURRENT PRICE$"</t>
        </is>
      </c>
      <c r="M372" s="3" t="inlineStr">
        <is>
          <t>None found in this function — anything it assumes comes from the functions it depends on.</t>
        </is>
      </c>
      <c r="N372" s="3" t="inlineStr">
        <is>
          <t>Yes</t>
        </is>
      </c>
      <c r="O372" s="3" t="inlineStr">
        <is>
          <t>MK-PF-F-032 quantityUnit</t>
        </is>
      </c>
      <c r="P372" s="3" t="n">
        <v>1</v>
      </c>
      <c r="Q372" s="3" t="inlineStr">
        <is>
          <t>MK-PF-F-032 quantityUnit</t>
        </is>
      </c>
      <c r="R372" s="3" t="inlineStr">
        <is>
          <t>MK-PF-F-032 quantityUnit → MK-PF-F-033 quantityWithUnit</t>
        </is>
      </c>
      <c r="S372" s="3" t="inlineStr">
        <is>
          <t>—</t>
        </is>
      </c>
      <c r="T372" s="3" t="inlineStr">
        <is>
          <t>—</t>
        </is>
      </c>
      <c r="U372" s="3" t="inlineStr">
        <is>
          <t>ACTIVE</t>
        </is>
      </c>
      <c r="V372" s="3" t="inlineStr">
        <is>
          <t>2026-09-11</t>
        </is>
      </c>
      <c r="W372" s="3" t="n"/>
      <c r="X372" s="3" t="n"/>
      <c r="Y372" s="6" t="inlineStr">
        <is>
          <t>TESTED, NOT VERIFIED (Q09)</t>
        </is>
      </c>
    </row>
    <row r="373" ht="60" customHeight="1">
      <c r="A373" s="3" t="inlineStr">
        <is>
          <t>MK-PF-F-034</t>
        </is>
      </c>
      <c r="B373" s="3" t="inlineStr">
        <is>
          <t>closeOnOrBefore</t>
        </is>
      </c>
      <c r="C373" s="3" t="inlineStr">
        <is>
          <t>src/domain/performance/index.ts</t>
        </is>
      </c>
      <c r="D373" s="3" t="n">
        <v>498</v>
      </c>
      <c r="E373" s="3" t="inlineStr">
        <is>
          <t>3 · DEPENDENT</t>
        </is>
      </c>
      <c r="F373" s="3" t="inlineStr">
        <is>
          <t>The close ON OR BEFORE a day, with NO fallback.</t>
        </is>
      </c>
      <c r="G373" s="11" t="inlineStr">
        <is>
          <t>pts = series.points (or none when missing)
nothing   when count of pts is missing (or ! ÷ ^\d{4}-\d{2}-\d{2}$ ÷ .test(iso date) when missing or zero)
chosen = nothing
the answer = chosen</t>
        </is>
      </c>
      <c r="H373" s="3" t="inlineStr">
        <is>
          <t>Pts is series.points (or none — when missing). When how many pts is missing (or ! divided by ^\d{4}-\d{2}-\d{2}$ divided by .test(iso date) — when missing or zero) there are, it answers no answer. Chosen is no answer. The answer is chosen.</t>
        </is>
      </c>
      <c r="I373" s="3" t="inlineStr">
        <is>
          <t>PARTLY READ — some of the code is still showing through; needs a hand pass</t>
        </is>
      </c>
      <c r="J373" s="3" t="inlineStr">
        <is>
          <t>1. series: PriceSeries | null | undefined
2. isoDate: string</t>
        </is>
      </c>
      <c r="K373" s="3" t="inlineStr">
        <is>
          <t>number | null</t>
        </is>
      </c>
      <c r="L373" s="3" t="inlineStr">
        <is>
          <t>—</t>
        </is>
      </c>
      <c r="M373" s="3" t="inlineStr">
        <is>
          <t>None found in this function — anything it assumes comes from the functions it depends on.</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2026-09-25</t>
        </is>
      </c>
      <c r="W373" s="3" t="n"/>
      <c r="X373" s="3" t="n"/>
      <c r="Y373" s="3" t="inlineStr">
        <is>
          <t>NOTHING OPEN</t>
        </is>
      </c>
    </row>
    <row r="374" ht="60" customHeight="1">
      <c r="A374" s="3" t="inlineStr">
        <is>
          <t>MK-PL-F-001</t>
        </is>
      </c>
      <c r="B374" s="3" t="inlineStr">
        <is>
          <t>taxBucketSplit</t>
        </is>
      </c>
      <c r="C374" s="3" t="inlineStr">
        <is>
          <t>src/domain/decumulation/index.ts</t>
        </is>
      </c>
      <c r="D374" s="3" t="n">
        <v>38</v>
      </c>
      <c r="E374" s="3" t="inlineStr">
        <is>
          <t>2 · DISPLAYED</t>
        </is>
      </c>
      <c r="F374" s="3" t="inlineStr">
        <is>
          <t>How is the retirement money split by the tax that will be owed on it?</t>
        </is>
      </c>
      <c r="G374" s="11" t="inlineStr">
        <is>
          <t>s = taxable = 0
pre tax = 0
roth = 0
cash = 0
total = 0
v = earmarked amount(a)
the answer = s</t>
        </is>
      </c>
      <c r="H374" s="3" t="inlineStr">
        <is>
          <t>S is taxable = 0; pre tax = 0; roth = 0; cash = 0; total = 0. V is earmarked amount(a). The answer is s.</t>
        </is>
      </c>
      <c r="I374" s="3" t="inlineStr">
        <is>
          <t>READ FROM THE CODE — rendered from the expressions the function runs</t>
        </is>
      </c>
      <c r="J374" s="3" t="inlineStr">
        <is>
          <t>accounts: AssetAccount[]</t>
        </is>
      </c>
      <c r="K374" s="3" t="inlineStr">
        <is>
          <t>BucketSplit</t>
        </is>
      </c>
      <c r="L374"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4" s="3" t="inlineStr">
        <is>
          <t>None found in this function — anything it assumes comes from the functions it depends on.</t>
        </is>
      </c>
      <c r="N374" s="3" t="inlineStr">
        <is>
          <t>Yes</t>
        </is>
      </c>
      <c r="O374" s="3" t="inlineStr">
        <is>
          <t>MK-NW-F-032 earmarkedAmount</t>
        </is>
      </c>
      <c r="P374" s="3" t="n">
        <v>14</v>
      </c>
      <c r="Q37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4"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4" s="3" t="inlineStr">
        <is>
          <t>—</t>
        </is>
      </c>
      <c r="T374" s="3" t="inlineStr">
        <is>
          <t>SPLIT_BY_HOW_IT_IS_TAXED</t>
        </is>
      </c>
      <c r="U374" s="3" t="inlineStr">
        <is>
          <t>ACTIVE</t>
        </is>
      </c>
      <c r="V374" s="3" t="inlineStr">
        <is>
          <t>2026-08-27</t>
        </is>
      </c>
      <c r="W374" s="3" t="n"/>
      <c r="X374" s="3" t="n"/>
      <c r="Y374" s="3" t="inlineStr">
        <is>
          <t>NOTHING OPEN</t>
        </is>
      </c>
    </row>
    <row r="375" ht="60" customHeight="1">
      <c r="A375" s="3" t="inlineStr">
        <is>
          <t>MK-PL-F-002</t>
        </is>
      </c>
      <c r="B375" s="3" t="inlineStr">
        <is>
          <t>withdrawalPlan</t>
        </is>
      </c>
      <c r="C375" s="3" t="inlineStr">
        <is>
          <t>src/domain/decumulation/index.ts</t>
        </is>
      </c>
      <c r="D375" s="3" t="n">
        <v>124</v>
      </c>
      <c r="E375" s="3" t="inlineStr">
        <is>
          <t>2 · DISPLAYED</t>
        </is>
      </c>
      <c r="F375" s="3" t="inlineStr">
        <is>
          <t>NOT DETERMINED — the code carries no note saying what this is for, and it has no row in the old inventory. Needs reading.</t>
        </is>
      </c>
      <c r="G375"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5"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5" s="3" t="inlineStr">
        <is>
          <t>READ FROM THE CODE — rendered from the expressions the function runs</t>
        </is>
      </c>
      <c r="J375" s="3" t="inlineStr">
        <is>
          <t>1. spendMonthly: number
2. guaranteedMonthly: number
3. nestEgg: number</t>
        </is>
      </c>
      <c r="K375" s="3" t="inlineStr">
        <is>
          <t>WithdrawalPlan</t>
        </is>
      </c>
      <c r="L375" s="3" t="inlineStr">
        <is>
          <t>1. "From your portfolio" — on the Retirement cockpit screen
2. "WILL YOUR MONEY LAST?" — on the Retirement cockpit screen, under "RETIREMENT
3. WHERE YOU STAND"
4. "You plan to spend" — on the Retirement cockpit screen</t>
        </is>
      </c>
      <c r="M375" s="3" t="inlineStr">
        <is>
          <t>· Turns a monthly figure into a year by multiplying by twelve.</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2026-09-09</t>
        </is>
      </c>
      <c r="W375" s="3" t="n"/>
      <c r="X375" s="3" t="n"/>
      <c r="Y375" s="3" t="inlineStr">
        <is>
          <t>NOTHING OPEN</t>
        </is>
      </c>
    </row>
    <row r="376" ht="60" customHeight="1">
      <c r="A376" s="3" t="inlineStr">
        <is>
          <t>MK-PL-F-003</t>
        </is>
      </c>
      <c r="B376" s="3" t="inlineStr">
        <is>
          <t>depletionAge</t>
        </is>
      </c>
      <c r="C376" s="3" t="inlineStr">
        <is>
          <t>src/domain/decumulation/index.ts</t>
        </is>
      </c>
      <c r="D376" s="3" t="n">
        <v>167</v>
      </c>
      <c r="E376" s="3" t="inlineStr">
        <is>
          <t>2 · DISPLAYED</t>
        </is>
      </c>
      <c r="F376" s="3" t="inlineStr">
        <is>
          <t>---- deterministic depletion ---- Age the portfolio runs out (deterministic), or null if it lasts to the horizon.</t>
        </is>
      </c>
      <c r="G376" s="11" t="inlineStr">
        <is>
          <t>bal = nest egg
net = net withdrawal now
rmd on = (pre tax share ?? 0) &gt; 0
pre tax bal = bal × min(1, max(0, pre tax share!))   if rmd on
0   otherwise
rate = min(0.6, max(0, rmd tax rate (or 0.22 when missing)))
growth = 1 + return rate
a + 1   when bal ≤ 0
the answer = nothing</t>
        </is>
      </c>
      <c r="H376"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6" s="3" t="inlineStr">
        <is>
          <t>PARTLY READ — some of the code is still showing through; needs a hand pass</t>
        </is>
      </c>
      <c r="J376" s="3" t="inlineStr">
        <is>
          <t>o: { age: number; horizon: number; nestEgg: number; netWithdrawalNow: number; returnRate: number; inflation: number; preTaxShare?: number; rmdTaxRate?: number }</t>
        </is>
      </c>
      <c r="K376" s="3" t="inlineStr">
        <is>
          <t>number | null</t>
        </is>
      </c>
      <c r="L376" s="3" t="inlineStr">
        <is>
          <t>NOT FOUND — a screen calls it, but the words printed beside its answer could not be traced automatically. Needs reading.</t>
        </is>
      </c>
      <c r="M376" s="3" t="inlineStr">
        <is>
          <t>1. If pre tax share is missing it uses 0.
2. If required withdrawal tax rate is missing it uses 22%.</t>
        </is>
      </c>
      <c r="N376" s="3" t="inlineStr">
        <is>
          <t>Yes</t>
        </is>
      </c>
      <c r="O376" s="3" t="inlineStr">
        <is>
          <t>1. MK-PL-F-007 rmdAtAge
2. MK-PL-F-005 rmdStartAgeFor</t>
        </is>
      </c>
      <c r="P376" s="3" t="n">
        <v>6</v>
      </c>
      <c r="Q376" s="3" t="inlineStr">
        <is>
          <t>1. MK-PL-F-007 rmdAtAge
2. MK-PL-F-005 rmdStartAgeFor
3. MK-PL-F-078 rmdDivisorAtAge
4. MK-ST-F-025 rmdStartAgeFromAge
5. MK-ST-F-024 rmdStartAge
6. MK-ST-F-056 has</t>
        </is>
      </c>
      <c r="R376" s="3" t="inlineStr">
        <is>
          <t>1. MK-PL-F-078 rmdDivisorAtAge → MK-PL-F-007 rmdAtAge → MK-PL-F-003 depletionAge
2. MK-ST-F-056 has → MK-ST-F-024 rmdStartAge → MK-ST-F-025 rmdStartAgeFromAge → MK-PL-F-005 rmdStartAgeFor → MK-PL-F-003 depletionAge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MK-PL-F-004</t>
        </is>
      </c>
      <c r="B377" s="3" t="inlineStr">
        <is>
          <t>withdrawalOrder</t>
        </is>
      </c>
      <c r="C377" s="3" t="inlineStr">
        <is>
          <t>src/domain/decumulation/index.ts</t>
        </is>
      </c>
      <c r="D377" s="3" t="n">
        <v>218</v>
      </c>
      <c r="E377" s="3" t="inlineStr">
        <is>
          <t>2 · DISPLAYED</t>
        </is>
      </c>
      <c r="F377" s="3" t="inlineStr">
        <is>
          <t>NOT DETERMINED — the code carries no note saying what this is for, and it has no row in the old inventory. Needs reading.</t>
        </is>
      </c>
      <c r="G377" s="11" t="inlineStr">
        <is>
          <t>steps = seq where split[bucket] &gt; 0for each of : ...each = ...each
amount = split[bucket]
pre = steps.find((s) =&gt; bucket = 'preTax')
the answer = steps</t>
        </is>
      </c>
      <c r="H377" s="3" t="inlineStr">
        <is>
          <t>Steps is seq where split[bucket] &gt; 0for each of : ...each = ...each; amount = split[bucket]. Pre is steps.find((s) =&gt; bucket = 'preTax'). The answer is steps.</t>
        </is>
      </c>
      <c r="I377" s="3" t="inlineStr">
        <is>
          <t>PARTLY READ — some of the code is still showing through; needs a hand pass</t>
        </is>
      </c>
      <c r="J377" s="3" t="inlineStr">
        <is>
          <t>1. split: BucketSplit
2. age = 0
3. userOrder?: DrawBucket[] | null</t>
        </is>
      </c>
      <c r="K377" s="3" t="inlineStr">
        <is>
          <t>OrderStep[]</t>
        </is>
      </c>
      <c r="L377" s="3" t="inlineStr">
        <is>
          <t>1. "Why this order?" — on the Cash flow screen
2. "Why? ›" — on the Cash flow screen, under "BIG-TICKET RADAR"</t>
        </is>
      </c>
      <c r="M377" s="3" t="inlineStr">
        <is>
          <t>None found in this function — anything it assumes comes from the functions it depends on.</t>
        </is>
      </c>
      <c r="N377" s="3" t="inlineStr">
        <is>
          <t>Yes</t>
        </is>
      </c>
      <c r="O377" s="3" t="inlineStr">
        <is>
          <t>1. MK-CF-F-132 map
2. MK-ST-F-039 on
3. MK-PL-F-007 rmdAtAge
4. MK-PL-F-005 rmdStartAgeFor</t>
        </is>
      </c>
      <c r="P377" s="3" t="n">
        <v>8</v>
      </c>
      <c r="Q377" s="3" t="inlineStr">
        <is>
          <t>1. MK-CF-F-132 map
2. MK-ST-F-039 on
3. MK-PL-F-007 rmdAtAge
4. MK-PL-F-005 rmdStartAgeFor
5. MK-PL-F-078 rmdDivisorAtAge
6. MK-ST-F-025 rmdStartAgeFromAge
7. MK-ST-F-024 rmdStartAge
8. MK-ST-F-056 has</t>
        </is>
      </c>
      <c r="R377"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MK-PL-F-005</t>
        </is>
      </c>
      <c r="B378" s="3" t="inlineStr">
        <is>
          <t>rmdStartAgeFor</t>
        </is>
      </c>
      <c r="C378" s="3" t="inlineStr">
        <is>
          <t>src/domain/decumulation/index.ts</t>
        </is>
      </c>
      <c r="D378" s="3" t="n">
        <v>272</v>
      </c>
      <c r="E378" s="3" t="inlineStr">
        <is>
          <t>2 · DISPLAYED</t>
        </is>
      </c>
      <c r="F378" s="3" t="inlineStr">
        <is>
          <t>---- Required Minimum Distributions ---- B4 (founder brief 2026-08-20): the rule lives in ONE dated, sourced table — the Calculation Module's rmd function.</t>
        </is>
      </c>
      <c r="G378" s="11" t="inlineStr">
        <is>
          <t>73   if age = nothing
rmd start age from age(age, now year)   otherwise</t>
        </is>
      </c>
      <c r="H378" s="3" t="inlineStr">
        <is>
          <t>73 — when age is missing; rmd start age from age(age, now year) — otherwise.</t>
        </is>
      </c>
      <c r="I378" s="3" t="inlineStr">
        <is>
          <t>READ FROM THE CODE — rendered from the expressions the function runs</t>
        </is>
      </c>
      <c r="J378" s="3" t="inlineStr">
        <is>
          <t>1. age?: number | null
2. nowYear = new Date().getFullYear()</t>
        </is>
      </c>
      <c r="K378" s="3" t="inlineStr">
        <is>
          <t>number</t>
        </is>
      </c>
      <c r="L378"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8" s="3" t="inlineStr">
        <is>
          <t>· Uses today's date from the device clock, so the answer changes by itself overnight.</t>
        </is>
      </c>
      <c r="N378" s="3" t="inlineStr">
        <is>
          <t>Yes</t>
        </is>
      </c>
      <c r="O378" s="3" t="inlineStr">
        <is>
          <t>MK-ST-F-025 rmdStartAgeFromAge</t>
        </is>
      </c>
      <c r="P378" s="3" t="n">
        <v>3</v>
      </c>
      <c r="Q378" s="3" t="inlineStr">
        <is>
          <t>1. MK-ST-F-025 rmdStartAgeFromAge
2. MK-ST-F-024 rmdStartAge
3. MK-ST-F-056 has</t>
        </is>
      </c>
      <c r="R378" s="3" t="inlineStr">
        <is>
          <t>MK-ST-F-056 has → MK-ST-F-024 rmdStartAge → MK-ST-F-025 rmdStartAgeFromAge → MK-PL-F-005 rmdStartAgeFor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MK-PL-F-006</t>
        </is>
      </c>
      <c r="B379" s="3" t="inlineStr">
        <is>
          <t>rmdDivisor</t>
        </is>
      </c>
      <c r="C379" s="3" t="inlineStr">
        <is>
          <t>Calculation Module code/engines/rmd.ts</t>
        </is>
      </c>
      <c r="D379" s="3" t="n">
        <v>133</v>
      </c>
      <c r="E379" s="3" t="inlineStr">
        <is>
          <t>3 · DEPENDENT (feeds an action only)</t>
        </is>
      </c>
      <c r="F379" s="3" t="inlineStr">
        <is>
          <t>Divisor at an age, 0 before that person's start age.</t>
        </is>
      </c>
      <c r="G379" s="11" t="inlineStr">
        <is>
          <t>divisor(age) = 0                        when age is below the start age
               the table value at age   when the table lists that age
               straight-line between the two nearest listed ages   otherwise</t>
        </is>
      </c>
      <c r="H379"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9" s="3" t="inlineStr">
        <is>
          <t>READ BY HAND 2026-08-26 — checked line by line against the code</t>
        </is>
      </c>
      <c r="J379" s="3" t="inlineStr">
        <is>
          <t>1. age: number
2. birthYear?: number | null</t>
        </is>
      </c>
      <c r="K379" s="3" t="inlineStr">
        <is>
          <t>number</t>
        </is>
      </c>
      <c r="L379" s="3" t="inlineStr">
        <is>
          <t>—</t>
        </is>
      </c>
      <c r="M379" s="3" t="inlineStr">
        <is>
          <t>None found in this function — anything it assumes comes from the functions it depends on.</t>
        </is>
      </c>
      <c r="N379" s="3" t="inlineStr">
        <is>
          <t>No</t>
        </is>
      </c>
      <c r="O379" s="3" t="inlineStr">
        <is>
          <t>MK-ST-F-024 rmdStartAge</t>
        </is>
      </c>
      <c r="P379" s="3" t="n">
        <v>2</v>
      </c>
      <c r="Q379" s="3" t="inlineStr">
        <is>
          <t>1. MK-ST-F-024 rmdStartAge
2. MK-ST-F-056 has</t>
        </is>
      </c>
      <c r="R379" s="3" t="inlineStr">
        <is>
          <t>MK-ST-F-056 has → MK-ST-F-024 rmdStartAge → MK-PL-F-006 rmdDivisor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MK-PL-F-007</t>
        </is>
      </c>
      <c r="B380" s="3" t="inlineStr">
        <is>
          <t>rmdAtAge</t>
        </is>
      </c>
      <c r="C380" s="3" t="inlineStr">
        <is>
          <t>src/domain/decumulation/index.ts</t>
        </is>
      </c>
      <c r="D380" s="3" t="n">
        <v>329</v>
      </c>
      <c r="E380" s="3" t="inlineStr">
        <is>
          <t>2 · DISPLAYED</t>
        </is>
      </c>
      <c r="F380" s="3" t="inlineStr">
        <is>
          <t>Required minimum distribution from pre-tax balances at a given age (0 before the start age).</t>
        </is>
      </c>
      <c r="G380" s="11" t="inlineStr">
        <is>
          <t>required withdrawal = round(pre-tax balance ÷ divisor(age), 2 dp)
                    = 0   when the divisor is 0</t>
        </is>
      </c>
      <c r="H380"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0" s="3" t="inlineStr">
        <is>
          <t>READ BY HAND 2026-08-26 — checked line by line against the code</t>
        </is>
      </c>
      <c r="J380" s="3" t="inlineStr">
        <is>
          <t>1. preTaxBalance: number
2. age: number</t>
        </is>
      </c>
      <c r="K380" s="3" t="inlineStr">
        <is>
          <t>number</t>
        </is>
      </c>
      <c r="L380"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0"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0" s="3" t="inlineStr">
        <is>
          <t>Yes</t>
        </is>
      </c>
      <c r="O380" s="3" t="inlineStr">
        <is>
          <t>MK-PL-F-078 rmdDivisorAtAge</t>
        </is>
      </c>
      <c r="P380" s="3" t="n">
        <v>1</v>
      </c>
      <c r="Q380" s="3" t="inlineStr">
        <is>
          <t>MK-PL-F-078 rmdDivisorAtAge</t>
        </is>
      </c>
      <c r="R380" s="3" t="inlineStr">
        <is>
          <t>MK-PL-F-078 rmdDivisorAtAge → MK-PL-F-007 rmdAtAge</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MK-PL-F-008</t>
        </is>
      </c>
      <c r="B381" s="3" t="inlineStr">
        <is>
          <t>rmdSchedule</t>
        </is>
      </c>
      <c r="C381" s="3" t="inlineStr">
        <is>
          <t>src/domain/decumulation/index.ts</t>
        </is>
      </c>
      <c r="D381" s="3" t="n">
        <v>410</v>
      </c>
      <c r="E381" s="3" t="inlineStr">
        <is>
          <t>2 · DISPLAYED</t>
        </is>
      </c>
      <c r="F381" s="3" t="inlineStr">
        <is>
          <t>Year-by-year mandated-withdrawal schedule (ESTIMATES: future balances move with returns).</t>
        </is>
      </c>
      <c r="G381" s="11" t="inlineStr">
        <is>
          <t>rows = []
rows   when pre tax now ≤ 0
start age = max(rmd start age for(age now, now year), age now)
bal = pre tax now
r = max(0, exp return (or 0 when missing or zero))
age = start age + i
amount = rmd at age(bal, age)
the answer = rows</t>
        </is>
      </c>
      <c r="H381"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1" s="3" t="inlineStr">
        <is>
          <t>READ FROM THE CODE — rendered from the expressions the function runs</t>
        </is>
      </c>
      <c r="J381" s="3" t="inlineStr">
        <is>
          <t>1. preTaxNow: number
2. ageNow: number
3. expReturn: number
4. years = 15
5. nowYear = new Date().getFullYear()</t>
        </is>
      </c>
      <c r="K381" s="3" t="inlineStr">
        <is>
          <t>RmdYearRow[]</t>
        </is>
      </c>
      <c r="L381" s="3" t="inlineStr">
        <is>
          <t>NOT FOUND — a screen calls it, but the words printed beside its answer could not be traced automatically. Needs reading.</t>
        </is>
      </c>
      <c r="M381" s="3" t="inlineStr">
        <is>
          <t>1. If exp return is missing it counts as zero, so nothing recorded and a real zero look the same.
2. Uses today's date from the device clock, so the answer changes by itself overnight.
3. Rounds the answer to a whole number.</t>
        </is>
      </c>
      <c r="N381" s="3" t="inlineStr">
        <is>
          <t>Yes</t>
        </is>
      </c>
      <c r="O381" s="3" t="inlineStr">
        <is>
          <t>1. MK-PL-F-077 clamp
2. MK-PL-F-054 growOneYear
3. MK-PL-F-007 rmdAtAge
4. MK-PL-F-078 rmdDivisorAtAge
5. MK-PL-F-005 rmdStartAgeFor</t>
        </is>
      </c>
      <c r="P381" s="3" t="n">
        <v>23</v>
      </c>
      <c r="Q381"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81"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MK-PL-F-009</t>
        </is>
      </c>
      <c r="B382" s="3" t="inlineStr">
        <is>
          <t>rmdTakenThisYear</t>
        </is>
      </c>
      <c r="C382" s="3" t="inlineStr">
        <is>
          <t>src/domain/decumulation/index.ts</t>
        </is>
      </c>
      <c r="D382" s="3" t="n">
        <v>455</v>
      </c>
      <c r="E382" s="3" t="inlineStr">
        <is>
          <t>2 · DISPLAYED</t>
        </is>
      </c>
      <c r="F382" s="3" t="inlineStr">
        <is>
          <t>Withdrawals already taken THIS year from the pre-tax accounts (the one ledger — no side lists).</t>
        </is>
      </c>
      <c r="G382" s="11" t="inlineStr">
        <is>
          <t>ids = a list with no repeats of for each of pre tax account ids: string</t>
        </is>
      </c>
      <c r="H382" s="3" t="inlineStr">
        <is>
          <t>Ids is a list with no repeats of for each of pre tax account ids: string.</t>
        </is>
      </c>
      <c r="I382" s="3" t="inlineStr">
        <is>
          <t>READ FROM THE CODE — rendered from the expressions the function runs</t>
        </is>
      </c>
      <c r="J382" s="3" t="inlineStr">
        <is>
          <t>1. transactions: { type?: string; account_id?: string; amount?: number; date?: string }[]
2. preTaxAccountIds: string[]
3. nowYear = new Date().getFullYear()</t>
        </is>
      </c>
      <c r="K382" s="3" t="inlineStr">
        <is>
          <t>number</t>
        </is>
      </c>
      <c r="L382" s="3" t="inlineStr">
        <is>
          <t>NOT FOUND — a screen calls it, but the words printed beside its answer could not be traced automatically. Needs reading.</t>
        </is>
      </c>
      <c r="M382" s="3" t="inlineStr">
        <is>
          <t>1. If amount is missing it counts as zero, so nothing recorded and a real zero look the same.
2. Uses today's date from the device clock, so the answer changes by itself overnight.</t>
        </is>
      </c>
      <c r="N382" s="3" t="inlineStr">
        <is>
          <t>Yes</t>
        </is>
      </c>
      <c r="O382" s="3" t="inlineStr">
        <is>
          <t>1. MK-ST-F-056 has
2. MK-CF-F-132 map</t>
        </is>
      </c>
      <c r="P382" s="3" t="n">
        <v>2</v>
      </c>
      <c r="Q382" s="3" t="inlineStr">
        <is>
          <t>1. MK-ST-F-056 has
2. MK-CF-F-132 map</t>
        </is>
      </c>
      <c r="R382" s="3" t="inlineStr">
        <is>
          <t>1. MK-ST-F-056 has → MK-PL-F-009 rmdTakenThisYear
2. MK-CF-F-132 map → MK-PL-F-009 rmdTakenThisYear</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MK-PL-F-010</t>
        </is>
      </c>
      <c r="B383" s="3" t="inlineStr">
        <is>
          <t>drawOrderOutcome</t>
        </is>
      </c>
      <c r="C383" s="3" t="inlineStr">
        <is>
          <t>src/domain/decumulation/index.ts</t>
        </is>
      </c>
      <c r="D383" s="3" t="n">
        <v>504</v>
      </c>
      <c r="E383" s="3" t="inlineStr">
        <is>
          <t>2 · DISPLAYED</t>
        </is>
      </c>
      <c r="F383" s="3" t="inlineStr">
        <is>
          <t>If the draw came from the accounts in this order, how long would the money last and what tax would it cost?</t>
        </is>
      </c>
      <c r="G383"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3"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3" s="3" t="inlineStr">
        <is>
          <t>READ BY HAND 2026-08-26 — checked line by line against the code</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3" s="3" t="inlineStr">
        <is>
          <t>Yes</t>
        </is>
      </c>
      <c r="O383" s="3" t="inlineStr">
        <is>
          <t>1. MK-CF-F-155 cash
2. MK-PL-F-007 rmdAtAge
3. MK-PL-F-005 rmdStartAgeFor</t>
        </is>
      </c>
      <c r="P383" s="3" t="n">
        <v>8</v>
      </c>
      <c r="Q383" s="3" t="inlineStr">
        <is>
          <t>1. MK-CF-F-155 cash
2. MK-PL-F-007 rmdAtAge
3. MK-PL-F-005 rmdStartAgeFor
4. MK-XS-F-122 n
5. MK-PL-F-078 rmdDivisorAtAge
6. MK-ST-F-025 rmdStartAgeFromAge
7. MK-ST-F-024 rmdStartAge
8. MK-ST-F-056 has</t>
        </is>
      </c>
      <c r="R383" s="3" t="inlineStr">
        <is>
          <t>1. MK-XS-F-122 n → MK-CF-F-155 cash → MK-PL-F-010 drawOrderOutcome
2. MK-PL-F-078 rmdDivisorAtAge → MK-PL-F-007 rmdAtAge → MK-PL-F-010 drawOrderOutcome
3. MK-ST-F-056 has → MK-ST-F-024 rmdStartAge → MK-ST-F-025 rmdStartAgeFromAge → MK-PL-F-005 rmdStartAgeFor → MK-PL-F-010 drawOrderOutcome</t>
        </is>
      </c>
      <c r="S383" s="3" t="inlineStr">
        <is>
          <t>—</t>
        </is>
      </c>
      <c r="T383" s="3" t="inlineStr">
        <is>
          <t>—</t>
        </is>
      </c>
      <c r="U383" s="3" t="inlineStr">
        <is>
          <t>ACTIVE</t>
        </is>
      </c>
      <c r="V383" s="3" t="inlineStr">
        <is>
          <t>2026-09-12</t>
        </is>
      </c>
      <c r="W383" s="3" t="n"/>
      <c r="X383" s="3" t="n"/>
      <c r="Y383" s="6" t="inlineStr">
        <is>
          <t>TESTED, NOT VERIFIED (G6)</t>
        </is>
      </c>
    </row>
    <row r="384" ht="60" customHeight="1">
      <c r="A384" s="3" t="inlineStr">
        <is>
          <t>MK-PL-F-011</t>
        </is>
      </c>
      <c r="B384" s="3" t="inlineStr">
        <is>
          <t>buildGoalsState</t>
        </is>
      </c>
      <c r="C384" s="3" t="inlineStr">
        <is>
          <t>src/domain/goals/index.ts</t>
        </is>
      </c>
      <c r="D384" s="3" t="n">
        <v>45</v>
      </c>
      <c r="E384" s="3" t="inlineStr">
        <is>
          <t>3 · DEPENDENT</t>
        </is>
      </c>
      <c r="F384" s="3" t="inlineStr">
        <is>
          <t>Months to reach each goal at the given monthly savings capacity.</t>
        </is>
      </c>
      <c r="G384" s="11" t="inlineStr">
        <is>
          <t>user id = uid
goals = progress
monthly capacity = monthly capacity</t>
        </is>
      </c>
      <c r="H384" s="3" t="inlineStr">
        <is>
          <t>user id = uid; goals = progress; monthly capacity = monthly capacity.</t>
        </is>
      </c>
      <c r="I384" s="3" t="inlineStr">
        <is>
          <t>READ FROM THE CODE — rendered from the expressions the function runs</t>
        </is>
      </c>
      <c r="J384" s="3" t="inlineStr">
        <is>
          <t>1. uid: UserId
2. goals: Goal[]
3. monthlyCapacity: number</t>
        </is>
      </c>
      <c r="K384" s="3" t="inlineStr">
        <is>
          <t>GoalsState</t>
        </is>
      </c>
      <c r="L384" s="3" t="inlineStr">
        <is>
          <t>—</t>
        </is>
      </c>
      <c r="M384" s="3" t="inlineStr">
        <is>
          <t>None found in this function — anything it assumes comes from the functions it depends on.</t>
        </is>
      </c>
      <c r="N384" s="3" t="inlineStr">
        <is>
          <t>Yes</t>
        </is>
      </c>
      <c r="O384" s="3" t="inlineStr">
        <is>
          <t>1. MK-CF-F-132 map
2. MK-XS-F-175 uid
3. MK-PL-F-012 waterfall</t>
        </is>
      </c>
      <c r="P384" s="3" t="n">
        <v>81</v>
      </c>
      <c r="Q384"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4"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4" s="3" t="inlineStr">
        <is>
          <t>—</t>
        </is>
      </c>
      <c r="T384" s="3" t="inlineStr">
        <is>
          <t>—</t>
        </is>
      </c>
      <c r="U384" s="3" t="inlineStr">
        <is>
          <t>ACTIVE</t>
        </is>
      </c>
      <c r="V384" s="3" t="inlineStr">
        <is>
          <t>2026-09-09</t>
        </is>
      </c>
      <c r="W384" s="3" t="n"/>
      <c r="X384" s="3" t="n"/>
      <c r="Y384" s="3" t="inlineStr">
        <is>
          <t>NOTHING OPEN</t>
        </is>
      </c>
    </row>
    <row r="385" ht="60" customHeight="1">
      <c r="A385" s="3" t="inlineStr">
        <is>
          <t>MK-PL-F-012</t>
        </is>
      </c>
      <c r="B385" s="3" t="inlineStr">
        <is>
          <t>waterfall</t>
        </is>
      </c>
      <c r="C385" s="3" t="inlineStr">
        <is>
          <t>src/domain/goals/index.ts</t>
        </is>
      </c>
      <c r="D385" s="3" t="n">
        <v>94</v>
      </c>
      <c r="E385" s="3" t="inlineStr">
        <is>
          <t>3 · DEPENDENT</t>
        </is>
      </c>
      <c r="F385" s="3" t="inlineStr">
        <is>
          <t>NOT DETERMINED — the code carries no note saying what this is for, and it has no row in the old inventory. Needs reading.</t>
        </is>
      </c>
      <c r="G385" s="11" t="inlineStr">
        <is>
          <t>left = max(0, surplus)
steps = []
a = min(left, max(0, need)); left -= a; steps.push({ name, allocated: (a) })
the answer = steps</t>
        </is>
      </c>
      <c r="H385" s="3" t="inlineStr">
        <is>
          <t>Left is surplus, never below zero. Steps is []. A: the smaller of left and need, never below zero; left -= a; steps.push({ name, allocated: (a) }). The answer is steps.</t>
        </is>
      </c>
      <c r="I385" s="3" t="inlineStr">
        <is>
          <t>PARTLY READ — some of the code is still showing through; needs a hand pass</t>
        </is>
      </c>
      <c r="J385" s="3" t="inlineStr">
        <is>
          <t>Nothing is handed to it</t>
        </is>
      </c>
      <c r="K385" s="3" t="inlineStr">
        <is>
          <t>NOT DECLARED — the code does not say what it gives back</t>
        </is>
      </c>
      <c r="L385" s="3" t="inlineStr">
        <is>
          <t>—</t>
        </is>
      </c>
      <c r="M385" s="3" t="inlineStr">
        <is>
          <t>1. If emergency gap is missing it uses 0.
2. If toxic debt is missing it uses 0.
3. If employer match monthly is missing it uses 0.
4. Never lets surplus fall below 0.
5. Never lets need fall below 0.</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MK-PL-F-013</t>
        </is>
      </c>
      <c r="B386" s="3" t="inlineStr">
        <is>
          <t>goalsFromOnboarding</t>
        </is>
      </c>
      <c r="C386" s="3" t="inlineStr">
        <is>
          <t>src/domain/goals/index.ts</t>
        </is>
      </c>
      <c r="D386" s="3" t="n">
        <v>143</v>
      </c>
      <c r="E386" s="3" t="inlineStr">
        <is>
          <t>3 · DEPENDENT</t>
        </is>
      </c>
      <c r="F386" s="3" t="inlineStr">
        <is>
          <t>NOT DETERMINED — the code carries no note saying what this is for, and it has no row in the old inventory. Needs reading.</t>
        </is>
      </c>
      <c r="G386" s="11" t="inlineStr">
        <is>
          <t>a = op (or none when missing)
raw = goals   if array.is array(goals)
[]   otherwise
the answer:
user id = uid
goals = goals</t>
        </is>
      </c>
      <c r="H386" s="3" t="inlineStr">
        <is>
          <t>A is op (or none — when missing). Raw is goals — when array.is array(goals); [] — otherwise. The answer is user id = uid; goals = goals.</t>
        </is>
      </c>
      <c r="I386" s="3" t="inlineStr">
        <is>
          <t>PARTLY READ — some of the code is still showing through; needs a hand pass</t>
        </is>
      </c>
      <c r="J386" s="3" t="inlineStr">
        <is>
          <t>1. uid: UserId
2. op: Record&lt;string, any&gt; | null</t>
        </is>
      </c>
      <c r="K386" s="3" t="inlineStr">
        <is>
          <t>GoalsDoc</t>
        </is>
      </c>
      <c r="L386" s="3" t="inlineStr">
        <is>
          <t>—</t>
        </is>
      </c>
      <c r="M386" s="3" t="inlineStr">
        <is>
          <t>None found in this function — anything it assumes comes from the functions it depends on.</t>
        </is>
      </c>
      <c r="N386" s="3" t="inlineStr">
        <is>
          <t>Yes</t>
        </is>
      </c>
      <c r="O386" s="3" t="inlineStr">
        <is>
          <t>1. MK-CF-F-132 map
2. MK-ST-F-043 newEntityId
3. MK-ST-F-052 toNum
4. MK-XS-F-175 uid</t>
        </is>
      </c>
      <c r="P386" s="3" t="n">
        <v>79</v>
      </c>
      <c r="Q386"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86"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MK-PL-F-014</t>
        </is>
      </c>
      <c r="B387" s="3" t="inlineStr">
        <is>
          <t>loadGoals</t>
        </is>
      </c>
      <c r="C387" s="3" t="inlineStr">
        <is>
          <t>src/domain/goals/index.ts</t>
        </is>
      </c>
      <c r="D387" s="3" t="n">
        <v>171</v>
      </c>
      <c r="E387" s="3" t="inlineStr">
        <is>
          <t>3 · DEPENDENT (feeds an action only)</t>
        </is>
      </c>
      <c r="F387" s="3" t="inlineStr">
        <is>
          <t>NOT DETERMINED — the code carries no note saying what this is for, and it has no row in the old inventory. Needs reading.</t>
        </is>
      </c>
      <c r="G387" s="11" t="inlineStr">
        <is>
          <t>It reaches outside the app for data and hands back what came back — no arithmetic of its own.</t>
        </is>
      </c>
      <c r="H387" s="3" t="inlineStr">
        <is>
          <t>It reaches outside the app for data and hands back what came back — no arithmetic of its own.</t>
        </is>
      </c>
      <c r="I387" s="3" t="inlineStr">
        <is>
          <t>NO ARITHMETIC — there is no formula to state</t>
        </is>
      </c>
      <c r="J387" s="3" t="inlineStr">
        <is>
          <t>uid: UserId</t>
        </is>
      </c>
      <c r="K387" s="3" t="inlineStr">
        <is>
          <t>NOT DECLARED — the code does not say what it gives back</t>
        </is>
      </c>
      <c r="L387" s="3" t="inlineStr">
        <is>
          <t>—</t>
        </is>
      </c>
      <c r="M387" s="3" t="inlineStr">
        <is>
          <t>None found in this function — anything it assumes comes from the functions it depends on.</t>
        </is>
      </c>
      <c r="N387" s="3" t="inlineStr">
        <is>
          <t>No</t>
        </is>
      </c>
      <c r="O387" s="3" t="inlineStr">
        <is>
          <t>MK-XS-F-175 uid</t>
        </is>
      </c>
      <c r="P387" s="3" t="n">
        <v>80</v>
      </c>
      <c r="Q3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7"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MK-PL-F-015</t>
        </is>
      </c>
      <c r="B388" s="3" t="inlineStr">
        <is>
          <t>saveGoals</t>
        </is>
      </c>
      <c r="C388" s="3" t="inlineStr">
        <is>
          <t>src/domain/goals/index.ts</t>
        </is>
      </c>
      <c r="D388" s="3" t="n">
        <v>187</v>
      </c>
      <c r="E388" s="3" t="inlineStr">
        <is>
          <t>1 · ACTION</t>
        </is>
      </c>
      <c r="F388" s="3" t="inlineStr">
        <is>
          <t>NOT DETERMINED — the code carries no note saying what this is for, and it has no row in the old inventory. Needs reading.</t>
        </is>
      </c>
      <c r="G388" s="11" t="inlineStr">
        <is>
          <t>It records or announces something and returns no figure — no arithmetic of its own.</t>
        </is>
      </c>
      <c r="H388" s="3" t="inlineStr">
        <is>
          <t>It records or announces something and returns no figure — no arithmetic of its own.</t>
        </is>
      </c>
      <c r="I388" s="3" t="inlineStr">
        <is>
          <t>NO ARITHMETIC — there is no formula to state</t>
        </is>
      </c>
      <c r="J388" s="3" t="inlineStr">
        <is>
          <t>d: GoalsDoc</t>
        </is>
      </c>
      <c r="K388" s="3" t="inlineStr">
        <is>
          <t>NOT DECLARED — the code does not say what it gives back</t>
        </is>
      </c>
      <c r="L388" s="3" t="inlineStr">
        <is>
          <t>—</t>
        </is>
      </c>
      <c r="M388" s="3" t="inlineStr">
        <is>
          <t>None found in this function — anything it assumes comes from the functions it depends on.</t>
        </is>
      </c>
      <c r="N388" s="3" t="inlineStr">
        <is>
          <t>No</t>
        </is>
      </c>
      <c r="O388" s="3" t="inlineStr">
        <is>
          <t>MK-ST-F-042 setUserDoc</t>
        </is>
      </c>
      <c r="P388" s="3" t="n">
        <v>81</v>
      </c>
      <c r="Q38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8"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MK-PL-F-016</t>
        </is>
      </c>
      <c r="B389" s="3" t="inlineStr">
        <is>
          <t>availableToSaveSummary</t>
        </is>
      </c>
      <c r="C389" s="3" t="inlineStr">
        <is>
          <t>src/domain/goals/index.ts</t>
        </is>
      </c>
      <c r="D389" s="3" t="n">
        <v>222</v>
      </c>
      <c r="E389" s="3" t="inlineStr">
        <is>
          <t>2 · DISPLAYED</t>
        </is>
      </c>
      <c r="F389" s="3" t="inlineStr">
        <is>
          <t>Summarize per-month available-to-save from a 12-month cash-flow grid.</t>
        </is>
      </c>
      <c r="G389"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9"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9" s="3" t="inlineStr">
        <is>
          <t>READ FROM THE CODE — rendered from the expressions the function runs</t>
        </is>
      </c>
      <c r="J389" s="3" t="inlineStr">
        <is>
          <t>grid: { label: string; amount: number }[]</t>
        </is>
      </c>
      <c r="K389" s="3" t="inlineStr">
        <is>
          <t>SaveCapacity</t>
        </is>
      </c>
      <c r="L389" s="3" t="inlineStr">
        <is>
          <t>"Plan" — on the Goals screen</t>
        </is>
      </c>
      <c r="M389" s="3" t="inlineStr">
        <is>
          <t>· Applies a built-in rate of 25% to avg.</t>
        </is>
      </c>
      <c r="N389" s="3" t="inlineStr">
        <is>
          <t>Yes</t>
        </is>
      </c>
      <c r="O389" s="3" t="inlineStr">
        <is>
          <t>MK-CF-F-132 map</t>
        </is>
      </c>
      <c r="P389" s="3" t="n">
        <v>1</v>
      </c>
      <c r="Q389" s="3" t="inlineStr">
        <is>
          <t>MK-CF-F-132 map</t>
        </is>
      </c>
      <c r="R389" s="3" t="inlineStr">
        <is>
          <t>MK-CF-F-132 map → MK-PL-F-016 availableToSaveSummary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MK-PL-F-017</t>
        </is>
      </c>
      <c r="B390" s="3" t="inlineStr">
        <is>
          <t>sinkingFund</t>
        </is>
      </c>
      <c r="C390" s="3" t="inlineStr">
        <is>
          <t>src/domain/goals/index.ts</t>
        </is>
      </c>
      <c r="D390" s="3" t="n">
        <v>256</v>
      </c>
      <c r="E390" s="3" t="inlineStr">
        <is>
          <t>2 · DISPLAYED</t>
        </is>
      </c>
      <c r="F390" s="3" t="inlineStr">
        <is>
          <t>NOT DETERMINED — the code carries no note saying what this is for, and it has no row in the old inventory. Needs reading.</t>
        </is>
      </c>
      <c r="G390" s="11" t="inlineStr">
        <is>
          <t>monthly = max(0, monthly non monthly)
the answer:
annual = monthly × 12
monthly = monthly</t>
        </is>
      </c>
      <c r="H390" s="3" t="inlineStr">
        <is>
          <t>Monthly is monthly non monthly, never below zero. The answer is annual = monthly times 12; monthly = monthly.</t>
        </is>
      </c>
      <c r="I390" s="3" t="inlineStr">
        <is>
          <t>READ FROM THE CODE — rendered from the expressions the function runs</t>
        </is>
      </c>
      <c r="J390" s="3" t="inlineStr">
        <is>
          <t>monthlyNonMonthly: number</t>
        </is>
      </c>
      <c r="K390" s="3" t="inlineStr">
        <is>
          <t>SinkingFund</t>
        </is>
      </c>
      <c r="L390" s="3" t="inlineStr">
        <is>
          <t>NOT FOUND — a screen calls it, but the words printed beside its answer could not be traced automatically. Needs reading.</t>
        </is>
      </c>
      <c r="M390" s="3" t="inlineStr">
        <is>
          <t>1. Turns a monthly figure into a year by multiplying by twelve.
2. Never lets monthly non monthly fall below 0.</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MK-PL-F-018</t>
        </is>
      </c>
      <c r="B391" s="3" t="inlineStr">
        <is>
          <t>monthsUntil</t>
        </is>
      </c>
      <c r="C391" s="3" t="inlineStr">
        <is>
          <t>src/domain/goals/index.ts</t>
        </is>
      </c>
      <c r="D391" s="3" t="n">
        <v>292</v>
      </c>
      <c r="E391" s="3" t="inlineStr">
        <is>
          <t>2 · DISPLAYED</t>
        </is>
      </c>
      <c r="F391" s="3" t="inlineStr">
        <is>
          <t>Whole months from `now` to the target month ('YYYY-MM'); &gt;=1, or null if no/!invalid date.</t>
        </is>
      </c>
      <c r="G391" s="11" t="inlineStr">
        <is>
          <t>nothing   when target date is missing
nothing   when y is missing (or m is missing when missing or zero)
max(1, (y − now.get full year()) × 12 + (m − 1 − now.get month()))</t>
        </is>
      </c>
      <c r="H391" s="3" t="inlineStr">
        <is>
          <t>When target date is missing, it answers no answer. When y is missing (or m is missing — when missing or zero), it answers no answer. the larger of 1 and (y minus now.get full year() times 12 plus (m minus 1 minus now.get month())).</t>
        </is>
      </c>
      <c r="I391" s="3" t="inlineStr">
        <is>
          <t>PARTLY READ — some of the code is still showing through; needs a hand pass</t>
        </is>
      </c>
      <c r="J391" s="3" t="inlineStr">
        <is>
          <t>1. targetDate: string | undefined
2. now: Date</t>
        </is>
      </c>
      <c r="K391" s="3" t="inlineStr">
        <is>
          <t>number | null</t>
        </is>
      </c>
      <c r="L391" s="3" t="inlineStr">
        <is>
          <t>NOT FOUND — a screen calls it, but the words printed beside its answer could not be traced automatically. Needs reading.</t>
        </is>
      </c>
      <c r="M391" s="3" t="inlineStr">
        <is>
          <t>· Turns a monthly figure into a year by multiplying by twelve.</t>
        </is>
      </c>
      <c r="N391" s="3" t="inlineStr">
        <is>
          <t>Yes</t>
        </is>
      </c>
      <c r="O391" s="3" t="inlineStr">
        <is>
          <t>MK-CF-F-132 map</t>
        </is>
      </c>
      <c r="P391" s="3" t="n">
        <v>1</v>
      </c>
      <c r="Q391" s="3" t="inlineStr">
        <is>
          <t>MK-CF-F-132 map</t>
        </is>
      </c>
      <c r="R391" s="3" t="inlineStr">
        <is>
          <t>MK-CF-F-132 map → MK-PL-F-018 monthsUntil</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MK-PL-F-019</t>
        </is>
      </c>
      <c r="B392" s="3" t="inlineStr">
        <is>
          <t>goalMonthsRemaining</t>
        </is>
      </c>
      <c r="C392" s="3" t="inlineStr">
        <is>
          <t>src/domain/goals/index.ts</t>
        </is>
      </c>
      <c r="D392" s="3" t="n">
        <v>327</v>
      </c>
      <c r="E392" s="3" t="inlineStr">
        <is>
          <t>3 · DEPENDENT</t>
        </is>
      </c>
      <c r="F392" s="3" t="inlineStr">
        <is>
          <t>Months remaining: from the target date if set, else the goal's `duration` (months).</t>
        </is>
      </c>
      <c r="G392" s="11" t="inlineStr">
        <is>
          <t>from date = months until(target date, now)
from date   when from date ≠ nothing
d = duration read as a number
the answer:
d   if number.is finite(d) and d &gt; 0
nothing   otherwise</t>
        </is>
      </c>
      <c r="H392" s="3" t="inlineStr">
        <is>
          <t>From date is months until(target date, now). When from date is not no answer, it answers from date. D is duration read as a number. The answer is d — when number.is finite(d) and d &gt; 0; no answer — otherwise.</t>
        </is>
      </c>
      <c r="I392" s="3" t="inlineStr">
        <is>
          <t>PARTLY READ — some of the code is still showing through; needs a hand pass</t>
        </is>
      </c>
      <c r="J392" s="3" t="inlineStr">
        <is>
          <t>1. g: GoalLike
2. now: Date = new Date()</t>
        </is>
      </c>
      <c r="K392" s="3" t="inlineStr">
        <is>
          <t>number | null</t>
        </is>
      </c>
      <c r="L392" s="3" t="inlineStr">
        <is>
          <t>—</t>
        </is>
      </c>
      <c r="M392" s="3" t="inlineStr">
        <is>
          <t>· Uses today's date from the device clock, so the answer changes by itself overnight.</t>
        </is>
      </c>
      <c r="N392" s="3" t="inlineStr">
        <is>
          <t>Yes</t>
        </is>
      </c>
      <c r="O392" s="3" t="inlineStr">
        <is>
          <t>MK-PL-F-018 monthsUntil</t>
        </is>
      </c>
      <c r="P392" s="3" t="n">
        <v>2</v>
      </c>
      <c r="Q392" s="3" t="inlineStr">
        <is>
          <t>1. MK-PL-F-018 monthsUntil
2. MK-CF-F-132 map</t>
        </is>
      </c>
      <c r="R392" s="3" t="inlineStr">
        <is>
          <t>MK-CF-F-132 map → MK-PL-F-018 monthsUntil → MK-PL-F-019 goalMonthsRemaining</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MK-PL-F-020</t>
        </is>
      </c>
      <c r="B393" s="3" t="inlineStr">
        <is>
          <t>requiredMonthly</t>
        </is>
      </c>
      <c r="C393" s="3" t="inlineStr">
        <is>
          <t>src/domain/goals/index.ts</t>
        </is>
      </c>
      <c r="D393" s="3" t="n">
        <v>364</v>
      </c>
      <c r="E393" s="3" t="inlineStr">
        <is>
          <t>2 · DISPLAYED</t>
        </is>
      </c>
      <c r="F393" s="3" t="inlineStr">
        <is>
          <t>$/month still needed to hit the target on time (0 if already funded; null if no date/duration).</t>
        </is>
      </c>
      <c r="G393" s="11" t="inlineStr">
        <is>
          <t>remaining = max(0, (target or 0) − (saved or 0))
0   when remaining = 0
months = goal months remaining(g, now)
the answer:
remaining ÷ months   if months
nothing   otherwise</t>
        </is>
      </c>
      <c r="H393" s="3" t="inlineStr">
        <is>
          <t>Remaining is (target or 0, never below zero minus (saved or 0)). When remaining = 0, it answers 0. Months is goal months remaining(g, now). The answer is remaining divided by months — when months; no answer — otherwise.</t>
        </is>
      </c>
      <c r="I393" s="3" t="inlineStr">
        <is>
          <t>READ FROM THE CODE — rendered from the expressions the function runs</t>
        </is>
      </c>
      <c r="J393" s="3" t="inlineStr">
        <is>
          <t>1. g: GoalLike
2. now: Date = new Date()</t>
        </is>
      </c>
      <c r="K393" s="3" t="inlineStr">
        <is>
          <t>number | null</t>
        </is>
      </c>
      <c r="L393" s="3" t="inlineStr">
        <is>
          <t>NOT FOUND — a screen calls it, but the words printed beside its answer could not be traced automatically. Needs reading.</t>
        </is>
      </c>
      <c r="M393"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3" s="3" t="inlineStr">
        <is>
          <t>Yes</t>
        </is>
      </c>
      <c r="O393" s="3" t="inlineStr">
        <is>
          <t>MK-PL-F-019 goalMonthsRemaining</t>
        </is>
      </c>
      <c r="P393" s="3" t="n">
        <v>3</v>
      </c>
      <c r="Q393" s="3" t="inlineStr">
        <is>
          <t>1. MK-PL-F-019 goalMonthsRemaining
2. MK-PL-F-018 monthsUntil
3. MK-CF-F-132 map</t>
        </is>
      </c>
      <c r="R393" s="3" t="inlineStr">
        <is>
          <t>MK-CF-F-132 map → MK-PL-F-018 monthsUntil → MK-PL-F-019 goalMonthsRemaining → MK-PL-F-020 requiredMonthly</t>
        </is>
      </c>
      <c r="S393" s="3" t="inlineStr">
        <is>
          <t>—</t>
        </is>
      </c>
      <c r="T393" s="3" t="inlineStr">
        <is>
          <t>—</t>
        </is>
      </c>
      <c r="U393" s="3" t="inlineStr">
        <is>
          <t>ACTIVE</t>
        </is>
      </c>
      <c r="V393" s="3" t="inlineStr">
        <is>
          <t>2026-09-09</t>
        </is>
      </c>
      <c r="W393" s="3" t="n"/>
      <c r="X393" s="3" t="n"/>
      <c r="Y393" s="3" t="inlineStr">
        <is>
          <t>NOTHING OPEN</t>
        </is>
      </c>
    </row>
    <row r="394" ht="60" customHeight="1">
      <c r="A394" s="3" t="inlineStr">
        <is>
          <t>MK-PL-F-021</t>
        </is>
      </c>
      <c r="B394" s="3" t="inlineStr">
        <is>
          <t>monthsToGoal</t>
        </is>
      </c>
      <c r="C394" s="3" t="inlineStr">
        <is>
          <t>src/domain/goals/index.ts</t>
        </is>
      </c>
      <c r="D394" s="3" t="n">
        <v>399</v>
      </c>
      <c r="E394" s="3" t="inlineStr">
        <is>
          <t>2 · DISPLAYED</t>
        </is>
      </c>
      <c r="F394" s="3" t="inlineStr">
        <is>
          <t>Months to reach the goal at a given monthly contribution (0 if funded; null if contribution &lt;= 0).</t>
        </is>
      </c>
      <c r="G394" s="11" t="inlineStr">
        <is>
          <t>remaining = max(0, (target or 0) − (saved or 0))
0   when remaining = 0
the answer:
round up(remaining ÷ monthly contribution)   if monthly contribution &gt; 0
nothing   otherwise</t>
        </is>
      </c>
      <c r="H394" s="3" t="inlineStr">
        <is>
          <t>Remaining is (target or 0, never below zero minus (saved or 0)). When remaining = 0, it answers 0. The answer is remaining divided by monthly contribution, rounded up — when monthly contribution &gt; 0; no answer — otherwise.</t>
        </is>
      </c>
      <c r="I394" s="3" t="inlineStr">
        <is>
          <t>READ FROM THE CODE — rendered from the expressions the function runs</t>
        </is>
      </c>
      <c r="J394" s="3" t="inlineStr">
        <is>
          <t>1. g: GoalLike
2. monthlyContribution: number</t>
        </is>
      </c>
      <c r="K394" s="3" t="inlineStr">
        <is>
          <t>number | null</t>
        </is>
      </c>
      <c r="L394" s="3" t="inlineStr">
        <is>
          <t>NOT FOUND — a screen calls it, but the words printed beside its answer could not be traced automatically. Needs reading.</t>
        </is>
      </c>
      <c r="M394" s="3" t="inlineStr">
        <is>
          <t>1. If target is missing it counts as zero, so nothing recorded and a real zero look the same.
2. If saved is missing it counts as zero, so nothing recorded and a real zero look the same.</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MK-PL-F-022</t>
        </is>
      </c>
      <c r="B395" s="3" t="inlineStr">
        <is>
          <t>goalProgressPct</t>
        </is>
      </c>
      <c r="C395" s="3" t="inlineStr">
        <is>
          <t>src/domain/goals/index.ts</t>
        </is>
      </c>
      <c r="D395" s="3" t="n">
        <v>428</v>
      </c>
      <c r="E395" s="3" t="inlineStr">
        <is>
          <t>3 · DEPENDENT (feeds an action only)</t>
        </is>
      </c>
      <c r="F395" s="3" t="inlineStr">
        <is>
          <t>Funded %, clamped 0–100.</t>
        </is>
      </c>
      <c r="G395" s="11" t="inlineStr">
        <is>
          <t>0   when (target or 0) ≤ 0
min(100, max(0, round(((saved or 0) ÷ target) × 100)))</t>
        </is>
      </c>
      <c r="H395" s="3" t="inlineStr">
        <is>
          <t>When (target or 0) is at most 0, it answers 0. the smaller of 100 and ((saved or 0, to a whole number divided by target, never below zero times 100)).</t>
        </is>
      </c>
      <c r="I395" s="3" t="inlineStr">
        <is>
          <t>READ FROM THE CODE — rendered from the expressions the function runs</t>
        </is>
      </c>
      <c r="J395" s="3" t="inlineStr">
        <is>
          <t>g: GoalLike</t>
        </is>
      </c>
      <c r="K395" s="3" t="inlineStr">
        <is>
          <t>number</t>
        </is>
      </c>
      <c r="L395" s="3" t="inlineStr">
        <is>
          <t>—</t>
        </is>
      </c>
      <c r="M395" s="3" t="inlineStr">
        <is>
          <t>1. If target is missing it counts as zero, so nothing recorded and a real zero look the same.
2. If saved is missing it counts as zero, so nothing recorded and a real zero look the same.
3. Rounds the answer to a whole number.</t>
        </is>
      </c>
      <c r="N395" s="3" t="inlineStr">
        <is>
          <t>No</t>
        </is>
      </c>
      <c r="O395" s="3" t="inlineStr">
        <is>
          <t>MK-CF-F-155 cash</t>
        </is>
      </c>
      <c r="P395" s="3" t="n">
        <v>2</v>
      </c>
      <c r="Q395" s="3" t="inlineStr">
        <is>
          <t>1. MK-CF-F-155 cash
2. MK-XS-F-122 n</t>
        </is>
      </c>
      <c r="R395" s="3" t="inlineStr">
        <is>
          <t>MK-XS-F-122 n → MK-CF-F-155 cash → MK-PL-F-022 goalProgressPct</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MK-PL-F-023</t>
        </is>
      </c>
      <c r="B396" s="3" t="inlineStr">
        <is>
          <t>goalStatus</t>
        </is>
      </c>
      <c r="C396" s="3" t="inlineStr">
        <is>
          <t>src/domain/goals/index.ts</t>
        </is>
      </c>
      <c r="D396" s="3" t="n">
        <v>469</v>
      </c>
      <c r="E396" s="3" t="inlineStr">
        <is>
          <t>2 · DISPLAYED</t>
        </is>
      </c>
      <c r="F396" s="3" t="inlineStr">
        <is>
          <t>NOT DETERMINED — the code carries no note saying what this is for, and it has no row in the old inventory. Needs reading.</t>
        </is>
      </c>
      <c r="G396" s="11" t="inlineStr">
        <is>
          <t>'fully_funded'   when (saved or 0) ≥ (target or 0) and (target or 0) &gt; 0
req = required monthly(g, now)
'no_date'   when req = nothing
'fully_funded'   when req = 0
the answer:
'on_track'   if (funded this month or 0) + 1e − 6 ≥ req
'behind'   otherwise</t>
        </is>
      </c>
      <c r="H396"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6" s="3" t="inlineStr">
        <is>
          <t>READ FROM THE CODE — rendered from the expressions the function runs</t>
        </is>
      </c>
      <c r="J396" s="3" t="inlineStr">
        <is>
          <t>1. g: GoalLike
2. fundedThisMonth: number | null | undefined
3. now: Date = new Date()</t>
        </is>
      </c>
      <c r="K396" s="3" t="inlineStr">
        <is>
          <t>GoalStatus</t>
        </is>
      </c>
      <c r="L396" s="3" t="inlineStr">
        <is>
          <t>"Complete! 🎉" — on the rewards screen</t>
        </is>
      </c>
      <c r="M396"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6" s="3" t="inlineStr">
        <is>
          <t>Yes</t>
        </is>
      </c>
      <c r="O396" s="3" t="inlineStr">
        <is>
          <t>MK-PL-F-020 requiredMonthly</t>
        </is>
      </c>
      <c r="P396" s="3" t="n">
        <v>4</v>
      </c>
      <c r="Q396" s="3" t="inlineStr">
        <is>
          <t>1. MK-PL-F-020 requiredMonthly
2. MK-PL-F-019 goalMonthsRemaining
3. MK-PL-F-018 monthsUntil
4. MK-CF-F-132 map</t>
        </is>
      </c>
      <c r="R396" s="3" t="inlineStr">
        <is>
          <t>MK-CF-F-132 map → MK-PL-F-018 monthsUntil → MK-PL-F-019 goalMonthsRemaining → MK-PL-F-020 requiredMonthly → MK-PL-F-023 goalStatus</t>
        </is>
      </c>
      <c r="S396" s="3" t="inlineStr">
        <is>
          <t>MK-MN-M-009</t>
        </is>
      </c>
      <c r="T396" s="3" t="inlineStr">
        <is>
          <t>—</t>
        </is>
      </c>
      <c r="U396" s="3" t="inlineStr">
        <is>
          <t>ACTIVE</t>
        </is>
      </c>
      <c r="V396" s="3" t="inlineStr">
        <is>
          <t>2026-08-27</t>
        </is>
      </c>
      <c r="W396" s="3" t="n"/>
      <c r="X396" s="3" t="n"/>
      <c r="Y396" s="3" t="inlineStr">
        <is>
          <t>NOTHING OPEN</t>
        </is>
      </c>
    </row>
    <row r="397" ht="60" customHeight="1">
      <c r="A397" s="3" t="inlineStr">
        <is>
          <t>MK-PL-F-024</t>
        </is>
      </c>
      <c r="B397" s="3" t="inlineStr">
        <is>
          <t>oddsLine</t>
        </is>
      </c>
      <c r="C397" s="3" t="inlineStr">
        <is>
          <t>src/domain/planning/hub.ts</t>
        </is>
      </c>
      <c r="D397" s="3" t="n">
        <v>44</v>
      </c>
      <c r="E397" s="3" t="inlineStr">
        <is>
          <t>2 · DISPLAYED</t>
        </is>
      </c>
      <c r="F397" s="3" t="inlineStr">
        <is>
          <t>How do we state the odds in words?</t>
        </is>
      </c>
      <c r="G397" s="11" t="inlineStr">
        <is>
          <t>`${chance}% ${odds tail(horizon age)}`</t>
        </is>
      </c>
      <c r="H397" s="3" t="inlineStr">
        <is>
          <t>`${chance}% ${odds tail(horizon age)}`.</t>
        </is>
      </c>
      <c r="I397" s="3" t="inlineStr">
        <is>
          <t>PARTLY READ — some of the code is still showing through; needs a hand pass</t>
        </is>
      </c>
      <c r="J397" s="3" t="inlineStr">
        <is>
          <t>1. _lens: 'retired' | string
2. chance: number
3. horizonAge: number</t>
        </is>
      </c>
      <c r="K397" s="3" t="inlineStr">
        <is>
          <t>string</t>
        </is>
      </c>
      <c r="L397" s="3" t="inlineStr">
        <is>
          <t>1. "Draw from savings" — on the Cash flow screen, under "YOUR FUTURE PAYCHECK"
2. "WILL MY MONEY LAST?" — on a card used on more than one screen (PlanOutcome)
3. "WILL MY MONEY LAST?" — on the Home screen, under "WILL MY MONEY LAST?"</t>
        </is>
      </c>
      <c r="M397" s="3" t="inlineStr">
        <is>
          <t>None found in this function — anything it assumes comes from the functions it depends on.</t>
        </is>
      </c>
      <c r="N397" s="3" t="inlineStr">
        <is>
          <t>Yes</t>
        </is>
      </c>
      <c r="O397" s="3" t="inlineStr">
        <is>
          <t>MK-PL-F-085 oddsTail</t>
        </is>
      </c>
      <c r="P397" s="3" t="n">
        <v>1</v>
      </c>
      <c r="Q397" s="3" t="inlineStr">
        <is>
          <t>MK-PL-F-085 oddsTail</t>
        </is>
      </c>
      <c r="R397" s="3" t="inlineStr">
        <is>
          <t>MK-PL-F-085 oddsTail → MK-PL-F-024 oddsLine</t>
        </is>
      </c>
      <c r="S397" s="3" t="inlineStr">
        <is>
          <t>—</t>
        </is>
      </c>
      <c r="T397" s="3" t="inlineStr">
        <is>
          <t>ODDS_SENTENCE</t>
        </is>
      </c>
      <c r="U397" s="3" t="inlineStr">
        <is>
          <t>ACTIVE</t>
        </is>
      </c>
      <c r="V397" s="3" t="inlineStr">
        <is>
          <t>2026-10-01</t>
        </is>
      </c>
      <c r="W397" s="3" t="n"/>
      <c r="X397" s="3" t="n"/>
      <c r="Y397" s="3" t="inlineStr">
        <is>
          <t>NOTHING OPEN</t>
        </is>
      </c>
    </row>
    <row r="398" ht="60" customHeight="1">
      <c r="A398" s="3" t="inlineStr">
        <is>
          <t>MK-PL-F-025</t>
        </is>
      </c>
      <c r="B398" s="3" t="inlineStr">
        <is>
          <t>sampleOddsLine</t>
        </is>
      </c>
      <c r="C398" s="3" t="inlineStr">
        <is>
          <t>src/domain/planning/hub.ts</t>
        </is>
      </c>
      <c r="D398" s="3" t="n">
        <v>87</v>
      </c>
      <c r="E398" s="3" t="inlineStr">
        <is>
          <t>2 · DISPLAYED</t>
        </is>
      </c>
      <c r="F398" s="3" t="inlineStr">
        <is>
          <t>The same sentence for the app-wide SAMPLE, always labelled as one.</t>
        </is>
      </c>
      <c r="G398" s="11" t="inlineStr">
        <is>
          <t>`sample: ${SAMPLE_CHANCE}% odds of lasting to age ${horizon age}`</t>
        </is>
      </c>
      <c r="H398" s="3" t="inlineStr">
        <is>
          <t>`sample: ${SAMPLE_CHANCE}% odds of lasting to age ${horizon age}`.</t>
        </is>
      </c>
      <c r="I398" s="3" t="inlineStr">
        <is>
          <t>PARTLY READ — some of the code is still showing through; needs a hand pass</t>
        </is>
      </c>
      <c r="J398" s="3" t="inlineStr">
        <is>
          <t>horizonAge: number = SAMPLE_HORIZON</t>
        </is>
      </c>
      <c r="K398" s="3" t="inlineStr">
        <is>
          <t>string</t>
        </is>
      </c>
      <c r="L398" s="3" t="inlineStr">
        <is>
          <t>1. "WILL MY MONEY LAST?" — on the Plan screen, under "WILL MY MONEY LAST?"
2. "YOUR RETIREMENT PLAN" — on the Net worth screen, under "YOUR RETIREMENT PLAN"</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SAMPLE_ODDS_SENTENCE</t>
        </is>
      </c>
      <c r="U398" s="3" t="inlineStr">
        <is>
          <t>ACTIVE</t>
        </is>
      </c>
      <c r="V398" s="3" t="inlineStr">
        <is>
          <t>2026-08-27</t>
        </is>
      </c>
      <c r="W398" s="3" t="n"/>
      <c r="X398" s="3" t="n"/>
      <c r="Y398" s="6" t="inlineStr">
        <is>
          <t>TESTED, NOT VERIFIED (Odds — exact, no rounding)</t>
        </is>
      </c>
    </row>
    <row r="399" ht="60" customHeight="1">
      <c r="A399" s="3" t="inlineStr">
        <is>
          <t>MK-PL-F-026</t>
        </is>
      </c>
      <c r="B399" s="3" t="inlineStr">
        <is>
          <t>planDoor</t>
        </is>
      </c>
      <c r="C399" s="3" t="inlineStr">
        <is>
          <t>src/domain/planning/hub.ts</t>
        </is>
      </c>
      <c r="D399" s="3" t="n">
        <v>124</v>
      </c>
      <c r="E399" s="3" t="inlineStr">
        <is>
          <t>2 · DISPLAYED</t>
        </is>
      </c>
      <c r="F399" s="3" t="inlineStr">
        <is>
          <t>Is there enough to show this person their own odds?</t>
        </is>
      </c>
      <c r="G399"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9"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9" s="3" t="inlineStr">
        <is>
          <t>PARTLY READ — some of the code is still showing through; needs a hand pass</t>
        </is>
      </c>
      <c r="J399" s="3" t="inlineStr">
        <is>
          <t>1. op: Record&lt;string, any&gt; | null
2. accounts: AssetAccount[]</t>
        </is>
      </c>
      <c r="K399" s="3" t="inlineStr">
        <is>
          <t>PlanDoor</t>
        </is>
      </c>
      <c r="L399" s="3" t="inlineStr">
        <is>
          <t>"WILL MY MONEY LAST?" — on the Plan screen, under "WILL MY MONEY LAST?"</t>
        </is>
      </c>
      <c r="M399" s="3" t="inlineStr">
        <is>
          <t>· If balance is missing it counts as zero, so nothing recorded and a real zero look the same.</t>
        </is>
      </c>
      <c r="N399" s="3" t="inlineStr">
        <is>
          <t>Yes</t>
        </is>
      </c>
      <c r="O399" s="3" t="inlineStr">
        <is>
          <t>MK-NW-F-033 retirementEarmarkedValue</t>
        </is>
      </c>
      <c r="P399" s="3" t="n">
        <v>16</v>
      </c>
      <c r="Q399"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9"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9" s="3" t="inlineStr">
        <is>
          <t>MK-PL-M-001 · MK-PL-M-002</t>
        </is>
      </c>
      <c r="T399" s="3" t="inlineStr">
        <is>
          <t>WHAT_THE_PLAN_STILL_NEEDS</t>
        </is>
      </c>
      <c r="U399" s="3" t="inlineStr">
        <is>
          <t>ACTIVE</t>
        </is>
      </c>
      <c r="V399" s="3" t="inlineStr">
        <is>
          <t>2026-09-12</t>
        </is>
      </c>
      <c r="W399" s="3" t="n"/>
      <c r="X399" s="3" t="n"/>
      <c r="Y399" s="3" t="inlineStr">
        <is>
          <t>NOTHING OPEN</t>
        </is>
      </c>
    </row>
    <row r="400" ht="60" customHeight="1">
      <c r="A400" s="3" t="inlineStr">
        <is>
          <t>MK-PL-F-027</t>
        </is>
      </c>
      <c r="B400" s="3" t="inlineStr">
        <is>
          <t>nextDecision</t>
        </is>
      </c>
      <c r="C400" s="3" t="inlineStr">
        <is>
          <t>src/domain/planning/hub.ts</t>
        </is>
      </c>
      <c r="D400" s="3" t="n">
        <v>188</v>
      </c>
      <c r="E400" s="3" t="inlineStr">
        <is>
          <t>2 · DISPLAYED</t>
        </is>
      </c>
      <c r="F400" s="3" t="inlineStr">
        <is>
          <t>NOT DETERMINED — the code carries no note saying what this is for, and it has no row in the old inventory. Needs reading.</t>
        </is>
      </c>
      <c r="G400"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0"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NOT FOUND — a screen calls it, but the words printed beside its answer could not be traced automatically. Needs reading.</t>
        </is>
      </c>
      <c r="M400" s="3" t="inlineStr">
        <is>
          <t>1. Uses a built-in s a m p l e c h a n c e of 84.
2. Uses a built-in s a m p l e h o r i z o n of 90.
3. Uses today's date from the device clock, so the answer changes by itself overnight.
4. Rounds the answer to a whole number.</t>
        </is>
      </c>
      <c r="N400" s="3" t="inlineStr">
        <is>
          <t>Yes</t>
        </is>
      </c>
      <c r="O400" s="3" t="inlineStr">
        <is>
          <t>1. MK-PL-F-080 rmdRequiredThisYear
2. MK-PL-F-005 rmdStartAgeFor
3. MK-PL-F-009 rmdTakenThisYear</t>
        </is>
      </c>
      <c r="P400" s="3" t="n">
        <v>9</v>
      </c>
      <c r="Q400" s="3" t="inlineStr">
        <is>
          <t>1. MK-PL-F-080 rmdRequiredThisYear
2. MK-PL-F-005 rmdStartAgeFor
3. MK-PL-F-009 rmdTakenThisYear
4. MK-PL-F-007 rmdAtAge
5. MK-ST-F-025 rmdStartAgeFromAge
6. MK-ST-F-056 has
7. MK-CF-F-132 map
8. MK-PL-F-078 rmdDivisorAtAge
9. MK-ST-F-024 rmdStartAge</t>
        </is>
      </c>
      <c r="R400"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0" s="3" t="inlineStr">
        <is>
          <t>—</t>
        </is>
      </c>
      <c r="T400" s="3" t="inlineStr">
        <is>
          <t>—</t>
        </is>
      </c>
      <c r="U400" s="3" t="inlineStr">
        <is>
          <t>ACTIVE</t>
        </is>
      </c>
      <c r="V400" s="3" t="inlineStr">
        <is>
          <t>2026-09-08</t>
        </is>
      </c>
      <c r="W400" s="3" t="n"/>
      <c r="X400" s="3" t="n"/>
      <c r="Y400" s="3" t="inlineStr">
        <is>
          <t>NOTHING OPEN</t>
        </is>
      </c>
    </row>
    <row r="401" ht="60" customHeight="1">
      <c r="A401" s="3" t="inlineStr">
        <is>
          <t>MK-PL-F-028</t>
        </is>
      </c>
      <c r="B401" s="3" t="inlineStr">
        <is>
          <t>sampleAskLine</t>
        </is>
      </c>
      <c r="C401" s="3" t="inlineStr">
        <is>
          <t>src/domain/planning/hub.ts</t>
        </is>
      </c>
      <c r="D401" s="3" t="n">
        <v>284</v>
      </c>
      <c r="E401" s="3" t="inlineStr">
        <is>
          <t>2 · DISPLAYED</t>
        </is>
      </c>
      <c r="F401" s="3" t="inlineStr">
        <is>
          <t>The invitation under a sample: name the answers still missing, so a dead end becomes one tap.</t>
        </is>
      </c>
      <c r="G401"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1"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1" s="3" t="inlineStr">
        <is>
          <t>PARTLY READ — some of the code is still showing through; needs a hand pass</t>
        </is>
      </c>
      <c r="J401" s="3" t="inlineStr">
        <is>
          <t>missing: string[]</t>
        </is>
      </c>
      <c r="K401" s="3" t="inlineStr">
        <is>
          <t>string</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SAMPLE_ASK_SENTENCE</t>
        </is>
      </c>
      <c r="U401" s="3" t="inlineStr">
        <is>
          <t>ACTIVE</t>
        </is>
      </c>
      <c r="V401" s="3" t="inlineStr">
        <is>
          <t>2026-08-27</t>
        </is>
      </c>
      <c r="W401" s="3" t="n"/>
      <c r="X401" s="3" t="n"/>
      <c r="Y401" s="3" t="inlineStr">
        <is>
          <t>NOTHING OPEN</t>
        </is>
      </c>
    </row>
    <row r="402" ht="45" customHeight="1">
      <c r="A402" s="3" t="inlineStr">
        <is>
          <t>MK-PL-F-029</t>
        </is>
      </c>
      <c r="B402" s="3" t="inlineStr">
        <is>
          <t>shortfallAgeFromBand</t>
        </is>
      </c>
      <c r="C402" s="3" t="inlineStr">
        <is>
          <t>src/domain/planning/hub.ts</t>
        </is>
      </c>
      <c r="D402" s="3" t="n">
        <v>309</v>
      </c>
      <c r="E402" s="3" t="inlineStr">
        <is>
          <t>2 · DISPLAYED</t>
        </is>
      </c>
      <c r="F402" s="3" t="inlineStr">
        <is>
          <t>The age the middle path first hits zero, from a simulation band — null while it never does.</t>
        </is>
      </c>
      <c r="G402" s="11" t="inlineStr">
        <is>
          <t>(band ?? []).find((pt) =&gt; pt.p50 ≤ 0).age (or nothing when missing)</t>
        </is>
      </c>
      <c r="H402" s="3" t="inlineStr">
        <is>
          <t>(band ?? []).find((pt) =&gt; pt.p50 is at most 0).age (or no answer — when missing).</t>
        </is>
      </c>
      <c r="I402" s="3" t="inlineStr">
        <is>
          <t>PARTLY READ — some of the code is still showing through; needs a hand pass</t>
        </is>
      </c>
      <c r="J402" s="3" t="inlineStr">
        <is>
          <t>band?: { age: number; p50: number }[] | null</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AGE_THE_MONEY_RUNS_OUT</t>
        </is>
      </c>
      <c r="U402" s="3" t="inlineStr">
        <is>
          <t>ACTIVE</t>
        </is>
      </c>
      <c r="V402" s="3" t="inlineStr">
        <is>
          <t>2026-08-27</t>
        </is>
      </c>
      <c r="W402" s="3" t="n"/>
      <c r="X402" s="3" t="n"/>
      <c r="Y402" s="3" t="inlineStr">
        <is>
          <t>NOTHING OPEN</t>
        </is>
      </c>
    </row>
    <row r="403" ht="60" customHeight="1">
      <c r="A403" s="3" t="inlineStr">
        <is>
          <t>MK-PL-F-030</t>
        </is>
      </c>
      <c r="B403" s="3" t="inlineStr">
        <is>
          <t>onCourseSentence</t>
        </is>
      </c>
      <c r="C403" s="3" t="inlineStr">
        <is>
          <t>src/domain/planning/hub.ts</t>
        </is>
      </c>
      <c r="D403" s="3" t="n">
        <v>337</v>
      </c>
      <c r="E403" s="3" t="inlineStr">
        <is>
          <t>2 · DISPLAYED</t>
        </is>
      </c>
      <c r="F403" s="3" t="inlineStr">
        <is>
          <t>In one sentence, how is this plan doing?</t>
        </is>
      </c>
      <c r="G403"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3"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3" s="3" t="inlineStr">
        <is>
          <t>PARTLY READ — some of the code is still showing through; needs a hand pass</t>
        </is>
      </c>
      <c r="J403" s="3" t="inlineStr">
        <is>
          <t>Nothing is handed to it</t>
        </is>
      </c>
      <c r="K403" s="3" t="inlineStr">
        <is>
          <t>NOT DECLARED — the code does not say what it gives back</t>
        </is>
      </c>
      <c r="L403" s="3" t="inlineStr">
        <is>
          <t>NOT FOUND — a screen calls it, but the words printed beside its answer could not be traced automatically. Needs reading.</t>
        </is>
      </c>
      <c r="M403" s="3" t="inlineStr">
        <is>
          <t>1. If leftover at horizon is missing it uses 0.
2. Rounds the answer to a whole number.</t>
        </is>
      </c>
      <c r="N403" s="3" t="inlineStr">
        <is>
          <t>Yes</t>
        </is>
      </c>
      <c r="O403" s="3" t="inlineStr">
        <is>
          <t>MK-ST-F-053 money</t>
        </is>
      </c>
      <c r="P403" s="3" t="n">
        <v>6</v>
      </c>
      <c r="Q403" s="3" t="inlineStr">
        <is>
          <t>1. MK-ST-F-053 money
2. MK-ST-F-049 formatMoney
3. MK-XS-F-122 n
4. MK-ST-F-048 currencySymbol
5. MK-ST-F-039 on
6. MK-ST-F-047 activeCurrency</t>
        </is>
      </c>
      <c r="R403"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3" s="3" t="inlineStr">
        <is>
          <t>—</t>
        </is>
      </c>
      <c r="T403" s="3" t="inlineStr">
        <is>
          <t>ARE_YOU_ON_COURSE</t>
        </is>
      </c>
      <c r="U403" s="3" t="inlineStr">
        <is>
          <t>ACTIVE</t>
        </is>
      </c>
      <c r="V403" s="3" t="inlineStr">
        <is>
          <t>2026-08-27</t>
        </is>
      </c>
      <c r="W403" s="3" t="n"/>
      <c r="X403" s="3" t="n"/>
      <c r="Y403" s="3" t="inlineStr">
        <is>
          <t>NOTHING OPEN</t>
        </is>
      </c>
    </row>
    <row r="404" ht="60" customHeight="1">
      <c r="A404" s="3" t="inlineStr">
        <is>
          <t>MK-PL-F-031</t>
        </is>
      </c>
      <c r="B404" s="3" t="inlineStr">
        <is>
          <t>taxOrganizer</t>
        </is>
      </c>
      <c r="C404" s="3" t="inlineStr">
        <is>
          <t>src/domain/planning/index.ts</t>
        </is>
      </c>
      <c r="D404" s="3" t="n">
        <v>129</v>
      </c>
      <c r="E404" s="3" t="inlineStr">
        <is>
          <t>3 · DEPENDENT</t>
        </is>
      </c>
      <c r="F404" s="3" t="inlineStr">
        <is>
          <t>The year-end summary for the accountant: income lines, the four taxable-income steps, contributions, accounts, documents to gather.</t>
        </is>
      </c>
      <c r="G404"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4"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4" s="3" t="inlineStr">
        <is>
          <t>PARTLY READ — some of the code is still showing through; needs a hand pass</t>
        </is>
      </c>
      <c r="J404" s="3" t="inlineStr">
        <is>
          <t>1. op: OnboardingProfile | null
2. opts: { accounts?: any[]; liabilities?: any[]; actualPassive?: number; year: number }</t>
        </is>
      </c>
      <c r="K404" s="3" t="inlineStr">
        <is>
          <t>TaxOrganizer</t>
        </is>
      </c>
      <c r="L404" s="3" t="inlineStr">
        <is>
          <t>—</t>
        </is>
      </c>
      <c r="M404" s="3" t="inlineStr">
        <is>
          <t>1. If balance is missing it counts as zero, so nothing recorded and a real zero look the same.
2. Turns a monthly figure into a year by multiplying by twelve.</t>
        </is>
      </c>
      <c r="N404" s="3" t="inlineStr">
        <is>
          <t>Yes</t>
        </is>
      </c>
      <c r="O40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4" s="3" t="n">
        <v>54</v>
      </c>
      <c r="Q404"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404"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404" s="3" t="inlineStr">
        <is>
          <t>MK-MN-M-027 · MK-MN-M-028</t>
        </is>
      </c>
      <c r="T404" s="3" t="inlineStr">
        <is>
          <t>—</t>
        </is>
      </c>
      <c r="U404" s="3" t="inlineStr">
        <is>
          <t>ACTIVE</t>
        </is>
      </c>
      <c r="V404" s="3" t="inlineStr">
        <is>
          <t>2026-09-28</t>
        </is>
      </c>
      <c r="W404" s="3" t="n"/>
      <c r="X404" s="3" t="n"/>
      <c r="Y404" s="3" t="inlineStr">
        <is>
          <t>NOTHING OPEN</t>
        </is>
      </c>
    </row>
    <row r="405" ht="60" customHeight="1">
      <c r="A405" s="3" t="inlineStr">
        <is>
          <t>MK-PL-F-032</t>
        </is>
      </c>
      <c r="B405" s="3" t="inlineStr">
        <is>
          <t>rothConversionCost</t>
        </is>
      </c>
      <c r="C405" s="3" t="inlineStr">
        <is>
          <t>src/domain/planning/index.ts</t>
        </is>
      </c>
      <c r="D405" s="3" t="n">
        <v>215</v>
      </c>
      <c r="E405" s="3" t="inlineStr">
        <is>
          <t>2 · DISPLAYED</t>
        </is>
      </c>
      <c r="F405" s="3" t="inlineStr">
        <is>
          <t>───────────────────────── Roth conversion (fill a low bracket) ───────────────────────── In a low-income year (e.g.</t>
        </is>
      </c>
      <c r="G405" s="11" t="inlineStr">
        <is>
          <t>tax owed for(gross + amount, status, state rate) − tax owed for(gross, status, state rate)</t>
        </is>
      </c>
      <c r="H405" s="3" t="inlineStr">
        <is>
          <t>tax owed for(gross plus amount, status, state rate) minus tax owed for(gross, status, state rate).</t>
        </is>
      </c>
      <c r="I405" s="3" t="inlineStr">
        <is>
          <t>READ FROM THE CODE — rendered from the expressions the function runs</t>
        </is>
      </c>
      <c r="J405" s="3" t="inlineStr">
        <is>
          <t>1. gross: number
2. amount: number
3. status: import('../income/tax').FilingStatus
4. stateRate: number</t>
        </is>
      </c>
      <c r="K405" s="3" t="inlineStr">
        <is>
          <t>number</t>
        </is>
      </c>
      <c r="L405" s="3" t="inlineStr">
        <is>
          <t>NOT FOUND — a screen calls it, but the words printed beside its answer could not be traced automatically. Needs reading.</t>
        </is>
      </c>
      <c r="M405"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5" s="3" t="inlineStr">
        <is>
          <t>Yes</t>
        </is>
      </c>
      <c r="O405" s="3" t="inlineStr">
        <is>
          <t>MK-CF-F-101 taxOwedFor</t>
        </is>
      </c>
      <c r="P405" s="3" t="n">
        <v>4</v>
      </c>
      <c r="Q405" s="3" t="inlineStr">
        <is>
          <t>1. MK-CF-F-101 taxOwedFor
2. MK-CF-F-100 taxableIncomeFor
3. MK-CF-F-099 deductionFor
4. MK-CF-F-187 seniorDeductionFor</t>
        </is>
      </c>
      <c r="R405" s="3" t="inlineStr">
        <is>
          <t>MK-CF-F-187 seniorDeductionFor → MK-CF-F-099 deductionFor → MK-CF-F-100 taxableIncomeFor → MK-CF-F-101 taxOwedFor → MK-PL-F-032 rothConversionCost</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MK-PL-F-033</t>
        </is>
      </c>
      <c r="B406" s="3" t="inlineStr">
        <is>
          <t>educationPlan</t>
        </is>
      </c>
      <c r="C406" s="3" t="inlineStr">
        <is>
          <t>src/domain/planning/index.ts</t>
        </is>
      </c>
      <c r="D406" s="3" t="n">
        <v>266</v>
      </c>
      <c r="E406" s="3" t="inlineStr">
        <is>
          <t>2 · DISPLAYED</t>
        </is>
      </c>
      <c r="F406" s="3" t="inlineStr">
        <is>
          <t>NOT DETERMINED — the code carries no note saying what this is for, and it has no row in the old inventory. Needs reading.</t>
        </is>
      </c>
      <c r="G406"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6"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6" s="3" t="inlineStr">
        <is>
          <t>PARTLY READ — the body has a loop the extractor cannot render; the steps shown are the ones before it. Needs a hand pass (G23).</t>
        </is>
      </c>
      <c r="J406" s="3" t="inlineStr">
        <is>
          <t>inp: EduPlanInput</t>
        </is>
      </c>
      <c r="K406" s="3" t="inlineStr">
        <is>
          <t>EduPlan</t>
        </is>
      </c>
      <c r="L406" s="3" t="inlineStr">
        <is>
          <t>"Projected total cost" — on the College costs screen</t>
        </is>
      </c>
      <c r="M406" s="3" t="inlineStr">
        <is>
          <t>1. Uses a built-in future total cost of 0.
2. Turns a monthly figure into a year by multiplying by twelve.
3. Rounds the answer to a whole number.</t>
        </is>
      </c>
      <c r="N406" s="3" t="inlineStr">
        <is>
          <t>Yes</t>
        </is>
      </c>
      <c r="O406" s="3" t="inlineStr">
        <is>
          <t>MK-XS-F-122 n</t>
        </is>
      </c>
      <c r="P406" s="3" t="n">
        <v>1</v>
      </c>
      <c r="Q406" s="3" t="inlineStr">
        <is>
          <t>MK-XS-F-122 n</t>
        </is>
      </c>
      <c r="R406" s="3" t="inlineStr">
        <is>
          <t>MK-XS-F-122 n → MK-PL-F-033 educationPlan</t>
        </is>
      </c>
      <c r="S406" s="3" t="inlineStr">
        <is>
          <t>MK-PL-M-036 · MK-PL-M-037</t>
        </is>
      </c>
      <c r="T406" s="3" t="inlineStr">
        <is>
          <t>—</t>
        </is>
      </c>
      <c r="U406" s="3" t="inlineStr">
        <is>
          <t>ACTIVE</t>
        </is>
      </c>
      <c r="V406" s="3" t="inlineStr">
        <is>
          <t>2026-09-08</t>
        </is>
      </c>
      <c r="W406" s="3" t="n"/>
      <c r="X406" s="3" t="n"/>
      <c r="Y406" s="3" t="inlineStr">
        <is>
          <t>NOTHING OPEN</t>
        </is>
      </c>
    </row>
    <row r="407" ht="60" customHeight="1">
      <c r="A407" s="3" t="inlineStr">
        <is>
          <t>MK-PL-F-034</t>
        </is>
      </c>
      <c r="B407" s="3" t="inlineStr">
        <is>
          <t>lifeInsuranceNeed</t>
        </is>
      </c>
      <c r="C407" s="3" t="inlineStr">
        <is>
          <t>src/domain/planning/index.ts</t>
        </is>
      </c>
      <c r="D407" s="3" t="n">
        <v>329</v>
      </c>
      <c r="E407" s="3" t="inlineStr">
        <is>
          <t>2 · DISPLAYED</t>
        </is>
      </c>
      <c r="F407" s="3" t="inlineStr">
        <is>
          <t>NOT DETERMINED — the code carries no note saying what this is for, and it has no row in the old inventory. Needs reading.</t>
        </is>
      </c>
      <c r="G407" s="11" t="inlineStr">
        <is>
          <t>income replacement = max(0, inp.annual income) × math.max(0, inp.years to replace)
total need = income replacement + max(0, inp.debts) + max(0, inp.future goals) + max(0, inp.final expenses)
covered = max(0, inp.liquid savings) + math.max(0, inp.existing coverage)</t>
        </is>
      </c>
      <c r="H407"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7" s="3" t="inlineStr">
        <is>
          <t>PARTLY READ — some of the code is still showing through; needs a hand pass</t>
        </is>
      </c>
      <c r="J407" s="3" t="inlineStr">
        <is>
          <t>inp: InsuranceInput</t>
        </is>
      </c>
      <c r="K407" s="3" t="inlineStr">
        <is>
          <t>InsuranceNeed</t>
        </is>
      </c>
      <c r="L407" s="3" t="inlineStr">
        <is>
          <t>1. "Gap" — on the Insurance screen
2. "Total need" — on the Insurance screen</t>
        </is>
      </c>
      <c r="M407"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MK-PL-F-035</t>
        </is>
      </c>
      <c r="B408" s="3" t="inlineStr">
        <is>
          <t>retireAgeWithContribution</t>
        </is>
      </c>
      <c r="C408" s="3" t="inlineStr">
        <is>
          <t>src/domain/planning/multiGoal.ts</t>
        </is>
      </c>
      <c r="D408" s="3" t="n">
        <v>67</v>
      </c>
      <c r="E408" s="3" t="inlineStr">
        <is>
          <t>2 · DISPLAYED</t>
        </is>
      </c>
      <c r="F408" s="3" t="inlineStr">
        <is>
          <t>Earliest age the projection covers the need, WITH contributions until that age (F4's before/after).</t>
        </is>
      </c>
      <c r="G408" s="11" t="inlineStr">
        <is>
          <t>p = project nest egg({ ...inp, annual contribution: monthly contribution × 12, retire age: age, guaranteed start age: inp.guaranteed start age })
age   when will have ≥ will need
the answer = nothing</t>
        </is>
      </c>
      <c r="H408" s="3" t="inlineStr">
        <is>
          <t>P is project nest egg({ ...inp, annual contribution: monthly contribution times 12, retire age: age, guaranteed start age: inp.guaranteed start age }). When will have is at least will need, it answers age. The answer is no answer.</t>
        </is>
      </c>
      <c r="I408" s="3" t="inlineStr">
        <is>
          <t>READ FROM THE CODE — rendered from the expressions the function runs</t>
        </is>
      </c>
      <c r="J408" s="3" t="inlineStr">
        <is>
          <t>1. inp: RetirementInputs
2. monthlyContribution: number
3. maxAge = 80</t>
        </is>
      </c>
      <c r="K408" s="3" t="inlineStr">
        <is>
          <t>number | null</t>
        </is>
      </c>
      <c r="L408" s="3" t="inlineStr">
        <is>
          <t>NOT FOUND — a screen calls it, but the words printed beside its answer could not be traced automatically. Needs reading.</t>
        </is>
      </c>
      <c r="M408" s="3" t="inlineStr">
        <is>
          <t>· Turns a monthly figure into a year by multiplying by twelve.</t>
        </is>
      </c>
      <c r="N408" s="3" t="inlineStr">
        <is>
          <t>Yes</t>
        </is>
      </c>
      <c r="O408" s="3" t="inlineStr">
        <is>
          <t>1. MK-PL-F-055 projectNestEgg
2. MK-PL-F-050 simulate
3. MK-PL-F-056 solveRetireAge</t>
        </is>
      </c>
      <c r="P408" s="3" t="n">
        <v>24</v>
      </c>
      <c r="Q408"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8"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MK-PL-F-036</t>
        </is>
      </c>
      <c r="B409" s="3" t="inlineStr">
        <is>
          <t>weighGoals</t>
        </is>
      </c>
      <c r="C409" s="3" t="inlineStr">
        <is>
          <t>src/domain/planning/multiGoal.ts</t>
        </is>
      </c>
      <c r="D409" s="3" t="n">
        <v>117</v>
      </c>
      <c r="E409" s="3" t="inlineStr">
        <is>
          <t>2 · DISPLAYED</t>
        </is>
      </c>
      <c r="F409" s="3" t="inlineStr">
        <is>
          <t>Run the whole combination once.</t>
        </is>
      </c>
      <c r="G409"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9"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9" s="3" t="inlineStr">
        <is>
          <t>PARTLY READ — some of the code is still showing through; needs a hand pass</t>
        </is>
      </c>
      <c r="J409" s="3" t="inlineStr">
        <is>
          <t>w: WeighInputs</t>
        </is>
      </c>
      <c r="K409" s="3" t="inlineStr">
        <is>
          <t>WeighResult</t>
        </is>
      </c>
      <c r="L409" s="3" t="inlineStr">
        <is>
          <t>NOT FOUND — a screen calls it, but the words printed beside its answer could not be traced automatically. Needs reading.</t>
        </is>
      </c>
      <c r="M409"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9" s="3" t="inlineStr">
        <is>
          <t>Yes</t>
        </is>
      </c>
      <c r="O409" s="3" t="inlineStr">
        <is>
          <t>1. MK-PL-F-021 monthsToGoal
2. MK-ST-F-039 on
3. MK-CF-F-034 payoffPlan
4. MK-PL-F-035 retireAgeWithContribution
5. MK-PL-F-050 simulate</t>
        </is>
      </c>
      <c r="P409" s="3" t="n">
        <v>28</v>
      </c>
      <c r="Q409"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9"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MK-PL-F-037</t>
        </is>
      </c>
      <c r="B410" s="3" t="inlineStr">
        <is>
          <t>trimHints</t>
        </is>
      </c>
      <c r="C410" s="3" t="inlineStr">
        <is>
          <t>src/domain/planning/multiGoal.ts</t>
        </is>
      </c>
      <c r="D410" s="3" t="n">
        <v>193</v>
      </c>
      <c r="E410" s="3" t="inlineStr">
        <is>
          <t>2 · DISPLAYED</t>
        </is>
      </c>
      <c r="F410" s="3" t="inlineStr">
        <is>
          <t>One hint per active goal: the SAME weigher re-run with that dial reduced — a pre-run of the slider, so applying the hint's amount reproduces its numbers exactly (the pin).</t>
        </is>
      </c>
      <c r="G410" s="11" t="inlineStr">
        <is>
          <t>trimmed amount = max(0, round((monthly amount × reduce to) ÷ 100) × 100)
freed = monthly amount − trimmed amount
the answer:
dial id = id
label = label
trimmed amount = trimmed amount
retire age = retire age
chance = chance</t>
        </is>
      </c>
      <c r="H410"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0" s="3" t="inlineStr">
        <is>
          <t>READ FROM THE CODE — rendered from the expressions the function runs</t>
        </is>
      </c>
      <c r="J410" s="3" t="inlineStr">
        <is>
          <t>1. w: WeighInputs
2. reduceTo = 0.6</t>
        </is>
      </c>
      <c r="K410" s="3" t="inlineStr">
        <is>
          <t>TrimHint[]</t>
        </is>
      </c>
      <c r="L410" s="3" t="inlineStr">
        <is>
          <t>NOT FOUND — a screen calls it, but the words printed beside its answer could not be traced automatically. Needs reading.</t>
        </is>
      </c>
      <c r="M410" s="3" t="inlineStr">
        <is>
          <t>· Rounds the answer to a whole number.</t>
        </is>
      </c>
      <c r="N410" s="3" t="inlineStr">
        <is>
          <t>Yes</t>
        </is>
      </c>
      <c r="O410" s="3" t="inlineStr">
        <is>
          <t>1. MK-CF-F-132 map
2. MK-PL-F-036 weighGoals</t>
        </is>
      </c>
      <c r="P410" s="3" t="n">
        <v>29</v>
      </c>
      <c r="Q410"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0"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MK-PL-F-038</t>
        </is>
      </c>
      <c r="B411" s="3" t="inlineStr">
        <is>
          <t>spendMoreState</t>
        </is>
      </c>
      <c r="C411" s="3" t="inlineStr">
        <is>
          <t>src/domain/planning/spendMore.ts</t>
        </is>
      </c>
      <c r="D411" s="3" t="n">
        <v>78</v>
      </c>
      <c r="E411" s="3" t="inlineStr">
        <is>
          <t>2 · DISPLAYED</t>
        </is>
      </c>
      <c r="F411" s="3" t="inlineStr">
        <is>
          <t>How much more she could spend, and how much of it is genuinely free.</t>
        </is>
      </c>
      <c r="G411" s="11" t="inlineStr">
        <is>
          <t>today = base.retire monthly spend today
odds today = odds at(base, today)
free = 0
the answer:
max extra = max extra
free extra = free
odds today = odds today</t>
        </is>
      </c>
      <c r="H411" s="3" t="inlineStr">
        <is>
          <t>Today is base.retire monthly spend today. Odds today is odds at(base, today). Free is 0. The answer is max extra = max extra; free extra = free; odds today = odds today.</t>
        </is>
      </c>
      <c r="I411" s="3" t="inlineStr">
        <is>
          <t>READ FROM THE CODE — rendered from the expressions the function runs</t>
        </is>
      </c>
      <c r="J411" s="3" t="inlineStr">
        <is>
          <t>1. base: RetirementInputs
2. maxExtra: number
3. step = 500</t>
        </is>
      </c>
      <c r="K411" s="3" t="inlineStr">
        <is>
          <t>SpendMoreState</t>
        </is>
      </c>
      <c r="L411" s="3" t="inlineStr">
        <is>
          <t>"Can I spend more?" — on a card used on more than one screen (SpendMoreControl)</t>
        </is>
      </c>
      <c r="M411" s="3" t="inlineStr">
        <is>
          <t>· Uses a built-in free of 0.</t>
        </is>
      </c>
      <c r="N411" s="3" t="inlineStr">
        <is>
          <t>Yes</t>
        </is>
      </c>
      <c r="O411" s="3" t="inlineStr">
        <is>
          <t>MK-PL-F-069 oddsAt</t>
        </is>
      </c>
      <c r="P411" s="3" t="n">
        <v>23</v>
      </c>
      <c r="Q41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MK-PL-F-039</t>
        </is>
      </c>
      <c r="B412" s="3" t="inlineStr">
        <is>
          <t>spendMoreSentence</t>
        </is>
      </c>
      <c r="C412" s="3" t="inlineStr">
        <is>
          <t>src/domain/planning/spendMore.ts</t>
        </is>
      </c>
      <c r="D412" s="3" t="n">
        <v>119</v>
      </c>
      <c r="E412" s="3" t="inlineStr">
        <is>
          <t>2 · DISPLAYED</t>
        </is>
      </c>
      <c r="F412" s="3" t="inlineStr">
        <is>
          <t>What the screen says at a given stepper position — a real run every time, never a bucket.</t>
        </is>
      </c>
      <c r="G412" s="11" t="inlineStr">
        <is>
          <t>chance = odds at(base, base.retire monthly spend today + extra)
failing = round(100 − chance, 6 dp)
the answer:
chance = chance
tone = 'watch'
text = `lasts in almost every simulated future — about ${chance} out of 100.`</t>
        </is>
      </c>
      <c r="H412" s="3" t="inlineStr">
        <is>
          <t>Chance is odds at(base, base.retire monthly spend today plus extra). Failing is 100 minus chance, to 6 decimal places. The answer is chance = chance; tone = 'watch'; text = `lasts in almost every simulated future — about ${chance} out of 100.`.</t>
        </is>
      </c>
      <c r="I412" s="3" t="inlineStr">
        <is>
          <t>PARTLY READ — some of the code is still showing through; needs a hand pass</t>
        </is>
      </c>
      <c r="J412" s="3" t="inlineStr">
        <is>
          <t>1. base: RetirementInputs
2. extra: number
3. horizonAge: number
4. oddsToday: number</t>
        </is>
      </c>
      <c r="K412" s="3" t="inlineStr">
        <is>
          <t>NOT DECLARED — the code does not say what it gives back</t>
        </is>
      </c>
      <c r="L412" s="3" t="inlineStr">
        <is>
          <t>NOT FOUND — a screen calls it, but the words printed beside its answer could not be traced automatically. Needs reading.</t>
        </is>
      </c>
      <c r="M412" s="3" t="inlineStr">
        <is>
          <t>· Rounds the answer to 6 decimal places.</t>
        </is>
      </c>
      <c r="N412" s="3" t="inlineStr">
        <is>
          <t>Yes</t>
        </is>
      </c>
      <c r="O412" s="3" t="inlineStr">
        <is>
          <t>MK-PL-F-069 oddsAt</t>
        </is>
      </c>
      <c r="P412" s="3" t="n">
        <v>23</v>
      </c>
      <c r="Q412"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MK-PL-F-040</t>
        </is>
      </c>
      <c r="B413" s="3" t="inlineStr">
        <is>
          <t>targetAtRetirement</t>
        </is>
      </c>
      <c r="C413" s="3" t="inlineStr">
        <is>
          <t>src/domain/planning/target.ts</t>
        </is>
      </c>
      <c r="D413" s="3" t="n">
        <v>107</v>
      </c>
      <c r="E413" s="3" t="inlineStr">
        <is>
          <t>2 · DISPLAYED</t>
        </is>
      </c>
      <c r="F413" s="3" t="inlineStr">
        <is>
          <t>THE TARGET: the balance on day one of retirement that reaches TARGET_ODDS.</t>
        </is>
      </c>
      <c r="G413"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3"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3" s="3" t="inlineStr">
        <is>
          <t>PARTLY READ — the body has a loop the extractor cannot render; the steps shown are the ones before it. Needs a hand pass (G23).</t>
        </is>
      </c>
      <c r="J413" s="3" t="inlineStr">
        <is>
          <t>base: RetirementInputs</t>
        </is>
      </c>
      <c r="K413" s="3" t="inlineStr">
        <is>
          <t>number | null</t>
        </is>
      </c>
      <c r="L413" s="3" t="inlineStr">
        <is>
          <t>NOT FOUND — a screen calls it, but the words printed beside its answer could not be traced automatically. Needs reading.</t>
        </is>
      </c>
      <c r="M413" s="3" t="inlineStr">
        <is>
          <t>None found in this function — anything it assumes comes from the functions it depends on.</t>
        </is>
      </c>
      <c r="N413" s="3" t="inlineStr">
        <is>
          <t>Yes</t>
        </is>
      </c>
      <c r="O413" s="3" t="inlineStr">
        <is>
          <t>1. MK-CF-O-002 expenses
2. MK-PL-F-071 oddsOf
3. MK-PL-F-070 smallestThatWorks</t>
        </is>
      </c>
      <c r="P413" s="3" t="n">
        <v>24</v>
      </c>
      <c r="Q413"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3"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3" s="3" t="inlineStr">
        <is>
          <t>—</t>
        </is>
      </c>
      <c r="T413" s="3" t="inlineStr">
        <is>
          <t>—</t>
        </is>
      </c>
      <c r="U413" s="3" t="inlineStr">
        <is>
          <t>ACTIVE</t>
        </is>
      </c>
      <c r="V413" s="3" t="inlineStr">
        <is>
          <t>2026-09-14</t>
        </is>
      </c>
      <c r="W413" s="3" t="n"/>
      <c r="X413" s="3" t="n"/>
      <c r="Y413" s="3" t="inlineStr">
        <is>
          <t>NOTHING OPEN</t>
        </is>
      </c>
    </row>
    <row r="414" ht="60" customHeight="1">
      <c r="A414" s="3" t="inlineStr">
        <is>
          <t>MK-PL-F-041</t>
        </is>
      </c>
      <c r="B414" s="3" t="inlineStr">
        <is>
          <t>requiredAnnualSaving</t>
        </is>
      </c>
      <c r="C414" s="3" t="inlineStr">
        <is>
          <t>src/domain/planning/target.ts</t>
        </is>
      </c>
      <c r="D414" s="3" t="n">
        <v>161</v>
      </c>
      <c r="E414" s="3" t="inlineStr">
        <is>
          <t>3 · DEPENDENT</t>
        </is>
      </c>
      <c r="F414" s="3" t="inlineStr">
        <is>
          <t>THE YEARLY SAVING: the total annual contribution that reaches TARGET_ODDS on the real plan — the one with their age, their years left, their expenses, their big costs.</t>
        </is>
      </c>
      <c r="G414"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4"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4" s="3" t="inlineStr">
        <is>
          <t>PARTLY READ — the body has a loop the extractor cannot render; the steps shown are the ones before it. Needs a hand pass (G23).</t>
        </is>
      </c>
      <c r="J414" s="3" t="inlineStr">
        <is>
          <t>base: RetirementInputs</t>
        </is>
      </c>
      <c r="K414" s="3" t="inlineStr">
        <is>
          <t>NOT DECLARED — the code does not say what it gives back</t>
        </is>
      </c>
      <c r="L414" s="3" t="inlineStr">
        <is>
          <t>—</t>
        </is>
      </c>
      <c r="M414" s="3" t="inlineStr">
        <is>
          <t>· If annual contribution is missing it uses 0.</t>
        </is>
      </c>
      <c r="N414" s="3" t="inlineStr">
        <is>
          <t>Yes</t>
        </is>
      </c>
      <c r="O414" s="3" t="inlineStr">
        <is>
          <t>1. MK-PL-F-071 oddsOf
2. MK-PL-F-070 smallestThatWorks</t>
        </is>
      </c>
      <c r="P414" s="3" t="n">
        <v>24</v>
      </c>
      <c r="Q414"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4"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4" s="3" t="inlineStr">
        <is>
          <t>—</t>
        </is>
      </c>
      <c r="T414" s="3" t="inlineStr">
        <is>
          <t>—</t>
        </is>
      </c>
      <c r="U414" s="3" t="inlineStr">
        <is>
          <t>ACTIVE</t>
        </is>
      </c>
      <c r="V414" s="3" t="inlineStr">
        <is>
          <t>2026-09-14</t>
        </is>
      </c>
      <c r="W414" s="3" t="n"/>
      <c r="X414" s="3" t="n"/>
      <c r="Y414" s="3" t="inlineStr">
        <is>
          <t>NOTHING OPEN</t>
        </is>
      </c>
    </row>
    <row r="415" ht="60" customHeight="1">
      <c r="A415" s="3" t="inlineStr">
        <is>
          <t>MK-PL-F-042</t>
        </is>
      </c>
      <c r="B415" s="3" t="inlineStr">
        <is>
          <t>savingToReachTarget</t>
        </is>
      </c>
      <c r="C415" s="3" t="inlineStr">
        <is>
          <t>src/domain/planning/target.ts</t>
        </is>
      </c>
      <c r="D415" s="3" t="n">
        <v>220</v>
      </c>
      <c r="E415" s="3" t="inlineStr">
        <is>
          <t>3 · DEPENDENT</t>
        </is>
      </c>
      <c r="F415" s="3" t="inlineStr">
        <is>
          <t>The yearly saving whose PROJECTION reaches a typed target.</t>
        </is>
      </c>
      <c r="G415" s="11" t="inlineStr">
        <is>
          <t>found = smallest that works(0, MAX_SAVING, 500, (x) =&gt; projected with(x) ≥ typed target)
nothing   when found = nothing
total = round up(found ÷ 500) × 500
the answer:
total = total
extra = max(0, total − (base.annual contribution ?? 0))</t>
        </is>
      </c>
      <c r="H415"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5" s="3" t="inlineStr">
        <is>
          <t>PARTLY READ — some of the code is still showing through; needs a hand pass</t>
        </is>
      </c>
      <c r="J415" s="3" t="inlineStr">
        <is>
          <t>1. base: RetirementInputs
2. typedTarget: number</t>
        </is>
      </c>
      <c r="K415" s="3" t="inlineStr">
        <is>
          <t>NOT DECLARED — the code does not say what it gives back</t>
        </is>
      </c>
      <c r="L415" s="3" t="inlineStr">
        <is>
          <t>—</t>
        </is>
      </c>
      <c r="M415" s="3" t="inlineStr">
        <is>
          <t>· If annual contribution is missing it uses 0.</t>
        </is>
      </c>
      <c r="N415" s="3" t="inlineStr">
        <is>
          <t>Yes</t>
        </is>
      </c>
      <c r="O415" s="3" t="inlineStr">
        <is>
          <t>1. MK-PL-F-050 simulate
2. MK-PL-F-070 smallestThatWorks</t>
        </is>
      </c>
      <c r="P415" s="3" t="n">
        <v>23</v>
      </c>
      <c r="Q415"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5"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MK-PL-F-043</t>
        </is>
      </c>
      <c r="B416" s="3" t="inlineStr">
        <is>
          <t>howTheGapCloses</t>
        </is>
      </c>
      <c r="C416" s="3" t="inlineStr">
        <is>
          <t>src/domain/planning/target.ts</t>
        </is>
      </c>
      <c r="D416" s="3" t="n">
        <v>254</v>
      </c>
      <c r="E416" s="3" t="inlineStr">
        <is>
          <t>2 · DISPLAYED</t>
        </is>
      </c>
      <c r="F416" s="3" t="inlineStr">
        <is>
          <t>Where the money to close the gap actually comes from — the breakdown that stops a person subtracting and concluding the app cannot add up (founder, 2026-08-14).</t>
        </is>
      </c>
      <c r="G416" s="11" t="inlineStr">
        <is>
          <t>years = max(0, base.retire age − base.current age)
no saving = simulate({ ...base, annual contribution: 0 }).projected at retirement
with saving = simulate({ ...base, annual contribution: total annual saving }).projected at retirement
put in = total annual saving × years</t>
        </is>
      </c>
      <c r="H416"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6" s="3" t="inlineStr">
        <is>
          <t>PARTLY READ — some of the code is still showing through; needs a hand pass</t>
        </is>
      </c>
      <c r="J416" s="3" t="inlineStr">
        <is>
          <t>1. base: RetirementInputs
2. totalAnnualSaving: number</t>
        </is>
      </c>
      <c r="K416" s="3" t="inlineStr">
        <is>
          <t>NOT DECLARED — the code does not say what it gives back</t>
        </is>
      </c>
      <c r="L416" s="3" t="inlineStr">
        <is>
          <t>NOT FOUND — a screen calls it, but the words printed beside its answer could not be traced automatically. Needs reading.</t>
        </is>
      </c>
      <c r="M416" s="3" t="inlineStr">
        <is>
          <t>None found in this function — anything it assumes comes from the functions it depends on.</t>
        </is>
      </c>
      <c r="N416" s="3" t="inlineStr">
        <is>
          <t>Yes</t>
        </is>
      </c>
      <c r="O416" s="3" t="inlineStr">
        <is>
          <t>1. MK-XS-F-147 call
2. MK-PL-F-050 simulate</t>
        </is>
      </c>
      <c r="P416" s="3" t="n">
        <v>26</v>
      </c>
      <c r="Q416"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6"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MK-PL-F-044</t>
        </is>
      </c>
      <c r="B417" s="3" t="inlineStr">
        <is>
          <t>planTarget</t>
        </is>
      </c>
      <c r="C417" s="3" t="inlineStr">
        <is>
          <t>src/domain/planning/target.ts</t>
        </is>
      </c>
      <c r="D417" s="3" t="n">
        <v>323</v>
      </c>
      <c r="E417" s="3" t="inlineStr">
        <is>
          <t>2 · DISPLAYED</t>
        </is>
      </c>
      <c r="F417" s="3" t="inlineStr">
        <is>
          <t>One call, everything the second gauge and the bridge sentence need.</t>
        </is>
      </c>
      <c r="G417"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7"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7" s="3" t="inlineStr">
        <is>
          <t>PARTLY READ — some of the code is still showing through; needs a hand pass</t>
        </is>
      </c>
      <c r="J417" s="3" t="inlineStr">
        <is>
          <t>1. base: RetirementInputs
2. annualIncome?: number
3. roomAnnual?: number
4. typedTarget?: number | null</t>
        </is>
      </c>
      <c r="K417" s="3" t="inlineStr">
        <is>
          <t>PlanTarget</t>
        </is>
      </c>
      <c r="L417" s="3" t="inlineStr">
        <is>
          <t>NOT FOUND — a screen calls it, but the words printed beside its answer could not be traced automatically. Needs reading.</t>
        </is>
      </c>
      <c r="M417" s="3" t="inlineStr">
        <is>
          <t>1. If annual contribution is missing it uses 0.
2. Rounds the answer to a whole number.</t>
        </is>
      </c>
      <c r="N417" s="3" t="inlineStr">
        <is>
          <t>Yes</t>
        </is>
      </c>
      <c r="O417" s="3" t="inlineStr">
        <is>
          <t>1. MK-PL-F-041 requiredAnnualSaving
2. MK-PL-F-042 savingToReachTarget
3. MK-PL-F-050 simulate
4. MK-PL-F-040 targetAtRetirement</t>
        </is>
      </c>
      <c r="P417" s="3" t="n">
        <v>27</v>
      </c>
      <c r="Q417"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7"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MK-PL-F-045</t>
        </is>
      </c>
      <c r="B418" s="3" t="inlineStr">
        <is>
          <t>ssUpliftFactor</t>
        </is>
      </c>
      <c r="C418" s="3" t="inlineStr">
        <is>
          <t>src/domain/planning/target.ts</t>
        </is>
      </c>
      <c r="D418" s="3" t="n">
        <v>382</v>
      </c>
      <c r="E418" s="3" t="inlineStr">
        <is>
          <t>3 · DEPENDENT</t>
        </is>
      </c>
      <c r="F418" s="3" t="inlineStr">
        <is>
          <t>Social Security pays roughly 8% more for each year you delay past full retirement age — the claim-later lever has to raise the CHECK, not just move its start date.</t>
        </is>
      </c>
      <c r="G418" s="11" t="inlineStr">
        <is>
          <t>1 + 0.08 × max(0, to age − from age)</t>
        </is>
      </c>
      <c r="H418" s="3" t="inlineStr">
        <is>
          <t>1 plus 0.08 times to age minus from age, never below zero.</t>
        </is>
      </c>
      <c r="I418" s="3" t="inlineStr">
        <is>
          <t>READ FROM THE CODE — rendered from the expressions the function runs</t>
        </is>
      </c>
      <c r="J418" s="3" t="inlineStr">
        <is>
          <t>1. fromAge: number
2. toAge: number</t>
        </is>
      </c>
      <c r="K418" s="3" t="inlineStr">
        <is>
          <t>number</t>
        </is>
      </c>
      <c r="L418" s="3" t="inlineStr">
        <is>
          <t>—</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MK-PL-F-046</t>
        </is>
      </c>
      <c r="B419" s="3" t="inlineStr">
        <is>
          <t>leverDeltas</t>
        </is>
      </c>
      <c r="C419" s="3" t="inlineStr">
        <is>
          <t>src/domain/planning/target.ts</t>
        </is>
      </c>
      <c r="D419" s="3" t="n">
        <v>417</v>
      </c>
      <c r="E419" s="3" t="inlineStr">
        <is>
          <t>2 · DISPLAYED</t>
        </is>
      </c>
      <c r="F419" s="3" t="inlineStr">
        <is>
          <t>NOT DETERMINED — the code carries no note saying what this is for, and it has no row in the old inventory. Needs reading.</t>
        </is>
      </c>
      <c r="G419"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9"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9" s="3" t="inlineStr">
        <is>
          <t>PARTLY READ — some of the code is still showing through; needs a hand pass</t>
        </is>
      </c>
      <c r="J419" s="3" t="inlineStr">
        <is>
          <t>1. base: RetirementInputs
2. opts: { spendCutMonthly?: number; retireLaterYears?: number; claimAge?: number } = {}</t>
        </is>
      </c>
      <c r="K419" s="3" t="inlineStr">
        <is>
          <t>Lever[]</t>
        </is>
      </c>
      <c r="L419" s="3" t="inlineStr">
        <is>
          <t>NOT FOUND — a screen calls it, but the words printed beside its answer could not be traced automatically. Needs reading.</t>
        </is>
      </c>
      <c r="M419" s="3" t="inlineStr">
        <is>
          <t>1. If retire later years is missing it uses 2.
2. If spend cut monthly is missing it uses 400.
3. If claim age is missing it uses 70.
4. If guaranteed monthly income is missing it uses 0.
5. Rounds the answer to a whole number.</t>
        </is>
      </c>
      <c r="N419" s="3" t="inlineStr">
        <is>
          <t>Yes</t>
        </is>
      </c>
      <c r="O419" s="3" t="inlineStr">
        <is>
          <t>1. MK-CF-F-132 map
2. MK-PL-F-071 oddsOf
3. MK-PL-F-051 ssStreamOf
4. MK-PL-F-045 ssUpliftFactor
5. MK-PL-F-052 withSsStream</t>
        </is>
      </c>
      <c r="P419" s="3" t="n">
        <v>26</v>
      </c>
      <c r="Q419"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9"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MK-PL-F-047</t>
        </is>
      </c>
      <c r="B420" s="3" t="inlineStr">
        <is>
          <t>colFactor</t>
        </is>
      </c>
      <c r="C420" s="3" t="inlineStr">
        <is>
          <t>src/domain/retirement/col.ts</t>
        </is>
      </c>
      <c r="D420" s="3" t="n">
        <v>79</v>
      </c>
      <c r="E420" s="3" t="inlineStr">
        <is>
          <t>2 · DISPLAYED</t>
        </is>
      </c>
      <c r="F420" s="3" t="inlineStr">
        <is>
          <t>Cost-of-living factor for a free-text location.</t>
        </is>
      </c>
      <c r="G420" s="11" t="inlineStr">
        <is>
          <t>q = string(location ?? '').trim().to lower case()
factor = 1
name = nothing   when q is missing
the answer:
factor = row.factor
name = row.name
[LOOP — the answer is found inside a loop the extractor cannot render; the steps above are the ones before it. Read by hand.]</t>
        </is>
      </c>
      <c r="H420" s="3" t="inlineStr">
        <is>
          <t>Q is string(location ?? '').trim().to lower case(). When q is missing, it answers factor = 1; name is missing. The answer is factor = row.factor; name = row.name. The answer is found inside a loop that cannot be rendered here; read the code by hand.</t>
        </is>
      </c>
      <c r="I420" s="3" t="inlineStr">
        <is>
          <t>PARTLY READ — the body has a loop the extractor cannot render; the steps shown are the ones before it. Needs a hand pass (G23).</t>
        </is>
      </c>
      <c r="J420" s="3" t="inlineStr">
        <is>
          <t>location?: string | null</t>
        </is>
      </c>
      <c r="K420" s="3" t="inlineStr">
        <is>
          <t>ColMatch</t>
        </is>
      </c>
      <c r="L420" s="3" t="inlineStr">
        <is>
          <t>1. "Country / region" — on the setup questions, which appear on more than one screen
2. "You plan to spend" — on the Retirement cockpit screen</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COST_OF_LIVING</t>
        </is>
      </c>
      <c r="U420" s="3" t="inlineStr">
        <is>
          <t>ACTIVE</t>
        </is>
      </c>
      <c r="V420" s="3" t="inlineStr">
        <is>
          <t>2026-09-08</t>
        </is>
      </c>
      <c r="W420" s="3" t="n"/>
      <c r="X420" s="3" t="n"/>
      <c r="Y420" s="3" t="inlineStr">
        <is>
          <t>NOTHING OPEN</t>
        </is>
      </c>
    </row>
    <row r="421" ht="60" customHeight="1">
      <c r="A421" s="3" t="inlineStr">
        <is>
          <t>MK-PL-F-048</t>
        </is>
      </c>
      <c r="B421" s="3" t="inlineStr">
        <is>
          <t>capitalNeeded</t>
        </is>
      </c>
      <c r="C421" s="3" t="inlineStr">
        <is>
          <t>src/domain/retirement/index.ts</t>
        </is>
      </c>
      <c r="D421" s="3" t="n">
        <v>61</v>
      </c>
      <c r="E421" s="3" t="inlineStr">
        <is>
          <t>2 · DISPLAYED</t>
        </is>
      </c>
      <c r="F421" s="3" t="inlineStr">
        <is>
          <t>NOT DETERMINED — the code carries no note saying what this is for, and it has no row in the old inventory. Needs reading.</t>
        </is>
      </c>
      <c r="G421"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1"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1" s="3" t="inlineStr">
        <is>
          <t>PARTLY READ — some of the code is still showing through; needs a hand pass</t>
        </is>
      </c>
      <c r="J421" s="3" t="inlineStr">
        <is>
          <t>inp: CapitalNeedInputs</t>
        </is>
      </c>
      <c r="K421" s="3" t="inlineStr">
        <is>
          <t>CapitalNeed</t>
        </is>
      </c>
      <c r="L421"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1" s="3" t="inlineStr">
        <is>
          <t>1. Turns a monthly figure into a year by multiplying by twelve.
2. Never lets r fall below 0.</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MK-PL-F-049</t>
        </is>
      </c>
      <c r="B422" s="3" t="inlineStr">
        <is>
          <t>retirementSpendMonthly</t>
        </is>
      </c>
      <c r="C422" s="3" t="inlineStr">
        <is>
          <t>src/domain/retirement/index.ts</t>
        </is>
      </c>
      <c r="D422" s="3" t="n">
        <v>113</v>
      </c>
      <c r="E422" s="3" t="inlineStr">
        <is>
          <t>2 · DISPLAYED</t>
        </is>
      </c>
      <c r="F422" s="3" t="inlineStr">
        <is>
          <t>All-in monthly retirement spend = base + travel + medical (annual→monthly), adjusted by the expected trajectory (spend less / same / more later) and the retirement location's cost-of-living factor (retLocation).</t>
        </is>
      </c>
      <c r="G422"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2"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2" s="3" t="inlineStr">
        <is>
          <t>PARTLY READ — some of the code is still showing through; needs a hand pass</t>
        </is>
      </c>
      <c r="J422" s="3" t="inlineStr">
        <is>
          <t>op: OnboardingProfile | null</t>
        </is>
      </c>
      <c r="K422" s="3" t="inlineStr">
        <is>
          <t>number</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1. MK-PL-F-047 colFactor
2. MK-CF-O-002 expenses
3. MK-PL-F-001 taxBucketSplit
4. MK-ST-F-052 toNum</t>
        </is>
      </c>
      <c r="P422" s="3" t="n">
        <v>28</v>
      </c>
      <c r="Q422"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2"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2" s="3" t="inlineStr">
        <is>
          <t>MK-PL-M-009</t>
        </is>
      </c>
      <c r="T422" s="3" t="inlineStr">
        <is>
          <t>RETIREMENT_SPENDING</t>
        </is>
      </c>
      <c r="U422" s="3" t="inlineStr">
        <is>
          <t>ACTIVE</t>
        </is>
      </c>
      <c r="V422" s="3" t="inlineStr">
        <is>
          <t>2026-09-12</t>
        </is>
      </c>
      <c r="W422" s="3" t="n"/>
      <c r="X422" s="3" t="n"/>
      <c r="Y422" s="3" t="inlineStr">
        <is>
          <t>NOTHING OPEN</t>
        </is>
      </c>
    </row>
    <row r="423" ht="60" customHeight="1">
      <c r="A423" s="3" t="inlineStr">
        <is>
          <t>MK-PL-F-050</t>
        </is>
      </c>
      <c r="B423" s="3" t="inlineStr">
        <is>
          <t>simulate</t>
        </is>
      </c>
      <c r="C423" s="3" t="inlineStr">
        <is>
          <t>src/domain/retirement/index.ts</t>
        </is>
      </c>
      <c r="D423" s="3" t="n">
        <v>372</v>
      </c>
      <c r="E423" s="3" t="inlineStr">
        <is>
          <t>2 · DISPLAYED</t>
        </is>
      </c>
      <c r="F423" s="3" t="inlineStr">
        <is>
          <t>B4 (founder brief 2026-08-20): the RMD rule lives in the ONE dated, sourced table — the Calculation Module's rmd function.</t>
        </is>
      </c>
      <c r="G423"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3"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3" s="3" t="inlineStr">
        <is>
          <t>PARTLY READ — some of the code is still showing through; needs a hand pass</t>
        </is>
      </c>
      <c r="J423" s="3" t="inlineStr">
        <is>
          <t>inp: RetirementInputs</t>
        </is>
      </c>
      <c r="K423" s="3" t="inlineStr">
        <is>
          <t>NOT DECLARED — the code does not say what it gives back</t>
        </is>
      </c>
      <c r="L423" s="3" t="inlineStr">
        <is>
          <t>1. "Claim at age" — on the Retirement cockpit screen
2. "Run Monte Carlo simulation" — on the Retirement cockpit screen</t>
        </is>
      </c>
      <c r="M423"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3" s="3" t="inlineStr">
        <is>
          <t>Yes</t>
        </is>
      </c>
      <c r="O423" s="3" t="inlineStr">
        <is>
          <t>1. MK-CF-O-002 expenses
2. MK-CF-F-132 map
3. MK-PL-F-074 median
4. MK-PL-F-072 mulberry32
5. MK-XS-F-122 n
6. MK-PL-F-073 normal
7. MK-PL-F-075 pctOfSorted
8. MK-ST-F-025 rmdStartAgeFromAge</t>
        </is>
      </c>
      <c r="P423" s="3" t="n">
        <v>21</v>
      </c>
      <c r="Q423"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3"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3" s="3" t="inlineStr">
        <is>
          <t>MK-CF-M-022 · MK-PL-M-034 · MK-XS-M-002</t>
        </is>
      </c>
      <c r="T423" s="3" t="inlineStr">
        <is>
          <t>WILL_IT_LAST</t>
        </is>
      </c>
      <c r="U423" s="3" t="inlineStr">
        <is>
          <t>ACTIVE</t>
        </is>
      </c>
      <c r="V423" s="3" t="inlineStr">
        <is>
          <t>2026-09-08</t>
        </is>
      </c>
      <c r="W423" s="3" t="n"/>
      <c r="X423" s="3" t="n"/>
      <c r="Y423" s="6" t="inlineStr">
        <is>
          <t>TESTED, NOT VERIFIED (G14, G17, G7, Odds — exact, no rounding)</t>
        </is>
      </c>
    </row>
    <row r="424" ht="60" customHeight="1">
      <c r="A424" s="3" t="inlineStr">
        <is>
          <t>MK-PL-F-051</t>
        </is>
      </c>
      <c r="B424" s="3" t="inlineStr">
        <is>
          <t>ssStreamOf</t>
        </is>
      </c>
      <c r="C424" s="3" t="inlineStr">
        <is>
          <t>src/domain/retirement/index.ts</t>
        </is>
      </c>
      <c r="D424" s="3" t="n">
        <v>521</v>
      </c>
      <c r="E424" s="3" t="inlineStr">
        <is>
          <t>3 · DEPENDENT</t>
        </is>
      </c>
      <c r="F424" s="3" t="inlineStr">
        <is>
          <t>The Social Security stream inside an input set, when streams are in use.</t>
        </is>
      </c>
      <c r="G424" s="11" t="inlineStr">
        <is>
          <t>st = (inp.guaranteed streams ?? []).find((x) =&gt; kind = 'ss')
the answer:
monthly = st.monthly
start age = st.start age   if st
nothing   otherwise</t>
        </is>
      </c>
      <c r="H424" s="3" t="inlineStr">
        <is>
          <t>St is (inp.guaranteed streams ?? []).find((x) =&gt; kind = 'ss'). The answer is monthly = st.monthly; start age = st.start age — when st; no answer — otherwise.</t>
        </is>
      </c>
      <c r="I424" s="3" t="inlineStr">
        <is>
          <t>PARTLY READ — some of the code is still showing through; needs a hand pass</t>
        </is>
      </c>
      <c r="J424" s="3" t="inlineStr">
        <is>
          <t>inp: RetirementInputs</t>
        </is>
      </c>
      <c r="K424" s="3" t="inlineStr">
        <is>
          <t>NOT DECLARED — the code does not say what it gives back</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MK-PL-F-052</t>
        </is>
      </c>
      <c r="B425" s="3" t="inlineStr">
        <is>
          <t>withSsStream</t>
        </is>
      </c>
      <c r="C425" s="3" t="inlineStr">
        <is>
          <t>src/domain/retirement/index.ts</t>
        </is>
      </c>
      <c r="D425" s="3" t="n">
        <v>550</v>
      </c>
      <c r="E425" s="3" t="inlineStr">
        <is>
          <t>2 · DISPLAYED</t>
        </is>
      </c>
      <c r="F425" s="3" t="inlineStr">
        <is>
          <t>An input set with its Social Security stream replaced — the ONE way a decision screen patches a claim scenario, so the flat streams ride along untouched and the legacy fields stay in step for anything still reading them.</t>
        </is>
      </c>
      <c r="G425" s="11" t="inlineStr">
        <is>
          <t>others = inp.guaranteed streams (or none when missing) where kind ! = 'ss'</t>
        </is>
      </c>
      <c r="H425" s="3" t="inlineStr">
        <is>
          <t>Others is inp.guaranteed streams (or none — when missing) where kind ! = 'ss'.</t>
        </is>
      </c>
      <c r="I425" s="3" t="inlineStr">
        <is>
          <t>PARTLY READ — some of the code is still showing through; needs a hand pass</t>
        </is>
      </c>
      <c r="J425" s="3" t="inlineStr">
        <is>
          <t>1. inp: RetirementInputs
2. monthly: number
3. claimAge: number</t>
        </is>
      </c>
      <c r="K425" s="3" t="inlineStr">
        <is>
          <t>RetirementInputs</t>
        </is>
      </c>
      <c r="L425" s="3" t="inlineStr">
        <is>
          <t>NOT FOUND — a screen calls it, but the words printed beside its answer could not be traced automatically. Needs reading.</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MK-PL-F-053</t>
        </is>
      </c>
      <c r="B426" s="3" t="inlineStr">
        <is>
          <t>buildRetirementState</t>
        </is>
      </c>
      <c r="C426" s="3" t="inlineStr">
        <is>
          <t>src/domain/retirement/index.ts</t>
        </is>
      </c>
      <c r="D426" s="3" t="n">
        <v>584</v>
      </c>
      <c r="E426" s="3" t="inlineStr">
        <is>
          <t>3 · DEPENDENT</t>
        </is>
      </c>
      <c r="F426" s="3" t="inlineStr">
        <is>
          <t>NOT DETERMINED — the code carries no note saying what this is for, and it has no row in the old inventory. Needs reading.</t>
        </is>
      </c>
      <c r="G426" s="11" t="inlineStr">
        <is>
          <t>sim = simulate(inp)</t>
        </is>
      </c>
      <c r="H426" s="3" t="inlineStr">
        <is>
          <t>Sim is simulate(inp).</t>
        </is>
      </c>
      <c r="I426" s="3" t="inlineStr">
        <is>
          <t>READ FROM THE CODE — rendered from the expressions the function runs</t>
        </is>
      </c>
      <c r="J426" s="3" t="inlineStr">
        <is>
          <t>1. uid: UserId
2. inp: RetirementInputs</t>
        </is>
      </c>
      <c r="K426" s="3" t="inlineStr">
        <is>
          <t>RetirementState</t>
        </is>
      </c>
      <c r="L426" s="3" t="inlineStr">
        <is>
          <t>—</t>
        </is>
      </c>
      <c r="M426" s="3" t="inlineStr">
        <is>
          <t>· If paths is missing it uses 1000.</t>
        </is>
      </c>
      <c r="N426" s="3" t="inlineStr">
        <is>
          <t>Yes</t>
        </is>
      </c>
      <c r="O426" s="3" t="inlineStr">
        <is>
          <t>1. MK-PL-F-050 simulate
2. MK-XS-F-175 uid</t>
        </is>
      </c>
      <c r="P426" s="3" t="n">
        <v>96</v>
      </c>
      <c r="Q426"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26"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MK-PL-F-054</t>
        </is>
      </c>
      <c r="B427" s="3" t="inlineStr">
        <is>
          <t>growOneYear</t>
        </is>
      </c>
      <c r="C427" s="3" t="inlineStr">
        <is>
          <t>src/domain/retirement/index.ts</t>
        </is>
      </c>
      <c r="D427" s="3" t="n">
        <v>623</v>
      </c>
      <c r="E427" s="3" t="inlineStr">
        <is>
          <t>3 · DEPENDENT</t>
        </is>
      </c>
      <c r="F427" s="3" t="inlineStr">
        <is>
          <t>── Deterministic projection (instant — drives the live sliders; no RNG) ────────────── Assumes the average return every year (no market swings).</t>
        </is>
      </c>
      <c r="G427" s="11" t="inlineStr">
        <is>
          <t>balance × (1 + (rate or 0))</t>
        </is>
      </c>
      <c r="H427" s="3" t="inlineStr">
        <is>
          <t>balance times (1 plus (rate or 0)).</t>
        </is>
      </c>
      <c r="I427" s="3" t="inlineStr">
        <is>
          <t>READ FROM THE CODE — rendered from the expressions the function runs</t>
        </is>
      </c>
      <c r="J427" s="3" t="inlineStr">
        <is>
          <t>1. balance: number
2. rate: number</t>
        </is>
      </c>
      <c r="K427" s="3" t="inlineStr">
        <is>
          <t>number</t>
        </is>
      </c>
      <c r="L427" s="3" t="inlineStr">
        <is>
          <t>—</t>
        </is>
      </c>
      <c r="M427" s="3" t="inlineStr">
        <is>
          <t>· If rate is missing it counts as zero, so nothing recorded and a real zero look the same.</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MK-PL-F-055</t>
        </is>
      </c>
      <c r="B428" s="3" t="inlineStr">
        <is>
          <t>projectNestEgg</t>
        </is>
      </c>
      <c r="C428" s="3" t="inlineStr">
        <is>
          <t>src/domain/retirement/index.ts</t>
        </is>
      </c>
      <c r="D428" s="3" t="n">
        <v>669</v>
      </c>
      <c r="E428" s="3" t="inlineStr">
        <is>
          <t>2 · DISPLAYED</t>
        </is>
      </c>
      <c r="F428" s="3" t="inlineStr">
        <is>
          <t>What will the pot be worth at retirement, and how big does it need to be?</t>
        </is>
      </c>
      <c r="G428" s="11" t="inlineStr">
        <is>
          <t>years to retire  n = max(0, retire age − age today)
pot = start balance × (1 + r)^n
    + Σ for year y = 0 … n−1 of ( contribution × (1 + g)^y × (1 + r)^(n − y − 1) )
where r = the assumed return and g = the rate contributions grow</t>
        </is>
      </c>
      <c r="H428"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8" s="3" t="inlineStr">
        <is>
          <t>READ BY HAND 2026-08-26 — checked line by line against the code</t>
        </is>
      </c>
      <c r="J428" s="3" t="inlineStr">
        <is>
          <t>inp: RetirementInputs</t>
        </is>
      </c>
      <c r="K428" s="3" t="inlineStr">
        <is>
          <t>NestEggProjection</t>
        </is>
      </c>
      <c r="L428" s="3" t="inlineStr">
        <is>
          <t>NOT FOUND — a screen calls it, but the words printed beside its answer could not be traced automatically. Needs reading.</t>
        </is>
      </c>
      <c r="M428"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8" s="3" t="inlineStr">
        <is>
          <t>Yes</t>
        </is>
      </c>
      <c r="O428" s="3" t="inlineStr">
        <is>
          <t>1. MK-CF-F-132 map
2. MK-PL-F-050 simulate</t>
        </is>
      </c>
      <c r="P428" s="3" t="n">
        <v>22</v>
      </c>
      <c r="Q428"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8"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8" s="3" t="inlineStr">
        <is>
          <t>MK-PL-M-026 · MK-PL-M-033</t>
        </is>
      </c>
      <c r="T428" s="3" t="inlineStr">
        <is>
          <t>POT_AT_RETIREMENT</t>
        </is>
      </c>
      <c r="U428" s="3" t="inlineStr">
        <is>
          <t>ACTIVE</t>
        </is>
      </c>
      <c r="V428" s="3" t="inlineStr">
        <is>
          <t>2026-08-27</t>
        </is>
      </c>
      <c r="W428" s="3" t="n"/>
      <c r="X428" s="3" t="n"/>
      <c r="Y428" s="3" t="inlineStr">
        <is>
          <t>NOTHING OPEN</t>
        </is>
      </c>
    </row>
    <row r="429" ht="60" customHeight="1">
      <c r="A429" s="3" t="inlineStr">
        <is>
          <t>MK-PL-F-056</t>
        </is>
      </c>
      <c r="B429" s="3" t="inlineStr">
        <is>
          <t>solveRetireAge</t>
        </is>
      </c>
      <c r="C429" s="3" t="inlineStr">
        <is>
          <t>src/domain/retirement/index.ts</t>
        </is>
      </c>
      <c r="D429" s="3" t="n">
        <v>727</v>
      </c>
      <c r="E429" s="3" t="inlineStr">
        <is>
          <t>2 · DISPLAYED</t>
        </is>
      </c>
      <c r="F429" s="3" t="inlineStr">
        <is>
          <t>"Even if you never save another dollar, you can retire at age Y." Earliest retire age where the current pot (no further contributions) already covers the plan.</t>
        </is>
      </c>
      <c r="G429" s="11" t="inlineStr">
        <is>
          <t>p = project nest egg({ ...inp, annual contribution: 0, retire age: age, guaranteed start age: inp.guaranteed start age })
age   when will have ≥ will need
the answer = nothing</t>
        </is>
      </c>
      <c r="H429" s="3" t="inlineStr">
        <is>
          <t>P is project nest egg({ ...inp, annual contribution: 0, retire age: age, guaranteed start age: inp.guaranteed start age }). When will have is at least will need, it answers age. The answer is no answer.</t>
        </is>
      </c>
      <c r="I429" s="3" t="inlineStr">
        <is>
          <t>READ FROM THE CODE — rendered from the expressions the function runs</t>
        </is>
      </c>
      <c r="J429" s="3" t="inlineStr">
        <is>
          <t>1. inp: RetirementInputs
2. maxAge = 80</t>
        </is>
      </c>
      <c r="K429" s="3" t="inlineStr">
        <is>
          <t>number | null</t>
        </is>
      </c>
      <c r="L429" s="3" t="inlineStr">
        <is>
          <t>"IF YOU NEVER SAVE AGAIN" — on the Retirement cockpit screen</t>
        </is>
      </c>
      <c r="M429" s="3" t="inlineStr">
        <is>
          <t>None found in this function — anything it assumes comes from the functions it depends on.</t>
        </is>
      </c>
      <c r="N429" s="3" t="inlineStr">
        <is>
          <t>Yes</t>
        </is>
      </c>
      <c r="O429" s="3" t="inlineStr">
        <is>
          <t>MK-PL-F-055 projectNestEgg</t>
        </is>
      </c>
      <c r="P429" s="3" t="n">
        <v>23</v>
      </c>
      <c r="Q429"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9"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MK-PL-F-057</t>
        </is>
      </c>
      <c r="B430" s="3" t="inlineStr">
        <is>
          <t>fullRetirementAge</t>
        </is>
      </c>
      <c r="C430" s="3" t="inlineStr">
        <is>
          <t>src/domain/retirement/ssTiming.ts</t>
        </is>
      </c>
      <c r="D430" s="3" t="n">
        <v>48</v>
      </c>
      <c r="E430" s="3" t="inlineStr">
        <is>
          <t>3 · DEPENDENT</t>
        </is>
      </c>
      <c r="F430" s="3" t="inlineStr">
        <is>
          <t>Full retirement age in YEARS (fractional — 66y4m = 66.333…), from the birth year.</t>
        </is>
      </c>
      <c r="G430" s="11" t="inlineStr">
        <is>
          <t>full retirement age = 67                          when born 1960 or later
                      66 + (birth year − 1954) × 2 months   when born 1955-1959
                      66                          when born 1954 or earlier</t>
        </is>
      </c>
      <c r="H430"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0" s="3" t="inlineStr">
        <is>
          <t>READ BY HAND 2026-08-26 — checked line by line against the code</t>
        </is>
      </c>
      <c r="J430" s="3" t="inlineStr">
        <is>
          <t>birthYear?: number | null</t>
        </is>
      </c>
      <c r="K430" s="3" t="inlineStr">
        <is>
          <t>number</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SS_FULL_RETIREMENT_AGE</t>
        </is>
      </c>
      <c r="U430" s="3" t="inlineStr">
        <is>
          <t>ACTIVE</t>
        </is>
      </c>
      <c r="V430" s="3" t="inlineStr">
        <is>
          <t>2026-08-27</t>
        </is>
      </c>
      <c r="W430" s="3" t="n"/>
      <c r="X430" s="3" t="n"/>
      <c r="Y430" s="3" t="inlineStr">
        <is>
          <t>NOTHING OPEN</t>
        </is>
      </c>
    </row>
    <row r="431" ht="60" customHeight="1">
      <c r="A431" s="3" t="inlineStr">
        <is>
          <t>MK-PL-F-058</t>
        </is>
      </c>
      <c r="B431" s="3" t="inlineStr">
        <is>
          <t>ssClaimFactorFor</t>
        </is>
      </c>
      <c r="C431" s="3" t="inlineStr">
        <is>
          <t>src/domain/retirement/ssTiming.ts</t>
        </is>
      </c>
      <c r="D431" s="3" t="n">
        <v>95</v>
      </c>
      <c r="E431" s="3" t="inlineStr">
        <is>
          <t>3 · DEPENDENT</t>
        </is>
      </c>
      <c r="F431" s="3" t="inlineStr">
        <is>
          <t>SSA factor for a claim age (62–70), relative to the statement amount at the person's OWN full retirement age.</t>
        </is>
      </c>
      <c r="G431" s="11" t="inlineStr">
        <is>
          <t>months = round(claim age) × 12 − full retirement age × 12
factor = 1                                                   when months = 0
         1 − (first 36 early months × 5/9 of 1%)
           − (each further early month × 5/12 of 1%)          when claiming early
         1 + (each month claimed late × 2/3 of 1%)            when claiming late</t>
        </is>
      </c>
      <c r="H431"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1" s="3" t="inlineStr">
        <is>
          <t>READ BY HAND 2026-08-26 — checked line by line against the code</t>
        </is>
      </c>
      <c r="J431" s="3" t="inlineStr">
        <is>
          <t>1. claimAge: number
2. birthYear?: number | null</t>
        </is>
      </c>
      <c r="K431" s="3" t="inlineStr">
        <is>
          <t>number</t>
        </is>
      </c>
      <c r="L431" s="3" t="inlineStr">
        <is>
          <t>—</t>
        </is>
      </c>
      <c r="M431" s="3" t="inlineStr">
        <is>
          <t>1. Turns a monthly figure into a year by multiplying by twelve.
2. Caps early at 36.
3. Rounds the answer to a whole number.</t>
        </is>
      </c>
      <c r="N431" s="3" t="inlineStr">
        <is>
          <t>Yes</t>
        </is>
      </c>
      <c r="O431" s="3" t="inlineStr">
        <is>
          <t>MK-PL-F-057 fullRetirementAge</t>
        </is>
      </c>
      <c r="P431" s="3" t="n">
        <v>1</v>
      </c>
      <c r="Q431" s="3" t="inlineStr">
        <is>
          <t>MK-PL-F-057 fullRetirementAge</t>
        </is>
      </c>
      <c r="R431" s="3" t="inlineStr">
        <is>
          <t>MK-PL-F-057 fullRetirementAge → MK-PL-F-058 ssClaimFactorFor</t>
        </is>
      </c>
      <c r="S431" s="3" t="inlineStr">
        <is>
          <t>MK-PL-M-019</t>
        </is>
      </c>
      <c r="T431" s="3" t="inlineStr">
        <is>
          <t>SS_CLAIM_FACTOR</t>
        </is>
      </c>
      <c r="U431" s="3" t="inlineStr">
        <is>
          <t>ACTIVE</t>
        </is>
      </c>
      <c r="V431" s="3" t="inlineStr">
        <is>
          <t>2026-08-27</t>
        </is>
      </c>
      <c r="W431" s="3" t="n"/>
      <c r="X431" s="3" t="n"/>
      <c r="Y431" s="3" t="inlineStr">
        <is>
          <t>NOTHING OPEN</t>
        </is>
      </c>
    </row>
    <row r="432" ht="45" customHeight="1">
      <c r="A432" s="3" t="inlineStr">
        <is>
          <t>MK-PL-F-059</t>
        </is>
      </c>
      <c r="B432" s="3" t="inlineStr">
        <is>
          <t>ssClaimFactor</t>
        </is>
      </c>
      <c r="C432" s="3" t="inlineStr">
        <is>
          <t>src/domain/retirement/ssTiming.ts</t>
        </is>
      </c>
      <c r="D432" s="3" t="n">
        <v>126</v>
      </c>
      <c r="E432" s="3" t="inlineStr">
        <is>
          <t>3 · DEPENDENT (feeds an action only)</t>
        </is>
      </c>
      <c r="F432" s="3" t="inlineStr">
        <is>
          <t>The pre-table factor, anchored at 67 — unchanged behaviour for anyone born 1960+.</t>
        </is>
      </c>
      <c r="G432" s="11" t="inlineStr">
        <is>
          <t>ss claim factor for(claim age, nothing)</t>
        </is>
      </c>
      <c r="H432" s="3" t="inlineStr">
        <is>
          <t>ss claim factor for(claim age, no answer).</t>
        </is>
      </c>
      <c r="I432" s="3" t="inlineStr">
        <is>
          <t>READ FROM THE CODE — rendered from the expressions the function runs</t>
        </is>
      </c>
      <c r="J432" s="3" t="inlineStr">
        <is>
          <t>claimAge: number</t>
        </is>
      </c>
      <c r="K432" s="3" t="inlineStr">
        <is>
          <t>number</t>
        </is>
      </c>
      <c r="L432" s="3" t="inlineStr">
        <is>
          <t>—</t>
        </is>
      </c>
      <c r="M432" s="3" t="inlineStr">
        <is>
          <t>None found in this function — anything it assumes comes from the functions it depends on.</t>
        </is>
      </c>
      <c r="N432" s="3" t="inlineStr">
        <is>
          <t>No</t>
        </is>
      </c>
      <c r="O432" s="3" t="inlineStr">
        <is>
          <t>MK-PL-F-058 ssClaimFactorFor</t>
        </is>
      </c>
      <c r="P432" s="3" t="n">
        <v>2</v>
      </c>
      <c r="Q432" s="3" t="inlineStr">
        <is>
          <t>1. MK-PL-F-058 ssClaimFactorFor
2. MK-PL-F-057 fullRetirementAge</t>
        </is>
      </c>
      <c r="R432" s="3" t="inlineStr">
        <is>
          <t>MK-PL-F-057 fullRetirementAge → MK-PL-F-058 ssClaimFactorFor → MK-PL-F-059 ssClaimFactor</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MK-PL-F-060</t>
        </is>
      </c>
      <c r="B433" s="3" t="inlineStr">
        <is>
          <t>ssBenefitAt</t>
        </is>
      </c>
      <c r="C433" s="3" t="inlineStr">
        <is>
          <t>src/domain/retirement/ssTiming.ts</t>
        </is>
      </c>
      <c r="D433" s="3" t="n">
        <v>158</v>
      </c>
      <c r="E433" s="3" t="inlineStr">
        <is>
          <t>2 · DISPLAYED</t>
        </is>
      </c>
      <c r="F433" s="3" t="inlineStr">
        <is>
          <t>Monthly benefit at a claim age from the at-FRA statement amount (today's dollars, whole $).</t>
        </is>
      </c>
      <c r="G433" s="11" t="inlineStr">
        <is>
          <t>monthly benefit = statement amount at full retirement age × factor(claim age)</t>
        </is>
      </c>
      <c r="H433" s="3" t="inlineStr">
        <is>
          <t>The amount on the Social Security statement, scaled by the claim-age factor and rounded to whole dollars. In today's money — no inflation is applied here.</t>
        </is>
      </c>
      <c r="I433" s="3" t="inlineStr">
        <is>
          <t>READ BY HAND 2026-08-26 — checked line by line against the code</t>
        </is>
      </c>
      <c r="J433" s="3" t="inlineStr">
        <is>
          <t>1. statementMonthly: number
2. claimAge: number
3. birthYear?: number | null</t>
        </is>
      </c>
      <c r="K433" s="3" t="inlineStr">
        <is>
          <t>number</t>
        </is>
      </c>
      <c r="L433" s="3" t="inlineStr">
        <is>
          <t>NOT FOUND — a screen calls it, but the words printed beside its answer could not be traced automatically. Needs reading.</t>
        </is>
      </c>
      <c r="M433" s="3" t="inlineStr">
        <is>
          <t>· If statement monthly is missing it counts as zero, so nothing recorded and a real zero look the same.</t>
        </is>
      </c>
      <c r="N433" s="3" t="inlineStr">
        <is>
          <t>Yes</t>
        </is>
      </c>
      <c r="O433" s="3" t="inlineStr">
        <is>
          <t>MK-PL-F-058 ssClaimFactorFor</t>
        </is>
      </c>
      <c r="P433" s="3" t="n">
        <v>2</v>
      </c>
      <c r="Q433" s="3" t="inlineStr">
        <is>
          <t>1. MK-PL-F-058 ssClaimFactorFor
2. MK-PL-F-057 fullRetirementAge</t>
        </is>
      </c>
      <c r="R433" s="3" t="inlineStr">
        <is>
          <t>MK-PL-F-057 fullRetirementAge → MK-PL-F-058 ssClaimFactorFor → MK-PL-F-060 ssBenefitAt</t>
        </is>
      </c>
      <c r="S433" s="3" t="inlineStr">
        <is>
          <t>MK-PL-M-017 · MK-PL-M-019</t>
        </is>
      </c>
      <c r="T433" s="3" t="inlineStr">
        <is>
          <t>SS_BENEFIT_AT_AGE</t>
        </is>
      </c>
      <c r="U433" s="3" t="inlineStr">
        <is>
          <t>ACTIVE</t>
        </is>
      </c>
      <c r="V433" s="3" t="inlineStr">
        <is>
          <t>2026-09-09</t>
        </is>
      </c>
      <c r="W433" s="3" t="n"/>
      <c r="X433" s="3" t="n"/>
      <c r="Y433" s="3" t="inlineStr">
        <is>
          <t>NOTHING OPEN</t>
        </is>
      </c>
    </row>
    <row r="434" ht="45" customHeight="1">
      <c r="A434" s="3" t="inlineStr">
        <is>
          <t>MK-PL-F-061</t>
        </is>
      </c>
      <c r="B434" s="3" t="inlineStr">
        <is>
          <t>ssBenefitAtClaimAge</t>
        </is>
      </c>
      <c r="C434" s="3" t="inlineStr">
        <is>
          <t>src/domain/retirement/ssTiming.ts</t>
        </is>
      </c>
      <c r="D434" s="3" t="n">
        <v>179</v>
      </c>
      <c r="E434" s="3" t="inlineStr">
        <is>
          <t>2 · DISPLAYED</t>
        </is>
      </c>
      <c r="F434" s="3" t="inlineStr">
        <is>
          <t>Kept for callers not yet passing a birth year (behaves as born-1960+).</t>
        </is>
      </c>
      <c r="G434" s="11" t="inlineStr">
        <is>
          <t>ss benefit at(statement monthly, claim age, nothing)</t>
        </is>
      </c>
      <c r="H434" s="3" t="inlineStr">
        <is>
          <t>ss benefit at(statement monthly, claim age, no answer).</t>
        </is>
      </c>
      <c r="I434" s="3" t="inlineStr">
        <is>
          <t>READ FROM THE CODE — rendered from the expressions the function runs</t>
        </is>
      </c>
      <c r="J434" s="3" t="inlineStr">
        <is>
          <t>1. statementMonthly: number
2. claimAge: number</t>
        </is>
      </c>
      <c r="K434" s="3" t="inlineStr">
        <is>
          <t>number</t>
        </is>
      </c>
      <c r="L434" s="3" t="inlineStr">
        <is>
          <t>"When should I claim Social Security?" — on a card used on more than one screen (ClaimAgeRow)</t>
        </is>
      </c>
      <c r="M434" s="3" t="inlineStr">
        <is>
          <t>None found in this function — anything it assumes comes from the functions it depends on.</t>
        </is>
      </c>
      <c r="N434" s="3" t="inlineStr">
        <is>
          <t>Yes</t>
        </is>
      </c>
      <c r="O434" s="3" t="inlineStr">
        <is>
          <t>MK-PL-F-060 ssBenefitAt</t>
        </is>
      </c>
      <c r="P434" s="3" t="n">
        <v>3</v>
      </c>
      <c r="Q434" s="3" t="inlineStr">
        <is>
          <t>1. MK-PL-F-060 ssBenefitAt
2. MK-PL-F-058 ssClaimFactorFor
3. MK-PL-F-057 fullRetirementAge</t>
        </is>
      </c>
      <c r="R434" s="3" t="inlineStr">
        <is>
          <t>MK-PL-F-057 fullRetirementAge → MK-PL-F-058 ssClaimFactorFor → MK-PL-F-060 ssBenefitAt → MK-PL-F-061 ssBenefitAtClaimAge</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MK-PL-F-062</t>
        </is>
      </c>
      <c r="B435" s="3" t="inlineStr">
        <is>
          <t>ssLifetimeTotal</t>
        </is>
      </c>
      <c r="C435" s="3" t="inlineStr">
        <is>
          <t>src/domain/retirement/ssTiming.ts</t>
        </is>
      </c>
      <c r="D435" s="3" t="n">
        <v>208</v>
      </c>
      <c r="E435" s="3" t="inlineStr">
        <is>
          <t>2 · DISPLAYED</t>
        </is>
      </c>
      <c r="F435" s="3" t="inlineStr">
        <is>
          <t>Total collected from claim age to a live-to age the USER sets (months × monthly, today's dollars).</t>
        </is>
      </c>
      <c r="G435" s="11" t="inlineStr">
        <is>
          <t>months = max(0, round((live to age − claim age) × 12))
the answer = ss benefit at(statement monthly, claim age, birth year) × months</t>
        </is>
      </c>
      <c r="H435" s="3" t="inlineStr">
        <is>
          <t>Months is (live to age minus claim age, to a whole number times 12, never below zero). The answer is ss benefit at(statement monthly, claim age, birth year) times months.</t>
        </is>
      </c>
      <c r="I435" s="3" t="inlineStr">
        <is>
          <t>READ FROM THE CODE — rendered from the expressions the function runs</t>
        </is>
      </c>
      <c r="J435" s="3" t="inlineStr">
        <is>
          <t>1. statementMonthly: number
2. claimAge: number
3. liveToAge: number
4. birthYear?: number | null</t>
        </is>
      </c>
      <c r="K435" s="3" t="inlineStr">
        <is>
          <t>number</t>
        </is>
      </c>
      <c r="L435" s="3" t="inlineStr">
        <is>
          <t>NOT FOUND — a screen calls it, but the words printed beside its answer could not be traced automatically. Needs reading.</t>
        </is>
      </c>
      <c r="M435"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5" s="3" t="inlineStr">
        <is>
          <t>Yes</t>
        </is>
      </c>
      <c r="O435" s="3" t="inlineStr">
        <is>
          <t>MK-PL-F-060 ssBenefitAt</t>
        </is>
      </c>
      <c r="P435" s="3" t="n">
        <v>3</v>
      </c>
      <c r="Q435" s="3" t="inlineStr">
        <is>
          <t>1. MK-PL-F-060 ssBenefitAt
2. MK-PL-F-058 ssClaimFactorFor
3. MK-PL-F-057 fullRetirementAge</t>
        </is>
      </c>
      <c r="R435" s="3" t="inlineStr">
        <is>
          <t>MK-PL-F-057 fullRetirementAge → MK-PL-F-058 ssClaimFactorFor → MK-PL-F-060 ssBenefitAt → MK-PL-F-062 ssLifetimeTotal</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MK-PL-F-063</t>
        </is>
      </c>
      <c r="B436" s="3" t="inlineStr">
        <is>
          <t>fraLabel</t>
        </is>
      </c>
      <c r="C436" s="3" t="inlineStr">
        <is>
          <t>src/domain/retirement/ssTiming.ts</t>
        </is>
      </c>
      <c r="D436" s="3" t="n">
        <v>239</v>
      </c>
      <c r="E436" s="3" t="inlineStr">
        <is>
          <t>2 · DISPLAYED</t>
        </is>
      </c>
      <c r="F436" s="3" t="inlineStr">
        <is>
          <t>The FRA as words a person recognises — "67", or "66 and 4 months".</t>
        </is>
      </c>
      <c r="G436" s="11" t="inlineStr">
        <is>
          <t>fra = full retirement age(birth year)
years = round down(fra)
months = round((fra − years) × 12)
the answer:
string(years)   if months = 0
`${years} and ${months} months`   otherwise</t>
        </is>
      </c>
      <c r="H436" s="3" t="inlineStr">
        <is>
          <t>Fra is full retirement age(birth year). Years is fra, rounded down. Months is (fra minus years, to a whole number times 12). The answer is string(years) — when months = 0; `${years} and ${months} months` — otherwise.</t>
        </is>
      </c>
      <c r="I436" s="3" t="inlineStr">
        <is>
          <t>PARTLY READ — some of the code is still showing through; needs a hand pass</t>
        </is>
      </c>
      <c r="J436" s="3" t="inlineStr">
        <is>
          <t>birthYear?: number | null</t>
        </is>
      </c>
      <c r="K436" s="3" t="inlineStr">
        <is>
          <t>string</t>
        </is>
      </c>
      <c r="L436" s="3" t="inlineStr">
        <is>
          <t>"We lay it out. You decide." — on the Social Security timing screen</t>
        </is>
      </c>
      <c r="M436" s="3" t="inlineStr">
        <is>
          <t>1. Turns a monthly figure into a year by multiplying by twelve.
2. Rounds the answer to a whole number.</t>
        </is>
      </c>
      <c r="N436" s="3" t="inlineStr">
        <is>
          <t>Yes</t>
        </is>
      </c>
      <c r="O436" s="3" t="inlineStr">
        <is>
          <t>MK-PL-F-057 fullRetirementAge</t>
        </is>
      </c>
      <c r="P436" s="3" t="n">
        <v>1</v>
      </c>
      <c r="Q436" s="3" t="inlineStr">
        <is>
          <t>MK-PL-F-057 fullRetirementAge</t>
        </is>
      </c>
      <c r="R436" s="3" t="inlineStr">
        <is>
          <t>MK-PL-F-057 fullRetirementAge → MK-PL-F-063 fraLabel</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MK-PL-F-064</t>
        </is>
      </c>
      <c r="B437" s="3" t="inlineStr">
        <is>
          <t>claimWindow</t>
        </is>
      </c>
      <c r="C437" s="3" t="inlineStr">
        <is>
          <t>src/domain/retirement/ssTiming.ts</t>
        </is>
      </c>
      <c r="D437" s="3" t="n">
        <v>271</v>
      </c>
      <c r="E437" s="3" t="inlineStr">
        <is>
          <t>2 · DISPLAYED</t>
        </is>
      </c>
      <c r="F437" s="3" t="inlineStr">
        <is>
          <t>The claim window: the month the person turns 62 → the month they turn 70.</t>
        </is>
      </c>
      <c r="G437"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7"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7" s="3" t="inlineStr">
        <is>
          <t>PARTLY READ — some of the code is still showing through; needs a hand pass</t>
        </is>
      </c>
      <c r="J437" s="3" t="inlineStr">
        <is>
          <t>1. birthYear: number | null
2. birthMonth: number | null</t>
        </is>
      </c>
      <c r="K437" s="3" t="inlineStr">
        <is>
          <t>NOT DECLARED — the code does not say what it gives back</t>
        </is>
      </c>
      <c r="L437" s="3" t="inlineStr">
        <is>
          <t>"Your assumption, not our prediction." — on the Social Security timing screen</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MK-PL-F-065</t>
        </is>
      </c>
      <c r="B438" s="3" t="inlineStr">
        <is>
          <t>volOf</t>
        </is>
      </c>
      <c r="C438" s="3" t="inlineStr">
        <is>
          <t>src/domain/retirement/willItLast.ts</t>
        </is>
      </c>
      <c r="D438" s="3" t="n">
        <v>86</v>
      </c>
      <c r="E438" s="3" t="inlineStr">
        <is>
          <t>2 · DISPLAYED</t>
        </is>
      </c>
      <c r="F438" s="3" t="inlineStr">
        <is>
          <t>Same volatility convention as the cockpit: higher return ⇒ more volatility.</t>
        </is>
      </c>
      <c r="G438" s="11" t="inlineStr">
        <is>
          <t>hold ret × 1.7 between 0.05 and 0.2</t>
        </is>
      </c>
      <c r="H438" s="3" t="inlineStr">
        <is>
          <t>hold ret times 1.7 between 0.05 and 0.2</t>
        </is>
      </c>
      <c r="I438" s="3" t="inlineStr">
        <is>
          <t>READ FROM THE CODE — rendered from the expressions the function runs</t>
        </is>
      </c>
      <c r="J438" s="3" t="inlineStr">
        <is>
          <t>ret: number</t>
        </is>
      </c>
      <c r="K438" s="3" t="inlineStr">
        <is>
          <t>NOT DECLARED — the code does not say what it gives back</t>
        </is>
      </c>
      <c r="L438" s="3" t="inlineStr">
        <is>
          <t>NOT FOUND — a screen calls it, but the words printed beside its answer could not be traced automatically. Needs reading.</t>
        </is>
      </c>
      <c r="M438" s="3" t="inlineStr">
        <is>
          <t>· Never lets the answer fall below 5% or rise above 20%.</t>
        </is>
      </c>
      <c r="N438" s="3" t="inlineStr">
        <is>
          <t>Yes</t>
        </is>
      </c>
      <c r="O438" s="3" t="inlineStr">
        <is>
          <t>1. MK-PL-F-077 clamp
2. MK-CF-O-002 expenses
3. MK-PL-F-050 simulate</t>
        </is>
      </c>
      <c r="P438" s="3" t="n">
        <v>36</v>
      </c>
      <c r="Q438"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8"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8" s="3" t="inlineStr">
        <is>
          <t>—</t>
        </is>
      </c>
      <c r="T438" s="3" t="inlineStr">
        <is>
          <t>SWING_FROM_RETURN</t>
        </is>
      </c>
      <c r="U438" s="3" t="inlineStr">
        <is>
          <t>ACTIVE</t>
        </is>
      </c>
      <c r="V438" s="3" t="inlineStr">
        <is>
          <t>2026-08-27</t>
        </is>
      </c>
      <c r="W438" s="3" t="n"/>
      <c r="X438" s="3" t="n"/>
      <c r="Y438" s="3" t="inlineStr">
        <is>
          <t>NOTHING OPEN</t>
        </is>
      </c>
    </row>
    <row r="439" ht="60" customHeight="1">
      <c r="A439" s="3" t="inlineStr">
        <is>
          <t>MK-PL-F-066</t>
        </is>
      </c>
      <c r="B439" s="3" t="inlineStr">
        <is>
          <t>displayOdds</t>
        </is>
      </c>
      <c r="C439" s="3" t="inlineStr">
        <is>
          <t>src/domain/retirement/willItLast.ts</t>
        </is>
      </c>
      <c r="D439" s="3" t="n">
        <v>143</v>
      </c>
      <c r="E439" s="3" t="inlineStr">
        <is>
          <t>2 · DISPLAYED</t>
        </is>
      </c>
      <c r="F439" s="3" t="inlineStr">
        <is>
          <t>B6 (founder brief 2026-08-20): the odds a person sees, to the nearest 5 — with one honesty guard at each end: 100 means "every simulated future worked" and 0 means "none did", and neither claim may be minted by rounding.</t>
        </is>
      </c>
      <c r="G439" s="11" t="inlineStr">
        <is>
          <t>min(100, max(0, round(chance, 6 dp)))</t>
        </is>
      </c>
      <c r="H439" s="3" t="inlineStr">
        <is>
          <t>the smaller of 100 and chance, to 6 decimal places, never below zero.</t>
        </is>
      </c>
      <c r="I439" s="3" t="inlineStr">
        <is>
          <t>READ FROM THE CODE — rendered from the expressions the function runs</t>
        </is>
      </c>
      <c r="J439" s="3" t="inlineStr">
        <is>
          <t>chance: number</t>
        </is>
      </c>
      <c r="K439" s="3" t="inlineStr">
        <is>
          <t>number</t>
        </is>
      </c>
      <c r="L439" s="3" t="inlineStr">
        <is>
          <t>"Claim at age" — on the Retirement cockpit screen</t>
        </is>
      </c>
      <c r="M439" s="3" t="inlineStr">
        <is>
          <t>· Rounds the answer to 6 decimal places.</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ODDS_DISPLAY</t>
        </is>
      </c>
      <c r="U439" s="3" t="inlineStr">
        <is>
          <t>ACTIVE</t>
        </is>
      </c>
      <c r="V439" s="3" t="inlineStr">
        <is>
          <t>2026-09-14</t>
        </is>
      </c>
      <c r="W439" s="3" t="n"/>
      <c r="X439" s="3" t="n"/>
      <c r="Y439" s="3" t="inlineStr">
        <is>
          <t>NOTHING OPEN</t>
        </is>
      </c>
    </row>
    <row r="440" ht="60" customHeight="1">
      <c r="A440" s="3" t="inlineStr">
        <is>
          <t>MK-PL-F-067</t>
        </is>
      </c>
      <c r="B440" s="3" t="inlineStr">
        <is>
          <t>willItLastInputs</t>
        </is>
      </c>
      <c r="C440" s="3" t="inlineStr">
        <is>
          <t>src/domain/retirement/willItLast.ts</t>
        </is>
      </c>
      <c r="D440" s="3" t="n">
        <v>196</v>
      </c>
      <c r="E440" s="3" t="inlineStr">
        <is>
          <t>2 · DISPLAYED</t>
        </is>
      </c>
      <c r="F440" s="3" t="inlineStr">
        <is>
          <t>What goes into working out the odds?</t>
        </is>
      </c>
      <c r="G440"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40"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40" s="3" t="inlineStr">
        <is>
          <t>PARTLY READ — some of the code is still showing through; needs a hand pass</t>
        </is>
      </c>
      <c r="J440" s="3" t="inlineStr">
        <is>
          <t>a: WillItLastArgs</t>
        </is>
      </c>
      <c r="K440" s="3" t="inlineStr">
        <is>
          <t>RetirementInputs | null</t>
        </is>
      </c>
      <c r="L440" s="3" t="inlineStr">
        <is>
          <t>NOT FOUND — a screen calls it, but the words printed beside its answer could not be traced automatically. Needs reading.</t>
        </is>
      </c>
      <c r="M440"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0" s="3" t="inlineStr">
        <is>
          <t>Yes</t>
        </is>
      </c>
      <c r="O44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40" s="3" t="n">
        <v>91</v>
      </c>
      <c r="Q440"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4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40" s="3" t="inlineStr">
        <is>
          <t>MK-PL-M-008 · MK-PL-M-011 · MK-PL-M-029</t>
        </is>
      </c>
      <c r="T440" s="3" t="inlineStr">
        <is>
          <t>WILL_IT_LAST_INPUTS</t>
        </is>
      </c>
      <c r="U440" s="3" t="inlineStr">
        <is>
          <t>ACTIVE</t>
        </is>
      </c>
      <c r="V440" s="3" t="inlineStr">
        <is>
          <t>2026-09-12</t>
        </is>
      </c>
      <c r="W440" s="3" t="n"/>
      <c r="X440" s="3" t="n"/>
      <c r="Y440" s="6" t="inlineStr">
        <is>
          <t>TESTED, NOT VERIFIED (G5, G7, G9)</t>
        </is>
      </c>
    </row>
    <row r="441" ht="60" customHeight="1">
      <c r="A441" s="3" t="inlineStr">
        <is>
          <t>MK-PL-F-068</t>
        </is>
      </c>
      <c r="B441" s="3" t="inlineStr">
        <is>
          <t>selectWillItLast</t>
        </is>
      </c>
      <c r="C441" s="3" t="inlineStr">
        <is>
          <t>src/domain/retirement/willItLast.ts</t>
        </is>
      </c>
      <c r="D441" s="3" t="n">
        <v>316</v>
      </c>
      <c r="E441" s="3" t="inlineStr">
        <is>
          <t>2 · DISPLAYED</t>
        </is>
      </c>
      <c r="F441" s="3" t="inlineStr">
        <is>
          <t>The one will-it-last read.</t>
        </is>
      </c>
      <c r="G441"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1"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1" s="3" t="inlineStr">
        <is>
          <t>PARTLY READ — some of the code is still showing through; needs a hand pass</t>
        </is>
      </c>
      <c r="J441" s="3" t="inlineStr">
        <is>
          <t>a: WillItLastArgs</t>
        </is>
      </c>
      <c r="K441" s="3" t="inlineStr">
        <is>
          <t>WillItLastResult</t>
        </is>
      </c>
      <c r="L441" s="3" t="inlineStr">
        <is>
          <t>1. "All bills &amp; the calendar ›" — on the Cash flow screen, under "BY MONTH
2. $"
3. "Draw from savings" — on the Cash flow screen, under "YOUR FUTURE PAYCHECK"
4. "WILL MY MONEY LAST?" — on the Cash flow screen, under "WILL MY MONEY LAST?"</t>
        </is>
      </c>
      <c r="M441" s="3" t="inlineStr">
        <is>
          <t>None found in this function — anything it assumes comes from the functions it depends on.</t>
        </is>
      </c>
      <c r="N441" s="3" t="inlineStr">
        <is>
          <t>Yes</t>
        </is>
      </c>
      <c r="O441" s="3" t="inlineStr">
        <is>
          <t>1. MK-PL-F-066 displayOdds
2. MK-PL-F-079 numOrZero
3. MK-NW-F-033 retirementEarmarkedValue
4. MK-PL-F-049 retirementSpendMonthly
5. MK-PL-F-050 simulate
6. MK-PL-F-067 willItLastInputs</t>
        </is>
      </c>
      <c r="P441" s="3" t="n">
        <v>93</v>
      </c>
      <c r="Q441"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41"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41" s="3" t="inlineStr">
        <is>
          <t>MK-PL-M-034 · MK-XS-M-002</t>
        </is>
      </c>
      <c r="T441" s="3" t="inlineStr">
        <is>
          <t>WILL_IT_LAST_RESULT</t>
        </is>
      </c>
      <c r="U441" s="3" t="inlineStr">
        <is>
          <t>ACTIVE</t>
        </is>
      </c>
      <c r="V441" s="3" t="inlineStr">
        <is>
          <t>2026-09-12</t>
        </is>
      </c>
      <c r="W441" s="3" t="n"/>
      <c r="X441" s="3" t="n"/>
      <c r="Y441" s="3" t="inlineStr">
        <is>
          <t>NOTHING OPEN</t>
        </is>
      </c>
    </row>
    <row r="442" ht="60" customHeight="1">
      <c r="A442" s="3" t="inlineStr">
        <is>
          <t>MK-PL-F-069</t>
        </is>
      </c>
      <c r="B442" s="3" t="inlineStr">
        <is>
          <t>oddsAt</t>
        </is>
      </c>
      <c r="C442" s="3" t="inlineStr">
        <is>
          <t>src/domain/planning/spendMore.ts</t>
        </is>
      </c>
      <c r="D442" s="3" t="n">
        <v>45</v>
      </c>
      <c r="E442" s="3" t="inlineStr">
        <is>
          <t>1 · ACTION</t>
        </is>
      </c>
      <c r="F442" s="3" t="inlineStr">
        <is>
          <t>NOT DETERMINED — the code carries no note saying what this is for, and it has no row in the old inventory. Needs reading.</t>
        </is>
      </c>
      <c r="G442" s="11" t="inlineStr">
        <is>
          <t>the answer = simulate({ …base, retire monthly spend today: monthly spend }).chance of success</t>
        </is>
      </c>
      <c r="H442" s="3" t="inlineStr">
        <is>
          <t>The odds the money lasts when the monthly expenses in retirement are set to a given figure — one full run of the simulation (MK-PL-F-050) with that one input changed.</t>
        </is>
      </c>
      <c r="I442" s="3" t="inlineStr">
        <is>
          <t>READ BY HAND 2026-08-26 — checked line by line against the code</t>
        </is>
      </c>
      <c r="J442" s="3" t="inlineStr">
        <is>
          <t>1. base: RetirementInputs
2. monthlySpend: number</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2" s="3" t="inlineStr">
        <is>
          <t>—</t>
        </is>
      </c>
      <c r="T442" s="3" t="inlineStr">
        <is>
          <t>—</t>
        </is>
      </c>
      <c r="U442" s="3" t="inlineStr">
        <is>
          <t>ACTIVE</t>
        </is>
      </c>
      <c r="V442" s="3" t="inlineStr">
        <is>
          <t>2026-09-12</t>
        </is>
      </c>
      <c r="W442" s="3" t="n"/>
      <c r="X442" s="3" t="n"/>
      <c r="Y442" s="3" t="inlineStr">
        <is>
          <t>NOTHING OPEN</t>
        </is>
      </c>
    </row>
    <row r="443" ht="60" customHeight="1">
      <c r="A443" s="3" t="inlineStr">
        <is>
          <t>MK-PL-F-070</t>
        </is>
      </c>
      <c r="B443" s="3" t="inlineStr">
        <is>
          <t>smallestThatWorks</t>
        </is>
      </c>
      <c r="C443" s="3" t="inlineStr">
        <is>
          <t>src/domain/planning/target.ts</t>
        </is>
      </c>
      <c r="D443" s="3" t="n">
        <v>48</v>
      </c>
      <c r="E443" s="3" t="inlineStr">
        <is>
          <t>3 · DEPENDENT</t>
        </is>
      </c>
      <c r="F443" s="3" t="inlineStr">
        <is>
          <t>Smallest x in [lo, hi] where reaching(x) is true, to `tol`.</t>
        </is>
      </c>
      <c r="G443" s="11" t="inlineStr">
        <is>
          <t>lo   when works(lo)
nothing   when !works(hi)
a = lo, b = hi
mid = (a + b) ÷ 2
the answer = b</t>
        </is>
      </c>
      <c r="H443" s="3" t="inlineStr">
        <is>
          <t>When works(lo), it answers lo. When !works(hi), it answers no answer. A is lo, b = hi. Mid is (a plus b) divided by 2. The answer is b.</t>
        </is>
      </c>
      <c r="I443" s="3" t="inlineStr">
        <is>
          <t>READ FROM THE CODE — rendered from the expressions the function runs</t>
        </is>
      </c>
      <c r="J443" s="3" t="inlineStr">
        <is>
          <t>1. lo: number
2. hi: number
3. tol: number
4. works: (x: number) =&gt; boolean</t>
        </is>
      </c>
      <c r="K443" s="3" t="inlineStr">
        <is>
          <t>number | null</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MK-PL-F-071</t>
        </is>
      </c>
      <c r="B444" s="3" t="inlineStr">
        <is>
          <t>oddsOf</t>
        </is>
      </c>
      <c r="C444" s="3" t="inlineStr">
        <is>
          <t>src/domain/planning/target.ts</t>
        </is>
      </c>
      <c r="D444" s="3" t="n">
        <v>79</v>
      </c>
      <c r="E444" s="3" t="inlineStr">
        <is>
          <t>1 · ACTION</t>
        </is>
      </c>
      <c r="F444" s="3" t="inlineStr">
        <is>
          <t>NOT DETERMINED — the code carries no note saying what this is for, and it has no row in the old inventory. Needs reading.</t>
        </is>
      </c>
      <c r="G444" s="11" t="inlineStr">
        <is>
          <t>simulate(inp).chance of success</t>
        </is>
      </c>
      <c r="H444" s="3" t="inlineStr">
        <is>
          <t>simulate(inp).chance of success</t>
        </is>
      </c>
      <c r="I444" s="3" t="inlineStr">
        <is>
          <t>PARTLY READ — some of the code is still showing through; needs a hand pass</t>
        </is>
      </c>
      <c r="J444" s="3" t="inlineStr">
        <is>
          <t>inp: RetirementInputs</t>
        </is>
      </c>
      <c r="K444" s="3" t="inlineStr">
        <is>
          <t>NOT DECLARED — the code does not say what it gives back</t>
        </is>
      </c>
      <c r="L444" s="3" t="inlineStr">
        <is>
          <t>—</t>
        </is>
      </c>
      <c r="M444" s="3" t="inlineStr">
        <is>
          <t>None found in this function — anything it assumes comes from the functions it depends on.</t>
        </is>
      </c>
      <c r="N444" s="3" t="inlineStr">
        <is>
          <t>Yes</t>
        </is>
      </c>
      <c r="O444" s="3" t="inlineStr">
        <is>
          <t>MK-PL-F-050 simulate</t>
        </is>
      </c>
      <c r="P444" s="3" t="n">
        <v>22</v>
      </c>
      <c r="Q44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4"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4" s="3" t="inlineStr">
        <is>
          <t>—</t>
        </is>
      </c>
      <c r="T444" s="3" t="inlineStr">
        <is>
          <t>—</t>
        </is>
      </c>
      <c r="U444" s="3" t="inlineStr">
        <is>
          <t>ACTIVE</t>
        </is>
      </c>
      <c r="V444" s="3" t="inlineStr">
        <is>
          <t>2026-08-27</t>
        </is>
      </c>
      <c r="W444" s="3" t="n"/>
      <c r="X444" s="3" t="n"/>
      <c r="Y444" s="3" t="inlineStr">
        <is>
          <t>NOTHING OPEN</t>
        </is>
      </c>
    </row>
    <row r="445" ht="45" customHeight="1">
      <c r="A445" s="3" t="inlineStr">
        <is>
          <t>MK-PL-F-072</t>
        </is>
      </c>
      <c r="B445" s="3" t="inlineStr">
        <is>
          <t>mulberry32</t>
        </is>
      </c>
      <c r="C445" s="3" t="inlineStr">
        <is>
          <t>src/domain/retirement/index.ts</t>
        </is>
      </c>
      <c r="D445" s="3" t="n">
        <v>218</v>
      </c>
      <c r="E445" s="3" t="inlineStr">
        <is>
          <t>3 · DEPENDENT</t>
        </is>
      </c>
      <c r="F445" s="3" t="inlineStr">
        <is>
          <t>deterministic RNG so results/tests are reproducible</t>
        </is>
      </c>
      <c r="G445" s="11" t="inlineStr">
        <is>
          <t>t = seed += 0x6d2b79f5
the answer = ((t ^ (t &gt;&gt;&gt; 14)) &gt;&gt;&gt; 0) ÷ 4294967296</t>
        </is>
      </c>
      <c r="H445" s="3" t="inlineStr">
        <is>
          <t>T is seed += 0x6d2b79f5. The answer is ((t ^ (t &gt;&gt;&gt; 14)) &gt;&gt;&gt; 0) divided by 4294967296.</t>
        </is>
      </c>
      <c r="I445" s="3" t="inlineStr">
        <is>
          <t>READ FROM THE CODE — rendered from the expressions the function runs</t>
        </is>
      </c>
      <c r="J445" s="3" t="inlineStr">
        <is>
          <t>seed: number</t>
        </is>
      </c>
      <c r="K445" s="3" t="inlineStr">
        <is>
          <t>NOT DECLARED — the code does not say what it gives back</t>
        </is>
      </c>
      <c r="L445" s="3" t="inlineStr">
        <is>
          <t>—</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MK-PL-F-073</t>
        </is>
      </c>
      <c r="B446" s="3" t="inlineStr">
        <is>
          <t>normal</t>
        </is>
      </c>
      <c r="C446" s="3" t="inlineStr">
        <is>
          <t>src/domain/retirement/index.ts</t>
        </is>
      </c>
      <c r="D446" s="3" t="n">
        <v>254</v>
      </c>
      <c r="E446" s="3" t="inlineStr">
        <is>
          <t>3 · DEPENDENT</t>
        </is>
      </c>
      <c r="F446" s="3" t="inlineStr">
        <is>
          <t>NOT DETERMINED — the code carries no note saying what this is for, and it has no row in the old inventory. Needs reading.</t>
        </is>
      </c>
      <c r="G446" s="11" t="inlineStr">
        <is>
          <t>u = 0, v = 0
[LOOP — the answer is found inside a loop the extractor cannot render; the steps above are the ones before it. Read by hand.]</t>
        </is>
      </c>
      <c r="H446" s="3" t="inlineStr">
        <is>
          <t>U is 0, v = 0. The answer is mean plus sd times √(-2 times math.log(u)) times math.cos(2 times math.PI times v). The answer is found inside a loop that cannot be rendered here; read the code by hand.</t>
        </is>
      </c>
      <c r="I446" s="3" t="inlineStr">
        <is>
          <t>PARTLY READ — the body has a loop the extractor cannot render; the steps shown are the ones before it. Needs a hand pass (G23).</t>
        </is>
      </c>
      <c r="J446" s="3" t="inlineStr">
        <is>
          <t>rng: () =&gt; number, mean: number, sd: number</t>
        </is>
      </c>
      <c r="K446" s="3" t="inlineStr">
        <is>
          <t>number</t>
        </is>
      </c>
      <c r="L446" s="3" t="inlineStr">
        <is>
          <t>—</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2026-09-08</t>
        </is>
      </c>
      <c r="W446" s="3" t="n"/>
      <c r="X446" s="3" t="n"/>
      <c r="Y446" s="3" t="inlineStr">
        <is>
          <t>NOTHING OPEN</t>
        </is>
      </c>
    </row>
    <row r="447" ht="60" customHeight="1">
      <c r="A447" s="3" t="inlineStr">
        <is>
          <t>MK-PL-F-074</t>
        </is>
      </c>
      <c r="B447" s="3" t="inlineStr">
        <is>
          <t>median</t>
        </is>
      </c>
      <c r="C447" s="3" t="inlineStr">
        <is>
          <t>src/domain/_shared/num.ts</t>
        </is>
      </c>
      <c r="D447" s="3" t="n">
        <v>157</v>
      </c>
      <c r="E447" s="3" t="inlineStr">
        <is>
          <t>2 · DISPLAYED</t>
        </is>
      </c>
      <c r="F447" s="3" t="inlineStr">
        <is>
          <t>The middle value of a list, 0 when it is empty.</t>
        </is>
      </c>
      <c r="G447" s="11" t="inlineStr">
        <is>
          <t>0   when count of xs is missing
s = [...xs].sort((a, b) =&gt; a − b)
m = round down(length ÷ 2)
the answer:
s[m]   if length % 2
(s[m − 1] + s[m]) ÷ 2   otherwise</t>
        </is>
      </c>
      <c r="H447" s="3" t="inlineStr">
        <is>
          <t>When how many xs is missing there are, it answers 0. S is [...xs].sort((a, b) =&gt; a minus b). M is length divided by 2, rounded down. The answer is s[m] — when length % 2; (s[m minus 1] plus s[m]) divided by 2 — otherwise.</t>
        </is>
      </c>
      <c r="I447" s="3" t="inlineStr">
        <is>
          <t>PARTLY READ — some of the code is still showing through; needs a hand pass</t>
        </is>
      </c>
      <c r="J447" s="3" t="inlineStr">
        <is>
          <t>xs: number[]</t>
        </is>
      </c>
      <c r="K447" s="3" t="inlineStr">
        <is>
          <t>number</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MK-PL-F-075</t>
        </is>
      </c>
      <c r="B448" s="3" t="inlineStr">
        <is>
          <t>pctOfSorted</t>
        </is>
      </c>
      <c r="C448" s="3" t="inlineStr">
        <is>
          <t>src/domain/retirement/index.ts</t>
        </is>
      </c>
      <c r="D448" s="3" t="n">
        <v>293</v>
      </c>
      <c r="E448" s="3" t="inlineStr">
        <is>
          <t>3 · DEPENDENT</t>
        </is>
      </c>
      <c r="F448" s="3" t="inlineStr">
        <is>
          <t>p in [0,1] over a pre-sorted ascending array (nearest-rank)</t>
        </is>
      </c>
      <c r="G448" s="11" t="inlineStr">
        <is>
          <t>0   when count of sorted is missing
idx = min(sorted.length − 1, max(0, round(p × (sorted.length − 1))))
the answer = sorted[idx]</t>
        </is>
      </c>
      <c r="H448" s="3" t="inlineStr">
        <is>
          <t>When how many sorted is missing there are, it answers 0. Idx: the smaller of sorted.length minus 1 and p times (sorted.length minus 1, to a whole number, never below zero). The answer is sorted[idx].</t>
        </is>
      </c>
      <c r="I448" s="3" t="inlineStr">
        <is>
          <t>READ FROM THE CODE — rendered from the expressions the function runs</t>
        </is>
      </c>
      <c r="J448" s="3" t="inlineStr">
        <is>
          <t>1. sorted: number[]
2. p: number</t>
        </is>
      </c>
      <c r="K448" s="3" t="inlineStr">
        <is>
          <t>number</t>
        </is>
      </c>
      <c r="L448" s="3" t="inlineStr">
        <is>
          <t>—</t>
        </is>
      </c>
      <c r="M448" s="3" t="inlineStr">
        <is>
          <t>· Rounds the answer to a whole number.</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MK-PL-F-077</t>
        </is>
      </c>
      <c r="B449" s="3" t="inlineStr">
        <is>
          <t>clamp</t>
        </is>
      </c>
      <c r="C449" s="3" t="inlineStr">
        <is>
          <t>src/domain/retirement/willItLast.ts</t>
        </is>
      </c>
      <c r="D449" s="3" t="n">
        <v>56</v>
      </c>
      <c r="E449" s="3" t="inlineStr">
        <is>
          <t>2 · DISPLAYED</t>
        </is>
      </c>
      <c r="F449" s="3" t="inlineStr">
        <is>
          <t>NOT DETERMINED — the code carries no note saying what this is for, and it has no row in the old inventory. Needs reading.</t>
        </is>
      </c>
      <c r="G449" s="11" t="inlineStr">
        <is>
          <t>max(lo, min(hi, v))</t>
        </is>
      </c>
      <c r="H449" s="3" t="inlineStr">
        <is>
          <t>the larger of lo and the smaller of hi and v</t>
        </is>
      </c>
      <c r="I449" s="3" t="inlineStr">
        <is>
          <t>READ FROM THE CODE — rendered from the expressions the function runs</t>
        </is>
      </c>
      <c r="J449" s="3" t="inlineStr">
        <is>
          <t>1. v: number
2. lo: number
3. hi: number</t>
        </is>
      </c>
      <c r="K449" s="3" t="inlineStr">
        <is>
          <t>NOT DECLARED — the code does not say what it gives back</t>
        </is>
      </c>
      <c r="L449" s="3" t="inlineStr">
        <is>
          <t>1. "Claim at age" — on the Retirement cockpit screen
2. "Save" — on the Retirement cockpit screen
3. "Test retiring earlier, saving more, market ups &amp; downs." — on the Retirement cockpit screen
4. "What counts toward retirement?" — on the Retirement cockpit screen</t>
        </is>
      </c>
      <c r="M449" s="3" t="inlineStr">
        <is>
          <t>None found in this function — anything it assumes comes from the functions it depends on.</t>
        </is>
      </c>
      <c r="N449" s="3" t="inlineStr">
        <is>
          <t>Yes</t>
        </is>
      </c>
      <c r="O449" s="3" t="inlineStr">
        <is>
          <t>MK-NW-F-035 blendedVolatility</t>
        </is>
      </c>
      <c r="P449" s="3" t="n">
        <v>16</v>
      </c>
      <c r="Q449"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9"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MK-PL-F-078</t>
        </is>
      </c>
      <c r="B450" s="3" t="inlineStr">
        <is>
          <t>rmdDivisorAtAge</t>
        </is>
      </c>
      <c r="C450" s="3" t="inlineStr">
        <is>
          <t>src/domain/decumulation/index.ts</t>
        </is>
      </c>
      <c r="D450" s="3" t="n">
        <v>299</v>
      </c>
      <c r="E450" s="3" t="inlineStr">
        <is>
          <t>2 · DISPLAYED</t>
        </is>
      </c>
      <c r="F450" s="3" t="inlineStr">
        <is>
          <t>NOT DETERMINED — the code carries no note saying what this is for, and it has no row in the old inventory. Needs reading.</t>
        </is>
      </c>
      <c r="G450" s="11" t="inlineStr">
        <is>
          <t>table rmd divisor(age, now year − age)</t>
        </is>
      </c>
      <c r="H450" s="3" t="inlineStr">
        <is>
          <t>table rmd divisor(age, now year minus age).</t>
        </is>
      </c>
      <c r="I450" s="3" t="inlineStr">
        <is>
          <t>READ FROM THE CODE — rendered from the expressions the function runs</t>
        </is>
      </c>
      <c r="J450" s="3" t="inlineStr">
        <is>
          <t>1. age: number
2. nowYear = new Date().getFullYear()</t>
        </is>
      </c>
      <c r="K450" s="3" t="inlineStr">
        <is>
          <t>number</t>
        </is>
      </c>
      <c r="L450" s="3" t="inlineStr">
        <is>
          <t>"Suggested withdrawal order" — on the Retirement cockpit screen</t>
        </is>
      </c>
      <c r="M450" s="3" t="inlineStr">
        <is>
          <t>· Uses today's date from the device clock, so the answer changes by itself overnight.</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2026-09-13</t>
        </is>
      </c>
      <c r="W450" s="3" t="n"/>
      <c r="X450" s="3" t="n"/>
      <c r="Y450" s="3" t="inlineStr">
        <is>
          <t>NOTHING OPEN</t>
        </is>
      </c>
    </row>
    <row r="451" ht="60" customHeight="1">
      <c r="A451" s="3" t="inlineStr">
        <is>
          <t>MK-PL-F-079</t>
        </is>
      </c>
      <c r="B451" s="3" t="inlineStr">
        <is>
          <t>numOrZero</t>
        </is>
      </c>
      <c r="C451" s="3" t="inlineStr">
        <is>
          <t>src/domain/retirement/willItLast.ts</t>
        </is>
      </c>
      <c r="D451" s="3" t="n">
        <v>35</v>
      </c>
      <c r="E451" s="3" t="inlineStr">
        <is>
          <t>3 · DEPENDENT</t>
        </is>
      </c>
      <c r="F451" s="3" t="inlineStr">
        <is>
          <t>NOT DETERMINED — the code carries no note saying what this is for, and it has no row in the old inventory. Needs reading.</t>
        </is>
      </c>
      <c r="G451" s="11" t="inlineStr">
        <is>
          <t>n = the number in the text after every character but digits and the decimal point is removed
the answer = 0 when that is not a number, else n</t>
        </is>
      </c>
      <c r="H451" s="3" t="inlineStr">
        <is>
          <t>Reads a typed amount as a number — strips dollar signs, commas and spaces — and gives 0 when nothing numeric is left.</t>
        </is>
      </c>
      <c r="I451" s="3" t="inlineStr">
        <is>
          <t>READ BY HAND 2026-08-26 — checked line by line against the code</t>
        </is>
      </c>
      <c r="J451" s="3" t="inlineStr">
        <is>
          <t>v: any</t>
        </is>
      </c>
      <c r="K451" s="3" t="inlineStr">
        <is>
          <t>n; };</t>
        </is>
      </c>
      <c r="L451" s="3" t="inlineStr">
        <is>
          <t>—</t>
        </is>
      </c>
      <c r="M451" s="3" t="inlineStr">
        <is>
          <t>None found in this function — anything it assumes comes from the functions it depends on.</t>
        </is>
      </c>
      <c r="N451" s="3" t="inlineStr">
        <is>
          <t>Yes</t>
        </is>
      </c>
      <c r="O451" s="3" t="inlineStr">
        <is>
          <t>MK-XS-F-122 n</t>
        </is>
      </c>
      <c r="P451" s="3" t="n">
        <v>1</v>
      </c>
      <c r="Q451" s="3" t="inlineStr">
        <is>
          <t>MK-XS-F-122 n</t>
        </is>
      </c>
      <c r="R451" s="3" t="inlineStr">
        <is>
          <t>MK-XS-F-122 n → MK-PL-F-079 numOrZero</t>
        </is>
      </c>
      <c r="S451" s="3" t="inlineStr">
        <is>
          <t>—</t>
        </is>
      </c>
      <c r="T451" s="3" t="inlineStr">
        <is>
          <t>—</t>
        </is>
      </c>
      <c r="U451" s="3" t="inlineStr">
        <is>
          <t>ACTIVE</t>
        </is>
      </c>
      <c r="V451" s="3" t="inlineStr">
        <is>
          <t>2026-09-12</t>
        </is>
      </c>
      <c r="W451" s="3" t="n"/>
      <c r="X451" s="3" t="n"/>
      <c r="Y451" s="3" t="inlineStr">
        <is>
          <t>NOTHING OPEN</t>
        </is>
      </c>
    </row>
    <row r="452" ht="60" customHeight="1">
      <c r="A452" s="3" t="inlineStr">
        <is>
          <t>MK-PL-F-080</t>
        </is>
      </c>
      <c r="B452" s="3" t="inlineStr">
        <is>
          <t>rmdRequiredThisYear</t>
        </is>
      </c>
      <c r="C452" s="3" t="inlineStr">
        <is>
          <t>src/domain/decumulation/index.ts</t>
        </is>
      </c>
      <c r="D452" s="3" t="n">
        <v>362</v>
      </c>
      <c r="E452" s="3" t="inlineStr">
        <is>
          <t>2 · DISPLAYED</t>
        </is>
      </c>
      <c r="F452" s="3" t="inlineStr">
        <is>
          <t>What must be taken out this year, and which balance is it based on?</t>
        </is>
      </c>
      <c r="G452" s="11" t="inlineStr">
        <is>
          <t>balance used = the pre-tax balance on 31 December last year, when the person entered one (&gt; 0); otherwise today's pre-tax balance
amount = rmd at age(balance used, age)
basis = 'prior_year_end' or 'today' — so the screen can say which</t>
        </is>
      </c>
      <c r="H452" s="3" t="inlineStr">
        <is>
          <t>If the person has entered last 31 December's pre-tax balance, the required amount is that balance divided by the life-expectancy factor for their age. If not, today's balance is used instead, and the answer carries a flag saying so, which the screen prints.</t>
        </is>
      </c>
      <c r="I452" s="3" t="inlineStr">
        <is>
          <t>READ BY HAND 2026-08-26 — checked line by line against the code</t>
        </is>
      </c>
      <c r="J452" s="3" t="inlineStr">
        <is>
          <t>1. preTaxToday: number
2. priorYearEndPreTax: number | null | undefined
3. age: number</t>
        </is>
      </c>
      <c r="K452" s="3" t="inlineStr">
        <is>
          <t>RmdThisYear</t>
        </is>
      </c>
      <c r="L452" s="3" t="inlineStr">
        <is>
          <t>NOT FOUND — a screen calls it, but the words printed beside its answer could not be traced automatically. Needs reading.</t>
        </is>
      </c>
      <c r="M452"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2" s="3" t="inlineStr">
        <is>
          <t>Yes</t>
        </is>
      </c>
      <c r="O452" s="3" t="inlineStr">
        <is>
          <t>MK-PL-F-007 rmdAtAge</t>
        </is>
      </c>
      <c r="P452" s="3" t="n">
        <v>2</v>
      </c>
      <c r="Q452" s="3" t="inlineStr">
        <is>
          <t>1. MK-PL-F-007 rmdAtAge
2. MK-PL-F-078 rmdDivisorAtAge</t>
        </is>
      </c>
      <c r="R452" s="3" t="inlineStr">
        <is>
          <t>MK-PL-F-078 rmdDivisorAtAge → MK-PL-F-007 rmdAtAge → MK-PL-F-080 rmdRequiredThisYear</t>
        </is>
      </c>
      <c r="S452" s="3" t="inlineStr">
        <is>
          <t>MK-PL-M-013</t>
        </is>
      </c>
      <c r="T452" s="3" t="inlineStr">
        <is>
          <t>—</t>
        </is>
      </c>
      <c r="U452" s="3" t="inlineStr">
        <is>
          <t>ACTIVE</t>
        </is>
      </c>
      <c r="V452" s="3" t="inlineStr">
        <is>
          <t>2026-09-08</t>
        </is>
      </c>
      <c r="W452" s="3" t="n"/>
      <c r="X452" s="3" t="n"/>
      <c r="Y452" s="6" t="inlineStr">
        <is>
          <t>TESTED, NOT VERIFIED (G8)</t>
        </is>
      </c>
    </row>
    <row r="453" ht="60" customHeight="1">
      <c r="A453" s="3" t="inlineStr">
        <is>
          <t>MK-PL-F-081</t>
        </is>
      </c>
      <c r="B453" s="3" t="inlineStr">
        <is>
          <t>taxableGainShare</t>
        </is>
      </c>
      <c r="C453" s="3" t="inlineStr">
        <is>
          <t>src/domain/decumulation/index.ts</t>
        </is>
      </c>
      <c r="D453" s="3" t="n">
        <v>570</v>
      </c>
      <c r="E453" s="3" t="inlineStr">
        <is>
          <t>2 · DISPLAYED</t>
        </is>
      </c>
      <c r="F453" s="3" t="inlineStr">
        <is>
          <t>What share of the person's taxable holdings is unrealised gain?</t>
        </is>
      </c>
      <c r="G453" s="11" t="inlineStr">
        <is>
          <t>over every holding in a TAXABLE account that has a price (the broker's mark, else the price feed): value += market value(holding, price) · basis += cost basis(holding)
nothing   when value ≤ 0 (no priced taxable holding)
the answer = min(1, max(0, (value − basis) ÷ value))</t>
        </is>
      </c>
      <c r="H453" s="3" t="inlineStr">
        <is>
          <t>Add up what the taxable holdings are worth today and what was paid for them; the gain share is the difference as a fraction of today's value, never below zero and never above one. With no priced taxable holding there is no answer.</t>
        </is>
      </c>
      <c r="I453" s="3" t="inlineStr">
        <is>
          <t>READ BY HAND 2026-08-26 — checked line by line against the code</t>
        </is>
      </c>
      <c r="J453" s="3" t="inlineStr">
        <is>
          <t>1. accounts: AssetAccount[]
2. priceOf: (ticker: string) =&gt; number | null</t>
        </is>
      </c>
      <c r="K453" s="3" t="inlineStr">
        <is>
          <t>number | null</t>
        </is>
      </c>
      <c r="L453" s="3" t="inlineStr">
        <is>
          <t>NOT FOUND — a screen calls it, but the words printed beside its answer could not be traced automatically. Needs reading.</t>
        </is>
      </c>
      <c r="M453" s="3" t="inlineStr">
        <is>
          <t>1. A holding with no price is left out; no priced taxable holding at all → nothing, never a guessed 50% (founder ruling 2026-09-08, G6).
2. A loss overall counts as a 0% gain share (no tax on drawing at a loss), never negative.</t>
        </is>
      </c>
      <c r="N453" s="3" t="inlineStr">
        <is>
          <t>Yes</t>
        </is>
      </c>
      <c r="O453" s="3" t="inlineStr">
        <is>
          <t>1. MK-PF-F-002 costBasis
2. MK-PF-F-004 marketValue</t>
        </is>
      </c>
      <c r="P453" s="3" t="n">
        <v>4</v>
      </c>
      <c r="Q453" s="3" t="inlineStr">
        <is>
          <t>1. MK-PF-F-002 costBasis
2. MK-PF-F-004 marketValue
3. MK-PF-F-031 contractMultiplier
4. MK-PF-F-001 totalShares</t>
        </is>
      </c>
      <c r="R453" s="3" t="inlineStr">
        <is>
          <t>1. MK-PF-F-031 contractMultiplier → MK-PF-F-002 costBasis → MK-PL-F-081 taxableGainShare
2. MK-PF-F-031 contractMultiplier → MK-PF-F-004 marketValue → MK-PL-F-081 taxableGainShare
3. MK-PF-F-001 totalShares → MK-PF-F-004 marketValue → MK-PL-F-081 taxableGainShare</t>
        </is>
      </c>
      <c r="S453" s="3" t="inlineStr">
        <is>
          <t>—</t>
        </is>
      </c>
      <c r="T453" s="3" t="inlineStr">
        <is>
          <t>—</t>
        </is>
      </c>
      <c r="U453" s="3" t="inlineStr">
        <is>
          <t>ACTIVE</t>
        </is>
      </c>
      <c r="V453" s="3" t="inlineStr">
        <is>
          <t>2026-09-08</t>
        </is>
      </c>
      <c r="W453" s="3" t="n"/>
      <c r="X453" s="3" t="n"/>
      <c r="Y453" s="6" t="inlineStr">
        <is>
          <t>TESTED, NOT VERIFIED (G6)</t>
        </is>
      </c>
    </row>
    <row r="454" ht="60" customHeight="1">
      <c r="A454" s="3" t="inlineStr">
        <is>
          <t>MK-PL-F-082</t>
        </is>
      </c>
      <c r="B454" s="3" t="inlineStr">
        <is>
          <t>taxableIncomeSteps</t>
        </is>
      </c>
      <c r="C454" s="3" t="inlineStr">
        <is>
          <t>src/domain/planning/index.ts</t>
        </is>
      </c>
      <c r="D454" s="3" t="n">
        <v>65</v>
      </c>
      <c r="E454" s="3" t="inlineStr">
        <is>
          <t>3 · DEPENDENT</t>
        </is>
      </c>
      <c r="F454" s="3" t="inlineStr">
        <is>
          <t>From everything earned to what is actually taxed — the four lines a return shows (founder ruling brief Q-46 (2026-08-20), 2026-09-08).</t>
        </is>
      </c>
      <c r="G454"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4"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4" s="3" t="inlineStr">
        <is>
          <t>READ BY HAND 2026-08-26 — checked line by line against the code</t>
        </is>
      </c>
      <c r="J454" s="3" t="inlineStr">
        <is>
          <t>1. op: OnboardingProfile | null
2. grossIncome: number</t>
        </is>
      </c>
      <c r="K454" s="3" t="inlineStr">
        <is>
          <t>TaxableIncomeSteps</t>
        </is>
      </c>
      <c r="L454" s="3" t="inlineStr">
        <is>
          <t>—</t>
        </is>
      </c>
      <c r="M454"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4" s="3" t="inlineStr">
        <is>
          <t>Yes</t>
        </is>
      </c>
      <c r="O454" s="3" t="inlineStr">
        <is>
          <t>1. MK-CF-F-099 deductionFor
2. MK-CF-F-085 filingStatusOf
3. MK-CF-F-188 householdPreTaxContributionsAnnual
4. MK-ST-F-039 on
5. MK-CF-F-089 over65CountOf
6. MK-CF-F-187 seniorDeductionFor</t>
        </is>
      </c>
      <c r="P454" s="3" t="n">
        <v>12</v>
      </c>
      <c r="Q454"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4"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4" s="3" t="inlineStr">
        <is>
          <t>MK-MN-M-027 · MK-MN-M-028</t>
        </is>
      </c>
      <c r="T454" s="3" t="inlineStr">
        <is>
          <t>—</t>
        </is>
      </c>
      <c r="U454" s="3" t="inlineStr">
        <is>
          <t>ACTIVE</t>
        </is>
      </c>
      <c r="V454" s="3" t="inlineStr">
        <is>
          <t>2026-09-08</t>
        </is>
      </c>
      <c r="W454" s="3" t="n"/>
      <c r="X454" s="3" t="n"/>
      <c r="Y454" s="6" t="inlineStr">
        <is>
          <t>TESTED, NOT VERIFIED (G22 / Q46)</t>
        </is>
      </c>
    </row>
    <row r="455" ht="60" customHeight="1">
      <c r="A455" s="3" t="inlineStr">
        <is>
          <t>MK-PL-F-083</t>
        </is>
      </c>
      <c r="B455" s="3" t="inlineStr">
        <is>
          <t>inflationRateInForce</t>
        </is>
      </c>
      <c r="C455" s="3" t="inlineStr">
        <is>
          <t>src/domain/retirement/inflation.ts</t>
        </is>
      </c>
      <c r="D455" s="3" t="n">
        <v>48</v>
      </c>
      <c r="E455" s="3" t="inlineStr">
        <is>
          <t>2 · DISPLAYED</t>
        </is>
      </c>
      <c r="F455" s="3" t="inlineStr">
        <is>
          <t>The inflation rate a plan runs on, and where it came from.</t>
        </is>
      </c>
      <c r="G455"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5" s="3" t="inlineStr">
        <is>
          <t>The person's own inflation rate when they set one on the cockpit; otherwise the dated default — 2.5% a year, the 30-year average of consumer prices — with its source, so the screen can say where the figure came from.</t>
        </is>
      </c>
      <c r="I455" s="3" t="inlineStr">
        <is>
          <t>READ BY HAND 2026-08-26 — checked line by line against the code</t>
        </is>
      </c>
      <c r="J455" s="3" t="inlineStr">
        <is>
          <t>entered: number | null | undefined</t>
        </is>
      </c>
      <c r="K455" s="3" t="inlineStr">
        <is>
          <t>InflationInForce</t>
        </is>
      </c>
      <c r="L455" s="3" t="inlineStr">
        <is>
          <t>NOT FOUND — a screen calls it, but the words printed beside its answer could not be traced automatically. Needs reading.</t>
        </is>
      </c>
      <c r="M455" s="3" t="inlineStr">
        <is>
          <t>· Founder ruling brief Q-50 (2026-08-20), executed 2026-09-08 (G30): the default is the dated 30-year average — 2.5% a year, Bureau of Labor Statistics CPI-U 1996–2025, checked 2026-09-08 — never a live feed; the person's own rate outranks it.</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2026-09-11</t>
        </is>
      </c>
      <c r="W455" s="3" t="n"/>
      <c r="X455" s="3" t="n"/>
      <c r="Y455" s="6" t="inlineStr">
        <is>
          <t>TESTED, NOT VERIFIED (Brief D7 — inflation lever, G30)</t>
        </is>
      </c>
    </row>
    <row r="456" ht="60" customHeight="1">
      <c r="A456" s="3" t="inlineStr">
        <is>
          <t>MK-PL-F-084</t>
        </is>
      </c>
      <c r="B456" s="3" t="inlineStr">
        <is>
          <t>rateBandWords</t>
        </is>
      </c>
      <c r="C456" s="3" t="inlineStr">
        <is>
          <t>src/domain/decumulation/index.ts</t>
        </is>
      </c>
      <c r="D456" s="3" t="n">
        <v>86</v>
      </c>
      <c r="E456" s="3" t="inlineStr">
        <is>
          <t>2 · DISPLAYED</t>
        </is>
      </c>
      <c r="F456" s="3" t="inlineStr">
        <is>
          <t>HOW A WITHDRAWAL RATE READS, IN HIS OWN-MATH FRAMING — DEC-0036, and ONE place for it (DEC-0215).</t>
        </is>
      </c>
      <c r="G456" s="11" t="inlineStr">
        <is>
          <t>NOT READ YET — the body is not a shape this can render faithfully, so nothing is claimed rather than something being guessed. It needs reading by hand.</t>
        </is>
      </c>
      <c r="H456" s="3" t="inlineStr">
        <is>
          <t>NOT READ YET — the body is not a shape this can render faithfully, so nothing is claimed rather than something being guessed. It needs reading by hand.</t>
        </is>
      </c>
      <c r="I456" s="3" t="inlineStr">
        <is>
          <t>NOT READ — nothing is claimed rather than something guessed</t>
        </is>
      </c>
      <c r="J456" s="3" t="inlineStr">
        <is>
          <t>1. band: RateBand | null | undefined
2. opts?: { short?: boolean }</t>
        </is>
      </c>
      <c r="K456" s="3" t="inlineStr">
        <is>
          <t>string</t>
        </is>
      </c>
      <c r="L456" s="3" t="inlineStr">
        <is>
          <t>1. "From your portfolio" — on the Retirement cockpit screen
2. "WILL YOUR MONEY LAST?" — on the Retirement cockpit screen, under "RETIREMENT
3. WHERE YOU STAND"</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2026-10-01</t>
        </is>
      </c>
      <c r="W456" s="3" t="n"/>
      <c r="X456" s="3" t="n"/>
      <c r="Y456" s="3" t="inlineStr">
        <is>
          <t>NOTHING OPEN</t>
        </is>
      </c>
    </row>
    <row r="457" ht="45" customHeight="1">
      <c r="A457" s="3" t="inlineStr">
        <is>
          <t>MK-PL-F-085</t>
        </is>
      </c>
      <c r="B457" s="3" t="inlineStr">
        <is>
          <t>oddsTail</t>
        </is>
      </c>
      <c r="C457" s="3" t="inlineStr">
        <is>
          <t>src/domain/planning/hub.ts</t>
        </is>
      </c>
      <c r="D457" s="3" t="n">
        <v>68</v>
      </c>
      <c r="E457" s="3" t="inlineStr">
        <is>
          <t>2 · DISPLAYED</t>
        </is>
      </c>
      <c r="F457" s="3" t="inlineStr">
        <is>
          <t>THE WORDS WITHOUT THE NUMBER — for the gauge, which prints the number large and the words beneath it.</t>
        </is>
      </c>
      <c r="G457" s="11" t="inlineStr">
        <is>
          <t>`odds of lasting to age ${horizon age}`</t>
        </is>
      </c>
      <c r="H457" s="3" t="inlineStr">
        <is>
          <t>`odds of lasting to age ${horizon age}`.</t>
        </is>
      </c>
      <c r="I457" s="3" t="inlineStr">
        <is>
          <t>PARTLY READ — some of the code is still showing through; needs a hand pass</t>
        </is>
      </c>
      <c r="J457" s="3" t="inlineStr">
        <is>
          <t>horizonAge: number</t>
        </is>
      </c>
      <c r="K457" s="3" t="inlineStr">
        <is>
          <t>string</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2026-10-01</t>
        </is>
      </c>
      <c r="W457" s="3" t="n"/>
      <c r="X457" s="3" t="n"/>
      <c r="Y457" s="3" t="inlineStr">
        <is>
          <t>NOTHING OPEN</t>
        </is>
      </c>
    </row>
    <row r="458" ht="60" customHeight="1">
      <c r="A458" s="3" t="inlineStr">
        <is>
          <t>MK-ST-F-001</t>
        </is>
      </c>
      <c r="B458" s="3" t="inlineStr">
        <is>
          <t>looksFixedIncome</t>
        </is>
      </c>
      <c r="C458" s="3" t="inlineStr">
        <is>
          <t>Calculation Module code/engines/classify.ts</t>
        </is>
      </c>
      <c r="D458" s="3" t="n">
        <v>266</v>
      </c>
      <c r="E458" s="3" t="inlineStr">
        <is>
          <t>3 · DEPENDENT (feeds an action only)</t>
        </is>
      </c>
      <c r="F458" s="3" t="inlineStr">
        <is>
          <t>Fixed income by its words.</t>
        </is>
      </c>
      <c r="G458"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8"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8" s="3" t="inlineStr">
        <is>
          <t>PARTLY READ — some of the code is still showing through; needs a hand pass</t>
        </is>
      </c>
      <c r="J458" s="3" t="inlineStr">
        <is>
          <t>text: string</t>
        </is>
      </c>
      <c r="K458" s="3" t="inlineStr">
        <is>
          <t>boolean</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MK-ST-F-002</t>
        </is>
      </c>
      <c r="B459" s="3" t="inlineStr">
        <is>
          <t>monthWords</t>
        </is>
      </c>
      <c r="C459" s="3" t="inlineStr">
        <is>
          <t>Calculation Module code/engines/coverage.ts</t>
        </is>
      </c>
      <c r="D459" s="3" t="n">
        <v>55</v>
      </c>
      <c r="E459" s="3" t="inlineStr">
        <is>
          <t>3 · DEPENDENT</t>
        </is>
      </c>
      <c r="F459" s="3" t="inlineStr">
        <is>
          <t>"March 2022" — a month a person reads, not a date stamp.</t>
        </is>
      </c>
      <c r="G459" s="11" t="inlineStr">
        <is>
          <t>''   when iso is missing
`${MONTHS[m − 1]} ${y}`   if m
string(y)   otherwise</t>
        </is>
      </c>
      <c r="H459" s="3" t="inlineStr">
        <is>
          <t>When iso is missing, it answers ''. `${MONTHS[m minus 1]} ${y}` — when m; string(y) — otherwise.</t>
        </is>
      </c>
      <c r="I459" s="3" t="inlineStr">
        <is>
          <t>PARTLY READ — some of the code is still showing through; needs a hand pass</t>
        </is>
      </c>
      <c r="J459" s="3" t="inlineStr">
        <is>
          <t>iso: string | null</t>
        </is>
      </c>
      <c r="K459" s="3" t="inlineStr">
        <is>
          <t>string</t>
        </is>
      </c>
      <c r="L459" s="3" t="inlineStr">
        <is>
          <t>—</t>
        </is>
      </c>
      <c r="M459" s="3" t="inlineStr">
        <is>
          <t>None found in this function — anything it assumes comes from the functions it depends on.</t>
        </is>
      </c>
      <c r="N459" s="3" t="inlineStr">
        <is>
          <t>Yes</t>
        </is>
      </c>
      <c r="O459" s="3" t="inlineStr">
        <is>
          <t>MK-CF-F-132 map</t>
        </is>
      </c>
      <c r="P459" s="3" t="n">
        <v>1</v>
      </c>
      <c r="Q459" s="3" t="inlineStr">
        <is>
          <t>MK-CF-F-132 map</t>
        </is>
      </c>
      <c r="R459" s="3" t="inlineStr">
        <is>
          <t>MK-CF-F-132 map → MK-ST-F-002 monthWords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MK-ST-F-003</t>
        </is>
      </c>
      <c r="B460" s="3" t="inlineStr">
        <is>
          <t>dayWords</t>
        </is>
      </c>
      <c r="C460" s="3" t="inlineStr">
        <is>
          <t>Calculation Module code/engines/coverage.ts</t>
        </is>
      </c>
      <c r="D460" s="3" t="n">
        <v>82</v>
      </c>
      <c r="E460" s="3" t="inlineStr">
        <is>
          <t>3 · DEPENDENT</t>
        </is>
      </c>
      <c r="F460" s="3" t="inlineStr">
        <is>
          <t>"14 March 2022".</t>
        </is>
      </c>
      <c r="G460" s="11" t="inlineStr">
        <is>
          <t>''   when iso is missing
`${d} ${MONTHS[m − 1]} ${y}`   if m and d
month words(iso)   otherwise</t>
        </is>
      </c>
      <c r="H460" s="3" t="inlineStr">
        <is>
          <t>When iso is missing, it answers ''. `${d} ${MONTHS[m minus 1]} ${y}` — when m and d; month words(iso) — otherwise.</t>
        </is>
      </c>
      <c r="I460" s="3" t="inlineStr">
        <is>
          <t>PARTLY READ — some of the code is still showing through; needs a hand pass</t>
        </is>
      </c>
      <c r="J460" s="3" t="inlineStr">
        <is>
          <t>iso: string | null</t>
        </is>
      </c>
      <c r="K460" s="3" t="inlineStr">
        <is>
          <t>string</t>
        </is>
      </c>
      <c r="L460" s="3" t="inlineStr">
        <is>
          <t>—</t>
        </is>
      </c>
      <c r="M460" s="3" t="inlineStr">
        <is>
          <t>None found in this function — anything it assumes comes from the functions it depends on.</t>
        </is>
      </c>
      <c r="N460" s="3" t="inlineStr">
        <is>
          <t>Yes</t>
        </is>
      </c>
      <c r="O460" s="3" t="inlineStr">
        <is>
          <t>1. MK-CF-F-132 map
2. MK-ST-F-002 monthWords</t>
        </is>
      </c>
      <c r="P460" s="3" t="n">
        <v>2</v>
      </c>
      <c r="Q460" s="3" t="inlineStr">
        <is>
          <t>1. MK-CF-F-132 map
2. MK-ST-F-002 monthWords</t>
        </is>
      </c>
      <c r="R460" s="3" t="inlineStr">
        <is>
          <t>1. MK-CF-F-132 map → MK-ST-F-003 dayWords
2. MK-CF-F-132 map → MK-ST-F-002 monthWords → MK-ST-F-003 dayWords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MK-ST-F-004</t>
        </is>
      </c>
      <c r="B461" s="3" t="inlineStr">
        <is>
          <t>coverageFor</t>
        </is>
      </c>
      <c r="C461" s="3" t="inlineStr">
        <is>
          <t>Calculation Module code/engines/coverage.ts</t>
        </is>
      </c>
      <c r="D461" s="3" t="n">
        <v>119</v>
      </c>
      <c r="E461" s="3" t="inlineStr">
        <is>
          <t>2 · DISPLAYED</t>
        </is>
      </c>
      <c r="F461" s="3" t="inlineStr">
        <is>
          <t>What can we honestly say about a window starting on `from`?</t>
        </is>
      </c>
      <c r="G461"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1"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1" s="3" t="inlineStr">
        <is>
          <t>PARTLY READ — some of the code is still showing through; needs a hand pass</t>
        </is>
      </c>
      <c r="J461" s="3" t="inlineStr">
        <is>
          <t>1. days: Dated[]
2. from: string
3. today: string</t>
        </is>
      </c>
      <c r="K461" s="3" t="inlineStr">
        <is>
          <t>Coverage</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1. MK-ST-F-003 dayWords
2. MK-ST-F-034 firstDate
3. MK-ST-F-002 monthWords</t>
        </is>
      </c>
      <c r="P461" s="3" t="n">
        <v>4</v>
      </c>
      <c r="Q461" s="3" t="inlineStr">
        <is>
          <t>1. MK-ST-F-003 dayWords
2. MK-ST-F-034 firstDate
3. MK-ST-F-002 monthWords
4. MK-CF-F-132 map</t>
        </is>
      </c>
      <c r="R461" s="3" t="inlineStr">
        <is>
          <t>1. MK-CF-F-132 map → MK-ST-F-003 dayWords → MK-ST-F-004 coverageFor
2. MK-CF-F-132 map → MK-ST-F-002 monthWords → MK-ST-F-003 dayWords → MK-ST-F-004 coverageFor
3. MK-ST-F-034 firstDate → MK-ST-F-004 coverageFor
4. MK-CF-F-132 map → MK-ST-F-002 monthWords → MK-ST-F-004 coverageFor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MK-ST-F-005</t>
        </is>
      </c>
      <c r="B462" s="3" t="inlineStr">
        <is>
          <t>measuredFromLabel</t>
        </is>
      </c>
      <c r="C462" s="3" t="inlineStr">
        <is>
          <t>Calculation Module code/engines/coverage.ts</t>
        </is>
      </c>
      <c r="D462" s="3" t="n">
        <v>168</v>
      </c>
      <c r="E462" s="3" t="inlineStr">
        <is>
          <t>2 · DISPLAYED</t>
        </is>
      </c>
      <c r="F462" s="3" t="inlineStr">
        <is>
          <t>The short label that rides beside a change figure, always — whether the window is covered or not.</t>
        </is>
      </c>
      <c r="G462" s="11" t="inlineStr">
        <is>
          <t>start = first date(days)
''   when start is missing
actual = start   if start &gt; from
from   otherwise
the answer = `since ${day words(actual)}`</t>
        </is>
      </c>
      <c r="H462" s="3" t="inlineStr">
        <is>
          <t>Start is first date(days). When start is missing, it answers ''. Actual is start — when start &gt; from; from — otherwise. The answer is `since ${day words(actual)}`.</t>
        </is>
      </c>
      <c r="I462" s="3" t="inlineStr">
        <is>
          <t>PARTLY READ — some of the code is still showing through; needs a hand pass</t>
        </is>
      </c>
      <c r="J462" s="3" t="inlineStr">
        <is>
          <t>1. days: Dated[]
2. from: string</t>
        </is>
      </c>
      <c r="K462" s="3" t="inlineStr">
        <is>
          <t>string</t>
        </is>
      </c>
      <c r="L462" s="3" t="inlineStr">
        <is>
          <t>NOT FOUND — a screen calls it, but the words printed beside its answer could not be traced automatically. Needs reading.</t>
        </is>
      </c>
      <c r="M462" s="3" t="inlineStr">
        <is>
          <t>None found in this function — anything it assumes comes from the functions it depends on.</t>
        </is>
      </c>
      <c r="N462" s="3" t="inlineStr">
        <is>
          <t>Yes</t>
        </is>
      </c>
      <c r="O462" s="3" t="inlineStr">
        <is>
          <t>1. MK-ST-F-003 dayWords
2. MK-ST-F-034 firstDate</t>
        </is>
      </c>
      <c r="P462" s="3" t="n">
        <v>4</v>
      </c>
      <c r="Q462" s="3" t="inlineStr">
        <is>
          <t>1. MK-ST-F-003 dayWords
2. MK-ST-F-034 firstDate
3. MK-CF-F-132 map
4. MK-ST-F-002 monthWords</t>
        </is>
      </c>
      <c r="R462" s="3" t="inlineStr">
        <is>
          <t>1. MK-CF-F-132 map → MK-ST-F-003 dayWords → MK-ST-F-005 measuredFromLabel
2. MK-CF-F-132 map → MK-ST-F-002 monthWords → MK-ST-F-003 dayWords → MK-ST-F-005 measuredFromLabel
3. MK-ST-F-034 firstDate → MK-ST-F-005 measuredFromLabel</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MK-ST-F-006</t>
        </is>
      </c>
      <c r="B463" s="3" t="inlineStr">
        <is>
          <t>canAnswer</t>
        </is>
      </c>
      <c r="C463" s="3" t="inlineStr">
        <is>
          <t>Calculation Module code/engines/coverage.ts</t>
        </is>
      </c>
      <c r="D463" s="3" t="n">
        <v>192</v>
      </c>
      <c r="E463" s="3" t="inlineStr">
        <is>
          <t>3 · DEPENDENT (feeds an action only)</t>
        </is>
      </c>
      <c r="F463" s="3" t="inlineStr">
        <is>
          <t>Is there any record at all on or before this date?</t>
        </is>
      </c>
      <c r="G463" s="11" t="inlineStr">
        <is>
          <t>on or before(days, from) ≠ nothing</t>
        </is>
      </c>
      <c r="H463" s="3" t="inlineStr">
        <is>
          <t>on or before(days, from) is not no answer.</t>
        </is>
      </c>
      <c r="I463" s="3" t="inlineStr">
        <is>
          <t>READ FROM THE CODE — rendered from the expressions the function runs</t>
        </is>
      </c>
      <c r="J463" s="3" t="inlineStr">
        <is>
          <t>1. days: Dated[]
2. from: string</t>
        </is>
      </c>
      <c r="K463" s="3" t="inlineStr">
        <is>
          <t>boolean</t>
        </is>
      </c>
      <c r="L463" s="3" t="inlineStr">
        <is>
          <t>—</t>
        </is>
      </c>
      <c r="M463" s="3" t="inlineStr">
        <is>
          <t>None found in this function — anything it assumes comes from the functions it depends on.</t>
        </is>
      </c>
      <c r="N463" s="3" t="inlineStr">
        <is>
          <t>No</t>
        </is>
      </c>
      <c r="O463" s="3" t="inlineStr">
        <is>
          <t>1. MK-ST-F-034 firstDate
2. MK-ST-F-033 onOrBefore</t>
        </is>
      </c>
      <c r="P463" s="3" t="n">
        <v>2</v>
      </c>
      <c r="Q463" s="3" t="inlineStr">
        <is>
          <t>1. MK-ST-F-034 firstDate
2. MK-ST-F-033 onOrBefore</t>
        </is>
      </c>
      <c r="R463" s="3" t="inlineStr">
        <is>
          <t>1. MK-ST-F-034 firstDate → MK-ST-F-006 canAnswer
2. MK-ST-F-033 onOrBefore → MK-ST-F-006 canAnswer</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MK-ST-F-007</t>
        </is>
      </c>
      <c r="B464" s="3" t="inlineStr">
        <is>
          <t>classifyEvent</t>
        </is>
      </c>
      <c r="C464" s="3" t="inlineStr">
        <is>
          <t>Calculation Module code/engines/events.ts</t>
        </is>
      </c>
      <c r="D464" s="3" t="n">
        <v>208</v>
      </c>
      <c r="E464" s="3" t="inlineStr">
        <is>
          <t>3 · DEPENDENT (feeds an action only)</t>
        </is>
      </c>
      <c r="F464" s="3" t="inlineStr">
        <is>
          <t>Classify one institution word.</t>
        </is>
      </c>
      <c r="G464"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4"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4" s="3" t="inlineStr">
        <is>
          <t>PARTLY READ — the body has a loop the extractor cannot render; the steps shown are the ones before it. Needs a hand pass (G23).</t>
        </is>
      </c>
      <c r="J464" s="3" t="inlineStr">
        <is>
          <t>word: string | null | undefined</t>
        </is>
      </c>
      <c r="K464" s="3" t="inlineStr">
        <is>
          <t>Classified</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2026-09-08</t>
        </is>
      </c>
      <c r="W464" s="3" t="n"/>
      <c r="X464" s="3" t="n"/>
      <c r="Y464" s="3" t="inlineStr">
        <is>
          <t>NOTHING OPEN</t>
        </is>
      </c>
    </row>
    <row r="465" ht="60" customHeight="1">
      <c r="A465" s="3" t="inlineStr">
        <is>
          <t>MK-ST-F-008</t>
        </is>
      </c>
      <c r="B465" s="3" t="inlineStr">
        <is>
          <t>touches</t>
        </is>
      </c>
      <c r="C465" s="3" t="inlineStr">
        <is>
          <t>Calculation Module code/engines/events.ts</t>
        </is>
      </c>
      <c r="D465" s="3" t="n">
        <v>236</v>
      </c>
      <c r="E465" s="3" t="inlineStr">
        <is>
          <t>3 · DEPENDENT (feeds an action only)</t>
        </is>
      </c>
      <c r="F465" s="3" t="inlineStr">
        <is>
          <t>Does this event add to that total?</t>
        </is>
      </c>
      <c r="G465" s="11" t="inlineStr">
        <is>
          <t>EVENTS[e].totals.includes(total)</t>
        </is>
      </c>
      <c r="H465" s="3" t="inlineStr">
        <is>
          <t>EVENTS[e].totals.includes(total).</t>
        </is>
      </c>
      <c r="I465" s="3" t="inlineStr">
        <is>
          <t>PARTLY READ — some of the code is still showing through; needs a hand pass</t>
        </is>
      </c>
      <c r="J465" s="3" t="inlineStr">
        <is>
          <t>1. e: CanonicalEvent
2. total: 'contributions' | 'withdrawals' | 'income' | 'costs' | 'units' | 'costBasis' | 'realisedGain'</t>
        </is>
      </c>
      <c r="K465" s="3" t="inlineStr">
        <is>
          <t>boolean</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MK-ST-F-009</t>
        </is>
      </c>
      <c r="B466" s="3" t="inlineStr">
        <is>
          <t>directionOf</t>
        </is>
      </c>
      <c r="C466" s="3" t="inlineStr">
        <is>
          <t>Calculation Module code/engines/events.ts</t>
        </is>
      </c>
      <c r="D466" s="3" t="n">
        <v>256</v>
      </c>
      <c r="E466" s="3" t="inlineStr">
        <is>
          <t>3 · DEPENDENT (feeds an action only)</t>
        </is>
      </c>
      <c r="F466" s="3" t="inlineStr">
        <is>
          <t>The direction an event implies, where the event itself decides it.</t>
        </is>
      </c>
      <c r="G466" s="11" t="inlineStr">
        <is>
          <t>EVENTS[e].direction (or 'NONE' when missing)</t>
        </is>
      </c>
      <c r="H466" s="3" t="inlineStr">
        <is>
          <t>EVENTS[e].direction (or 'NONE' — when missing).</t>
        </is>
      </c>
      <c r="I466" s="3" t="inlineStr">
        <is>
          <t>PARTLY READ — some of the code is still showing through; needs a hand pass</t>
        </is>
      </c>
      <c r="J466" s="3" t="inlineStr">
        <is>
          <t>e: CanonicalEvent</t>
        </is>
      </c>
      <c r="K466" s="3" t="inlineStr">
        <is>
          <t>Money['direction']</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MK-ST-F-010</t>
        </is>
      </c>
      <c r="B467" s="3" t="inlineStr">
        <is>
          <t>nameEvidence</t>
        </is>
      </c>
      <c r="C467" s="3" t="inlineStr">
        <is>
          <t>Calculation Module code/engines/holding-class.ts</t>
        </is>
      </c>
      <c r="D467" s="3" t="n">
        <v>91</v>
      </c>
      <c r="E467" s="3" t="inlineStr">
        <is>
          <t>3 · DEPENDENT</t>
        </is>
      </c>
      <c r="F467" s="3" t="inlineStr">
        <is>
          <t>What the NAME (symbol + description together) says, or null when it says nothing.</t>
        </is>
      </c>
      <c r="G467"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7"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7" s="3" t="inlineStr">
        <is>
          <t>PARTLY READ — some of the code is still showing through; needs a hand pass</t>
        </is>
      </c>
      <c r="J467" s="3" t="inlineStr">
        <is>
          <t>label?: string | null</t>
        </is>
      </c>
      <c r="K467" s="3" t="inlineStr">
        <is>
          <t>HoldingClass | null</t>
        </is>
      </c>
      <c r="L467" s="3" t="inlineStr">
        <is>
          <t>—</t>
        </is>
      </c>
      <c r="M467" s="3" t="inlineStr">
        <is>
          <t>None found in this function — anything it assumes comes from the functions it depends on.</t>
        </is>
      </c>
      <c r="N467" s="3" t="inlineStr">
        <is>
          <t>Yes</t>
        </is>
      </c>
      <c r="O467" s="3" t="inlineStr">
        <is>
          <t>1. MK-XS-F-147 call
2. MK-ST-F-056 has
3. MK-CF-F-132 map</t>
        </is>
      </c>
      <c r="P467" s="3" t="n">
        <v>6</v>
      </c>
      <c r="Q467" s="3" t="inlineStr">
        <is>
          <t>1. MK-XS-F-147 call
2. MK-ST-F-056 has
3. MK-CF-F-132 map
4. MK-ST-F-027 accountId
5. MK-XS-F-064 currentIdToken
6. MK-XS-F-112 relayUrl</t>
        </is>
      </c>
      <c r="R467"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MK-ST-F-011</t>
        </is>
      </c>
      <c r="B468" s="3" t="inlineStr">
        <is>
          <t>classifyHoldingClass</t>
        </is>
      </c>
      <c r="C468" s="3" t="inlineStr">
        <is>
          <t>Calculation Module code/engines/holding-class.ts</t>
        </is>
      </c>
      <c r="D468" s="3" t="n">
        <v>193</v>
      </c>
      <c r="E468" s="3" t="inlineStr">
        <is>
          <t>3 · DEPENDENT</t>
        </is>
      </c>
      <c r="F468" s="3" t="inlineStr">
        <is>
          <t>NOT DETERMINED — the code carries no note saying what this is for, and it has no row in the old inventory. Needs reading.</t>
        </is>
      </c>
      <c r="G468"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8"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8" s="3" t="inlineStr">
        <is>
          <t>PARTLY READ — some of the code is still showing through; needs a hand pass</t>
        </is>
      </c>
      <c r="J468" s="3" t="inlineStr">
        <is>
          <t>e: ClassEvidence</t>
        </is>
      </c>
      <c r="K468" s="3" t="inlineStr">
        <is>
          <t>ClassVerdict</t>
        </is>
      </c>
      <c r="L468" s="3" t="inlineStr">
        <is>
          <t>—</t>
        </is>
      </c>
      <c r="M468" s="3" t="inlineStr">
        <is>
          <t>None found in this function — anything it assumes comes from the functions it depends on.</t>
        </is>
      </c>
      <c r="N468" s="3" t="inlineStr">
        <is>
          <t>Yes</t>
        </is>
      </c>
      <c r="O468" s="3" t="inlineStr">
        <is>
          <t>MK-ST-F-010 nameEvidence</t>
        </is>
      </c>
      <c r="P468" s="3" t="n">
        <v>7</v>
      </c>
      <c r="Q468" s="3" t="inlineStr">
        <is>
          <t>1. MK-ST-F-010 nameEvidence
2. MK-XS-F-147 call
3. MK-ST-F-056 has
4. MK-CF-F-132 map
5. MK-ST-F-027 accountId
6. MK-XS-F-064 currentIdToken
7. MK-XS-F-112 relayUrl</t>
        </is>
      </c>
      <c r="R468"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MK-ST-F-012</t>
        </is>
      </c>
      <c r="B469" s="3" t="inlineStr">
        <is>
          <t>toLedgerRow</t>
        </is>
      </c>
      <c r="C469" s="3" t="inlineStr">
        <is>
          <t>Calculation Module code/engines/ledger.ts</t>
        </is>
      </c>
      <c r="D469" s="3" t="n">
        <v>131</v>
      </c>
      <c r="E469" s="3" t="inlineStr">
        <is>
          <t>3 · DEPENDENT (feeds an action only)</t>
        </is>
      </c>
      <c r="F469" s="3" t="inlineStr">
        <is>
          <t>Read one institution row into one ledger row.</t>
        </is>
      </c>
      <c r="G469" s="11" t="inlineStr">
        <is>
          <t>c = classify event(raw.word)
money = read money(raw.amount, convention, rule.direction)
units = number or undefined(raw.units)
legacy = TO_LEGACY[event]
is trade = legacy = 'BUY' (or legacy = 'SELL' when missing or zero)</t>
        </is>
      </c>
      <c r="H469" s="3" t="inlineStr">
        <is>
          <t>C is classify event(raw.word). Money is read money(raw.amount, convention, rule.direction). Units is number or undefined(raw.units). Legacy is TO_LEGACY[event]. Is trade is legacy = 'BUY' (or legacy = 'SELL' — when missing or zero).</t>
        </is>
      </c>
      <c r="I469" s="3" t="inlineStr">
        <is>
          <t>PARTLY READ — some of the code is still showing through; needs a hand pass</t>
        </is>
      </c>
      <c r="J469" s="3" t="inlineStr">
        <is>
          <t>1. raw: RawActivity
2. convention: SignConvention</t>
        </is>
      </c>
      <c r="K469" s="3" t="inlineStr">
        <is>
          <t>LedgerRow</t>
        </is>
      </c>
      <c r="L469" s="3" t="inlineStr">
        <is>
          <t>—</t>
        </is>
      </c>
      <c r="M469" s="3" t="inlineStr">
        <is>
          <t>None found in this function — anything it assumes comes from the functions it depends on.</t>
        </is>
      </c>
      <c r="N469" s="3" t="inlineStr">
        <is>
          <t>No</t>
        </is>
      </c>
      <c r="O469" s="3" t="inlineStr">
        <is>
          <t>1. MK-ST-F-007 classifyEvent
2. MK-ST-F-053 money
3. MK-ST-F-058 numberOrUndefined
4. MK-ST-F-018 readMoney
5. MK-ST-F-019 signed
6. MK-ST-F-021 toNumber</t>
        </is>
      </c>
      <c r="P469" s="3" t="n">
        <v>11</v>
      </c>
      <c r="Q469" s="3" t="inlineStr">
        <is>
          <t>1. MK-ST-F-007 classifyEvent
2. MK-ST-F-053 money
3. MK-ST-F-058 numberOrUndefined
4. MK-ST-F-018 readMoney
5. MK-ST-F-019 signed
6. MK-ST-F-021 toNumber
7. MK-ST-F-049 formatMoney
8. MK-XS-F-122 n
9. MK-ST-F-048 currencySymbol
10. MK-ST-F-039 on
11. MK-ST-F-047 activeCurrency</t>
        </is>
      </c>
      <c r="R469"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MK-ST-F-013</t>
        </is>
      </c>
      <c r="B470" s="3" t="inlineStr">
        <is>
          <t>personalFlowTotals</t>
        </is>
      </c>
      <c r="C470" s="3" t="inlineStr">
        <is>
          <t>Calculation Module code/engines/ledger.ts</t>
        </is>
      </c>
      <c r="D470" s="3" t="n">
        <v>227</v>
      </c>
      <c r="E470" s="3" t="inlineStr">
        <is>
          <t>2 · DISPLAYED</t>
        </is>
      </c>
      <c r="F470" s="3" t="inlineStr">
        <is>
          <t>NOT DETERMINED — the code carries no note saying what this is for, and it has no row in the old inventory. Needs reading.</t>
        </is>
      </c>
      <c r="G470" s="11" t="inlineStr">
        <is>
          <t>bucket = STORED_TYPE_BUCKET[string(type ?? '')] (or 'none' when missing)
d = dec.parse(amount)
the answer = t</t>
        </is>
      </c>
      <c r="H470" s="3" t="inlineStr">
        <is>
          <t>Bucket is STORED_TYPE_BUCKET[string(type ?? '')] (or 'none' — when missing). D is dec.parse(amount). The answer is t.</t>
        </is>
      </c>
      <c r="I470" s="3" t="inlineStr">
        <is>
          <t>PARTLY READ — some of the code is still showing through; needs a hand pass</t>
        </is>
      </c>
      <c r="J470" s="3" t="inlineStr">
        <is>
          <t>rows: StoredFlowRow[]</t>
        </is>
      </c>
      <c r="K470" s="3" t="inlineStr">
        <is>
          <t>PersonalFlowTotals</t>
        </is>
      </c>
      <c r="L470" s="3" t="inlineStr">
        <is>
          <t>NOT FOUND — a screen calls it, but the words printed beside its answer could not be traced automatically. Needs reading.</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MK-ST-F-014</t>
        </is>
      </c>
      <c r="B471" s="3" t="inlineStr">
        <is>
          <t>importKey</t>
        </is>
      </c>
      <c r="C471" s="3" t="inlineStr">
        <is>
          <t>Calculation Module code/engines/ledger.ts</t>
        </is>
      </c>
      <c r="D471" s="3" t="n">
        <v>279</v>
      </c>
      <c r="E471" s="3" t="inlineStr">
        <is>
          <t>3 · DEPENDENT (feeds an action only)</t>
        </is>
      </c>
      <c r="F471" s="3" t="inlineStr">
        <is>
          <t>NOT DETERMINED — the code carries no note saying what this is for, and it has no row in the old inventory. Needs reading.</t>
        </is>
      </c>
      <c r="G471" s="11" t="inlineStr">
        <is>
          <t>the answer = account | date | WORD | amount | units | security | ref | description, joined with '|' (missing parts empty)</t>
        </is>
      </c>
      <c r="H471"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1" s="3" t="inlineStr">
        <is>
          <t>READ BY HAND 2026-08-26 — checked line by line against the code</t>
        </is>
      </c>
      <c r="J471" s="3" t="inlineStr">
        <is>
          <t>id: ImportIdentity</t>
        </is>
      </c>
      <c r="K471" s="3" t="inlineStr">
        <is>
          <t>string</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2026-09-12</t>
        </is>
      </c>
      <c r="W471" s="3" t="n"/>
      <c r="X471" s="3" t="n"/>
      <c r="Y471" s="3" t="inlineStr">
        <is>
          <t>NOTHING OPEN</t>
        </is>
      </c>
    </row>
    <row r="472" ht="60" customHeight="1">
      <c r="A472" s="3" t="inlineStr">
        <is>
          <t>MK-ST-F-015</t>
        </is>
      </c>
      <c r="B472" s="3" t="inlineStr">
        <is>
          <t>rowsFor</t>
        </is>
      </c>
      <c r="C472" s="3" t="inlineStr">
        <is>
          <t>Calculation Module code/engines/ledger.ts</t>
        </is>
      </c>
      <c r="D472" s="3" t="n">
        <v>310</v>
      </c>
      <c r="E472" s="3" t="inlineStr">
        <is>
          <t>3 · DEPENDENT (feeds an action only)</t>
        </is>
      </c>
      <c r="F472" s="3" t="inlineStr">
        <is>
          <t>NOT DETERMINED — the code carries no note saying what this is for, and it has no row in the old inventory. Needs reading.</t>
        </is>
      </c>
      <c r="G472" s="11" t="inlineStr">
        <is>
          <t>rows where EVENTS[event].totals.includes(total)</t>
        </is>
      </c>
      <c r="H472" s="3" t="inlineStr">
        <is>
          <t>rows where EVENTS[event].totals.includes(total).</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45" customHeight="1">
      <c r="A473" s="3" t="inlineStr">
        <is>
          <t>MK-ST-F-016</t>
        </is>
      </c>
      <c r="B473" s="3" t="inlineStr">
        <is>
          <t>totalOf</t>
        </is>
      </c>
      <c r="C473" s="3" t="inlineStr">
        <is>
          <t>Calculation Module code/engines/ledger.ts</t>
        </is>
      </c>
      <c r="D473" s="3" t="n">
        <v>334</v>
      </c>
      <c r="E473" s="3" t="inlineStr">
        <is>
          <t>3 · DEPENDENT (feeds an action only)</t>
        </is>
      </c>
      <c r="F473" s="3" t="inlineStr">
        <is>
          <t>A total, summed SIGNED and EXACT — a reversal reduces its total instead of inflating it.</t>
        </is>
      </c>
      <c r="G473" s="11" t="inlineStr">
        <is>
          <t>dec.sum(rows for(rows, total).map((r) =&gt; signed amount))</t>
        </is>
      </c>
      <c r="H473" s="3" t="inlineStr">
        <is>
          <t>dec.sum(rows for(rows, total).map((r) =&gt; signed amount)).</t>
        </is>
      </c>
      <c r="I473" s="3" t="inlineStr">
        <is>
          <t>PARTLY READ — some of the code is still showing through; needs a hand pass</t>
        </is>
      </c>
      <c r="J473" s="3" t="inlineStr">
        <is>
          <t>1. rows: LedgerRow[]
2. total: 'contributions' | 'withdrawals' | 'income' | 'costs'</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MK-ST-F-015 rowsFor</t>
        </is>
      </c>
      <c r="P473" s="3" t="n">
        <v>2</v>
      </c>
      <c r="Q473" s="3" t="inlineStr">
        <is>
          <t>1. MK-CF-F-132 map
2. MK-ST-F-015 rowsFor</t>
        </is>
      </c>
      <c r="R473" s="3" t="inlineStr">
        <is>
          <t>1. MK-CF-F-132 map → MK-ST-F-016 totalOf
2. MK-ST-F-015 rowsFor → MK-ST-F-016 totalOf</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MK-ST-F-017</t>
        </is>
      </c>
      <c r="B474" s="3" t="inlineStr">
        <is>
          <t>unclassified</t>
        </is>
      </c>
      <c r="C474" s="3" t="inlineStr">
        <is>
          <t>Calculation Module code/engines/ledger.ts</t>
        </is>
      </c>
      <c r="D474" s="3" t="n">
        <v>354</v>
      </c>
      <c r="E474" s="3" t="inlineStr">
        <is>
          <t>3 · DEPENDENT (feeds an action only)</t>
        </is>
      </c>
      <c r="F474" s="3" t="inlineStr">
        <is>
          <t>Everything we could not name, for the honest line on screen: "12 entries we could not classify".</t>
        </is>
      </c>
      <c r="G474" s="11" t="inlineStr">
        <is>
          <t>rows where recognised is missing</t>
        </is>
      </c>
      <c r="H474" s="3" t="inlineStr">
        <is>
          <t>rows where recognised is missing.</t>
        </is>
      </c>
      <c r="I474" s="3" t="inlineStr">
        <is>
          <t>READ FROM THE CODE — rendered from the expressions the function runs</t>
        </is>
      </c>
      <c r="J474" s="3" t="inlineStr">
        <is>
          <t>rows: LedgerRow[]</t>
        </is>
      </c>
      <c r="K474" s="3" t="inlineStr">
        <is>
          <t>LedgerRow[]</t>
        </is>
      </c>
      <c r="L474" s="3" t="inlineStr">
        <is>
          <t>—</t>
        </is>
      </c>
      <c r="M474" s="3" t="inlineStr">
        <is>
          <t>None found in this function — anything it assumes comes from the functions it depends on.</t>
        </is>
      </c>
      <c r="N474" s="3" t="inlineStr">
        <is>
          <t>No</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MK-ST-F-018</t>
        </is>
      </c>
      <c r="B475" s="3" t="inlineStr">
        <is>
          <t>readMoney</t>
        </is>
      </c>
      <c r="C475" s="3" t="inlineStr">
        <is>
          <t>Calculation Module code/engines/money.ts</t>
        </is>
      </c>
      <c r="D475" s="3" t="n">
        <v>65</v>
      </c>
      <c r="E475" s="3" t="inlineStr">
        <is>
          <t>3 · DEPENDENT (feeds an action only)</t>
        </is>
      </c>
      <c r="F475" s="3" t="inlineStr">
        <is>
          <t>Read a raw amount into a Money, given how that source signs things.</t>
        </is>
      </c>
      <c r="G475"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5"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MK-ST-F-019</t>
        </is>
      </c>
      <c r="B476" s="3" t="inlineStr">
        <is>
          <t>signed</t>
        </is>
      </c>
      <c r="C476" s="3" t="inlineStr">
        <is>
          <t>Calculation Module code/engines/money.ts</t>
        </is>
      </c>
      <c r="D476" s="3" t="n">
        <v>108</v>
      </c>
      <c r="E476" s="3" t="inlineStr">
        <is>
          <t>3 · DEPENDENT (feeds an action only)</t>
        </is>
      </c>
      <c r="F476" s="3" t="inlineStr">
        <is>
          <t>The signed value, for arithmetic.</t>
        </is>
      </c>
      <c r="G476" s="11" t="inlineStr">
        <is>
          <t>amount.neg()   if direction = 'OUT'
amount   if direction = 'IN'
dec.ZERO   otherwise   otherwise</t>
        </is>
      </c>
      <c r="H476" s="3" t="inlineStr">
        <is>
          <t>amount.neg() — when direction = 'OUT'; amount — when direction = 'IN'; dec.ZERO — otherwise — otherwise.</t>
        </is>
      </c>
      <c r="I476" s="3" t="inlineStr">
        <is>
          <t>PARTLY READ — some of the code is still showing through; needs a hand pass</t>
        </is>
      </c>
      <c r="J476" s="3" t="inlineStr">
        <is>
          <t>m: Money</t>
        </is>
      </c>
      <c r="K476" s="3" t="inlineStr">
        <is>
          <t>Dec</t>
        </is>
      </c>
      <c r="L476" s="3" t="inlineStr">
        <is>
          <t>—</t>
        </is>
      </c>
      <c r="M476" s="3" t="inlineStr">
        <is>
          <t>None found in this function — anything it assumes comes from the functions it depends on.</t>
        </is>
      </c>
      <c r="N476" s="3" t="inlineStr">
        <is>
          <t>No</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MK-ST-F-020</t>
        </is>
      </c>
      <c r="B477" s="3" t="inlineStr">
        <is>
          <t>sumSigned</t>
        </is>
      </c>
      <c r="C477" s="3" t="inlineStr">
        <is>
          <t>Calculation Module code/engines/money.ts</t>
        </is>
      </c>
      <c r="D477" s="3" t="n">
        <v>129</v>
      </c>
      <c r="E477" s="3" t="inlineStr">
        <is>
          <t>3 · DEPENDENT (feeds an action only)</t>
        </is>
      </c>
      <c r="F477" s="3" t="inlineStr">
        <is>
          <t>Add money SIGNED and EXACTLY — a credit and its reversal cancel to true zero, so a reconciliation can assert equality rather than a tolerance.</t>
        </is>
      </c>
      <c r="G477" s="11" t="inlineStr">
        <is>
          <t>dec.sum(items.map(signed))</t>
        </is>
      </c>
      <c r="H477" s="3" t="inlineStr">
        <is>
          <t>dec.sum(items.map(signed)).</t>
        </is>
      </c>
      <c r="I477" s="3" t="inlineStr">
        <is>
          <t>PARTLY READ — some of the code is still showing through; needs a hand pass</t>
        </is>
      </c>
      <c r="J477" s="3" t="inlineStr">
        <is>
          <t>items: Money[]</t>
        </is>
      </c>
      <c r="K477" s="3" t="inlineStr">
        <is>
          <t>Dec</t>
        </is>
      </c>
      <c r="L477" s="3" t="inlineStr">
        <is>
          <t>—</t>
        </is>
      </c>
      <c r="M477" s="3" t="inlineStr">
        <is>
          <t>None found in this function — anything it assumes comes from the functions it depends on.</t>
        </is>
      </c>
      <c r="N477" s="3" t="inlineStr">
        <is>
          <t>No</t>
        </is>
      </c>
      <c r="O477" s="3" t="inlineStr">
        <is>
          <t>1. MK-CF-F-132 map
2. MK-ST-F-019 signed</t>
        </is>
      </c>
      <c r="P477" s="3" t="n">
        <v>2</v>
      </c>
      <c r="Q477" s="3" t="inlineStr">
        <is>
          <t>1. MK-CF-F-132 map
2. MK-ST-F-019 signed</t>
        </is>
      </c>
      <c r="R477" s="3" t="inlineStr">
        <is>
          <t>1. MK-CF-F-132 map → MK-ST-F-020 sumSigned
2. MK-ST-F-019 signed → MK-ST-F-020 sumSigned</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MK-ST-F-021</t>
        </is>
      </c>
      <c r="B478" s="3" t="inlineStr">
        <is>
          <t>toNumber</t>
        </is>
      </c>
      <c r="C478" s="3" t="inlineStr">
        <is>
          <t>Calculation Module code/engines/money.ts</t>
        </is>
      </c>
      <c r="D478" s="3" t="n">
        <v>173</v>
      </c>
      <c r="E478" s="3" t="inlineStr">
        <is>
          <t>2 · DISPLAYED</t>
        </is>
      </c>
      <c r="F478" s="3" t="inlineStr">
        <is>
          <t>Institution files write money as text: "$8,502.00 ", "($0.53)", "--", "1,234.56".</t>
        </is>
      </c>
      <c r="G478"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8"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8" s="3" t="inlineStr">
        <is>
          <t>PARTLY READ — some of the code is still showing through; needs a hand pass</t>
        </is>
      </c>
      <c r="J478" s="3" t="inlineStr">
        <is>
          <t>raw: number | string | null | undefined</t>
        </is>
      </c>
      <c r="K478" s="3" t="inlineStr">
        <is>
          <t>number | null</t>
        </is>
      </c>
      <c r="L478" s="3" t="inlineStr">
        <is>
          <t>NOT FOUND — a screen calls it, but the words printed beside its answer could not be traced automatically. Needs reading.</t>
        </is>
      </c>
      <c r="M478" s="3" t="inlineStr">
        <is>
          <t>None found in this function — anything it assumes comes from the functions it depends on.</t>
        </is>
      </c>
      <c r="N478" s="3" t="inlineStr">
        <is>
          <t>Yes</t>
        </is>
      </c>
      <c r="O478" s="3" t="inlineStr">
        <is>
          <t>MK-XS-F-122 n</t>
        </is>
      </c>
      <c r="P478" s="3" t="n">
        <v>1</v>
      </c>
      <c r="Q478" s="3" t="inlineStr">
        <is>
          <t>MK-XS-F-122 n</t>
        </is>
      </c>
      <c r="R478" s="3" t="inlineStr">
        <is>
          <t>MK-XS-F-122 n → MK-ST-F-021 toNumber</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MK-ST-F-022</t>
        </is>
      </c>
      <c r="B479" s="3" t="inlineStr">
        <is>
          <t>reconcileAccountTotal</t>
        </is>
      </c>
      <c r="C479" s="3" t="inlineStr">
        <is>
          <t>Calculation Module code/engines/reconcile.ts</t>
        </is>
      </c>
      <c r="D479" s="3" t="n">
        <v>79</v>
      </c>
      <c r="E479" s="3" t="inlineStr">
        <is>
          <t>3 · DEPENDENT (feeds an action only)</t>
        </is>
      </c>
      <c r="F479" s="3" t="inlineStr">
        <is>
          <t>ASSERTION 1 — holdings + cash = the broker's stated total.</t>
        </is>
      </c>
      <c r="G479" s="11" t="inlineStr">
        <is>
          <t>stated = dec.parse(stated total) (or dec.ZERO when missing)
the answer = verdict(parts, stated, 'what the account holds and the broker\'s own total')</t>
        </is>
      </c>
      <c r="H479" s="3" t="inlineStr">
        <is>
          <t>Stated is dec.parse(stated total) (or dec.ZERO — when missing). The answer is verdict(parts, stated, 'what the account holds and the broker\'s own total').</t>
        </is>
      </c>
      <c r="I479" s="3" t="inlineStr">
        <is>
          <t>PARTLY READ — some of the code is still showing through; needs a hand pass</t>
        </is>
      </c>
      <c r="J479" s="3" t="inlineStr">
        <is>
          <t>Nothing is handed to it</t>
        </is>
      </c>
      <c r="K479" s="3" t="inlineStr">
        <is>
          <t>NOT DECLARED — the code does not say what it gives back</t>
        </is>
      </c>
      <c r="L479" s="3" t="inlineStr">
        <is>
          <t>—</t>
        </is>
      </c>
      <c r="M479" s="3" t="inlineStr">
        <is>
          <t>None found in this function — anything it assumes comes from the functions it depends on.</t>
        </is>
      </c>
      <c r="N479" s="3" t="inlineStr">
        <is>
          <t>No</t>
        </is>
      </c>
      <c r="O479" s="3" t="inlineStr">
        <is>
          <t>1. MK-CF-F-132 map
2. MK-ST-F-060 verdict</t>
        </is>
      </c>
      <c r="P479" s="3" t="n">
        <v>2</v>
      </c>
      <c r="Q479" s="3" t="inlineStr">
        <is>
          <t>1. MK-CF-F-132 map
2. MK-ST-F-060 verdict</t>
        </is>
      </c>
      <c r="R479" s="3" t="inlineStr">
        <is>
          <t>1. MK-CF-F-132 map → MK-ST-F-022 reconcileAccountTotal
2. MK-ST-F-060 verdict → MK-ST-F-022 reconcileAccountTotal</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MK-ST-F-023</t>
        </is>
      </c>
      <c r="B480" s="3" t="inlineStr">
        <is>
          <t>reconcileLedgerIdentity</t>
        </is>
      </c>
      <c r="C480" s="3" t="inlineStr">
        <is>
          <t>Calculation Module code/engines/reconcile.ts</t>
        </is>
      </c>
      <c r="D480" s="3" t="n">
        <v>107</v>
      </c>
      <c r="E480" s="3" t="inlineStr">
        <is>
          <t>3 · DEPENDENT (feeds an action only)</t>
        </is>
      </c>
      <c r="F480" s="3" t="inlineStr">
        <is>
          <t>ASSERTION 2 — the accounting identity every statement satisfies, exactly.</t>
        </is>
      </c>
      <c r="G480" s="11" t="inlineStr">
        <is>
          <t>d = (v: unknown) =&gt; dec.parse(v) (or dec.ZERO when missing)
the answer = verdict(computed, D(ending), 'the change walk and the ending value')</t>
        </is>
      </c>
      <c r="H480" s="3" t="inlineStr">
        <is>
          <t>D is (v: unknown) =&gt; dec.parse(v) (or dec.ZERO — when missing). The answer is verdict(computed, D(ending), 'the change walk and the ending value').</t>
        </is>
      </c>
      <c r="I480" s="3" t="inlineStr">
        <is>
          <t>PARTLY READ — some of the code is still showing through; needs a hand pass</t>
        </is>
      </c>
      <c r="J480" s="3" t="inlineStr">
        <is>
          <t>Nothing is handed to it</t>
        </is>
      </c>
      <c r="K480" s="3" t="inlineStr">
        <is>
          <t>NOT DECLARED — the code does not say what it gives back</t>
        </is>
      </c>
      <c r="L480" s="3" t="inlineStr">
        <is>
          <t>—</t>
        </is>
      </c>
      <c r="M480" s="3" t="inlineStr">
        <is>
          <t>None found in this function — anything it assumes comes from the functions it depends on.</t>
        </is>
      </c>
      <c r="N480" s="3" t="inlineStr">
        <is>
          <t>No</t>
        </is>
      </c>
      <c r="O480" s="3" t="inlineStr">
        <is>
          <t>MK-ST-F-060 verdict</t>
        </is>
      </c>
      <c r="P480" s="3" t="n">
        <v>1</v>
      </c>
      <c r="Q480" s="3" t="inlineStr">
        <is>
          <t>MK-ST-F-060 verdict</t>
        </is>
      </c>
      <c r="R480" s="3" t="inlineStr">
        <is>
          <t>MK-ST-F-060 verdict → MK-ST-F-023 reconcileLedgerIdentity</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MK-ST-F-024</t>
        </is>
      </c>
      <c r="B481" s="3" t="inlineStr">
        <is>
          <t>rmdStartAge</t>
        </is>
      </c>
      <c r="C481" s="3" t="inlineStr">
        <is>
          <t>Calculation Module code/engines/rmd.ts</t>
        </is>
      </c>
      <c r="D481" s="3" t="n">
        <v>55</v>
      </c>
      <c r="E481" s="3" t="inlineStr">
        <is>
          <t>2 · DISPLAYED</t>
        </is>
      </c>
      <c r="F481" s="3" t="inlineStr">
        <is>
          <t>The age required withdrawals begin, by birth year.</t>
        </is>
      </c>
      <c r="G481" s="11" t="inlineStr">
        <is>
          <t>start age = 75   when born 1960 or later
            73   otherwise</t>
        </is>
      </c>
      <c r="H481" s="3" t="inlineStr">
        <is>
          <t>The age required withdrawals begin. Born 1960 or later, 75; everyone else, 73 — including birth years before 1951, whose real start age was 72 or 70 and a half. An unknown birth year silently answers 73 rather than refusing. Finding A36.</t>
        </is>
      </c>
      <c r="I481" s="3" t="inlineStr">
        <is>
          <t>READ BY HAND 2026-08-26 — checked line by line against the code</t>
        </is>
      </c>
      <c r="J481" s="3" t="inlineStr">
        <is>
          <t>birthYear?: number | null</t>
        </is>
      </c>
      <c r="K481" s="3" t="inlineStr">
        <is>
          <t>number</t>
        </is>
      </c>
      <c r="L481"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1" s="3" t="inlineStr">
        <is>
          <t>· When the birth year is missing the start age is taken as 73 — the rule for those born 1951–1959, the middle of the 55–70 audience (A36). The whole schedule is coded: 70½ before 1949, 72 for 1949–1950, 73 for 1951–1959, 75 from 1960.</t>
        </is>
      </c>
      <c r="N481" s="3" t="inlineStr">
        <is>
          <t>Yes</t>
        </is>
      </c>
      <c r="O481" s="3" t="inlineStr">
        <is>
          <t>MK-ST-F-056 has</t>
        </is>
      </c>
      <c r="P481" s="3" t="n">
        <v>1</v>
      </c>
      <c r="Q481" s="3" t="inlineStr">
        <is>
          <t>MK-ST-F-056 has</t>
        </is>
      </c>
      <c r="R481" s="3" t="inlineStr">
        <is>
          <t>MK-ST-F-056 has → MK-ST-F-024 rmdStartAge</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MK-ST-F-025</t>
        </is>
      </c>
      <c r="B482" s="3" t="inlineStr">
        <is>
          <t>rmdStartAgeFromAge</t>
        </is>
      </c>
      <c r="C482" s="3" t="inlineStr">
        <is>
          <t>Calculation Module code/engines/rmd.ts</t>
        </is>
      </c>
      <c r="D482" s="3" t="n">
        <v>94</v>
      </c>
      <c r="E482" s="3" t="inlineStr">
        <is>
          <t>3 · DEPENDENT</t>
        </is>
      </c>
      <c r="F482" s="3" t="inlineStr">
        <is>
          <t>The same rule when only an age is known (birth year ≈ this year − age; ±1 year of precision, which is what an age-only caller has).</t>
        </is>
      </c>
      <c r="G482" s="11" t="inlineStr">
        <is>
          <t>rmd start age(now year − age)</t>
        </is>
      </c>
      <c r="H482" s="3" t="inlineStr">
        <is>
          <t>rmd start age(now year minus age).</t>
        </is>
      </c>
      <c r="I482" s="3" t="inlineStr">
        <is>
          <t>READ FROM THE CODE — rendered from the expressions the function runs</t>
        </is>
      </c>
      <c r="J482" s="3" t="inlineStr">
        <is>
          <t>1. age: number
2. nowYear: number</t>
        </is>
      </c>
      <c r="K482" s="3" t="inlineStr">
        <is>
          <t>number</t>
        </is>
      </c>
      <c r="L482" s="3" t="inlineStr">
        <is>
          <t>—</t>
        </is>
      </c>
      <c r="M482" s="3" t="inlineStr">
        <is>
          <t>None found in this function — anything it assumes comes from the functions it depends on.</t>
        </is>
      </c>
      <c r="N482" s="3" t="inlineStr">
        <is>
          <t>Yes</t>
        </is>
      </c>
      <c r="O482" s="3" t="inlineStr">
        <is>
          <t>MK-ST-F-024 rmdStartAge</t>
        </is>
      </c>
      <c r="P482" s="3" t="n">
        <v>2</v>
      </c>
      <c r="Q482" s="3" t="inlineStr">
        <is>
          <t>1. MK-ST-F-024 rmdStartAge
2. MK-ST-F-056 has</t>
        </is>
      </c>
      <c r="R482" s="3" t="inlineStr">
        <is>
          <t>MK-ST-F-056 has → MK-ST-F-024 rmdStartAge → MK-ST-F-025 rmdStartAgeFromAge</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MK-ST-F-026</t>
        </is>
      </c>
      <c r="B483" s="3" t="inlineStr">
        <is>
          <t>holdingId</t>
        </is>
      </c>
      <c r="C483" s="3" t="inlineStr">
        <is>
          <t>Calculation Module code/engines/snapshots.ts</t>
        </is>
      </c>
      <c r="D483" s="3" t="n">
        <v>81</v>
      </c>
      <c r="E483" s="3" t="inlineStr">
        <is>
          <t>1 · ACTION</t>
        </is>
      </c>
      <c r="F483" s="3" t="inlineStr">
        <is>
          <t>NOT DETERMINED — the code carries no note saying what this is for, and it has no row in the old inventory. Needs reading.</t>
        </is>
      </c>
      <c r="G483" s="11" t="inlineStr">
        <is>
          <t>the answer = date | account id | security key</t>
        </is>
      </c>
      <c r="H483" s="3" t="inlineStr">
        <is>
          <t>The identity of one holding snapshot: its date, account and security, joined with vertical bars. No arithmetic.</t>
        </is>
      </c>
      <c r="I483" s="3" t="inlineStr">
        <is>
          <t>READ BY HAND 2026-08-26 — checked line by line against the code</t>
        </is>
      </c>
      <c r="J483" s="3" t="inlineStr">
        <is>
          <t>s: Pick&lt;HoldingSnapshot, 'date' | 'accountId' | 'securityKey'&gt;</t>
        </is>
      </c>
      <c r="K483" s="3" t="inlineStr">
        <is>
          <t>string</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MK-ST-F-027</t>
        </is>
      </c>
      <c r="B484" s="3" t="inlineStr">
        <is>
          <t>accountId</t>
        </is>
      </c>
      <c r="C484" s="3" t="inlineStr">
        <is>
          <t>Calculation Module code/engines/snapshots.ts</t>
        </is>
      </c>
      <c r="D484" s="3" t="n">
        <v>118</v>
      </c>
      <c r="E484" s="3" t="inlineStr">
        <is>
          <t>1 · ACTION</t>
        </is>
      </c>
      <c r="F484" s="3" t="inlineStr">
        <is>
          <t>NOT DETERMINED — the code carries no note saying what this is for, and it has no row in the old inventory. Needs reading.</t>
        </is>
      </c>
      <c r="G484" s="11" t="inlineStr">
        <is>
          <t>the answer = date | account id</t>
        </is>
      </c>
      <c r="H484" s="3" t="inlineStr">
        <is>
          <t>The identity of one account snapshot: its date and account, joined with a vertical bar. No arithmetic.</t>
        </is>
      </c>
      <c r="I484" s="3" t="inlineStr">
        <is>
          <t>READ BY HAND 2026-08-26 — checked line by line against the code</t>
        </is>
      </c>
      <c r="J484" s="3" t="inlineStr">
        <is>
          <t>s: Pick&lt;AccountSnapshot, 'date' | 'accountId'&gt;</t>
        </is>
      </c>
      <c r="K484" s="3" t="inlineStr">
        <is>
          <t>string</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MK-ST-F-028</t>
        </is>
      </c>
      <c r="B485" s="3" t="inlineStr">
        <is>
          <t>buildDayFromAccounts</t>
        </is>
      </c>
      <c r="C485" s="3" t="inlineStr">
        <is>
          <t>Calculation Module code/engines/snapshots.ts</t>
        </is>
      </c>
      <c r="D485" s="3" t="n">
        <v>191</v>
      </c>
      <c r="E485" s="3" t="inlineStr">
        <is>
          <t>3 · DEPENDENT</t>
        </is>
      </c>
      <c r="F485" s="3" t="inlineStr">
        <is>
          <t>Today's SnapshotDay, observed from the live account state.</t>
        </is>
      </c>
      <c r="G485"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5"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5" s="3" t="inlineStr">
        <is>
          <t>READ FROM THE CODE — rendered from the expressions the function runs</t>
        </is>
      </c>
      <c r="J485" s="3" t="inlineStr">
        <is>
          <t>1. accounts: AccountLike[]
2. date: string
3. writtenAt: string</t>
        </is>
      </c>
      <c r="K485" s="3" t="inlineStr">
        <is>
          <t>SnapshotDay</t>
        </is>
      </c>
      <c r="L485" s="3" t="inlineStr">
        <is>
          <t>—</t>
        </is>
      </c>
      <c r="M485"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2026-09-12</t>
        </is>
      </c>
      <c r="W485" s="3" t="n"/>
      <c r="X485" s="3" t="n"/>
      <c r="Y485" s="3" t="inlineStr">
        <is>
          <t>NOTHING OPEN</t>
        </is>
      </c>
    </row>
    <row r="486" ht="60" customHeight="1">
      <c r="A486" s="3" t="inlineStr">
        <is>
          <t>MK-ST-F-029</t>
        </is>
      </c>
      <c r="B486" s="3" t="inlineStr">
        <is>
          <t>prune</t>
        </is>
      </c>
      <c r="C486" s="3" t="inlineStr">
        <is>
          <t>Calculation Module code/engines/snapshots.ts</t>
        </is>
      </c>
      <c r="D486" s="3" t="n">
        <v>283</v>
      </c>
      <c r="E486" s="3" t="inlineStr">
        <is>
          <t>3 · DEPENDENT (feeds an action only)</t>
        </is>
      </c>
      <c r="F486" s="3" t="inlineStr">
        <is>
          <t>Which days survive.</t>
        </is>
      </c>
      <c r="G486" s="11" t="inlineStr">
        <is>
          <t>cutoff = the date today
cutoff key = the first 10 of cutoff.to isostring()
all = a list with no repeats of for each of days: date
the answer = days where date ≥ cutoff key (or is month end(date, all) when missing or zero)</t>
        </is>
      </c>
      <c r="H486" s="3" t="inlineStr">
        <is>
          <t>Cutoff: the date today. Cutoff key: the first 10 of cutoff.to isostring(). All is a list with no repeats of for each of days: date. The answer is days where date is at least cutoff key (or is month end(date, all) — when missing or zero).</t>
        </is>
      </c>
      <c r="I486" s="3" t="inlineStr">
        <is>
          <t>PARTLY READ — some of the code is still showing through; needs a hand pass</t>
        </is>
      </c>
      <c r="J486" s="3" t="inlineStr">
        <is>
          <t>1. days: SnapshotDay[]
2. today: string</t>
        </is>
      </c>
      <c r="K486" s="3" t="inlineStr">
        <is>
          <t>SnapshotDay[]</t>
        </is>
      </c>
      <c r="L486" s="3" t="inlineStr">
        <is>
          <t>—</t>
        </is>
      </c>
      <c r="M486" s="3" t="inlineStr">
        <is>
          <t>None found in this function — anything it assumes comes from the functions it depends on.</t>
        </is>
      </c>
      <c r="N486" s="3" t="inlineStr">
        <is>
          <t>No</t>
        </is>
      </c>
      <c r="O486" s="3" t="inlineStr">
        <is>
          <t>1. MK-ST-F-061 isMonthEnd
2. MK-CF-F-132 map</t>
        </is>
      </c>
      <c r="P486" s="3" t="n">
        <v>3</v>
      </c>
      <c r="Q486" s="3" t="inlineStr">
        <is>
          <t>1. MK-ST-F-061 isMonthEnd
2. MK-CF-F-132 map
3. MK-ST-F-056 has</t>
        </is>
      </c>
      <c r="R486" s="3" t="inlineStr">
        <is>
          <t>1. MK-ST-F-056 has → MK-ST-F-061 isMonthEnd → MK-ST-F-029 prune
2. MK-CF-F-132 map → MK-ST-F-061 isMonthEnd → MK-ST-F-029 prune
3. MK-CF-F-132 map → MK-ST-F-029 prune</t>
        </is>
      </c>
      <c r="S486" s="3" t="inlineStr">
        <is>
          <t>—</t>
        </is>
      </c>
      <c r="T486" s="3" t="inlineStr">
        <is>
          <t>—</t>
        </is>
      </c>
      <c r="U486" s="3" t="inlineStr">
        <is>
          <t>ACTIVE</t>
        </is>
      </c>
      <c r="V486" s="3" t="inlineStr">
        <is>
          <t>2026-08-27</t>
        </is>
      </c>
      <c r="W486" s="3" t="n"/>
      <c r="X486" s="3" t="n"/>
      <c r="Y486" s="3" t="inlineStr">
        <is>
          <t>NOTHING OPEN</t>
        </is>
      </c>
    </row>
    <row r="487" ht="45" customHeight="1">
      <c r="A487" s="3" t="inlineStr">
        <is>
          <t>MK-ST-F-030</t>
        </is>
      </c>
      <c r="B487" s="3" t="inlineStr">
        <is>
          <t>record</t>
        </is>
      </c>
      <c r="C487" s="3" t="inlineStr">
        <is>
          <t>Calculation Module code/engines/snapshots.ts</t>
        </is>
      </c>
      <c r="D487" s="3" t="n">
        <v>324</v>
      </c>
      <c r="E487" s="3" t="inlineStr">
        <is>
          <t>2 · DISPLAYED</t>
        </is>
      </c>
      <c r="F487" s="3" t="inlineStr">
        <is>
          <t>── writing ───────────────────────────────────────────────────────────────────────────────────── Add a day.</t>
        </is>
      </c>
      <c r="G487" s="11" t="inlineStr">
        <is>
          <t>rest = days where date ! = day.date
the answer = [...rest, day].sort((a, b) =&gt; date.locale compare(date))</t>
        </is>
      </c>
      <c r="H487" s="3" t="inlineStr">
        <is>
          <t>Rest is days where date ! = day.date. The answer is [...rest, day].sort((a, b) =&gt; date.locale compare(date)).</t>
        </is>
      </c>
      <c r="I487" s="3" t="inlineStr">
        <is>
          <t>PARTLY READ — some of the code is still showing through; needs a hand pass</t>
        </is>
      </c>
      <c r="J487" s="3" t="inlineStr">
        <is>
          <t>1. days: SnapshotDay[]
2. day: SnapshotDay</t>
        </is>
      </c>
      <c r="K487" s="3" t="inlineStr">
        <is>
          <t>SnapshotDay[]</t>
        </is>
      </c>
      <c r="L487" s="3" t="inlineStr">
        <is>
          <t>NOT FOUND — a screen calls it, but the words printed beside its answer could not be traced automatically. Needs reading.</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2026-09-25</t>
        </is>
      </c>
      <c r="W487" s="3" t="n"/>
      <c r="X487" s="3" t="n"/>
      <c r="Y487" s="3" t="inlineStr">
        <is>
          <t>NOTHING OPEN</t>
        </is>
      </c>
    </row>
    <row r="488" ht="60" customHeight="1">
      <c r="A488" s="3" t="inlineStr">
        <is>
          <t>MK-ST-F-031</t>
        </is>
      </c>
      <c r="B488" s="3" t="inlineStr">
        <is>
          <t>valueOn</t>
        </is>
      </c>
      <c r="C488" s="3" t="inlineStr">
        <is>
          <t>Calculation Module code/engines/snapshots.ts</t>
        </is>
      </c>
      <c r="D488" s="3" t="n">
        <v>366</v>
      </c>
      <c r="E488" s="3" t="inlineStr">
        <is>
          <t>2 · DISPLAYED</t>
        </is>
      </c>
      <c r="F488" s="3" t="inlineStr">
        <is>
          <t>── reading ───────────────────────────────────────────────────────────────────────────────────── What one account was worth on a date — the figure the old code had to back-solve.</t>
        </is>
      </c>
      <c r="G488"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8"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8" s="3" t="inlineStr">
        <is>
          <t>PARTLY READ — some of the code is still showing through; needs a hand pass</t>
        </is>
      </c>
      <c r="J488" s="3" t="inlineStr">
        <is>
          <t>1. days: SnapshotDay[]
2. accountIds: Set&lt;string&gt;
3. date: string</t>
        </is>
      </c>
      <c r="K488" s="3" t="inlineStr">
        <is>
          <t>number | null</t>
        </is>
      </c>
      <c r="L488" s="3" t="inlineStr">
        <is>
          <t>NOT FOUND — a screen calls it, but the words printed beside its answer could not be traced automatically. Needs reading.</t>
        </is>
      </c>
      <c r="M488" s="3" t="inlineStr">
        <is>
          <t>· If typed value is missing it uses 0.</t>
        </is>
      </c>
      <c r="N488" s="3" t="inlineStr">
        <is>
          <t>Yes</t>
        </is>
      </c>
      <c r="O488" s="3" t="inlineStr">
        <is>
          <t>1. MK-ST-F-027 accountId
2. MK-CF-F-155 cash
3. MK-ST-F-056 has
4. MK-ST-F-033 onOrBefore</t>
        </is>
      </c>
      <c r="P488" s="3" t="n">
        <v>5</v>
      </c>
      <c r="Q488" s="3" t="inlineStr">
        <is>
          <t>1. MK-ST-F-027 accountId
2. MK-CF-F-155 cash
3. MK-ST-F-056 has
4. MK-ST-F-033 onOrBefore
5. MK-XS-F-122 n</t>
        </is>
      </c>
      <c r="R488" s="3" t="inlineStr">
        <is>
          <t>1. MK-ST-F-027 accountId → MK-ST-F-031 valueOn
2. MK-XS-F-122 n → MK-CF-F-155 cash → MK-ST-F-031 valueOn
3. MK-ST-F-056 has → MK-ST-F-031 valueOn
4. MK-ST-F-033 onOrBefore → MK-ST-F-031 valueOn</t>
        </is>
      </c>
      <c r="S488" s="3" t="inlineStr">
        <is>
          <t>MK-PF-M-001 · MK-PF-M-004</t>
        </is>
      </c>
      <c r="T488" s="3" t="inlineStr">
        <is>
          <t>—</t>
        </is>
      </c>
      <c r="U488" s="3" t="inlineStr">
        <is>
          <t>ACTIVE</t>
        </is>
      </c>
      <c r="V488" s="3" t="inlineStr">
        <is>
          <t>2026-09-09</t>
        </is>
      </c>
      <c r="W488" s="3" t="n"/>
      <c r="X488" s="3" t="n"/>
      <c r="Y488" s="3" t="inlineStr">
        <is>
          <t>NOTHING OPEN</t>
        </is>
      </c>
    </row>
    <row r="489" ht="60" customHeight="1">
      <c r="A489" s="3" t="inlineStr">
        <is>
          <t>MK-ST-F-032</t>
        </is>
      </c>
      <c r="B489" s="3" t="inlineStr">
        <is>
          <t>unitsOn</t>
        </is>
      </c>
      <c r="C489" s="3" t="inlineStr">
        <is>
          <t>Calculation Module code/engines/snapshots.ts</t>
        </is>
      </c>
      <c r="D489" s="3" t="n">
        <v>398</v>
      </c>
      <c r="E489" s="3" t="inlineStr">
        <is>
          <t>3 · DEPENDENT (feeds an action only)</t>
        </is>
      </c>
      <c r="F489" s="3" t="inlineStr">
        <is>
          <t>How many units of one holding were held on a date — what the trend chart needs and never had.</t>
        </is>
      </c>
      <c r="G489" s="11" t="inlineStr">
        <is>
          <t>day = on or before(days, date)
h = day.holdings.find((x) =&gt; account id = acc id and security key = security key)
the answer:
units   if h
nothing   otherwise</t>
        </is>
      </c>
      <c r="H489" s="3" t="inlineStr">
        <is>
          <t>Day is on or before(days, date). H is day.holdings.find((x) =&gt; account id = acc id and security key = security key). The answer is units — when h; no answer — otherwise.</t>
        </is>
      </c>
      <c r="I489" s="3" t="inlineStr">
        <is>
          <t>PARTLY READ — some of the code is still showing through; needs a hand pass</t>
        </is>
      </c>
      <c r="J489" s="3" t="inlineStr">
        <is>
          <t>1. days: SnapshotDay[]
2. accId: string
3. securityKey: string
4. date: string</t>
        </is>
      </c>
      <c r="K489" s="3" t="inlineStr">
        <is>
          <t>number | null</t>
        </is>
      </c>
      <c r="L489" s="3" t="inlineStr">
        <is>
          <t>—</t>
        </is>
      </c>
      <c r="M489" s="3" t="inlineStr">
        <is>
          <t>None found in this function — anything it assumes comes from the functions it depends on.</t>
        </is>
      </c>
      <c r="N489" s="3" t="inlineStr">
        <is>
          <t>No</t>
        </is>
      </c>
      <c r="O489" s="3" t="inlineStr">
        <is>
          <t>MK-ST-F-033 onOrBefore</t>
        </is>
      </c>
      <c r="P489" s="3" t="n">
        <v>1</v>
      </c>
      <c r="Q489" s="3" t="inlineStr">
        <is>
          <t>MK-ST-F-033 onOrBefore</t>
        </is>
      </c>
      <c r="R489" s="3" t="inlineStr">
        <is>
          <t>MK-ST-F-033 onOrBefore → MK-ST-F-032 unitsOn</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MK-ST-F-033</t>
        </is>
      </c>
      <c r="B490" s="3" t="inlineStr">
        <is>
          <t>onOrBefore</t>
        </is>
      </c>
      <c r="C490" s="3" t="inlineStr">
        <is>
          <t>Calculation Module code/engines/snapshots.ts</t>
        </is>
      </c>
      <c r="D490" s="3" t="n">
        <v>428</v>
      </c>
      <c r="E490" s="3" t="inlineStr">
        <is>
          <t>3 · DEPENDENT</t>
        </is>
      </c>
      <c r="F490" s="3" t="inlineStr">
        <is>
          <t>The latest day at or before a date, or nothing when the record does not reach back that far.</t>
        </is>
      </c>
      <c r="G490" s="11" t="inlineStr">
        <is>
          <t>best = nothing
[LOOP — the answer is found inside a loop the extractor cannot render; the steps above are the ones before it. Read by hand.]</t>
        </is>
      </c>
      <c r="H490" s="3" t="inlineStr">
        <is>
          <t>Best is no answer. The answer is best. The answer is found inside a loop that cannot be rendered here; read the code by hand.</t>
        </is>
      </c>
      <c r="I490" s="3" t="inlineStr">
        <is>
          <t>PARTLY READ — the body has a loop the extractor cannot render; the steps shown are the ones before it. Needs a hand pass (G23).</t>
        </is>
      </c>
      <c r="J490" s="3" t="inlineStr">
        <is>
          <t>1. days: T[]
2. date: string</t>
        </is>
      </c>
      <c r="K490" s="3" t="inlineStr">
        <is>
          <t>T | null</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2026-09-08</t>
        </is>
      </c>
      <c r="W490" s="3" t="n"/>
      <c r="X490" s="3" t="n"/>
      <c r="Y490" s="3" t="inlineStr">
        <is>
          <t>NOTHING OPEN</t>
        </is>
      </c>
    </row>
    <row r="491" ht="60" customHeight="1">
      <c r="A491" s="3" t="inlineStr">
        <is>
          <t>MK-ST-F-034</t>
        </is>
      </c>
      <c r="B491" s="3" t="inlineStr">
        <is>
          <t>firstDate</t>
        </is>
      </c>
      <c r="C491" s="3" t="inlineStr">
        <is>
          <t>Calculation Module code/engines/snapshots.ts</t>
        </is>
      </c>
      <c r="D491" s="3" t="n">
        <v>465</v>
      </c>
      <c r="E491" s="3" t="inlineStr">
        <is>
          <t>3 · DEPENDENT</t>
        </is>
      </c>
      <c r="F491" s="3" t="inlineStr">
        <is>
          <t>The first date the record covers — so a change figure can say what it is measured FROM, rather than presenting a figure measured from install day as though it covered the year.</t>
        </is>
      </c>
      <c r="G491" s="11" t="inlineStr">
        <is>
          <t>days.reduce((a, b) =&gt; (date &lt; date ? a : b)).date   if count of days
nothing   otherwise</t>
        </is>
      </c>
      <c r="H491" s="3" t="inlineStr">
        <is>
          <t>days.reduce((a, b) =&gt; (date &lt; date ? a : b)).date — when how many days there are; no answer — otherwise.</t>
        </is>
      </c>
      <c r="I491" s="3" t="inlineStr">
        <is>
          <t>PARTLY READ — some of the code is still showing through; needs a hand pass</t>
        </is>
      </c>
      <c r="J491" s="3" t="inlineStr">
        <is>
          <t>days: T[]</t>
        </is>
      </c>
      <c r="K491" s="3" t="inlineStr">
        <is>
          <t>string | null</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45" customHeight="1">
      <c r="A492" s="3" t="inlineStr">
        <is>
          <t>MK-ST-F-035</t>
        </is>
      </c>
      <c r="B492" s="3" t="inlineStr">
        <is>
          <t>covers</t>
        </is>
      </c>
      <c r="C492" s="3" t="inlineStr">
        <is>
          <t>Calculation Module code/engines/snapshots.ts</t>
        </is>
      </c>
      <c r="D492" s="3" t="n">
        <v>501</v>
      </c>
      <c r="E492" s="3" t="inlineStr">
        <is>
          <t>3 · DEPENDENT (feeds an action only)</t>
        </is>
      </c>
      <c r="F492" s="3" t="inlineStr">
        <is>
          <t>Does the record actually cover this window?</t>
        </is>
      </c>
      <c r="G492" s="11" t="inlineStr">
        <is>
          <t>f = first date(days)
the answer = f ≠ nothing and f ≤ from</t>
        </is>
      </c>
      <c r="H492" s="3" t="inlineStr">
        <is>
          <t>F is first date(days). The answer is f is not no answer and f is at most from.</t>
        </is>
      </c>
      <c r="I492" s="3" t="inlineStr">
        <is>
          <t>READ FROM THE CODE — rendered from the expressions the function runs</t>
        </is>
      </c>
      <c r="J492" s="3" t="inlineStr">
        <is>
          <t>1. days: SnapshotDay[]
2. from: string</t>
        </is>
      </c>
      <c r="K492" s="3" t="inlineStr">
        <is>
          <t>boolean</t>
        </is>
      </c>
      <c r="L492" s="3" t="inlineStr">
        <is>
          <t>—</t>
        </is>
      </c>
      <c r="M492" s="3" t="inlineStr">
        <is>
          <t>None found in this function — anything it assumes comes from the functions it depends on.</t>
        </is>
      </c>
      <c r="N492" s="3" t="inlineStr">
        <is>
          <t>No</t>
        </is>
      </c>
      <c r="O492" s="3" t="inlineStr">
        <is>
          <t>MK-ST-F-034 firstDate</t>
        </is>
      </c>
      <c r="P492" s="3" t="n">
        <v>1</v>
      </c>
      <c r="Q492" s="3" t="inlineStr">
        <is>
          <t>MK-ST-F-034 firstDate</t>
        </is>
      </c>
      <c r="R492" s="3" t="inlineStr">
        <is>
          <t>MK-ST-F-034 firstDate → MK-ST-F-035 covers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MK-ST-F-036</t>
        </is>
      </c>
      <c r="B493" s="3" t="inlineStr">
        <is>
          <t>reconcile</t>
        </is>
      </c>
      <c r="C493" s="3" t="inlineStr">
        <is>
          <t>Calculation Module code/engines/snapshots.ts</t>
        </is>
      </c>
      <c r="D493" s="3" t="n">
        <v>545</v>
      </c>
      <c r="E493" s="3" t="inlineStr">
        <is>
          <t>3 · DEPENDENT (feeds an action only)</t>
        </is>
      </c>
      <c r="F493" s="3" t="inlineStr">
        <is>
          <t>── the outside check ─────────────────────────────────────────────────────────────────────────── Our figure against the broker's own stated total.</t>
        </is>
      </c>
      <c r="G493" s="11" t="inlineStr">
        <is>
          <t>theirs = day.accounts.find((a) =&gt; account id = acc id).stated total (or nothing when missing)
the answer:
ours = ours
theirs = theirs
difference = nothing   if theirs = nothing
ours − theirs   otherwise</t>
        </is>
      </c>
      <c r="H493" s="3" t="inlineStr">
        <is>
          <t>Theirs is day.accounts.find((a) =&gt; account id = acc id).stated total (or no answer — when missing). The answer is ours = ours; theirs = theirs; difference is missing — when theirs is missing; ours minus theirs — otherwise.</t>
        </is>
      </c>
      <c r="I493" s="3" t="inlineStr">
        <is>
          <t>PARTLY READ — some of the code is still showing through; needs a hand pass</t>
        </is>
      </c>
      <c r="J493" s="3" t="inlineStr">
        <is>
          <t>1. day: SnapshotDay
2. accId: string</t>
        </is>
      </c>
      <c r="K493" s="3" t="inlineStr">
        <is>
          <t>NOT DECLARED — the code does not say what it gives back</t>
        </is>
      </c>
      <c r="L493" s="3" t="inlineStr">
        <is>
          <t>—</t>
        </is>
      </c>
      <c r="M493" s="3" t="inlineStr">
        <is>
          <t>· If cash is missing it uses 0.</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2026-09-09</t>
        </is>
      </c>
      <c r="W493" s="3" t="n"/>
      <c r="X493" s="3" t="n"/>
      <c r="Y493" s="3" t="inlineStr">
        <is>
          <t>NOTHING OPEN</t>
        </is>
      </c>
    </row>
    <row r="494" ht="60" customHeight="1">
      <c r="A494" s="3" t="inlineStr">
        <is>
          <t>MK-ST-F-037</t>
        </is>
      </c>
      <c r="B494" s="3" t="inlineStr">
        <is>
          <t>pendingUpload</t>
        </is>
      </c>
      <c r="C494" s="3" t="inlineStr">
        <is>
          <t>Calculation Module code/engines/snapshots.ts</t>
        </is>
      </c>
      <c r="D494" s="3" t="n">
        <v>573</v>
      </c>
      <c r="E494" s="3" t="inlineStr">
        <is>
          <t>3 · DEPENDENT (feeds an action only)</t>
        </is>
      </c>
      <c r="F494" s="3" t="inlineStr">
        <is>
          <t>── the later cloud sync ──────────────────────────────────────────────────────────────────────── Everything not yet uploaded, oldest first.</t>
        </is>
      </c>
      <c r="G494" s="11" t="inlineStr">
        <is>
          <t>days where last uploaded is missing (or date &gt; last uploaded when missing or zero)</t>
        </is>
      </c>
      <c r="H494" s="3" t="inlineStr">
        <is>
          <t>days where last uploaded is missing (or date &gt; last uploaded — when missing or zero).</t>
        </is>
      </c>
      <c r="I494" s="3" t="inlineStr">
        <is>
          <t>READ FROM THE CODE — rendered from the expressions the function runs</t>
        </is>
      </c>
      <c r="J494" s="3" t="inlineStr">
        <is>
          <t>1. days: SnapshotDay[]
2. lastUploaded: string | null</t>
        </is>
      </c>
      <c r="K494" s="3" t="inlineStr">
        <is>
          <t>SnapshotDay[]</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MK-ST-F-038</t>
        </is>
      </c>
      <c r="B495" s="3" t="inlineStr">
        <is>
          <t>windowBounds</t>
        </is>
      </c>
      <c r="C495" s="3" t="inlineStr">
        <is>
          <t>Calculation Module code/engines/window-return.ts</t>
        </is>
      </c>
      <c r="D495" s="3" t="n">
        <v>109</v>
      </c>
      <c r="E495" s="3" t="inlineStr">
        <is>
          <t>2 · DISPLAYED</t>
        </is>
      </c>
      <c r="F495" s="3" t="inlineStr">
        <is>
          <t>NOT DETERMINED — the code carries no note saying what this is for, and it has no row in the old inventory. Needs reading.</t>
        </is>
      </c>
      <c r="G495" s="11" t="inlineStr">
        <is>
          <t>beginning as of = the day before the start
days = round((end − start) in days) + 1</t>
        </is>
      </c>
      <c r="H495" s="3" t="inlineStr">
        <is>
          <t>The bounds of a return window: the beginning value is read on the day BEFORE the start, and the window's length counts both boundary days (brief D3, 2026-08-20).</t>
        </is>
      </c>
      <c r="I495" s="3" t="inlineStr">
        <is>
          <t>READ BY HAND 2026-08-26 — checked line by line against the code</t>
        </is>
      </c>
      <c r="J495" s="3" t="inlineStr">
        <is>
          <t>1. start: string
2. end: string</t>
        </is>
      </c>
      <c r="K495" s="3" t="inlineStr">
        <is>
          <t>WindowBounds</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MK-ST-F-063 shiftDay
2. MK-ST-F-062 toUtc</t>
        </is>
      </c>
      <c r="P495" s="3" t="n">
        <v>2</v>
      </c>
      <c r="Q495" s="3" t="inlineStr">
        <is>
          <t>1. MK-ST-F-063 shiftDay
2. MK-ST-F-062 toUtc</t>
        </is>
      </c>
      <c r="R495" s="3" t="inlineStr">
        <is>
          <t>1. MK-ST-F-062 toUtc → MK-ST-F-063 shiftDay → MK-ST-F-038 windowBounds
2. MK-ST-F-062 toUtc → MK-ST-F-038 windowBounds</t>
        </is>
      </c>
      <c r="S495" s="3" t="inlineStr">
        <is>
          <t>—</t>
        </is>
      </c>
      <c r="T495" s="3" t="inlineStr">
        <is>
          <t>—</t>
        </is>
      </c>
      <c r="U495" s="3" t="inlineStr">
        <is>
          <t>ACTIVE</t>
        </is>
      </c>
      <c r="V495" s="3" t="inlineStr">
        <is>
          <t>2026-09-12</t>
        </is>
      </c>
      <c r="W495" s="3" t="n"/>
      <c r="X495" s="3" t="n"/>
      <c r="Y495" s="3" t="inlineStr">
        <is>
          <t>NOTHING OPEN</t>
        </is>
      </c>
    </row>
    <row r="496" ht="60" customHeight="1">
      <c r="A496" s="3" t="inlineStr">
        <is>
          <t>MK-ST-F-039</t>
        </is>
      </c>
      <c r="B496" s="3" t="inlineStr">
        <is>
          <t>on</t>
        </is>
      </c>
      <c r="C496" s="3" t="inlineStr">
        <is>
          <t>src/domain/_shared/eventBus.ts</t>
        </is>
      </c>
      <c r="D496" s="3" t="n">
        <v>40</v>
      </c>
      <c r="E496" s="3" t="inlineStr">
        <is>
          <t>2 · DISPLAYED</t>
        </is>
      </c>
      <c r="F496" s="3" t="inlineStr">
        <is>
          <t>NOT DETERMINED — the code carries no note saying what this is for, and it has no row in the old inventory. Needs reading.</t>
        </is>
      </c>
      <c r="G496" s="11" t="inlineStr">
        <is>
          <t>() =&gt; handlers[event type].delete(handler as handler)</t>
        </is>
      </c>
      <c r="H496" s="3" t="inlineStr">
        <is>
          <t>() =&gt; handlers[event type].delete(handler as handler).</t>
        </is>
      </c>
      <c r="I496" s="3" t="inlineStr">
        <is>
          <t>PARTLY READ — some of the code is still showing through; needs a hand pass</t>
        </is>
      </c>
      <c r="J496" s="3" t="inlineStr">
        <is>
          <t>1. eventType: string
2. handler: Handler&lt;T&gt;</t>
        </is>
      </c>
      <c r="K496" s="3" t="inlineStr">
        <is>
          <t>()</t>
        </is>
      </c>
      <c r="L496" s="3" t="inlineStr">
        <is>
          <t>NOT FOUND — a screen calls it, but the words printed beside its answer could not be traced automatically. Needs reading.</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MK-ST-F-040</t>
        </is>
      </c>
      <c r="B497" s="3" t="inlineStr">
        <is>
          <t>emit</t>
        </is>
      </c>
      <c r="C497" s="3" t="inlineStr">
        <is>
          <t>src/domain/_shared/eventBus.ts</t>
        </is>
      </c>
      <c r="D497" s="3" t="n">
        <v>67</v>
      </c>
      <c r="E497" s="3" t="inlineStr">
        <is>
          <t>1 · ACTION</t>
        </is>
      </c>
      <c r="F497" s="3" t="inlineStr">
        <is>
          <t>NOT DETERMINED — the code carries no note saying what this is for, and it has no row in the old inventory. Needs reading.</t>
        </is>
      </c>
      <c r="G497" s="11" t="inlineStr">
        <is>
          <t>It records or announces something and returns no figure — no arithmetic of its own.</t>
        </is>
      </c>
      <c r="H497" s="3" t="inlineStr">
        <is>
          <t>It records or announces something and returns no figure — no arithmetic of its own.</t>
        </is>
      </c>
      <c r="I497" s="3" t="inlineStr">
        <is>
          <t>NO ARITHMETIC — there is no formula to state</t>
        </is>
      </c>
      <c r="J497" s="3" t="inlineStr">
        <is>
          <t>1. eventType: string
2. payload: T</t>
        </is>
      </c>
      <c r="K497" s="3" t="inlineStr">
        <is>
          <t>void</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MK-ST-F-041</t>
        </is>
      </c>
      <c r="B498" s="3" t="inlineStr">
        <is>
          <t>getUserDoc</t>
        </is>
      </c>
      <c r="C498" s="3" t="inlineStr">
        <is>
          <t>src/domain/_shared/firestore.ts</t>
        </is>
      </c>
      <c r="D498" s="3" t="n">
        <v>27</v>
      </c>
      <c r="E498" s="3" t="inlineStr">
        <is>
          <t>4 · BRINGS DATA IN</t>
        </is>
      </c>
      <c r="F498" s="3" t="inlineStr">
        <is>
          <t>Read a single-document-per-user collection (e.g.</t>
        </is>
      </c>
      <c r="G498" s="11" t="inlineStr">
        <is>
          <t>snap = await get doc(doc(db, collection name, uid))
the answer:
snap.data() as T   if snap.exists()
nothing   otherwise</t>
        </is>
      </c>
      <c r="H498" s="3" t="inlineStr">
        <is>
          <t>Snap is await get doc(doc(db, collection name, uid)). The answer is snap.data() as T — when snap.exists(); no answer — otherwise.</t>
        </is>
      </c>
      <c r="I498" s="3" t="inlineStr">
        <is>
          <t>PARTLY READ — some of the code is still showing through; needs a hand pass</t>
        </is>
      </c>
      <c r="J498" s="3" t="inlineStr">
        <is>
          <t>1. collectionName: string
2. uid: UserId</t>
        </is>
      </c>
      <c r="K498" s="3" t="inlineStr">
        <is>
          <t>Promise&lt;T | null&gt;</t>
        </is>
      </c>
      <c r="L498" s="3" t="inlineStr">
        <is>
          <t>—</t>
        </is>
      </c>
      <c r="M498" s="3" t="inlineStr">
        <is>
          <t>None found in this function — anything it assumes comes from the functions it depends on.</t>
        </is>
      </c>
      <c r="N498" s="3" t="inlineStr">
        <is>
          <t>No</t>
        </is>
      </c>
      <c r="O498" s="3" t="inlineStr">
        <is>
          <t>MK-XS-F-175 uid</t>
        </is>
      </c>
      <c r="P498" s="3" t="n">
        <v>80</v>
      </c>
      <c r="Q49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98"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MK-ST-F-042</t>
        </is>
      </c>
      <c r="B499" s="3" t="inlineStr">
        <is>
          <t>setUserDoc</t>
        </is>
      </c>
      <c r="C499" s="3" t="inlineStr">
        <is>
          <t>src/domain/_shared/firestore.ts</t>
        </is>
      </c>
      <c r="D499" s="3" t="n">
        <v>55</v>
      </c>
      <c r="E499" s="3" t="inlineStr">
        <is>
          <t>1 · ACTION</t>
        </is>
      </c>
      <c r="F499" s="3" t="inlineStr">
        <is>
          <t>Write/merge a single-document-per-user collection, stamping last_updated.</t>
        </is>
      </c>
      <c r="G499" s="11" t="inlineStr">
        <is>
          <t>It reaches outside the app for data and hands back what came back — no arithmetic of its own.</t>
        </is>
      </c>
      <c r="H499" s="3" t="inlineStr">
        <is>
          <t>It reaches outside the app for data and hands back what came back — no arithmetic of its own.</t>
        </is>
      </c>
      <c r="I499" s="3" t="inlineStr">
        <is>
          <t>NO ARITHMETIC — there is no formula to state</t>
        </is>
      </c>
      <c r="J499" s="3" t="inlineStr">
        <is>
          <t>1. collectionName: string
2. uid: UserId
3. data: T</t>
        </is>
      </c>
      <c r="K499" s="3" t="inlineStr">
        <is>
          <t>Promise&lt;void&gt;</t>
        </is>
      </c>
      <c r="L499" s="3" t="inlineStr">
        <is>
          <t>—</t>
        </is>
      </c>
      <c r="M499" s="3" t="inlineStr">
        <is>
          <t>None found in this function — anything it assumes comes from the functions it depends on.</t>
        </is>
      </c>
      <c r="N499" s="3" t="inlineStr">
        <is>
          <t>Yes</t>
        </is>
      </c>
      <c r="O499" s="3" t="inlineStr">
        <is>
          <t>MK-XS-F-175 uid</t>
        </is>
      </c>
      <c r="P499" s="3" t="n">
        <v>80</v>
      </c>
      <c r="Q499"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99"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9" s="3" t="inlineStr">
        <is>
          <t>—</t>
        </is>
      </c>
      <c r="T499" s="3" t="inlineStr">
        <is>
          <t>—</t>
        </is>
      </c>
      <c r="U499" s="3" t="inlineStr">
        <is>
          <t>ACTIVE</t>
        </is>
      </c>
      <c r="V499" s="3" t="inlineStr">
        <is>
          <t>2026-08-27</t>
        </is>
      </c>
      <c r="W499" s="3" t="n"/>
      <c r="X499" s="3" t="n"/>
      <c r="Y499" s="3" t="inlineStr">
        <is>
          <t>NOTHING OPEN</t>
        </is>
      </c>
    </row>
    <row r="500" ht="45" customHeight="1">
      <c r="A500" s="3" t="inlineStr">
        <is>
          <t>MK-ST-F-043</t>
        </is>
      </c>
      <c r="B500" s="3" t="inlineStr">
        <is>
          <t>newEntityId</t>
        </is>
      </c>
      <c r="C500" s="3" t="inlineStr">
        <is>
          <t>src/domain/_shared/ids.ts</t>
        </is>
      </c>
      <c r="D500" s="3" t="n">
        <v>40</v>
      </c>
      <c r="E500" s="3" t="inlineStr">
        <is>
          <t>2 · DISPLAYED</t>
        </is>
      </c>
      <c r="F500" s="3" t="inlineStr">
        <is>
          <t>What do we call this new thing?</t>
        </is>
      </c>
      <c r="G500" s="11" t="inlineStr">
        <is>
          <t>`${prefix}_${date.now().to string(36)}${math.random().to string(36).slice(2, 8)}`</t>
        </is>
      </c>
      <c r="H500" s="3" t="inlineStr">
        <is>
          <t>`${prefix}_${date.now().to string(36)}${math.random().to string(36).slice(2, 8)}`.</t>
        </is>
      </c>
      <c r="I500" s="3" t="inlineStr">
        <is>
          <t>PARTLY READ — some of the code is still showing through; needs a hand pass</t>
        </is>
      </c>
      <c r="J500" s="3" t="inlineStr">
        <is>
          <t>prefix: string</t>
        </is>
      </c>
      <c r="K500" s="3" t="inlineStr">
        <is>
          <t>EntityId</t>
        </is>
      </c>
      <c r="L500" s="3" t="inlineStr">
        <is>
          <t>NOT FOUND — a screen calls it, but the words printed beside its answer could not be traced automatically. Needs reading.</t>
        </is>
      </c>
      <c r="M500" s="3" t="inlineStr">
        <is>
          <t>· Uses today's date from the device clock, so the answer changes by itself overnight.</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NEW_ID</t>
        </is>
      </c>
      <c r="U500" s="3" t="inlineStr">
        <is>
          <t>ACTIVE</t>
        </is>
      </c>
      <c r="V500" s="3" t="inlineStr">
        <is>
          <t>2026-08-27</t>
        </is>
      </c>
      <c r="W500" s="3" t="n"/>
      <c r="X500" s="3" t="n"/>
      <c r="Y500" s="3" t="inlineStr">
        <is>
          <t>NOTHING OPEN</t>
        </is>
      </c>
    </row>
    <row r="501" ht="60" customHeight="1">
      <c r="A501" s="3" t="inlineStr">
        <is>
          <t>MK-ST-F-044</t>
        </is>
      </c>
      <c r="B501" s="3" t="inlineStr">
        <is>
          <t>setMoneyFormat</t>
        </is>
      </c>
      <c r="C501" s="3" t="inlineStr">
        <is>
          <t>src/domain/_shared/money.ts</t>
        </is>
      </c>
      <c r="D501" s="3" t="n">
        <v>56</v>
      </c>
      <c r="E501" s="3" t="inlineStr">
        <is>
          <t>1 · ACTION</t>
        </is>
      </c>
      <c r="F501" s="3" t="inlineStr">
        <is>
          <t>NOT DETERMINED — the code carries no note saying what this is for, and it has no row in the old inventory. Needs reading.</t>
        </is>
      </c>
      <c r="G501" s="11" t="inlineStr">
        <is>
          <t>c = CURRENCIES.find((x) =&gt; code = currency)</t>
        </is>
      </c>
      <c r="H501" s="3" t="inlineStr">
        <is>
          <t>C is CURRENCIES.find((x) =&gt; code = currency).</t>
        </is>
      </c>
      <c r="I501" s="3" t="inlineStr">
        <is>
          <t>PARTLY READ — some of the code is still showing through; needs a hand pass</t>
        </is>
      </c>
      <c r="J501" s="3" t="inlineStr">
        <is>
          <t>1. currency?: string | null
2. locale?: string | null</t>
        </is>
      </c>
      <c r="K501" s="3" t="inlineStr">
        <is>
          <t>NOT DECLARED — the code does not say what it gives back</t>
        </is>
      </c>
      <c r="L501" s="3" t="inlineStr">
        <is>
          <t>—</t>
        </is>
      </c>
      <c r="M501" s="3" t="inlineStr">
        <is>
          <t>None found in this function — anything it assumes comes from the functions it depends on.</t>
        </is>
      </c>
      <c r="N501" s="3" t="inlineStr">
        <is>
          <t>Yes</t>
        </is>
      </c>
      <c r="O501" s="3" t="inlineStr">
        <is>
          <t>1. MK-ST-F-053 money
2. MK-ST-F-055 round2</t>
        </is>
      </c>
      <c r="P501" s="3" t="n">
        <v>7</v>
      </c>
      <c r="Q501" s="3" t="inlineStr">
        <is>
          <t>1. MK-ST-F-053 money
2. MK-ST-F-055 round2
3. MK-ST-F-049 formatMoney
4. MK-XS-F-122 n
5. MK-ST-F-048 currencySymbol
6. MK-ST-F-039 on
7. MK-ST-F-047 activeCurrency</t>
        </is>
      </c>
      <c r="R501"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MK-ST-F-045</t>
        </is>
      </c>
      <c r="B502" s="3" t="inlineStr">
        <is>
          <t>setHideBalances</t>
        </is>
      </c>
      <c r="C502" s="3" t="inlineStr">
        <is>
          <t>src/domain/_shared/money.ts</t>
        </is>
      </c>
      <c r="D502" s="3" t="n">
        <v>88</v>
      </c>
      <c r="E502" s="3" t="inlineStr">
        <is>
          <t>1 · ACTION</t>
        </is>
      </c>
      <c r="F502" s="3" t="inlineStr">
        <is>
          <t>NOT DETERMINED — the code carries no note saying what this is for, and it has no row in the old inventory. Needs reading.</t>
        </is>
      </c>
      <c r="G502" s="11" t="inlineStr">
        <is>
          <t>It records or announces something and returns no figure — no arithmetic of its own.</t>
        </is>
      </c>
      <c r="H502" s="3" t="inlineStr">
        <is>
          <t>It records or announces something and returns no figure — no arithmetic of its own.</t>
        </is>
      </c>
      <c r="I502" s="3" t="inlineStr">
        <is>
          <t>NO ARITHMETIC — there is no formula to state</t>
        </is>
      </c>
      <c r="J502" s="3" t="inlineStr">
        <is>
          <t>b: boolean</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MK-ST-F-046</t>
        </is>
      </c>
      <c r="B503" s="3" t="inlineStr">
        <is>
          <t>balancesHidden</t>
        </is>
      </c>
      <c r="C503" s="3" t="inlineStr">
        <is>
          <t>src/domain/_shared/money.ts</t>
        </is>
      </c>
      <c r="D503" s="3" t="n">
        <v>104</v>
      </c>
      <c r="E503" s="3" t="inlineStr">
        <is>
          <t>3 · DEPENDENT (feeds an action only)</t>
        </is>
      </c>
      <c r="F503" s="3" t="inlineStr">
        <is>
          <t>NOT DETERMINED — the code carries no note saying what this is for, and it has no row in the old inventory. Needs reading.</t>
        </is>
      </c>
      <c r="G503" s="11" t="inlineStr">
        <is>
          <t>the answer = the hide-balances switch</t>
        </is>
      </c>
      <c r="H503" s="3" t="inlineStr">
        <is>
          <t>Whether the person has hidden balances on screen. No arithmetic.</t>
        </is>
      </c>
      <c r="I503" s="3" t="inlineStr">
        <is>
          <t>READ BY HAND 2026-08-26 — checked line by line against the code</t>
        </is>
      </c>
      <c r="J503" s="3" t="inlineStr">
        <is>
          <t>Nothing is handed to it</t>
        </is>
      </c>
      <c r="K503" s="3" t="inlineStr">
        <is>
          <t>boolean</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2026-09-12</t>
        </is>
      </c>
      <c r="W503" s="3" t="n"/>
      <c r="X503" s="3" t="n"/>
      <c r="Y503" s="3" t="inlineStr">
        <is>
          <t>NOTHING OPEN</t>
        </is>
      </c>
    </row>
    <row r="504" ht="45" customHeight="1">
      <c r="A504" s="3" t="inlineStr">
        <is>
          <t>MK-ST-F-047</t>
        </is>
      </c>
      <c r="B504" s="3" t="inlineStr">
        <is>
          <t>activeCurrency</t>
        </is>
      </c>
      <c r="C504" s="3" t="inlineStr">
        <is>
          <t>src/domain/_shared/money.ts</t>
        </is>
      </c>
      <c r="D504" s="3" t="n">
        <v>133</v>
      </c>
      <c r="E504" s="3" t="inlineStr">
        <is>
          <t>3 · DEPENDENT</t>
        </is>
      </c>
      <c r="F504" s="3" t="inlineStr">
        <is>
          <t>Which currency is the app showing?</t>
        </is>
      </c>
      <c r="G504" s="11" t="inlineStr">
        <is>
          <t>the first of CURRENCIES.find((c) =&gt; code = code) (or CURRENCIES when missing)</t>
        </is>
      </c>
      <c r="H504" s="3" t="inlineStr">
        <is>
          <t>the first of CURRENCIES.find((c) =&gt; code = code) (or CURRENCIES — when missing).</t>
        </is>
      </c>
      <c r="I504" s="3" t="inlineStr">
        <is>
          <t>PARTLY READ — some of the code is still showing through; needs a hand pass</t>
        </is>
      </c>
      <c r="J504" s="3" t="inlineStr">
        <is>
          <t>Nothing is handed to it</t>
        </is>
      </c>
      <c r="K504" s="3" t="inlineStr">
        <is>
          <t>Currency</t>
        </is>
      </c>
      <c r="L504" s="3" t="inlineStr">
        <is>
          <t>—</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CURRENCY</t>
        </is>
      </c>
      <c r="U504" s="3" t="inlineStr">
        <is>
          <t>ACTIVE</t>
        </is>
      </c>
      <c r="V504" s="3" t="inlineStr">
        <is>
          <t>2026-08-27</t>
        </is>
      </c>
      <c r="W504" s="3" t="n"/>
      <c r="X504" s="3" t="n"/>
      <c r="Y504" s="3" t="inlineStr">
        <is>
          <t>NOTHING OPEN</t>
        </is>
      </c>
    </row>
    <row r="505" ht="60" customHeight="1">
      <c r="A505" s="3" t="inlineStr">
        <is>
          <t>MK-ST-F-048</t>
        </is>
      </c>
      <c r="B505" s="3" t="inlineStr">
        <is>
          <t>currencySymbol</t>
        </is>
      </c>
      <c r="C505" s="3" t="inlineStr">
        <is>
          <t>src/domain/_shared/money.ts</t>
        </is>
      </c>
      <c r="D505" s="3" t="n">
        <v>164</v>
      </c>
      <c r="E505" s="3" t="inlineStr">
        <is>
          <t>2 · DISPLAYED</t>
        </is>
      </c>
      <c r="F505" s="3" t="inlineStr">
        <is>
          <t>NOT DETERMINED — the code carries no note saying what this is for, and it has no row in the old inventory. Needs reading.</t>
        </is>
      </c>
      <c r="G505" s="11" t="inlineStr">
        <is>
          <t>active currency().symbol</t>
        </is>
      </c>
      <c r="H505" s="3" t="inlineStr">
        <is>
          <t>active currency().symbol.</t>
        </is>
      </c>
      <c r="I505" s="3" t="inlineStr">
        <is>
          <t>PARTLY READ — some of the code is still showing through; needs a hand pass</t>
        </is>
      </c>
      <c r="J505" s="3" t="inlineStr">
        <is>
          <t>Nothing is handed to it</t>
        </is>
      </c>
      <c r="K505" s="3" t="inlineStr">
        <is>
          <t>string</t>
        </is>
      </c>
      <c r="L505"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5" s="3" t="inlineStr">
        <is>
          <t>None found in this function — anything it assumes comes from the functions it depends on.</t>
        </is>
      </c>
      <c r="N505" s="3" t="inlineStr">
        <is>
          <t>Yes</t>
        </is>
      </c>
      <c r="O505" s="3" t="inlineStr">
        <is>
          <t>MK-ST-F-047 activeCurrency</t>
        </is>
      </c>
      <c r="P505" s="3" t="n">
        <v>1</v>
      </c>
      <c r="Q505" s="3" t="inlineStr">
        <is>
          <t>MK-ST-F-047 activeCurrency</t>
        </is>
      </c>
      <c r="R505" s="3" t="inlineStr">
        <is>
          <t>MK-ST-F-047 activeCurrency → MK-ST-F-048 currencySymbol</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MK-ST-F-049</t>
        </is>
      </c>
      <c r="B506" s="3" t="inlineStr">
        <is>
          <t>formatMoney</t>
        </is>
      </c>
      <c r="C506" s="3" t="inlineStr">
        <is>
          <t>src/domain/_shared/money.ts</t>
        </is>
      </c>
      <c r="D506" s="3" t="n">
        <v>207</v>
      </c>
      <c r="E506" s="3" t="inlineStr">
        <is>
          <t>2 · DISPLAYED</t>
        </is>
      </c>
      <c r="F506" s="3" t="inlineStr">
        <is>
          <t>Full amount, no minor units (matches the app's whole-number money style), locale-grouped.</t>
        </is>
      </c>
      <c r="G506" s="11" t="inlineStr">
        <is>
          <t>BALANCE_MASK   when hide
NOT_A_NUMBER   when !number.is finite(n)
v = round(n)
the answer = new intl.number format(locale, { style: 'currency', currency: code, maximum fraction digits: 0 }).format(v)
neg = '-'   if v &lt; 0
''   otherwise</t>
        </is>
      </c>
      <c r="H506" s="3" t="inlineStr">
        <is>
          <t>When hide, it answers BALANCE_MASK. When !number.is finite(n), it answers NOT_A_NUMBER. V is n, to a whole number. The answer is new intl.number format(locale, { style: 'currency', currency: code, maximum fraction digits: 0 }).format(v). Neg is '-' — when v &lt; 0; '' — otherwise.</t>
        </is>
      </c>
      <c r="I506" s="3" t="inlineStr">
        <is>
          <t>PARTLY READ — some of the code is still showing through; needs a hand pass</t>
        </is>
      </c>
      <c r="J506" s="3" t="inlineStr">
        <is>
          <t>n: number</t>
        </is>
      </c>
      <c r="K506" s="3" t="inlineStr">
        <is>
          <t>string</t>
        </is>
      </c>
      <c r="L506" s="3" t="inlineStr">
        <is>
          <t>NOT FOUND — a screen calls it, but the words printed beside its answer could not be traced automatically. Needs reading.</t>
        </is>
      </c>
      <c r="M506" s="3" t="inlineStr">
        <is>
          <t>· Rounds the answer to a whole number.</t>
        </is>
      </c>
      <c r="N506" s="3" t="inlineStr">
        <is>
          <t>Yes</t>
        </is>
      </c>
      <c r="O506" s="3" t="inlineStr">
        <is>
          <t>1. MK-ST-F-048 currencySymbol
2. MK-XS-F-122 n
3. MK-ST-F-039 on</t>
        </is>
      </c>
      <c r="P506" s="3" t="n">
        <v>4</v>
      </c>
      <c r="Q506" s="3" t="inlineStr">
        <is>
          <t>1. MK-ST-F-048 currencySymbol
2. MK-XS-F-122 n
3. MK-ST-F-039 on
4. MK-ST-F-047 activeCurrency</t>
        </is>
      </c>
      <c r="R506" s="3" t="inlineStr">
        <is>
          <t>1. MK-ST-F-047 activeCurrency → MK-ST-F-048 currencySymbol → MK-ST-F-049 formatMoney
2. MK-XS-F-122 n → MK-ST-F-049 formatMoney
3. MK-ST-F-039 on → MK-ST-F-049 formatMoney</t>
        </is>
      </c>
      <c r="S506" s="3" t="inlineStr">
        <is>
          <t>—</t>
        </is>
      </c>
      <c r="T506" s="3" t="inlineStr">
        <is>
          <t>MONEY_IN_WORDS</t>
        </is>
      </c>
      <c r="U506" s="3" t="inlineStr">
        <is>
          <t>ACTIVE</t>
        </is>
      </c>
      <c r="V506" s="3" t="inlineStr">
        <is>
          <t>2026-08-27</t>
        </is>
      </c>
      <c r="W506" s="3" t="n"/>
      <c r="X506" s="3" t="n"/>
      <c r="Y506" s="3" t="inlineStr">
        <is>
          <t>NOTHING OPEN</t>
        </is>
      </c>
    </row>
    <row r="507" ht="60" customHeight="1">
      <c r="A507" s="3" t="inlineStr">
        <is>
          <t>MK-ST-F-050</t>
        </is>
      </c>
      <c r="B507" s="3" t="inlineStr">
        <is>
          <t>formatMoneyCents</t>
        </is>
      </c>
      <c r="C507" s="3" t="inlineStr">
        <is>
          <t>src/domain/_shared/money.ts</t>
        </is>
      </c>
      <c r="D507" s="3" t="n">
        <v>246</v>
      </c>
      <c r="E507" s="3" t="inlineStr">
        <is>
          <t>3 · DEPENDENT</t>
        </is>
      </c>
      <c r="F507" s="3" t="inlineStr">
        <is>
          <t>Same as formatMoney but keeps 2 decimal places — for precise amounts (transactions, holdings, recurring lines).</t>
        </is>
      </c>
      <c r="G507" s="11" t="inlineStr">
        <is>
          <t>BALANCE_MASK   when hide
NOT_A_NUMBER   when !number.is finite(n)
v = n
the answer = new intl.number format(locale, { style: 'currency', currency: code, minimum fraction digits: 2, maximum fraction digits: 2 }).format(v)
neg = '-'   if v &lt; 0
''   otherwise</t>
        </is>
      </c>
      <c r="H507"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7" s="3" t="inlineStr">
        <is>
          <t>PARTLY READ — some of the code is still showing through; needs a hand pass</t>
        </is>
      </c>
      <c r="J507" s="3" t="inlineStr">
        <is>
          <t>n: number</t>
        </is>
      </c>
      <c r="K507" s="3" t="inlineStr">
        <is>
          <t>string</t>
        </is>
      </c>
      <c r="L507" s="3" t="inlineStr">
        <is>
          <t>—</t>
        </is>
      </c>
      <c r="M507" s="3" t="inlineStr">
        <is>
          <t>None found in this function — anything it assumes comes from the functions it depends on.</t>
        </is>
      </c>
      <c r="N507" s="3" t="inlineStr">
        <is>
          <t>Yes</t>
        </is>
      </c>
      <c r="O507" s="3" t="inlineStr">
        <is>
          <t>1. MK-ST-F-048 currencySymbol
2. MK-XS-F-122 n</t>
        </is>
      </c>
      <c r="P507" s="3" t="n">
        <v>3</v>
      </c>
      <c r="Q507" s="3" t="inlineStr">
        <is>
          <t>1. MK-ST-F-048 currencySymbol
2. MK-XS-F-122 n
3. MK-ST-F-047 activeCurrency</t>
        </is>
      </c>
      <c r="R507" s="3" t="inlineStr">
        <is>
          <t>1. MK-ST-F-047 activeCurrency → MK-ST-F-048 currencySymbol → MK-ST-F-050 formatMoneyCents
2. MK-XS-F-122 n → MK-ST-F-050 formatMoneyCents</t>
        </is>
      </c>
      <c r="S507" s="3" t="inlineStr">
        <is>
          <t>—</t>
        </is>
      </c>
      <c r="T507" s="3" t="inlineStr">
        <is>
          <t>MONEY_IN_WORDS_WITH_CENTS</t>
        </is>
      </c>
      <c r="U507" s="3" t="inlineStr">
        <is>
          <t>ACTIVE</t>
        </is>
      </c>
      <c r="V507" s="3" t="inlineStr">
        <is>
          <t>2026-08-27</t>
        </is>
      </c>
      <c r="W507" s="3" t="n"/>
      <c r="X507" s="3" t="n"/>
      <c r="Y507" s="3" t="inlineStr">
        <is>
          <t>NOTHING OPEN</t>
        </is>
      </c>
    </row>
    <row r="508" ht="60" customHeight="1">
      <c r="A508" s="3" t="inlineStr">
        <is>
          <t>MK-ST-F-051</t>
        </is>
      </c>
      <c r="B508" s="3" t="inlineStr">
        <is>
          <t>moneyCompact</t>
        </is>
      </c>
      <c r="C508" s="3" t="inlineStr">
        <is>
          <t>src/domain/_shared/money.ts</t>
        </is>
      </c>
      <c r="D508" s="3" t="n">
        <v>289</v>
      </c>
      <c r="E508" s="3" t="inlineStr">
        <is>
          <t>2 · DISPLAYED</t>
        </is>
      </c>
      <c r="F508" s="3" t="inlineStr">
        <is>
          <t>Compact form for tight spaces (chart labels, donut center).</t>
        </is>
      </c>
      <c r="G508" s="11" t="inlineStr">
        <is>
          <t>BALANCE_MASK   when hide
s = currency symbol()
neg = '-'   if n &lt; 0
''   otherwise
a = size of(n)
`${neg}${s}${(a ÷ 1e6).to fixed(2).replace( ÷ \.?0+$ ÷ , '')}${style}`   when a ≥ 1e6
`${neg}${s}${math.round(a ÷ 1e3)}K`   when a ≥ 1e3
the answer = `${neg}${s}${math.round(a)}`</t>
        </is>
      </c>
      <c r="H508"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8" s="3" t="inlineStr">
        <is>
          <t>PARTLY READ — some of the code is still showing through; needs a hand pass</t>
        </is>
      </c>
      <c r="J508" s="3" t="inlineStr">
        <is>
          <t>1. n: number
2. style: 'M' | 'MM' = 'MM'</t>
        </is>
      </c>
      <c r="K508" s="3" t="inlineStr">
        <is>
          <t>string</t>
        </is>
      </c>
      <c r="L508"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8" s="3" t="inlineStr">
        <is>
          <t>1. Rounds the answer to a whole number.
2. Shows 2 decimal places.</t>
        </is>
      </c>
      <c r="N508" s="3" t="inlineStr">
        <is>
          <t>Yes</t>
        </is>
      </c>
      <c r="O508" s="3" t="inlineStr">
        <is>
          <t>1. MK-ST-F-048 currencySymbol
2. MK-XS-F-122 n</t>
        </is>
      </c>
      <c r="P508" s="3" t="n">
        <v>3</v>
      </c>
      <c r="Q508" s="3" t="inlineStr">
        <is>
          <t>1. MK-ST-F-048 currencySymbol
2. MK-XS-F-122 n
3. MK-ST-F-047 activeCurrency</t>
        </is>
      </c>
      <c r="R508" s="3" t="inlineStr">
        <is>
          <t>1. MK-ST-F-047 activeCurrency → MK-ST-F-048 currencySymbol → MK-ST-F-051 moneyCompact
2. MK-XS-F-122 n → MK-ST-F-051 moneyCompact</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MK-ST-F-052</t>
        </is>
      </c>
      <c r="B509" s="3" t="inlineStr">
        <is>
          <t>toNum</t>
        </is>
      </c>
      <c r="C509" s="3" t="inlineStr">
        <is>
          <t>src/domain/_shared/num.ts</t>
        </is>
      </c>
      <c r="D509" s="3" t="n">
        <v>66</v>
      </c>
      <c r="E509" s="3" t="inlineStr">
        <is>
          <t>3 · DEPENDENT</t>
        </is>
      </c>
      <c r="F509" s="3" t="inlineStr">
        <is>
          <t>What number did the person actually type?</t>
        </is>
      </c>
      <c r="G509" s="11" t="inlineStr">
        <is>
          <t>n = parse float(string(v ?? '').replace( ÷ [^0 − 9.\-] ÷ g, ''))
the answer:
n   if number.is finite(n)
0   otherwise</t>
        </is>
      </c>
      <c r="H509" s="3" t="inlineStr">
        <is>
          <t>N is parse float(string(v ?? '').replace( divided by [^0 minus 9.\-] divided by g, '')). The answer is n — when number.is finite(n); 0 — otherwise.</t>
        </is>
      </c>
      <c r="I509" s="3" t="inlineStr">
        <is>
          <t>PARTLY READ — some of the code is still showing through; needs a hand pass</t>
        </is>
      </c>
      <c r="J509" s="3" t="inlineStr">
        <is>
          <t>v: any</t>
        </is>
      </c>
      <c r="K509" s="3" t="inlineStr">
        <is>
          <t>number</t>
        </is>
      </c>
      <c r="L509" s="3" t="inlineStr">
        <is>
          <t>—</t>
        </is>
      </c>
      <c r="M509" s="3" t="inlineStr">
        <is>
          <t>None found in this function — anything it assumes comes from the functions it depends on.</t>
        </is>
      </c>
      <c r="N509" s="3" t="inlineStr">
        <is>
          <t>Yes</t>
        </is>
      </c>
      <c r="O509" s="3" t="inlineStr">
        <is>
          <t>MK-XS-F-122 n</t>
        </is>
      </c>
      <c r="P509" s="3" t="n">
        <v>1</v>
      </c>
      <c r="Q509" s="3" t="inlineStr">
        <is>
          <t>MK-XS-F-122 n</t>
        </is>
      </c>
      <c r="R509" s="3" t="inlineStr">
        <is>
          <t>MK-XS-F-122 n → MK-ST-F-052 toNum</t>
        </is>
      </c>
      <c r="S509" s="3" t="inlineStr">
        <is>
          <t>—</t>
        </is>
      </c>
      <c r="T509" s="3" t="inlineStr">
        <is>
          <t>READ_A_NUMBER</t>
        </is>
      </c>
      <c r="U509" s="3" t="inlineStr">
        <is>
          <t>ACTIVE</t>
        </is>
      </c>
      <c r="V509" s="3" t="inlineStr">
        <is>
          <t>2026-08-27</t>
        </is>
      </c>
      <c r="W509" s="3" t="n"/>
      <c r="X509" s="3" t="n"/>
      <c r="Y509" s="3" t="inlineStr">
        <is>
          <t>NOTHING OPEN</t>
        </is>
      </c>
    </row>
    <row r="510" ht="60" customHeight="1">
      <c r="A510" s="3" t="inlineStr">
        <is>
          <t>MK-ST-F-053</t>
        </is>
      </c>
      <c r="B510" s="3" t="inlineStr">
        <is>
          <t>money</t>
        </is>
      </c>
      <c r="C510" s="3" t="inlineStr">
        <is>
          <t>src/domain/_shared/num.ts</t>
        </is>
      </c>
      <c r="D510" s="3" t="n">
        <v>104</v>
      </c>
      <c r="E510" s="3" t="inlineStr">
        <is>
          <t>1 · ACTION</t>
        </is>
      </c>
      <c r="F510" s="3" t="inlineStr">
        <is>
          <t>Currency/locale-aware (delegates to the active money format; defaults to USD/en-US).</t>
        </is>
      </c>
      <c r="G510" s="11" t="inlineStr">
        <is>
          <t>format money(n)</t>
        </is>
      </c>
      <c r="H510" s="3" t="inlineStr">
        <is>
          <t>format money(n)</t>
        </is>
      </c>
      <c r="I510" s="3" t="inlineStr">
        <is>
          <t>READ FROM THE CODE — rendered from the expressions the function runs</t>
        </is>
      </c>
      <c r="J510" s="3" t="inlineStr">
        <is>
          <t>n: number</t>
        </is>
      </c>
      <c r="K510" s="3" t="inlineStr">
        <is>
          <t>string</t>
        </is>
      </c>
      <c r="L510"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0" s="3" t="inlineStr">
        <is>
          <t>None found in this function — anything it assumes comes from the functions it depends on.</t>
        </is>
      </c>
      <c r="N510" s="3" t="inlineStr">
        <is>
          <t>Yes</t>
        </is>
      </c>
      <c r="O510" s="3" t="inlineStr">
        <is>
          <t>1. MK-ST-F-049 formatMoney
2. MK-XS-F-122 n</t>
        </is>
      </c>
      <c r="P510" s="3" t="n">
        <v>5</v>
      </c>
      <c r="Q510" s="3" t="inlineStr">
        <is>
          <t>1. MK-ST-F-049 formatMoney
2. MK-XS-F-122 n
3. MK-ST-F-048 currencySymbol
4. MK-ST-F-039 on
5. MK-ST-F-047 activeCurrency</t>
        </is>
      </c>
      <c r="R510" s="3" t="inlineStr">
        <is>
          <t>1. MK-ST-F-047 activeCurrency → MK-ST-F-048 currencySymbol → MK-ST-F-049 formatMoney → MK-ST-F-053 money
2. MK-XS-F-122 n → MK-ST-F-049 formatMoney → MK-ST-F-053 money
3. MK-ST-F-039 on → MK-ST-F-049 formatMoney → MK-ST-F-053 money
4. MK-XS-F-122 n → MK-ST-F-053 money</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MK-ST-F-054</t>
        </is>
      </c>
      <c r="B511" s="3" t="inlineStr">
        <is>
          <t>money2</t>
        </is>
      </c>
      <c r="C511" s="3" t="inlineStr">
        <is>
          <t>src/domain/_shared/num.ts</t>
        </is>
      </c>
      <c r="D511" s="3" t="n">
        <v>121</v>
      </c>
      <c r="E511" s="3" t="inlineStr">
        <is>
          <t>1 · ACTION</t>
        </is>
      </c>
      <c r="F511" s="3" t="inlineStr">
        <is>
          <t>Same, but keeps cents — for precise amounts (transactions, holdings).</t>
        </is>
      </c>
      <c r="G511" s="11" t="inlineStr">
        <is>
          <t>format money cents(n)</t>
        </is>
      </c>
      <c r="H511" s="3" t="inlineStr">
        <is>
          <t>format money cents(n)</t>
        </is>
      </c>
      <c r="I511" s="3" t="inlineStr">
        <is>
          <t>READ FROM THE CODE — rendered from the expressions the function runs</t>
        </is>
      </c>
      <c r="J511" s="3" t="inlineStr">
        <is>
          <t>n: number</t>
        </is>
      </c>
      <c r="K511" s="3" t="inlineStr">
        <is>
          <t>string</t>
        </is>
      </c>
      <c r="L511" s="3" t="inlineStr">
        <is>
          <t>1. "Total" — on the Import holdings screen
2. "Value" — on the Import holdings screen, under "REVIEW YOUR HOLDINGS"</t>
        </is>
      </c>
      <c r="M511" s="3" t="inlineStr">
        <is>
          <t>None found in this function — anything it assumes comes from the functions it depends on.</t>
        </is>
      </c>
      <c r="N511" s="3" t="inlineStr">
        <is>
          <t>Yes</t>
        </is>
      </c>
      <c r="O511" s="3" t="inlineStr">
        <is>
          <t>1. MK-ST-F-050 formatMoneyCents
2. MK-XS-F-122 n</t>
        </is>
      </c>
      <c r="P511" s="3" t="n">
        <v>4</v>
      </c>
      <c r="Q511" s="3" t="inlineStr">
        <is>
          <t>1. MK-ST-F-050 formatMoneyCents
2. MK-XS-F-122 n
3. MK-ST-F-048 currencySymbol
4. MK-ST-F-047 activeCurrency</t>
        </is>
      </c>
      <c r="R511" s="3" t="inlineStr">
        <is>
          <t>1. MK-ST-F-047 activeCurrency → MK-ST-F-048 currencySymbol → MK-ST-F-050 formatMoneyCents → MK-ST-F-054 money2
2. MK-XS-F-122 n → MK-ST-F-050 formatMoneyCents → MK-ST-F-054 money2
3. MK-XS-F-122 n → MK-ST-F-054 money2</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MK-ST-F-055</t>
        </is>
      </c>
      <c r="B512" s="3" t="inlineStr">
        <is>
          <t>round2</t>
        </is>
      </c>
      <c r="C512" s="3" t="inlineStr">
        <is>
          <t>Calculation Module code/engines/money.ts</t>
        </is>
      </c>
      <c r="D512" s="3" t="n">
        <v>218</v>
      </c>
      <c r="E512" s="3" t="inlineStr">
        <is>
          <t>3 · DEPENDENT</t>
        </is>
      </c>
      <c r="F512" s="3" t="inlineStr">
        <is>
          <t>Rounds a money figure to the cent — two decimals.</t>
        </is>
      </c>
      <c r="G512" s="11" t="inlineStr">
        <is>
          <t>round2(n) = round(n × 100) ÷ 100</t>
        </is>
      </c>
      <c r="H512" s="3" t="inlineStr">
        <is>
          <t>Rounds to two decimal places — the cent. The hundred is the rounding scale, nothing to do with percentages or with an option contract being a hundred shares.</t>
        </is>
      </c>
      <c r="I512" s="3" t="inlineStr">
        <is>
          <t>READ BY HAND 2026-08-26 — checked line by line against the code</t>
        </is>
      </c>
      <c r="J512" s="3" t="inlineStr">
        <is>
          <t>n: number</t>
        </is>
      </c>
      <c r="K512" s="3" t="inlineStr">
        <is>
          <t>number</t>
        </is>
      </c>
      <c r="L512" s="3" t="inlineStr">
        <is>
          <t>—</t>
        </is>
      </c>
      <c r="M512" s="3" t="inlineStr">
        <is>
          <t>· Rounds the answer to two decimals (cents).</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2026-09-08</t>
        </is>
      </c>
      <c r="W512" s="3" t="inlineStr">
        <is>
          <t>[from MK-NW-M-043, Assumptions; typed A15] does it round to 2 decimals or a whole number? Two contradicting statements.</t>
        </is>
      </c>
      <c r="X512" s="6" t="inlineStr">
        <is>
          <t>Two decimals: round(n × 100) ÷ 100. Both file lines are false (A15, C4); the generator misreads the idiom. Fix the generator and re-extract; the row then reads 'Rounds to two decimals (cents)'. Code right.</t>
        </is>
      </c>
      <c r="Y512" s="6" t="inlineStr">
        <is>
          <t>WAITING ON YOU — answer to read · CODED, NOT TESTED (C4)</t>
        </is>
      </c>
    </row>
    <row r="513" ht="60" customHeight="1">
      <c r="A513" s="3" t="inlineStr">
        <is>
          <t>MK-ST-F-056</t>
        </is>
      </c>
      <c r="B513" s="3" t="inlineStr">
        <is>
          <t>has</t>
        </is>
      </c>
      <c r="C513" s="3" t="inlineStr">
        <is>
          <t>Calculation Module code/engines/classify.ts</t>
        </is>
      </c>
      <c r="D513" s="3" t="n">
        <v>121</v>
      </c>
      <c r="E513" s="3" t="inlineStr">
        <is>
          <t>1 · ACTION</t>
        </is>
      </c>
      <c r="F513" s="3" t="inlineStr">
        <is>
          <t>NOT DETERMINED — the code carries no note saying what this is for, and it has no row in the old inventory. Needs reading.</t>
        </is>
      </c>
      <c r="G513" s="11" t="inlineStr">
        <is>
          <t>re.test(s)</t>
        </is>
      </c>
      <c r="H513" s="3" t="inlineStr">
        <is>
          <t>re.test(s)</t>
        </is>
      </c>
      <c r="I513" s="3" t="inlineStr">
        <is>
          <t>PARTLY READ — some of the code is still showing through; needs a hand pass</t>
        </is>
      </c>
      <c r="J513" s="3" t="inlineStr">
        <is>
          <t>1. s: string
2. re: RegExp</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MK-ST-F-057</t>
        </is>
      </c>
      <c r="B514" s="3" t="inlineStr">
        <is>
          <t>divRounded</t>
        </is>
      </c>
      <c r="C514" s="3" t="inlineStr">
        <is>
          <t>Calculation Module code/engines/decimal.ts</t>
        </is>
      </c>
      <c r="D514" s="3" t="n">
        <v>127</v>
      </c>
      <c r="E514" s="3" t="inlineStr">
        <is>
          <t>3 · DEPENDENT (feeds an action only)</t>
        </is>
      </c>
      <c r="F514" s="3" t="inlineStr">
        <is>
          <t>Round-half-even division on bigints.</t>
        </is>
      </c>
      <c r="G514" s="11" t="inlineStr">
        <is>
          <t>negative = (num &lt; 0n) ! = (den &lt; 0n)
n = -num   if num &lt; 0n
-den   if num, d = den &lt; 0n
den   otherwise   otherwise
q = n ÷ d, r = (n % d) × 2n
out = q
the answer:
-out   if negative
out   otherwise</t>
        </is>
      </c>
      <c r="H514" s="3" t="inlineStr">
        <is>
          <t>Negative is (num &lt; 0n) ! = (den &lt; 0n). N is -num — when num &lt; 0n; -den — when num, d = den &lt; 0n; den — otherwise — otherwise. Q is n divided by d, r = (n % d) times 2n. Out is q. The answer is -out — when negative; out — otherwise.</t>
        </is>
      </c>
      <c r="I514" s="3" t="inlineStr">
        <is>
          <t>READ FROM THE CODE — rendered from the expressions the function runs</t>
        </is>
      </c>
      <c r="J514" s="3" t="inlineStr">
        <is>
          <t>1. num: bigint
2. den: bigint</t>
        </is>
      </c>
      <c r="K514" s="3" t="inlineStr">
        <is>
          <t>bigint</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MK-ST-F-058</t>
        </is>
      </c>
      <c r="B515" s="3" t="inlineStr">
        <is>
          <t>numberOrUndefined</t>
        </is>
      </c>
      <c r="C515" s="3" t="inlineStr">
        <is>
          <t>Calculation Module code/engines/ledger.ts</t>
        </is>
      </c>
      <c r="D515" s="3" t="n">
        <v>381</v>
      </c>
      <c r="E515" s="3" t="inlineStr">
        <is>
          <t>3 · DEPENDENT (feeds an action only)</t>
        </is>
      </c>
      <c r="F515" s="3" t="inlineStr">
        <is>
          <t>NOT DETERMINED — the code carries no note saying what this is for, and it has no row in the old inventory. Needs reading.</t>
        </is>
      </c>
      <c r="G515" s="11" t="inlineStr">
        <is>
          <t>n = v   if v is a number
na n   if v = nothing
parse float(string(v).replace( ÷ [$,\s] ÷ g, ''))   otherwise   otherwise
the answer:
n   if number.is finite(n)
undefined   otherwise</t>
        </is>
      </c>
      <c r="H515" s="3" t="inlineStr">
        <is>
          <t>N is v — when v is a number; na n — when v is missing; parse float(string(v).replace( divided by [$,\s] divided by g, '')) — otherwise — otherwise. The answer is n — when number.is finite(n); undefined — otherwise.</t>
        </is>
      </c>
      <c r="I515" s="3" t="inlineStr">
        <is>
          <t>PARTLY READ — some of the code is still showing through; needs a hand pass</t>
        </is>
      </c>
      <c r="J515" s="3" t="inlineStr">
        <is>
          <t>v: unknown</t>
        </is>
      </c>
      <c r="K515" s="3" t="inlineStr">
        <is>
          <t>number | undefined</t>
        </is>
      </c>
      <c r="L515" s="3" t="inlineStr">
        <is>
          <t>—</t>
        </is>
      </c>
      <c r="M515" s="3" t="inlineStr">
        <is>
          <t>None found in this function — anything it assumes comes from the functions it depends on.</t>
        </is>
      </c>
      <c r="N515" s="3" t="inlineStr">
        <is>
          <t>No</t>
        </is>
      </c>
      <c r="O515" s="3" t="inlineStr">
        <is>
          <t>MK-XS-F-122 n</t>
        </is>
      </c>
      <c r="P515" s="3" t="n">
        <v>1</v>
      </c>
      <c r="Q515" s="3" t="inlineStr">
        <is>
          <t>MK-XS-F-122 n</t>
        </is>
      </c>
      <c r="R515" s="3" t="inlineStr">
        <is>
          <t>MK-XS-F-122 n → MK-ST-F-058 numberOrUndefined</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MK-ST-F-059</t>
        </is>
      </c>
      <c r="B516" s="3" t="inlineStr">
        <is>
          <t>round8</t>
        </is>
      </c>
      <c r="C516" s="3" t="inlineStr">
        <is>
          <t>Calculation Module code/engines/ledger.ts</t>
        </is>
      </c>
      <c r="D516" s="3" t="n">
        <v>403</v>
      </c>
      <c r="E516" s="3" t="inlineStr">
        <is>
          <t>1 · ACTION</t>
        </is>
      </c>
      <c r="F516" s="3" t="inlineStr">
        <is>
          <t>NOT DETERMINED — the code carries no note saying what this is for, and it has no row in the old inventory. Needs reading.</t>
        </is>
      </c>
      <c r="G516" s="11" t="inlineStr">
        <is>
          <t>round(n × 1e8) ÷ 1e8</t>
        </is>
      </c>
      <c r="H516" s="3" t="inlineStr">
        <is>
          <t>n times 1e8, to a whole number divided by 1e8</t>
        </is>
      </c>
      <c r="I516" s="3" t="inlineStr">
        <is>
          <t>READ FROM THE CODE — rendered from the expressions the function runs</t>
        </is>
      </c>
      <c r="J516" s="3" t="inlineStr">
        <is>
          <t>n: number</t>
        </is>
      </c>
      <c r="K516" s="3" t="inlineStr">
        <is>
          <t>NOT DECLARED — the code does not say what it gives back</t>
        </is>
      </c>
      <c r="L516" s="3" t="inlineStr">
        <is>
          <t>—</t>
        </is>
      </c>
      <c r="M516" s="3" t="inlineStr">
        <is>
          <t>· Rounds the answer to 8 decimal places.</t>
        </is>
      </c>
      <c r="N516" s="3" t="inlineStr">
        <is>
          <t>No</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MK-ST-F-060</t>
        </is>
      </c>
      <c r="B517" s="3" t="inlineStr">
        <is>
          <t>verdict</t>
        </is>
      </c>
      <c r="C517" s="3" t="inlineStr">
        <is>
          <t>Calculation Module code/engines/reconcile.ts</t>
        </is>
      </c>
      <c r="D517" s="3" t="n">
        <v>47</v>
      </c>
      <c r="E517" s="3" t="inlineStr">
        <is>
          <t>2 · DISPLAYED</t>
        </is>
      </c>
      <c r="F517" s="3" t="inlineStr">
        <is>
          <t>NOT DETERMINED — the code carries no note saying what this is for, and it has no row in the old inventory. Needs reading.</t>
        </is>
      </c>
      <c r="G517" s="11" t="inlineStr">
        <is>
          <t>difference = computed.sub(stated)</t>
        </is>
      </c>
      <c r="H517" s="3" t="inlineStr">
        <is>
          <t>Difference is computed.sub(stated).</t>
        </is>
      </c>
      <c r="I517" s="3" t="inlineStr">
        <is>
          <t>PARTLY READ — some of the code is still showing through; needs a hand pass</t>
        </is>
      </c>
      <c r="J517" s="3" t="inlineStr">
        <is>
          <t>1. computed: Dec
2. stated: Dec
3. what: string</t>
        </is>
      </c>
      <c r="K517" s="3" t="inlineStr">
        <is>
          <t>Reconciliation</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MK-ST-F-061</t>
        </is>
      </c>
      <c r="B518" s="3" t="inlineStr">
        <is>
          <t>isMonthEnd</t>
        </is>
      </c>
      <c r="C518" s="3" t="inlineStr">
        <is>
          <t>Calculation Module code/engines/snapshots.ts</t>
        </is>
      </c>
      <c r="D518" s="3" t="n">
        <v>251</v>
      </c>
      <c r="E518" s="3" t="inlineStr">
        <is>
          <t>3 · DEPENDENT (feeds an action only)</t>
        </is>
      </c>
      <c r="F518" s="3" t="inlineStr">
        <is>
          <t>NOT DETERMINED — the code carries no note saying what this is for, and it has no row in the old inventory. Needs reading.</t>
        </is>
      </c>
      <c r="G518" s="11" t="inlineStr">
        <is>
          <t>last = the date y, m, 0).get date(
false   when the first 7)}-${string(d).pad start(2, '0')}` of all dates.has(`${date
the answer = true</t>
        </is>
      </c>
      <c r="H518" s="3" t="inlineStr">
        <is>
          <t>Last: the date y, m, 0).get date(. When the first 7)}-${string(d).pad start(2, '0')}` of all dates.has(`${date, it answers false. The answer is true.</t>
        </is>
      </c>
      <c r="I518" s="3" t="inlineStr">
        <is>
          <t>PARTLY READ — some of the code is still showing through; needs a hand pass</t>
        </is>
      </c>
      <c r="J518" s="3" t="inlineStr">
        <is>
          <t>1. date: string
2. allDates: Set&lt;string&gt;</t>
        </is>
      </c>
      <c r="K518" s="3" t="inlineStr">
        <is>
          <t>boolean</t>
        </is>
      </c>
      <c r="L518" s="3" t="inlineStr">
        <is>
          <t>—</t>
        </is>
      </c>
      <c r="M518" s="3" t="inlineStr">
        <is>
          <t>None found in this function — anything it assumes comes from the functions it depends on.</t>
        </is>
      </c>
      <c r="N518" s="3" t="inlineStr">
        <is>
          <t>No</t>
        </is>
      </c>
      <c r="O518" s="3" t="inlineStr">
        <is>
          <t>1. MK-ST-F-056 has
2. MK-CF-F-132 map</t>
        </is>
      </c>
      <c r="P518" s="3" t="n">
        <v>2</v>
      </c>
      <c r="Q518" s="3" t="inlineStr">
        <is>
          <t>1. MK-ST-F-056 has
2. MK-CF-F-132 map</t>
        </is>
      </c>
      <c r="R518" s="3" t="inlineStr">
        <is>
          <t>1. MK-ST-F-056 has → MK-ST-F-061 isMonthEnd
2. MK-CF-F-132 map → MK-ST-F-061 isMonthEnd</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MK-ST-F-062</t>
        </is>
      </c>
      <c r="B519" s="3" t="inlineStr">
        <is>
          <t>toUtc</t>
        </is>
      </c>
      <c r="C519" s="3" t="inlineStr">
        <is>
          <t>Calculation Module code/engines/window-return.ts</t>
        </is>
      </c>
      <c r="D519" s="3" t="n">
        <v>54</v>
      </c>
      <c r="E519" s="3" t="inlineStr">
        <is>
          <t>1 · ACTION</t>
        </is>
      </c>
      <c r="F519" s="3" t="inlineStr">
        <is>
          <t>NOT DETERMINED — the code carries no note saying what this is for, and it has no row in the old inventory. Needs reading.</t>
        </is>
      </c>
      <c r="G519" s="11" t="inlineStr">
        <is>
          <t>the answer = the milliseconds since 1970 of the date at midnight UTC</t>
        </is>
      </c>
      <c r="H519" s="3" t="inlineStr">
        <is>
          <t>A 'YYYY-MM-DD' text as a moment in time at midnight UTC, so day arithmetic is unaffected by the device's timezone.</t>
        </is>
      </c>
      <c r="I519" s="3" t="inlineStr">
        <is>
          <t>READ BY HAND 2026-08-26 — checked line by line against the code</t>
        </is>
      </c>
      <c r="J519" s="3" t="inlineStr">
        <is>
          <t>d: string</t>
        </is>
      </c>
      <c r="K519" s="3" t="inlineStr">
        <is>
          <t>00:00Z`);</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MK-ST-F-063</t>
        </is>
      </c>
      <c r="B520" s="3" t="inlineStr">
        <is>
          <t>shiftDay</t>
        </is>
      </c>
      <c r="C520" s="3" t="inlineStr">
        <is>
          <t>Calculation Module code/engines/window-return.ts</t>
        </is>
      </c>
      <c r="D520" s="3" t="n">
        <v>76</v>
      </c>
      <c r="E520" s="3" t="inlineStr">
        <is>
          <t>1 · ACTION</t>
        </is>
      </c>
      <c r="F520" s="3" t="inlineStr">
        <is>
          <t>NOT DETERMINED — the code carries no note saying what this is for, and it has no row in the old inventory. Needs reading.</t>
        </is>
      </c>
      <c r="G520" s="11" t="inlineStr">
        <is>
          <t>the first 10 of the date to utc(d) + by × day ms).to isostring(</t>
        </is>
      </c>
      <c r="H520" s="3" t="inlineStr">
        <is>
          <t>the first 10 of the date to utc(d) plus by times day ms).to isostring(</t>
        </is>
      </c>
      <c r="I520" s="3" t="inlineStr">
        <is>
          <t>PARTLY READ — some of the code is still showing through; needs a hand pass</t>
        </is>
      </c>
      <c r="J520" s="3" t="inlineStr">
        <is>
          <t>1. d: string
2. by: number</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MK-ST-F-062 toUtc</t>
        </is>
      </c>
      <c r="P520" s="3" t="n">
        <v>1</v>
      </c>
      <c r="Q520" s="3" t="inlineStr">
        <is>
          <t>MK-ST-F-062 toUtc</t>
        </is>
      </c>
      <c r="R520" s="3" t="inlineStr">
        <is>
          <t>MK-ST-F-062 toUtc → MK-ST-F-063 shiftDay</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MK-ST-F-064</t>
        </is>
      </c>
      <c r="B521" s="3" t="inlineStr">
        <is>
          <t>modifiedDietzOverWindow</t>
        </is>
      </c>
      <c r="C521" s="3" t="inlineStr">
        <is>
          <t>Calculation Module code/engines/window-return.ts</t>
        </is>
      </c>
      <c r="D521" s="3" t="n">
        <v>170</v>
      </c>
      <c r="E521" s="3" t="inlineStr">
        <is>
          <t>3 · DEPENDENT</t>
        </is>
      </c>
      <c r="F521" s="3" t="inlineStr">
        <is>
          <t>NOT DETERMINED — the code carries no note saying what this is for, and it has no row in the old inventory. Needs reading.</t>
        </is>
      </c>
      <c r="G521"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21"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21" s="3" t="inlineStr">
        <is>
          <t>PARTLY READ — some of the code is still showing through; needs a hand pass</t>
        </is>
      </c>
      <c r="J521" s="3" t="inlineStr">
        <is>
          <t>Nothing is handed to it</t>
        </is>
      </c>
      <c r="K521" s="3" t="inlineStr">
        <is>
          <t>NOT DECLARED — the code does not say what it gives back</t>
        </is>
      </c>
      <c r="L521" s="3" t="inlineStr">
        <is>
          <t>—</t>
        </is>
      </c>
      <c r="M521" s="3" t="inlineStr">
        <is>
          <t>· Rounds the answer to a whole number.</t>
        </is>
      </c>
      <c r="N521" s="3" t="inlineStr">
        <is>
          <t>Yes</t>
        </is>
      </c>
      <c r="O521" s="3" t="inlineStr">
        <is>
          <t>1. MK-CF-F-132 map
2. MK-ST-F-053 money
3. MK-ST-F-021 toNumber
4. MK-ST-F-062 toUtc
5. MK-ST-F-038 windowBounds</t>
        </is>
      </c>
      <c r="P521" s="3" t="n">
        <v>11</v>
      </c>
      <c r="Q521" s="3" t="inlineStr">
        <is>
          <t>1. MK-CF-F-132 map
2. MK-ST-F-053 money
3. MK-ST-F-021 toNumber
4. MK-ST-F-062 toUtc
5. MK-ST-F-038 windowBounds
6. MK-ST-F-049 formatMoney
7. MK-XS-F-122 n
8. MK-ST-F-063 shiftDay
9. MK-ST-F-048 currencySymbol
10. MK-ST-F-039 on
11. MK-ST-F-047 activeCurrency</t>
        </is>
      </c>
      <c r="R521"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21" s="3" t="inlineStr">
        <is>
          <t>—</t>
        </is>
      </c>
      <c r="T521" s="3" t="inlineStr">
        <is>
          <t>—</t>
        </is>
      </c>
      <c r="U521" s="3" t="inlineStr">
        <is>
          <t>ACTIVE</t>
        </is>
      </c>
      <c r="V521" s="3" t="inlineStr">
        <is>
          <t>2026-10-01</t>
        </is>
      </c>
      <c r="W521" s="3" t="n"/>
      <c r="X521" s="3" t="n"/>
      <c r="Y521" s="3" t="inlineStr">
        <is>
          <t>NOTHING OPEN</t>
        </is>
      </c>
    </row>
    <row r="522" ht="45" customHeight="1">
      <c r="A522" s="3" t="inlineStr">
        <is>
          <t>MK-ST-F-065</t>
        </is>
      </c>
      <c r="B522" s="3" t="inlineStr">
        <is>
          <t>isoLocalDate</t>
        </is>
      </c>
      <c r="C522" s="3" t="inlineStr">
        <is>
          <t>src/domain/_shared/dates.ts</t>
        </is>
      </c>
      <c r="D522" s="3" t="n">
        <v>36</v>
      </c>
      <c r="E522" s="3" t="inlineStr">
        <is>
          <t>2 · DISPLAYED</t>
        </is>
      </c>
      <c r="F522" s="3" t="inlineStr">
        <is>
          <t>THE DATE A PERSON IS LIVING IN, not the one UTC is.</t>
        </is>
      </c>
      <c r="G522" s="11" t="inlineStr">
        <is>
          <t>`${get full year()}-${string(get month() + 1).pad start(2, '0')}-${string(get date()).pad start(2, '0')}`</t>
        </is>
      </c>
      <c r="H522" s="3" t="inlineStr">
        <is>
          <t>`${get full year()}-${string(get month() plus 1).pad start(2, '0')}-${string(get date()).pad start(2, '0')}`.</t>
        </is>
      </c>
      <c r="I522" s="3" t="inlineStr">
        <is>
          <t>PARTLY READ — some of the code is still showing through; needs a hand pass</t>
        </is>
      </c>
      <c r="J522" s="3" t="inlineStr">
        <is>
          <t>d: Date</t>
        </is>
      </c>
      <c r="K522" s="3" t="inlineStr">
        <is>
          <t>string</t>
        </is>
      </c>
      <c r="L522" s="3" t="inlineStr">
        <is>
          <t>1. "Date (opt)" — on the Performance screen
2. "Nothing needs you today — nice." — on the Home screen, under "CHIEF OF STAFF — WHAT NEEDS YOU $"</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MK-ST-F-066</t>
        </is>
      </c>
      <c r="B523" s="3" t="inlineStr">
        <is>
          <t>isDayKey</t>
        </is>
      </c>
      <c r="C523" s="3" t="inlineStr">
        <is>
          <t>Calculation Module code/engines/rebuild-history.ts</t>
        </is>
      </c>
      <c r="D523" s="3" t="n">
        <v>70</v>
      </c>
      <c r="E523" s="3" t="inlineStr">
        <is>
          <t>1 · ACTION</t>
        </is>
      </c>
      <c r="F523" s="3" t="inlineStr">
        <is>
          <t>NOT DETERMINED — the code carries no note saying what this is for, and it has no row in the old inventory. Needs reading.</t>
        </is>
      </c>
      <c r="G523" s="11" t="inlineStr">
        <is>
          <t>NOT READ YET — the body is not a shape this can render faithfully, so nothing is claimed rather than something being guessed. It needs reading by hand.</t>
        </is>
      </c>
      <c r="H523" s="3" t="inlineStr">
        <is>
          <t>NOT READ YET — the body is not a shape this can render faithfully, so nothing is claimed rather than something being guessed. It needs reading by hand.</t>
        </is>
      </c>
      <c r="I523" s="3" t="inlineStr">
        <is>
          <t>NOT READ — nothing is claimed rather than something guessed</t>
        </is>
      </c>
      <c r="J523" s="3" t="inlineStr">
        <is>
          <t>d: unknown</t>
        </is>
      </c>
      <c r="K523" s="3" t="inlineStr">
        <is>
          <t>d is string</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MK-ST-F-067</t>
        </is>
      </c>
      <c r="B524" s="3" t="inlineStr">
        <is>
          <t>utcOfDay</t>
        </is>
      </c>
      <c r="C524" s="3" t="inlineStr">
        <is>
          <t>Calculation Module code/engines/rebuild-history.ts</t>
        </is>
      </c>
      <c r="D524" s="3" t="n">
        <v>98</v>
      </c>
      <c r="E524" s="3" t="inlineStr">
        <is>
          <t>1 · ACTION</t>
        </is>
      </c>
      <c r="F524" s="3" t="inlineStr">
        <is>
          <t>NOT DETERMINED — the code carries no note saying what this is for, and it has no row in the old inventory. Needs reading.</t>
        </is>
      </c>
      <c r="G524" s="11" t="inlineStr">
        <is>
          <t>the first 4), +slice(5, 7) − 1, +slice(8, 10) of date.UTC(+d</t>
        </is>
      </c>
      <c r="H524" s="3" t="inlineStr">
        <is>
          <t>the first 4), +slice(5, 7) minus 1, +slice(8, 10) of date.UTC(+d</t>
        </is>
      </c>
      <c r="I524" s="3" t="inlineStr">
        <is>
          <t>PARTLY READ — some of the code is still showing through; needs a hand pass</t>
        </is>
      </c>
      <c r="J524" s="3" t="inlineStr">
        <is>
          <t>d: string</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MK-ST-F-068</t>
        </is>
      </c>
      <c r="B525" s="3" t="inlineStr">
        <is>
          <t>stepDay</t>
        </is>
      </c>
      <c r="C525" s="3" t="inlineStr">
        <is>
          <t>Calculation Module code/engines/rebuild-history.ts</t>
        </is>
      </c>
      <c r="D525" s="3" t="n">
        <v>126</v>
      </c>
      <c r="E525" s="3" t="inlineStr">
        <is>
          <t>1 · ACTION</t>
        </is>
      </c>
      <c r="F525" s="3" t="inlineStr">
        <is>
          <t>NOT DETERMINED — the code carries no note saying what this is for, and it has no row in the old inventory. Needs reading.</t>
        </is>
      </c>
      <c r="G525" s="11" t="inlineStr">
        <is>
          <t>the first 10 of the date utc of day(d) + days × DAY).to isostring(</t>
        </is>
      </c>
      <c r="H525" s="3" t="inlineStr">
        <is>
          <t>the first 10 of the date utc of day(d) plus days times DAY).to isostring(</t>
        </is>
      </c>
      <c r="I525" s="3" t="inlineStr">
        <is>
          <t>PARTLY READ — some of the code is still showing through; needs a hand pass</t>
        </is>
      </c>
      <c r="J525" s="3" t="inlineStr">
        <is>
          <t>1. d: string
2. days: number</t>
        </is>
      </c>
      <c r="K525" s="3" t="inlineStr">
        <is>
          <t>NOT DECLARED — the code does not say what it gives back</t>
        </is>
      </c>
      <c r="L525" s="3" t="inlineStr">
        <is>
          <t>—</t>
        </is>
      </c>
      <c r="M525" s="3" t="inlineStr">
        <is>
          <t>None found in this function — anything it assumes comes from the functions it depends on.</t>
        </is>
      </c>
      <c r="N525" s="3" t="inlineStr">
        <is>
          <t>Yes</t>
        </is>
      </c>
      <c r="O525" s="3" t="inlineStr">
        <is>
          <t>MK-ST-F-067 utcOfDay</t>
        </is>
      </c>
      <c r="P525" s="3" t="n">
        <v>1</v>
      </c>
      <c r="Q525" s="3" t="inlineStr">
        <is>
          <t>MK-ST-F-067 utcOfDay</t>
        </is>
      </c>
      <c r="R525" s="3" t="inlineStr">
        <is>
          <t>MK-ST-F-067 utcOfDay → MK-ST-F-068 stepDay</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MK-ST-F-069</t>
        </is>
      </c>
      <c r="B526" s="3" t="inlineStr">
        <is>
          <t>amountOf</t>
        </is>
      </c>
      <c r="C526" s="3" t="inlineStr">
        <is>
          <t>Calculation Module code/engines/rebuild-history.ts</t>
        </is>
      </c>
      <c r="D526" s="3" t="n">
        <v>155</v>
      </c>
      <c r="E526" s="3" t="inlineStr">
        <is>
          <t>1 · ACTION</t>
        </is>
      </c>
      <c r="F526" s="3" t="inlineStr">
        <is>
          <t>NOT DETERMINED — the code carries no note saying what this is for, and it has no row in the old inventory. Needs reading.</t>
        </is>
      </c>
      <c r="G526" s="11" t="inlineStr">
        <is>
          <t>v   if typeof v = 'number' and number.is finite(v)
0   otherwise</t>
        </is>
      </c>
      <c r="H526" s="3" t="inlineStr">
        <is>
          <t>v — when typeof v = 'number' and number.is finite(v); 0 — otherwise</t>
        </is>
      </c>
      <c r="I526" s="3" t="inlineStr">
        <is>
          <t>PARTLY READ — some of the code is still showing through; needs a hand pass</t>
        </is>
      </c>
      <c r="J526" s="3" t="inlineStr">
        <is>
          <t>v: unknown</t>
        </is>
      </c>
      <c r="K526" s="3" t="inlineStr">
        <is>
          <t>0);</t>
        </is>
      </c>
      <c r="L526"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2026-09-28</t>
        </is>
      </c>
      <c r="W526" s="3" t="n"/>
      <c r="X526" s="3" t="n"/>
      <c r="Y526" s="3" t="inlineStr">
        <is>
          <t>NOTHING OPEN</t>
        </is>
      </c>
    </row>
    <row r="527" ht="45" customHeight="1">
      <c r="A527" s="3" t="inlineStr">
        <is>
          <t>MK-ST-F-070</t>
        </is>
      </c>
      <c r="B527" s="3" t="inlineStr">
        <is>
          <t>isOpening</t>
        </is>
      </c>
      <c r="C527" s="3" t="inlineStr">
        <is>
          <t>Calculation Module code/engines/rebuild-history.ts</t>
        </is>
      </c>
      <c r="D527" s="3" t="n">
        <v>186</v>
      </c>
      <c r="E527" s="3" t="inlineStr">
        <is>
          <t>1 · ACTION</t>
        </is>
      </c>
      <c r="F527" s="3" t="inlineStr">
        <is>
          <t>An opening row is the first capture of something that already existed — proof that the records do NOT reach behind it.</t>
        </is>
      </c>
      <c r="G527" s="11" t="inlineStr">
        <is>
          <t>type = 'OPENING_POSITION' (or type = 'OPENING_CASH' when missing or zero)</t>
        </is>
      </c>
      <c r="H527" s="3" t="inlineStr">
        <is>
          <t>type = 'OPENING_POSITION' (or type = 'OPENING_CASH' — when missing or zero)</t>
        </is>
      </c>
      <c r="I527" s="3" t="inlineStr">
        <is>
          <t>READ FROM THE CODE — rendered from the expressions the function runs</t>
        </is>
      </c>
      <c r="J527" s="3" t="inlineStr">
        <is>
          <t>t: RebuildTxn</t>
        </is>
      </c>
      <c r="K527" s="3" t="inlineStr">
        <is>
          <t>NOT DECLARED — the code does not say what it gives back</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MK-ST-F-071</t>
        </is>
      </c>
      <c r="B528" s="3" t="inlineStr">
        <is>
          <t>rebuildableFrom</t>
        </is>
      </c>
      <c r="C528" s="3" t="inlineStr">
        <is>
          <t>Calculation Module code/engines/rebuild-history.ts</t>
        </is>
      </c>
      <c r="D528" s="3" t="n">
        <v>227</v>
      </c>
      <c r="E528" s="3" t="inlineStr">
        <is>
          <t>3 · DEPENDENT</t>
        </is>
      </c>
      <c r="F528" s="3" t="inlineStr">
        <is>
          <t>The earliest day this account's past can honestly be rebuilt to: the first record it gave us, but never behind an opening capture, because nothing explains what sat there before it.</t>
        </is>
      </c>
      <c r="G528" s="11" t="inlineStr">
        <is>
          <t>first = nothing
last opening = nothing
nothing   when first = nothing
the answer:
last opening   if last opening ≠ nothing and last opening &gt; first
first   otherwise</t>
        </is>
      </c>
      <c r="H528" s="3" t="inlineStr">
        <is>
          <t>First is no answer. Last opening is no answer. When first is missing, it answers no answer. The answer is last opening — when last opening is not no answer and last opening &gt; first; first — otherwise.</t>
        </is>
      </c>
      <c r="I528" s="3" t="inlineStr">
        <is>
          <t>READ FROM THE CODE — rendered from the expressions the function runs</t>
        </is>
      </c>
      <c r="J528" s="3" t="inlineStr">
        <is>
          <t>1. txns: RebuildTxn[]
2. accountId: string</t>
        </is>
      </c>
      <c r="K528" s="3" t="inlineStr">
        <is>
          <t>string | null</t>
        </is>
      </c>
      <c r="L528" s="3" t="inlineStr">
        <is>
          <t>—</t>
        </is>
      </c>
      <c r="M528" s="3" t="inlineStr">
        <is>
          <t>None found in this function — anything it assumes comes from the functions it depends on.</t>
        </is>
      </c>
      <c r="N528" s="3" t="inlineStr">
        <is>
          <t>Yes</t>
        </is>
      </c>
      <c r="O528" s="3" t="inlineStr">
        <is>
          <t>1. MK-ST-F-066 isDayKey
2. MK-ST-F-070 isOpening</t>
        </is>
      </c>
      <c r="P528" s="3" t="n">
        <v>2</v>
      </c>
      <c r="Q528" s="3" t="inlineStr">
        <is>
          <t>1. MK-ST-F-066 isDayKey
2. MK-ST-F-070 isOpening</t>
        </is>
      </c>
      <c r="R528" s="3" t="inlineStr">
        <is>
          <t>1. MK-ST-F-066 isDayKey → MK-ST-F-071 rebuildableFrom
2. MK-ST-F-070 isOpening → MK-ST-F-071 rebuildableFrom</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MK-ST-F-072</t>
        </is>
      </c>
      <c r="B529" s="3" t="inlineStr">
        <is>
          <t>undo</t>
        </is>
      </c>
      <c r="C529" s="3" t="inlineStr">
        <is>
          <t>Calculation Module code/engines/rebuild-history.ts</t>
        </is>
      </c>
      <c r="D529" s="3" t="n">
        <v>275</v>
      </c>
      <c r="E529" s="3" t="inlineStr">
        <is>
          <t>1 · ACTION</t>
        </is>
      </c>
      <c r="F529" s="3" t="inlineStr">
        <is>
          <t>Undo one record: take the state on the day AFTER it back to the state before it happened.</t>
        </is>
      </c>
      <c r="G529" s="11" t="inlineStr">
        <is>
          <t>acc = account id
key = (ticker ?? '').trim().to upper case()
cash = (id: string, by: number) =&gt; cash of.set(id, (cash of.get(id) ?? 0) + by)
m = `${id}|${k}`
cur = held.get(m) (or units = 0 when missing)</t>
        </is>
      </c>
      <c r="H529" s="3" t="inlineStr">
        <is>
          <t>Acc is account id. Key is (ticker ?? '').trim().to upper case(). Cash is (id: string, by: number) =&gt; cash of.set(id, (cash of.get(id) ?? 0) plus by). M is `${id}|${k}`. Cur is held.get(m) (or units = 0 — when missing).</t>
        </is>
      </c>
      <c r="I529" s="3" t="inlineStr">
        <is>
          <t>PARTLY READ — some of the code is still showing through; needs a hand pass</t>
        </is>
      </c>
      <c r="J529" s="3" t="inlineStr">
        <is>
          <t>1. t: RebuildTxn
2. held: Map&lt;string, Held&gt;
3. cashOf: Map&lt;string, number&gt;</t>
        </is>
      </c>
      <c r="K529" s="3" t="inlineStr">
        <is>
          <t>void</t>
        </is>
      </c>
      <c r="L529" s="3" t="inlineStr">
        <is>
          <t>—</t>
        </is>
      </c>
      <c r="M529" s="3" t="inlineStr">
        <is>
          <t>None found in this function — anything it assumes comes from the functions it depends on.</t>
        </is>
      </c>
      <c r="N529" s="3" t="inlineStr">
        <is>
          <t>Yes</t>
        </is>
      </c>
      <c r="O529" s="3" t="inlineStr">
        <is>
          <t>1. MK-ST-F-069 amountOf
2. MK-CF-F-155 cash
3. MK-ST-F-035 covers</t>
        </is>
      </c>
      <c r="P529" s="3" t="n">
        <v>5</v>
      </c>
      <c r="Q529" s="3" t="inlineStr">
        <is>
          <t>1. MK-ST-F-069 amountOf
2. MK-CF-F-155 cash
3. MK-ST-F-035 covers
4. MK-XS-F-122 n
5. MK-ST-F-034 firstDate</t>
        </is>
      </c>
      <c r="R529" s="3" t="inlineStr">
        <is>
          <t>1. MK-ST-F-069 amountOf → MK-ST-F-072 undo
2. MK-XS-F-122 n → MK-CF-F-155 cash → MK-ST-F-072 undo
3. MK-ST-F-034 firstDate → MK-ST-F-035 covers → MK-ST-F-072 undo</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MK-ST-F-073</t>
        </is>
      </c>
      <c r="B530" s="3" t="inlineStr">
        <is>
          <t>rebuildDays</t>
        </is>
      </c>
      <c r="C530" s="3" t="inlineStr">
        <is>
          <t>Calculation Module code/engines/rebuild-history.ts</t>
        </is>
      </c>
      <c r="D530" s="3" t="n">
        <v>407</v>
      </c>
      <c r="E530" s="3" t="inlineStr">
        <is>
          <t>3 · DEPENDENT</t>
        </is>
      </c>
      <c r="F530" s="3" t="inlineStr">
        <is>
          <t>Rebuild the daily record backwards from today, for the accounts whose records can explain it.</t>
        </is>
      </c>
      <c r="G530"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0"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0" s="3" t="inlineStr">
        <is>
          <t>PARTLY READ — some of the code is still showing through; needs a hand pass</t>
        </is>
      </c>
      <c r="J530" s="3" t="inlineStr">
        <is>
          <t>input: RebuildInput</t>
        </is>
      </c>
      <c r="K530" s="3" t="inlineStr">
        <is>
          <t>RebuildResult</t>
        </is>
      </c>
      <c r="L530" s="3" t="inlineStr">
        <is>
          <t>—</t>
        </is>
      </c>
      <c r="M530" s="3" t="inlineStr">
        <is>
          <t>· Uses a built-in cursor of 0.</t>
        </is>
      </c>
      <c r="N530" s="3" t="inlineStr">
        <is>
          <t>Yes</t>
        </is>
      </c>
      <c r="O530" s="3" t="inlineStr">
        <is>
          <t>1. MK-ST-F-069 amountOf
2. MK-CF-F-133 cashOf
3. MK-ST-F-056 has
4. MK-ST-F-066 isDayKey
5. MK-ST-F-070 isOpening
6. MK-CF-F-132 map
7. MK-ST-F-071 rebuildableFrom
8. MK-ST-F-068 stepDay
9. MK-ST-F-072 undo</t>
        </is>
      </c>
      <c r="P530" s="3" t="n">
        <v>14</v>
      </c>
      <c r="Q530"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30"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MK-ST-F-074</t>
        </is>
      </c>
      <c r="B531" s="3" t="inlineStr">
        <is>
          <t>rebuiltSentence</t>
        </is>
      </c>
      <c r="C531" s="3" t="inlineStr">
        <is>
          <t>Calculation Module code/engines/rebuild-history.ts</t>
        </is>
      </c>
      <c r="D531" s="3" t="n">
        <v>518</v>
      </c>
      <c r="E531" s="3" t="inlineStr">
        <is>
          <t>2 · DISPLAYED</t>
        </is>
      </c>
      <c r="F531" s="3" t="inlineStr">
        <is>
          <t>The one sentence the screen says about a rebuilt line: where it came from and where it starts.</t>
        </is>
      </c>
      <c r="G531" s="11" t="inlineStr">
        <is>
          <t>''   when from is missing
who = (institution ?? '').trim()
day = the date `${from}T12:00:00`).to locale date string('en − US', { month: 'short', day: 'numeric', year: 'numeric' }</t>
        </is>
      </c>
      <c r="H531" s="3" t="inlineStr">
        <is>
          <t>When from is missing, it answers ''. Who is (institution ?? '').trim(). Day: the date `${from}T12:00:00`).to locale date string('en minus US', { month: 'short', day: 'numeric', year: 'numeric' }.</t>
        </is>
      </c>
      <c r="I531" s="3" t="inlineStr">
        <is>
          <t>PARTLY READ — some of the code is still showing through; needs a hand pass</t>
        </is>
      </c>
      <c r="J531" s="3" t="inlineStr">
        <is>
          <t>1. institution: string | null | undefined
2. from: string | null</t>
        </is>
      </c>
      <c r="K531" s="3" t="inlineStr">
        <is>
          <t>string</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MK-ST-F-075</t>
        </is>
      </c>
      <c r="B532" s="3" t="inlineStr">
        <is>
          <t>agoLabel</t>
        </is>
      </c>
      <c r="C532" s="3" t="inlineStr">
        <is>
          <t>src/domain/_shared/freshness.ts</t>
        </is>
      </c>
      <c r="D532" s="3" t="n">
        <v>83</v>
      </c>
      <c r="E532" s="3" t="inlineStr">
        <is>
          <t>3 · DEPENDENT</t>
        </is>
      </c>
      <c r="F532" s="3" t="inlineStr">
        <is>
          <t>How long ago, in words a person reads — never a raw date.</t>
        </is>
      </c>
      <c r="G532" s="11" t="inlineStr">
        <is>
          <t>days = days since(when, now)
nothing   when days = nothing
`${days} day${days &gt; 1 ? 's' : ''} ago`   when days ≥ 1
hours = round down((now − (typeof when = 'number' ? when : date.parse(string(when)))) ÷ 3600000)
the answer:
`${hours}h ago`   if hours ≥ 1
'just now'   otherwise</t>
        </is>
      </c>
      <c r="H532"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2" s="3" t="inlineStr">
        <is>
          <t>PARTLY READ — some of the code is still showing through; needs a hand pass</t>
        </is>
      </c>
      <c r="J532" s="3" t="inlineStr">
        <is>
          <t>1. when: string | number | null | undefined
2. now: number</t>
        </is>
      </c>
      <c r="K532" s="3" t="inlineStr">
        <is>
          <t>string | null</t>
        </is>
      </c>
      <c r="L532" s="3" t="inlineStr">
        <is>
          <t>—</t>
        </is>
      </c>
      <c r="M532" s="3" t="inlineStr">
        <is>
          <t>None found in this function — anything it assumes comes from the functions it depends on.</t>
        </is>
      </c>
      <c r="N532" s="3" t="inlineStr">
        <is>
          <t>Yes</t>
        </is>
      </c>
      <c r="O532" s="3" t="inlineStr">
        <is>
          <t>MK-XS-F-170 daysSince</t>
        </is>
      </c>
      <c r="P532" s="3" t="n">
        <v>1</v>
      </c>
      <c r="Q532" s="3" t="inlineStr">
        <is>
          <t>MK-XS-F-170 daysSince</t>
        </is>
      </c>
      <c r="R532" s="3" t="inlineStr">
        <is>
          <t>MK-XS-F-170 daysSince → MK-ST-F-075 agoLabel</t>
        </is>
      </c>
      <c r="S532" s="3" t="inlineStr">
        <is>
          <t>—</t>
        </is>
      </c>
      <c r="T532" s="3" t="inlineStr">
        <is>
          <t>—</t>
        </is>
      </c>
      <c r="U532" s="3" t="inlineStr">
        <is>
          <t>ACTIVE</t>
        </is>
      </c>
      <c r="V532" s="3" t="inlineStr">
        <is>
          <t>2026-10-01</t>
        </is>
      </c>
      <c r="W532" s="3" t="n"/>
      <c r="X532" s="3" t="n"/>
      <c r="Y532" s="3" t="inlineStr">
        <is>
          <t>NOTHING OPEN</t>
        </is>
      </c>
    </row>
    <row r="533" ht="60" customHeight="1">
      <c r="A533" s="3" t="inlineStr">
        <is>
          <t>MK-ST-F-076</t>
        </is>
      </c>
      <c r="B533" s="3" t="inlineStr">
        <is>
          <t>ageLabel</t>
        </is>
      </c>
      <c r="C533" s="3" t="inlineStr">
        <is>
          <t>src/domain/_shared/freshness.ts</t>
        </is>
      </c>
      <c r="D533" s="3" t="n">
        <v>123</v>
      </c>
      <c r="E533" s="3" t="inlineStr">
        <is>
          <t>3 · DEPENDENT</t>
        </is>
      </c>
      <c r="F533" s="3" t="inlineStr">
        <is>
          <t>HOW OLD, IN DAYS, IN THE WORDS HE APPROVED — 'today', 'yesterday', '3 days old'.</t>
        </is>
      </c>
      <c r="G533" s="11" t="inlineStr">
        <is>
          <t>days = days since(when, now)
nothing   when days = nothing
'today'   when days = 0
'yesterday'   when days = 1
the answer = `${days} days old`</t>
        </is>
      </c>
      <c r="H533" s="3" t="inlineStr">
        <is>
          <t>Days is days since(when, now). When days is missing, it answers no answer. When days = 0, it answers 'today'. When days = 1, it answers 'yesterday'. The answer is `${days} days old`.</t>
        </is>
      </c>
      <c r="I533" s="3" t="inlineStr">
        <is>
          <t>PARTLY READ — some of the code is still showing through; needs a hand pass</t>
        </is>
      </c>
      <c r="J533" s="3" t="inlineStr">
        <is>
          <t>1. when: string | number | null | undefined
2. now: number</t>
        </is>
      </c>
      <c r="K533" s="3" t="inlineStr">
        <is>
          <t>string | null</t>
        </is>
      </c>
      <c r="L533" s="3" t="inlineStr">
        <is>
          <t>—</t>
        </is>
      </c>
      <c r="M533" s="3" t="inlineStr">
        <is>
          <t>None found in this function — anything it assumes comes from the functions it depends on.</t>
        </is>
      </c>
      <c r="N533" s="3" t="inlineStr">
        <is>
          <t>Yes</t>
        </is>
      </c>
      <c r="O533" s="3" t="inlineStr">
        <is>
          <t>MK-XS-F-170 daysSince</t>
        </is>
      </c>
      <c r="P533" s="3" t="n">
        <v>1</v>
      </c>
      <c r="Q533" s="3" t="inlineStr">
        <is>
          <t>MK-XS-F-170 daysSince</t>
        </is>
      </c>
      <c r="R533" s="3" t="inlineStr">
        <is>
          <t>MK-XS-F-170 daysSince → MK-ST-F-076 ageLabel</t>
        </is>
      </c>
      <c r="S533" s="3" t="inlineStr">
        <is>
          <t>—</t>
        </is>
      </c>
      <c r="T533" s="3" t="inlineStr">
        <is>
          <t>—</t>
        </is>
      </c>
      <c r="U533" s="3" t="inlineStr">
        <is>
          <t>ACTIVE</t>
        </is>
      </c>
      <c r="V533" s="3" t="inlineStr">
        <is>
          <t>2026-10-01</t>
        </is>
      </c>
      <c r="W533" s="3" t="n"/>
      <c r="X533" s="3" t="n"/>
      <c r="Y533" s="3" t="inlineStr">
        <is>
          <t>NOTHING OPEN</t>
        </is>
      </c>
    </row>
    <row r="534" ht="45" customHeight="1">
      <c r="A534" s="3" t="inlineStr">
        <is>
          <t>MK-ST-F-077</t>
        </is>
      </c>
      <c r="B534" s="3" t="inlineStr">
        <is>
          <t>isStale</t>
        </is>
      </c>
      <c r="C534" s="3" t="inlineStr">
        <is>
          <t>src/domain/_shared/freshness.ts</t>
        </is>
      </c>
      <c r="D534" s="3" t="n">
        <v>154</v>
      </c>
      <c r="E534" s="3" t="inlineStr">
        <is>
          <t>3 · DEPENDENT</t>
        </is>
      </c>
      <c r="F534" s="3" t="inlineStr">
        <is>
          <t>Stale, by the one threshold.</t>
        </is>
      </c>
      <c r="G534" s="11" t="inlineStr">
        <is>
          <t>days = days since(when, now)
the answer = days = nothing (or days ≥ STALE_AFTER_DAYS when missing or zero)</t>
        </is>
      </c>
      <c r="H534" s="3" t="inlineStr">
        <is>
          <t>Days is days since(when, now). The answer is days is missing (or days is at least STALE_AFTER_DAYS — when missing or zero).</t>
        </is>
      </c>
      <c r="I534" s="3" t="inlineStr">
        <is>
          <t>READ FROM THE CODE — rendered from the expressions the function runs</t>
        </is>
      </c>
      <c r="J534" s="3" t="inlineStr">
        <is>
          <t>1. when: string | number | null | undefined
2. now: number</t>
        </is>
      </c>
      <c r="K534" s="3" t="inlineStr">
        <is>
          <t>boolean</t>
        </is>
      </c>
      <c r="L534" s="3" t="inlineStr">
        <is>
          <t>—</t>
        </is>
      </c>
      <c r="M534" s="3" t="inlineStr">
        <is>
          <t>None found in this function — anything it assumes comes from the functions it depends on.</t>
        </is>
      </c>
      <c r="N534" s="3" t="inlineStr">
        <is>
          <t>Yes</t>
        </is>
      </c>
      <c r="O534" s="3" t="inlineStr">
        <is>
          <t>MK-XS-F-170 daysSince</t>
        </is>
      </c>
      <c r="P534" s="3" t="n">
        <v>1</v>
      </c>
      <c r="Q534" s="3" t="inlineStr">
        <is>
          <t>MK-XS-F-170 daysSince</t>
        </is>
      </c>
      <c r="R534" s="3" t="inlineStr">
        <is>
          <t>MK-XS-F-170 daysSince → MK-ST-F-077 isStale</t>
        </is>
      </c>
      <c r="S534" s="3" t="inlineStr">
        <is>
          <t>—</t>
        </is>
      </c>
      <c r="T534" s="3" t="inlineStr">
        <is>
          <t>—</t>
        </is>
      </c>
      <c r="U534" s="3" t="inlineStr">
        <is>
          <t>ACTIVE</t>
        </is>
      </c>
      <c r="V534" s="3" t="inlineStr">
        <is>
          <t>2026-10-01</t>
        </is>
      </c>
      <c r="W534" s="3" t="n"/>
      <c r="X534" s="3" t="n"/>
      <c r="Y534" s="3" t="inlineStr">
        <is>
          <t>NOTHING OPEN</t>
        </is>
      </c>
    </row>
    <row r="535" ht="60" customHeight="1">
      <c r="A535" s="3" t="inlineStr">
        <is>
          <t>MK-ST-F-078</t>
        </is>
      </c>
      <c r="B535" s="3" t="inlineStr">
        <is>
          <t>dateShown</t>
        </is>
      </c>
      <c r="C535" s="3" t="inlineStr">
        <is>
          <t>src/domain/_shared/dates.ts</t>
        </is>
      </c>
      <c r="D535" s="3" t="n">
        <v>64</v>
      </c>
      <c r="E535" s="3" t="inlineStr">
        <is>
          <t>2 · DISPLAYED</t>
        </is>
      </c>
      <c r="F535" s="3" t="inlineStr">
        <is>
          <t>NOT DETERMINED — the code carries no note saying what this is for, and it has no row in the old inventory. Needs reading.</t>
        </is>
      </c>
      <c r="G535" s="11" t="inlineStr">
        <is>
          <t>''   when iso is missing
`${MONTH_SHORT[(m or 1) − 1]} ${d}, ${y}`   if y
''   otherwise</t>
        </is>
      </c>
      <c r="H535" s="3" t="inlineStr">
        <is>
          <t>When iso is missing, it answers ''. `${MONTH_SHORT[(m or 1) minus 1]} ${d}, ${y}` — when y; '' — otherwise.</t>
        </is>
      </c>
      <c r="I535" s="3" t="inlineStr">
        <is>
          <t>PARTLY READ — some of the code is still showing through; needs a hand pass</t>
        </is>
      </c>
      <c r="J535" s="3" t="inlineStr">
        <is>
          <t>iso: string | null | undefined</t>
        </is>
      </c>
      <c r="K535" s="3" t="inlineStr">
        <is>
          <t>string</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MK-CF-F-132 map</t>
        </is>
      </c>
      <c r="P535" s="3" t="n">
        <v>1</v>
      </c>
      <c r="Q535" s="3" t="inlineStr">
        <is>
          <t>MK-CF-F-132 map</t>
        </is>
      </c>
      <c r="R535" s="3" t="inlineStr">
        <is>
          <t>MK-CF-F-132 map → MK-ST-F-078 dateShown</t>
        </is>
      </c>
      <c r="S535" s="3" t="inlineStr">
        <is>
          <t>—</t>
        </is>
      </c>
      <c r="T535" s="3" t="inlineStr">
        <is>
          <t>—</t>
        </is>
      </c>
      <c r="U535" s="3" t="inlineStr">
        <is>
          <t>ACTIVE</t>
        </is>
      </c>
      <c r="V535" s="3" t="inlineStr">
        <is>
          <t>2026-10-01</t>
        </is>
      </c>
      <c r="W535" s="3" t="n"/>
      <c r="X535" s="3" t="n"/>
      <c r="Y535" s="3" t="inlineStr">
        <is>
          <t>NOTHING OPEN</t>
        </is>
      </c>
    </row>
    <row r="536" ht="60" customHeight="1">
      <c r="A536" s="3" t="inlineStr">
        <is>
          <t>MK-XS-F-001</t>
        </is>
      </c>
      <c r="B536" s="3" t="inlineStr">
        <is>
          <t>planCompleteness</t>
        </is>
      </c>
      <c r="C536" s="3" t="inlineStr">
        <is>
          <t>src/domain/completeness/index.ts</t>
        </is>
      </c>
      <c r="D536" s="3" t="n">
        <v>40</v>
      </c>
      <c r="E536" s="3" t="inlineStr">
        <is>
          <t>2 · DISPLAYED</t>
        </is>
      </c>
      <c r="F536" s="3" t="inlineStr">
        <is>
          <t>NOT DETERMINED — the code carries no note saying what this is for, and it has no row in the old inventory. Needs reading.</t>
        </is>
      </c>
      <c r="G536" s="11" t="inlineStr">
        <is>
          <t>done count = checks where donecount of 
total = count of checks
the answer:
checks = checks
done count = done count
total = total
pct = round((done count ÷ total) × 100)</t>
        </is>
      </c>
      <c r="H536" s="3" t="inlineStr">
        <is>
          <t>Done count is checks where donecount of. Total: how many checks there are. The answer is checks = checks; done count = done count; total = total; pct = (done count divided by total, to a whole number times 100).</t>
        </is>
      </c>
      <c r="I536" s="3" t="inlineStr">
        <is>
          <t>READ FROM THE CODE — rendered from the expressions the function runs</t>
        </is>
      </c>
      <c r="J536" s="3" t="inlineStr">
        <is>
          <t>i: CompletenessInput</t>
        </is>
      </c>
      <c r="K536" s="3" t="inlineStr">
        <is>
          <t>NOT DECLARED — the code does not say what it gives back</t>
        </is>
      </c>
      <c r="L536" s="3" t="inlineStr">
        <is>
          <t>NOT FOUND — a screen calls it, but the words printed beside its answer could not be traced automatically. Needs reading.</t>
        </is>
      </c>
      <c r="M536" s="3" t="inlineStr">
        <is>
          <t>· Rounds the answer to a whole number.</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MK-XS-F-002</t>
        </is>
      </c>
      <c r="B537" s="3" t="inlineStr">
        <is>
          <t>dataGaps</t>
        </is>
      </c>
      <c r="C537" s="3" t="inlineStr">
        <is>
          <t>src/domain/gaps/index.ts</t>
        </is>
      </c>
      <c r="D537" s="3" t="n">
        <v>149</v>
      </c>
      <c r="E537" s="3" t="inlineStr">
        <is>
          <t>2 · DISPLAYED</t>
        </is>
      </c>
      <c r="F537" s="3" t="inlineStr">
        <is>
          <t>Every incomplete promise across the given accounts.</t>
        </is>
      </c>
      <c r="G537"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7"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NOT FOUND — a screen calls it, but the words printed beside its answer could not be traced automatically. Needs reading.</t>
        </is>
      </c>
      <c r="M537" s="3" t="inlineStr">
        <is>
          <t>1. If shares is missing it uses 0.
2. Treats a year as 365 days.
3. Uses today's date from the device clock, so the answer changes by itself overnight.</t>
        </is>
      </c>
      <c r="N537" s="3" t="inlineStr">
        <is>
          <t>Yes</t>
        </is>
      </c>
      <c r="O537" s="3" t="inlineStr">
        <is>
          <t>1. MK-XS-F-170 daysSince
2. MK-NW-F-046 historyCoverage
3. MK-CF-F-204 line
4. MK-XS-F-120 nameOf
5. MK-XS-F-119 namesFor
6. MK-XS-F-118 prettyDate</t>
        </is>
      </c>
      <c r="P537" s="3" t="n">
        <v>114</v>
      </c>
      <c r="Q537"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7"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7" s="3" t="inlineStr">
        <is>
          <t>—</t>
        </is>
      </c>
      <c r="T537" s="3" t="inlineStr">
        <is>
          <t>WHAT_IS_MISSING</t>
        </is>
      </c>
      <c r="U537" s="3" t="inlineStr">
        <is>
          <t>ACTIVE</t>
        </is>
      </c>
      <c r="V537" s="3" t="inlineStr">
        <is>
          <t>2026-08-27</t>
        </is>
      </c>
      <c r="W537" s="3" t="n"/>
      <c r="X537" s="3" t="n"/>
      <c r="Y537" s="3" t="inlineStr">
        <is>
          <t>NOTHING OPEN</t>
        </is>
      </c>
    </row>
    <row r="538" ht="60" customHeight="1">
      <c r="A538" s="3" t="inlineStr">
        <is>
          <t>MK-XS-F-003</t>
        </is>
      </c>
      <c r="B538" s="3" t="inlineStr">
        <is>
          <t>gapsHeadline</t>
        </is>
      </c>
      <c r="C538" s="3" t="inlineStr">
        <is>
          <t>src/domain/gaps/index.ts</t>
        </is>
      </c>
      <c r="D538" s="3" t="n">
        <v>262</v>
      </c>
      <c r="E538" s="3" t="inlineStr">
        <is>
          <t>2 · DISPLAYED (presentation only)</t>
        </is>
      </c>
      <c r="F538" s="3" t="inlineStr">
        <is>
          <t>The banner sentence — plural-correct, and absent (null) when nothing is missing.</t>
        </is>
      </c>
      <c r="G538" s="11" t="inlineStr">
        <is>
          <t>nothing   when count of gaps is missing
'1 number needs more information'   if gaps.length = 1
`${gaps.length} numbers need more information`   otherwise</t>
        </is>
      </c>
      <c r="H538" s="3" t="inlineStr">
        <is>
          <t>When how many gaps is missing there are, it answers no answer. '1 number needs more information' — when gaps.length = 1; `${gaps.length} numbers need more information` — otherwise.</t>
        </is>
      </c>
      <c r="I538" s="3" t="inlineStr">
        <is>
          <t>PARTLY READ — some of the code is still showing through; needs a hand pass</t>
        </is>
      </c>
      <c r="J538" s="3" t="inlineStr">
        <is>
          <t>gaps: DataGap[]</t>
        </is>
      </c>
      <c r="K538" s="3" t="inlineStr">
        <is>
          <t>string | null</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MK-XS-F-004</t>
        </is>
      </c>
      <c r="B539" s="3" t="inlineStr">
        <is>
          <t>buildDatedGrid</t>
        </is>
      </c>
      <c r="C539" s="3" t="inlineStr">
        <is>
          <t>src/domain/grid/index.ts</t>
        </is>
      </c>
      <c r="D539" s="3" t="n">
        <v>114</v>
      </c>
      <c r="E539" s="3" t="inlineStr">
        <is>
          <t>2 · DISPLAYED</t>
        </is>
      </c>
      <c r="F539" s="3" t="inlineStr">
        <is>
          <t>Build the dated 12-month grid.</t>
        </is>
      </c>
      <c r="G539"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9"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9" s="3" t="inlineStr">
        <is>
          <t>PARTLY READ — the body has a loop the extractor cannot render; the steps shown are the ones before it. Needs a hand pass (G23).</t>
        </is>
      </c>
      <c r="J539" s="3" t="inlineStr">
        <is>
          <t>1. op: OnboardingProfile | null
2. opts: GridOptions = {}</t>
        </is>
      </c>
      <c r="K539" s="3" t="inlineStr">
        <is>
          <t>DatedGrid</t>
        </is>
      </c>
      <c r="L539" s="3" t="inlineStr">
        <is>
          <t>NOT FOUND — a screen calls it, but the words printed beside its answer could not be traced automatically. Needs reading.</t>
        </is>
      </c>
      <c r="M539"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9" s="3" t="inlineStr">
        <is>
          <t>Yes</t>
        </is>
      </c>
      <c r="O539" s="3" t="inlineStr">
        <is>
          <t>1. MK-CF-F-215 YEAR
2. MK-CF-F-069 benefitActiveMonths
3. MK-CF-F-072 currentRetirementIncomeMonthly
4. MK-CF-F-018 equityByMonth
5. MK-CF-O-002 expenses
6. MK-ST-F-056 has
7. MK-CF-F-204 line
8. MK-CF-F-132 map
9. MK-ST-F-053 money
10. MK-CF-F-087 monthlyTaxRates
11. MK-CF-F-073 otherIncomeMonth
12. MK-CF-F-022 paymentShape
13. MK-CF-F-068 rentalNetAnnual
14. MK-CF-F-023 requiredPayment
15. MK-CF-F-060 salaryGrossByMonth
16. MK-CF-F-008 spendByMonth
17. MK-ST-F-052 toNum</t>
        </is>
      </c>
      <c r="P539" s="3" t="n">
        <v>137</v>
      </c>
      <c r="Q539" s="3" t="inlineStr">
        <is>
          <t>1. MK-CF-F-215 YEAR
2. MK-CF-F-069 benefitActiveMonths
3. MK-CF-F-072 currentRetirementIncomeMonthly
4. MK-CF-F-018 equityByMonth
5. MK-CF-O-002 expenses
6. MK-ST-F-056 has
7. MK-CF-F-204 line
8. MK-CF-F-132 map
9. MK-ST-F-053 money
10. MK-CF-F-087 monthlyTaxRates
11. MK-CF-F-073 otherIncomeMonth
12. MK-CF-F-022 paymentShape
13. MK-CF-F-068 rentalNetAnnual
14. MK-CF-F-023 requiredPayment
15. MK-CF-F-060 salaryGrossByMonth
16. MK-CF-F-008 spendByMonth
17. MK-ST-F-052 toNum
18. MK-CF-F-205 COMING
19. MK-CF-F-107 buildPaycheckYear
20. MK-XS-F-180 declareFigures
21. MK-CF-F-214 paycheckMonthWords
22. MK-CF-F-212 receivedInMonth
23. MK-CF-F-109 reviewTransactions
24. MK-CF-F-213 unusualWords
25. MK-CF-F-075 retirementIncomeMonthly
26. MK-CF-F-062 equityRowValue
27. MK-CF-F-066 rsuAnnual
28. MK-CF-F-121 zero12
29. MK-CF-F-151 actualSpending
30. MK-CF-F-150 debtPaymentsCountedAsExpenses
31. MK-CF-F-153 radar
32. MK-CF-F-149 recurringDebtPayments
33. MK-CF-F-203 MONTH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MK-CF-O-008 whatsComing
50. MK-CF-F-105 guaranteedRows
51. MK-NW-F-033 retirementEarmarkedValue
52. MK-CF-F-106 solveSafeDraw
53. MK-CF-F-191 ym
54. MK-CF-F-162 daysApart
55. MK-CF-F-108 isMoneyOut
56. MK-PL-F-074 median
57. MK-CF-F-131 normPayee
58. MK-CF-F-063 rowVestYear
59. MK-CF-F-148 inMonth
60. MK-CF-F-152 isRadarItem
61. MK-CF-O-010 theMonth
62. MK-ST-F-048 currencySymbol
63. MK-ST-F-039 on
64. MK-CF-F-101 taxOwedFor
65. MK-CF-F-100 taxableIncomeFor
66. MK-CF-F-173 earnerWages
67. MK-CF-F-102 effectiveRateOnGrossFor
68. MK-CF-F-180 enteredLandsAnnual
69. MK-CF-F-082 salaryAnnual
70. MK-CF-F-084 taxableAnnual
71. MK-CF-F-065 equityVestWeights
72. MK-CF-F-071 extraIncome
73. MK-CF-F-206 householdK401ByMonth
74. MK-CF-F-130 enteredMonthlyRaw
75. MK-CF-F-166 hasMonthlySalaryTable
76. MK-ST-F-036 reconcile
77. MK-CF-F-167 salaryCalendarYear
78. MK-CF-F-092 incomeMonthlyGrid
79. MK-CF-F-003 categoryMonthly
80. MK-CF-F-019 upcomingBills
81. MK-NW-F-032 earmarkedAmount
82. MK-NW-F-031 primaryCarIdOf
83. MK-PL-F-050 simulate
84. MK-CF-F-155 cash
85. MK-CF-O-003 thisMonth
86. MK-ST-F-047 activeCurrency
87. MK-CF-F-099 deductionFor
88. MK-CF-F-172 hasWage
89. MK-CF-F-074 tipsAnnual
90. MK-CF-F-070 benefitAnnual
91. MK-CF-F-165 salaryMonths
92. MK-CF-F-077 scholarshipByCalendarMonth
93. MK-PL-F-012 waterfall
94. MK-XS-F-027 takeHomeMonthly
95. MK-CF-F-122 addDays
96. MK-CF-F-160 daysBetweenDates
97. MK-CF-F-061 grossSalaryMonthly
98. MK-ST-F-065 isoLocalDate
99. MK-CF-F-124 nextOccurrence
100. MK-CF-F-083 totalGrossAnnual
101. MK-NW-F-030 earmarkDefault
102. MK-NW-F-011 assetClassOf
103. MK-PL-F-072 mulberry32
104. MK-PL-F-073 normal
105. MK-PL-F-075 pctOfSorted
106. MK-ST-F-025 rmdStartAgeFromAge
107. MK-CF-F-005 actualMonthFlow
108. MK-CF-F-156 plannedMonthFlow
109. MK-CF-F-187 seniorDeductionFor
110. MK-CF-F-081 salaryActiveMonths
111. MK-CF-F-011 savingsByMonth
112. MK-NW-F-013 realEstateUseOf
113. MK-NW-F-008 incomeBearingClassOf
114. MK-ST-F-024 rmdStartAge
115. MK-NW-F-078 ONE
116. MK-CF-F-157 debtPaymentsByDebt
117. MK-CF-F-192 inflowLabel
118. MK-ST-F-010 nameEvidence
119. MK-NW-F-077 ALL
120. MK-NW-F-059 currentYield
121. MK-NW-O-001 theBonds
122. MK-CF-F-193 inflowSourceWord
123. MK-XS-F-147 call
124. MK-NW-F-057 annualCoupon
125. MK-ST-F-027 accountId
126. MK-NW-F-056 bondInfo
127. MK-NW-F-064 bondRateSensitivity
128. MK-NW-F-061 bondSummary
129. MK-NW-F-055 isBond
130. MK-NW-F-072 rowOf
131. MK-XS-F-064 currentIdToken
132. MK-XS-F-112 relayUrl
133. MK-NW-F-060 approxYTM
134. MK-NW-F-069 priceAtYield
135. MK-NW-F-070 accruedInterestCaveat
136. MK-NW-F-071 isCertificateOfDeposit
137. MK-NW-F-058 yearsToMaturity</t>
        </is>
      </c>
      <c r="R539" s="3" t="inlineStr">
        <is>
          <t>1. MONTH (already above — a loop) → MK-CF-O-010 theMonth → MK-CF-F-203 MONTH → MK-CF-F-205 COMING → MK-CF-F-215 YEAR → MK-XS-F-004 buildDatedGrid
2. MK-CF-F-155 cash → MK-CF-O-010 theMonth → MK-CF-F-203 MONTH → MK-CF-F-205 COMING → MK-CF-F-215 YEAR → MK-XS-F-004 buildDatedGrid
3. MK-CF-O-002 expenses → MK-CF-O-010 theMonth → MK-CF-F-203 MONTH → MK-CF-F-205 COMING → MK-CF-F-215 YEAR → MK-XS-F-004 buildDatedGrid
4. MK-CF-O-003 thisMonth → MK-CF-O-010 theMonth → MK-CF-F-203 MONTH → MK-CF-F-205 COMING → MK-CF-F-215 YEAR → MK-XS-F-004 buildDatedGrid
5. MK-CF-F-122 addDays → MK-CF-F-019 upcomingBills → MK-CF-O-008 whatsComing → MK-CF-F-205 COMING → MK-CF-F-215 YEAR → MK-XS-F-004 buildDatedGrid
6. MK-CF-F-070 benefitAnnual → MK-CF-F-019 upcomingBills → MK-CF-O-008 whatsComing → MK-CF-F-205 COMING → MK-CF-F-215 YEAR → MK-XS-F-004 buildDatedGrid
7. MK-CF-F-072 currentRetirementIncomeMonthly → MK-CF-F-019 upcomingBills → MK-CF-O-008 whatsComing → MK-CF-F-205 COMING → MK-CF-F-215 YEAR → MK-XS-F-004 buildDatedGrid
8. MK-CF-F-160 daysBetweenDates → MK-CF-F-019 upcomingBills → MK-CF-O-008 whatsComing → MK-CF-F-205 COMING → MK-CF-F-215 YEAR → MK-XS-F-004 buildDatedGrid
9. … and 5 more paths</t>
        </is>
      </c>
      <c r="S539" s="3" t="inlineStr">
        <is>
          <t>—</t>
        </is>
      </c>
      <c r="T539" s="3" t="inlineStr">
        <is>
          <t>—</t>
        </is>
      </c>
      <c r="U539" s="3" t="inlineStr">
        <is>
          <t>ACTIVE</t>
        </is>
      </c>
      <c r="V539" s="3" t="inlineStr">
        <is>
          <t>2026-09-08</t>
        </is>
      </c>
      <c r="W539" s="3" t="n"/>
      <c r="X539" s="3" t="n"/>
      <c r="Y539" s="3" t="inlineStr">
        <is>
          <t>NOTHING OPEN</t>
        </is>
      </c>
    </row>
    <row r="540" ht="60" customHeight="1">
      <c r="A540" s="3" t="inlineStr">
        <is>
          <t>MK-XS-F-005</t>
        </is>
      </c>
      <c r="B540" s="3" t="inlineStr">
        <is>
          <t>trendPoints</t>
        </is>
      </c>
      <c r="C540" s="3" t="inlineStr">
        <is>
          <t>src/domain/history.ts</t>
        </is>
      </c>
      <c r="D540" s="3" t="n">
        <v>64</v>
      </c>
      <c r="E540" s="3" t="inlineStr">
        <is>
          <t>2 · DISPLAYED</t>
        </is>
      </c>
      <c r="F540" s="3" t="inlineStr">
        <is>
          <t>Chart series = monthly snapshots + daily points, chronological ('YYYY-MM' sorts before its days).</t>
        </is>
      </c>
      <c r="G540" s="11" t="inlineStr">
        <is>
          <t>pts = for each of read history(monthly): key = month
nw = net worth
the answer = pts.sort((a, b) =&gt; key.locale compare(key))</t>
        </is>
      </c>
      <c r="H540" s="3" t="inlineStr">
        <is>
          <t>Pts is for each of read history(monthly): key = month; nw = net worth. The answer is pts.sort((a, b) =&gt; key.locale compare(key)).</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1. MK-CF-F-132 map
2. MK-XS-F-009 readHistory</t>
        </is>
      </c>
      <c r="P540" s="3" t="n">
        <v>6</v>
      </c>
      <c r="Q540" s="3" t="inlineStr">
        <is>
          <t>1. MK-CF-F-132 map
2. MK-XS-F-009 readHistory
3. MK-XS-F-008 normalizeSnapshot
4. MK-CF-F-191 ym
5. MK-XS-F-121 isYm
6. MK-XS-F-122 n</t>
        </is>
      </c>
      <c r="R540"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40" s="3" t="inlineStr">
        <is>
          <t>—</t>
        </is>
      </c>
      <c r="T540" s="3" t="inlineStr">
        <is>
          <t>TREND_SERIES</t>
        </is>
      </c>
      <c r="U540" s="3" t="inlineStr">
        <is>
          <t>ACTIVE</t>
        </is>
      </c>
      <c r="V540" s="3" t="inlineStr">
        <is>
          <t>2026-08-27</t>
        </is>
      </c>
      <c r="W540" s="3" t="n"/>
      <c r="X540" s="3" t="n"/>
      <c r="Y540" s="3" t="inlineStr">
        <is>
          <t>NOTHING OPEN</t>
        </is>
      </c>
    </row>
    <row r="541" ht="60" customHeight="1">
      <c r="A541" s="3" t="inlineStr">
        <is>
          <t>MK-XS-F-006</t>
        </is>
      </c>
      <c r="B541" s="3" t="inlineStr">
        <is>
          <t>pruneDaily</t>
        </is>
      </c>
      <c r="C541" s="3" t="inlineStr">
        <is>
          <t>src/domain/history.ts</t>
        </is>
      </c>
      <c r="D541" s="3" t="n">
        <v>106</v>
      </c>
      <c r="E541" s="3" t="inlineStr">
        <is>
          <t>3 · DEPENDENT</t>
        </is>
      </c>
      <c r="F541" s="3" t="inlineStr">
        <is>
          <t>Prune helper for the store writer: newest DAILY_KEEP days survive.</t>
        </is>
      </c>
      <c r="G541" s="11" t="inlineStr">
        <is>
          <t>keys = the names in daily, in order
daily   when keys.length ≤ DAILY_KEEP
keep = a list with no repeats of keys.slice(-DAILY_KEEP)
the answer = object.from entries(object.entries(daily).filter(([k]) =&gt; keep.has(k)))</t>
        </is>
      </c>
      <c r="H541" s="3" t="inlineStr">
        <is>
          <t>Keys: the names in daily, in order. When keys.length is at most DAILY_KEEP, it answers daily. Keep is a list with no repeats of keys.slice(-DAILY_KEEP). The answer is object.from entries(object.entries(daily).filter(([k]) =&gt; keep.has(k))).</t>
        </is>
      </c>
      <c r="I541" s="3" t="inlineStr">
        <is>
          <t>PARTLY READ — some of the code is still showing through; needs a hand pass</t>
        </is>
      </c>
      <c r="J541" s="3" t="inlineStr">
        <is>
          <t>daily: Record&lt;string, number&gt;</t>
        </is>
      </c>
      <c r="K541" s="3" t="inlineStr">
        <is>
          <t>Record&lt;string, number&gt;</t>
        </is>
      </c>
      <c r="L541" s="3" t="inlineStr">
        <is>
          <t>—</t>
        </is>
      </c>
      <c r="M541" s="3" t="inlineStr">
        <is>
          <t>None found in this function — anything it assumes comes from the functions it depends on.</t>
        </is>
      </c>
      <c r="N541" s="3" t="inlineStr">
        <is>
          <t>Yes</t>
        </is>
      </c>
      <c r="O541" s="3" t="inlineStr">
        <is>
          <t>MK-ST-F-056 has</t>
        </is>
      </c>
      <c r="P541" s="3" t="n">
        <v>1</v>
      </c>
      <c r="Q541" s="3" t="inlineStr">
        <is>
          <t>MK-ST-F-056 has</t>
        </is>
      </c>
      <c r="R541" s="3" t="inlineStr">
        <is>
          <t>MK-ST-F-056 has → MK-XS-F-006 pruneDaily</t>
        </is>
      </c>
      <c r="S541" s="3" t="inlineStr">
        <is>
          <t>—</t>
        </is>
      </c>
      <c r="T541" s="3" t="inlineStr">
        <is>
          <t>—</t>
        </is>
      </c>
      <c r="U541" s="3" t="inlineStr">
        <is>
          <t>ACTIVE</t>
        </is>
      </c>
      <c r="V541" s="3" t="inlineStr">
        <is>
          <t>2026-09-12</t>
        </is>
      </c>
      <c r="W541" s="3" t="n"/>
      <c r="X541" s="3" t="n"/>
      <c r="Y541" s="3" t="inlineStr">
        <is>
          <t>NOTHING OPEN</t>
        </is>
      </c>
    </row>
    <row r="542" ht="60" customHeight="1">
      <c r="A542" s="3" t="inlineStr">
        <is>
          <t>MK-XS-F-007</t>
        </is>
      </c>
      <c r="B542" s="3" t="inlineStr">
        <is>
          <t>makeMonthlySnapshot</t>
        </is>
      </c>
      <c r="C542" s="3" t="inlineStr">
        <is>
          <t>src/domain/history.ts</t>
        </is>
      </c>
      <c r="D542" s="3" t="n">
        <v>194</v>
      </c>
      <c r="E542" s="3" t="inlineStr">
        <is>
          <t>2 · DISPLAYED</t>
        </is>
      </c>
      <c r="F542" s="3" t="inlineStr">
        <is>
          <t>The ONE writer — stamps the version and keeps the arithmetic identity by construction.</t>
        </is>
      </c>
      <c r="G542" s="11" t="inlineStr">
        <is>
          <t>net worth = gross assets − gross debt
v = the snapshot version</t>
        </is>
      </c>
      <c r="H542" s="3" t="inlineStr">
        <is>
          <t>Builds a month-end snapshot: net worth is assets minus debts, computed here and never stored as a third figure that could disagree with its own halves.</t>
        </is>
      </c>
      <c r="I542" s="3" t="inlineStr">
        <is>
          <t>READ BY HAND 2026-08-26 — checked line by line against the code</t>
        </is>
      </c>
      <c r="J542" s="3" t="inlineStr">
        <is>
          <t>i: Omit&lt;MonthlySnapshot, 'v' | 'net_worth'&gt; &amp; { net_worth?: number }</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MK-XS-F-122 n</t>
        </is>
      </c>
      <c r="P542" s="3" t="n">
        <v>1</v>
      </c>
      <c r="Q542" s="3" t="inlineStr">
        <is>
          <t>MK-XS-F-122 n</t>
        </is>
      </c>
      <c r="R542" s="3" t="inlineStr">
        <is>
          <t>MK-XS-F-122 n → MK-XS-F-007 makeMonthlySnapshot</t>
        </is>
      </c>
      <c r="S542" s="3" t="inlineStr">
        <is>
          <t>—</t>
        </is>
      </c>
      <c r="T542" s="3" t="inlineStr">
        <is>
          <t>—</t>
        </is>
      </c>
      <c r="U542" s="3" t="inlineStr">
        <is>
          <t>ACTIVE</t>
        </is>
      </c>
      <c r="V542" s="3" t="inlineStr">
        <is>
          <t>2026-09-12</t>
        </is>
      </c>
      <c r="W542" s="3" t="n"/>
      <c r="X542" s="3" t="n"/>
      <c r="Y542" s="3" t="inlineStr">
        <is>
          <t>NOTHING OPEN</t>
        </is>
      </c>
    </row>
    <row r="543" ht="60" customHeight="1">
      <c r="A543" s="3" t="inlineStr">
        <is>
          <t>MK-XS-F-008</t>
        </is>
      </c>
      <c r="B543" s="3" t="inlineStr">
        <is>
          <t>normalizeSnapshot</t>
        </is>
      </c>
      <c r="C543" s="3" t="inlineStr">
        <is>
          <t>src/domain/history.ts</t>
        </is>
      </c>
      <c r="D543" s="3" t="n">
        <v>234</v>
      </c>
      <c r="E543" s="3" t="inlineStr">
        <is>
          <t>3 · DEPENDENT</t>
        </is>
      </c>
      <c r="F543" s="3" t="inlineStr">
        <is>
          <t>Normalize ONE stored entry: v1 passes validated; a legacy blob (no `v`) maps best-effort; anything without a real month + net worth is dropped (null), never charted.</t>
        </is>
      </c>
      <c r="G543"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3"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3" s="3" t="inlineStr">
        <is>
          <t>PARTLY READ — some of the code is still showing through; needs a hand pass</t>
        </is>
      </c>
      <c r="J543" s="3" t="inlineStr">
        <is>
          <t>1. ym: string
2. raw: unknown</t>
        </is>
      </c>
      <c r="K543" s="3" t="inlineStr">
        <is>
          <t>MonthlySnapshot | null</t>
        </is>
      </c>
      <c r="L543" s="3" t="inlineStr">
        <is>
          <t>—</t>
        </is>
      </c>
      <c r="M543" s="3" t="inlineStr">
        <is>
          <t>None found in this function — anything it assumes comes from the functions it depends on.</t>
        </is>
      </c>
      <c r="N543" s="3" t="inlineStr">
        <is>
          <t>Yes</t>
        </is>
      </c>
      <c r="O543" s="3" t="inlineStr">
        <is>
          <t>1. MK-XS-F-121 isYm
2. MK-XS-F-122 n
3. MK-CF-F-191 ym</t>
        </is>
      </c>
      <c r="P543" s="3" t="n">
        <v>3</v>
      </c>
      <c r="Q543" s="3" t="inlineStr">
        <is>
          <t>1. MK-XS-F-121 isYm
2. MK-XS-F-122 n
3. MK-CF-F-191 ym</t>
        </is>
      </c>
      <c r="R543" s="3" t="inlineStr">
        <is>
          <t>1. MK-XS-F-121 isYm → MK-XS-F-008 normalizeSnapshot
2. MK-XS-F-122 n → MK-XS-F-008 normalizeSnapshot
3. MK-CF-F-191 ym → MK-XS-F-008 normalizeSnapshot</t>
        </is>
      </c>
      <c r="S543" s="3" t="inlineStr">
        <is>
          <t>—</t>
        </is>
      </c>
      <c r="T543" s="3" t="inlineStr">
        <is>
          <t>SNAPSHOT_READ_ONE</t>
        </is>
      </c>
      <c r="U543" s="3" t="inlineStr">
        <is>
          <t>ACTIVE</t>
        </is>
      </c>
      <c r="V543" s="3" t="inlineStr">
        <is>
          <t>2026-09-09</t>
        </is>
      </c>
      <c r="W543" s="3" t="n"/>
      <c r="X543" s="3" t="n"/>
      <c r="Y543" s="3" t="inlineStr">
        <is>
          <t>NOTHING OPEN</t>
        </is>
      </c>
    </row>
    <row r="544" ht="60" customHeight="1">
      <c r="A544" s="3" t="inlineStr">
        <is>
          <t>MK-XS-F-009</t>
        </is>
      </c>
      <c r="B544" s="3" t="inlineStr">
        <is>
          <t>readHistory</t>
        </is>
      </c>
      <c r="C544" s="3" t="inlineStr">
        <is>
          <t>src/domain/history.ts</t>
        </is>
      </c>
      <c r="D544" s="3" t="n">
        <v>285</v>
      </c>
      <c r="E544" s="3" t="inlineStr">
        <is>
          <t>2 · DISPLAYED</t>
        </is>
      </c>
      <c r="F544" s="3" t="inlineStr">
        <is>
          <t>The ONE reader every history surface uses: normalized, garbage-free, sorted by month.</t>
        </is>
      </c>
      <c r="G544" s="11" t="inlineStr">
        <is>
          <t>for each stored month: normalize snapshot(month, value); drop the unreadable ones; sort by month, oldest first</t>
        </is>
      </c>
      <c r="H544" s="3" t="inlineStr">
        <is>
          <t>Reads the stored monthly snapshots, drops any that cannot be read, and sorts them oldest first. No arithmetic beyond the ordering.</t>
        </is>
      </c>
      <c r="I544" s="3" t="inlineStr">
        <is>
          <t>READ BY HAND 2026-08-26 — checked line by line against the code</t>
        </is>
      </c>
      <c r="J544" s="3" t="inlineStr">
        <is>
          <t>raw: Record&lt;string, unknown&gt; | null | undefined</t>
        </is>
      </c>
      <c r="K544" s="3" t="inlineStr">
        <is>
          <t>MonthlySnapshot[]</t>
        </is>
      </c>
      <c r="L544" s="3" t="inlineStr">
        <is>
          <t>NOT FOUND — a screen calls it, but the words printed beside its answer could not be traced automatically. Needs reading.</t>
        </is>
      </c>
      <c r="M544" s="3" t="inlineStr">
        <is>
          <t>None found in this function — anything it assumes comes from the functions it depends on.</t>
        </is>
      </c>
      <c r="N544" s="3" t="inlineStr">
        <is>
          <t>Yes</t>
        </is>
      </c>
      <c r="O544" s="3" t="inlineStr">
        <is>
          <t>1. MK-CF-F-132 map
2. MK-XS-F-008 normalizeSnapshot
3. MK-CF-F-191 ym</t>
        </is>
      </c>
      <c r="P544" s="3" t="n">
        <v>5</v>
      </c>
      <c r="Q544" s="3" t="inlineStr">
        <is>
          <t>1. MK-CF-F-132 map
2. MK-XS-F-008 normalizeSnapshot
3. MK-CF-F-191 ym
4. MK-XS-F-121 isYm
5. MK-XS-F-122 n</t>
        </is>
      </c>
      <c r="R544"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4" s="3" t="inlineStr">
        <is>
          <t>—</t>
        </is>
      </c>
      <c r="T544" s="3" t="inlineStr">
        <is>
          <t>SNAPSHOT_READ_ALL</t>
        </is>
      </c>
      <c r="U544" s="3" t="inlineStr">
        <is>
          <t>ACTIVE</t>
        </is>
      </c>
      <c r="V544" s="3" t="inlineStr">
        <is>
          <t>2026-09-12</t>
        </is>
      </c>
      <c r="W544" s="3" t="n"/>
      <c r="X544" s="3" t="n"/>
      <c r="Y544" s="3" t="inlineStr">
        <is>
          <t>NOTHING OPEN</t>
        </is>
      </c>
    </row>
    <row r="545" ht="60" customHeight="1">
      <c r="A545" s="3" t="inlineStr">
        <is>
          <t>MK-XS-F-010</t>
        </is>
      </c>
      <c r="B545" s="3" t="inlineStr">
        <is>
          <t>investableChangePct</t>
        </is>
      </c>
      <c r="C545" s="3" t="inlineStr">
        <is>
          <t>src/domain/history.ts</t>
        </is>
      </c>
      <c r="D545" s="3" t="n">
        <v>319</v>
      </c>
      <c r="E545" s="3" t="inlineStr">
        <is>
          <t>3 · DEPENDENT</t>
        </is>
      </c>
      <c r="F545" s="3" t="inlineStr">
        <is>
          <t>FOUNDER RULE 2026-08-04: the NW change PERCENT is measured on cash + investments only — property values move only when someone retypes them, so a total-net-worth percent is noise.</t>
        </is>
      </c>
      <c r="G545"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5"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5" s="3" t="inlineStr">
        <is>
          <t>READ FROM THE CODE — rendered from the expressions the function runs</t>
        </is>
      </c>
      <c r="J545" s="3" t="inlineStr">
        <is>
          <t>Nothing is handed to it</t>
        </is>
      </c>
      <c r="K545" s="3" t="inlineStr">
        <is>
          <t>NOT DECLARED — the code does not say what it gives back</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NW_CHANGE_PCT</t>
        </is>
      </c>
      <c r="U545" s="3" t="inlineStr">
        <is>
          <t>ACTIVE</t>
        </is>
      </c>
      <c r="V545" s="3" t="inlineStr">
        <is>
          <t>2026-09-27</t>
        </is>
      </c>
      <c r="W545" s="3" t="n"/>
      <c r="X545" s="3" t="n"/>
      <c r="Y545" s="3" t="inlineStr">
        <is>
          <t>NOTHING OPEN</t>
        </is>
      </c>
    </row>
    <row r="546" ht="60" customHeight="1">
      <c r="A546" s="3" t="inlineStr">
        <is>
          <t>MK-XS-F-011</t>
        </is>
      </c>
      <c r="B546" s="3" t="inlineStr">
        <is>
          <t>buildChangeWalk</t>
        </is>
      </c>
      <c r="C546" s="3" t="inlineStr">
        <is>
          <t>src/domain/history.ts</t>
        </is>
      </c>
      <c r="D546" s="3" t="n">
        <v>381</v>
      </c>
      <c r="E546" s="3" t="inlineStr">
        <is>
          <t>2 · DISPLAYED</t>
        </is>
      </c>
      <c r="F546" s="3" t="inlineStr">
        <is>
          <t>My net worth changed since last time — what actually caused it?</t>
        </is>
      </c>
      <c r="G54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6" s="3" t="inlineStr">
        <is>
          <t>PARTLY READ — some of the code is still showing through; needs a hand pass</t>
        </is>
      </c>
      <c r="J546" s="3" t="inlineStr">
        <is>
          <t>Nothing is handed to it</t>
        </is>
      </c>
      <c r="K546" s="3" t="inlineStr">
        <is>
          <t>NOT DECLARED — the code does not say what it gives back</t>
        </is>
      </c>
      <c r="L546" s="3" t="inlineStr">
        <is>
          <t>NOT FOUND — a screen calls it, but the words printed beside its answer could not be traced automatically. Needs reading.</t>
        </is>
      </c>
      <c r="M546" s="3" t="inlineStr">
        <is>
          <t>1. If contributions is missing it uses 0.
2. If withdrawals is missing it uses 0.
3. If dividends is missing it uses 0.
4. If interest is missing it uses 0.
5. If debt principal is missing it uses 0.</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NW_CHANGE_WALK</t>
        </is>
      </c>
      <c r="U546" s="3" t="inlineStr">
        <is>
          <t>ACTIVE</t>
        </is>
      </c>
      <c r="V546" s="3" t="inlineStr">
        <is>
          <t>2026-09-09</t>
        </is>
      </c>
      <c r="W546" s="3" t="n"/>
      <c r="X546" s="3" t="n"/>
      <c r="Y546" s="3" t="inlineStr">
        <is>
          <t>NOTHING OPEN</t>
        </is>
      </c>
    </row>
    <row r="547" ht="60" customHeight="1">
      <c r="A547" s="3" t="inlineStr">
        <is>
          <t>MK-XS-F-012</t>
        </is>
      </c>
      <c r="B547" s="3" t="inlineStr">
        <is>
          <t>decodeCsvBase64</t>
        </is>
      </c>
      <c r="C547" s="3" t="inlineStr">
        <is>
          <t>src/domain/import/holdingsImport.ts</t>
        </is>
      </c>
      <c r="D547" s="3" t="n">
        <v>149</v>
      </c>
      <c r="E547" s="3" t="inlineStr">
        <is>
          <t>2 · DISPLAYED</t>
        </is>
      </c>
      <c r="F547" s="3" t="inlineStr">
        <is>
          <t>What is the text of the file that was picked?</t>
        </is>
      </c>
      <c r="G54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7" s="3" t="inlineStr">
        <is>
          <t>PARTLY READ — the body has a loop the extractor cannot render; the steps shown are the ones before it. Needs a hand pass (G23).</t>
        </is>
      </c>
      <c r="J547" s="3" t="inlineStr">
        <is>
          <t>b64: string</t>
        </is>
      </c>
      <c r="K547" s="3" t="inlineStr">
        <is>
          <t>string</t>
        </is>
      </c>
      <c r="L547" s="3" t="inlineStr">
        <is>
          <t>NOT FOUND — a screen calls it, but the words printed beside its answer could not be traced automatically. Needs reading.</t>
        </is>
      </c>
      <c r="M547" s="3" t="inlineStr">
        <is>
          <t>1. Uses a built-in start of 0.
2. Uses a built-in nul of 0.
3. Caps length at 400.</t>
        </is>
      </c>
      <c r="N547" s="3" t="inlineStr">
        <is>
          <t>Yes</t>
        </is>
      </c>
      <c r="O547" s="3" t="inlineStr">
        <is>
          <t>1. MK-XS-F-123 base64ToBytes
2. MK-XS-F-125 decodeUtf16
3. MK-XS-F-124 decodeUtf8</t>
        </is>
      </c>
      <c r="P547" s="3" t="n">
        <v>3</v>
      </c>
      <c r="Q547" s="3" t="inlineStr">
        <is>
          <t>1. MK-XS-F-123 base64ToBytes
2. MK-XS-F-125 decodeUtf16
3. MK-XS-F-124 decodeUtf8</t>
        </is>
      </c>
      <c r="R547" s="3" t="inlineStr">
        <is>
          <t>1. MK-XS-F-123 base64ToBytes → MK-XS-F-012 decodeCsvBase64
2. MK-XS-F-125 decodeUtf16 → MK-XS-F-012 decodeCsvBase64
3. MK-XS-F-124 decodeUtf8 → MK-XS-F-012 decodeCsvBase64</t>
        </is>
      </c>
      <c r="S547" s="3" t="inlineStr">
        <is>
          <t>—</t>
        </is>
      </c>
      <c r="T547" s="3" t="inlineStr">
        <is>
          <t>FILE_DECODE</t>
        </is>
      </c>
      <c r="U547" s="3" t="inlineStr">
        <is>
          <t>ACTIVE</t>
        </is>
      </c>
      <c r="V547" s="3" t="inlineStr">
        <is>
          <t>2026-09-08</t>
        </is>
      </c>
      <c r="W547" s="3" t="n"/>
      <c r="X547" s="3" t="n"/>
      <c r="Y547" s="3" t="inlineStr">
        <is>
          <t>NOTHING OPEN</t>
        </is>
      </c>
    </row>
    <row r="548" ht="60" customHeight="1">
      <c r="A548" s="3" t="inlineStr">
        <is>
          <t>MK-XS-F-013</t>
        </is>
      </c>
      <c r="B548" s="3" t="inlineStr">
        <is>
          <t>parseCsv</t>
        </is>
      </c>
      <c r="C548" s="3" t="inlineStr">
        <is>
          <t>src/domain/import/holdingsImport.ts</t>
        </is>
      </c>
      <c r="D548" s="3" t="n">
        <v>186</v>
      </c>
      <c r="E548" s="3" t="inlineStr">
        <is>
          <t>3 · DEPENDENT</t>
        </is>
      </c>
      <c r="F548" s="3" t="inlineStr">
        <is>
          <t>Minimal RFC-4180-ish CSV parser: handles quoted fields, embedded commas, "" escapes, CR/LF, BOM.</t>
        </is>
      </c>
      <c r="G548" s="11" t="inlineStr">
        <is>
          <t>rows = []
row = []
field = ''
in quotes = false
s = (text.char code at(0) = 0xFEFF ? text.slice(1) : text).replace( ÷ \r\n ÷ g, "\n").replace( ÷ \r ÷ g, "\n")
c = s[i]
the answer = rows where some((cell) =&gt; cell.trim() ! = '')</t>
        </is>
      </c>
      <c r="H548" s="3" t="inlineStr">
        <is>
          <t>Rows is []. Row is []. Field is ''. In quotes is false. S is (text.char code at(0) = 0xFEFF ? text.slice(1) : text).replace( divided by \r\n divided by g, "\n").replace( divided by \r divided by g, "\n"). C is s[i]. The answer is rows where some((cell) =&gt; cell.trim() ! = '').</t>
        </is>
      </c>
      <c r="I548" s="3" t="inlineStr">
        <is>
          <t>PARTLY READ — some of the code is still showing through; needs a hand pass</t>
        </is>
      </c>
      <c r="J548" s="3" t="inlineStr">
        <is>
          <t>text: string</t>
        </is>
      </c>
      <c r="K548" s="3" t="inlineStr">
        <is>
          <t>string[][]</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FILE_PARSE</t>
        </is>
      </c>
      <c r="U548" s="3" t="inlineStr">
        <is>
          <t>ACTIVE</t>
        </is>
      </c>
      <c r="V548" s="3" t="inlineStr">
        <is>
          <t>2026-08-27</t>
        </is>
      </c>
      <c r="W548" s="3" t="n"/>
      <c r="X548" s="3" t="n"/>
      <c r="Y548" s="3" t="inlineStr">
        <is>
          <t>NOTHING OPEN</t>
        </is>
      </c>
    </row>
    <row r="549" ht="60" customHeight="1">
      <c r="A549" s="3" t="inlineStr">
        <is>
          <t>MK-XS-F-014</t>
        </is>
      </c>
      <c r="B549" s="3" t="inlineStr">
        <is>
          <t>classifyHolding</t>
        </is>
      </c>
      <c r="C549" s="3" t="inlineStr">
        <is>
          <t>Calculation Module code/engines/classify.ts</t>
        </is>
      </c>
      <c r="D549" s="3" t="n">
        <v>151</v>
      </c>
      <c r="E549" s="3" t="inlineStr">
        <is>
          <t>3 · DEPENDENT (feeds an action only)</t>
        </is>
      </c>
      <c r="F549" s="3" t="inlineStr">
        <is>
          <t>For a line in a FILE you upload: which class is it?</t>
        </is>
      </c>
      <c r="G54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9" s="3" t="inlineStr">
        <is>
          <t>PARTLY READ — some of the code is still showing through; needs a hand pass</t>
        </is>
      </c>
      <c r="J549" s="3" t="inlineStr">
        <is>
          <t>input: ClassifyInput</t>
        </is>
      </c>
      <c r="K549" s="3" t="inlineStr">
        <is>
          <t>Classified</t>
        </is>
      </c>
      <c r="L549" s="3" t="inlineStr">
        <is>
          <t>—</t>
        </is>
      </c>
      <c r="M549" s="3" t="inlineStr">
        <is>
          <t>None found in this function — anything it assumes comes from the functions it depends on.</t>
        </is>
      </c>
      <c r="N549" s="3" t="inlineStr">
        <is>
          <t>No</t>
        </is>
      </c>
      <c r="O549" s="3" t="inlineStr">
        <is>
          <t>1. MK-XS-F-147 call
2. MK-ST-F-056 has
3. MK-ST-F-001 looksFixedIncome</t>
        </is>
      </c>
      <c r="P549" s="3" t="n">
        <v>6</v>
      </c>
      <c r="Q549" s="3" t="inlineStr">
        <is>
          <t>1. MK-XS-F-147 call
2. MK-ST-F-056 has
3. MK-ST-F-001 looksFixedIncome
4. MK-ST-F-027 accountId
5. MK-XS-F-064 currentIdToken
6. MK-XS-F-112 relayUrl</t>
        </is>
      </c>
      <c r="R54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9" s="3" t="inlineStr">
        <is>
          <t>—</t>
        </is>
      </c>
      <c r="T549" s="3" t="inlineStr">
        <is>
          <t>CLASS_FROM_FILE</t>
        </is>
      </c>
      <c r="U549" s="3" t="inlineStr">
        <is>
          <t>ACTIVE</t>
        </is>
      </c>
      <c r="V549" s="3" t="inlineStr">
        <is>
          <t>2026-08-27</t>
        </is>
      </c>
      <c r="W549" s="3" t="n"/>
      <c r="X549" s="3" t="n"/>
      <c r="Y549" s="3" t="inlineStr">
        <is>
          <t>NOTHING OPEN</t>
        </is>
      </c>
    </row>
    <row r="550" ht="60" customHeight="1">
      <c r="A550" s="3" t="inlineStr">
        <is>
          <t>MK-XS-F-015</t>
        </is>
      </c>
      <c r="B550" s="3" t="inlineStr">
        <is>
          <t>importHoldings</t>
        </is>
      </c>
      <c r="C550" s="3" t="inlineStr">
        <is>
          <t>src/domain/import/holdingsImport.ts</t>
        </is>
      </c>
      <c r="D550" s="3" t="n">
        <v>426</v>
      </c>
      <c r="E550" s="3" t="inlineStr">
        <is>
          <t>2 · DISPLAYED</t>
        </is>
      </c>
      <c r="F550" s="3" t="inlineStr">
        <is>
          <t>What holdings are in this file?</t>
        </is>
      </c>
      <c r="G55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0" s="3" t="inlineStr">
        <is>
          <t>PARTLY READ — some of the code is still showing through; needs a hand pass</t>
        </is>
      </c>
      <c r="J550" s="3" t="inlineStr">
        <is>
          <t>text: string</t>
        </is>
      </c>
      <c r="K550" s="3" t="inlineStr">
        <is>
          <t>ImportResult</t>
        </is>
      </c>
      <c r="L550" s="3" t="inlineStr">
        <is>
          <t>NOT FOUND — a screen calls it, but the words printed beside its answer could not be traced automatically. Needs reading.</t>
        </is>
      </c>
      <c r="M550" s="3" t="inlineStr">
        <is>
          <t>· Uses a built-in skipped of 0.</t>
        </is>
      </c>
      <c r="N550" s="3" t="inlineStr">
        <is>
          <t>Yes</t>
        </is>
      </c>
      <c r="O550" s="3" t="inlineStr">
        <is>
          <t>1. MK-XS-F-172 assetClassForSymbol
2. MK-XS-F-128 cleanTicker
3. MK-XS-F-126 findCol
4. MK-XS-F-129 findHeaderRow
5. MK-CF-F-132 map
6. MK-XS-F-171 numOrNaN
7. MK-XS-F-013 parseCsv
8. MK-XS-F-127 toIsoDate</t>
        </is>
      </c>
      <c r="P550" s="3" t="n">
        <v>16</v>
      </c>
      <c r="Q55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0" s="3" t="inlineStr">
        <is>
          <t>—</t>
        </is>
      </c>
      <c r="T550" s="3" t="inlineStr">
        <is>
          <t>FILE_IMPORT</t>
        </is>
      </c>
      <c r="U550" s="3" t="inlineStr">
        <is>
          <t>ACTIVE</t>
        </is>
      </c>
      <c r="V550" s="3" t="inlineStr">
        <is>
          <t>2026-08-27</t>
        </is>
      </c>
      <c r="W550" s="3" t="n"/>
      <c r="X550" s="3" t="n"/>
      <c r="Y550" s="3" t="inlineStr">
        <is>
          <t>NOTHING OPEN</t>
        </is>
      </c>
    </row>
    <row r="551" ht="45" customHeight="1">
      <c r="A551" s="3" t="inlineStr">
        <is>
          <t>MK-XS-F-016</t>
        </is>
      </c>
      <c r="B551" s="3" t="inlineStr">
        <is>
          <t>matchImportAccount</t>
        </is>
      </c>
      <c r="C551" s="3" t="inlineStr">
        <is>
          <t>src/domain/import/holdingsImport.ts</t>
        </is>
      </c>
      <c r="D551" s="3" t="n">
        <v>538</v>
      </c>
      <c r="E551" s="3" t="inlineStr">
        <is>
          <t>2 · DISPLAYED</t>
        </is>
      </c>
      <c r="F551" s="3" t="inlineStr">
        <is>
          <t>The existing account a fresh import from `institution` should offer to update (or null).</t>
        </is>
      </c>
      <c r="G551" s="11" t="inlineStr">
        <is>
          <t>target = norm inst(institution)
nothing   when target is missing
nothing   when count of candidates is missing</t>
        </is>
      </c>
      <c r="H551" s="3" t="inlineStr">
        <is>
          <t>Target is norm inst(institution). When target is missing, it answers no answer. When how many candidates is missing there are, it answers no answer.</t>
        </is>
      </c>
      <c r="I551" s="3" t="inlineStr">
        <is>
          <t>READ FROM THE CODE — rendered from the expressions the function runs</t>
        </is>
      </c>
      <c r="J551" s="3" t="inlineStr">
        <is>
          <t>1. accounts: AssetAccount[]
2. institution: string</t>
        </is>
      </c>
      <c r="K551" s="3" t="inlineStr">
        <is>
          <t>AssetAccount | null</t>
        </is>
      </c>
      <c r="L551" s="3" t="inlineStr">
        <is>
          <t>"Account name" — on the Import holdings screen, under "REVIEW YOUR HOLDINGS"</t>
        </is>
      </c>
      <c r="M551" s="3" t="inlineStr">
        <is>
          <t>· If balance is missing it counts as zero, so nothing recorded and a real zero look the same.</t>
        </is>
      </c>
      <c r="N551" s="3" t="inlineStr">
        <is>
          <t>Yes</t>
        </is>
      </c>
      <c r="O551" s="3" t="inlineStr">
        <is>
          <t>MK-XS-F-130 normInst</t>
        </is>
      </c>
      <c r="P551" s="3" t="n">
        <v>1</v>
      </c>
      <c r="Q551" s="3" t="inlineStr">
        <is>
          <t>MK-XS-F-130 normInst</t>
        </is>
      </c>
      <c r="R551" s="3" t="inlineStr">
        <is>
          <t>MK-XS-F-130 normInst → MK-XS-F-016 matchImportAccount</t>
        </is>
      </c>
      <c r="S551" s="3" t="inlineStr">
        <is>
          <t>—</t>
        </is>
      </c>
      <c r="T551" s="3" t="inlineStr">
        <is>
          <t>IMPORT_ACCOUNT_MATCH</t>
        </is>
      </c>
      <c r="U551" s="3" t="inlineStr">
        <is>
          <t>ACTIVE</t>
        </is>
      </c>
      <c r="V551" s="3" t="inlineStr">
        <is>
          <t>2026-08-27</t>
        </is>
      </c>
      <c r="W551" s="3" t="n"/>
      <c r="X551" s="3" t="n"/>
      <c r="Y551" s="3" t="inlineStr">
        <is>
          <t>NOTHING OPEN</t>
        </is>
      </c>
    </row>
    <row r="552" ht="60" customHeight="1">
      <c r="A552" s="3" t="inlineStr">
        <is>
          <t>MK-XS-F-017</t>
        </is>
      </c>
      <c r="B552" s="3" t="inlineStr">
        <is>
          <t>currentAge</t>
        </is>
      </c>
      <c r="C552" s="3" t="inlineStr">
        <is>
          <t>src/domain/profile/calc.ts</t>
        </is>
      </c>
      <c r="D552" s="3" t="n">
        <v>35</v>
      </c>
      <c r="E552" s="3" t="inlineStr">
        <is>
          <t>3 · DEPENDENT</t>
        </is>
      </c>
      <c r="F552" s="3" t="inlineStr">
        <is>
          <t>Age in whole years from birth month/year, as of `asOf` (defaults to now).</t>
        </is>
      </c>
      <c r="G552" s="11" t="inlineStr">
        <is>
          <t>nothing   when birth year is missing (or birth month is missing when missing or zero)
age = as of.get full year() − birth year
month idx = birth month − 1
the answer:
age   if age ≥ 0
nothing   otherwise</t>
        </is>
      </c>
      <c r="H552" s="3" t="inlineStr">
        <is>
          <t>When birth year is missing (or birth month is missing — when missing or zero), it answers no answer. Age is as of.get full year() minus birth year. Month idx is birth month minus 1. The answer is age — when age is at least 0; no answer — otherwise.</t>
        </is>
      </c>
      <c r="I552" s="3" t="inlineStr">
        <is>
          <t>PARTLY READ — some of the code is still showing through; needs a hand pass</t>
        </is>
      </c>
      <c r="J552" s="3" t="inlineStr">
        <is>
          <t>Nothing is handed to it</t>
        </is>
      </c>
      <c r="K552" s="3" t="inlineStr">
        <is>
          <t>NOT DECLARED — the code does not say what it gives back</t>
        </is>
      </c>
      <c r="L552" s="3" t="inlineStr">
        <is>
          <t>—</t>
        </is>
      </c>
      <c r="M552" s="3" t="inlineStr">
        <is>
          <t>· Uses today's date from the device clock, so the answer changes by itself overnight.</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6" t="inlineStr">
        <is>
          <t>TESTED, NOT VERIFIED (G9)</t>
        </is>
      </c>
    </row>
    <row r="553" ht="60" customHeight="1">
      <c r="A553" s="3" t="inlineStr">
        <is>
          <t>MK-XS-F-018</t>
        </is>
      </c>
      <c r="B553" s="3" t="inlineStr">
        <is>
          <t>yearsToRetirement</t>
        </is>
      </c>
      <c r="C553" s="3" t="inlineStr">
        <is>
          <t>src/domain/profile/calc.ts</t>
        </is>
      </c>
      <c r="D553" s="3" t="n">
        <v>108</v>
      </c>
      <c r="E553" s="3" t="inlineStr">
        <is>
          <t>3 · DEPENDENT</t>
        </is>
      </c>
      <c r="F553" s="3" t="inlineStr">
        <is>
          <t>Years until the target retirement age (never negative).</t>
        </is>
      </c>
      <c r="G553" s="11" t="inlineStr">
        <is>
          <t>nothing   when age = nothing (or target retirement age is missing when missing or zero)
max(0, target retirement age − age)</t>
        </is>
      </c>
      <c r="H553" s="3" t="inlineStr">
        <is>
          <t>When age is missing (or target retirement age is missing — when missing or zero), it answers no answer. target retirement age minus age, never below zero.</t>
        </is>
      </c>
      <c r="I553" s="3" t="inlineStr">
        <is>
          <t>READ FROM THE CODE — rendered from the expressions the function runs</t>
        </is>
      </c>
      <c r="J553" s="3" t="inlineStr">
        <is>
          <t>1. age: number | null
2. targetRetirementAge: number | null</t>
        </is>
      </c>
      <c r="K553" s="3" t="inlineStr">
        <is>
          <t>number | null</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MK-XS-F-019</t>
        </is>
      </c>
      <c r="B554" s="3" t="inlineStr">
        <is>
          <t>retirementHorizonYears</t>
        </is>
      </c>
      <c r="C554" s="3" t="inlineStr">
        <is>
          <t>src/domain/profile/calc.ts</t>
        </is>
      </c>
      <c r="D554" s="3" t="n">
        <v>138</v>
      </c>
      <c r="E554" s="3" t="inlineStr">
        <is>
          <t>3 · DEPENDENT</t>
        </is>
      </c>
      <c r="F554" s="3" t="inlineStr">
        <is>
          <t>Years the money must last: retirement → plan-to age (default horizon if unset).</t>
        </is>
      </c>
      <c r="G554" s="11" t="inlineStr">
        <is>
          <t>nothing   when target retirement age is missing
horizon = (plan to age ?? DEFAULT_PLAN_TO_AGE) − target retirement age
the answer:
horizon   if horizon &gt; 0
nothing   otherwise</t>
        </is>
      </c>
      <c r="H554" s="3" t="inlineStr">
        <is>
          <t>When target retirement age is missing, it answers no answer. Horizon is (plan to age ?? DEFAULT_PLAN_TO_AGE) minus target retirement age. The answer is horizon — when horizon &gt; 0; no answer — otherwise.</t>
        </is>
      </c>
      <c r="I554" s="3" t="inlineStr">
        <is>
          <t>PARTLY READ — some of the code is still showing through; needs a hand pass</t>
        </is>
      </c>
      <c r="J554" s="3" t="inlineStr">
        <is>
          <t>1. targetRetirementAge: number | null
2. planToAge: number | null</t>
        </is>
      </c>
      <c r="K554" s="3" t="inlineStr">
        <is>
          <t>number | null</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MK-XS-F-020</t>
        </is>
      </c>
      <c r="B555" s="3" t="inlineStr">
        <is>
          <t>toReadModel</t>
        </is>
      </c>
      <c r="C555" s="3" t="inlineStr">
        <is>
          <t>src/domain/profile/calc.ts</t>
        </is>
      </c>
      <c r="D555" s="3" t="n">
        <v>168</v>
      </c>
      <c r="E555" s="3" t="inlineStr">
        <is>
          <t>3 · DEPENDENT</t>
        </is>
      </c>
      <c r="F555" s="3" t="inlineStr">
        <is>
          <t>Build the public read-model (profile + derived planning values).</t>
        </is>
      </c>
      <c r="G555" s="11" t="inlineStr">
        <is>
          <t>age = current age(birth year, birth month, as of)</t>
        </is>
      </c>
      <c r="H555" s="3" t="inlineStr">
        <is>
          <t>Age is current age(birth year, birth month, as of).</t>
        </is>
      </c>
      <c r="I555" s="3" t="inlineStr">
        <is>
          <t>READ FROM THE CODE — rendered from the expressions the function runs</t>
        </is>
      </c>
      <c r="J555" s="3" t="inlineStr">
        <is>
          <t>1. p: Profile
2. asOf: Date = new Date()</t>
        </is>
      </c>
      <c r="K555" s="3" t="inlineStr">
        <is>
          <t>ProfileReadModel</t>
        </is>
      </c>
      <c r="L555" s="3" t="inlineStr">
        <is>
          <t>—</t>
        </is>
      </c>
      <c r="M555" s="3" t="inlineStr">
        <is>
          <t>· Uses today's date from the device clock, so the answer changes by itself overnight.</t>
        </is>
      </c>
      <c r="N555" s="3" t="inlineStr">
        <is>
          <t>Yes</t>
        </is>
      </c>
      <c r="O555" s="3" t="inlineStr">
        <is>
          <t>1. MK-XS-F-017 currentAge
2. MK-XS-F-019 retirementHorizonYears
3. MK-XS-F-018 yearsToRetirement</t>
        </is>
      </c>
      <c r="P555" s="3" t="n">
        <v>3</v>
      </c>
      <c r="Q555" s="3" t="inlineStr">
        <is>
          <t>1. MK-XS-F-017 currentAge
2. MK-XS-F-019 retirementHorizonYears
3. MK-XS-F-018 yearsToRetirement</t>
        </is>
      </c>
      <c r="R555" s="3" t="inlineStr">
        <is>
          <t>1. MK-XS-F-017 currentAge → MK-XS-F-020 toReadModel
2. MK-XS-F-019 retirementHorizonYears → MK-XS-F-020 toReadModel
3. MK-XS-F-018 yearsToRetirement → MK-XS-F-020 toReadModel</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MK-XS-F-021</t>
        </is>
      </c>
      <c r="B556" s="3" t="inlineStr">
        <is>
          <t>loadProfile</t>
        </is>
      </c>
      <c r="C556" s="3" t="inlineStr">
        <is>
          <t>src/domain/profile/index.ts</t>
        </is>
      </c>
      <c r="D556" s="3" t="n">
        <v>35</v>
      </c>
      <c r="E556" s="3" t="inlineStr">
        <is>
          <t>3 · DEPENDENT (feeds an action only)</t>
        </is>
      </c>
      <c r="F556" s="3" t="inlineStr">
        <is>
          <t>NOT DETERMINED — the code carries no note saying what this is for, and it has no row in the old inventory. Needs reading.</t>
        </is>
      </c>
      <c r="G556" s="11" t="inlineStr">
        <is>
          <t>get user doc&lt;profile&gt;(COLLECTION, uid)</t>
        </is>
      </c>
      <c r="H556" s="3" t="inlineStr">
        <is>
          <t>get user doc&lt;profile&gt;(COLLECTION, uid).</t>
        </is>
      </c>
      <c r="I556" s="3" t="inlineStr">
        <is>
          <t>READ FROM THE CODE — rendered from the expressions the function runs</t>
        </is>
      </c>
      <c r="J556" s="3" t="inlineStr">
        <is>
          <t>uid: UserId</t>
        </is>
      </c>
      <c r="K556" s="3" t="inlineStr">
        <is>
          <t>Promise&lt;Profile | null&gt;</t>
        </is>
      </c>
      <c r="L556" s="3" t="inlineStr">
        <is>
          <t>—</t>
        </is>
      </c>
      <c r="M556" s="3" t="inlineStr">
        <is>
          <t>None found in this function — anything it assumes comes from the functions it depends on.</t>
        </is>
      </c>
      <c r="N556" s="3" t="inlineStr">
        <is>
          <t>No</t>
        </is>
      </c>
      <c r="O556" s="3" t="inlineStr">
        <is>
          <t>MK-XS-F-175 uid</t>
        </is>
      </c>
      <c r="P556" s="3" t="n">
        <v>80</v>
      </c>
      <c r="Q55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MK-XS-F-022</t>
        </is>
      </c>
      <c r="B557" s="3" t="inlineStr">
        <is>
          <t>saveProfile</t>
        </is>
      </c>
      <c r="C557" s="3" t="inlineStr">
        <is>
          <t>src/domain/profile/index.ts</t>
        </is>
      </c>
      <c r="D557" s="3" t="n">
        <v>54</v>
      </c>
      <c r="E557" s="3" t="inlineStr">
        <is>
          <t>1 · ACTION</t>
        </is>
      </c>
      <c r="F557" s="3" t="inlineStr">
        <is>
          <t>NOT DETERMINED — the code carries no note saying what this is for, and it has no row in the old inventory. Needs reading.</t>
        </is>
      </c>
      <c r="G557" s="11" t="inlineStr">
        <is>
          <t>It records or announces something and returns no figure — no arithmetic of its own.</t>
        </is>
      </c>
      <c r="H557" s="3" t="inlineStr">
        <is>
          <t>It records or announces something and returns no figure — no arithmetic of its own.</t>
        </is>
      </c>
      <c r="I557" s="3" t="inlineStr">
        <is>
          <t>NO ARITHMETIC — there is no formula to state</t>
        </is>
      </c>
      <c r="J557" s="3" t="inlineStr">
        <is>
          <t>profile: Profile</t>
        </is>
      </c>
      <c r="K557" s="3" t="inlineStr">
        <is>
          <t>Promise&lt;void&gt;</t>
        </is>
      </c>
      <c r="L557" s="3" t="inlineStr">
        <is>
          <t>—</t>
        </is>
      </c>
      <c r="M557" s="3" t="inlineStr">
        <is>
          <t>None found in this function — anything it assumes comes from the functions it depends on.</t>
        </is>
      </c>
      <c r="N557" s="3" t="inlineStr">
        <is>
          <t>Yes</t>
        </is>
      </c>
      <c r="O557" s="3" t="inlineStr">
        <is>
          <t>1. MK-ST-F-040 emit
2. MK-ST-F-042 setUserDoc</t>
        </is>
      </c>
      <c r="P557" s="3" t="n">
        <v>82</v>
      </c>
      <c r="Q557"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MK-XS-F-023</t>
        </is>
      </c>
      <c r="B558" s="3" t="inlineStr">
        <is>
          <t>getProfileReadModel</t>
        </is>
      </c>
      <c r="C558" s="3" t="inlineStr">
        <is>
          <t>src/domain/profile/index.ts</t>
        </is>
      </c>
      <c r="D558" s="3" t="n">
        <v>78</v>
      </c>
      <c r="E558" s="3" t="inlineStr">
        <is>
          <t>3 · DEPENDENT (feeds an action only)</t>
        </is>
      </c>
      <c r="F558" s="3" t="inlineStr">
        <is>
          <t>Profile + derived planning values (current age, years to retirement, horizon).</t>
        </is>
      </c>
      <c r="G558" s="11" t="inlineStr">
        <is>
          <t>p = await load profile(uid)
the answer:
to read model(p)   if p
nothing   otherwise</t>
        </is>
      </c>
      <c r="H558" s="3" t="inlineStr">
        <is>
          <t>P is await load profile(uid). The answer is to read model(p) — when p; no answer — otherwise.</t>
        </is>
      </c>
      <c r="I558" s="3" t="inlineStr">
        <is>
          <t>READ FROM THE CODE — rendered from the expressions the function runs</t>
        </is>
      </c>
      <c r="J558" s="3" t="inlineStr">
        <is>
          <t>uid: UserId</t>
        </is>
      </c>
      <c r="K558" s="3" t="inlineStr">
        <is>
          <t>Promise&lt;ProfileReadModel | null&gt;</t>
        </is>
      </c>
      <c r="L558" s="3" t="inlineStr">
        <is>
          <t>—</t>
        </is>
      </c>
      <c r="M558" s="3" t="inlineStr">
        <is>
          <t>None found in this function — anything it assumes comes from the functions it depends on.</t>
        </is>
      </c>
      <c r="N558" s="3" t="inlineStr">
        <is>
          <t>No</t>
        </is>
      </c>
      <c r="O558" s="3" t="inlineStr">
        <is>
          <t>1. MK-XS-F-021 loadProfile
2. MK-XS-F-020 toReadModel
3. MK-XS-F-175 uid</t>
        </is>
      </c>
      <c r="P558" s="3" t="n">
        <v>85</v>
      </c>
      <c r="Q55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5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MK-XS-F-024</t>
        </is>
      </c>
      <c r="B559" s="3" t="inlineStr">
        <is>
          <t>resolveLens</t>
        </is>
      </c>
      <c r="C559" s="3" t="inlineStr">
        <is>
          <t>src/domain/profile/lens.ts</t>
        </is>
      </c>
      <c r="D559" s="3" t="n">
        <v>48</v>
      </c>
      <c r="E559" s="3" t="inlineStr">
        <is>
          <t>2 · DISPLAYED</t>
        </is>
      </c>
      <c r="F559" s="3" t="inlineStr">
        <is>
          <t>The person's explicit choice (first-run stage question / Settings → Your setup) wins.</t>
        </is>
      </c>
      <c r="G559" s="11" t="inlineStr">
        <is>
          <t>override   when override = 'working' (or override = 'retired' when missing or zero)
status = op.status
'retired'   when status = 'retired'
'retired'   when status = 'partial' and current retirement income monthly(op ?? {}) &gt; 0
the answer = 'working'</t>
        </is>
      </c>
      <c r="H55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9" s="3" t="inlineStr">
        <is>
          <t>PARTLY READ — some of the code is still showing through; needs a hand pass</t>
        </is>
      </c>
      <c r="J559" s="3" t="inlineStr">
        <is>
          <t>1. op: Record&lt;string, any&gt; | null | undefined
2. override?: Lens | null</t>
        </is>
      </c>
      <c r="K559" s="3" t="inlineStr">
        <is>
          <t>Lens</t>
        </is>
      </c>
      <c r="L559" s="3" t="inlineStr">
        <is>
          <t>1. "Draw from savings" — on the Cash flow screen, under "YOUR FUTURE PAYCHECK"
2. "WILL MY MONEY LAST?" — on the Home screen, under "WILL MY MONEY LAST?"
3. "YOUR FIVE TABS — same order as the bar below" — on a card used on more than one screen (TopBar)</t>
        </is>
      </c>
      <c r="M559" s="3" t="inlineStr">
        <is>
          <t>None found in this function — anything it assumes comes from the functions it depends on.</t>
        </is>
      </c>
      <c r="N559" s="3" t="inlineStr">
        <is>
          <t>Yes</t>
        </is>
      </c>
      <c r="O559" s="3" t="inlineStr">
        <is>
          <t>MK-CF-F-072 currentRetirementIncomeMonthly</t>
        </is>
      </c>
      <c r="P559" s="3" t="n">
        <v>4</v>
      </c>
      <c r="Q559" s="3" t="inlineStr">
        <is>
          <t>1. MK-CF-F-072 currentRetirementIncomeMonthly
2. MK-CF-F-075 retirementIncomeMonthly
3. MK-ST-F-052 toNum
4. MK-XS-F-122 n</t>
        </is>
      </c>
      <c r="R559" s="3" t="inlineStr">
        <is>
          <t>MK-XS-F-122 n → MK-ST-F-052 toNum → MK-CF-F-075 retirementIncomeMonthly → MK-CF-F-072 currentRetirementIncomeMonthly → MK-XS-F-024 resolveLens</t>
        </is>
      </c>
      <c r="S559" s="3" t="inlineStr">
        <is>
          <t>—</t>
        </is>
      </c>
      <c r="T559" s="3" t="inlineStr">
        <is>
          <t>WHICH_VIEW</t>
        </is>
      </c>
      <c r="U559" s="3" t="inlineStr">
        <is>
          <t>ACTIVE</t>
        </is>
      </c>
      <c r="V559" s="3" t="inlineStr">
        <is>
          <t>2026-08-27</t>
        </is>
      </c>
      <c r="W559" s="3" t="n"/>
      <c r="X559" s="3" t="n"/>
      <c r="Y559" s="3" t="inlineStr">
        <is>
          <t>NOTHING OPEN</t>
        </is>
      </c>
    </row>
    <row r="560" ht="45" customHeight="1">
      <c r="A560" s="3" t="inlineStr">
        <is>
          <t>MK-XS-F-025</t>
        </is>
      </c>
      <c r="B560" s="3" t="inlineStr">
        <is>
          <t>tabOrder</t>
        </is>
      </c>
      <c r="C560" s="3" t="inlineStr">
        <is>
          <t>src/domain/profile/lens.ts</t>
        </is>
      </c>
      <c r="D560" s="3" t="n">
        <v>79</v>
      </c>
      <c r="E560" s="3" t="inlineStr">
        <is>
          <t>2 · DISPLAYED</t>
        </is>
      </c>
      <c r="F560" s="3" t="inlineStr">
        <is>
          <t>Bottom-bar order per lens (design pin: "Tab order is set once from stage; identical across sessions").</t>
        </is>
      </c>
      <c r="G560" s="11" t="inlineStr">
        <is>
          <t>retired → home, cashflow, analytics, plan, invest
otherwise → home, analytics, invest, cashflow, plan</t>
        </is>
      </c>
      <c r="H560" s="3" t="inlineStr">
        <is>
          <t>The order of the tabs for the person's lens — cash flow comes second for someone retired. No arithmetic.</t>
        </is>
      </c>
      <c r="I560" s="3" t="inlineStr">
        <is>
          <t>READ BY HAND 2026-08-26 — checked line by line against the code</t>
        </is>
      </c>
      <c r="J560" s="3" t="inlineStr">
        <is>
          <t>lens: Lens</t>
        </is>
      </c>
      <c r="K560" s="3" t="inlineStr">
        <is>
          <t>FccTab[]</t>
        </is>
      </c>
      <c r="L560" s="3" t="inlineStr">
        <is>
          <t>"YOUR FIVE TABS — same order as the bar below" — on a card used on more than one screen (TopBar)</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2026-09-12</t>
        </is>
      </c>
      <c r="W560" s="3" t="n"/>
      <c r="X560" s="3" t="n"/>
      <c r="Y560" s="3" t="inlineStr">
        <is>
          <t>NOTHING OPEN</t>
        </is>
      </c>
    </row>
    <row r="561" ht="60" customHeight="1">
      <c r="A561" s="3" t="inlineStr">
        <is>
          <t>MK-XS-F-026</t>
        </is>
      </c>
      <c r="B561" s="3" t="inlineStr">
        <is>
          <t>profileFromOnboarding</t>
        </is>
      </c>
      <c r="C561" s="3" t="inlineStr">
        <is>
          <t>src/domain/profile/onboarding.ts</t>
        </is>
      </c>
      <c r="D561" s="3" t="n">
        <v>55</v>
      </c>
      <c r="E561" s="3" t="inlineStr">
        <is>
          <t>2 · DISPLAYED</t>
        </is>
      </c>
      <c r="F561" s="3" t="inlineStr">
        <is>
          <t>`op` is the consolidated onboardingProfile: { status, name, ...answers }.</t>
        </is>
      </c>
      <c r="G561" s="11" t="inlineStr">
        <is>
          <t>a = op (or none when missing)</t>
        </is>
      </c>
      <c r="H561" s="3" t="inlineStr">
        <is>
          <t>A is op (or none — when missing).</t>
        </is>
      </c>
      <c r="I561" s="3" t="inlineStr">
        <is>
          <t>READ FROM THE CODE — rendered from the expressions the function runs</t>
        </is>
      </c>
      <c r="J561" s="3" t="inlineStr">
        <is>
          <t>1. uid: UserId
2. op: Record&lt;string, any&gt; | null</t>
        </is>
      </c>
      <c r="K561" s="3" t="inlineStr">
        <is>
          <t>Profile</t>
        </is>
      </c>
      <c r="L561" s="3" t="inlineStr">
        <is>
          <t>NOT FOUND — a screen calls it, but the words printed beside its answer could not be traced automatically. Needs reading.</t>
        </is>
      </c>
      <c r="M561" s="3" t="inlineStr">
        <is>
          <t>None found in this function — anything it assumes comes from the functions it depends on.</t>
        </is>
      </c>
      <c r="N561" s="3" t="inlineStr">
        <is>
          <t>Yes</t>
        </is>
      </c>
      <c r="O561" s="3" t="inlineStr">
        <is>
          <t>1. MK-XS-F-131 toInt
2. MK-XS-F-175 uid</t>
        </is>
      </c>
      <c r="P561" s="3" t="n">
        <v>81</v>
      </c>
      <c r="Q561"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MK-XS-F-027</t>
        </is>
      </c>
      <c r="B562" s="3" t="inlineStr">
        <is>
          <t>takeHomeMonthly</t>
        </is>
      </c>
      <c r="C562" s="3" t="inlineStr">
        <is>
          <t>src/domain/savings/index.ts</t>
        </is>
      </c>
      <c r="D562" s="3" t="n">
        <v>42</v>
      </c>
      <c r="E562" s="3" t="inlineStr">
        <is>
          <t>2 · DISPLAYED</t>
        </is>
      </c>
      <c r="F562" s="3" t="inlineStr">
        <is>
          <t>True take-home per month: after tax AND after the 401(k) deduction (the cash that hits your account).</t>
        </is>
      </c>
      <c r="G562" s="11" t="inlineStr">
        <is>
          <t>grid = income monthly grid(op, 'available')
the answer = Σ over grid of (amount)÷ 12</t>
        </is>
      </c>
      <c r="H562" s="3" t="inlineStr">
        <is>
          <t>Grid is income monthly grid(op, 'available'). The answer: the amount added up across grid÷ 12.</t>
        </is>
      </c>
      <c r="I562" s="3" t="inlineStr">
        <is>
          <t>READ FROM THE CODE — rendered from the expressions the function runs</t>
        </is>
      </c>
      <c r="J562" s="3" t="inlineStr">
        <is>
          <t>op: OnboardingProfile | null</t>
        </is>
      </c>
      <c r="K562" s="3" t="inlineStr">
        <is>
          <t>number</t>
        </is>
      </c>
      <c r="L562" s="3" t="inlineStr">
        <is>
          <t>"Income (take-home)" — on the budget screen</t>
        </is>
      </c>
      <c r="M562" s="3" t="inlineStr">
        <is>
          <t>None found in this function — anything it assumes comes from the functions it depends on.</t>
        </is>
      </c>
      <c r="N562" s="3" t="inlineStr">
        <is>
          <t>Yes</t>
        </is>
      </c>
      <c r="O562" s="3" t="inlineStr">
        <is>
          <t>1. MK-CF-F-092 incomeMonthlyGrid
2. MK-CF-F-011 savingsByMonth</t>
        </is>
      </c>
      <c r="P562" s="3" t="n">
        <v>101</v>
      </c>
      <c r="Q562"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62"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MK-XS-F-028</t>
        </is>
      </c>
      <c r="B563" s="3" t="inlineStr">
        <is>
          <t>surplusByMonth</t>
        </is>
      </c>
      <c r="C563" s="3" t="inlineStr">
        <is>
          <t>src/domain/savings/index.ts</t>
        </is>
      </c>
      <c r="D563" s="3" t="n">
        <v>71</v>
      </c>
      <c r="E563" s="3" t="inlineStr">
        <is>
          <t>2 · DISPLAYED</t>
        </is>
      </c>
      <c r="F563" s="3" t="inlineStr">
        <is>
          <t>Planned SURPLUS, month by month, AFTER debt (the canonical word, per the 2026-06-23 decision).</t>
        </is>
      </c>
      <c r="G563" s="11" t="inlineStr">
        <is>
          <t>debt = actual debt payment(debts)
the answer:
for each of savings by month(op): label = label
amount = amount − debt</t>
        </is>
      </c>
      <c r="H563" s="3" t="inlineStr">
        <is>
          <t>Debt is actual debt payment(debts). The answer is for each of savings by month(op): label = label; amount = amount minus debt.</t>
        </is>
      </c>
      <c r="I563" s="3" t="inlineStr">
        <is>
          <t>READ FROM THE CODE — rendered from the expressions the function runs</t>
        </is>
      </c>
      <c r="J563" s="3" t="inlineStr">
        <is>
          <t>1. op: OnboardingProfile | null
2. debts: Debt[] = []</t>
        </is>
      </c>
      <c r="K563" s="3" t="inlineStr">
        <is>
          <t>NOT DECLARED — the code does not say what it gives back</t>
        </is>
      </c>
      <c r="L563" s="3" t="inlineStr">
        <is>
          <t>"Plan" — on the Goals screen</t>
        </is>
      </c>
      <c r="M563" s="3" t="inlineStr">
        <is>
          <t>None found in this function — anything it assumes comes from the functions it depends on.</t>
        </is>
      </c>
      <c r="N563" s="3" t="inlineStr">
        <is>
          <t>Yes</t>
        </is>
      </c>
      <c r="O563" s="3" t="inlineStr">
        <is>
          <t>1. MK-CF-F-026 actualDebtPayment
2. MK-CF-F-132 map
3. MK-ST-F-036 reconcile
4. MK-CF-F-011 savingsByMonth</t>
        </is>
      </c>
      <c r="P563" s="3" t="n">
        <v>126</v>
      </c>
      <c r="Q56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MK-CF-F-192 inflowLabel
103. MK-CF-F-140 periodsAYear
104. MK-ST-F-047 activeCurrency
105. MK-NW-F-077 ALL
106. MK-NW-F-059 currentYield
107. MK-NW-O-001 theBonds
108. MK-CF-F-193 inflowSourceWord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3"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63" s="3" t="inlineStr">
        <is>
          <t>—</t>
        </is>
      </c>
      <c r="T563" s="3" t="inlineStr">
        <is>
          <t>—</t>
        </is>
      </c>
      <c r="U563" s="3" t="inlineStr">
        <is>
          <t>ACTIVE</t>
        </is>
      </c>
      <c r="V563" s="3" t="inlineStr">
        <is>
          <t>2026-09-09</t>
        </is>
      </c>
      <c r="W563" s="3" t="n"/>
      <c r="X563" s="3" t="n"/>
      <c r="Y563" s="3" t="inlineStr">
        <is>
          <t>NOTHING OPEN</t>
        </is>
      </c>
    </row>
    <row r="564" ht="60" customHeight="1">
      <c r="A564" s="3" t="inlineStr">
        <is>
          <t>MK-XS-F-029</t>
        </is>
      </c>
      <c r="B564" s="3" t="inlineStr">
        <is>
          <t>monthlySavings</t>
        </is>
      </c>
      <c r="C564" s="3" t="inlineStr">
        <is>
          <t>src/domain/savings/index.ts</t>
        </is>
      </c>
      <c r="D564" s="3" t="n">
        <v>95</v>
      </c>
      <c r="E564" s="3" t="inlineStr">
        <is>
          <t>2 · DISPLAYED</t>
        </is>
      </c>
      <c r="F564" s="3" t="inlineStr">
        <is>
          <t>Monthly savings (the FLOW) — Build-47 walk row 7: DERIVED as the 12-month average of surplusByMonth, so the flat figure and the by-month figures can never drift apart (they used to be two parallel formulas that merely CLAIMED to reconcile).</t>
        </is>
      </c>
      <c r="G564" s="11" t="inlineStr">
        <is>
          <t>months = surplus by month(op, debts)
the answer = Σ over months of (amount)÷ 12</t>
        </is>
      </c>
      <c r="H564" s="3" t="inlineStr">
        <is>
          <t>Months is surplus by month(op, debts). The answer: the amount added up across months÷ 12.</t>
        </is>
      </c>
      <c r="I564" s="3" t="inlineStr">
        <is>
          <t>READ FROM THE CODE — rendered from the expressions the function runs</t>
        </is>
      </c>
      <c r="J564" s="3" t="inlineStr">
        <is>
          <t>1. op: OnboardingProfile | null
2. debts: Debt[] = []</t>
        </is>
      </c>
      <c r="K564" s="3" t="inlineStr">
        <is>
          <t>number</t>
        </is>
      </c>
      <c r="L564" s="3" t="inlineStr">
        <is>
          <t>"Free to put to work each month" — on the Goals together screen, under "CAN YOU DO IT ALL?"</t>
        </is>
      </c>
      <c r="M564" s="3" t="inlineStr">
        <is>
          <t>None found in this function — anything it assumes comes from the functions it depends on.</t>
        </is>
      </c>
      <c r="N564" s="3" t="inlineStr">
        <is>
          <t>Yes</t>
        </is>
      </c>
      <c r="O564" s="3" t="inlineStr">
        <is>
          <t>MK-XS-F-028 surplusByMonth</t>
        </is>
      </c>
      <c r="P564" s="3" t="n">
        <v>127</v>
      </c>
      <c r="Q56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MK-CF-F-192 inflowLabel
104. MK-CF-F-140 periodsAYear
105. MK-ST-F-047 activeCurrency
106. MK-NW-F-077 ALL
107. MK-NW-F-059 currentYield
108. MK-NW-O-001 theBonds
109. MK-CF-F-193 inflowSourceWord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6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MK-XS-F-030</t>
        </is>
      </c>
      <c r="B565" s="3" t="inlineStr">
        <is>
          <t>effectiveAnnualContribution</t>
        </is>
      </c>
      <c r="C565" s="3" t="inlineStr">
        <is>
          <t>src/domain/snapshot.ts</t>
        </is>
      </c>
      <c r="D565" s="3" t="n">
        <v>65</v>
      </c>
      <c r="E565" s="3" t="inlineStr">
        <is>
          <t>3 · DEPENDENT</t>
        </is>
      </c>
      <c r="F565" s="3" t="inlineStr">
        <is>
          <t>NEGATIVE CASH FLOW DRAINS WEALTH — committed contributions don't create money.</t>
        </is>
      </c>
      <c r="G565"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5"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5" s="3" t="inlineStr">
        <is>
          <t>PARTLY READ — some of the code is still showing through; needs a hand pass</t>
        </is>
      </c>
      <c r="J565" s="3" t="inlineStr">
        <is>
          <t>op: Record&lt;string, any&gt; | null</t>
        </is>
      </c>
      <c r="K565" s="3" t="inlineStr">
        <is>
          <t>number</t>
        </is>
      </c>
      <c r="L565" s="3" t="inlineStr">
        <is>
          <t>—</t>
        </is>
      </c>
      <c r="M565" s="3" t="inlineStr">
        <is>
          <t>· Turns a monthly figure into a year by multiplying by twelve.</t>
        </is>
      </c>
      <c r="N565" s="3" t="inlineStr">
        <is>
          <t>Yes</t>
        </is>
      </c>
      <c r="O565" s="3" t="inlineStr">
        <is>
          <t>1. MK-NW-F-041 monthlyContributionsFromOnboarding
2. MK-CF-F-011 savingsByMonth
3. MK-ST-F-052 toNum</t>
        </is>
      </c>
      <c r="P565" s="3" t="n">
        <v>106</v>
      </c>
      <c r="Q565"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5"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5" s="3" t="inlineStr">
        <is>
          <t>—</t>
        </is>
      </c>
      <c r="T565" s="3" t="inlineStr">
        <is>
          <t>—</t>
        </is>
      </c>
      <c r="U565" s="3" t="inlineStr">
        <is>
          <t>ACTIVE</t>
        </is>
      </c>
      <c r="V565" s="3" t="inlineStr">
        <is>
          <t>2026-09-12</t>
        </is>
      </c>
      <c r="W565" s="3" t="n"/>
      <c r="X565" s="3" t="n"/>
      <c r="Y565" s="3" t="inlineStr">
        <is>
          <t>NOTHING OPEN</t>
        </is>
      </c>
    </row>
    <row r="566" ht="60" customHeight="1">
      <c r="A566" s="3" t="inlineStr">
        <is>
          <t>MK-XS-F-031</t>
        </is>
      </c>
      <c r="B566" s="3" t="inlineStr">
        <is>
          <t>buildSnapshot</t>
        </is>
      </c>
      <c r="C566" s="3" t="inlineStr">
        <is>
          <t>src/domain/snapshot.ts</t>
        </is>
      </c>
      <c r="D566" s="3" t="n">
        <v>124</v>
      </c>
      <c r="E566" s="3" t="inlineStr">
        <is>
          <t>2 · DISPLAYED</t>
        </is>
      </c>
      <c r="F566" s="3" t="inlineStr">
        <is>
          <t>Build a snapshot from EXPLICIT net-worth rows.</t>
        </is>
      </c>
      <c r="G56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1. If current age is missing it uses 35.
2. If target retirement age is missing it uses 65.
3. If plan to age is missing it uses 90.</t>
        </is>
      </c>
      <c r="N566" s="3" t="inlineStr">
        <is>
          <t>Yes</t>
        </is>
      </c>
      <c r="O56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6" s="3" t="n">
        <v>227</v>
      </c>
      <c r="Q56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MK-CF-F-207 SOURCE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MK-CF-O-016 incomeSources
186. MK-CF-O-001 basePay
187. MK-CF-F-179 entryFromWage
188. MK-CF-F-103 marginalBracketFor
189. MK-CF-F-165 salaryMonths
190. MK-ST-F-047 activeCurrency
191. MK-XS-F-064 currentIdToken
192. MK-XS-F-112 relayUrl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MK-XS-F-180 declareFigures
206. MK-HM-F-005 pctTxt
207. MK-NW-F-078 ONE
208. MK-CF-F-157 debtPaymentsByDebt
209. MK-CF-F-192 inflowLabel
210. MK-CF-F-142 monthsOf
211. MK-CF-F-141 perMonth
212. MK-NW-F-077 ALL
213. MK-NW-F-059 currentYield
214. MK-NW-O-001 theBonds
215. MK-CF-F-193 inflowSourceWord
216. MK-CF-F-140 periodsAYear
217. MK-NW-F-057 annualCoupon
218. MK-NW-F-056 bondInfo
219. MK-NW-F-064 bondRateSensitivity
220. MK-NW-F-061 bondSummary
221. MK-NW-F-055 isBond
222. MK-NW-F-072 rowOf
223. MK-NW-F-060 approxYTM
224. MK-NW-F-069 priceAtYield
225. MK-NW-F-070 accruedInterestCaveat
226. MK-NW-F-071 isCertificateOfDeposit
227. MK-NW-F-058 yearsToMaturity</t>
        </is>
      </c>
      <c r="R56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MK-XS-F-032</t>
        </is>
      </c>
      <c r="B567" s="3" t="inlineStr">
        <is>
          <t>snapshotFromOnboarding</t>
        </is>
      </c>
      <c r="C567" s="3" t="inlineStr">
        <is>
          <t>src/domain/snapshot.ts</t>
        </is>
      </c>
      <c r="D567" s="3" t="n">
        <v>198</v>
      </c>
      <c r="E567" s="3" t="inlineStr">
        <is>
          <t>3 · DEPENDENT (feeds an action only)</t>
        </is>
      </c>
      <c r="F567" s="3" t="inlineStr">
        <is>
          <t>Snapshot from onboarding answers alone — for headless/test callers (and any surface that runs before Net Worth is set up).</t>
        </is>
      </c>
      <c r="G567" s="11" t="inlineStr">
        <is>
          <t>build snapshot(uid, op, econ, assets from onboarding(uid, op).accounts, debts from onboarding(uid, op).debts)</t>
        </is>
      </c>
      <c r="H567" s="3" t="inlineStr">
        <is>
          <t>build snapshot(uid, op, econ, assets from onboarding(uid, op).accounts, debts from onboarding(uid, op).debts).</t>
        </is>
      </c>
      <c r="I567" s="3" t="inlineStr">
        <is>
          <t>PARTLY READ — some of the code is still showing through; needs a hand pass</t>
        </is>
      </c>
      <c r="J567" s="3" t="inlineStr">
        <is>
          <t>1. uid: UserId
2. op: Record&lt;string, any&gt; | null
3. econ: EconomicData</t>
        </is>
      </c>
      <c r="K567" s="3" t="inlineStr">
        <is>
          <t>FinancialSnapshot</t>
        </is>
      </c>
      <c r="L567" s="3" t="inlineStr">
        <is>
          <t>—</t>
        </is>
      </c>
      <c r="M567" s="3" t="inlineStr">
        <is>
          <t>None found in this function — anything it assumes comes from the functions it depends on.</t>
        </is>
      </c>
      <c r="N567" s="3" t="inlineStr">
        <is>
          <t>No</t>
        </is>
      </c>
      <c r="O567" s="3" t="inlineStr">
        <is>
          <t>1. MK-NW-F-040 assetsFromOnboarding
2. MK-XS-F-031 buildSnapshot
3. MK-CF-F-038 debtsFromOnboarding
4. MK-XS-F-175 uid</t>
        </is>
      </c>
      <c r="P567" s="3" t="n">
        <v>228</v>
      </c>
      <c r="Q56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MK-CF-F-207 SOURCE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MK-CF-O-016 incomeSources
190. MK-CF-O-001 basePay
191. MK-CF-F-179 entryFromWage
192. MK-CF-F-103 marginalBracketFor
193. MK-CF-F-165 salaryMonths
194. MK-CF-O-003 thisMonth
195. MK-CF-F-171 earnerPay
196. MK-CF-F-204 line
197. MK-HM-F-006 money0
198. MK-CF-F-198 payrollTaxWithheld
199. MK-CF-F-005 actualMonthFlow
200. MK-CF-F-156 plannedMonthFlow
201. MK-CF-F-143 annualisedGross
202. MK-CF-F-145 deductionsFromPay
203. MK-CF-F-128 grossByMonth
204. MK-CF-F-146 payFiguresAgree
205. MK-CF-F-144 takeHomeAsEntered
206. MK-XS-F-180 declareFigures
207. MK-HM-F-005 pctTxt
208. MK-NW-F-078 ONE
209. MK-CF-F-157 debtPaymentsByDebt
210. MK-CF-F-192 inflowLabel
211. MK-CF-F-142 monthsOf
212. MK-CF-F-141 perMonth
213. MK-NW-F-077 ALL
214. MK-NW-F-059 currentYield
215. MK-NW-O-001 theBonds
216. MK-CF-F-193 inflowSourceWord
217. MK-CF-F-140 periodsAYear
218. MK-NW-F-057 annualCoupon
219. MK-NW-F-056 bondInfo
220. MK-NW-F-064 bondRateSensitivity
221. MK-NW-F-061 bondSummary
222. MK-NW-F-055 isBond
223. MK-NW-F-072 rowOf
224. MK-NW-F-060 approxYTM
225. MK-NW-F-069 priceAtYield
226. MK-NW-F-070 accruedInterestCaveat
227. MK-NW-F-071 isCertificateOfDeposit
228. MK-NW-F-058 yearsToMaturity</t>
        </is>
      </c>
      <c r="R56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MK-XS-F-033</t>
        </is>
      </c>
      <c r="B568" s="3" t="inlineStr">
        <is>
          <t>resolveNetWorthRows</t>
        </is>
      </c>
      <c r="C568" s="3" t="inlineStr">
        <is>
          <t>src/domain/snapshot.ts</t>
        </is>
      </c>
      <c r="D568" s="3" t="n">
        <v>226</v>
      </c>
      <c r="E568" s="3" t="inlineStr">
        <is>
          <t>2 · DISPLAYED</t>
        </is>
      </c>
      <c r="F568" s="3" t="inlineStr">
        <is>
          <t>The single rule for which net-worth rows a live UI surface should use, so Home + TopBar + the Net Worth screen never disagree (B-49).</t>
        </is>
      </c>
      <c r="G568" s="11" t="inlineStr">
        <is>
          <t>use live = nw seeded (or live accounts.length &gt; 0 (or live liabilities.length &gt; 0 when missing or zero) when missing or zero)</t>
        </is>
      </c>
      <c r="H568" s="3" t="inlineStr">
        <is>
          <t>Use live is nw seeded (or live accounts.length &gt; 0 (or live liabilities.length &gt; 0 — when missing or zero) — when missing or zero).</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1. MK-NW-F-040 assetsFromOnboarding
2. MK-CF-F-038 debtsFromOnboarding
3. MK-XS-F-175 uid</t>
        </is>
      </c>
      <c r="P568" s="3" t="n">
        <v>80</v>
      </c>
      <c r="Q56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6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8" s="3" t="inlineStr">
        <is>
          <t>—</t>
        </is>
      </c>
      <c r="T568" s="3" t="inlineStr">
        <is>
          <t>NET_WORTH_ROWS</t>
        </is>
      </c>
      <c r="U568" s="3" t="inlineStr">
        <is>
          <t>ACTIVE</t>
        </is>
      </c>
      <c r="V568" s="3" t="inlineStr">
        <is>
          <t>2026-08-27</t>
        </is>
      </c>
      <c r="W568" s="3" t="n"/>
      <c r="X568" s="3" t="n"/>
      <c r="Y568" s="3" t="inlineStr">
        <is>
          <t>NOTHING OPEN</t>
        </is>
      </c>
    </row>
    <row r="569" ht="45" customHeight="1">
      <c r="A569" s="3" t="inlineStr">
        <is>
          <t>MK-XS-F-034</t>
        </is>
      </c>
      <c r="B569" s="3" t="inlineStr">
        <is>
          <t>isLockAvailable</t>
        </is>
      </c>
      <c r="C569" s="3" t="inlineStr">
        <is>
          <t>src/services/appLock.ts</t>
        </is>
      </c>
      <c r="D569" s="3" t="n">
        <v>54</v>
      </c>
      <c r="E569" s="3" t="inlineStr">
        <is>
          <t>2 · DISPLAYED</t>
        </is>
      </c>
      <c r="F569" s="3" t="inlineStr">
        <is>
          <t>True only when the device has biometric hardware AND the user has enrolled a biometric/passcode.</t>
        </is>
      </c>
      <c r="G569" s="11" t="inlineStr">
        <is>
          <t>m = load()
false   when has hardware async is missing
the answer = !!has hw and !!enrolled</t>
        </is>
      </c>
      <c r="H569" s="3" t="inlineStr">
        <is>
          <t>M is load(). When has hardware async is missing, it answers false. The answer is !!has hw and !!enrolled.</t>
        </is>
      </c>
      <c r="I569" s="3" t="inlineStr">
        <is>
          <t>READ FROM THE CODE — rendered from the expressions the function runs</t>
        </is>
      </c>
      <c r="J569" s="3" t="inlineStr">
        <is>
          <t>Nothing is handed to it</t>
        </is>
      </c>
      <c r="K569" s="3" t="inlineStr">
        <is>
          <t>Promise&lt;boolean&gt;</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MK-XS-F-132 load</t>
        </is>
      </c>
      <c r="P569" s="3" t="n">
        <v>1</v>
      </c>
      <c r="Q569" s="3" t="inlineStr">
        <is>
          <t>MK-XS-F-132 load</t>
        </is>
      </c>
      <c r="R569" s="3" t="inlineStr">
        <is>
          <t>MK-XS-F-132 load → MK-XS-F-034 isLockAvailable</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MK-XS-F-035</t>
        </is>
      </c>
      <c r="B570" s="3" t="inlineStr">
        <is>
          <t>authenticate</t>
        </is>
      </c>
      <c r="C570" s="3" t="inlineStr">
        <is>
          <t>src/services/appLock.ts</t>
        </is>
      </c>
      <c r="D570" s="3" t="n">
        <v>87</v>
      </c>
      <c r="E570" s="3" t="inlineStr">
        <is>
          <t>2 · DISPLAYED</t>
        </is>
      </c>
      <c r="F570" s="3" t="inlineStr">
        <is>
          <t>Prompt for Face ID / Touch ID / device passcode.</t>
        </is>
      </c>
      <c r="G570" s="11" t="inlineStr">
        <is>
          <t>m = load()
false   when authenticate async is missing
res = await authenticate async({ prompt message: reason, disable device fallback: false })
the answer = !!res.success</t>
        </is>
      </c>
      <c r="H570" s="3" t="inlineStr">
        <is>
          <t>M is load(). When authenticate async is missing, it answers false. Res is await authenticate async({ prompt message: reason, disable device fallback: false }). The answer is !!res.success.</t>
        </is>
      </c>
      <c r="I570" s="3" t="inlineStr">
        <is>
          <t>READ FROM THE CODE — rendered from the expressions the function runs</t>
        </is>
      </c>
      <c r="J570" s="3" t="inlineStr">
        <is>
          <t>reason = 'Unlock MoneyKeel'</t>
        </is>
      </c>
      <c r="K570" s="3" t="inlineStr">
        <is>
          <t>Promise&lt;boolean&gt;</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MK-XS-F-132 load</t>
        </is>
      </c>
      <c r="P570" s="3" t="n">
        <v>1</v>
      </c>
      <c r="Q570" s="3" t="inlineStr">
        <is>
          <t>MK-XS-F-132 load</t>
        </is>
      </c>
      <c r="R570" s="3" t="inlineStr">
        <is>
          <t>MK-XS-F-132 load → MK-XS-F-035 authenticate</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MK-XS-F-036</t>
        </is>
      </c>
      <c r="B571" s="3" t="inlineStr">
        <is>
          <t>initCrashReporting</t>
        </is>
      </c>
      <c r="C571" s="3" t="inlineStr">
        <is>
          <t>src/services/crashReporter.ts</t>
        </is>
      </c>
      <c r="D571" s="3" t="n">
        <v>57</v>
      </c>
      <c r="E571" s="3" t="inlineStr">
        <is>
          <t>1 · ACTION</t>
        </is>
      </c>
      <c r="F571" s="3" t="inlineStr">
        <is>
          <t>Initialise crash reporting once, at app start.</t>
        </is>
      </c>
      <c r="G571" s="11" t="inlineStr">
        <is>
          <t>dsn = (constants.expo config.extra as any).SENTRY_DSN (or process.env.SENTRY_DSN (or '' when missing or zero) when missing or zero)
s = load sentry()</t>
        </is>
      </c>
      <c r="H571" s="3" t="inlineStr">
        <is>
          <t>Dsn is (constants.expo config.extra as any).SENTRY_DSN (or process.env.SENTRY_DSN (or '' — when missing or zero) — when missing or zero). S is load sentry().</t>
        </is>
      </c>
      <c r="I571" s="3" t="inlineStr">
        <is>
          <t>PARTLY READ — some of the code is still showing through; needs a hand pass</t>
        </is>
      </c>
      <c r="J571" s="3" t="inlineStr">
        <is>
          <t>Nothing is handed to it</t>
        </is>
      </c>
      <c r="K571" s="3" t="inlineStr">
        <is>
          <t>void</t>
        </is>
      </c>
      <c r="L571" s="3" t="inlineStr">
        <is>
          <t>—</t>
        </is>
      </c>
      <c r="M571" s="3" t="inlineStr">
        <is>
          <t>None found in this function — anything it assumes comes from the functions it depends on.</t>
        </is>
      </c>
      <c r="N571" s="3" t="inlineStr">
        <is>
          <t>Yes</t>
        </is>
      </c>
      <c r="O571" s="3" t="inlineStr">
        <is>
          <t>1. MK-XS-F-037 captureException
2. MK-XS-F-134 installGlobalHandler
3. MK-XS-F-133 loadSentry</t>
        </is>
      </c>
      <c r="P571" s="3" t="n">
        <v>3</v>
      </c>
      <c r="Q571" s="3" t="inlineStr">
        <is>
          <t>1. MK-XS-F-037 captureException
2. MK-XS-F-134 installGlobalHandler
3. MK-XS-F-133 loadSentry</t>
        </is>
      </c>
      <c r="R571" s="3" t="inlineStr">
        <is>
          <t>1. MK-XS-F-037 captureException → MK-XS-F-036 initCrashReporting
2. MK-XS-F-037 captureException → MK-XS-F-134 installGlobalHandler → MK-XS-F-036 initCrashReporting
3. MK-XS-F-133 loadSentry → MK-XS-F-036 initCrashReporting</t>
        </is>
      </c>
      <c r="S571" s="3" t="inlineStr">
        <is>
          <t>—</t>
        </is>
      </c>
      <c r="T571" s="3" t="inlineStr">
        <is>
          <t>—</t>
        </is>
      </c>
      <c r="U571" s="3" t="inlineStr">
        <is>
          <t>ACTIVE</t>
        </is>
      </c>
      <c r="V571" s="3" t="inlineStr">
        <is>
          <t>2026-08-27</t>
        </is>
      </c>
      <c r="W571" s="3" t="n"/>
      <c r="X571" s="3" t="n"/>
      <c r="Y571" s="3" t="inlineStr">
        <is>
          <t>NOTHING OPEN</t>
        </is>
      </c>
    </row>
    <row r="572" ht="30" customHeight="1">
      <c r="A572" s="3" t="inlineStr">
        <is>
          <t>MK-XS-F-037</t>
        </is>
      </c>
      <c r="B572" s="3" t="inlineStr">
        <is>
          <t>captureException</t>
        </is>
      </c>
      <c r="C572" s="3" t="inlineStr">
        <is>
          <t>src/services/crashReporter.ts</t>
        </is>
      </c>
      <c r="D572" s="3" t="n">
        <v>126</v>
      </c>
      <c r="E572" s="3" t="inlineStr">
        <is>
          <t>1 · ACTION</t>
        </is>
      </c>
      <c r="F572" s="3" t="inlineStr">
        <is>
          <t>Report a caught error.</t>
        </is>
      </c>
      <c r="G572" s="11" t="inlineStr">
        <is>
          <t>It records or announces something and returns no figure — no arithmetic of its own.</t>
        </is>
      </c>
      <c r="H572" s="3" t="inlineStr">
        <is>
          <t>It records or announces something and returns no figure — no arithmetic of its own.</t>
        </is>
      </c>
      <c r="I572" s="3" t="inlineStr">
        <is>
          <t>NO ARITHMETIC — there is no formula to state</t>
        </is>
      </c>
      <c r="J572" s="3" t="inlineStr">
        <is>
          <t>1. error: unknown
2. extra?: Extra</t>
        </is>
      </c>
      <c r="K572" s="3" t="inlineStr">
        <is>
          <t>void</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30" customHeight="1">
      <c r="A573" s="3" t="inlineStr">
        <is>
          <t>MK-XS-F-038</t>
        </is>
      </c>
      <c r="B573" s="3" t="inlineStr">
        <is>
          <t>setUserScope</t>
        </is>
      </c>
      <c r="C573" s="3" t="inlineStr">
        <is>
          <t>src/services/crashReporter.ts</t>
        </is>
      </c>
      <c r="D573" s="3" t="n">
        <v>154</v>
      </c>
      <c r="E573" s="3" t="inlineStr">
        <is>
          <t>1 · ACTION</t>
        </is>
      </c>
      <c r="F573" s="3" t="inlineStr">
        <is>
          <t>Tag the current user on reports (call after login; pass null on logout).</t>
        </is>
      </c>
      <c r="G573" s="11" t="inlineStr">
        <is>
          <t>It records or announces something and returns no figure — no arithmetic of its own.</t>
        </is>
      </c>
      <c r="H573" s="3" t="inlineStr">
        <is>
          <t>It records or announces something and returns no figure — no arithmetic of its own.</t>
        </is>
      </c>
      <c r="I573" s="3" t="inlineStr">
        <is>
          <t>NO ARITHMETIC — there is no formula to state</t>
        </is>
      </c>
      <c r="J573" s="3" t="inlineStr">
        <is>
          <t>uid: string | null</t>
        </is>
      </c>
      <c r="K573" s="3" t="inlineStr">
        <is>
          <t>void</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MK-XS-F-039</t>
        </is>
      </c>
      <c r="B574" s="3" t="inlineStr">
        <is>
          <t>crashReportingEnabled</t>
        </is>
      </c>
      <c r="C574" s="3" t="inlineStr">
        <is>
          <t>src/services/crashReporter.ts</t>
        </is>
      </c>
      <c r="D574" s="3" t="n">
        <v>180</v>
      </c>
      <c r="E574" s="3" t="inlineStr">
        <is>
          <t>3 · DEPENDENT (feeds an action only)</t>
        </is>
      </c>
      <c r="F574" s="3" t="inlineStr">
        <is>
          <t>Whether reports are actually shipping to Sentry (DSN + SDK present).</t>
        </is>
      </c>
      <c r="G574" s="11" t="inlineStr">
        <is>
          <t>enabled</t>
        </is>
      </c>
      <c r="H574" s="3" t="inlineStr">
        <is>
          <t>enabled.</t>
        </is>
      </c>
      <c r="I574" s="3" t="inlineStr">
        <is>
          <t>READ FROM THE CODE — rendered from the expressions the function runs</t>
        </is>
      </c>
      <c r="J574" s="3" t="inlineStr">
        <is>
          <t>Nothing is handed to it</t>
        </is>
      </c>
      <c r="K574" s="3" t="inlineStr">
        <is>
          <t>boolean</t>
        </is>
      </c>
      <c r="L574" s="3" t="inlineStr">
        <is>
          <t>—</t>
        </is>
      </c>
      <c r="M574" s="3" t="inlineStr">
        <is>
          <t>None found in this function — anything it assumes comes from the functions it depends on.</t>
        </is>
      </c>
      <c r="N574" s="3" t="inlineStr">
        <is>
          <t>No</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MK-XS-F-040</t>
        </is>
      </c>
      <c r="B575" s="3" t="inlineStr">
        <is>
          <t>sendTestReport</t>
        </is>
      </c>
      <c r="C575" s="3" t="inlineStr">
        <is>
          <t>src/services/crashReporter.ts</t>
        </is>
      </c>
      <c r="D575" s="3" t="n">
        <v>202</v>
      </c>
      <c r="E575" s="3" t="inlineStr">
        <is>
          <t>2 · DISPLAYED</t>
        </is>
      </c>
      <c r="F575" s="3" t="inlineStr">
        <is>
          <t>B-L2 verification: send a harmless test event so you can confirm wiring in the Sentry dashboard (works on the production/TestFlight build).</t>
        </is>
      </c>
      <c r="G575" s="11" t="inlineStr">
        <is>
          <t>enabled</t>
        </is>
      </c>
      <c r="H575" s="3" t="inlineStr">
        <is>
          <t>enabled.</t>
        </is>
      </c>
      <c r="I575" s="3" t="inlineStr">
        <is>
          <t>READ FROM THE CODE — rendered from the expressions the function runs</t>
        </is>
      </c>
      <c r="J575" s="3" t="inlineStr">
        <is>
          <t>Nothing is handed to it</t>
        </is>
      </c>
      <c r="K575" s="3" t="inlineStr">
        <is>
          <t>boolean</t>
        </is>
      </c>
      <c r="L575" s="3" t="inlineStr">
        <is>
          <t>"Hide balances" — on the Settings screen, under "Security"</t>
        </is>
      </c>
      <c r="M575" s="3" t="inlineStr">
        <is>
          <t>None found in this function — anything it assumes comes from the functions it depends on.</t>
        </is>
      </c>
      <c r="N575" s="3" t="inlineStr">
        <is>
          <t>Yes</t>
        </is>
      </c>
      <c r="O575" s="3" t="inlineStr">
        <is>
          <t>MK-XS-F-037 captureException</t>
        </is>
      </c>
      <c r="P575" s="3" t="n">
        <v>1</v>
      </c>
      <c r="Q575" s="3" t="inlineStr">
        <is>
          <t>MK-XS-F-037 captureException</t>
        </is>
      </c>
      <c r="R575" s="3" t="inlineStr">
        <is>
          <t>MK-XS-F-037 captureException → MK-XS-F-040 sendTestReport</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MK-XS-F-041</t>
        </is>
      </c>
      <c r="B576" s="3" t="inlineStr">
        <is>
          <t>cacheDataKey</t>
        </is>
      </c>
      <c r="C576" s="3" t="inlineStr">
        <is>
          <t>src/services/dataCrypto.ts</t>
        </is>
      </c>
      <c r="D576" s="3" t="n">
        <v>122</v>
      </c>
      <c r="E576" s="3" t="inlineStr">
        <is>
          <t>1 · ACTION</t>
        </is>
      </c>
      <c r="F576" s="3" t="inlineStr">
        <is>
          <t>── DEK lifecycle (the cached, unwrapped key the sync layer uses) ───── Cache the unwrapped DEK (memory + keychain).</t>
        </is>
      </c>
      <c r="G576" s="11" t="inlineStr">
        <is>
          <t>keeps the data-encryption key in memory and in the device's secure store</t>
        </is>
      </c>
      <c r="H576" s="3" t="inlineStr">
        <is>
          <t>Stores the data-encryption key in memory and in the secure keychain. Not a calculation.</t>
        </is>
      </c>
      <c r="I576" s="3" t="inlineStr">
        <is>
          <t>READ BY HAND 2026-08-26 — checked line by line against the code</t>
        </is>
      </c>
      <c r="J576" s="3" t="inlineStr">
        <is>
          <t>dek: string</t>
        </is>
      </c>
      <c r="K576" s="3" t="inlineStr">
        <is>
          <t>Promise&lt;void&gt;</t>
        </is>
      </c>
      <c r="L576" s="3" t="inlineStr">
        <is>
          <t>—</t>
        </is>
      </c>
      <c r="M576" s="3" t="inlineStr">
        <is>
          <t>None found in this function — anything it assumes comes from the functions it depends on.</t>
        </is>
      </c>
      <c r="N576" s="3" t="inlineStr">
        <is>
          <t>Yes</t>
        </is>
      </c>
      <c r="O576" s="3" t="inlineStr">
        <is>
          <t>MK-XS-F-136 secureSet</t>
        </is>
      </c>
      <c r="P576" s="3" t="n">
        <v>1</v>
      </c>
      <c r="Q576" s="3" t="inlineStr">
        <is>
          <t>MK-XS-F-136 secureSet</t>
        </is>
      </c>
      <c r="R576" s="3" t="inlineStr">
        <is>
          <t>MK-XS-F-136 secureSet → MK-XS-F-041 cacheDataKey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MK-XS-F-042</t>
        </is>
      </c>
      <c r="B577" s="3" t="inlineStr">
        <is>
          <t>getDataKey</t>
        </is>
      </c>
      <c r="C577" s="3" t="inlineStr">
        <is>
          <t>src/services/dataCrypto.ts</t>
        </is>
      </c>
      <c r="D577" s="3" t="n">
        <v>150</v>
      </c>
      <c r="E577" s="3" t="inlineStr">
        <is>
          <t>3 · DEPENDENT</t>
        </is>
      </c>
      <c r="F577" s="3" t="inlineStr">
        <is>
          <t>The cached DEK (memory → keychain), or null if it hasn't been unwrapped on this install yet.</t>
        </is>
      </c>
      <c r="G577" s="11" t="inlineStr">
        <is>
          <t>cached key   when cached key
cached key</t>
        </is>
      </c>
      <c r="H577" s="3" t="inlineStr">
        <is>
          <t>When cached key, it answers cached key. cached key.</t>
        </is>
      </c>
      <c r="I577" s="3" t="inlineStr">
        <is>
          <t>READ FROM THE CODE — rendered from the expressions the function runs</t>
        </is>
      </c>
      <c r="J577" s="3" t="inlineStr">
        <is>
          <t>Nothing is handed to it</t>
        </is>
      </c>
      <c r="K577" s="3" t="inlineStr">
        <is>
          <t>Promise&lt;string | null&gt;</t>
        </is>
      </c>
      <c r="L577" s="3" t="inlineStr">
        <is>
          <t>—</t>
        </is>
      </c>
      <c r="M577" s="3" t="inlineStr">
        <is>
          <t>None found in this function — anything it assumes comes from the functions it depends on.</t>
        </is>
      </c>
      <c r="N577" s="3" t="inlineStr">
        <is>
          <t>Yes</t>
        </is>
      </c>
      <c r="O577" s="3" t="inlineStr">
        <is>
          <t>MK-XS-F-135 secureGet</t>
        </is>
      </c>
      <c r="P577" s="3" t="n">
        <v>1</v>
      </c>
      <c r="Q577" s="3" t="inlineStr">
        <is>
          <t>MK-XS-F-135 secureGet</t>
        </is>
      </c>
      <c r="R577" s="3" t="inlineStr">
        <is>
          <t>MK-XS-F-135 secureGet → MK-XS-F-042 getDataKey</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MK-XS-F-043</t>
        </is>
      </c>
      <c r="B578" s="3" t="inlineStr">
        <is>
          <t>clearDataKey</t>
        </is>
      </c>
      <c r="C578" s="3" t="inlineStr">
        <is>
          <t>src/services/dataCrypto.ts</t>
        </is>
      </c>
      <c r="D578" s="3" t="n">
        <v>174</v>
      </c>
      <c r="E578" s="3" t="inlineStr">
        <is>
          <t>1 · ACTION</t>
        </is>
      </c>
      <c r="F578" s="3" t="inlineStr">
        <is>
          <t>Forget the DEK (on logout / account deletion).</t>
        </is>
      </c>
      <c r="G578" s="11" t="inlineStr">
        <is>
          <t>forgets the data-encryption key in memory and in the secure store</t>
        </is>
      </c>
      <c r="H578" s="3" t="inlineStr">
        <is>
          <t>Removes the data-encryption key from memory and the secure keychain — done at sign-out. Not a calculation.</t>
        </is>
      </c>
      <c r="I578" s="3" t="inlineStr">
        <is>
          <t>READ BY HAND 2026-08-26 — checked line by line against the code</t>
        </is>
      </c>
      <c r="J578" s="3" t="inlineStr">
        <is>
          <t>Nothing is handed to it</t>
        </is>
      </c>
      <c r="K578" s="3" t="inlineStr">
        <is>
          <t>Promise&lt;void&gt;</t>
        </is>
      </c>
      <c r="L578" s="3" t="inlineStr">
        <is>
          <t>—</t>
        </is>
      </c>
      <c r="M578" s="3" t="inlineStr">
        <is>
          <t>None found in this function — anything it assumes comes from the functions it depends on.</t>
        </is>
      </c>
      <c r="N578" s="3" t="inlineStr">
        <is>
          <t>Yes</t>
        </is>
      </c>
      <c r="O578" s="3" t="inlineStr">
        <is>
          <t>MK-XS-F-137 secureDelete</t>
        </is>
      </c>
      <c r="P578" s="3" t="n">
        <v>1</v>
      </c>
      <c r="Q578" s="3" t="inlineStr">
        <is>
          <t>MK-XS-F-137 secureDelete</t>
        </is>
      </c>
      <c r="R578" s="3" t="inlineStr">
        <is>
          <t>MK-XS-F-137 secureDelete → MK-XS-F-043 clearDataKey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MK-XS-F-044</t>
        </is>
      </c>
      <c r="B579" s="3" t="inlineStr">
        <is>
          <t>generateDataKey</t>
        </is>
      </c>
      <c r="C579" s="3" t="inlineStr">
        <is>
          <t>src/services/dataCrypto.ts</t>
        </is>
      </c>
      <c r="D579" s="3" t="n">
        <v>199</v>
      </c>
      <c r="E579" s="3" t="inlineStr">
        <is>
          <t>3 · DEPENDENT</t>
        </is>
      </c>
      <c r="F579" s="3" t="inlineStr">
        <is>
          <t>── Key generation ─────────────────────────────────────────────────── A fresh random 256-bit data key (hex).</t>
        </is>
      </c>
      <c r="G579" s="11" t="inlineStr">
        <is>
          <t>crypto js.lib.word array.random(32).to string(crypto js.enc.hex)</t>
        </is>
      </c>
      <c r="H579" s="3" t="inlineStr">
        <is>
          <t>crypto js.lib.word array.random(32).to string(crypto js.enc.hex).</t>
        </is>
      </c>
      <c r="I579" s="3" t="inlineStr">
        <is>
          <t>PARTLY READ — some of the code is still showing through; needs a hand pass</t>
        </is>
      </c>
      <c r="J579" s="3" t="inlineStr">
        <is>
          <t>Nothing is handed to it</t>
        </is>
      </c>
      <c r="K579" s="3" t="inlineStr">
        <is>
          <t>string</t>
        </is>
      </c>
      <c r="L579" s="3" t="inlineStr">
        <is>
          <t>—</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MK-XS-F-045</t>
        </is>
      </c>
      <c r="B580" s="3" t="inlineStr">
        <is>
          <t>generateRecoveryCode</t>
        </is>
      </c>
      <c r="C580" s="3" t="inlineStr">
        <is>
          <t>src/services/dataCrypto.ts</t>
        </is>
      </c>
      <c r="D580" s="3" t="n">
        <v>227</v>
      </c>
      <c r="E580" s="3" t="inlineStr">
        <is>
          <t>3 · DEPENDENT</t>
        </is>
      </c>
      <c r="F580" s="3" t="inlineStr">
        <is>
          <t>A human-friendly recovery code, e.g.</t>
        </is>
      </c>
      <c r="G580" s="11" t="inlineStr">
        <is>
          <t>bytes = crypto js.lib.word array.random(20)
words = bytes.words
out = ''
byte = (words[i &gt;&gt;&gt; 2] &gt;&gt;&gt; (24 − (i % 4) × 8)) &amp; 0xff
the answer = (out.match( ÷ .{1,4} ÷ g) as string[]).join('-')</t>
        </is>
      </c>
      <c r="H580" s="3" t="inlineStr">
        <is>
          <t>Bytes is crypto js.lib.word array.random(20). Words is bytes.words. Out is ''. Byte is (words[i &gt;&gt;&gt; 2] &gt;&gt;&gt; (24 minus (i % 4) times 8)) &amp; 0xff. The answer is (out.match( divided by .{1,4} divided by g) as string[]).join('-').</t>
        </is>
      </c>
      <c r="I580" s="3" t="inlineStr">
        <is>
          <t>PARTLY READ — some of the code is still showing through; needs a hand pass</t>
        </is>
      </c>
      <c r="J580" s="3" t="inlineStr">
        <is>
          <t>Nothing is handed to it</t>
        </is>
      </c>
      <c r="K580" s="3" t="inlineStr">
        <is>
          <t>string</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MK-XS-F-046</t>
        </is>
      </c>
      <c r="B581" s="3" t="inlineStr">
        <is>
          <t>makeEnvelope</t>
        </is>
      </c>
      <c r="C581" s="3" t="inlineStr">
        <is>
          <t>src/services/dataCrypto.ts</t>
        </is>
      </c>
      <c r="D581" s="3" t="n">
        <v>310</v>
      </c>
      <c r="E581" s="3" t="inlineStr">
        <is>
          <t>3 · DEPENDENT</t>
        </is>
      </c>
      <c r="F581" s="3" t="inlineStr">
        <is>
          <t>Build the stored envelope: the DEK locked by both the password and the recovery code.</t>
        </is>
      </c>
      <c r="G581" s="11" t="inlineStr">
        <is>
          <t>p = wrap with secret(dek, uid, password)
r = wrap with secret(dek, uid, recovery code)</t>
        </is>
      </c>
      <c r="H581" s="3" t="inlineStr">
        <is>
          <t>p = wrap with secret(dek, uid, password); r = wrap with secret(dek, uid, recovery code).</t>
        </is>
      </c>
      <c r="I581" s="3" t="inlineStr">
        <is>
          <t>READ FROM THE CODE — rendered from the expressions the function runs</t>
        </is>
      </c>
      <c r="J581" s="3" t="inlineStr">
        <is>
          <t>1. dek: string
2. uid: string
3. password: string
4. recoveryCode: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83</v>
      </c>
      <c r="Q581"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MK-XS-F-047</t>
        </is>
      </c>
      <c r="B582" s="3" t="inlineStr">
        <is>
          <t>unwrapWithPassword</t>
        </is>
      </c>
      <c r="C582" s="3" t="inlineStr">
        <is>
          <t>src/services/dataCrypto.ts</t>
        </is>
      </c>
      <c r="D582" s="3" t="n">
        <v>333</v>
      </c>
      <c r="E582" s="3" t="inlineStr">
        <is>
          <t>3 · DEPENDENT</t>
        </is>
      </c>
      <c r="F582" s="3" t="inlineStr">
        <is>
          <t>Unlock the DEK with the password (null if the password is wrong / was reset).</t>
        </is>
      </c>
      <c r="G582" s="11" t="inlineStr">
        <is>
          <t>decrypt with key(env.p, derive key from secret(password, uid))   if env.p
nothing   otherwise</t>
        </is>
      </c>
      <c r="H582" s="3" t="inlineStr">
        <is>
          <t>decrypt with key(env.p, derive key from secret(password, uid)) — when env.p; no answer — otherwise.</t>
        </is>
      </c>
      <c r="I582" s="3" t="inlineStr">
        <is>
          <t>READ FROM THE CODE — rendered from the expressions the function runs</t>
        </is>
      </c>
      <c r="J582" s="3" t="inlineStr">
        <is>
          <t>1. env: KeyEnvelope
2. uid: string
3. password: string</t>
        </is>
      </c>
      <c r="K582" s="3" t="inlineStr">
        <is>
          <t>string | null</t>
        </is>
      </c>
      <c r="L582" s="3" t="inlineStr">
        <is>
          <t>—</t>
        </is>
      </c>
      <c r="M582" s="3" t="inlineStr">
        <is>
          <t>None found in this function — anything it assumes comes from the functions it depends on.</t>
        </is>
      </c>
      <c r="N582" s="3" t="inlineStr">
        <is>
          <t>Yes</t>
        </is>
      </c>
      <c r="O582" s="3" t="inlineStr">
        <is>
          <t>1. MK-XS-F-053 decryptWithKey
2. MK-XS-F-138 deriveKeyFromSecret
3. MK-XS-F-175 uid</t>
        </is>
      </c>
      <c r="P582" s="3" t="n">
        <v>83</v>
      </c>
      <c r="Q58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MK-XS-F-048</t>
        </is>
      </c>
      <c r="B583" s="3" t="inlineStr">
        <is>
          <t>unwrapWithRecovery</t>
        </is>
      </c>
      <c r="C583" s="3" t="inlineStr">
        <is>
          <t>src/services/dataCrypto.ts</t>
        </is>
      </c>
      <c r="D583" s="3" t="n">
        <v>356</v>
      </c>
      <c r="E583" s="3" t="inlineStr">
        <is>
          <t>3 · DEPENDENT</t>
        </is>
      </c>
      <c r="F583" s="3" t="inlineStr">
        <is>
          <t>Unlock the DEK with the recovery code (null if the code is wrong).</t>
        </is>
      </c>
      <c r="G583" s="11" t="inlineStr">
        <is>
          <t>decrypt with key(env.r, derive key from secret(recovery code, uid))   if env.r
nothing   otherwise</t>
        </is>
      </c>
      <c r="H583" s="3" t="inlineStr">
        <is>
          <t>decrypt with key(env.r, derive key from secret(recovery code, uid)) — when env.r; no answer — otherwise.</t>
        </is>
      </c>
      <c r="I583" s="3" t="inlineStr">
        <is>
          <t>READ FROM THE CODE — rendered from the expressions the function runs</t>
        </is>
      </c>
      <c r="J583" s="3" t="inlineStr">
        <is>
          <t>1. env: KeyEnvelope
2. uid: string
3. recoveryCode: string</t>
        </is>
      </c>
      <c r="K583" s="3" t="inlineStr">
        <is>
          <t>string | null</t>
        </is>
      </c>
      <c r="L583" s="3" t="inlineStr">
        <is>
          <t>—</t>
        </is>
      </c>
      <c r="M583" s="3" t="inlineStr">
        <is>
          <t>None found in this function — anything it assumes comes from the functions it depends on.</t>
        </is>
      </c>
      <c r="N583" s="3" t="inlineStr">
        <is>
          <t>Yes</t>
        </is>
      </c>
      <c r="O583" s="3" t="inlineStr">
        <is>
          <t>1. MK-XS-F-053 decryptWithKey
2. MK-XS-F-138 deriveKeyFromSecret
3. MK-XS-F-175 uid</t>
        </is>
      </c>
      <c r="P583" s="3" t="n">
        <v>83</v>
      </c>
      <c r="Q58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MK-XS-F-049</t>
        </is>
      </c>
      <c r="B584" s="3" t="inlineStr">
        <is>
          <t>rewrapPassword</t>
        </is>
      </c>
      <c r="C584" s="3" t="inlineStr">
        <is>
          <t>src/services/dataCrypto.ts</t>
        </is>
      </c>
      <c r="D584" s="3" t="n">
        <v>379</v>
      </c>
      <c r="E584" s="3" t="inlineStr">
        <is>
          <t>3 · DEPENDENT</t>
        </is>
      </c>
      <c r="F584" s="3" t="inlineStr">
        <is>
          <t>Re-lock an existing envelope's password copy under a new password (after a recovery-code restore).</t>
        </is>
      </c>
      <c r="G584" s="11" t="inlineStr">
        <is>
          <t>...env = ...env
p = wrap with secret(dek, uid, new password)</t>
        </is>
      </c>
      <c r="H584" s="3" t="inlineStr">
        <is>
          <t>...env = ...env; p = wrap with secret(dek, uid, new password).</t>
        </is>
      </c>
      <c r="I584" s="3" t="inlineStr">
        <is>
          <t>PARTLY READ — some of the code is still showing through; needs a hand pass</t>
        </is>
      </c>
      <c r="J584" s="3" t="inlineStr">
        <is>
          <t>1. env: KeyEnvelope
2. dek: string
3. uid: string
4. newPassword: string</t>
        </is>
      </c>
      <c r="K584" s="3" t="inlineStr">
        <is>
          <t>KeyEnvelope</t>
        </is>
      </c>
      <c r="L584" s="3" t="inlineStr">
        <is>
          <t>—</t>
        </is>
      </c>
      <c r="M584" s="3" t="inlineStr">
        <is>
          <t>None found in this function — anything it assumes comes from the functions it depends on.</t>
        </is>
      </c>
      <c r="N584" s="3" t="inlineStr">
        <is>
          <t>Yes</t>
        </is>
      </c>
      <c r="O584" s="3" t="inlineStr">
        <is>
          <t>1. MK-XS-F-175 uid
2. MK-XS-F-139 wrapWithSecret</t>
        </is>
      </c>
      <c r="P584" s="3" t="n">
        <v>83</v>
      </c>
      <c r="Q584"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MK-XS-F-050</t>
        </is>
      </c>
      <c r="B585" s="3" t="inlineStr">
        <is>
          <t>rewrapRecovery</t>
        </is>
      </c>
      <c r="C585" s="3" t="inlineStr">
        <is>
          <t>src/services/dataCrypto.ts</t>
        </is>
      </c>
      <c r="D585" s="3" t="n">
        <v>402</v>
      </c>
      <c r="E585" s="3" t="inlineStr">
        <is>
          <t>3 · DEPENDENT</t>
        </is>
      </c>
      <c r="F585" s="3" t="inlineStr">
        <is>
          <t>Replace an envelope's recovery copy with a new recovery code (rotate the code).</t>
        </is>
      </c>
      <c r="G585" s="11" t="inlineStr">
        <is>
          <t>...env = ...env
r = wrap with secret(dek, uid, recovery code)</t>
        </is>
      </c>
      <c r="H585" s="3" t="inlineStr">
        <is>
          <t>...env = ...env; r = wrap with secret(dek, uid, recovery code).</t>
        </is>
      </c>
      <c r="I585" s="3" t="inlineStr">
        <is>
          <t>READ FROM THE CODE — rendered from the expressions the function runs</t>
        </is>
      </c>
      <c r="J585" s="3" t="inlineStr">
        <is>
          <t>1. env: KeyEnvelope
2. dek: string
3. uid: string
4. recoveryCode: string</t>
        </is>
      </c>
      <c r="K585" s="3" t="inlineStr">
        <is>
          <t>KeyEnvelope</t>
        </is>
      </c>
      <c r="L585" s="3" t="inlineStr">
        <is>
          <t>—</t>
        </is>
      </c>
      <c r="M585" s="3" t="inlineStr">
        <is>
          <t>None found in this function — anything it assumes comes from the functions it depends on.</t>
        </is>
      </c>
      <c r="N585" s="3" t="inlineStr">
        <is>
          <t>Yes</t>
        </is>
      </c>
      <c r="O585" s="3" t="inlineStr">
        <is>
          <t>1. MK-XS-F-175 uid
2. MK-XS-F-139 wrapWithSecret</t>
        </is>
      </c>
      <c r="P585" s="3" t="n">
        <v>83</v>
      </c>
      <c r="Q585"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8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MK-XS-F-051</t>
        </is>
      </c>
      <c r="B586" s="3" t="inlineStr">
        <is>
          <t>isEncrypted</t>
        </is>
      </c>
      <c r="C586" s="3" t="inlineStr">
        <is>
          <t>src/services/dataCrypto.ts</t>
        </is>
      </c>
      <c r="D586" s="3" t="n">
        <v>429</v>
      </c>
      <c r="E586" s="3" t="inlineStr">
        <is>
          <t>3 · DEPENDENT</t>
        </is>
      </c>
      <c r="F586" s="3" t="inlineStr">
        <is>
          <t>── Low-level AES helpers (also used to wrap the DEK) ─────────────────</t>
        </is>
      </c>
      <c r="G586" s="11" t="inlineStr">
        <is>
          <t>typeof v = 'string' and (v as string).starts with(PREFIX)</t>
        </is>
      </c>
      <c r="H586" s="3" t="inlineStr">
        <is>
          <t>typeof v = 'string' and (v as string).starts with(PREFIX).</t>
        </is>
      </c>
      <c r="I586" s="3" t="inlineStr">
        <is>
          <t>PARTLY READ — some of the code is still showing through; needs a hand pass</t>
        </is>
      </c>
      <c r="J586" s="3" t="inlineStr">
        <is>
          <t>v: unknown</t>
        </is>
      </c>
      <c r="K586" s="3" t="inlineStr">
        <is>
          <t>boolean</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MK-XS-F-052</t>
        </is>
      </c>
      <c r="B587" s="3" t="inlineStr">
        <is>
          <t>encryptWithKey</t>
        </is>
      </c>
      <c r="C587" s="3" t="inlineStr">
        <is>
          <t>src/services/dataCrypto.ts</t>
        </is>
      </c>
      <c r="D587" s="3" t="n">
        <v>454</v>
      </c>
      <c r="E587" s="3" t="inlineStr">
        <is>
          <t>3 · DEPENDENT</t>
        </is>
      </c>
      <c r="F587" s="3" t="inlineStr">
        <is>
          <t>NOT DETERMINED — the code carries no note saying what this is for, and it has no row in the old inventory. Needs reading.</t>
        </is>
      </c>
      <c r="G587" s="11" t="inlineStr">
        <is>
          <t>PREFIX + crypto js.AES.encrypt(JSON.stringify(obj), key hex).to string()</t>
        </is>
      </c>
      <c r="H587" s="3" t="inlineStr">
        <is>
          <t>PREFIX plus crypto js.AES.encrypt(JSON.stringify(obj), key hex).to string().</t>
        </is>
      </c>
      <c r="I587" s="3" t="inlineStr">
        <is>
          <t>PARTLY READ — some of the code is still showing through; needs a hand pass</t>
        </is>
      </c>
      <c r="J587" s="3" t="inlineStr">
        <is>
          <t>1. obj: unknown
2. keyHex: string</t>
        </is>
      </c>
      <c r="K587" s="3" t="inlineStr">
        <is>
          <t>string</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MK-XS-F-053</t>
        </is>
      </c>
      <c r="B588" s="3" t="inlineStr">
        <is>
          <t>decryptWithKey</t>
        </is>
      </c>
      <c r="C588" s="3" t="inlineStr">
        <is>
          <t>src/services/dataCrypto.ts</t>
        </is>
      </c>
      <c r="D588" s="3" t="n">
        <v>485</v>
      </c>
      <c r="E588" s="3" t="inlineStr">
        <is>
          <t>3 · DEPENDENT</t>
        </is>
      </c>
      <c r="F588" s="3" t="inlineStr">
        <is>
          <t>Decrypt an 'enc:'-tagged blob.</t>
        </is>
      </c>
      <c r="G588" s="11" t="inlineStr">
        <is>
          <t>nothing   when !is encrypted(blob)
plain = crypto js.AES.decrypt(blob.slice(PREFIX.length), key hex).to string(crypto js.enc.utf8)
the answer:
JSON.parse(plain)   if plain
nothing   otherwise</t>
        </is>
      </c>
      <c r="H588" s="3" t="inlineStr">
        <is>
          <t>When !is encrypted(blob), it answers no answer. Plain is crypto js.AES.decrypt(blob.slice(PREFIX.length), key hex).to string(crypto js.enc.utf8). The answer is JSON.parse(plain) — when plain; no answer — otherwise.</t>
        </is>
      </c>
      <c r="I588" s="3" t="inlineStr">
        <is>
          <t>PARTLY READ — some of the code is still showing through; needs a hand pass</t>
        </is>
      </c>
      <c r="J588" s="3" t="inlineStr">
        <is>
          <t>1. blob: string
2. keyHex: string</t>
        </is>
      </c>
      <c r="K588" s="3" t="inlineStr">
        <is>
          <t>any | null</t>
        </is>
      </c>
      <c r="L588" s="3" t="inlineStr">
        <is>
          <t>—</t>
        </is>
      </c>
      <c r="M588" s="3" t="inlineStr">
        <is>
          <t>None found in this function — anything it assumes comes from the functions it depends on.</t>
        </is>
      </c>
      <c r="N588" s="3" t="inlineStr">
        <is>
          <t>Yes</t>
        </is>
      </c>
      <c r="O588" s="3" t="inlineStr">
        <is>
          <t>MK-XS-F-051 isEncrypted</t>
        </is>
      </c>
      <c r="P588" s="3" t="n">
        <v>1</v>
      </c>
      <c r="Q588" s="3" t="inlineStr">
        <is>
          <t>MK-XS-F-051 isEncrypted</t>
        </is>
      </c>
      <c r="R588" s="3" t="inlineStr">
        <is>
          <t>MK-XS-F-051 isEncrypted → MK-XS-F-053 decryptWithKey</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MK-XS-F-054</t>
        </is>
      </c>
      <c r="B589" s="3" t="inlineStr">
        <is>
          <t>encryptForSync</t>
        </is>
      </c>
      <c r="C589" s="3" t="inlineStr">
        <is>
          <t>src/services/dataCrypto.ts</t>
        </is>
      </c>
      <c r="D589" s="3" t="n">
        <v>519</v>
      </c>
      <c r="E589" s="3" t="inlineStr">
        <is>
          <t>3 · DEPENDENT</t>
        </is>
      </c>
      <c r="F589" s="3" t="inlineStr">
        <is>
          <t>── The sync layer's interface (operates on the cached DEK) ─────────── Encrypt a payload with the cached DEK.</t>
        </is>
      </c>
      <c r="G589" s="11" t="inlineStr">
        <is>
          <t>key = await get data key()
the answer:
encrypt with key(obj, key)   if key
nothing   otherwise</t>
        </is>
      </c>
      <c r="H589" s="3" t="inlineStr">
        <is>
          <t>Key is await get data key(). The answer is encrypt with key(obj, key) — when key; no answer — otherwise.</t>
        </is>
      </c>
      <c r="I589" s="3" t="inlineStr">
        <is>
          <t>READ FROM THE CODE — rendered from the expressions the function runs</t>
        </is>
      </c>
      <c r="J589" s="3" t="inlineStr">
        <is>
          <t>obj: unknown</t>
        </is>
      </c>
      <c r="K589" s="3" t="inlineStr">
        <is>
          <t>Promise&lt;string | null&gt;</t>
        </is>
      </c>
      <c r="L589" s="3" t="inlineStr">
        <is>
          <t>—</t>
        </is>
      </c>
      <c r="M589" s="3" t="inlineStr">
        <is>
          <t>None found in this function — anything it assumes comes from the functions it depends on.</t>
        </is>
      </c>
      <c r="N589" s="3" t="inlineStr">
        <is>
          <t>Yes</t>
        </is>
      </c>
      <c r="O589" s="3" t="inlineStr">
        <is>
          <t>1. MK-XS-F-052 encryptWithKey
2. MK-XS-F-042 getDataKey</t>
        </is>
      </c>
      <c r="P589" s="3" t="n">
        <v>3</v>
      </c>
      <c r="Q589" s="3" t="inlineStr">
        <is>
          <t>1. MK-XS-F-052 encryptWithKey
2. MK-XS-F-042 getDataKey
3. MK-XS-F-135 secureGet</t>
        </is>
      </c>
      <c r="R589" s="3" t="inlineStr">
        <is>
          <t>1. MK-XS-F-052 encryptWithKey → MK-XS-F-054 encryptForSync
2. MK-XS-F-135 secureGet → MK-XS-F-042 getDataKey → MK-XS-F-054 encryptForSync</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MK-XS-F-055</t>
        </is>
      </c>
      <c r="B590" s="3" t="inlineStr">
        <is>
          <t>decryptFromSync</t>
        </is>
      </c>
      <c r="C590" s="3" t="inlineStr">
        <is>
          <t>src/services/dataCrypto.ts</t>
        </is>
      </c>
      <c r="D590" s="3" t="n">
        <v>549</v>
      </c>
      <c r="E590" s="3" t="inlineStr">
        <is>
          <t>3 · DEPENDENT</t>
        </is>
      </c>
      <c r="F590" s="3" t="inlineStr">
        <is>
          <t>Decrypt a synced value: ciphertext → object; legacy plaintext object → returned as-is; null if it's ciphertext we can't decrypt (no key).</t>
        </is>
      </c>
      <c r="G590" s="11" t="inlineStr">
        <is>
          <t>nothing   when value = nothing
value   when !is encrypted(value)
key = await get data key()
the answer:
decrypt with key(value as string, key)   if key
nothing   otherwise</t>
        </is>
      </c>
      <c r="H590" s="3" t="inlineStr">
        <is>
          <t>When value is missing, it answers no answer. When !is encrypted(value), it answers value. Key is await get data key(). The answer is decrypt with key(value as string, key) — when key; no answer — otherwise.</t>
        </is>
      </c>
      <c r="I590" s="3" t="inlineStr">
        <is>
          <t>READ FROM THE CODE — rendered from the expressions the function runs</t>
        </is>
      </c>
      <c r="J590" s="3" t="inlineStr">
        <is>
          <t>value: unknown</t>
        </is>
      </c>
      <c r="K590" s="3" t="inlineStr">
        <is>
          <t>Promise&lt;any | null&gt;</t>
        </is>
      </c>
      <c r="L590" s="3" t="inlineStr">
        <is>
          <t>—</t>
        </is>
      </c>
      <c r="M590" s="3" t="inlineStr">
        <is>
          <t>None found in this function — anything it assumes comes from the functions it depends on.</t>
        </is>
      </c>
      <c r="N590" s="3" t="inlineStr">
        <is>
          <t>Yes</t>
        </is>
      </c>
      <c r="O590" s="3" t="inlineStr">
        <is>
          <t>1. MK-XS-F-053 decryptWithKey
2. MK-XS-F-042 getDataKey
3. MK-XS-F-051 isEncrypted</t>
        </is>
      </c>
      <c r="P590" s="3" t="n">
        <v>4</v>
      </c>
      <c r="Q590" s="3" t="inlineStr">
        <is>
          <t>1. MK-XS-F-053 decryptWithKey
2. MK-XS-F-042 getDataKey
3. MK-XS-F-051 isEncrypted
4. MK-XS-F-135 secureGet</t>
        </is>
      </c>
      <c r="R590" s="3" t="inlineStr">
        <is>
          <t>1. MK-XS-F-051 isEncrypted → MK-XS-F-053 decryptWithKey → MK-XS-F-055 decryptFromSync
2. MK-XS-F-135 secureGet → MK-XS-F-042 getDataKey → MK-XS-F-055 decryptFromSync
3. MK-XS-F-051 isEncrypted → MK-XS-F-055 decryptFromSync</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MK-XS-F-056</t>
        </is>
      </c>
      <c r="B591" s="3" t="inlineStr">
        <is>
          <t>fetchEconomicData</t>
        </is>
      </c>
      <c r="C591" s="3" t="inlineStr">
        <is>
          <t>src/services/economicData.ts</t>
        </is>
      </c>
      <c r="D591" s="3" t="n">
        <v>69</v>
      </c>
      <c r="E591" s="3" t="inlineStr">
        <is>
          <t>3 · DEPENDENT (feeds an action only)</t>
        </is>
      </c>
      <c r="F591" s="3" t="inlineStr">
        <is>
          <t>What are inflation and the 10-year Treasury yield?</t>
        </is>
      </c>
      <c r="G591" s="11" t="inlineStr">
        <is>
          <t>inflation rate = the fetched figure, or the fallback when the fetch failed
treasury yield = the fetched figure, or the fallback when the fetch failed
fetched at = now; each fallback flagged</t>
        </is>
      </c>
      <c r="H591" s="3" t="inlineStr">
        <is>
          <t>Fetches the inflation rate and the ten-year Treasury yield; when either fetch fails its fallback is used and FLAGGED as a fallback, never passed off as live.</t>
        </is>
      </c>
      <c r="I591" s="3" t="inlineStr">
        <is>
          <t>READ BY HAND 2026-08-26 — checked line by line against the code</t>
        </is>
      </c>
      <c r="J591" s="3" t="inlineStr">
        <is>
          <t>Nothing is handed to it</t>
        </is>
      </c>
      <c r="K591" s="3" t="inlineStr">
        <is>
          <t>Promise&lt;EconomicData&gt;</t>
        </is>
      </c>
      <c r="L591" s="3" t="inlineStr">
        <is>
          <t>—</t>
        </is>
      </c>
      <c r="M591" s="3" t="inlineStr">
        <is>
          <t>· Uses today's date from the device clock, so the answer changes by itself overnight.</t>
        </is>
      </c>
      <c r="N591" s="3" t="inlineStr">
        <is>
          <t>No</t>
        </is>
      </c>
      <c r="O591" s="3" t="inlineStr">
        <is>
          <t>1. MK-XS-F-140 fetchInflation
2. MK-XS-F-141 fetchTreasuryYield</t>
        </is>
      </c>
      <c r="P591" s="3" t="n">
        <v>2</v>
      </c>
      <c r="Q591" s="3" t="inlineStr">
        <is>
          <t>1. MK-XS-F-140 fetchInflation
2. MK-XS-F-141 fetchTreasuryYield</t>
        </is>
      </c>
      <c r="R591" s="3" t="inlineStr">
        <is>
          <t>1. MK-XS-F-140 fetchInflation → MK-XS-F-056 fetchEconomicData
2. MK-XS-F-141 fetchTreasuryYield → MK-XS-F-056 fetchEconomicData</t>
        </is>
      </c>
      <c r="S591" s="3" t="inlineStr">
        <is>
          <t>—</t>
        </is>
      </c>
      <c r="T591" s="3" t="inlineStr">
        <is>
          <t>ECONOMIC_FIGURES</t>
        </is>
      </c>
      <c r="U591" s="3" t="inlineStr">
        <is>
          <t>ACTIVE</t>
        </is>
      </c>
      <c r="V591" s="3" t="inlineStr">
        <is>
          <t>2026-09-12</t>
        </is>
      </c>
      <c r="W591" s="3" t="n"/>
      <c r="X591" s="3" t="n"/>
      <c r="Y591" s="3" t="inlineStr">
        <is>
          <t>NOTHING OPEN</t>
        </is>
      </c>
    </row>
    <row r="592" ht="60" customHeight="1">
      <c r="A592" s="3" t="inlineStr">
        <is>
          <t>MK-XS-F-057</t>
        </is>
      </c>
      <c r="B592" s="3" t="inlineStr">
        <is>
          <t>analyzeExpenses</t>
        </is>
      </c>
      <c r="C592" s="3" t="inlineStr">
        <is>
          <t>src/services/economicData.ts</t>
        </is>
      </c>
      <c r="D592" s="3" t="n">
        <v>202</v>
      </c>
      <c r="E592" s="3" t="inlineStr">
        <is>
          <t>4 · BRINGS DATA IN</t>
        </is>
      </c>
      <c r="F592" s="3" t="inlineStr">
        <is>
          <t>What is worth saying about this expenses?</t>
        </is>
      </c>
      <c r="G592" s="11" t="inlineStr">
        <is>
          <t>data = await res.json()
the answer = data as expense analysis</t>
        </is>
      </c>
      <c r="H592" s="3" t="inlineStr">
        <is>
          <t>Data is await res.json(). The answer is data as expense analysis.</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No</t>
        </is>
      </c>
      <c r="O592" s="3" t="inlineStr">
        <is>
          <t>MK-CF-O-002 expenses</t>
        </is>
      </c>
      <c r="P592" s="3" t="n">
        <v>15</v>
      </c>
      <c r="Q5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2" s="3" t="inlineStr">
        <is>
          <t>—</t>
        </is>
      </c>
      <c r="T592" s="3" t="inlineStr">
        <is>
          <t>EXPENSE_COMMENTARY</t>
        </is>
      </c>
      <c r="U592" s="3" t="inlineStr">
        <is>
          <t>ACTIVE</t>
        </is>
      </c>
      <c r="V592" s="3" t="inlineStr">
        <is>
          <t>2026-08-27</t>
        </is>
      </c>
      <c r="W592" s="3" t="n"/>
      <c r="X592" s="3" t="n"/>
      <c r="Y592" s="3" t="inlineStr">
        <is>
          <t>NOTHING OPEN</t>
        </is>
      </c>
    </row>
    <row r="593" ht="60" customHeight="1">
      <c r="A593" s="3" t="inlineStr">
        <is>
          <t>MK-XS-F-058</t>
        </is>
      </c>
      <c r="B593" s="3" t="inlineStr">
        <is>
          <t>parseReceipt</t>
        </is>
      </c>
      <c r="C593" s="3" t="inlineStr">
        <is>
          <t>src/services/receiptScan.ts</t>
        </is>
      </c>
      <c r="D593" s="3" t="n">
        <v>106</v>
      </c>
      <c r="E593" s="3" t="inlineStr">
        <is>
          <t>3 · DEPENDENT</t>
        </is>
      </c>
      <c r="F593" s="3" t="inlineStr">
        <is>
          <t>Heuristic parse of receipt text → total amount + merchant.</t>
        </is>
      </c>
      <c r="G59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3" s="3" t="inlineStr">
        <is>
          <t>PARTLY READ — some of the code is still showing through; needs a hand pass</t>
        </is>
      </c>
      <c r="J593" s="3" t="inlineStr">
        <is>
          <t>text: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1. MK-CF-F-204 line
2. MK-CF-F-132 map
3. MK-XS-F-093 stripNonMoney
4. MK-ST-F-052 toNum</t>
        </is>
      </c>
      <c r="P593" s="3" t="n">
        <v>104</v>
      </c>
      <c r="Q59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9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3" s="3" t="inlineStr">
        <is>
          <t>—</t>
        </is>
      </c>
      <c r="T593" s="3" t="inlineStr">
        <is>
          <t>READ_A_RECEIPT</t>
        </is>
      </c>
      <c r="U593" s="3" t="inlineStr">
        <is>
          <t>ACTIVE</t>
        </is>
      </c>
      <c r="V593" s="3" t="inlineStr">
        <is>
          <t>2026-08-27</t>
        </is>
      </c>
      <c r="W593" s="3" t="n"/>
      <c r="X593" s="3" t="n"/>
      <c r="Y593" s="3" t="inlineStr">
        <is>
          <t>NOTHING OPEN</t>
        </is>
      </c>
    </row>
    <row r="594" ht="60" customHeight="1">
      <c r="A594" s="3" t="inlineStr">
        <is>
          <t>MK-XS-F-059</t>
        </is>
      </c>
      <c r="B594" s="3" t="inlineStr">
        <is>
          <t>readFileString</t>
        </is>
      </c>
      <c r="C594" s="3" t="inlineStr">
        <is>
          <t>src/services/fileRead.ts</t>
        </is>
      </c>
      <c r="D594" s="3" t="n">
        <v>22</v>
      </c>
      <c r="E594" s="3" t="inlineStr">
        <is>
          <t>4 · BRINGS DATA IN</t>
        </is>
      </c>
      <c r="F594" s="3" t="inlineStr">
        <is>
          <t>NOT DETERMINED — the code carries no note saying what this is for, and it has no row in the old inventory. Needs reading.</t>
        </is>
      </c>
      <c r="G594" s="11" t="inlineStr">
        <is>
          <t>read as string async(uri, { encoding: encoding = 'base64' ? encoding type.base64 : encoding type.UTF8 })</t>
        </is>
      </c>
      <c r="H594" s="3" t="inlineStr">
        <is>
          <t>read as string async(uri, { encoding: encoding = 'base64' ? encoding type.base64 : encoding type.UTF8 }).</t>
        </is>
      </c>
      <c r="I594" s="3" t="inlineStr">
        <is>
          <t>READ FROM THE CODE — rendered from the expressions the function runs</t>
        </is>
      </c>
      <c r="J594" s="3" t="inlineStr">
        <is>
          <t>1. uri: string
2. encoding: 'utf8' | 'base64' = 'utf8'</t>
        </is>
      </c>
      <c r="K594" s="3" t="inlineStr">
        <is>
          <t>Promise&lt;string&gt;</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MK-XS-F-060</t>
        </is>
      </c>
      <c r="B595" s="3" t="inlineStr">
        <is>
          <t>registerUser</t>
        </is>
      </c>
      <c r="C595" s="3" t="inlineStr">
        <is>
          <t>src/services/firebase.ts</t>
        </is>
      </c>
      <c r="D595" s="3" t="n">
        <v>88</v>
      </c>
      <c r="E595" s="3" t="inlineStr">
        <is>
          <t>2 · DISPLAYED</t>
        </is>
      </c>
      <c r="F595" s="3" t="inlineStr">
        <is>
          <t>Returns the new user AND a one-time recovery code the caller MUST show the user to save.</t>
        </is>
      </c>
      <c r="G59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5" s="3" t="inlineStr">
        <is>
          <t>READ FROM THE CODE — rendered from the expressions the function runs</t>
        </is>
      </c>
      <c r="J595" s="3" t="inlineStr">
        <is>
          <t>1. email: string
2. password: string
3. name: string
4. onCodeReady?: (code: string) =&gt; void</t>
        </is>
      </c>
      <c r="K595" s="3" t="inlineStr">
        <is>
          <t>NOT DECLARED — the code does not say what it gives back</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1. MK-XS-F-041 cacheDataKey
2. MK-XS-F-044 generateDataKey
3. MK-XS-F-045 generateRecoveryCode
4. MK-XS-F-046 makeEnvelope
5. MK-XS-F-175 uid</t>
        </is>
      </c>
      <c r="P595" s="3" t="n">
        <v>88</v>
      </c>
      <c r="Q59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9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5" s="3" t="inlineStr">
        <is>
          <t>—</t>
        </is>
      </c>
      <c r="T595" s="3" t="inlineStr">
        <is>
          <t>—</t>
        </is>
      </c>
      <c r="U595" s="3" t="inlineStr">
        <is>
          <t>ACTIVE</t>
        </is>
      </c>
      <c r="V595" s="3" t="inlineStr">
        <is>
          <t>2026-08-27</t>
        </is>
      </c>
      <c r="W595" s="3" t="n"/>
      <c r="X595" s="3" t="n"/>
      <c r="Y595" s="3" t="inlineStr">
        <is>
          <t>NOTHING OPEN</t>
        </is>
      </c>
    </row>
    <row r="596" ht="30" customHeight="1">
      <c r="A596" s="3" t="inlineStr">
        <is>
          <t>MK-XS-F-061</t>
        </is>
      </c>
      <c r="B596" s="3" t="inlineStr">
        <is>
          <t>resendVerification</t>
        </is>
      </c>
      <c r="C596" s="3" t="inlineStr">
        <is>
          <t>src/services/firebase.ts</t>
        </is>
      </c>
      <c r="D596" s="3" t="n">
        <v>130</v>
      </c>
      <c r="E596" s="3" t="inlineStr">
        <is>
          <t>1 · ACTION</t>
        </is>
      </c>
      <c r="F596" s="3" t="inlineStr">
        <is>
          <t>Resend the verification email to the signed-in user.</t>
        </is>
      </c>
      <c r="G596" s="11" t="inlineStr">
        <is>
          <t>sends the verification e-mail again to the signed-in person</t>
        </is>
      </c>
      <c r="H596" s="3" t="inlineStr">
        <is>
          <t>Resends the e-mail-verification message. Not a calculation.</t>
        </is>
      </c>
      <c r="I596" s="3" t="inlineStr">
        <is>
          <t>READ BY HAND 2026-08-26 — checked line by line against the code</t>
        </is>
      </c>
      <c r="J596" s="3" t="inlineStr">
        <is>
          <t>Nothing is handed to it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MK-XS-F-062</t>
        </is>
      </c>
      <c r="B597" s="3" t="inlineStr">
        <is>
          <t>refreshEmailVerified</t>
        </is>
      </c>
      <c r="C597" s="3" t="inlineStr">
        <is>
          <t>src/services/firebase.ts</t>
        </is>
      </c>
      <c r="D597" s="3" t="n">
        <v>150</v>
      </c>
      <c r="E597" s="3" t="inlineStr">
        <is>
          <t>2 · DISPLAYED</t>
        </is>
      </c>
      <c r="F597" s="3" t="inlineStr">
        <is>
          <t>Re-check verification status from the server (call after the user clicks the email link).</t>
        </is>
      </c>
      <c r="G597" s="11" t="inlineStr">
        <is>
          <t>false   when auth.current user is missing
!!auth.current user.email verified</t>
        </is>
      </c>
      <c r="H597" s="3" t="inlineStr">
        <is>
          <t>When auth.current user is missing, it answers false. !!auth.current user.email verified.</t>
        </is>
      </c>
      <c r="I597" s="3" t="inlineStr">
        <is>
          <t>READ FROM THE CODE — rendered from the expressions the function runs</t>
        </is>
      </c>
      <c r="J597" s="3" t="inlineStr">
        <is>
          <t>Nothing is handed to it</t>
        </is>
      </c>
      <c r="K597" s="3" t="inlineStr">
        <is>
          <t>Promise&lt;boolean&gt;</t>
        </is>
      </c>
      <c r="L59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MK-XS-F-063</t>
        </is>
      </c>
      <c r="B598" s="3" t="inlineStr">
        <is>
          <t>isEmailVerified</t>
        </is>
      </c>
      <c r="C598" s="3" t="inlineStr">
        <is>
          <t>src/services/firebase.ts</t>
        </is>
      </c>
      <c r="D598" s="3" t="n">
        <v>170</v>
      </c>
      <c r="E598" s="3" t="inlineStr">
        <is>
          <t>2 · DISPLAYED</t>
        </is>
      </c>
      <c r="F598" s="3" t="inlineStr">
        <is>
          <t>NOT DETERMINED — the code carries no note saying what this is for, and it has no row in the old inventory. Needs reading.</t>
        </is>
      </c>
      <c r="G598" s="11" t="inlineStr">
        <is>
          <t>!!auth.current user.email verified</t>
        </is>
      </c>
      <c r="H598" s="3" t="inlineStr">
        <is>
          <t>!!auth.current user.email verified.</t>
        </is>
      </c>
      <c r="I598" s="3" t="inlineStr">
        <is>
          <t>READ FROM THE CODE — rendered from the expressions the function runs</t>
        </is>
      </c>
      <c r="J598" s="3" t="inlineStr">
        <is>
          <t>Nothing is handed to it</t>
        </is>
      </c>
      <c r="K598" s="3" t="inlineStr">
        <is>
          <t>boolean</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MK-XS-F-064</t>
        </is>
      </c>
      <c r="B599" s="3" t="inlineStr">
        <is>
          <t>currentIdToken</t>
        </is>
      </c>
      <c r="C599" s="3" t="inlineStr">
        <is>
          <t>src/services/firebase.ts</t>
        </is>
      </c>
      <c r="D599" s="3" t="n">
        <v>204</v>
      </c>
      <c r="E599" s="3" t="inlineStr">
        <is>
          <t>3 · DEPENDENT (feeds an action only)</t>
        </is>
      </c>
      <c r="F599" s="3" t="inlineStr">
        <is>
          <t>The email of the account currently signed in to Firebase — the authoritative identity that account-level actions (delete, reauth) operate on.</t>
        </is>
      </c>
      <c r="G599" s="11" t="inlineStr">
        <is>
          <t>the answer = the signed-in person's identity token, or nothing</t>
        </is>
      </c>
      <c r="H599" s="3" t="inlineStr">
        <is>
          <t>The signed-in person's identity token for the relay, or nothing when nobody is signed in. Not a calculation.</t>
        </is>
      </c>
      <c r="I599" s="3" t="inlineStr">
        <is>
          <t>READ BY HAND 2026-08-26 — checked line by line against the code</t>
        </is>
      </c>
      <c r="J599" s="3" t="inlineStr">
        <is>
          <t>Nothing is handed to it</t>
        </is>
      </c>
      <c r="K599" s="3" t="inlineStr">
        <is>
          <t>Promise&lt;string | null&gt;</t>
        </is>
      </c>
      <c r="L599" s="3" t="inlineStr">
        <is>
          <t>—</t>
        </is>
      </c>
      <c r="M599" s="3" t="inlineStr">
        <is>
          <t>None found in this function — anything it assumes comes from the functions it depends on.</t>
        </is>
      </c>
      <c r="N599" s="3" t="inlineStr">
        <is>
          <t>No</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2026-09-12</t>
        </is>
      </c>
      <c r="W599" s="3" t="n"/>
      <c r="X599" s="3" t="n"/>
      <c r="Y599" s="3" t="inlineStr">
        <is>
          <t>NOTHING OPEN</t>
        </is>
      </c>
    </row>
    <row r="600" ht="60" customHeight="1">
      <c r="A600" s="3" t="inlineStr">
        <is>
          <t>MK-XS-F-065</t>
        </is>
      </c>
      <c r="B600" s="3" t="inlineStr">
        <is>
          <t>currentUserEmail</t>
        </is>
      </c>
      <c r="C600" s="3" t="inlineStr">
        <is>
          <t>src/services/firebase.ts</t>
        </is>
      </c>
      <c r="D600" s="3" t="n">
        <v>223</v>
      </c>
      <c r="E600" s="3" t="inlineStr">
        <is>
          <t>2 · DISPLAYED</t>
        </is>
      </c>
      <c r="F600" s="3" t="inlineStr">
        <is>
          <t>NOT DETERMINED — the code carries no note saying what this is for, and it has no row in the old inventory. Needs reading.</t>
        </is>
      </c>
      <c r="G600" s="11" t="inlineStr">
        <is>
          <t>auth.current user.email (or nothing when missing)</t>
        </is>
      </c>
      <c r="H600" s="3" t="inlineStr">
        <is>
          <t>auth.current user.email (or no answer — when missing).</t>
        </is>
      </c>
      <c r="I600" s="3" t="inlineStr">
        <is>
          <t>PARTLY READ — some of the code is still showing through; needs a hand pass</t>
        </is>
      </c>
      <c r="J600" s="3" t="inlineStr">
        <is>
          <t>Nothing is handed to it</t>
        </is>
      </c>
      <c r="K600" s="3" t="inlineStr">
        <is>
          <t>string | null</t>
        </is>
      </c>
      <c r="L600" s="3" t="inlineStr">
        <is>
          <t>"Confirm account deletion" — on the Settings screen, under "Account"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MK-XS-F-066</t>
        </is>
      </c>
      <c r="B601" s="3" t="inlineStr">
        <is>
          <t>loginUser</t>
        </is>
      </c>
      <c r="C601" s="3" t="inlineStr">
        <is>
          <t>src/services/firebase.ts</t>
        </is>
      </c>
      <c r="D601" s="3" t="n">
        <v>255</v>
      </c>
      <c r="E601" s="3" t="inlineStr">
        <is>
          <t>4 · BRINGS DATA IN</t>
        </is>
      </c>
      <c r="F601" s="3" t="inlineStr">
        <is>
          <t>Returns the user plus the unlock status: • needsRecovery=true → the password can't open the data (it was reset); prompt for the recovery code.</t>
        </is>
      </c>
      <c r="G60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1" s="3" t="inlineStr">
        <is>
          <t>PARTLY READ — some of the code is still showing through; needs a hand pass</t>
        </is>
      </c>
      <c r="J601" s="3" t="inlineStr">
        <is>
          <t>1. email: string
2. password: string
3. onCodeReady?: (code: string) =&gt; void</t>
        </is>
      </c>
      <c r="K601" s="3" t="inlineStr">
        <is>
          <t>Promise&lt;</t>
        </is>
      </c>
      <c r="L601" s="3" t="inlineStr">
        <is>
          <t>—</t>
        </is>
      </c>
      <c r="M601" s="3" t="inlineStr">
        <is>
          <t>None found in this function — anything it assumes comes from the functions it depends on.</t>
        </is>
      </c>
      <c r="N601" s="3" t="inlineStr">
        <is>
          <t>Yes</t>
        </is>
      </c>
      <c r="O601" s="3" t="inlineStr">
        <is>
          <t>1. MK-XS-F-041 cacheDataKey
2. MK-XS-F-044 generateDataKey
3. MK-XS-F-045 generateRecoveryCode
4. MK-XS-F-046 makeEnvelope
5. MK-XS-F-060 registerUser
6. MK-XS-F-175 uid
7. MK-XS-F-047 unwrapWithPassword</t>
        </is>
      </c>
      <c r="P601" s="3" t="n">
        <v>92</v>
      </c>
      <c r="Q60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60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MK-XS-F-067</t>
        </is>
      </c>
      <c r="B602" s="3" t="inlineStr">
        <is>
          <t>restoreWithRecoveryCode</t>
        </is>
      </c>
      <c r="C602" s="3" t="inlineStr">
        <is>
          <t>src/services/firebase.ts</t>
        </is>
      </c>
      <c r="D602" s="3" t="n">
        <v>303</v>
      </c>
      <c r="E602" s="3" t="inlineStr">
        <is>
          <t>4 · BRINGS DATA IN</t>
        </is>
      </c>
      <c r="F602" s="3" t="inlineStr">
        <is>
          <t>After a password reset, restore data access with the recovery code, then re-lock the data under the NEW password.</t>
        </is>
      </c>
      <c r="G602" s="11" t="inlineStr">
        <is>
          <t>u = auth.current user
snap = await get doc(doc(db, 'users', uid))
env = (snap.data() as any).key envelope   if snap.exists()
undefined   otherwise
dek = unwrap with recovery(env, uid, recovery code)</t>
        </is>
      </c>
      <c r="H602" s="3" t="inlineStr">
        <is>
          <t>U is auth.current user. Snap is await get doc(doc(db, 'users', uid)). Env is (snap.data() as any).key envelope — when snap.exists(); undefined — otherwise. Dek is unwrap with recovery(env, uid, recovery code).</t>
        </is>
      </c>
      <c r="I602" s="3" t="inlineStr">
        <is>
          <t>PARTLY READ — some of the code is still showing through; needs a hand pass</t>
        </is>
      </c>
      <c r="J602" s="3" t="inlineStr">
        <is>
          <t>1. recoveryCode: string
2. newPassword: string</t>
        </is>
      </c>
      <c r="K602" s="3" t="inlineStr">
        <is>
          <t>Promise&lt;void&gt;</t>
        </is>
      </c>
      <c r="L602" s="3" t="inlineStr">
        <is>
          <t>—</t>
        </is>
      </c>
      <c r="M602" s="3" t="inlineStr">
        <is>
          <t>None found in this function — anything it assumes comes from the functions it depends on.</t>
        </is>
      </c>
      <c r="N602" s="3" t="inlineStr">
        <is>
          <t>Yes</t>
        </is>
      </c>
      <c r="O602" s="3" t="inlineStr">
        <is>
          <t>1. MK-XS-F-041 cacheDataKey
2. MK-XS-F-049 rewrapPassword
3. MK-XS-F-175 uid
4. MK-XS-F-048 unwrapWithRecovery</t>
        </is>
      </c>
      <c r="P602" s="3" t="n">
        <v>89</v>
      </c>
      <c r="Q60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60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MK-XS-F-068</t>
        </is>
      </c>
      <c r="B603" s="3" t="inlineStr">
        <is>
          <t>regenerateRecoveryCode</t>
        </is>
      </c>
      <c r="C603" s="3" t="inlineStr">
        <is>
          <t>src/services/firebase.ts</t>
        </is>
      </c>
      <c r="D603" s="3" t="n">
        <v>338</v>
      </c>
      <c r="E603" s="3" t="inlineStr">
        <is>
          <t>4 · BRINGS DATA IN</t>
        </is>
      </c>
      <c r="F603" s="3" t="inlineStr">
        <is>
          <t>Issue a NEW recovery code for the signed-in user (the old one stops working).</t>
        </is>
      </c>
      <c r="G603" s="11" t="inlineStr">
        <is>
          <t>u = auth.current user
dek = await get data key()
snap = await get doc(doc(db, 'users', uid))
env = snap.exists() and (snap.data() as any).key envelope (or p = ''
r = '' when missing or zero)
recovery code = generate recovery code()
the answer = recovery code</t>
        </is>
      </c>
      <c r="H603" s="3" t="inlineStr">
        <is>
          <t>U is auth.current user. Dek is await get data key(). Snap is await get doc(doc(db, 'users', uid)). Env is snap.exists() and (snap.data() as any).key envelope (or p = ''; r = '' — when missing or zero). Recovery code is generate recovery code(). The answer is recovery code.</t>
        </is>
      </c>
      <c r="I603" s="3" t="inlineStr">
        <is>
          <t>PARTLY READ — some of the code is still showing through; needs a hand pass</t>
        </is>
      </c>
      <c r="J603" s="3" t="inlineStr">
        <is>
          <t>Nothing is handed to it</t>
        </is>
      </c>
      <c r="K603" s="3" t="inlineStr">
        <is>
          <t>Promise&lt;string&gt;</t>
        </is>
      </c>
      <c r="L603" s="3" t="inlineStr">
        <is>
          <t>—</t>
        </is>
      </c>
      <c r="M603" s="3" t="inlineStr">
        <is>
          <t>None found in this function — anything it assumes comes from the functions it depends on.</t>
        </is>
      </c>
      <c r="N603" s="3" t="inlineStr">
        <is>
          <t>Yes</t>
        </is>
      </c>
      <c r="O603" s="3" t="inlineStr">
        <is>
          <t>1. MK-XS-F-045 generateRecoveryCode
2. MK-XS-F-042 getDataKey
3. MK-XS-F-050 rewrapRecovery
4. MK-XS-F-175 uid</t>
        </is>
      </c>
      <c r="P603" s="3" t="n">
        <v>87</v>
      </c>
      <c r="Q60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0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MK-XS-F-069</t>
        </is>
      </c>
      <c r="B604" s="3" t="inlineStr">
        <is>
          <t>logoutUser</t>
        </is>
      </c>
      <c r="C604" s="3" t="inlineStr">
        <is>
          <t>src/services/firebase.ts</t>
        </is>
      </c>
      <c r="D604" s="3" t="n">
        <v>365</v>
      </c>
      <c r="E604" s="3" t="inlineStr">
        <is>
          <t>1 · ACTION</t>
        </is>
      </c>
      <c r="F604" s="3" t="inlineStr">
        <is>
          <t>NOT DETERMINED — the code carries no note saying what this is for, and it has no row in the old inventory. Needs reading.</t>
        </is>
      </c>
      <c r="G604" s="11" t="inlineStr">
        <is>
          <t>clears the data key, then signs out</t>
        </is>
      </c>
      <c r="H604" s="3" t="inlineStr">
        <is>
          <t>Forgets the decryption key and signs the person out. Not a calculation.</t>
        </is>
      </c>
      <c r="I604" s="3" t="inlineStr">
        <is>
          <t>READ BY HAND 2026-08-26 — checked line by line against the code</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MK-XS-F-043 clearDataKey</t>
        </is>
      </c>
      <c r="P604" s="3" t="n">
        <v>2</v>
      </c>
      <c r="Q604" s="3" t="inlineStr">
        <is>
          <t>1. MK-XS-F-043 clearDataKey
2. MK-XS-F-137 secureDelete</t>
        </is>
      </c>
      <c r="R604" s="3" t="inlineStr">
        <is>
          <t>MK-XS-F-137 secureDelete → MK-XS-F-043 clearDataKey → MK-XS-F-069 logoutUser</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MK-XS-F-070</t>
        </is>
      </c>
      <c r="B605" s="3" t="inlineStr">
        <is>
          <t>resetPassword</t>
        </is>
      </c>
      <c r="C605" s="3" t="inlineStr">
        <is>
          <t>src/services/firebase.ts</t>
        </is>
      </c>
      <c r="D605" s="3" t="n">
        <v>385</v>
      </c>
      <c r="E605" s="3" t="inlineStr">
        <is>
          <t>1 · ACTION</t>
        </is>
      </c>
      <c r="F605" s="3" t="inlineStr">
        <is>
          <t>NOT DETERMINED — the code carries no note saying what this is for, and it has no row in the old inventory. Needs reading.</t>
        </is>
      </c>
      <c r="G605" s="11" t="inlineStr">
        <is>
          <t>sends a password-reset e-mail to the address</t>
        </is>
      </c>
      <c r="H605" s="3" t="inlineStr">
        <is>
          <t>Sends the password-reset e-mail. Not a calculation.</t>
        </is>
      </c>
      <c r="I605" s="3" t="inlineStr">
        <is>
          <t>READ BY HAND 2026-08-26 — checked line by line against the code</t>
        </is>
      </c>
      <c r="J605" s="3" t="inlineStr">
        <is>
          <t>email: string</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2026-09-12</t>
        </is>
      </c>
      <c r="W605" s="3" t="n"/>
      <c r="X605" s="3" t="n"/>
      <c r="Y605" s="3" t="inlineStr">
        <is>
          <t>NOTHING OPEN</t>
        </is>
      </c>
    </row>
    <row r="606" ht="60" customHeight="1">
      <c r="A606" s="3" t="inlineStr">
        <is>
          <t>MK-XS-F-071</t>
        </is>
      </c>
      <c r="B606" s="3" t="inlineStr">
        <is>
          <t>onAuthChange</t>
        </is>
      </c>
      <c r="C606" s="3" t="inlineStr">
        <is>
          <t>src/services/firebase.ts</t>
        </is>
      </c>
      <c r="D606" s="3" t="n">
        <v>404</v>
      </c>
      <c r="E606" s="3" t="inlineStr">
        <is>
          <t>2 · DISPLAYED</t>
        </is>
      </c>
      <c r="F606" s="3" t="inlineStr">
        <is>
          <t>NOT DETERMINED — the code carries no note saying what this is for, and it has no row in the old inventory. Needs reading.</t>
        </is>
      </c>
      <c r="G606" s="11" t="inlineStr">
        <is>
          <t>on auth state changed(auth, callback)</t>
        </is>
      </c>
      <c r="H606" s="3" t="inlineStr">
        <is>
          <t>on auth state changed(auth, callback).</t>
        </is>
      </c>
      <c r="I606" s="3" t="inlineStr">
        <is>
          <t>READ FROM THE CODE — rendered from the expressions the function runs</t>
        </is>
      </c>
      <c r="J606" s="3" t="inlineStr">
        <is>
          <t>callback: (user: any) =&gt; void</t>
        </is>
      </c>
      <c r="K606" s="3" t="inlineStr">
        <is>
          <t>NOT DECLARED — the code does not say what it gives back</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MK-XS-F-072</t>
        </is>
      </c>
      <c r="B607" s="3" t="inlineStr">
        <is>
          <t>deleteAccount</t>
        </is>
      </c>
      <c r="C607" s="3" t="inlineStr">
        <is>
          <t>src/services/firebase.ts</t>
        </is>
      </c>
      <c r="D607" s="3" t="n">
        <v>429</v>
      </c>
      <c r="E607" s="3" t="inlineStr">
        <is>
          <t>1 · ACTION</t>
        </is>
      </c>
      <c r="F607" s="3" t="inlineStr">
        <is>
          <t>Permanently delete the signed-in user's account (App Store Guideline 5.1.1(v)).</t>
        </is>
      </c>
      <c r="G607" s="11" t="inlineStr">
        <is>
          <t>u = auth.current user
cred = email auth provider.credential(email, password)
root = await load user root(uid)</t>
        </is>
      </c>
      <c r="H607" s="3" t="inlineStr">
        <is>
          <t>U is auth.current user. Cred is email auth provider.credential(email, password). Root is await load user root(uid).</t>
        </is>
      </c>
      <c r="I607" s="3" t="inlineStr">
        <is>
          <t>PARTLY READ — some of the code is still showing through; needs a hand pass</t>
        </is>
      </c>
      <c r="J607" s="3" t="inlineStr">
        <is>
          <t>password: string</t>
        </is>
      </c>
      <c r="K607" s="3" t="inlineStr">
        <is>
          <t>Promise&lt;void&gt;</t>
        </is>
      </c>
      <c r="L607" s="3" t="inlineStr">
        <is>
          <t>—</t>
        </is>
      </c>
      <c r="M607" s="3" t="inlineStr">
        <is>
          <t>None found in this function — anything it assumes comes from the functions it depends on.</t>
        </is>
      </c>
      <c r="N607" s="3" t="inlineStr">
        <is>
          <t>Yes</t>
        </is>
      </c>
      <c r="O607" s="3" t="inlineStr">
        <is>
          <t>1. MK-XS-F-035 authenticate
2. MK-XS-F-043 clearDataKey
3. MK-XS-F-079 loadUserRoot
4. MK-XS-F-175 uid</t>
        </is>
      </c>
      <c r="P607" s="3" t="n">
        <v>90</v>
      </c>
      <c r="Q60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MK-XS-F-073</t>
        </is>
      </c>
      <c r="B608" s="3" t="inlineStr">
        <is>
          <t>saveUserData</t>
        </is>
      </c>
      <c r="C608" s="3" t="inlineStr">
        <is>
          <t>src/services/firebase.ts</t>
        </is>
      </c>
      <c r="D608" s="3" t="n">
        <v>471</v>
      </c>
      <c r="E608" s="3" t="inlineStr">
        <is>
          <t>1 · ACTION</t>
        </is>
      </c>
      <c r="F608" s="3" t="inlineStr">
        <is>
          <t>Sync fields stored ENCRYPTED under users/{uid}.appStateEnc (zero-knowledge — see dataCrypto.ts).</t>
        </is>
      </c>
      <c r="G608" s="11" t="inlineStr">
        <is>
          <t>clean = JSON.parse(JSON.stringify(data ?? {}))
enc = await encrypt for sync(clean)</t>
        </is>
      </c>
      <c r="H608" s="3" t="inlineStr">
        <is>
          <t>Clean is JSON.parse(JSON.stringify(data ?? {})). Enc is await encrypt for sync(clean).</t>
        </is>
      </c>
      <c r="I608" s="3" t="inlineStr">
        <is>
          <t>PARTLY READ — some of the code is still showing through; needs a hand pass</t>
        </is>
      </c>
      <c r="J608" s="3" t="inlineStr">
        <is>
          <t>1. uid: string
2. data: object</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1. MK-XS-F-054 encryptForSync
2. MK-XS-F-175 uid</t>
        </is>
      </c>
      <c r="P608" s="3" t="n">
        <v>84</v>
      </c>
      <c r="Q60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60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MK-XS-F-074</t>
        </is>
      </c>
      <c r="B609" s="3" t="inlineStr">
        <is>
          <t>loadUserData</t>
        </is>
      </c>
      <c r="C609" s="3" t="inlineStr">
        <is>
          <t>src/services/firebase.ts</t>
        </is>
      </c>
      <c r="D609" s="3" t="n">
        <v>501</v>
      </c>
      <c r="E609" s="3" t="inlineStr">
        <is>
          <t>4 · BRINGS DATA IN</t>
        </is>
      </c>
      <c r="F609" s="3" t="inlineStr">
        <is>
          <t>NOT DETERMINED — the code carries no note saying what this is for, and it has no row in the old inventory. Needs reading.</t>
        </is>
      </c>
      <c r="G609" s="11" t="inlineStr">
        <is>
          <t>snap = await get doc(doc(db, 'users', uid))
nothing   when !snap.exists()
d = snap.data()
await decrypt from sync(app state enc)   when app state enc ≠ nothing
the answer = app state (or nothing when missing)</t>
        </is>
      </c>
      <c r="H609" s="3" t="inlineStr">
        <is>
          <t>Snap is await get doc(doc(db, 'users', uid)). When !snap.exists(), it answers no answer. D is snap.data(). When app state enc is not no answer, it answers await decrypt from sync(app state enc). The answer is app state (or no answer — when missing).</t>
        </is>
      </c>
      <c r="I609" s="3" t="inlineStr">
        <is>
          <t>PARTLY READ — some of the code is still showing through; needs a hand pass</t>
        </is>
      </c>
      <c r="J609" s="3" t="inlineStr">
        <is>
          <t>uid: string</t>
        </is>
      </c>
      <c r="K609" s="3" t="inlineStr">
        <is>
          <t>Promise&lt;Record&lt;string, any&gt; | null&gt;</t>
        </is>
      </c>
      <c r="L609" s="3" t="inlineStr">
        <is>
          <t>"Restore your data" — on the auth screen</t>
        </is>
      </c>
      <c r="M609" s="3" t="inlineStr">
        <is>
          <t>None found in this function — anything it assumes comes from the functions it depends on.</t>
        </is>
      </c>
      <c r="N609" s="3" t="inlineStr">
        <is>
          <t>Yes</t>
        </is>
      </c>
      <c r="O609" s="3" t="inlineStr">
        <is>
          <t>1. MK-XS-F-055 decryptFromSync
2. MK-XS-F-175 uid</t>
        </is>
      </c>
      <c r="P609" s="3" t="n">
        <v>85</v>
      </c>
      <c r="Q60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MK-XS-F-075</t>
        </is>
      </c>
      <c r="B610" s="3" t="inlineStr">
        <is>
          <t>createInvite</t>
        </is>
      </c>
      <c r="C610" s="3" t="inlineStr">
        <is>
          <t>src/services/firebase.ts</t>
        </is>
      </c>
      <c r="D610" s="3" t="n">
        <v>557</v>
      </c>
      <c r="E610" s="3" t="inlineStr">
        <is>
          <t>2 · DISPLAYED (presentation only)</t>
        </is>
      </c>
      <c r="F610" s="3" t="inlineStr">
        <is>
          <t>Create an invite code pointing at this household's shared data doc.</t>
        </is>
      </c>
      <c r="G610" s="11" t="inlineStr">
        <is>
          <t>code = make invite code()
the answer = code</t>
        </is>
      </c>
      <c r="H610" s="3" t="inlineStr">
        <is>
          <t>Code is make invite code(). The answer is code.</t>
        </is>
      </c>
      <c r="I610" s="3" t="inlineStr">
        <is>
          <t>READ FROM THE CODE — rendered from the expressions the function runs</t>
        </is>
      </c>
      <c r="J610" s="3" t="inlineStr">
        <is>
          <t>1. householdId: string
2. inviterName: string | null</t>
        </is>
      </c>
      <c r="K610" s="3" t="inlineStr">
        <is>
          <t>Promise&lt;string&gt;</t>
        </is>
      </c>
      <c r="L610" s="3" t="inlineStr">
        <is>
          <t>"Vesting schedule" — on the setup questions, which appear on more than one screen</t>
        </is>
      </c>
      <c r="M610" s="3" t="inlineStr">
        <is>
          <t>None found in this function — anything it assumes comes from the functions it depends on.</t>
        </is>
      </c>
      <c r="N610" s="3" t="inlineStr">
        <is>
          <t>Yes</t>
        </is>
      </c>
      <c r="O610" s="3" t="inlineStr">
        <is>
          <t>MK-XS-F-142 makeInviteCode</t>
        </is>
      </c>
      <c r="P610" s="3" t="n">
        <v>1</v>
      </c>
      <c r="Q610" s="3" t="inlineStr">
        <is>
          <t>MK-XS-F-142 makeInviteCode</t>
        </is>
      </c>
      <c r="R610" s="3" t="inlineStr">
        <is>
          <t>MK-XS-F-142 makeInviteCode → MK-XS-F-075 createInvite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MK-XS-F-076</t>
        </is>
      </c>
      <c r="B611" s="3" t="inlineStr">
        <is>
          <t>lookupInvite</t>
        </is>
      </c>
      <c r="C611" s="3" t="inlineStr">
        <is>
          <t>src/services/firebase.ts</t>
        </is>
      </c>
      <c r="D611" s="3" t="n">
        <v>588</v>
      </c>
      <c r="E611" s="3" t="inlineStr">
        <is>
          <t>4 · BRINGS DATA IN</t>
        </is>
      </c>
      <c r="F611" s="3" t="inlineStr">
        <is>
          <t>NOT DETERMINED — the code carries no note saying what this is for, and it has no row in the old inventory. Needs reading.</t>
        </is>
      </c>
      <c r="G611" s="11" t="inlineStr">
        <is>
          <t>snap = await get doc(doc(db, 'invites', code.trim().to upper case()))
nothing   when !snap.exists()
d = snap.data() as any
the answer:
household id = household id
inviter name = inviter name (or nothing when missing)   if household id
nothing   otherwise</t>
        </is>
      </c>
      <c r="H61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1" s="3" t="inlineStr">
        <is>
          <t>PARTLY READ — some of the code is still showing through; needs a hand pass</t>
        </is>
      </c>
      <c r="J611" s="3" t="inlineStr">
        <is>
          <t>code: string</t>
        </is>
      </c>
      <c r="K611" s="3" t="inlineStr">
        <is>
          <t>Promise&lt;</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MK-XS-F-077</t>
        </is>
      </c>
      <c r="B612" s="3" t="inlineStr">
        <is>
          <t>setUserHousehold</t>
        </is>
      </c>
      <c r="C612" s="3" t="inlineStr">
        <is>
          <t>src/services/firebase.ts</t>
        </is>
      </c>
      <c r="D612" s="3" t="n">
        <v>611</v>
      </c>
      <c r="E612" s="3" t="inlineStr">
        <is>
          <t>1 · ACTION</t>
        </is>
      </c>
      <c r="F612" s="3" t="inlineStr">
        <is>
          <t>Record household membership on the member's own user doc (survives reinstall/new device).</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1. uid: string
2. householdId: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MK-XS-F-074 loadUserData
2. MK-XS-F-175 uid</t>
        </is>
      </c>
      <c r="P612" s="3" t="n">
        <v>86</v>
      </c>
      <c r="Q61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MK-XS-F-078</t>
        </is>
      </c>
      <c r="B613" s="3" t="inlineStr">
        <is>
          <t>joinHouseholdMembership</t>
        </is>
      </c>
      <c r="C613" s="3" t="inlineStr">
        <is>
          <t>src/services/firebase.ts</t>
        </is>
      </c>
      <c r="D613" s="3" t="n">
        <v>636</v>
      </c>
      <c r="E613" s="3" t="inlineStr">
        <is>
          <t>1 · ACTION</t>
        </is>
      </c>
      <c r="F613" s="3" t="inlineStr">
        <is>
          <t>Claim membership in {householdId} by writing the member doc the security rules gate access on.</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1. uid: string
2. householdId: string
3. code: string</t>
        </is>
      </c>
      <c r="K613" s="3" t="inlineStr">
        <is>
          <t>Promise&lt;void&gt;</t>
        </is>
      </c>
      <c r="L613" s="3" t="inlineStr">
        <is>
          <t>—</t>
        </is>
      </c>
      <c r="M613" s="3" t="inlineStr">
        <is>
          <t>None found in this function — anything it assumes comes from the functions it depends on.</t>
        </is>
      </c>
      <c r="N613" s="3" t="inlineStr">
        <is>
          <t>Yes</t>
        </is>
      </c>
      <c r="O613" s="3" t="inlineStr">
        <is>
          <t>MK-XS-F-175 uid</t>
        </is>
      </c>
      <c r="P613" s="3" t="n">
        <v>80</v>
      </c>
      <c r="Q61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1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MK-XS-F-079</t>
        </is>
      </c>
      <c r="B614" s="3" t="inlineStr">
        <is>
          <t>loadUserRoot</t>
        </is>
      </c>
      <c r="C614" s="3" t="inlineStr">
        <is>
          <t>src/services/firebase.ts</t>
        </is>
      </c>
      <c r="D614" s="3" t="n">
        <v>670</v>
      </c>
      <c r="E614" s="3" t="inlineStr">
        <is>
          <t>4 · BRINGS DATA IN</t>
        </is>
      </c>
      <c r="F614" s="3" t="inlineStr">
        <is>
          <t>The member's own top-level doc fields (householdId + decrypted appState) in one read.</t>
        </is>
      </c>
      <c r="G61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4" s="3" t="inlineStr">
        <is>
          <t>PARTLY READ — some of the code is still showing through; needs a hand pass</t>
        </is>
      </c>
      <c r="J614" s="3" t="inlineStr">
        <is>
          <t>uid: string</t>
        </is>
      </c>
      <c r="K614" s="3" t="inlineStr">
        <is>
          <t>Promise&lt;</t>
        </is>
      </c>
      <c r="L614" s="3" t="inlineStr">
        <is>
          <t>—</t>
        </is>
      </c>
      <c r="M614" s="3" t="inlineStr">
        <is>
          <t>None found in this function — anything it assumes comes from the functions it depends on.</t>
        </is>
      </c>
      <c r="N614" s="3" t="inlineStr">
        <is>
          <t>Yes</t>
        </is>
      </c>
      <c r="O614" s="3" t="inlineStr">
        <is>
          <t>1. MK-XS-F-055 decryptFromSync
2. MK-XS-F-175 uid</t>
        </is>
      </c>
      <c r="P614" s="3" t="n">
        <v>85</v>
      </c>
      <c r="Q61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1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MK-XS-F-080</t>
        </is>
      </c>
      <c r="B615" s="3" t="inlineStr">
        <is>
          <t>submitFeedback</t>
        </is>
      </c>
      <c r="C615" s="3" t="inlineStr">
        <is>
          <t>src/services/firebase.ts</t>
        </is>
      </c>
      <c r="D615" s="3" t="n">
        <v>693</v>
      </c>
      <c r="E615" s="3" t="inlineStr">
        <is>
          <t>1 · ACTION</t>
        </is>
      </c>
      <c r="F615" s="3" t="inlineStr">
        <is>
          <t>NOT DETERMINED — the code carries no note saying what this is for, and it has no row in the old inventory. Needs reading.</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MK-XS-F-081</t>
        </is>
      </c>
      <c r="B616" s="3" t="inlineStr">
        <is>
          <t>isPlausibleTicker</t>
        </is>
      </c>
      <c r="C616" s="3" t="inlineStr">
        <is>
          <t>src/services/marketData.ts</t>
        </is>
      </c>
      <c r="D616" s="3" t="n">
        <v>96</v>
      </c>
      <c r="E616" s="3" t="inlineStr">
        <is>
          <t>2 · DISPLAYED</t>
        </is>
      </c>
      <c r="F616" s="3" t="inlineStr">
        <is>
          <t>Is a ticker plausibly valid before we spend a network call?</t>
        </is>
      </c>
      <c r="G616" s="11" t="inlineStr">
        <is>
          <t>÷ ^[A − za − z]{1,6}([.\-][A − za − z]{1,4})?$ ÷ .test((ticker ?? '').trim())</t>
        </is>
      </c>
      <c r="H616" s="3" t="inlineStr">
        <is>
          <t>÷ ^[A minus za minus z]{1,6}([.\-][A minus za minus z]{1,4})?$ divided by .test((ticker ?? '').trim()).</t>
        </is>
      </c>
      <c r="I616" s="3" t="inlineStr">
        <is>
          <t>PARTLY READ — some of the code is still showing through; needs a hand pass</t>
        </is>
      </c>
      <c r="J616" s="3" t="inlineStr">
        <is>
          <t>ticker: string</t>
        </is>
      </c>
      <c r="K616" s="3" t="inlineStr">
        <is>
          <t>boolean</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TICKER_PLAUSIBLE</t>
        </is>
      </c>
      <c r="U616" s="3" t="inlineStr">
        <is>
          <t>ACTIVE</t>
        </is>
      </c>
      <c r="V616" s="3" t="inlineStr">
        <is>
          <t>2026-08-27</t>
        </is>
      </c>
      <c r="W616" s="3" t="n"/>
      <c r="X616" s="3" t="n"/>
      <c r="Y616" s="3" t="inlineStr">
        <is>
          <t>NOTHING OPEN</t>
        </is>
      </c>
    </row>
    <row r="617" ht="60" customHeight="1">
      <c r="A617" s="3" t="inlineStr">
        <is>
          <t>MK-XS-F-082</t>
        </is>
      </c>
      <c r="B617" s="3" t="inlineStr">
        <is>
          <t>priceFreshness</t>
        </is>
      </c>
      <c r="C617" s="3" t="inlineStr">
        <is>
          <t>src/services/marketData.ts</t>
        </is>
      </c>
      <c r="D617" s="3" t="n">
        <v>120</v>
      </c>
      <c r="E617" s="3" t="inlineStr">
        <is>
          <t>2 · DISPLAYED</t>
        </is>
      </c>
      <c r="F617" s="3" t="inlineStr">
        <is>
          <t>Human freshness of the price cache + whether it's stale enough to warn (markets move daily, so anything older than ~4 days — a long weekend/holiday — is worth a "may be out of date" note).</t>
        </is>
      </c>
      <c r="G617" s="11" t="inlineStr">
        <is>
          <t>age   = now − the moment prices were last fetched
stale = age ≥ 4 days,  or nothing was ever fetched,  or the moment cannot be read</t>
        </is>
      </c>
      <c r="H61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7" s="3" t="inlineStr">
        <is>
          <t>READ BY HAND 2026-08-26 — checked line by line against the code</t>
        </is>
      </c>
      <c r="J617" s="3" t="inlineStr">
        <is>
          <t>1. fetchedAt: string | null | undefined
2. now: number</t>
        </is>
      </c>
      <c r="K617" s="3" t="inlineStr">
        <is>
          <t>PriceFreshness</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1. MK-ST-F-075 agoLabel
2. MK-ST-F-077 isStale</t>
        </is>
      </c>
      <c r="P617" s="3" t="n">
        <v>3</v>
      </c>
      <c r="Q617" s="3" t="inlineStr">
        <is>
          <t>1. MK-ST-F-075 agoLabel
2. MK-ST-F-077 isStale
3. MK-XS-F-170 daysSince</t>
        </is>
      </c>
      <c r="R617" s="3" t="inlineStr">
        <is>
          <t>1. MK-XS-F-170 daysSince → MK-ST-F-075 agoLabel → MK-XS-F-082 priceFreshness
2. MK-XS-F-170 daysSince → MK-ST-F-077 isStale → MK-XS-F-082 priceFreshness</t>
        </is>
      </c>
      <c r="S617" s="3" t="inlineStr">
        <is>
          <t>MK-HM-M-001</t>
        </is>
      </c>
      <c r="T617" s="3" t="inlineStr">
        <is>
          <t>PRICE_FRESHNESS</t>
        </is>
      </c>
      <c r="U617" s="3" t="inlineStr">
        <is>
          <t>ACTIVE</t>
        </is>
      </c>
      <c r="V617" s="3" t="inlineStr">
        <is>
          <t>2026-08-27</t>
        </is>
      </c>
      <c r="W617" s="3" t="n"/>
      <c r="X617" s="3" t="n"/>
      <c r="Y617" s="3" t="inlineStr">
        <is>
          <t>NOTHING OPEN</t>
        </is>
      </c>
    </row>
    <row r="618" ht="60" customHeight="1">
      <c r="A618" s="3" t="inlineStr">
        <is>
          <t>MK-XS-F-083</t>
        </is>
      </c>
      <c r="B618" s="3" t="inlineStr">
        <is>
          <t>fetchPriceSeries</t>
        </is>
      </c>
      <c r="C618" s="3" t="inlineStr">
        <is>
          <t>src/services/marketData.ts</t>
        </is>
      </c>
      <c r="D618" s="3" t="n">
        <v>160</v>
      </c>
      <c r="E618" s="3" t="inlineStr">
        <is>
          <t>3 · DEPENDENT</t>
        </is>
      </c>
      <c r="F618" s="3" t="inlineStr">
        <is>
          <t>Fetch many tickers in parallel; returns only the ones that resolved.</t>
        </is>
      </c>
      <c r="G618" s="11" t="inlineStr">
        <is>
          <t>unique = array.from(new set(tickers.map((t) =&gt; trim().to upper case()).filter(boolean)))
results = await promise.all settled(unique.map((t) =&gt; provider.fetch series(t, range)))
out = {}
r = results[i]
the answer = out</t>
        </is>
      </c>
      <c r="H618" s="3" t="inlineStr">
        <is>
          <t>Unique is array.from(new set(tickers.map((t) =&gt; trim().to upper case()).filter(boolean))). Results is await promise.all settled(unique.map((t) =&gt; provider.fetch series(t, range))). Out is {}. R is results[i]. The answer is out.</t>
        </is>
      </c>
      <c r="I618" s="3" t="inlineStr">
        <is>
          <t>PARTLY READ — some of the code is still showing through; needs a hand pass</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MK-CF-F-132 map</t>
        </is>
      </c>
      <c r="P618" s="3" t="n">
        <v>1</v>
      </c>
      <c r="Q618" s="3" t="inlineStr">
        <is>
          <t>MK-CF-F-132 map</t>
        </is>
      </c>
      <c r="R618" s="3" t="inlineStr">
        <is>
          <t>MK-CF-F-132 map → MK-XS-F-083 fetchPriceSeries</t>
        </is>
      </c>
      <c r="S618" s="3" t="inlineStr">
        <is>
          <t>—</t>
        </is>
      </c>
      <c r="T618" s="3" t="inlineStr">
        <is>
          <t>FETCH_PRICES</t>
        </is>
      </c>
      <c r="U618" s="3" t="inlineStr">
        <is>
          <t>ACTIVE</t>
        </is>
      </c>
      <c r="V618" s="3" t="inlineStr">
        <is>
          <t>2026-09-12</t>
        </is>
      </c>
      <c r="W618" s="3" t="n"/>
      <c r="X618" s="3" t="n"/>
      <c r="Y618" s="3" t="inlineStr">
        <is>
          <t>NOTHING OPEN</t>
        </is>
      </c>
    </row>
    <row r="619" ht="60" customHeight="1">
      <c r="A619" s="3" t="inlineStr">
        <is>
          <t>MK-XS-F-084</t>
        </is>
      </c>
      <c r="B619" s="3" t="inlineStr">
        <is>
          <t>requestNotificationPermission</t>
        </is>
      </c>
      <c r="C619" s="3" t="inlineStr">
        <is>
          <t>src/services/notifications.ts</t>
        </is>
      </c>
      <c r="D619" s="3" t="n">
        <v>34</v>
      </c>
      <c r="E619" s="3" t="inlineStr">
        <is>
          <t>2 · DISPLAYED</t>
        </is>
      </c>
      <c r="F619" s="3" t="inlineStr">
        <is>
          <t>NOT DETERMINED — the code carries no note saying what this is for, and it has no row in the old inventory. Needs reading.</t>
        </is>
      </c>
      <c r="G619" s="11" t="inlineStr">
        <is>
          <t>false   when device.is device is missing
true   when existing = 'granted'
status = 'granted'</t>
        </is>
      </c>
      <c r="H619" s="3" t="inlineStr">
        <is>
          <t>When device.is device is missing, it answers false. When existing = 'granted', it answers true. status = 'granted'.</t>
        </is>
      </c>
      <c r="I619" s="3" t="inlineStr">
        <is>
          <t>READ FROM THE CODE — rendered from the expressions the function runs</t>
        </is>
      </c>
      <c r="J619" s="3" t="inlineStr">
        <is>
          <t>Nothing is handed to it</t>
        </is>
      </c>
      <c r="K619" s="3" t="inlineStr">
        <is>
          <t>Promise&lt;boolean&gt;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30" customHeight="1">
      <c r="A620" s="3" t="inlineStr">
        <is>
          <t>MK-XS-F-085</t>
        </is>
      </c>
      <c r="B620" s="3" t="inlineStr">
        <is>
          <t>scheduleStreakReminder</t>
        </is>
      </c>
      <c r="C620" s="3" t="inlineStr">
        <is>
          <t>src/services/notifications.ts</t>
        </is>
      </c>
      <c r="D620" s="3" t="n">
        <v>60</v>
      </c>
      <c r="E620" s="3" t="inlineStr">
        <is>
          <t>1 · ACTION</t>
        </is>
      </c>
      <c r="F620" s="3" t="inlineStr">
        <is>
          <t>── Schedule daily streak reminder ─────────────────────────────────</t>
        </is>
      </c>
      <c r="G620" s="11" t="inlineStr">
        <is>
          <t>cancels the existing reminder, then schedules a daily one at 20:00</t>
        </is>
      </c>
      <c r="H620" s="3" t="inlineStr">
        <is>
          <t>Schedules the daily 8 pm streak reminder, replacing any existing one. Not a calculation.</t>
        </is>
      </c>
      <c r="I620" s="3" t="inlineStr">
        <is>
          <t>READ BY HAND 2026-08-26 — checked line by line against the code</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MK-XS-F-086</t>
        </is>
      </c>
      <c r="B621" s="3" t="inlineStr">
        <is>
          <t>cancelStreakReminder</t>
        </is>
      </c>
      <c r="C621" s="3" t="inlineStr">
        <is>
          <t>src/services/notifications.ts</t>
        </is>
      </c>
      <c r="D621" s="3" t="n">
        <v>94</v>
      </c>
      <c r="E621" s="3" t="inlineStr">
        <is>
          <t>1 · ACTION</t>
        </is>
      </c>
      <c r="F621" s="3" t="inlineStr">
        <is>
          <t>── Cancel streak reminder (e.g.</t>
        </is>
      </c>
      <c r="G621" s="11" t="inlineStr">
        <is>
          <t>cancels the daily reminder</t>
        </is>
      </c>
      <c r="H621" s="3" t="inlineStr">
        <is>
          <t>Cancels the daily streak reminder.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60" customHeight="1">
      <c r="A622" s="3" t="inlineStr">
        <is>
          <t>MK-XS-F-087</t>
        </is>
      </c>
      <c r="B622" s="3" t="inlineStr">
        <is>
          <t>scheduleRmdReminder</t>
        </is>
      </c>
      <c r="C622" s="3" t="inlineStr">
        <is>
          <t>src/services/notifications.ts</t>
        </is>
      </c>
      <c r="D622" s="3" t="n">
        <v>121</v>
      </c>
      <c r="E622" s="3" t="inlineStr">
        <is>
          <t>2 · DISPLAYED</t>
        </is>
      </c>
      <c r="F622" s="3" t="inlineStr">
        <is>
          <t>── Required-withdrawal reminders (FCC Plan r48/r51 — logistics only, no timing advice) ── November 1 nudge ahead of the Dec 31 deadline (this year or a future start year).</t>
        </is>
      </c>
      <c r="G622" s="11" t="inlineStr">
        <is>
          <t>id = `rmd − reminder-${year}`
fire at = the date year, 10, 1, 10, 0, 0
false   when fire at.get time() ≤ date.now()
the answer = true</t>
        </is>
      </c>
      <c r="H622" s="3" t="inlineStr">
        <is>
          <t>Id is `rmd minus reminder-${year}`. Fire at: the date year, 10, 1, 10, 0, 0. When fire at.get time() is at most date.now(), it answers false. The answer is true.</t>
        </is>
      </c>
      <c r="I622" s="3" t="inlineStr">
        <is>
          <t>PARTLY READ — some of the code is still showing through; needs a hand pass</t>
        </is>
      </c>
      <c r="J622" s="3" t="inlineStr">
        <is>
          <t>year: number</t>
        </is>
      </c>
      <c r="K622" s="3" t="inlineStr">
        <is>
          <t>NOT DECLARED — the code does not say what it gives back</t>
        </is>
      </c>
      <c r="L622" s="3" t="inlineStr">
        <is>
          <t>NOT FOUND — a screen calls it, but the words printed beside its answer could not be traced automatically. Needs reading.</t>
        </is>
      </c>
      <c r="M622" s="3" t="inlineStr">
        <is>
          <t>· Uses today's date from the device clock, so the answer changes by itself overnight.</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45" customHeight="1">
      <c r="A623" s="3" t="inlineStr">
        <is>
          <t>MK-XS-F-088</t>
        </is>
      </c>
      <c r="B623" s="3" t="inlineStr">
        <is>
          <t>sendBudgetAlert</t>
        </is>
      </c>
      <c r="C623" s="3" t="inlineStr">
        <is>
          <t>src/services/notifications.ts</t>
        </is>
      </c>
      <c r="D623" s="3" t="n">
        <v>158</v>
      </c>
      <c r="E623" s="3" t="inlineStr">
        <is>
          <t>1 · ACTION</t>
        </is>
      </c>
      <c r="F623" s="3" t="inlineStr">
        <is>
          <t>── Budget alert (fire immediately) ────────────────────────────────</t>
        </is>
      </c>
      <c r="G623" s="11" t="inlineStr">
        <is>
          <t>sends one alert now: '&lt;category&gt; budget at &lt;round(pct)&gt;%'</t>
        </is>
      </c>
      <c r="H623" s="3" t="inlineStr">
        <is>
          <t>Sends an immediate alert naming the category and how much of its budget is used, to the whole percent. Display only.</t>
        </is>
      </c>
      <c r="I623" s="3" t="inlineStr">
        <is>
          <t>READ BY HAND 2026-08-26 — checked line by line against the code</t>
        </is>
      </c>
      <c r="J623" s="3" t="inlineStr">
        <is>
          <t>1. category: string
2. pct: number</t>
        </is>
      </c>
      <c r="K623" s="3" t="inlineStr">
        <is>
          <t>NOT DECLARED — the code does not say what it gives back</t>
        </is>
      </c>
      <c r="L623" s="3" t="inlineStr">
        <is>
          <t>—</t>
        </is>
      </c>
      <c r="M623" s="3" t="inlineStr">
        <is>
          <t>· Rounds the answer to a whole number.</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30" customHeight="1">
      <c r="A624" s="3" t="inlineStr">
        <is>
          <t>MK-XS-F-089</t>
        </is>
      </c>
      <c r="B624" s="3" t="inlineStr">
        <is>
          <t>scheduleWeeklySummary</t>
        </is>
      </c>
      <c r="C624" s="3" t="inlineStr">
        <is>
          <t>src/services/notifications.ts</t>
        </is>
      </c>
      <c r="D624" s="3" t="n">
        <v>186</v>
      </c>
      <c r="E624" s="3" t="inlineStr">
        <is>
          <t>1 · ACTION</t>
        </is>
      </c>
      <c r="F624" s="3" t="inlineStr">
        <is>
          <t>── Weekly summary notification ────────────────────────────────────</t>
        </is>
      </c>
      <c r="G624" s="11" t="inlineStr">
        <is>
          <t>cancels the existing summary, then schedules a weekly one on Monday at 09:00</t>
        </is>
      </c>
      <c r="H624" s="3" t="inlineStr">
        <is>
          <t>Schedules the Monday 9 am weekly summary, replacing any existing one. Not a calculation.</t>
        </is>
      </c>
      <c r="I624" s="3" t="inlineStr">
        <is>
          <t>READ BY HAND 2026-08-26 — checked line by line against the code</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45" customHeight="1">
      <c r="A625" s="3" t="inlineStr">
        <is>
          <t>MK-XS-F-090</t>
        </is>
      </c>
      <c r="B625" s="3" t="inlineStr">
        <is>
          <t>addNotificationResponseListener</t>
        </is>
      </c>
      <c r="C625" s="3" t="inlineStr">
        <is>
          <t>src/services/notifications.ts</t>
        </is>
      </c>
      <c r="D625" s="3" t="n">
        <v>221</v>
      </c>
      <c r="E625" s="3" t="inlineStr">
        <is>
          <t>3 · DEPENDENT (feeds an action only)</t>
        </is>
      </c>
      <c r="F625" s="3" t="inlineStr">
        <is>
          <t>── Listen for notification taps ───────────────────────────────────</t>
        </is>
      </c>
      <c r="G625" s="11" t="inlineStr">
        <is>
          <t>screen = response.notification.request.content.data.screen as string</t>
        </is>
      </c>
      <c r="H625" s="3" t="inlineStr">
        <is>
          <t>Screen is response.notification.request.content.data.screen as string.</t>
        </is>
      </c>
      <c r="I625" s="3" t="inlineStr">
        <is>
          <t>READ FROM THE CODE — rendered from the expressions the function runs</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MK-XS-F-091</t>
        </is>
      </c>
      <c r="B626" s="3" t="inlineStr">
        <is>
          <t>scheduleSsWindowReminder</t>
        </is>
      </c>
      <c r="C626" s="3" t="inlineStr">
        <is>
          <t>src/services/notifications.ts</t>
        </is>
      </c>
      <c r="D626" s="3" t="n">
        <v>253</v>
      </c>
      <c r="E626" s="3" t="inlineStr">
        <is>
          <t>2 · DISPLAYED</t>
        </is>
      </c>
      <c r="F626" s="3" t="inlineStr">
        <is>
          <t>── Social Security claim-window reminder (design r18, built pre-48 per founder decision) ── Fires the month the claim window opens (their 62nd-birthday month), 10:00 on the 1st.</t>
        </is>
      </c>
      <c r="G626" s="11" t="inlineStr">
        <is>
          <t>id = 'ss − window − reminder'
fire at = the date opens year, opens month1 − 1, 1, 10, 0, 0
false   when fire at.get time() ≤ date.now()
the answer = true</t>
        </is>
      </c>
      <c r="H626" s="3" t="inlineStr">
        <is>
          <t>Id is 'ss minus window minus reminder'. Fire at: the date opens year, opens month1 minus 1, 1, 10, 0, 0. When fire at.get time() is at most date.now(), it answers false. The answer is true.</t>
        </is>
      </c>
      <c r="I626" s="3" t="inlineStr">
        <is>
          <t>PARTLY READ — some of the code is still showing through; needs a hand pass</t>
        </is>
      </c>
      <c r="J626" s="3" t="inlineStr">
        <is>
          <t>1. opensYear: number
2. opensMonth1: number</t>
        </is>
      </c>
      <c r="K626" s="3" t="inlineStr">
        <is>
          <t>NOT DECLARED — the code does not say what it gives back</t>
        </is>
      </c>
      <c r="L626" s="3" t="inlineStr">
        <is>
          <t>NOT FOUND — a screen calls it, but the words printed beside its answer could not be traced automatically. Needs reading.</t>
        </is>
      </c>
      <c r="M626" s="3" t="inlineStr">
        <is>
          <t>· Uses today's date from the device clock, so the answer changes by itself overnight.</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MK-XS-F-092</t>
        </is>
      </c>
      <c r="B627" s="3" t="inlineStr">
        <is>
          <t>parseReceiptWithOCR</t>
        </is>
      </c>
      <c r="C627" s="3" t="inlineStr">
        <is>
          <t>src/services/receiptOCR.ts</t>
        </is>
      </c>
      <c r="D627" s="3" t="n">
        <v>40</v>
      </c>
      <c r="E627" s="3" t="inlineStr">
        <is>
          <t>4 · BRINGS DATA IN</t>
        </is>
      </c>
      <c r="F627" s="3" t="inlineStr">
        <is>
          <t>Sends a receipt image to Google Cloud Vision API for OCR, then parses the raw text to extract store, total, date, category.</t>
        </is>
      </c>
      <c r="G627" s="11" t="inlineStr">
        <is>
          <t>the answer = nothing
json = await response.json()
raw text = json.responses.[0].full text annotation.text (or '' when missing or zero)
nothing   when raw text is missing</t>
        </is>
      </c>
      <c r="H627" s="3" t="inlineStr">
        <is>
          <t>The answer is no answer. Json is await response.json(). Raw text is json.responses.[0].full text annotation.text (or '' — when missing or zero). When raw text is missing, it answers no answer.</t>
        </is>
      </c>
      <c r="I627" s="3" t="inlineStr">
        <is>
          <t>PARTLY READ — some of the code is still showing through; needs a hand pass</t>
        </is>
      </c>
      <c r="J627" s="3" t="inlineStr">
        <is>
          <t>imageUri: string</t>
        </is>
      </c>
      <c r="K627" s="3" t="inlineStr">
        <is>
          <t>Promise&lt;ParsedReceipt | null&gt;</t>
        </is>
      </c>
      <c r="L627" s="3" t="inlineStr">
        <is>
          <t>—</t>
        </is>
      </c>
      <c r="M627" s="3" t="inlineStr">
        <is>
          <t>None found in this function — anything it assumes comes from the functions it depends on.</t>
        </is>
      </c>
      <c r="N627" s="3" t="inlineStr">
        <is>
          <t>No</t>
        </is>
      </c>
      <c r="O627" s="3" t="inlineStr">
        <is>
          <t>MK-XS-F-094 parseReceiptText</t>
        </is>
      </c>
      <c r="P627" s="3" t="n">
        <v>107</v>
      </c>
      <c r="Q62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MK-XS-F-093</t>
        </is>
      </c>
      <c r="B628" s="3" t="inlineStr">
        <is>
          <t>stripNonMoney</t>
        </is>
      </c>
      <c r="C628" s="3" t="inlineStr">
        <is>
          <t>src/services/receiptOCR.ts</t>
        </is>
      </c>
      <c r="D628" s="3" t="n">
        <v>109</v>
      </c>
      <c r="E628" s="3" t="inlineStr">
        <is>
          <t>3 · DEPENDENT</t>
        </is>
      </c>
      <c r="F628" s="3" t="inlineStr">
        <is>
          <t>A DATE IS NOT MONEY.</t>
        </is>
      </c>
      <c r="G628" s="11" t="inlineStr">
        <is>
          <t>the answer = the line with dates (30.04.24, 04/30/24, 2024-04-30) and times (08:30, 7:54:10) blanked out</t>
        </is>
      </c>
      <c r="H628" s="3" t="inlineStr">
        <is>
          <t>Blanks the dates and times on a receipt line so only the money figures remain for reading. No arithmetic.</t>
        </is>
      </c>
      <c r="I628" s="3" t="inlineStr">
        <is>
          <t>READ BY HAND 2026-08-26 — checked line by line against the code</t>
        </is>
      </c>
      <c r="J628" s="3" t="inlineStr">
        <is>
          <t>line: string</t>
        </is>
      </c>
      <c r="K628" s="3" t="inlineStr">
        <is>
          <t>string</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MK-XS-F-094</t>
        </is>
      </c>
      <c r="B629" s="3" t="inlineStr">
        <is>
          <t>parseReceiptText</t>
        </is>
      </c>
      <c r="C629" s="3" t="inlineStr">
        <is>
          <t>src/services/receiptOCR.ts</t>
        </is>
      </c>
      <c r="D629" s="3" t="n">
        <v>155</v>
      </c>
      <c r="E629" s="3" t="inlineStr">
        <is>
          <t>3 · DEPENDENT (feeds an action only)</t>
        </is>
      </c>
      <c r="F629" s="3" t="inlineStr">
        <is>
          <t>NOT DETERMINED — the code carries no note saying what this is for, and it has no row in the old inventory. Needs reading.</t>
        </is>
      </c>
      <c r="G62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9" s="3" t="inlineStr">
        <is>
          <t>PARTLY READ — some of the code is still showing through; needs a hand pass</t>
        </is>
      </c>
      <c r="J629" s="3" t="inlineStr">
        <is>
          <t>text: string</t>
        </is>
      </c>
      <c r="K629" s="3" t="inlineStr">
        <is>
          <t>ParsedReceipt</t>
        </is>
      </c>
      <c r="L629" s="3" t="inlineStr">
        <is>
          <t>—</t>
        </is>
      </c>
      <c r="M629" s="3" t="inlineStr">
        <is>
          <t>1. Uses a built-in strong t of 0.
2. Uses a built-in weak t of 0.
3. Uses a built-in subtotal of 0.
4. Uses a built-in largest safe of 0.
5. Uses today's date from the device clock, so the answer changes by itself overnight.</t>
        </is>
      </c>
      <c r="N629" s="3" t="inlineStr">
        <is>
          <t>No</t>
        </is>
      </c>
      <c r="O629" s="3" t="inlineStr">
        <is>
          <t>1. MK-XS-F-144 guessCategory
2. MK-CF-F-204 line
3. MK-CF-F-132 map
4. MK-XS-F-058 parseReceipt
5. MK-XS-F-093 stripNonMoney</t>
        </is>
      </c>
      <c r="P629" s="3" t="n">
        <v>106</v>
      </c>
      <c r="Q62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MK-XS-F-095</t>
        </is>
      </c>
      <c r="B630" s="3" t="inlineStr">
        <is>
          <t>ocrAvailable</t>
        </is>
      </c>
      <c r="C630" s="3" t="inlineStr">
        <is>
          <t>src/services/receiptScan.ts</t>
        </is>
      </c>
      <c r="D630" s="3" t="n">
        <v>27</v>
      </c>
      <c r="E630" s="3" t="inlineStr">
        <is>
          <t>2 · DISPLAYED</t>
        </is>
      </c>
      <c r="F630" s="3" t="inlineStr">
        <is>
          <t>NOT DETERMINED — the code carries no note saying what this is for, and it has no row in the old inventory. Needs reading.</t>
        </is>
      </c>
      <c r="G630" s="11" t="inlineStr">
        <is>
          <t>the answer = true when the text-recognition module is present and usable</t>
        </is>
      </c>
      <c r="H630" s="3" t="inlineStr">
        <is>
          <t>Whether receipt scanning is available on this device. Not a calculation.</t>
        </is>
      </c>
      <c r="I630" s="3" t="inlineStr">
        <is>
          <t>READ BY HAND 2026-08-26 — checked line by line against the code</t>
        </is>
      </c>
      <c r="J630" s="3" t="inlineStr">
        <is>
          <t>Nothing is handed to it</t>
        </is>
      </c>
      <c r="K630" s="3" t="inlineStr">
        <is>
          <t>boolean</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MK-XS-F-096</t>
        </is>
      </c>
      <c r="B631" s="3" t="inlineStr">
        <is>
          <t>pickReceipt</t>
        </is>
      </c>
      <c r="C631" s="3" t="inlineStr">
        <is>
          <t>src/services/receiptScan.ts</t>
        </is>
      </c>
      <c r="D631" s="3" t="n">
        <v>55</v>
      </c>
      <c r="E631" s="3" t="inlineStr">
        <is>
          <t>2 · DISPLAYED</t>
        </is>
      </c>
      <c r="F631" s="3" t="inlineStr">
        <is>
          <t>Capture (camera) or pick (library) a receipt image; returns its uri or null if cancelled/denied.</t>
        </is>
      </c>
      <c r="G63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1" s="3" t="inlineStr">
        <is>
          <t>PARTLY READ — some of the code is still showing through; needs a hand pass</t>
        </is>
      </c>
      <c r="J631" s="3" t="inlineStr">
        <is>
          <t>source: 'camera' | 'library'</t>
        </is>
      </c>
      <c r="K631" s="3" t="inlineStr">
        <is>
          <t>Promise&lt;string | null&gt;</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MK-CF-F-204 line</t>
        </is>
      </c>
      <c r="P631" s="3" t="n">
        <v>103</v>
      </c>
      <c r="Q63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3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MK-XS-F-097</t>
        </is>
      </c>
      <c r="B632" s="3" t="inlineStr">
        <is>
          <t>ocrReceipt</t>
        </is>
      </c>
      <c r="C632" s="3" t="inlineStr">
        <is>
          <t>src/services/receiptScan.ts</t>
        </is>
      </c>
      <c r="D632" s="3" t="n">
        <v>172</v>
      </c>
      <c r="E632" s="3" t="inlineStr">
        <is>
          <t>2 · DISPLAYED (presentation only)</t>
        </is>
      </c>
      <c r="F632" s="3" t="inlineStr">
        <is>
          <t>NOT DETERMINED — the code carries no note saying what this is for, and it has no row in the old inventory. Needs reading.</t>
        </is>
      </c>
      <c r="G632" s="11" t="inlineStr">
        <is>
          <t>raw = ''   when !ocr available()
res = await mlkit.recognize(uri)
text = res.text (or '' when missing)
the answer:
...parse receipt(text) = ...parse receipt(text)
raw = text</t>
        </is>
      </c>
      <c r="H632" s="3" t="inlineStr">
        <is>
          <t>When !ocr available(), it answers raw = ''. Res is await mlkit.recognize(uri). Text is res.text (or '' — when missing). The answer is ...parse receipt(text) = ...parse receipt(text); raw = text.</t>
        </is>
      </c>
      <c r="I632" s="3" t="inlineStr">
        <is>
          <t>PARTLY READ — some of the code is still showing through; needs a hand pass</t>
        </is>
      </c>
      <c r="J632" s="3" t="inlineStr">
        <is>
          <t>uri: string</t>
        </is>
      </c>
      <c r="K632" s="3" t="inlineStr">
        <is>
          <t>Promise&lt;</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1. MK-XS-F-095 ocrAvailable
2. MK-XS-F-058 parseReceipt</t>
        </is>
      </c>
      <c r="P632" s="3" t="n">
        <v>106</v>
      </c>
      <c r="Q63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3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MK-XS-F-098</t>
        </is>
      </c>
      <c r="B633" s="3" t="inlineStr">
        <is>
          <t>setSyncProviderForTesting</t>
        </is>
      </c>
      <c r="C633" s="3" t="inlineStr">
        <is>
          <t>src/services/sync/index.ts</t>
        </is>
      </c>
      <c r="D633" s="3" t="n">
        <v>68</v>
      </c>
      <c r="E633" s="3" t="inlineStr">
        <is>
          <t>1 · ACTION</t>
        </is>
      </c>
      <c r="F633" s="3" t="inlineStr">
        <is>
          <t>NOT DETERMINED — the code carries no note saying what this is for, and it has no row in the old inventory. Needs reading.</t>
        </is>
      </c>
      <c r="G633" s="11" t="inlineStr">
        <is>
          <t>It records or announces something and returns no figure — no arithmetic of its own.</t>
        </is>
      </c>
      <c r="H633" s="3" t="inlineStr">
        <is>
          <t>It records or announces something and returns no figure — no arithmetic of its own.</t>
        </is>
      </c>
      <c r="I633" s="3" t="inlineStr">
        <is>
          <t>NO ARITHMETIC — there is no formula to state</t>
        </is>
      </c>
      <c r="J633" s="3" t="inlineStr">
        <is>
          <t>p: SyncProvider | null</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MK-XS-F-099</t>
        </is>
      </c>
      <c r="B634" s="3" t="inlineStr">
        <is>
          <t>activeSyncProvider</t>
        </is>
      </c>
      <c r="C634" s="3" t="inlineStr">
        <is>
          <t>src/services/sync/index.ts</t>
        </is>
      </c>
      <c r="D634" s="3" t="n">
        <v>89</v>
      </c>
      <c r="E634" s="3" t="inlineStr">
        <is>
          <t>2 · DISPLAYED</t>
        </is>
      </c>
      <c r="F634" s="3" t="inlineStr">
        <is>
          <t>The one lookup the UI uses.</t>
        </is>
      </c>
      <c r="G634" s="11" t="inlineStr">
        <is>
          <t>override provider   when override provider ! = undefined
new sandbox sync provider()   if typeof __DEV__ ! = 'undefined' and __DEV__
nothing   otherwise</t>
        </is>
      </c>
      <c r="H634" s="3" t="inlineStr">
        <is>
          <t>When override provider ! = undefined, it answers override provider. new sandbox sync provider() — when typeof __DEV__ ! = 'undefined' and __DEV__; no answer — otherwise.</t>
        </is>
      </c>
      <c r="I634" s="3" t="inlineStr">
        <is>
          <t>PARTLY READ — some of the code is still showing through; needs a hand pass</t>
        </is>
      </c>
      <c r="J634" s="3" t="inlineStr">
        <is>
          <t>Nothing is handed to it</t>
        </is>
      </c>
      <c r="K634" s="3" t="inlineStr">
        <is>
          <t>SyncProvider | null</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MK-XS-F-100</t>
        </is>
      </c>
      <c r="B635" s="3" t="inlineStr">
        <is>
          <t>connectionFreshness</t>
        </is>
      </c>
      <c r="C635" s="3" t="inlineStr">
        <is>
          <t>src/services/sync/index.ts</t>
        </is>
      </c>
      <c r="D635" s="3" t="n">
        <v>124</v>
      </c>
      <c r="E635" s="3" t="inlineStr">
        <is>
          <t>2 · DISPLAYED</t>
        </is>
      </c>
      <c r="F635" s="3" t="inlineStr">
        <is>
          <t>How old a connected account's last successful sync is.</t>
        </is>
      </c>
      <c r="G635" s="11" t="inlineStr">
        <is>
          <t>days = days since(last synced, now)
label = age label(last synced, now)
nothing   when days = nothing (or label = nothing when missing or zero)
the answer:
label = label
stale = is stale(last synced, now)
days old = days</t>
        </is>
      </c>
      <c r="H635" s="3" t="inlineStr">
        <is>
          <t>Days is days since(last synced, now). Label is age label(last synced, now). When days is missing (or label is missing — when missing or zero), it answers no answer. The answer is label = label; stale = is stale(last synced, now); days old = days.</t>
        </is>
      </c>
      <c r="I635" s="3" t="inlineStr">
        <is>
          <t>READ FROM THE CODE — rendered from the expressions the function runs</t>
        </is>
      </c>
      <c r="J635" s="3" t="inlineStr">
        <is>
          <t>1. lastSynced: string | null | undefined
2. now: number = Date.now()</t>
        </is>
      </c>
      <c r="K635" s="3" t="inlineStr">
        <is>
          <t>ConnectionFreshness | null</t>
        </is>
      </c>
      <c r="L635" s="3" t="inlineStr">
        <is>
          <t>NOT FOUND — a screen calls it, but the words printed beside its answer could not be traced automatically. Needs reading.</t>
        </is>
      </c>
      <c r="M635" s="3" t="inlineStr">
        <is>
          <t>· Uses today's date from the device clock, so the answer changes by itself overnight.</t>
        </is>
      </c>
      <c r="N635" s="3" t="inlineStr">
        <is>
          <t>Yes</t>
        </is>
      </c>
      <c r="O635" s="3" t="inlineStr">
        <is>
          <t>1. MK-ST-F-076 ageLabel
2. MK-XS-F-170 daysSince
3. MK-ST-F-077 isStale</t>
        </is>
      </c>
      <c r="P635" s="3" t="n">
        <v>3</v>
      </c>
      <c r="Q635" s="3" t="inlineStr">
        <is>
          <t>1. MK-ST-F-076 ageLabel
2. MK-XS-F-170 daysSince
3. MK-ST-F-077 isStale</t>
        </is>
      </c>
      <c r="R635" s="3" t="inlineStr">
        <is>
          <t>1. MK-XS-F-170 daysSince → MK-ST-F-076 ageLabel → MK-XS-F-100 connectionFreshness
2. MK-XS-F-170 daysSince → MK-XS-F-100 connectionFreshness
3. MK-XS-F-170 daysSince → MK-ST-F-077 isStale → MK-XS-F-100 connectionFreshness</t>
        </is>
      </c>
      <c r="S635" s="3" t="inlineStr">
        <is>
          <t>—</t>
        </is>
      </c>
      <c r="T635" s="3" t="inlineStr">
        <is>
          <t>—</t>
        </is>
      </c>
      <c r="U635" s="3" t="inlineStr">
        <is>
          <t>ACTIVE</t>
        </is>
      </c>
      <c r="V635" s="3" t="inlineStr">
        <is>
          <t>2026-10-01</t>
        </is>
      </c>
      <c r="W635" s="3" t="n"/>
      <c r="X635" s="3" t="n"/>
      <c r="Y635" s="3" t="inlineStr">
        <is>
          <t>NOTHING OPEN</t>
        </is>
      </c>
    </row>
    <row r="636" ht="45" customHeight="1">
      <c r="A636" s="3" t="inlineStr">
        <is>
          <t>MK-XS-F-101</t>
        </is>
      </c>
      <c r="B636" s="3" t="inlineStr">
        <is>
          <t>stAssetId</t>
        </is>
      </c>
      <c r="C636" s="3" t="inlineStr">
        <is>
          <t>src/services/sync/ingest.ts</t>
        </is>
      </c>
      <c r="D636" s="3" t="n">
        <v>54</v>
      </c>
      <c r="E636" s="3" t="inlineStr">
        <is>
          <t>1 · ACTION</t>
        </is>
      </c>
      <c r="F636" s="3" t="inlineStr">
        <is>
          <t>What do we call this connected account internally?</t>
        </is>
      </c>
      <c r="G636" s="11" t="inlineStr">
        <is>
          <t>the answer = 'st-' + the SnapTrade account identifier</t>
        </is>
      </c>
      <c r="H636" s="3" t="inlineStr">
        <is>
          <t>The app's identifier for a connected account: the institution's identifier with an 'st-' prefix. No arithmetic.</t>
        </is>
      </c>
      <c r="I636" s="3" t="inlineStr">
        <is>
          <t>READ BY HAND 2026-08-26 — checked line by line against the code</t>
        </is>
      </c>
      <c r="J636" s="3" t="inlineStr">
        <is>
          <t>snapTradeAccountId: string</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ACCOUNT_IDENTITY</t>
        </is>
      </c>
      <c r="U636" s="3" t="inlineStr">
        <is>
          <t>ACTIVE</t>
        </is>
      </c>
      <c r="V636" s="3" t="inlineStr">
        <is>
          <t>2026-09-12</t>
        </is>
      </c>
      <c r="W636" s="3" t="n"/>
      <c r="X636" s="3" t="n"/>
      <c r="Y636" s="3" t="inlineStr">
        <is>
          <t>NOTHING OPEN</t>
        </is>
      </c>
    </row>
    <row r="637" ht="60" customHeight="1">
      <c r="A637" s="3" t="inlineStr">
        <is>
          <t>MK-XS-F-102</t>
        </is>
      </c>
      <c r="B637" s="3" t="inlineStr">
        <is>
          <t>ingestSync</t>
        </is>
      </c>
      <c r="C637" s="3" t="inlineStr">
        <is>
          <t>src/services/sync/ingest.ts</t>
        </is>
      </c>
      <c r="D637" s="3" t="n">
        <v>102</v>
      </c>
      <c r="E637" s="3" t="inlineStr">
        <is>
          <t>3 · DEPENDENT (feeds an action only)</t>
        </is>
      </c>
      <c r="F637" s="3" t="inlineStr">
        <is>
          <t>A broker just sent us data — what changes?</t>
        </is>
      </c>
      <c r="G637"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7"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7" s="3" t="inlineStr">
        <is>
          <t>PARTLY READ — some of the code is still showing through; needs a hand pass</t>
        </is>
      </c>
      <c r="J637" s="3" t="inlineStr">
        <is>
          <t>Nothing is handed to it</t>
        </is>
      </c>
      <c r="K637" s="3" t="inlineStr">
        <is>
          <t>NOT DECLARED — the code does not say what it gives back</t>
        </is>
      </c>
      <c r="L637" s="3" t="inlineStr">
        <is>
          <t>—</t>
        </is>
      </c>
      <c r="M63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7" s="3" t="inlineStr">
        <is>
          <t>No</t>
        </is>
      </c>
      <c r="O63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7" s="3" t="n">
        <v>39</v>
      </c>
      <c r="Q63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7"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7" s="3" t="inlineStr">
        <is>
          <t>—</t>
        </is>
      </c>
      <c r="T637" s="3" t="inlineStr">
        <is>
          <t>SYNC_ONE_ACCOUNT</t>
        </is>
      </c>
      <c r="U637" s="3" t="inlineStr">
        <is>
          <t>ACTIVE</t>
        </is>
      </c>
      <c r="V637" s="3" t="inlineStr">
        <is>
          <t>2026-08-27</t>
        </is>
      </c>
      <c r="W637" s="3" t="n"/>
      <c r="X637" s="3" t="n"/>
      <c r="Y637" s="3" t="inlineStr">
        <is>
          <t>NOTHING OPEN</t>
        </is>
      </c>
    </row>
    <row r="638" ht="60" customHeight="1">
      <c r="A638" s="3" t="inlineStr">
        <is>
          <t>MK-XS-F-103</t>
        </is>
      </c>
      <c r="B638" s="3" t="inlineStr">
        <is>
          <t>confirmWrapper</t>
        </is>
      </c>
      <c r="C638" s="3" t="inlineStr">
        <is>
          <t>src/services/sync/ingest.ts</t>
        </is>
      </c>
      <c r="D638" s="3" t="n">
        <v>312</v>
      </c>
      <c r="E638" s="3" t="inlineStr">
        <is>
          <t>3 · DEPENDENT (feeds an action only)</t>
        </is>
      </c>
      <c r="F638" s="3" t="inlineStr">
        <is>
          <t>Mark an account's wrapper as USER-CONFIRMED — future syncs never override it.</t>
        </is>
      </c>
      <c r="G638" s="11" t="inlineStr">
        <is>
          <t>for each of accounts: ...each = ...each
kind = kind
tax bucket = tax bucket
wrapper confirmed = true   if asset id = asset id
each   otherwise</t>
        </is>
      </c>
      <c r="H638" s="3" t="inlineStr">
        <is>
          <t>for each of accounts: ...each = ...each; kind = kind; tax bucket = tax bucket; wrapper confirmed = true — when asset id = asset id; each — otherwise.</t>
        </is>
      </c>
      <c r="I638" s="3" t="inlineStr">
        <is>
          <t>READ FROM THE CODE — rendered from the expressions the function runs</t>
        </is>
      </c>
      <c r="J638" s="3" t="inlineStr">
        <is>
          <t>1. accounts: AssetAccount[]
2. assetId: string
3. kind: string
4. taxBucket: AssetAccount['tax_bucket']</t>
        </is>
      </c>
      <c r="K638" s="3" t="inlineStr">
        <is>
          <t>AssetAccount[]</t>
        </is>
      </c>
      <c r="L638" s="3" t="inlineStr">
        <is>
          <t>—</t>
        </is>
      </c>
      <c r="M638" s="3" t="inlineStr">
        <is>
          <t>None found in this function — anything it assumes comes from the functions it depends on.</t>
        </is>
      </c>
      <c r="N638" s="3" t="inlineStr">
        <is>
          <t>No</t>
        </is>
      </c>
      <c r="O638" s="3" t="inlineStr">
        <is>
          <t>MK-CF-F-132 map</t>
        </is>
      </c>
      <c r="P638" s="3" t="n">
        <v>1</v>
      </c>
      <c r="Q638" s="3" t="inlineStr">
        <is>
          <t>MK-CF-F-132 map</t>
        </is>
      </c>
      <c r="R638" s="3" t="inlineStr">
        <is>
          <t>MK-CF-F-132 map → MK-XS-F-103 confirmWrapper</t>
        </is>
      </c>
      <c r="S638" s="3" t="inlineStr">
        <is>
          <t>—</t>
        </is>
      </c>
      <c r="T638" s="3" t="inlineStr">
        <is>
          <t>CONFIRM_TAX_TYPE</t>
        </is>
      </c>
      <c r="U638" s="3" t="inlineStr">
        <is>
          <t>ACTIVE</t>
        </is>
      </c>
      <c r="V638" s="3" t="inlineStr">
        <is>
          <t>2026-08-27</t>
        </is>
      </c>
      <c r="W638" s="3" t="n"/>
      <c r="X638" s="3" t="n"/>
      <c r="Y638" s="3" t="inlineStr">
        <is>
          <t>NOTHING OPEN</t>
        </is>
      </c>
    </row>
    <row r="639" ht="60" customHeight="1">
      <c r="A639" s="3" t="inlineStr">
        <is>
          <t>MK-XS-F-104</t>
        </is>
      </c>
      <c r="B639" s="3" t="inlineStr">
        <is>
          <t>mapAccountType</t>
        </is>
      </c>
      <c r="C639" s="3" t="inlineStr">
        <is>
          <t>src/services/sync/snaptrade.ts</t>
        </is>
      </c>
      <c r="D639" s="3" t="n">
        <v>124</v>
      </c>
      <c r="E639" s="3" t="inlineStr">
        <is>
          <t>3 · DEPENDENT (feeds an action only)</t>
        </is>
      </c>
      <c r="F639" s="3" t="inlineStr">
        <is>
          <t>What kind of account is this, and how is it taxed?</t>
        </is>
      </c>
      <c r="G63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9" s="3" t="inlineStr">
        <is>
          <t>PARTLY READ — some of the code is still showing through; needs a hand pass</t>
        </is>
      </c>
      <c r="J639" s="3" t="inlineStr">
        <is>
          <t>1. rawType: string | null | undefined
2. category?: string | null</t>
        </is>
      </c>
      <c r="K639" s="3" t="inlineStr">
        <is>
          <t>WrapperGuess</t>
        </is>
      </c>
      <c r="L639" s="3" t="inlineStr">
        <is>
          <t>—</t>
        </is>
      </c>
      <c r="M639" s="3" t="inlineStr">
        <is>
          <t>None found in this function — anything it assumes comes from the functions it depends on.</t>
        </is>
      </c>
      <c r="N639" s="3" t="inlineStr">
        <is>
          <t>No</t>
        </is>
      </c>
      <c r="O639" s="3" t="inlineStr">
        <is>
          <t>MK-ST-F-056 has</t>
        </is>
      </c>
      <c r="P639" s="3" t="n">
        <v>1</v>
      </c>
      <c r="Q639" s="3" t="inlineStr">
        <is>
          <t>MK-ST-F-056 has</t>
        </is>
      </c>
      <c r="R639" s="3" t="inlineStr">
        <is>
          <t>MK-ST-F-056 has → MK-XS-F-104 mapAccountType</t>
        </is>
      </c>
      <c r="S639" s="3" t="inlineStr">
        <is>
          <t>—</t>
        </is>
      </c>
      <c r="T639" s="3" t="inlineStr">
        <is>
          <t>ACCOUNT_TAX_TYPE_GUESS</t>
        </is>
      </c>
      <c r="U639" s="3" t="inlineStr">
        <is>
          <t>ACTIVE</t>
        </is>
      </c>
      <c r="V639" s="3" t="inlineStr">
        <is>
          <t>2026-08-27</t>
        </is>
      </c>
      <c r="W639" s="3" t="n"/>
      <c r="X639" s="3" t="n"/>
      <c r="Y639" s="3" t="inlineStr">
        <is>
          <t>NOTHING OPEN</t>
        </is>
      </c>
    </row>
    <row r="640" ht="60" customHeight="1">
      <c r="A640" s="3" t="inlineStr">
        <is>
          <t>MK-XS-F-105</t>
        </is>
      </c>
      <c r="B640" s="3" t="inlineStr">
        <is>
          <t>mapPosition</t>
        </is>
      </c>
      <c r="C640" s="3" t="inlineStr">
        <is>
          <t>src/services/sync/snaptrade.ts</t>
        </is>
      </c>
      <c r="D640" s="3" t="n">
        <v>220</v>
      </c>
      <c r="E640" s="3" t="inlineStr">
        <is>
          <t>3 · DEPENDENT (feeds an action only)</t>
        </is>
      </c>
      <c r="F640" s="3" t="inlineStr">
        <is>
          <t>B7 (founder brief 2026-08-20): classification lives in the ONE function — name first, broker tag as fallback only.</t>
        </is>
      </c>
      <c r="G640" s="11" t="inlineStr">
        <is>
          <t>sym = flat symbol(p)
shares = units (or 0 when missing)
nothing   when sym is missing (or shares = 0 when missing or zero)
code = (sym.type.code ?? '').to lower case()
tick = (sym.raw symbol or sym.symbol or '').to upper case()</t>
        </is>
      </c>
      <c r="H640" s="3" t="inlineStr">
        <is>
          <t>Sym is flat symbol(p). Shares is units (or 0 — when missing). When sym is missing (or shares = 0 — when missing or zero), it answers no answer. Code is (sym.type.code ?? '').to lower case(). Tick is (sym.raw symbol or sym.symbol or '').to upper case().</t>
        </is>
      </c>
      <c r="I640" s="3" t="inlineStr">
        <is>
          <t>PARTLY READ — some of the code is still showing through; needs a hand pass</t>
        </is>
      </c>
      <c r="J640" s="3" t="inlineStr">
        <is>
          <t>p: StPosition</t>
        </is>
      </c>
      <c r="K640" s="3" t="inlineStr">
        <is>
          <t>MappedPosition | null</t>
        </is>
      </c>
      <c r="L640" s="3" t="inlineStr">
        <is>
          <t>—</t>
        </is>
      </c>
      <c r="M640" s="3" t="inlineStr">
        <is>
          <t>1. If units is missing it uses 0.
2. If quantity is missing it uses 0.</t>
        </is>
      </c>
      <c r="N640" s="3" t="inlineStr">
        <is>
          <t>No</t>
        </is>
      </c>
      <c r="O640" s="3" t="inlineStr">
        <is>
          <t>1. MK-ST-F-011 classifyHoldingClass
2. MK-XS-F-145 flatSymbol
3. MK-CF-F-132 map</t>
        </is>
      </c>
      <c r="P640" s="3" t="n">
        <v>9</v>
      </c>
      <c r="Q640" s="3" t="inlineStr">
        <is>
          <t>1. MK-ST-F-011 classifyHoldingClass
2. MK-XS-F-145 flatSymbol
3. MK-CF-F-132 map
4. MK-ST-F-010 nameEvidence
5. MK-XS-F-147 call
6. MK-ST-F-056 has
7. MK-ST-F-027 accountId
8. MK-XS-F-064 currentIdToken
9. MK-XS-F-112 relayUrl</t>
        </is>
      </c>
      <c r="R64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0" s="3" t="inlineStr">
        <is>
          <t>—</t>
        </is>
      </c>
      <c r="T640" s="3" t="inlineStr">
        <is>
          <t>CLASS_FROM_BROKER</t>
        </is>
      </c>
      <c r="U640" s="3" t="inlineStr">
        <is>
          <t>ACTIVE</t>
        </is>
      </c>
      <c r="V640" s="3" t="inlineStr">
        <is>
          <t>2026-08-27</t>
        </is>
      </c>
      <c r="W640" s="3" t="n"/>
      <c r="X640" s="3" t="n"/>
      <c r="Y640" s="3" t="inlineStr">
        <is>
          <t>NOTHING OPEN</t>
        </is>
      </c>
    </row>
    <row r="641" ht="60" customHeight="1">
      <c r="A641" s="3" t="inlineStr">
        <is>
          <t>MK-XS-F-106</t>
        </is>
      </c>
      <c r="B641" s="3" t="inlineStr">
        <is>
          <t>mapOptionHolding</t>
        </is>
      </c>
      <c r="C641" s="3" t="inlineStr">
        <is>
          <t>src/services/sync/snaptrade.ts</t>
        </is>
      </c>
      <c r="D641" s="3" t="n">
        <v>310</v>
      </c>
      <c r="E641" s="3" t="inlineStr">
        <is>
          <t>3 · DEPENDENT (feeds an action only)</t>
        </is>
      </c>
      <c r="F641" s="3" t="inlineStr">
        <is>
          <t>What is this option position worth, and what do we call it?</t>
        </is>
      </c>
      <c r="G64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1" s="3" t="inlineStr">
        <is>
          <t>PARTLY READ — some of the code is still showing through; needs a hand pass</t>
        </is>
      </c>
      <c r="J641" s="3" t="inlineStr">
        <is>
          <t>1. o: StOptionHolding
2. multiplier = 100</t>
        </is>
      </c>
      <c r="K641" s="3" t="inlineStr">
        <is>
          <t>MappedOption | null</t>
        </is>
      </c>
      <c r="L641" s="3" t="inlineStr">
        <is>
          <t>—</t>
        </is>
      </c>
      <c r="M641" s="3" t="inlineStr">
        <is>
          <t>1. If units is missing it uses 0.
2. If price is missing it uses 0.
3. Rounds the answer to two decimals (cents).</t>
        </is>
      </c>
      <c r="N641" s="3" t="inlineStr">
        <is>
          <t>No</t>
        </is>
      </c>
      <c r="O641" s="3" t="inlineStr">
        <is>
          <t>1. MK-ST-F-007 classifyEvent
2. MK-XS-F-146 prettyExpiry</t>
        </is>
      </c>
      <c r="P641" s="3" t="n">
        <v>3</v>
      </c>
      <c r="Q641" s="3" t="inlineStr">
        <is>
          <t>1. MK-ST-F-007 classifyEvent
2. MK-XS-F-146 prettyExpiry
3. MK-CF-F-132 map</t>
        </is>
      </c>
      <c r="R641" s="3" t="inlineStr">
        <is>
          <t>1. MK-ST-F-007 classifyEvent → MK-XS-F-106 mapOptionHolding
2. MK-CF-F-132 map → MK-XS-F-146 prettyExpiry → MK-XS-F-106 mapOptionHolding</t>
        </is>
      </c>
      <c r="S641" s="3" t="inlineStr">
        <is>
          <t>—</t>
        </is>
      </c>
      <c r="T641" s="3" t="inlineStr">
        <is>
          <t>OPTION_HOLDING</t>
        </is>
      </c>
      <c r="U641" s="3" t="inlineStr">
        <is>
          <t>ACTIVE</t>
        </is>
      </c>
      <c r="V641" s="3" t="inlineStr">
        <is>
          <t>2026-08-27</t>
        </is>
      </c>
      <c r="W641" s="3" t="n"/>
      <c r="X641" s="3" t="n"/>
      <c r="Y641" s="3" t="inlineStr">
        <is>
          <t>NOTHING OPEN</t>
        </is>
      </c>
    </row>
    <row r="642" ht="60" customHeight="1">
      <c r="A642" s="3" t="inlineStr">
        <is>
          <t>MK-XS-F-107</t>
        </is>
      </c>
      <c r="B642" s="3" t="inlineStr">
        <is>
          <t>mapActivityType</t>
        </is>
      </c>
      <c r="C642" s="3" t="inlineStr">
        <is>
          <t>src/services/sync/snaptrade.ts</t>
        </is>
      </c>
      <c r="D642" s="3" t="n">
        <v>372</v>
      </c>
      <c r="E642" s="3" t="inlineStr">
        <is>
          <t>3 · DEPENDENT (feeds an action only)</t>
        </is>
      </c>
      <c r="F642" s="3" t="inlineStr">
        <is>
          <t>A line arrived from the broker. Is this money you paid IN, money you took OUT, or something that happened inside the account?</t>
        </is>
      </c>
      <c r="G64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2" s="3" t="inlineStr">
        <is>
          <t>PARTLY READ — some of the code is still showing through; needs a hand pass</t>
        </is>
      </c>
      <c r="J642" s="3" t="inlineStr">
        <is>
          <t>a: StActivity</t>
        </is>
      </c>
      <c r="K642" s="3" t="inlineStr">
        <is>
          <t>MappedActivity</t>
        </is>
      </c>
      <c r="L642" s="3" t="inlineStr">
        <is>
          <t>—</t>
        </is>
      </c>
      <c r="M642" s="3" t="inlineStr">
        <is>
          <t>· If amount is missing it uses 0.</t>
        </is>
      </c>
      <c r="N642" s="3" t="inlineStr">
        <is>
          <t>No</t>
        </is>
      </c>
      <c r="O642" s="3" t="inlineStr">
        <is>
          <t>MK-CF-F-155 cash</t>
        </is>
      </c>
      <c r="P642" s="3" t="n">
        <v>2</v>
      </c>
      <c r="Q642" s="3" t="inlineStr">
        <is>
          <t>1. MK-CF-F-155 cash
2. MK-XS-F-122 n</t>
        </is>
      </c>
      <c r="R642" s="3" t="inlineStr">
        <is>
          <t>MK-XS-F-122 n → MK-CF-F-155 cash → MK-XS-F-107 mapActivityType</t>
        </is>
      </c>
      <c r="S642" s="3" t="inlineStr">
        <is>
          <t>—</t>
        </is>
      </c>
      <c r="T642" s="3" t="inlineStr">
        <is>
          <t>TRANSLATE_BROKER_WORD</t>
        </is>
      </c>
      <c r="U642" s="3" t="inlineStr">
        <is>
          <t>ACTIVE</t>
        </is>
      </c>
      <c r="V642" s="3" t="inlineStr">
        <is>
          <t>2026-08-27</t>
        </is>
      </c>
      <c r="W642" s="3" t="n"/>
      <c r="X642" s="3" t="n"/>
      <c r="Y642" s="3" t="inlineStr">
        <is>
          <t>NOTHING OPEN</t>
        </is>
      </c>
    </row>
    <row r="643" ht="60" customHeight="1">
      <c r="A643" s="3" t="inlineStr">
        <is>
          <t>MK-XS-F-108</t>
        </is>
      </c>
      <c r="B643" s="3" t="inlineStr">
        <is>
          <t>activityKey</t>
        </is>
      </c>
      <c r="C643" s="3" t="inlineStr">
        <is>
          <t>src/services/sync/snaptrade.ts</t>
        </is>
      </c>
      <c r="D643" s="3" t="n">
        <v>453</v>
      </c>
      <c r="E643" s="3" t="inlineStr">
        <is>
          <t>3 · DEPENDENT (feeds an action only)</t>
        </is>
      </c>
      <c r="F643" s="3" t="inlineStr">
        <is>
          <t>── duplicate-proofing ───────────────────────────────────────────────────────────────────────── SnapTrade activity ids can change when they reprocess history, so identity = the composite of everything that makes the row THAT row.</t>
        </is>
      </c>
      <c r="G643" s="11" t="inlineStr">
        <is>
          <t>the answer = import key(account, trade date or settlement date, type, amount, units, security, reference, description)</t>
        </is>
      </c>
      <c r="H643" s="3" t="inlineStr">
        <is>
          <t>The stable identity of one imported activity row, built by MK-ST-F-014 importKey from the account, the date, the type, the amount, the units, the security, the reference and the description.</t>
        </is>
      </c>
      <c r="I643" s="3" t="inlineStr">
        <is>
          <t>READ BY HAND 2026-08-26 — checked line by line against the code</t>
        </is>
      </c>
      <c r="J643" s="3" t="inlineStr">
        <is>
          <t>1. accountId: string
2. a: StActivity</t>
        </is>
      </c>
      <c r="K643" s="3" t="inlineStr">
        <is>
          <t>string</t>
        </is>
      </c>
      <c r="L643" s="3" t="inlineStr">
        <is>
          <t>—</t>
        </is>
      </c>
      <c r="M643" s="3" t="inlineStr">
        <is>
          <t>None found in this function — anything it assumes comes from the functions it depends on.</t>
        </is>
      </c>
      <c r="N643" s="3" t="inlineStr">
        <is>
          <t>No</t>
        </is>
      </c>
      <c r="O643" s="3" t="inlineStr">
        <is>
          <t>1. MK-ST-F-027 accountId
2. MK-ST-F-014 importKey</t>
        </is>
      </c>
      <c r="P643" s="3" t="n">
        <v>2</v>
      </c>
      <c r="Q643" s="3" t="inlineStr">
        <is>
          <t>1. MK-ST-F-027 accountId
2. MK-ST-F-014 importKey</t>
        </is>
      </c>
      <c r="R643" s="3" t="inlineStr">
        <is>
          <t>1. MK-ST-F-027 accountId → MK-XS-F-108 activityKey
2. MK-ST-F-014 importKey → MK-XS-F-108 activityKey</t>
        </is>
      </c>
      <c r="S643" s="3" t="inlineStr">
        <is>
          <t>—</t>
        </is>
      </c>
      <c r="T643" s="3" t="inlineStr">
        <is>
          <t>ACTIVITY_IDENTITY</t>
        </is>
      </c>
      <c r="U643" s="3" t="inlineStr">
        <is>
          <t>ACTIVE</t>
        </is>
      </c>
      <c r="V643" s="3" t="inlineStr">
        <is>
          <t>2026-09-12</t>
        </is>
      </c>
      <c r="W643" s="3" t="n"/>
      <c r="X643" s="3" t="n"/>
      <c r="Y643" s="3" t="inlineStr">
        <is>
          <t>NOTHING OPEN</t>
        </is>
      </c>
    </row>
    <row r="644" ht="60" customHeight="1">
      <c r="A644" s="3" t="inlineStr">
        <is>
          <t>MK-XS-F-109</t>
        </is>
      </c>
      <c r="B644" s="3" t="inlineStr">
        <is>
          <t>dedupeActivities</t>
        </is>
      </c>
      <c r="C644" s="3" t="inlineStr">
        <is>
          <t>src/services/sync/snaptrade.ts</t>
        </is>
      </c>
      <c r="D644" s="3" t="n">
        <v>482</v>
      </c>
      <c r="E644" s="3" t="inlineStr">
        <is>
          <t>3 · DEPENDENT (feeds an action only)</t>
        </is>
      </c>
      <c r="F644" s="3" t="inlineStr">
        <is>
          <t>Which of these activities are new since the last sync?</t>
        </is>
      </c>
      <c r="G644" s="11" t="inlineStr">
        <is>
          <t>fresh = []
k = activity key(account id, a)
the answer = fresh</t>
        </is>
      </c>
      <c r="H644" s="3" t="inlineStr">
        <is>
          <t>Fresh is []. K is activity key(account id, a). The answer is fresh.</t>
        </is>
      </c>
      <c r="I644" s="3" t="inlineStr">
        <is>
          <t>READ FROM THE CODE — rendered from the expressions the function runs</t>
        </is>
      </c>
      <c r="J644" s="3" t="inlineStr">
        <is>
          <t>1. accountId: string
2. incoming: StActivity[]
3. seenKeys: Set&lt;string&gt;</t>
        </is>
      </c>
      <c r="K644" s="3" t="inlineStr">
        <is>
          <t>StActivity[]</t>
        </is>
      </c>
      <c r="L644" s="3" t="inlineStr">
        <is>
          <t>—</t>
        </is>
      </c>
      <c r="M644" s="3" t="inlineStr">
        <is>
          <t>None found in this function — anything it assumes comes from the functions it depends on.</t>
        </is>
      </c>
      <c r="N644" s="3" t="inlineStr">
        <is>
          <t>No</t>
        </is>
      </c>
      <c r="O644" s="3" t="inlineStr">
        <is>
          <t>1. MK-ST-F-027 accountId
2. MK-XS-F-108 activityKey
3. MK-ST-F-056 has</t>
        </is>
      </c>
      <c r="P644" s="3" t="n">
        <v>4</v>
      </c>
      <c r="Q644" s="3" t="inlineStr">
        <is>
          <t>1. MK-ST-F-027 accountId
2. MK-XS-F-108 activityKey
3. MK-ST-F-056 has
4. MK-ST-F-014 importKey</t>
        </is>
      </c>
      <c r="R644" s="3" t="inlineStr">
        <is>
          <t>1. MK-ST-F-027 accountId → MK-XS-F-109 dedupeActivities
2. MK-ST-F-027 accountId → MK-XS-F-108 activityKey → MK-XS-F-109 dedupeActivities
3. MK-ST-F-014 importKey → MK-XS-F-108 activityKey → MK-XS-F-109 dedupeActivities
4. MK-ST-F-056 has → MK-XS-F-109 dedupeActivities</t>
        </is>
      </c>
      <c r="S644" s="3" t="inlineStr">
        <is>
          <t>—</t>
        </is>
      </c>
      <c r="T644" s="3" t="inlineStr">
        <is>
          <t>ALREADY_SEEN_CHECK</t>
        </is>
      </c>
      <c r="U644" s="3" t="inlineStr">
        <is>
          <t>ACTIVE</t>
        </is>
      </c>
      <c r="V644" s="3" t="inlineStr">
        <is>
          <t>2026-08-27</t>
        </is>
      </c>
      <c r="W644" s="3" t="n"/>
      <c r="X644" s="3" t="n"/>
      <c r="Y644" s="3" t="inlineStr">
        <is>
          <t>NOTHING OPEN</t>
        </is>
      </c>
    </row>
    <row r="645" ht="60" customHeight="1">
      <c r="A645" s="3" t="inlineStr">
        <is>
          <t>MK-XS-F-110</t>
        </is>
      </c>
      <c r="B645" s="3" t="inlineStr">
        <is>
          <t>netCashSleeve</t>
        </is>
      </c>
      <c r="C645" s="3" t="inlineStr">
        <is>
          <t>src/services/sync/snaptrade.ts</t>
        </is>
      </c>
      <c r="D645" s="3" t="n">
        <v>523</v>
      </c>
      <c r="E645" s="3" t="inlineStr">
        <is>
          <t>3 · DEPENDENT (feeds an action only)</t>
        </is>
      </c>
      <c r="F645" s="3" t="inlineStr">
        <is>
          <t>── the cash sleeve, deduped ─────────────────────────────────────────────────────────────────── SnapTrade counts money-market (cash_equivalent) positions INSIDE balances.cash too.</t>
        </is>
      </c>
      <c r="G645" s="11" t="inlineStr">
        <is>
          <t>net = round((balances cash ?? 0) − mmf, 2 dp)
the answer:
0   if net &lt; 0 and net &gt; -1
net   otherwise</t>
        </is>
      </c>
      <c r="H645" s="3" t="inlineStr">
        <is>
          <t>Net is (balances cash ?? 0) minus mmf, to the cent. The answer is 0 — when net &lt; 0 and net &gt; -1; net — otherwise.</t>
        </is>
      </c>
      <c r="I645" s="3" t="inlineStr">
        <is>
          <t>PARTLY READ — some of the code is still showing through; needs a hand pass</t>
        </is>
      </c>
      <c r="J645" s="3" t="inlineStr">
        <is>
          <t>1. balancesCash: number | null | undefined
2. positions: MappedPosition[]</t>
        </is>
      </c>
      <c r="K645" s="3" t="inlineStr">
        <is>
          <t>number</t>
        </is>
      </c>
      <c r="L645" s="3" t="inlineStr">
        <is>
          <t>—</t>
        </is>
      </c>
      <c r="M645" s="3" t="inlineStr">
        <is>
          <t>1. If price is missing it uses 0.
2. If balances cash is missing it uses 0.
3. Rounds the answer to two decimals (cents).</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UNINVESTED_CASH</t>
        </is>
      </c>
      <c r="U645" s="3" t="inlineStr">
        <is>
          <t>ACTIVE</t>
        </is>
      </c>
      <c r="V645" s="3" t="inlineStr">
        <is>
          <t>2026-08-27</t>
        </is>
      </c>
      <c r="W645" s="3" t="n"/>
      <c r="X645" s="3" t="n"/>
      <c r="Y645" s="3" t="inlineStr">
        <is>
          <t>NOTHING OPEN</t>
        </is>
      </c>
    </row>
    <row r="646" ht="60" customHeight="1">
      <c r="A646" s="3" t="inlineStr">
        <is>
          <t>MK-XS-F-111</t>
        </is>
      </c>
      <c r="B646" s="3" t="inlineStr">
        <is>
          <t>mergeHistoryFrom</t>
        </is>
      </c>
      <c r="C646" s="3" t="inlineStr">
        <is>
          <t>src/services/sync/snaptrade.ts</t>
        </is>
      </c>
      <c r="D646" s="3" t="n">
        <v>559</v>
      </c>
      <c r="E646" s="3" t="inlineStr">
        <is>
          <t>3 · DEPENDENT (feeds an action only)</t>
        </is>
      </c>
      <c r="F646" s="3" t="inlineStr">
        <is>
          <t>FOUNDER RULE 2026-08-04: record how far back the broker's OWN activity feed reaches, so a "past year" income figure can label itself honestly.</t>
        </is>
      </c>
      <c r="G646" s="11" t="inlineStr">
        <is>
          <t>earliest now = the first of dates
existing   when earliest now is missing
earliest now   when existing is missing
the answer:
earliest now   if earliest now &lt; existing
existing   otherwise</t>
        </is>
      </c>
      <c r="H646" s="3" t="inlineStr">
        <is>
          <t>Earliest now: the first of dates. When earliest now is missing, it answers existing. When existing is missing, it answers earliest now. The answer is earliest now — when earliest now &lt; existing; existing — otherwise.</t>
        </is>
      </c>
      <c r="I646" s="3" t="inlineStr">
        <is>
          <t>READ FROM THE CODE — rendered from the expressions the function runs</t>
        </is>
      </c>
      <c r="J646" s="3" t="inlineStr">
        <is>
          <t>1. existing: string | undefined
2. activityDates: (string | null | undefined)[]</t>
        </is>
      </c>
      <c r="K646" s="3" t="inlineStr">
        <is>
          <t>string | undefined</t>
        </is>
      </c>
      <c r="L646" s="3" t="inlineStr">
        <is>
          <t>—</t>
        </is>
      </c>
      <c r="M646" s="3" t="inlineStr">
        <is>
          <t>None found in this function — anything it assumes comes from the functions it depends on.</t>
        </is>
      </c>
      <c r="N646" s="3" t="inlineStr">
        <is>
          <t>No</t>
        </is>
      </c>
      <c r="O646" s="3" t="inlineStr">
        <is>
          <t>MK-CF-F-132 map</t>
        </is>
      </c>
      <c r="P646" s="3" t="n">
        <v>1</v>
      </c>
      <c r="Q646" s="3" t="inlineStr">
        <is>
          <t>MK-CF-F-132 map</t>
        </is>
      </c>
      <c r="R646" s="3" t="inlineStr">
        <is>
          <t>MK-CF-F-132 map → MK-XS-F-111 mergeHistoryFrom</t>
        </is>
      </c>
      <c r="S646" s="3" t="inlineStr">
        <is>
          <t>—</t>
        </is>
      </c>
      <c r="T646" s="3" t="inlineStr">
        <is>
          <t>HISTORY_DEPTH</t>
        </is>
      </c>
      <c r="U646" s="3" t="inlineStr">
        <is>
          <t>ACTIVE</t>
        </is>
      </c>
      <c r="V646" s="3" t="inlineStr">
        <is>
          <t>2026-08-27</t>
        </is>
      </c>
      <c r="W646" s="3" t="n"/>
      <c r="X646" s="3" t="n"/>
      <c r="Y646" s="3" t="inlineStr">
        <is>
          <t>NOTHING OPEN</t>
        </is>
      </c>
    </row>
    <row r="647" ht="60" customHeight="1">
      <c r="A647" s="3" t="inlineStr">
        <is>
          <t>MK-XS-F-112</t>
        </is>
      </c>
      <c r="B647" s="3" t="inlineStr">
        <is>
          <t>relayUrl</t>
        </is>
      </c>
      <c r="C647" s="3" t="inlineStr">
        <is>
          <t>src/services/sync/snaptradeClient.ts</t>
        </is>
      </c>
      <c r="D647" s="3" t="n">
        <v>35</v>
      </c>
      <c r="E647" s="3" t="inlineStr">
        <is>
          <t>3 · DEPENDENT</t>
        </is>
      </c>
      <c r="F647" s="3" t="inlineStr">
        <is>
          <t>NOT DETERMINED — the code carries no note saying what this is for, and it has no row in the old inventory. Needs reading.</t>
        </is>
      </c>
      <c r="G647" s="11" t="inlineStr">
        <is>
          <t>the answer = the relay address from the app config, else from the environment, else nothing</t>
        </is>
      </c>
      <c r="H647" s="3" t="inlineStr">
        <is>
          <t>Where the connection relay lives, read from the app configuration. Not a calculation.</t>
        </is>
      </c>
      <c r="I647" s="3" t="inlineStr">
        <is>
          <t>READ BY HAND 2026-08-26 — checked line by line against the code</t>
        </is>
      </c>
      <c r="J647" s="3" t="inlineStr">
        <is>
          <t>Nothing is handed to it</t>
        </is>
      </c>
      <c r="K647" s="3" t="inlineStr">
        <is>
          <t>string | null</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MK-XS-F-113</t>
        </is>
      </c>
      <c r="B648" s="3" t="inlineStr">
        <is>
          <t>snaptradeConfigured</t>
        </is>
      </c>
      <c r="C648" s="3" t="inlineStr">
        <is>
          <t>src/services/sync/snaptradeClient.ts</t>
        </is>
      </c>
      <c r="D648" s="3" t="n">
        <v>60</v>
      </c>
      <c r="E648" s="3" t="inlineStr">
        <is>
          <t>1 · ACTION</t>
        </is>
      </c>
      <c r="F648" s="3" t="inlineStr">
        <is>
          <t>NOT DETERMINED — the code carries no note saying what this is for, and it has no row in the old inventory. Needs reading.</t>
        </is>
      </c>
      <c r="G648" s="11" t="inlineStr">
        <is>
          <t>!!relay url()</t>
        </is>
      </c>
      <c r="H648" s="3" t="inlineStr">
        <is>
          <t>!!relay url()</t>
        </is>
      </c>
      <c r="I648" s="3" t="inlineStr">
        <is>
          <t>READ FROM THE CODE — rendered from the expressions the function runs</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MK-XS-F-112 relayUrl</t>
        </is>
      </c>
      <c r="P648" s="3" t="n">
        <v>1</v>
      </c>
      <c r="Q648" s="3" t="inlineStr">
        <is>
          <t>MK-XS-F-112 relayUrl</t>
        </is>
      </c>
      <c r="R648" s="3" t="inlineStr">
        <is>
          <t>MK-XS-F-112 relayUrl → MK-XS-F-113 snaptradeConfigured</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MK-XS-F-114</t>
        </is>
      </c>
      <c r="B649" s="3" t="inlineStr">
        <is>
          <t>usdCash</t>
        </is>
      </c>
      <c r="C649" s="3" t="inlineStr">
        <is>
          <t>src/services/sync/snaptradeClient.ts</t>
        </is>
      </c>
      <c r="D649" s="3" t="n">
        <v>148</v>
      </c>
      <c r="E649" s="3" t="inlineStr">
        <is>
          <t>3 · DEPENDENT</t>
        </is>
      </c>
      <c r="F649" s="3" t="inlineStr">
        <is>
          <t>USD cash across the balances list (v1 is USD-only; other currencies are ignored, not guessed).</t>
        </is>
      </c>
      <c r="G649" s="11" t="inlineStr">
        <is>
          <t>the answer = Σ over balances in USD (or with no currency) of (cash, or 0)</t>
        </is>
      </c>
      <c r="H649" s="3" t="inlineStr">
        <is>
          <t>Adds up the cash balances a connected account reports in US dollars (a balance with no currency code counts as dollars). Other currencies are left out.</t>
        </is>
      </c>
      <c r="I649" s="3" t="inlineStr">
        <is>
          <t>READ BY HAND 2026-08-26 — checked line by line against the code</t>
        </is>
      </c>
      <c r="J649" s="3" t="inlineStr">
        <is>
          <t>balances: HoldingsPayload['balances'] | null | undefined</t>
        </is>
      </c>
      <c r="K649" s="3" t="inlineStr">
        <is>
          <t>number</t>
        </is>
      </c>
      <c r="L649" s="3" t="inlineStr">
        <is>
          <t>—</t>
        </is>
      </c>
      <c r="M649" s="3" t="inlineStr">
        <is>
          <t>· If cash is missing it uses 0.</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MK-XS-F-115</t>
        </is>
      </c>
      <c r="B650" s="3" t="inlineStr">
        <is>
          <t>shouldDailySync</t>
        </is>
      </c>
      <c r="C650" s="3" t="inlineStr">
        <is>
          <t>src/services/sync/snaptradeSync.ts</t>
        </is>
      </c>
      <c r="D650" s="3" t="n">
        <v>38</v>
      </c>
      <c r="E650" s="3" t="inlineStr">
        <is>
          <t>3 · DEPENDENT</t>
        </is>
      </c>
      <c r="F650" s="3" t="inlineStr">
        <is>
          <t>NOT DETERMINED — the code carries no note saying what this is for, and it has no row in the old inventory. Needs reading.</t>
        </is>
      </c>
      <c r="G650" s="11" t="inlineStr">
        <is>
          <t>true   when last sync at is missing
t = date.parse(last sync at)
the answer = number.is na n(t) (or now − t &gt; 20 × 3600000 when missing or zero)</t>
        </is>
      </c>
      <c r="H650" s="3" t="inlineStr">
        <is>
          <t>When last sync at is missing, it answers true. T is date.parse(last sync at). The answer is number.is na n(t) (or now minus t &gt; 20 times 3600000 — when missing or zero).</t>
        </is>
      </c>
      <c r="I650" s="3" t="inlineStr">
        <is>
          <t>PARTLY READ — some of the code is still showing through; needs a hand pass</t>
        </is>
      </c>
      <c r="J650" s="3" t="inlineStr">
        <is>
          <t>1. lastSyncAt: string | null | undefined
2. now: number = Date.now()</t>
        </is>
      </c>
      <c r="K650" s="3" t="inlineStr">
        <is>
          <t>boolean</t>
        </is>
      </c>
      <c r="L650" s="3" t="inlineStr">
        <is>
          <t>—</t>
        </is>
      </c>
      <c r="M650" s="3" t="inlineStr">
        <is>
          <t>· Uses today's date from the device clock, so the answer changes by itself overnight.</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MK-XS-F-116</t>
        </is>
      </c>
      <c r="B651" s="3" t="inlineStr">
        <is>
          <t>runSnapTradeSync</t>
        </is>
      </c>
      <c r="C651" s="3" t="inlineStr">
        <is>
          <t>src/services/sync/snaptradeSync.ts</t>
        </is>
      </c>
      <c r="D651" s="3" t="n">
        <v>144</v>
      </c>
      <c r="E651" s="3" t="inlineStr">
        <is>
          <t>2 · DISPLAYED</t>
        </is>
      </c>
      <c r="F651" s="3" t="inlineStr">
        <is>
          <t>Full sync. Returns the number of accounts synced (0 = nothing connected).</t>
        </is>
      </c>
      <c r="G65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1" s="3" t="inlineStr">
        <is>
          <t>PARTLY READ — some of the code is still showing through; needs a hand pass</t>
        </is>
      </c>
      <c r="J651" s="3" t="inlineStr">
        <is>
          <t>1. opts: { force?: boolean } = {}
2. reads the app's stored data</t>
        </is>
      </c>
      <c r="K651" s="3" t="inlineStr">
        <is>
          <t>Promise&lt;number&gt;</t>
        </is>
      </c>
      <c r="L651" s="3" t="inlineStr">
        <is>
          <t>NOT FOUND — a screen calls it, but the words printed beside its answer could not be traced automatically. Needs reading.</t>
        </is>
      </c>
      <c r="M651" s="3" t="inlineStr">
        <is>
          <t>· Uses today's date from the device clock, so the answer changes by itself overnight.</t>
        </is>
      </c>
      <c r="N651" s="3" t="inlineStr">
        <is>
          <t>Yes</t>
        </is>
      </c>
      <c r="O651" s="3" t="inlineStr">
        <is>
          <t>1. MK-XS-F-149 allActivities
2. MK-CF-F-132 map
3. MK-XS-F-115 shouldDailySync
4. MK-XS-F-113 snaptradeConfigured
5. MK-XS-F-101 stAssetId
6. MK-XS-F-114 usdCash</t>
        </is>
      </c>
      <c r="P651" s="3" t="n">
        <v>9</v>
      </c>
      <c r="Q651" s="3" t="inlineStr">
        <is>
          <t>1. MK-XS-F-149 allActivities
2. MK-CF-F-132 map
3. MK-XS-F-115 shouldDailySync
4. MK-XS-F-113 snaptradeConfigured
5. MK-XS-F-101 stAssetId
6. MK-XS-F-114 usdCash
7. MK-ST-F-027 accountId
8. MK-XS-F-148 unwrapActivities
9. MK-XS-F-112 relayUrl</t>
        </is>
      </c>
      <c r="R65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MK-XS-F-118</t>
        </is>
      </c>
      <c r="B652" s="3" t="inlineStr">
        <is>
          <t>prettyDate</t>
        </is>
      </c>
      <c r="C652" s="3" t="inlineStr">
        <is>
          <t>src/domain/gaps/index.ts</t>
        </is>
      </c>
      <c r="D652" s="3" t="n">
        <v>58</v>
      </c>
      <c r="E652" s="3" t="inlineStr">
        <is>
          <t>3 · DEPENDENT</t>
        </is>
      </c>
      <c r="F652" s="3" t="inlineStr">
        <is>
          <t>daysSince now comes from the ONE freshness rule in src/domain/_shared/freshness.ts (DEC-0301).</t>
        </is>
      </c>
      <c r="G652" s="11" t="inlineStr">
        <is>
          <t>d = the date `${iso}-15T12:00:00`   if iso.length = 7
`${iso}T12:00:00`   otherwise
the answer:
iso   if is na n(get time())
to locale date string('en − US', { month: 'short', day: 'numeric' })   otherwise</t>
        </is>
      </c>
      <c r="H652" s="3" t="inlineStr">
        <is>
          <t>D: the date `${iso}-15T12:00:00` — when iso.length = 7; `${iso}T12:00:00` — otherwise. The answer is iso — when is na n(get time()); to locale date string('en minus US', { month: 'short', day: 'numeric' }) — otherwise.</t>
        </is>
      </c>
      <c r="I652" s="3" t="inlineStr">
        <is>
          <t>PARTLY READ — some of the code is still showing through; needs a hand pass</t>
        </is>
      </c>
      <c r="J652" s="3" t="inlineStr">
        <is>
          <t>iso: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MK-XS-F-119</t>
        </is>
      </c>
      <c r="B653" s="3" t="inlineStr">
        <is>
          <t>namesFor</t>
        </is>
      </c>
      <c r="C653" s="3" t="inlineStr">
        <is>
          <t>src/domain/gaps/index.ts</t>
        </is>
      </c>
      <c r="D653" s="3" t="n">
        <v>84</v>
      </c>
      <c r="E653" s="3" t="inlineStr">
        <is>
          <t>1 · ACTION</t>
        </is>
      </c>
      <c r="F653" s="3" t="inlineStr">
        <is>
          <t>Founder finding 2026-08-11: this named an account by its INSTITUTION alone, so two Vanguard accounts produced two identical banner lines ("Vanguard last updated Aug 3" twice) with no way to tell which was which.</t>
        </is>
      </c>
      <c r="G653" s="11" t="inlineStr">
        <is>
          <t>account display names(accounts)</t>
        </is>
      </c>
      <c r="H653" s="3" t="inlineStr">
        <is>
          <t>account display names(accounts)</t>
        </is>
      </c>
      <c r="I653" s="3" t="inlineStr">
        <is>
          <t>READ FROM THE CODE — rendered from the expressions the function runs</t>
        </is>
      </c>
      <c r="J653" s="3" t="inlineStr">
        <is>
          <t>accounts: AssetAccount[]</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MK-NW-F-026 accountDisplayNames</t>
        </is>
      </c>
      <c r="P653" s="3" t="n">
        <v>8</v>
      </c>
      <c r="Q653" s="3" t="inlineStr">
        <is>
          <t>1. MK-NW-F-026 accountDisplayNames
2. MK-NW-F-025 accountDisplayName
3. MK-CF-F-155 cash
4. MK-CF-F-132 map
5. MK-XS-F-122 n
6. MK-NW-F-024 accountLastFour
7. MK-NW-F-012 taxTreatmentOf
8. MK-NW-F-023 wrapperWord</t>
        </is>
      </c>
      <c r="R653"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MK-XS-F-120</t>
        </is>
      </c>
      <c r="B654" s="3" t="inlineStr">
        <is>
          <t>nameOf</t>
        </is>
      </c>
      <c r="C654" s="3" t="inlineStr">
        <is>
          <t>src/domain/gaps/index.ts</t>
        </is>
      </c>
      <c r="D654" s="3" t="n">
        <v>104</v>
      </c>
      <c r="E654" s="3" t="inlineStr">
        <is>
          <t>1 · ACTION</t>
        </is>
      </c>
      <c r="F654" s="3" t="inlineStr">
        <is>
          <t>NOT DETERMINED — the code carries no note saying what this is for, and it has no row in the old inventory. Needs reading.</t>
        </is>
      </c>
      <c r="G654" s="11" t="inlineStr">
        <is>
          <t>the answer = the person's name for the account, else the institution, else the label, else 'this account'</t>
        </is>
      </c>
      <c r="H654" s="3" t="inlineStr">
        <is>
          <t>What to call an account in a sentence — the person's own name for it, then the institution, then the label. No arithmetic.</t>
        </is>
      </c>
      <c r="I654" s="3" t="inlineStr">
        <is>
          <t>READ BY HAND 2026-08-26 — checked line by line against the code</t>
        </is>
      </c>
      <c r="J654" s="3" t="inlineStr">
        <is>
          <t>1. a: AssetAccount
2. names: Map&lt;string, string&gt;</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60" customHeight="1">
      <c r="A655" s="3" t="inlineStr">
        <is>
          <t>MK-XS-F-121</t>
        </is>
      </c>
      <c r="B655" s="3" t="inlineStr">
        <is>
          <t>isYm</t>
        </is>
      </c>
      <c r="C655" s="3" t="inlineStr">
        <is>
          <t>src/domain/history.ts</t>
        </is>
      </c>
      <c r="D655" s="3" t="n">
        <v>134</v>
      </c>
      <c r="E655" s="3" t="inlineStr">
        <is>
          <t>1 · ACTION</t>
        </is>
      </c>
      <c r="F655" s="3" t="inlineStr">
        <is>
          <t>NOT DETERMINED — the code carries no note saying what this is for, and it has no row in the old inventory. Needs reading.</t>
        </is>
      </c>
      <c r="G655" s="11" t="inlineStr">
        <is>
          <t>the answer = true when the text is exactly 'YYYY-MM'</t>
        </is>
      </c>
      <c r="H655" s="3" t="inlineStr">
        <is>
          <t>Whether a text is a month key of the form 'YYYY-MM'. No arithmetic.</t>
        </is>
      </c>
      <c r="I655" s="3" t="inlineStr">
        <is>
          <t>READ BY HAND 2026-08-26 — checked line by line against the code</t>
        </is>
      </c>
      <c r="J655" s="3" t="inlineStr">
        <is>
          <t>s: unknown</t>
        </is>
      </c>
      <c r="K655" s="3" t="inlineStr">
        <is>
          <t>s is 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MK-XS-F-122</t>
        </is>
      </c>
      <c r="B656" s="3" t="inlineStr">
        <is>
          <t>n</t>
        </is>
      </c>
      <c r="C656" s="3" t="inlineStr">
        <is>
          <t>src/domain/history.ts</t>
        </is>
      </c>
      <c r="D656" s="3" t="n">
        <v>175</v>
      </c>
      <c r="E656" s="3" t="inlineStr">
        <is>
          <t>1 · ACTION</t>
        </is>
      </c>
      <c r="F656" s="3" t="inlineStr">
        <is>
          <t>NOT DETERMINED — the code carries no note saying what this is for, and it has no row in the old inventory. Needs reading.</t>
        </is>
      </c>
      <c r="G656" s="11" t="inlineStr">
        <is>
          <t>v   if typeof v = 'number' and number.is finite(v)
fallback   otherwise</t>
        </is>
      </c>
      <c r="H656" s="3" t="inlineStr">
        <is>
          <t>v — when typeof v = 'number' and number.is finite(v); fallback — otherwise</t>
        </is>
      </c>
      <c r="I656" s="3" t="inlineStr">
        <is>
          <t>PARTLY READ — some of the code is still showing through; needs a hand pass</t>
        </is>
      </c>
      <c r="J656" s="3" t="inlineStr">
        <is>
          <t>1. v: unknown
2. fallback = 0</t>
        </is>
      </c>
      <c r="K656" s="3" t="inlineStr">
        <is>
          <t>number</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MK-XS-F-123</t>
        </is>
      </c>
      <c r="B657" s="3" t="inlineStr">
        <is>
          <t>base64ToBytes</t>
        </is>
      </c>
      <c r="C657" s="3" t="inlineStr">
        <is>
          <t>src/domain/import/holdingsImport.ts</t>
        </is>
      </c>
      <c r="D657" s="3" t="n">
        <v>56</v>
      </c>
      <c r="E657" s="3" t="inlineStr">
        <is>
          <t>3 · DEPENDENT</t>
        </is>
      </c>
      <c r="F657" s="3" t="inlineStr">
        <is>
          <t>NOT DETERMINED — the code carries no note saying what this is for, and it has no row in the old inventory. Needs reading.</t>
        </is>
      </c>
      <c r="G657" s="11" t="inlineStr">
        <is>
          <t>c = b64.replace( ÷ [^A − za − z0 − 9+ ÷ ] ÷ g, '')
out = []
e1 = B64.index of(c[i]), e2 = B64.index of(c[i + 1]), e3 = B64.index of(c[i + 2]), e4 = B64.index of(c[i + 3])
n = (e1 &lt;&lt; 18) | (e2 &lt;&lt; 12) | ((e3 &amp; 63) &lt;&lt; 6) | (e4 &amp; 63)
the answer = out</t>
        </is>
      </c>
      <c r="H65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7" s="3" t="inlineStr">
        <is>
          <t>PARTLY READ — some of the code is still showing through; needs a hand pass</t>
        </is>
      </c>
      <c r="J657" s="3" t="inlineStr">
        <is>
          <t>b64: string</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MK-XS-F-124</t>
        </is>
      </c>
      <c r="B658" s="3" t="inlineStr">
        <is>
          <t>decodeUtf8</t>
        </is>
      </c>
      <c r="C658" s="3" t="inlineStr">
        <is>
          <t>src/domain/import/holdingsImport.ts</t>
        </is>
      </c>
      <c r="D658" s="3" t="n">
        <v>88</v>
      </c>
      <c r="E658" s="3" t="inlineStr">
        <is>
          <t>3 · DEPENDENT</t>
        </is>
      </c>
      <c r="F658" s="3" t="inlineStr">
        <is>
          <t>NOT DETERMINED — the code carries no note saying what this is for, and it has no row in the old inventory. Needs reading.</t>
        </is>
      </c>
      <c r="G658" s="11" t="inlineStr">
        <is>
          <t>s = ''
c = b[i++]
the answer = s</t>
        </is>
      </c>
      <c r="H658" s="3" t="inlineStr">
        <is>
          <t>S is ''. C is b[i++]. The answer is s.</t>
        </is>
      </c>
      <c r="I658" s="3" t="inlineStr">
        <is>
          <t>READ FROM THE CODE — rendered from the expressions the function runs</t>
        </is>
      </c>
      <c r="J658" s="3" t="inlineStr">
        <is>
          <t>1. b: number[]
2. start = 0</t>
        </is>
      </c>
      <c r="K658" s="3" t="inlineStr">
        <is>
          <t>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MK-XS-F-125</t>
        </is>
      </c>
      <c r="B659" s="3" t="inlineStr">
        <is>
          <t>decodeUtf16</t>
        </is>
      </c>
      <c r="C659" s="3" t="inlineStr">
        <is>
          <t>src/domain/import/holdingsImport.ts</t>
        </is>
      </c>
      <c r="D659" s="3" t="n">
        <v>118</v>
      </c>
      <c r="E659" s="3" t="inlineStr">
        <is>
          <t>3 · DEPENDENT</t>
        </is>
      </c>
      <c r="F659" s="3" t="inlineStr">
        <is>
          <t>NOT DETERMINED — the code carries no note saying what this is for, and it has no row in the old inventory. Needs reading.</t>
        </is>
      </c>
      <c r="G659" s="11" t="inlineStr">
        <is>
          <t>s = ''
[LOOP — the answer is found inside a loop the extractor cannot render; the steps above are the ones before it. Read by hand.]</t>
        </is>
      </c>
      <c r="H659" s="3" t="inlineStr">
        <is>
          <t>S is ''. The answer is s. The answer is found inside a loop that cannot be rendered here; read the code by hand.</t>
        </is>
      </c>
      <c r="I659" s="3" t="inlineStr">
        <is>
          <t>PARTLY READ — the body has a loop the extractor cannot render; the steps shown are the ones before it. Needs a hand pass (G23).</t>
        </is>
      </c>
      <c r="J659" s="3" t="inlineStr">
        <is>
          <t>1. b: number[]
2. start: number
3. le: boolean</t>
        </is>
      </c>
      <c r="K659" s="3" t="inlineStr">
        <is>
          <t>string</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2026-09-08</t>
        </is>
      </c>
      <c r="W659" s="3" t="n"/>
      <c r="X659" s="3" t="n"/>
      <c r="Y659" s="3" t="inlineStr">
        <is>
          <t>NOTHING OPEN</t>
        </is>
      </c>
    </row>
    <row r="660" ht="60" customHeight="1">
      <c r="A660" s="3" t="inlineStr">
        <is>
          <t>MK-XS-F-126</t>
        </is>
      </c>
      <c r="B660" s="3" t="inlineStr">
        <is>
          <t>findCol</t>
        </is>
      </c>
      <c r="C660" s="3" t="inlineStr">
        <is>
          <t>src/domain/import/holdingsImport.ts</t>
        </is>
      </c>
      <c r="D660" s="3" t="n">
        <v>258</v>
      </c>
      <c r="E660" s="3" t="inlineStr">
        <is>
          <t>3 · DEPENDENT</t>
        </is>
      </c>
      <c r="F660" s="3" t="inlineStr">
        <is>
          <t>NOT DETERMINED — the code carries no note saying what this is for, and it has no row in the old inventory. Needs reading.</t>
        </is>
      </c>
      <c r="G660" s="11" t="inlineStr">
        <is>
          <t>i = headers.find index((h) =&gt; re.test(h))
i   when i ≥ 0
[LOOP — the answer is found inside a loop the extractor cannot render; the steps above are the ones before it. Read by hand.]</t>
        </is>
      </c>
      <c r="H660" s="3" t="inlineStr">
        <is>
          <t>I is headers.find index((h) =&gt; re.test(h)). When i is at least 0, it answers i. The answer is -1. The answer is found inside a loop that cannot be rendered here; read the code by hand.</t>
        </is>
      </c>
      <c r="I660" s="3" t="inlineStr">
        <is>
          <t>PARTLY READ — the body has a loop the extractor cannot render; the steps shown are the ones before it. Needs a hand pass (G23).</t>
        </is>
      </c>
      <c r="J660" s="3" t="inlineStr">
        <is>
          <t>1. headers: string[]
2. patterns: RegExp[]</t>
        </is>
      </c>
      <c r="K660" s="3" t="inlineStr">
        <is>
          <t>number</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MK-XS-F-127</t>
        </is>
      </c>
      <c r="B661" s="3" t="inlineStr">
        <is>
          <t>toIsoDate</t>
        </is>
      </c>
      <c r="C661" s="3" t="inlineStr">
        <is>
          <t>src/domain/import/holdingsImport.ts</t>
        </is>
      </c>
      <c r="D661" s="3" t="n">
        <v>290</v>
      </c>
      <c r="E661" s="3" t="inlineStr">
        <is>
          <t>3 · DEPENDENT</t>
        </is>
      </c>
      <c r="F661" s="3" t="inlineStr">
        <is>
          <t>Normalise a date cell to 'YYYY-MM-DD', or undefined if it isn't a usable date.</t>
        </is>
      </c>
      <c r="G661" s="11" t="inlineStr">
        <is>
          <t>t = (v ?? '').trim()
undefined   when t is missing
m = match( ÷ ^(\d{4})[- ÷ ](\d{1,2})[- ÷ ](\d{1,2})$ ÷ )
`${m[1]}-${m[2].pad start(2, '0')}-${m[3].pad start(2, '0')}`   when m
`${m[3]}-${m[1].pad start(2, '0')}-${m[2].pad start(2, '0')}`   when m
the answer = undefined</t>
        </is>
      </c>
      <c r="H661" s="3" t="inlineStr">
        <is>
          <t>T is (v ?? '').trim(). When t is missing, it answers undefined. M is match( divided by ^(\d{4})[- divided by ](\d{1,2})[- divided by ](\d{1,2})$ divided by ). When m, it answers `${m[1]}-${m[2].pad start(2, '0')}-${m[3].pad start(2, '0')}`. When m, it answers `${m[3]}-${m[1].pad start(2, '0')}-${m[2].pad start(2, '0')}`. The answer is undefined.</t>
        </is>
      </c>
      <c r="I661" s="3" t="inlineStr">
        <is>
          <t>PARTLY READ — some of the code is still showing through; needs a hand pass</t>
        </is>
      </c>
      <c r="J661" s="3" t="inlineStr">
        <is>
          <t>v: string</t>
        </is>
      </c>
      <c r="K661" s="3" t="inlineStr">
        <is>
          <t>string | undefined</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MK-XS-F-128</t>
        </is>
      </c>
      <c r="B662" s="3" t="inlineStr">
        <is>
          <t>cleanTicker</t>
        </is>
      </c>
      <c r="C662" s="3" t="inlineStr">
        <is>
          <t>src/domain/import/holdingsImport.ts</t>
        </is>
      </c>
      <c r="D662" s="3" t="n">
        <v>323</v>
      </c>
      <c r="E662" s="3" t="inlineStr">
        <is>
          <t>3 · DEPENDENT</t>
        </is>
      </c>
      <c r="F662" s="3" t="inlineStr">
        <is>
          <t>A plausible tradeable ticker: 1–10 chars, letters/digits/.-, at least one letter, no spaces.</t>
        </is>
      </c>
      <c r="G66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2" s="3" t="inlineStr">
        <is>
          <t>PARTLY READ — some of the code is still showing through; needs a hand pass</t>
        </is>
      </c>
      <c r="J662" s="3" t="inlineStr">
        <is>
          <t>v: string</t>
        </is>
      </c>
      <c r="K662" s="3" t="inlineStr">
        <is>
          <t>string | null</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MK-XS-F-129</t>
        </is>
      </c>
      <c r="B663" s="3" t="inlineStr">
        <is>
          <t>findHeaderRow</t>
        </is>
      </c>
      <c r="C663" s="3" t="inlineStr">
        <is>
          <t>src/domain/import/holdingsImport.ts</t>
        </is>
      </c>
      <c r="D663" s="3" t="n">
        <v>381</v>
      </c>
      <c r="E663" s="3" t="inlineStr">
        <is>
          <t>3 · DEPENDENT</t>
        </is>
      </c>
      <c r="F663" s="3" t="inlineStr">
        <is>
          <t>Find the real positions header — the first row that has BOTH a symbol/ticker AND a quantity/shares column (skips brokerage preambles like "Account Summary" and filter headers).</t>
        </is>
      </c>
      <c r="G66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3" s="3" t="inlineStr">
        <is>
          <t>PARTLY READ — the body has a loop the extractor cannot render; the steps shown are the ones before it. Needs a hand pass (G23).</t>
        </is>
      </c>
      <c r="J663" s="3" t="inlineStr">
        <is>
          <t>rows: string[][]</t>
        </is>
      </c>
      <c r="K663" s="3" t="inlineStr">
        <is>
          <t>number</t>
        </is>
      </c>
      <c r="L663" s="3" t="inlineStr">
        <is>
          <t>—</t>
        </is>
      </c>
      <c r="M663" s="3" t="inlineStr">
        <is>
          <t>None found in this function — anything it assumes comes from the functions it depends on.</t>
        </is>
      </c>
      <c r="N663" s="3" t="inlineStr">
        <is>
          <t>Yes</t>
        </is>
      </c>
      <c r="O663" s="3" t="inlineStr">
        <is>
          <t>MK-CF-F-132 map</t>
        </is>
      </c>
      <c r="P663" s="3" t="n">
        <v>1</v>
      </c>
      <c r="Q663" s="3" t="inlineStr">
        <is>
          <t>MK-CF-F-132 map</t>
        </is>
      </c>
      <c r="R663" s="3" t="inlineStr">
        <is>
          <t>MK-CF-F-132 map → MK-XS-F-129 findHeaderRow</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MK-XS-F-130</t>
        </is>
      </c>
      <c r="B664" s="3" t="inlineStr">
        <is>
          <t>normInst</t>
        </is>
      </c>
      <c r="C664" s="3" t="inlineStr">
        <is>
          <t>src/domain/import/holdingsImport.ts</t>
        </is>
      </c>
      <c r="D664" s="3" t="n">
        <v>512</v>
      </c>
      <c r="E664" s="3" t="inlineStr">
        <is>
          <t>1 · ACTION</t>
        </is>
      </c>
      <c r="F664" s="3" t="inlineStr">
        <is>
          <t>NOT DETERMINED — the code carries no note saying what this is for, and it has no row in the old inventory. Needs reading.</t>
        </is>
      </c>
      <c r="G664" s="11" t="inlineStr">
        <is>
          <t>(s ?? '').trim().to lower case().replace( ÷ [^a − z0 − 9] ÷ g, '')</t>
        </is>
      </c>
      <c r="H664" s="3" t="inlineStr">
        <is>
          <t>(s ?? '').trim().to lower case().replace( divided by [^a minus z0 minus 9] divided by g, '')</t>
        </is>
      </c>
      <c r="I664" s="3" t="inlineStr">
        <is>
          <t>PARTLY READ — some of the code is still showing through; needs a hand pass</t>
        </is>
      </c>
      <c r="J664" s="3" t="inlineStr">
        <is>
          <t>s?: string</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MK-XS-F-131</t>
        </is>
      </c>
      <c r="B665" s="3" t="inlineStr">
        <is>
          <t>toInt</t>
        </is>
      </c>
      <c r="C665" s="3" t="inlineStr">
        <is>
          <t>src/domain/profile/onboarding.ts</t>
        </is>
      </c>
      <c r="D665" s="3" t="n">
        <v>28</v>
      </c>
      <c r="E665" s="3" t="inlineStr">
        <is>
          <t>3 · DEPENDENT</t>
        </is>
      </c>
      <c r="F665" s="3" t="inlineStr">
        <is>
          <t>NOT DETERMINED — the code carries no note saying what this is for, and it has no row in the old inventory. Needs reading.</t>
        </is>
      </c>
      <c r="G665" s="11" t="inlineStr">
        <is>
          <t>n = parse int(string(v ?? '').replace( ÷ [^0 − 9] ÷ g, ''), 10)
the answer:
n   if number.is finite(n)
nothing   otherwise</t>
        </is>
      </c>
      <c r="H665" s="3" t="inlineStr">
        <is>
          <t>N is parse int(string(v ?? '').replace( divided by [^0 minus 9] divided by g, ''), 10). The answer is n — when number.is finite(n); no answer — otherwise.</t>
        </is>
      </c>
      <c r="I665" s="3" t="inlineStr">
        <is>
          <t>PARTLY READ — some of the code is still showing through; needs a hand pass</t>
        </is>
      </c>
      <c r="J665" s="3" t="inlineStr">
        <is>
          <t>v: any</t>
        </is>
      </c>
      <c r="K665" s="3" t="inlineStr">
        <is>
          <t>number | null</t>
        </is>
      </c>
      <c r="L665" s="3" t="inlineStr">
        <is>
          <t>—</t>
        </is>
      </c>
      <c r="M665" s="3" t="inlineStr">
        <is>
          <t>None found in this function — anything it assumes comes from the functions it depends on.</t>
        </is>
      </c>
      <c r="N665" s="3" t="inlineStr">
        <is>
          <t>Yes</t>
        </is>
      </c>
      <c r="O665" s="3" t="inlineStr">
        <is>
          <t>MK-XS-F-122 n</t>
        </is>
      </c>
      <c r="P665" s="3" t="n">
        <v>1</v>
      </c>
      <c r="Q665" s="3" t="inlineStr">
        <is>
          <t>MK-XS-F-122 n</t>
        </is>
      </c>
      <c r="R665" s="3" t="inlineStr">
        <is>
          <t>MK-XS-F-122 n → MK-XS-F-131 toInt</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MK-XS-F-132</t>
        </is>
      </c>
      <c r="B666" s="3" t="inlineStr">
        <is>
          <t>load</t>
        </is>
      </c>
      <c r="C666" s="3" t="inlineStr">
        <is>
          <t>src/services/appLock.ts</t>
        </is>
      </c>
      <c r="D666" s="3" t="n">
        <v>25</v>
      </c>
      <c r="E666" s="3" t="inlineStr">
        <is>
          <t>3 · DEPENDENT</t>
        </is>
      </c>
      <c r="F666" s="3" t="inlineStr">
        <is>
          <t>NOT DETERMINED — the code carries no note saying what this is for, and it has no row in the old inventory. Needs reading.</t>
        </is>
      </c>
      <c r="G666" s="11" t="inlineStr">
        <is>
          <t>LA   when LA
LA</t>
        </is>
      </c>
      <c r="H666" s="3" t="inlineStr">
        <is>
          <t>When LA, it answers LA. LA.</t>
        </is>
      </c>
      <c r="I666" s="3" t="inlineStr">
        <is>
          <t>READ FROM THE CODE — rendered from the expressions the function runs</t>
        </is>
      </c>
      <c r="J666" s="3" t="inlineStr">
        <is>
          <t>Nothing is handed to it</t>
        </is>
      </c>
      <c r="K666" s="3" t="inlineStr">
        <is>
          <t>any</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MK-XS-F-133</t>
        </is>
      </c>
      <c r="B667" s="3" t="inlineStr">
        <is>
          <t>loadSentry</t>
        </is>
      </c>
      <c r="C667" s="3" t="inlineStr">
        <is>
          <t>src/services/crashReporter.ts</t>
        </is>
      </c>
      <c r="D667" s="3" t="n">
        <v>33</v>
      </c>
      <c r="E667" s="3" t="inlineStr">
        <is>
          <t>3 · DEPENDENT</t>
        </is>
      </c>
      <c r="F667" s="3" t="inlineStr">
        <is>
          <t>NOT DETERMINED — the code carries no note saying what this is for, and it has no row in the old inventory. Needs reading.</t>
        </is>
      </c>
      <c r="G667" s="11" t="inlineStr">
        <is>
          <t>the answer = the crash-reporting module, or nothing when it is absent</t>
        </is>
      </c>
      <c r="H667" s="3" t="inlineStr">
        <is>
          <t>Loads the crash reporter if it is installed. Not a calculation.</t>
        </is>
      </c>
      <c r="I667" s="3" t="inlineStr">
        <is>
          <t>READ BY HAND 2026-08-26 — checked line by line against the code</t>
        </is>
      </c>
      <c r="J667" s="3" t="inlineStr">
        <is>
          <t>Nothing is handed to it</t>
        </is>
      </c>
      <c r="K667" s="3" t="inlineStr">
        <is>
          <t>any</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60" customHeight="1">
      <c r="A668" s="3" t="inlineStr">
        <is>
          <t>MK-XS-F-134</t>
        </is>
      </c>
      <c r="B668" s="3" t="inlineStr">
        <is>
          <t>installGlobalHandler</t>
        </is>
      </c>
      <c r="C668" s="3" t="inlineStr">
        <is>
          <t>src/services/crashReporter.ts</t>
        </is>
      </c>
      <c r="D668" s="3" t="n">
        <v>94</v>
      </c>
      <c r="E668" s="3" t="inlineStr">
        <is>
          <t>1 · ACTION</t>
        </is>
      </c>
      <c r="F668" s="3" t="inlineStr">
        <is>
          <t>NOT DETERMINED — the code carries no note saying what this is for, and it has no row in the old inventory. Needs reading.</t>
        </is>
      </c>
      <c r="G668" s="11" t="inlineStr">
        <is>
          <t>g = global this as any
prev = error utils.get global handler.()</t>
        </is>
      </c>
      <c r="H668" s="3" t="inlineStr">
        <is>
          <t>G is global this as any. Prev is error utils.get global handler.().</t>
        </is>
      </c>
      <c r="I668" s="3" t="inlineStr">
        <is>
          <t>READ FROM THE CODE — rendered from the expressions the function runs</t>
        </is>
      </c>
      <c r="J668" s="3" t="inlineStr">
        <is>
          <t>Nothing is handed to it</t>
        </is>
      </c>
      <c r="K668" s="3" t="inlineStr">
        <is>
          <t>void</t>
        </is>
      </c>
      <c r="L668" s="3" t="inlineStr">
        <is>
          <t>—</t>
        </is>
      </c>
      <c r="M668" s="3" t="inlineStr">
        <is>
          <t>None found in this function — anything it assumes comes from the functions it depends on.</t>
        </is>
      </c>
      <c r="N668" s="3" t="inlineStr">
        <is>
          <t>Yes</t>
        </is>
      </c>
      <c r="O668" s="3" t="inlineStr">
        <is>
          <t>MK-XS-F-037 captureException</t>
        </is>
      </c>
      <c r="P668" s="3" t="n">
        <v>1</v>
      </c>
      <c r="Q668" s="3" t="inlineStr">
        <is>
          <t>MK-XS-F-037 captureException</t>
        </is>
      </c>
      <c r="R668" s="3" t="inlineStr">
        <is>
          <t>MK-XS-F-037 captureException → MK-XS-F-134 installGlobalHandler</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MK-XS-F-135</t>
        </is>
      </c>
      <c r="B669" s="3" t="inlineStr">
        <is>
          <t>secureGet</t>
        </is>
      </c>
      <c r="C669" s="3" t="inlineStr">
        <is>
          <t>src/services/dataCrypto.ts</t>
        </is>
      </c>
      <c r="D669" s="3" t="n">
        <v>48</v>
      </c>
      <c r="E669" s="3" t="inlineStr">
        <is>
          <t>4 · BRINGS DATA IN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Promise&lt;string | null&gt;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MK-XS-F-136</t>
        </is>
      </c>
      <c r="B670" s="3" t="inlineStr">
        <is>
          <t>secureSet</t>
        </is>
      </c>
      <c r="C670" s="3" t="inlineStr">
        <is>
          <t>src/services/dataCrypto.ts</t>
        </is>
      </c>
      <c r="D670" s="3" t="n">
        <v>72</v>
      </c>
      <c r="E670" s="3" t="inlineStr">
        <is>
          <t>1 · ACTION</t>
        </is>
      </c>
      <c r="F670" s="3" t="inlineStr">
        <is>
          <t>NOT DETERMINED — the code carries no note saying what this is for, and it has no row in the old inventory. Needs reading.</t>
        </is>
      </c>
      <c r="G670" s="11" t="inlineStr">
        <is>
          <t>It reaches outside the app for data and hands back what came back — no arithmetic of its own.</t>
        </is>
      </c>
      <c r="H670" s="3" t="inlineStr">
        <is>
          <t>It reaches outside the app for data and hands back what came back — no arithmetic of its own.</t>
        </is>
      </c>
      <c r="I670" s="3" t="inlineStr">
        <is>
          <t>NO ARITHMETIC — there is no formula to state</t>
        </is>
      </c>
      <c r="J670" s="3" t="inlineStr">
        <is>
          <t>1. name: string
2. value: string</t>
        </is>
      </c>
      <c r="K670" s="3" t="inlineStr">
        <is>
          <t>Promise&lt;void&gt;</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MK-XS-F-137</t>
        </is>
      </c>
      <c r="B671" s="3" t="inlineStr">
        <is>
          <t>secureDelete</t>
        </is>
      </c>
      <c r="C671" s="3" t="inlineStr">
        <is>
          <t>src/services/dataCrypto.ts</t>
        </is>
      </c>
      <c r="D671" s="3" t="n">
        <v>95</v>
      </c>
      <c r="E671" s="3" t="inlineStr">
        <is>
          <t>1 · ACTION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Promise&lt;void&gt;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MK-XS-F-138</t>
        </is>
      </c>
      <c r="B672" s="3" t="inlineStr">
        <is>
          <t>deriveKeyFromSecret</t>
        </is>
      </c>
      <c r="C672" s="3" t="inlineStr">
        <is>
          <t>src/services/dataCrypto.ts</t>
        </is>
      </c>
      <c r="D672" s="3" t="n">
        <v>262</v>
      </c>
      <c r="E672" s="3" t="inlineStr">
        <is>
          <t>3 · DEPENDENT</t>
        </is>
      </c>
      <c r="F672" s="3" t="inlineStr">
        <is>
          <t>── Wrapping (lock/unlock the DEK with a password or recovery code) ───</t>
        </is>
      </c>
      <c r="G672" s="11" t="inlineStr">
        <is>
          <t>crypto js.PBKDF2(secret.trim(), uid, { key size: 256 ÷ 32, iterations: PBKDF2_ITERS }).to string(crypto js.enc.hex)</t>
        </is>
      </c>
      <c r="H672" s="3" t="inlineStr">
        <is>
          <t>crypto js.PBKDF2(secret.trim(), uid, { key size: 256 divided by 32, iterations: PBKDF2_ITERS }).to string(crypto js.enc.hex).</t>
        </is>
      </c>
      <c r="I672" s="3" t="inlineStr">
        <is>
          <t>PARTLY READ — some of the code is still showing through; needs a hand pass</t>
        </is>
      </c>
      <c r="J672" s="3" t="inlineStr">
        <is>
          <t>1. secret: string
2. uid: string</t>
        </is>
      </c>
      <c r="K672" s="3" t="inlineStr">
        <is>
          <t>string</t>
        </is>
      </c>
      <c r="L672" s="3" t="inlineStr">
        <is>
          <t>—</t>
        </is>
      </c>
      <c r="M672" s="3" t="inlineStr">
        <is>
          <t>None found in this function — anything it assumes comes from the functions it depends on.</t>
        </is>
      </c>
      <c r="N672" s="3" t="inlineStr">
        <is>
          <t>Yes</t>
        </is>
      </c>
      <c r="O672" s="3" t="inlineStr">
        <is>
          <t>MK-XS-F-175 uid</t>
        </is>
      </c>
      <c r="P672" s="3" t="n">
        <v>80</v>
      </c>
      <c r="Q67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7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MK-XS-F-139</t>
        </is>
      </c>
      <c r="B673" s="3" t="inlineStr">
        <is>
          <t>wrapWithSecret</t>
        </is>
      </c>
      <c r="C673" s="3" t="inlineStr">
        <is>
          <t>src/services/dataCrypto.ts</t>
        </is>
      </c>
      <c r="D673" s="3" t="n">
        <v>287</v>
      </c>
      <c r="E673" s="3" t="inlineStr">
        <is>
          <t>3 · DEPENDENT</t>
        </is>
      </c>
      <c r="F673" s="3" t="inlineStr">
        <is>
          <t>NOT DETERMINED — the code carries no note saying what this is for, and it has no row in the old inventory. Needs reading.</t>
        </is>
      </c>
      <c r="G673" s="11" t="inlineStr">
        <is>
          <t>encrypt with key(dek, derive key from secret(secret, uid))</t>
        </is>
      </c>
      <c r="H673" s="3" t="inlineStr">
        <is>
          <t>encrypt with key(dek, derive key from secret(secret, uid)).</t>
        </is>
      </c>
      <c r="I673" s="3" t="inlineStr">
        <is>
          <t>READ FROM THE CODE — rendered from the expressions the function runs</t>
        </is>
      </c>
      <c r="J673" s="3" t="inlineStr">
        <is>
          <t>1. dek: string
2. uid: string
3. secret: string</t>
        </is>
      </c>
      <c r="K673" s="3" t="inlineStr">
        <is>
          <t>string</t>
        </is>
      </c>
      <c r="L673" s="3" t="inlineStr">
        <is>
          <t>—</t>
        </is>
      </c>
      <c r="M673" s="3" t="inlineStr">
        <is>
          <t>None found in this function — anything it assumes comes from the functions it depends on.</t>
        </is>
      </c>
      <c r="N673" s="3" t="inlineStr">
        <is>
          <t>Yes</t>
        </is>
      </c>
      <c r="O673" s="3" t="inlineStr">
        <is>
          <t>1. MK-XS-F-138 deriveKeyFromSecret
2. MK-XS-F-052 encryptWithKey
3. MK-XS-F-175 uid</t>
        </is>
      </c>
      <c r="P673" s="3" t="n">
        <v>82</v>
      </c>
      <c r="Q67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7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MK-XS-F-140</t>
        </is>
      </c>
      <c r="B674" s="3" t="inlineStr">
        <is>
          <t>fetchInflation</t>
        </is>
      </c>
      <c r="C674" s="3" t="inlineStr">
        <is>
          <t>src/services/economicData.ts</t>
        </is>
      </c>
      <c r="D674" s="3" t="n">
        <v>111</v>
      </c>
      <c r="E674" s="3" t="inlineStr">
        <is>
          <t>4 · BRINGS DATA IN</t>
        </is>
      </c>
      <c r="F674" s="3" t="inlineStr">
        <is>
          <t>NOT DETERMINED — the code carries no note saying what this is for, and it has no row in the old inventory. Needs reading.</t>
        </is>
      </c>
      <c r="G674" s="11" t="inlineStr">
        <is>
          <t>res = await fetch(BLS_API + BLS_CPI_SERIES)
json = await res.json()
series = json.results.series.[0].data
latest = parse float(series[0].value)
year ago = parse float(series[12].value)
rate = ((latest − year ago) ÷ year ago) × 100
the answer = round(rate, 2 dp)</t>
        </is>
      </c>
      <c r="H67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4" s="3" t="inlineStr">
        <is>
          <t>PARTLY READ — some of the code is still showing through; needs a hand pass</t>
        </is>
      </c>
      <c r="J674" s="3" t="inlineStr">
        <is>
          <t>Nothing is handed to it</t>
        </is>
      </c>
      <c r="K674" s="3" t="inlineStr">
        <is>
          <t>Promise&lt;number&gt;</t>
        </is>
      </c>
      <c r="L674" s="3" t="inlineStr">
        <is>
          <t>—</t>
        </is>
      </c>
      <c r="M674" s="3" t="inlineStr">
        <is>
          <t>· Rounds the answer to two decimals (cents).</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MK-XS-F-141</t>
        </is>
      </c>
      <c r="B675" s="3" t="inlineStr">
        <is>
          <t>fetchTreasuryYield</t>
        </is>
      </c>
      <c r="C675" s="3" t="inlineStr">
        <is>
          <t>src/services/economicData.ts</t>
        </is>
      </c>
      <c r="D675" s="3" t="n">
        <v>153</v>
      </c>
      <c r="E675" s="3" t="inlineStr">
        <is>
          <t>4 · BRINGS DATA IN</t>
        </is>
      </c>
      <c r="F675" s="3" t="inlineStr">
        <is>
          <t>NOT DETERMINED — the code carries no note saying what this is for, and it has no row in the old inventory. Needs reading.</t>
        </is>
      </c>
      <c r="G675" s="11" t="inlineStr">
        <is>
          <t>res = await fetch(TREASURY_API)
csv = await res.text()
rows = csv.trim().split('\n').slice(1)
value = rows[i].split(',')[1].trim()
rate = parse float(value)
[LOOP — the answer is found inside a loop the extractor cannot render; the steps above are the ones before it. Read by hand.]</t>
        </is>
      </c>
      <c r="H675" s="3" t="inlineStr">
        <is>
          <t>Res is await fetch(TREASURY_API). Csv is await res.text(). Rows is csv.trim().split('\n').slice(1). Value is rows[i].split(',')[1].trim(). Rate is parse float(value). The answer is rate, to the cent. The answer is found inside a loop that cannot be rendered here; read the code by hand.</t>
        </is>
      </c>
      <c r="I675" s="3" t="inlineStr">
        <is>
          <t>PARTLY READ — the body has a loop the extractor cannot render; the steps shown are the ones before it. Needs a hand pass (G23).</t>
        </is>
      </c>
      <c r="J675" s="3" t="inlineStr">
        <is>
          <t>Nothing is handed to it</t>
        </is>
      </c>
      <c r="K675" s="3" t="inlineStr">
        <is>
          <t>Promise&lt;number&gt;</t>
        </is>
      </c>
      <c r="L675" s="3" t="inlineStr">
        <is>
          <t>—</t>
        </is>
      </c>
      <c r="M675" s="3" t="inlineStr">
        <is>
          <t>· Rounds the answer to two decimals (cents).</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2026-09-08</t>
        </is>
      </c>
      <c r="W675" s="3" t="n"/>
      <c r="X675" s="3" t="n"/>
      <c r="Y675" s="3" t="inlineStr">
        <is>
          <t>NOTHING OPEN</t>
        </is>
      </c>
    </row>
    <row r="676" ht="60" customHeight="1">
      <c r="A676" s="3" t="inlineStr">
        <is>
          <t>MK-XS-F-142</t>
        </is>
      </c>
      <c r="B676" s="3" t="inlineStr">
        <is>
          <t>makeInviteCode</t>
        </is>
      </c>
      <c r="C676" s="3" t="inlineStr">
        <is>
          <t>src/services/firebase.ts</t>
        </is>
      </c>
      <c r="D676" s="3" t="n">
        <v>535</v>
      </c>
      <c r="E676" s="3" t="inlineStr">
        <is>
          <t>3 · DEPENDENT</t>
        </is>
      </c>
      <c r="F676" s="3" t="inlineStr">
        <is>
          <t>── Household / spouse invites ───────────────────────────────────── Spouses share ONE data document: all reads/writes go to users/{householdId} where householdId = the inviter's uid.</t>
        </is>
      </c>
      <c r="G676" s="11" t="inlineStr">
        <is>
          <t>alphabet = 'ABCDEFGHJKMNPQRSTUVWXYZ23456789'
the answer = array.from({ length: 6 }, () =&gt; ALPHABET[math.floor(math.random() × ALPHABET.length)]).join('')</t>
        </is>
      </c>
      <c r="H676" s="3" t="inlineStr">
        <is>
          <t>Alphabet is 'ABCDEFGHJKMNPQRSTUVWXYZ23456789'. The answer is array.from({ length: 6 }, () =&gt; ALPHABET[math.floor(math.random() times ALPHABET.length)]).join('').</t>
        </is>
      </c>
      <c r="I676" s="3" t="inlineStr">
        <is>
          <t>PARTLY READ — some of the code is still showing through; needs a hand pass</t>
        </is>
      </c>
      <c r="J676" s="3" t="inlineStr">
        <is>
          <t>Nothing is handed to it</t>
        </is>
      </c>
      <c r="K676" s="3" t="inlineStr">
        <is>
          <t>string</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MK-XS-F-143</t>
        </is>
      </c>
      <c r="B677" s="3" t="inlineStr">
        <is>
          <t>yahooSymbol</t>
        </is>
      </c>
      <c r="C677" s="3" t="inlineStr">
        <is>
          <t>src/services/marketData.ts</t>
        </is>
      </c>
      <c r="D677" s="3" t="n">
        <v>41</v>
      </c>
      <c r="E677" s="3" t="inlineStr">
        <is>
          <t>4 · BRINGS DATA IN</t>
        </is>
      </c>
      <c r="F677" s="3" t="inlineStr">
        <is>
          <t>Map a plain ticker to the provider's symbol convention (crypto needs the -USD pair on Yahoo).</t>
        </is>
      </c>
      <c r="G67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7" s="3" t="inlineStr">
        <is>
          <t>PARTLY READ — some of the code is still showing through; needs a hand pass</t>
        </is>
      </c>
      <c r="J677" s="3" t="inlineStr">
        <is>
          <t>ticker: string</t>
        </is>
      </c>
      <c r="K677" s="3" t="inlineStr">
        <is>
          <t>string</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inlineStr">
        <is>
          <t>[from MK-NW-M-029, Formula (mathematical)] Is the formula embedded directly in the code and not as a separate function? Live price was to be sourced from Yahoo or similar engine.</t>
        </is>
      </c>
      <c r="X677" s="6" t="inlineStr">
        <is>
          <t>This is the feed: Yahoo Finance daily closes, free, no key. 'Current price' on the holding screen = the last close of this series, picked on the screen (no named function). Answer in full on MK-NW-M-029.</t>
        </is>
      </c>
      <c r="Y677" s="6" t="inlineStr">
        <is>
          <t>WAITING ON YOU — answer to read</t>
        </is>
      </c>
    </row>
    <row r="678" ht="60" customHeight="1">
      <c r="A678" s="3" t="inlineStr">
        <is>
          <t>MK-XS-F-144</t>
        </is>
      </c>
      <c r="B678" s="3" t="inlineStr">
        <is>
          <t>guessCategory</t>
        </is>
      </c>
      <c r="C678" s="3" t="inlineStr">
        <is>
          <t>src/services/receiptOCR.ts</t>
        </is>
      </c>
      <c r="D678" s="3" t="n">
        <v>287</v>
      </c>
      <c r="E678" s="3" t="inlineStr">
        <is>
          <t>3 · DEPENDENT (feeds an action only)</t>
        </is>
      </c>
      <c r="F678" s="3" t="inlineStr">
        <is>
          <t>NOT DETERMINED — the code carries no note saying what this is for, and it has no row in the old inventory. Needs reading.</t>
        </is>
      </c>
      <c r="G67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8" s="3" t="inlineStr">
        <is>
          <t>PARTLY READ — some of the code is still showing through; needs a hand pass</t>
        </is>
      </c>
      <c r="J678" s="3" t="inlineStr">
        <is>
          <t>1. store: string
2. text: string</t>
        </is>
      </c>
      <c r="K678" s="3" t="inlineStr">
        <is>
          <t>string</t>
        </is>
      </c>
      <c r="L678" s="3" t="inlineStr">
        <is>
          <t>—</t>
        </is>
      </c>
      <c r="M678" s="3" t="inlineStr">
        <is>
          <t>None found in this function — anything it assumes comes from the functions it depends on.</t>
        </is>
      </c>
      <c r="N678" s="3" t="inlineStr">
        <is>
          <t>No</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MK-XS-F-145</t>
        </is>
      </c>
      <c r="B679" s="3" t="inlineStr">
        <is>
          <t>flatSymbol</t>
        </is>
      </c>
      <c r="C679" s="3" t="inlineStr">
        <is>
          <t>src/services/sync/snaptrade.ts</t>
        </is>
      </c>
      <c r="D679" s="3" t="n">
        <v>170</v>
      </c>
      <c r="E679" s="3" t="inlineStr">
        <is>
          <t>3 · DEPENDENT (feeds an action only)</t>
        </is>
      </c>
      <c r="F679" s="3" t="inlineStr">
        <is>
          <t>── positions → our holdings ───────────────────────────────────────────────────────────────────</t>
        </is>
      </c>
      <c r="G679" s="11" t="inlineStr">
        <is>
          <t>s = symbol
nothing   when s is missing
the answer:
symbol   if symbol and typeof symbol = 'object'
s   otherwise</t>
        </is>
      </c>
      <c r="H679" s="3" t="inlineStr">
        <is>
          <t>S is symbol. When s is missing, it answers no answer. The answer is symbol — when symbol and typeof symbol = 'object'; s — otherwise.</t>
        </is>
      </c>
      <c r="I679" s="3" t="inlineStr">
        <is>
          <t>PARTLY READ — some of the code is still showing through; needs a hand pass</t>
        </is>
      </c>
      <c r="J679" s="3" t="inlineStr">
        <is>
          <t>p: StPosition</t>
        </is>
      </c>
      <c r="K679" s="3" t="inlineStr">
        <is>
          <t>StSymbol | null</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MK-XS-F-146</t>
        </is>
      </c>
      <c r="B680" s="3" t="inlineStr">
        <is>
          <t>prettyExpiry</t>
        </is>
      </c>
      <c r="C680" s="3" t="inlineStr">
        <is>
          <t>src/services/sync/snaptrade.ts</t>
        </is>
      </c>
      <c r="D680" s="3" t="n">
        <v>272</v>
      </c>
      <c r="E680" s="3" t="inlineStr">
        <is>
          <t>3 · DEPENDENT (feeds an action only)</t>
        </is>
      </c>
      <c r="F680" s="3" t="inlineStr">
        <is>
          <t>NOT DETERMINED — the code carries no note saying what this is for, and it has no row in the old inventory. Needs reading.</t>
        </is>
      </c>
      <c r="G680" s="11" t="inlineStr">
        <is>
          <t>`${MONTHS[m − 1]} ${d} ${y}`   if y and m and d
'unknown expiry'   otherwise</t>
        </is>
      </c>
      <c r="H680" s="3" t="inlineStr">
        <is>
          <t>`${MONTHS[m minus 1]} ${d} ${y}` — when y and m and d; 'unknown expiry' — otherwise.</t>
        </is>
      </c>
      <c r="I680" s="3" t="inlineStr">
        <is>
          <t>PARTLY READ — some of the code is still showing through; needs a hand pass</t>
        </is>
      </c>
      <c r="J680" s="3" t="inlineStr">
        <is>
          <t>iso: string | null | undefined</t>
        </is>
      </c>
      <c r="K680" s="3" t="inlineStr">
        <is>
          <t>NOT DECLARED — the code does not say what it gives back</t>
        </is>
      </c>
      <c r="L680" s="3" t="inlineStr">
        <is>
          <t>—</t>
        </is>
      </c>
      <c r="M680" s="3" t="inlineStr">
        <is>
          <t>None found in this function — anything it assumes comes from the functions it depends on.</t>
        </is>
      </c>
      <c r="N680" s="3" t="inlineStr">
        <is>
          <t>No</t>
        </is>
      </c>
      <c r="O680" s="3" t="inlineStr">
        <is>
          <t>MK-CF-F-132 map</t>
        </is>
      </c>
      <c r="P680" s="3" t="n">
        <v>1</v>
      </c>
      <c r="Q680" s="3" t="inlineStr">
        <is>
          <t>MK-CF-F-132 map</t>
        </is>
      </c>
      <c r="R680" s="3" t="inlineStr">
        <is>
          <t>MK-CF-F-132 map → MK-XS-F-146 prettyExpiry</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MK-XS-F-147</t>
        </is>
      </c>
      <c r="B681" s="3" t="inlineStr">
        <is>
          <t>call</t>
        </is>
      </c>
      <c r="C681" s="3" t="inlineStr">
        <is>
          <t>src/services/sync/snaptradeClient.ts</t>
        </is>
      </c>
      <c r="D681" s="3" t="n">
        <v>93</v>
      </c>
      <c r="E681" s="3" t="inlineStr">
        <is>
          <t>4 · BRINGS DATA IN</t>
        </is>
      </c>
      <c r="F681" s="3" t="inlineStr">
        <is>
          <t>NOT DETERMINED — the code carries no note saying what this is for, and it has no row in the old inventory. Needs reading.</t>
        </is>
      </c>
      <c r="G681" s="11" t="inlineStr">
        <is>
          <t>url = relay url()
token = await current id token()
data = await res.json().catch(() =&gt; nothing)
the answer = data as T</t>
        </is>
      </c>
      <c r="H681" s="3" t="inlineStr">
        <is>
          <t>Url is relay url(). Token is await current id token(). Data is await res.json().catch(() =&gt; no answer). The answer is data as T.</t>
        </is>
      </c>
      <c r="I681" s="3" t="inlineStr">
        <is>
          <t>PARTLY READ — some of the code is still showing through; needs a hand pass</t>
        </is>
      </c>
      <c r="J681" s="3" t="inlineStr">
        <is>
          <t>1. action: string
2. params: Record&lt;string, unknown&gt; = {}</t>
        </is>
      </c>
      <c r="K681" s="3" t="inlineStr">
        <is>
          <t>Promise&lt;T&gt;</t>
        </is>
      </c>
      <c r="L681" s="3" t="inlineStr">
        <is>
          <t>—</t>
        </is>
      </c>
      <c r="M681" s="3" t="inlineStr">
        <is>
          <t>None found in this function — anything it assumes comes from the functions it depends on.</t>
        </is>
      </c>
      <c r="N681" s="3" t="inlineStr">
        <is>
          <t>No</t>
        </is>
      </c>
      <c r="O681" s="3" t="inlineStr">
        <is>
          <t>1. MK-ST-F-027 accountId
2. MK-XS-F-064 currentIdToken
3. MK-XS-F-112 relayUrl</t>
        </is>
      </c>
      <c r="P681" s="3" t="n">
        <v>3</v>
      </c>
      <c r="Q681" s="3" t="inlineStr">
        <is>
          <t>1. MK-ST-F-027 accountId
2. MK-XS-F-064 currentIdToken
3. MK-XS-F-112 relayUrl</t>
        </is>
      </c>
      <c r="R681" s="3" t="inlineStr">
        <is>
          <t>1. MK-ST-F-027 accountId → MK-XS-F-147 call
2. MK-XS-F-064 currentIdToken → MK-XS-F-147 call
3. MK-XS-F-112 relayUrl → MK-XS-F-147 call</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MK-XS-F-148</t>
        </is>
      </c>
      <c r="B682" s="3" t="inlineStr">
        <is>
          <t>unwrapActivities</t>
        </is>
      </c>
      <c r="C682" s="3" t="inlineStr">
        <is>
          <t>src/services/sync/snaptradeSync.ts</t>
        </is>
      </c>
      <c r="D682" s="3" t="n">
        <v>73</v>
      </c>
      <c r="E682" s="3" t="inlineStr">
        <is>
          <t>3 · DEPENDENT</t>
        </is>
      </c>
      <c r="F682" s="3" t="inlineStr">
        <is>
          <t>SnapTrade wraps this endpoint in a pagination envelope {data, pagination:{total}} — LIVE-VERIFIED 2026-07-19 against a real E*TRADE connection (their docs' examples show a bare array; production does not).</t>
        </is>
      </c>
      <c r="G68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2" s="3" t="inlineStr">
        <is>
          <t>PARTLY READ — some of the code is still showing through; needs a hand pass</t>
        </is>
      </c>
      <c r="J682" s="3" t="inlineStr">
        <is>
          <t>raw: unknown</t>
        </is>
      </c>
      <c r="K682" s="3" t="inlineStr">
        <is>
          <t>NOT DECLARED — the code does not say what it gives back</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MK-XS-F-149</t>
        </is>
      </c>
      <c r="B683" s="3" t="inlineStr">
        <is>
          <t>allActivities</t>
        </is>
      </c>
      <c r="C683" s="3" t="inlineStr">
        <is>
          <t>src/services/sync/snaptradeSync.ts</t>
        </is>
      </c>
      <c r="D683" s="3" t="n">
        <v>102</v>
      </c>
      <c r="E683" s="3" t="inlineStr">
        <is>
          <t>3 · DEPENDENT</t>
        </is>
      </c>
      <c r="F683" s="3" t="inlineStr">
        <is>
          <t>NOT DETERMINED — the code carries no note saying what this is for, and it has no row in the old inventory. Needs reading.</t>
        </is>
      </c>
      <c r="G683" s="11" t="inlineStr">
        <is>
          <t>out = []
the answer = out</t>
        </is>
      </c>
      <c r="H683" s="3" t="inlineStr">
        <is>
          <t>Out is []. The answer is out.</t>
        </is>
      </c>
      <c r="I683" s="3" t="inlineStr">
        <is>
          <t>READ FROM THE CODE — rendered from the expressions the function runs</t>
        </is>
      </c>
      <c r="J683" s="3" t="inlineStr">
        <is>
          <t>1. accountId: string
2. startDate?: string</t>
        </is>
      </c>
      <c r="K683" s="3" t="inlineStr">
        <is>
          <t>Promise&lt;StActivity[]&gt;</t>
        </is>
      </c>
      <c r="L683" s="3" t="inlineStr">
        <is>
          <t>—</t>
        </is>
      </c>
      <c r="M683" s="3" t="inlineStr">
        <is>
          <t>· Uses a built-in page of 0.</t>
        </is>
      </c>
      <c r="N683" s="3" t="inlineStr">
        <is>
          <t>Yes</t>
        </is>
      </c>
      <c r="O683" s="3" t="inlineStr">
        <is>
          <t>1. MK-ST-F-027 accountId
2. MK-XS-F-148 unwrapActivities</t>
        </is>
      </c>
      <c r="P683" s="3" t="n">
        <v>2</v>
      </c>
      <c r="Q683" s="3" t="inlineStr">
        <is>
          <t>1. MK-ST-F-027 accountId
2. MK-XS-F-148 unwrapActivities</t>
        </is>
      </c>
      <c r="R683" s="3" t="inlineStr">
        <is>
          <t>1. MK-ST-F-027 accountId → MK-XS-F-149 allActivities
2. MK-XS-F-148 unwrapActivities → MK-XS-F-149 allActivities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MK-XS-F-170</t>
        </is>
      </c>
      <c r="B684" s="3" t="inlineStr">
        <is>
          <t>daysSince</t>
        </is>
      </c>
      <c r="C684" s="3" t="inlineStr">
        <is>
          <t>src/domain/_shared/freshness.ts</t>
        </is>
      </c>
      <c r="D684" s="3" t="n">
        <v>50</v>
      </c>
      <c r="E684" s="3" t="inlineStr">
        <is>
          <t>3 · DEPENDENT</t>
        </is>
      </c>
      <c r="F684" s="3" t="inlineStr">
        <is>
          <t>Whole days between a recorded moment and now, or null when the moment cannot be read.</t>
        </is>
      </c>
      <c r="G684" s="11" t="inlineStr">
        <is>
          <t>nothing   when when = nothing (or when = '' when missing or zero)
ms = now − (typeof when = 'number' ? when : date.parse(string(when)))
nothing   when !number.is finite(ms) (or ms &lt; 0 when missing or zero)
the answer = round down(ms ÷ 86400000)</t>
        </is>
      </c>
      <c r="H68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4" s="3" t="inlineStr">
        <is>
          <t>PARTLY READ — some of the code is still showing through; needs a hand pass</t>
        </is>
      </c>
      <c r="J684" s="3" t="inlineStr">
        <is>
          <t>1. when: string | number | null | undefined
2. now: number</t>
        </is>
      </c>
      <c r="K684" s="3" t="inlineStr">
        <is>
          <t>number | null</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2026-10-01</t>
        </is>
      </c>
      <c r="W684" s="3" t="n"/>
      <c r="X684" s="3" t="n"/>
      <c r="Y684" s="3" t="inlineStr">
        <is>
          <t>NOTHING OPEN</t>
        </is>
      </c>
    </row>
    <row r="685" ht="60" customHeight="1">
      <c r="A685" s="3" t="inlineStr">
        <is>
          <t>MK-XS-F-171</t>
        </is>
      </c>
      <c r="B685" s="3" t="inlineStr">
        <is>
          <t>numOrNaN</t>
        </is>
      </c>
      <c r="C685" s="3" t="inlineStr">
        <is>
          <t>src/domain/import/holdingsImport.ts</t>
        </is>
      </c>
      <c r="D685" s="3" t="n">
        <v>233</v>
      </c>
      <c r="E685" s="3" t="inlineStr">
        <is>
          <t>3 · DEPENDENT</t>
        </is>
      </c>
      <c r="F685" s="3" t="inlineStr">
        <is>
          <t>NOT DETERMINED — the code carries no note saying what this is for, and it has no row in the old inventory. Needs reading.</t>
        </is>
      </c>
      <c r="G685" s="11" t="inlineStr">
        <is>
          <t>n = parse float(string(v ?? '').replace( ÷ [$,%\s] ÷ g, '').replace( ÷ [()] ÷ g, ''))
the answer:
n   if number.is finite(n)
na n   otherwise</t>
        </is>
      </c>
      <c r="H685" s="3" t="inlineStr">
        <is>
          <t>N is parse float(string(v ?? '').replace( divided by [$,%\s] divided by g, '').replace( divided by [()] divided by g, '')). The answer is n — when number.is finite(n); na n — otherwise.</t>
        </is>
      </c>
      <c r="I685" s="3" t="inlineStr">
        <is>
          <t>PARTLY READ — some of the code is still showing through; needs a hand pass</t>
        </is>
      </c>
      <c r="J685" s="3" t="inlineStr">
        <is>
          <t>v: string</t>
        </is>
      </c>
      <c r="K685" s="3" t="inlineStr">
        <is>
          <t>number</t>
        </is>
      </c>
      <c r="L685" s="3" t="inlineStr">
        <is>
          <t>—</t>
        </is>
      </c>
      <c r="M685" s="3" t="inlineStr">
        <is>
          <t>None found in this function — anything it assumes comes from the functions it depends on.</t>
        </is>
      </c>
      <c r="N685" s="3" t="inlineStr">
        <is>
          <t>Yes</t>
        </is>
      </c>
      <c r="O685" s="3" t="inlineStr">
        <is>
          <t>MK-XS-F-122 n</t>
        </is>
      </c>
      <c r="P685" s="3" t="n">
        <v>1</v>
      </c>
      <c r="Q685" s="3" t="inlineStr">
        <is>
          <t>MK-XS-F-122 n</t>
        </is>
      </c>
      <c r="R685" s="3" t="inlineStr">
        <is>
          <t>MK-XS-F-122 n → MK-XS-F-171 numOrNaN</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MK-XS-F-172</t>
        </is>
      </c>
      <c r="B686" s="3" t="inlineStr">
        <is>
          <t>assetClassForSymbol</t>
        </is>
      </c>
      <c r="C686" s="3" t="inlineStr">
        <is>
          <t>src/domain/import/holdingsImport.ts</t>
        </is>
      </c>
      <c r="D686" s="3" t="n">
        <v>352</v>
      </c>
      <c r="E686" s="3" t="inlineStr">
        <is>
          <t>3 · DEPENDENT</t>
        </is>
      </c>
      <c r="F686" s="3" t="inlineStr">
        <is>
          <t>B7 (founder brief 2026-08-20): classification lives in the ONE function — this road only adapts.</t>
        </is>
      </c>
      <c r="G686" s="11" t="inlineStr">
        <is>
          <t>classify holding class({ ticker: symbol, name, has security identity: true }).cls</t>
        </is>
      </c>
      <c r="H686" s="3" t="inlineStr">
        <is>
          <t>classify holding class({ ticker: symbol, name, has security identity: true }).cls.</t>
        </is>
      </c>
      <c r="I686" s="3" t="inlineStr">
        <is>
          <t>PARTLY READ — some of the code is still showing through; needs a hand pass</t>
        </is>
      </c>
      <c r="J686" s="3" t="inlineStr">
        <is>
          <t>1. symbol: string
2. name = ''</t>
        </is>
      </c>
      <c r="K686" s="3" t="inlineStr">
        <is>
          <t>AssetClass</t>
        </is>
      </c>
      <c r="L686" s="3" t="inlineStr">
        <is>
          <t>—</t>
        </is>
      </c>
      <c r="M686" s="3" t="inlineStr">
        <is>
          <t>None found in this function — anything it assumes comes from the functions it depends on.</t>
        </is>
      </c>
      <c r="N686" s="3" t="inlineStr">
        <is>
          <t>Yes</t>
        </is>
      </c>
      <c r="O686" s="3" t="inlineStr">
        <is>
          <t>MK-ST-F-011 classifyHoldingClass</t>
        </is>
      </c>
      <c r="P686" s="3" t="n">
        <v>8</v>
      </c>
      <c r="Q686" s="3" t="inlineStr">
        <is>
          <t>1. MK-ST-F-011 classifyHoldingClass
2. MK-ST-F-010 nameEvidence
3. MK-XS-F-147 call
4. MK-ST-F-056 has
5. MK-CF-F-132 map
6. MK-ST-F-027 accountId
7. MK-XS-F-064 currentIdToken
8. MK-XS-F-112 relayUrl</t>
        </is>
      </c>
      <c r="R68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MK-XS-F-173</t>
        </is>
      </c>
      <c r="B687" s="3" t="inlineStr">
        <is>
          <t>getOrCreateKey</t>
        </is>
      </c>
      <c r="C687" s="3" t="inlineStr">
        <is>
          <t>src/store/secureStorage.ts</t>
        </is>
      </c>
      <c r="D687" s="3" t="n">
        <v>47</v>
      </c>
      <c r="E687" s="3" t="inlineStr">
        <is>
          <t>4 · BRINGS DATA IN</t>
        </is>
      </c>
      <c r="F687" s="3" t="inlineStr">
        <is>
          <t>NOT DETERMINED — the code carries no note saying what this is for, and it has no row in the old inventory. Needs reading.</t>
        </is>
      </c>
      <c r="G68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7" s="3" t="inlineStr">
        <is>
          <t>PARTLY READ — some of the code is still showing through; needs a hand pass</t>
        </is>
      </c>
      <c r="J687" s="3" t="inlineStr">
        <is>
          <t>Nothing is handed to it</t>
        </is>
      </c>
      <c r="K687" s="3" t="inlineStr">
        <is>
          <t>Promise&lt;string&gt;</t>
        </is>
      </c>
      <c r="L687" s="3" t="inlineStr">
        <is>
          <t>—</t>
        </is>
      </c>
      <c r="M687" s="3" t="inlineStr">
        <is>
          <t>None found in this function — anything it assumes comes from the functions it depends on.</t>
        </is>
      </c>
      <c r="N687" s="3" t="inlineStr">
        <is>
          <t>No</t>
        </is>
      </c>
      <c r="O687" s="3" t="inlineStr">
        <is>
          <t>1. MK-XS-F-135 secureGet
2. MK-XS-F-136 secureSet</t>
        </is>
      </c>
      <c r="P687" s="3" t="n">
        <v>2</v>
      </c>
      <c r="Q687" s="3" t="inlineStr">
        <is>
          <t>1. MK-XS-F-135 secureGet
2. MK-XS-F-136 secureSet</t>
        </is>
      </c>
      <c r="R687" s="3" t="inlineStr">
        <is>
          <t>1. MK-XS-F-135 secureGet → MK-XS-F-173 getOrCreateKey
2. MK-XS-F-136 secureSet → MK-XS-F-173 getOrCreateKey</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MK-XS-F-174</t>
        </is>
      </c>
      <c r="B688" s="3" t="inlineStr">
        <is>
          <t>recomputeBalances</t>
        </is>
      </c>
      <c r="C688" s="3" t="inlineStr">
        <is>
          <t>src/store/useStore.ts</t>
        </is>
      </c>
      <c r="D688" s="3" t="n">
        <v>60</v>
      </c>
      <c r="E688" s="3" t="inlineStr">
        <is>
          <t>3 · DEPENDENT</t>
        </is>
      </c>
      <c r="F688" s="3" t="inlineStr">
        <is>
          <t>Recompute the cached `balance` of every ledger-managed account = cash sleeve + Σ(position × live price).</t>
        </is>
      </c>
      <c r="G688"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8"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8" s="3" t="inlineStr">
        <is>
          <t>PARTLY READ — some of the code is still showing through; needs a hand pass</t>
        </is>
      </c>
      <c r="J688" s="3" t="inlineStr">
        <is>
          <t>1. accs: AssetAccount[]
2. cache: Record&lt;string, PriceSeries&gt;</t>
        </is>
      </c>
      <c r="K688" s="3" t="inlineStr">
        <is>
          <t>AssetAccount[]</t>
        </is>
      </c>
      <c r="L688" s="3" t="inlineStr">
        <is>
          <t>—</t>
        </is>
      </c>
      <c r="M688" s="3" t="inlineStr">
        <is>
          <t>· If cash balance is missing it counts as zero, so nothing recorded and a real zero look the same.</t>
        </is>
      </c>
      <c r="N688" s="3" t="inlineStr">
        <is>
          <t>Yes</t>
        </is>
      </c>
      <c r="O688" s="3" t="inlineStr">
        <is>
          <t>1. MK-ST-F-028 buildDayFromAccounts
2. MK-PF-F-002 costBasis
3. MK-CF-F-038 debtsFromOnboarding
4. MK-PF-F-009 latestClose
5. MK-CF-F-132 map
6. MK-PF-F-004 marketValue
7. MK-ST-F-030 record
8. MK-XS-F-024 resolveLens
9. MK-ST-F-055 round2
10. MK-ST-F-044 setMoneyFormat</t>
        </is>
      </c>
      <c r="P688" s="3" t="n">
        <v>79</v>
      </c>
      <c r="Q688"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88"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MK-XS-F-175</t>
        </is>
      </c>
      <c r="B689" s="3" t="inlineStr">
        <is>
          <t>uid</t>
        </is>
      </c>
      <c r="C689" s="3" t="inlineStr">
        <is>
          <t>src/store/useStore.ts</t>
        </is>
      </c>
      <c r="D689" s="3" t="n">
        <v>586</v>
      </c>
      <c r="E689" s="3" t="inlineStr">
        <is>
          <t>2 · DISPLAYED</t>
        </is>
      </c>
      <c r="F689" s="3" t="inlineStr">
        <is>
          <t>NOT DETERMINED — the code carries no note saying what this is for, and it has no row in the old inventory. Needs reading.</t>
        </is>
      </c>
      <c r="G689"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9"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9" s="3" t="inlineStr">
        <is>
          <t>PARTLY READ — the body has a loop the extractor cannot render; the steps shown are the ones before it. Needs a hand pass (G23).</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9" s="3" t="inlineStr">
        <is>
          <t>Yes</t>
        </is>
      </c>
      <c r="O689"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89" s="3" t="n">
        <v>79</v>
      </c>
      <c r="Q689"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8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9" s="3" t="inlineStr">
        <is>
          <t>—</t>
        </is>
      </c>
      <c r="T689" s="3" t="inlineStr">
        <is>
          <t>—</t>
        </is>
      </c>
      <c r="U689" s="3" t="inlineStr">
        <is>
          <t>ACTIVE</t>
        </is>
      </c>
      <c r="V689" s="3" t="inlineStr">
        <is>
          <t>2026-09-25</t>
        </is>
      </c>
      <c r="W689" s="3" t="n"/>
      <c r="X689" s="3" t="n"/>
      <c r="Y689" s="3" t="inlineStr">
        <is>
          <t>NOTHING OPEN</t>
        </is>
      </c>
    </row>
    <row r="690" ht="60" customHeight="1">
      <c r="A690" s="3" t="inlineStr">
        <is>
          <t>MK-XS-F-176</t>
        </is>
      </c>
      <c r="B690" s="3" t="inlineStr">
        <is>
          <t>useMonthlyStats</t>
        </is>
      </c>
      <c r="C690" s="3" t="inlineStr">
        <is>
          <t>src/store/useStore.ts</t>
        </is>
      </c>
      <c r="D690" s="3" t="n">
        <v>1296</v>
      </c>
      <c r="E690" s="3" t="inlineStr">
        <is>
          <t>2 · DISPLAYED</t>
        </is>
      </c>
      <c r="F690" s="3" t="inlineStr">
        <is>
          <t>── Selectors ──────────────────────────────────────────────────────────</t>
        </is>
      </c>
      <c r="G69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 Uses today's date from the device clock, so the answer changes by itself overnight.</t>
        </is>
      </c>
      <c r="N690" s="3" t="inlineStr">
        <is>
          <t>Yes</t>
        </is>
      </c>
      <c r="O690" s="3" t="inlineStr">
        <is>
          <t>MK-CF-O-002 expenses</t>
        </is>
      </c>
      <c r="P690" s="3" t="n">
        <v>15</v>
      </c>
      <c r="Q6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MK-XS-F-177</t>
        </is>
      </c>
      <c r="B691" s="3" t="inlineStr">
        <is>
          <t>useCategorySpend</t>
        </is>
      </c>
      <c r="C691" s="3" t="inlineStr">
        <is>
          <t>src/store/useStore.ts</t>
        </is>
      </c>
      <c r="D691" s="3" t="n">
        <v>1353</v>
      </c>
      <c r="E691" s="3" t="inlineStr">
        <is>
          <t>2 · DISPLAYED</t>
        </is>
      </c>
      <c r="F691" s="3" t="inlineStr">
        <is>
          <t>NOT DETERMINED — the code carries no note saying what this is for, and it has no row in the old inventory. Needs reading.</t>
        </is>
      </c>
      <c r="G691" s="11" t="inlineStr">
        <is>
          <t>now = new date()
d = the date date
to date string() = now.to date string()   when budget frequency = 'daily'
d ≥ new date(now.get time() − 7 × 86400000)   when budget frequency = 'weekly'
the answer = get full year() = now.get full year() and get month() = now.get month()
map = {}</t>
        </is>
      </c>
      <c r="H69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1" s="3" t="inlineStr">
        <is>
          <t>PARTLY READ — some of the code is still showing through; needs a hand pass</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category] is missing it counts as zero, so nothing recorded and a real zero look the same.
2. Uses today's date from the device clock, so the answer changes by itself overnight.</t>
        </is>
      </c>
      <c r="N691" s="3" t="inlineStr">
        <is>
          <t>Yes</t>
        </is>
      </c>
      <c r="O691" s="3" t="inlineStr">
        <is>
          <t>1. MK-CF-O-002 expenses
2. MK-CF-F-132 map</t>
        </is>
      </c>
      <c r="P691" s="3" t="n">
        <v>15</v>
      </c>
      <c r="Q69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MK-XS-F-178</t>
        </is>
      </c>
      <c r="B692" s="3" t="inlineStr">
        <is>
          <t>useLevel</t>
        </is>
      </c>
      <c r="C692" s="3" t="inlineStr">
        <is>
          <t>src/store/useStore.ts</t>
        </is>
      </c>
      <c r="D692" s="3" t="n">
        <v>1386</v>
      </c>
      <c r="E692" s="3" t="inlineStr">
        <is>
          <t>2 · DISPLAYED</t>
        </is>
      </c>
      <c r="F692" s="3" t="inlineStr">
        <is>
          <t>NOT DETERMINED — the code carries no note saying what this is for, and it has no row in the old inventory. Needs reading.</t>
        </is>
      </c>
      <c r="G692" s="11" t="inlineStr">
        <is>
          <t>xp = use store((s) =&gt; xp)
current = levels[0], next = levels[1]
pct = min(((xp − current.min) ÷ (next.min − current.min)) × 100, 100)   if next.min &gt; current.min
100   otherwise
the answer = { ...current, next, xp, pct }</t>
        </is>
      </c>
      <c r="H692" s="3" t="inlineStr">
        <is>
          <t>Xp is use store((s) =&gt; xp). Current is levels[0], next = levels[1]. Pct: the smaller of ((xp minus current.min) divided by (next.min minus current.min)) times 100 and 100 — when next.min &gt; current.min; 100 — otherwise. The answer is { ...current, next, xp, pct }.</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MK-XS-F-179</t>
        </is>
      </c>
      <c r="B693" s="3" t="inlineStr">
        <is>
          <t>ageToday</t>
        </is>
      </c>
      <c r="C693" s="3" t="inlineStr">
        <is>
          <t>src/domain/profile/calc.ts</t>
        </is>
      </c>
      <c r="D693" s="3" t="n">
        <v>79</v>
      </c>
      <c r="E693" s="3" t="inlineStr">
        <is>
          <t>2 · DISPLAYED</t>
        </is>
      </c>
      <c r="F69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3" s="11" t="inlineStr">
        <is>
          <t>y = number(birth year); if (!y or !number.is finite(y)) return nothing
m = birth month read as a number
current age(y, m, as of)   when m ≥ 1 and m ≤ 12
the answer = as of.get full year() − y</t>
        </is>
      </c>
      <c r="H693" s="3" t="inlineStr">
        <is>
          <t>Y is number(birth year); — when (!y or !number.is finite(y)) return no answer. M is birth month read as a number. When m is at least 1 and m is at most 12, it answers current age(y, m, as of). The answer is as of.get full year() minus y.</t>
        </is>
      </c>
      <c r="I693" s="3" t="inlineStr">
        <is>
          <t>PARTLY READ — some of the code is still showing through; needs a hand pass</t>
        </is>
      </c>
      <c r="J693" s="3" t="inlineStr">
        <is>
          <t>1. birthYear: number | null | undefined
2. birthMonth: number | null | undefined
3. asOf: Date = new Date()</t>
        </is>
      </c>
      <c r="K693" s="3" t="inlineStr">
        <is>
          <t>number | null</t>
        </is>
      </c>
      <c r="L693" s="3" t="inlineStr">
        <is>
          <t>NOT FOUND — a screen calls it, but the words printed beside its answer could not be traced automatically. Needs reading.</t>
        </is>
      </c>
      <c r="M69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3" s="3" t="inlineStr">
        <is>
          <t>Yes</t>
        </is>
      </c>
      <c r="O693" s="3" t="inlineStr">
        <is>
          <t>MK-XS-F-017 currentAge</t>
        </is>
      </c>
      <c r="P693" s="3" t="n">
        <v>1</v>
      </c>
      <c r="Q693" s="3" t="inlineStr">
        <is>
          <t>MK-XS-F-017 currentAge</t>
        </is>
      </c>
      <c r="R693" s="3" t="inlineStr">
        <is>
          <t>MK-XS-F-017 currentAge → MK-XS-F-179 ageToday</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MK-XS-F-180</t>
        </is>
      </c>
      <c r="B694" s="3" t="inlineStr">
        <is>
          <t>declareFigures</t>
        </is>
      </c>
      <c r="C694" s="3" t="inlineStr">
        <is>
          <t>MoneyKeel/functions/_figure-spec.ts</t>
        </is>
      </c>
      <c r="D694" s="3" t="n">
        <v>175</v>
      </c>
      <c r="E694" s="3" t="inlineStr">
        <is>
          <t>3 · DEPENDENT</t>
        </is>
      </c>
      <c r="F694" s="3" t="inlineStr">
        <is>
          <t>Declare the figures a door hands out.</t>
        </is>
      </c>
      <c r="G694" s="11" t="inlineStr">
        <is>
          <t>NOT READ YET — the body is not a shape this can render faithfully, so nothing is claimed rather than something being guessed. It needs reading by hand.</t>
        </is>
      </c>
      <c r="H694" s="3" t="inlineStr">
        <is>
          <t>NOT READ YET — the body is not a shape this can render faithfully, so nothing is claimed rather than something being guessed. It needs reading by hand.</t>
        </is>
      </c>
      <c r="I694" s="3" t="inlineStr">
        <is>
          <t>NOT READ — nothing is claimed rather than something guessed</t>
        </is>
      </c>
      <c r="J694" s="3" t="inlineStr">
        <is>
          <t>f: T</t>
        </is>
      </c>
      <c r="K694" s="3" t="inlineStr">
        <is>
          <t>T</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MK-XS-F-181</t>
        </is>
      </c>
      <c r="B695" s="3" t="inlineStr">
        <is>
          <t>merge</t>
        </is>
      </c>
      <c r="C695" s="3" t="inlineStr">
        <is>
          <t>MoneyKeel/functions/figures.ts</t>
        </is>
      </c>
      <c r="D695" s="3" t="n">
        <v>69</v>
      </c>
      <c r="E695" s="3" t="inlineStr">
        <is>
          <t>3 · DEPENDENT (feeds an action only)</t>
        </is>
      </c>
      <c r="F695" s="3" t="inlineStr">
        <is>
          <t>NOT DETERMINED — the code carries no note saying what this is for, and it has no row in the old inventory. Needs reading.</t>
        </is>
      </c>
      <c r="G695" s="11" t="inlineStr">
        <is>
          <t>out = {}
from = {}
the answer = out</t>
        </is>
      </c>
      <c r="H695" s="3" t="inlineStr">
        <is>
          <t>Out is {}. From is {}. The answer is out.</t>
        </is>
      </c>
      <c r="I695" s="3" t="inlineStr">
        <is>
          <t>READ FROM THE CODE — rendered from the expressions the function runs</t>
        </is>
      </c>
      <c r="J695" s="3" t="inlineStr">
        <is>
          <t>Nothing is handed to it</t>
        </is>
      </c>
      <c r="K695" s="3" t="inlineStr">
        <is>
          <t>Record&lt;string, FigureSpec&gt;</t>
        </is>
      </c>
      <c r="L695" s="3" t="inlineStr">
        <is>
          <t>—</t>
        </is>
      </c>
      <c r="M695" s="3" t="inlineStr">
        <is>
          <t>None found in this function — anything it assumes comes from the functions it depends on.</t>
        </is>
      </c>
      <c r="N695" s="3" t="inlineStr">
        <is>
          <t>No</t>
        </is>
      </c>
      <c r="O695" s="3" t="inlineStr">
        <is>
          <t>MK-CF-F-132 map</t>
        </is>
      </c>
      <c r="P695" s="3" t="n">
        <v>1</v>
      </c>
      <c r="Q695" s="3" t="inlineStr">
        <is>
          <t>MK-CF-F-132 map</t>
        </is>
      </c>
      <c r="R695" s="3" t="inlineStr">
        <is>
          <t>MK-CF-F-132 map → MK-XS-F-181 merge</t>
        </is>
      </c>
      <c r="S695" s="3" t="inlineStr">
        <is>
          <t>—</t>
        </is>
      </c>
      <c r="T695" s="3" t="inlineStr">
        <is>
          <t>—</t>
        </is>
      </c>
      <c r="U695" s="3" t="inlineStr">
        <is>
          <t>ACTIVE</t>
        </is>
      </c>
      <c r="V695" s="3" t="inlineStr">
        <is>
          <t>2026-09-14</t>
        </is>
      </c>
      <c r="W695" s="3" t="n"/>
      <c r="X695" s="3" t="n"/>
      <c r="Y695" s="3" t="inlineStr">
        <is>
          <t>NOTHING OPEN</t>
        </is>
      </c>
    </row>
    <row r="696" ht="45" customHeight="1">
      <c r="A696" s="3" t="inlineStr">
        <is>
          <t>MK-XS-F-182</t>
        </is>
      </c>
      <c r="B696" s="3" t="inlineStr">
        <is>
          <t>figureSpec</t>
        </is>
      </c>
      <c r="C696" s="3" t="inlineStr">
        <is>
          <t>MoneyKeel/functions/figures.ts</t>
        </is>
      </c>
      <c r="D696" s="3" t="n">
        <v>103</v>
      </c>
      <c r="E696" s="3" t="inlineStr">
        <is>
          <t>2 · DISPLAYED</t>
        </is>
      </c>
      <c r="F696" s="3" t="inlineStr">
        <is>
          <t>The declaration behind an identifier, or a refusal that names the identifier — never a silent blank.</t>
        </is>
      </c>
      <c r="G696" s="11" t="inlineStr">
        <is>
          <t>spec = FIGURE_REGISTER[id]
the answer = spec</t>
        </is>
      </c>
      <c r="H696" s="3" t="inlineStr">
        <is>
          <t>Spec is FIGURE_REGISTER[id]. The answer is spec.</t>
        </is>
      </c>
      <c r="I696" s="3" t="inlineStr">
        <is>
          <t>READ FROM THE CODE — rendered from the expressions the function runs</t>
        </is>
      </c>
      <c r="J696" s="3" t="inlineStr">
        <is>
          <t>id: string</t>
        </is>
      </c>
      <c r="K696" s="3" t="inlineStr">
        <is>
          <t>FigureSpec</t>
        </is>
      </c>
      <c r="L696" s="3" t="inlineStr">
        <is>
          <t>NOT FOUND — a screen calls it, but the words printed beside its answer could not be traced automatically. Needs reading.</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MK-XS-F-183</t>
        </is>
      </c>
      <c r="B697" s="3" t="inlineStr">
        <is>
          <t>writeFigure</t>
        </is>
      </c>
      <c r="C697" s="3" t="inlineStr">
        <is>
          <t>MoneyKeel/functions/_figure-spec.ts</t>
        </is>
      </c>
      <c r="D697" s="3" t="n">
        <v>68</v>
      </c>
      <c r="E697" s="3" t="inlineStr">
        <is>
          <t>2 · DISPLAYED</t>
        </is>
      </c>
      <c r="F697" s="3" t="inlineStr">
        <is>
          <t>WRITE A FIGURE THE WAY THE SCREEN WRITES IT — one writer, two callers (2026-09-28).</t>
        </is>
      </c>
      <c r="G697" s="11" t="inlineStr">
        <is>
          <t>spec.refusal   when value = nothing (or !number.is finite(value) when missing or zero)
body + (opts.spoken ? ` a ${spec.per}` : ` ÷ ${spec.per}`)   when opts.with period and spec.per
body</t>
        </is>
      </c>
      <c r="H697" s="3" t="inlineStr">
        <is>
          <t>When value is missing (or !number.is finite(value) — when missing or zero), it answers spec.refusal. When opts.with period and spec.per, it answers body plus (opts.spoken ? ` a ${spec.per}` : ` divided by ${spec.per}`). body.</t>
        </is>
      </c>
      <c r="I697" s="3" t="inlineStr">
        <is>
          <t>PARTLY READ — some of the code is still showing through; needs a hand pass</t>
        </is>
      </c>
      <c r="J697" s="3" t="inlineStr">
        <is>
          <t>1. spec: FigureSpec
2. value: number | null
3. opts?: { spoken?: boolean; withPeriod?: boolean }</t>
        </is>
      </c>
      <c r="K697" s="3" t="inlineStr">
        <is>
          <t>string</t>
        </is>
      </c>
      <c r="L697" s="3" t="inlineStr">
        <is>
          <t>NOT FOUND — a screen calls it, but the words printed beside its answer could not be traced automatically. Needs reading.</t>
        </is>
      </c>
      <c r="M697" s="3" t="inlineStr">
        <is>
          <t>1. Rounds the answer to 1 decimal place.
2. Shows 2 decimal places.
3. Shows 1 decimal place.</t>
        </is>
      </c>
      <c r="N697" s="3" t="inlineStr">
        <is>
          <t>Yes</t>
        </is>
      </c>
      <c r="O697" s="3" t="inlineStr">
        <is>
          <t>1. MK-ST-F-049 formatMoney
2. MK-ST-F-050 formatMoneyCents
3. MK-ST-F-051 moneyCompact
4. MK-ST-F-039 on
5. MK-ST-F-060 verdict</t>
        </is>
      </c>
      <c r="P697" s="3" t="n">
        <v>8</v>
      </c>
      <c r="Q697" s="3" t="inlineStr">
        <is>
          <t>1. MK-ST-F-049 formatMoney
2. MK-ST-F-050 formatMoneyCents
3. MK-ST-F-051 moneyCompact
4. MK-ST-F-039 on
5. MK-ST-F-060 verdict
6. MK-ST-F-048 currencySymbol
7. MK-XS-F-122 n
8. MK-ST-F-047 activeCurrency</t>
        </is>
      </c>
      <c r="R69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7" s="3" t="inlineStr">
        <is>
          <t>—</t>
        </is>
      </c>
      <c r="T697" s="3" t="inlineStr">
        <is>
          <t>—</t>
        </is>
      </c>
      <c r="U697" s="3" t="inlineStr">
        <is>
          <t>ACTIVE</t>
        </is>
      </c>
      <c r="V697" s="3" t="inlineStr">
        <is>
          <t>2026-09-28</t>
        </is>
      </c>
      <c r="W697" s="3" t="n"/>
      <c r="X697" s="3" t="n"/>
      <c r="Y697" s="3" t="inlineStr">
        <is>
          <t>NOTHING OPEN</t>
        </is>
      </c>
    </row>
  </sheetData>
  <autoFilter ref="A1:Y69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262</v>
      </c>
      <c r="C4" s="3" t="n">
        <v>42</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220</v>
      </c>
      <c r="C6" s="3" t="n">
        <v>21</v>
      </c>
      <c r="D6" s="3" t="n">
        <v>0</v>
      </c>
      <c r="E6" s="3" t="n">
        <v>25</v>
      </c>
      <c r="F6" s="3" t="n">
        <v>12</v>
      </c>
    </row>
    <row r="7" ht="15" customHeight="1">
      <c r="A7" s="3" t="inlineStr">
        <is>
          <t>3 · DEPENDENT (feeds an action only)</t>
        </is>
      </c>
      <c r="B7" s="3" t="n">
        <v>85</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695</v>
      </c>
      <c r="C9" s="3" t="n">
        <v>115</v>
      </c>
      <c r="D9" s="3" t="n">
        <v>4</v>
      </c>
      <c r="E9" s="3" t="n">
        <v>171</v>
      </c>
      <c r="F9" s="3" t="n">
        <v>79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68</v>
      </c>
      <c r="C3" s="3" t="n">
        <v>1</v>
      </c>
      <c r="D3" s="3" t="n">
        <v>1</v>
      </c>
      <c r="E3" s="3" t="n">
        <v>66</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226</v>
      </c>
      <c r="C10" s="3" t="n">
        <v>1</v>
      </c>
      <c r="D10" s="3" t="n">
        <v>23</v>
      </c>
      <c r="E10" s="3" t="n">
        <v>169</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2026-10-02T16:37:15Z</dcterms:created>
  <dcterms:modified xsi:type="dcterms:W3CDTF">2026-10-02T16:38:01Z</dcterms:modified>
</cp:coreProperties>
</file>