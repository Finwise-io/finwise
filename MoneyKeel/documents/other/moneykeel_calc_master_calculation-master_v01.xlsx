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multiple_screens" sheetId="3" state="visible" r:id="rId3"/>
    <sheet name="home" sheetId="4" state="visible" r:id="rId4"/>
    <sheet name="networth" sheetId="5" state="visible" r:id="rId5"/>
    <sheet name="performance" sheetId="6" state="visible" r:id="rId6"/>
    <sheet name="plan" sheetId="7" state="visible" r:id="rId7"/>
    <sheet name="cashflow" sheetId="8" state="visible" r:id="rId8"/>
    <sheet name="menu" sheetId="9" state="visible" r:id="rId9"/>
    <sheet name="inputs" sheetId="10" state="visible" r:id="rId10"/>
    <sheet name="database" sheetId="11" state="visible" r:id="rId11"/>
    <sheet name="core_screens" sheetId="12" state="visible" r:id="rId12"/>
    <sheet name="reconciliation" sheetId="13" state="visible" r:id="rId13"/>
    <sheet name="engines-old-tab" sheetId="14" state="visible" r:id="rId14"/>
    <sheet name="functions_from_code" sheetId="15" state="visible" r:id="rId15"/>
    <sheet name="functions_summary" sheetId="16" state="visible" r:id="rId16"/>
    <sheet name="functions_per_metric" sheetId="17" state="visible" r:id="rId1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font>
    <font>
      <b val="1"/>
      <color rgb="001F3864"/>
    </font>
    <font>
      <b val="1"/>
      <color rgb="009C0006"/>
    </font>
    <font>
      <name val="Menlo"/>
      <sz val="10"/>
    </font>
    <font>
      <b val="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top" wrapText="1"/>
    </xf>
    <xf numFmtId="0" fontId="5" fillId="0"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15"/>
  <sheetViews>
    <sheetView workbookViewId="0">
      <pane ySplit="1" topLeftCell="A2" activePane="bottomLeft" state="frozen"/>
      <selection pane="bottomLeft" activeCell="A1" sqref="A1"/>
    </sheetView>
  </sheetViews>
  <sheetFormatPr baseColWidth="8" defaultRowHeight="15"/>
  <cols>
    <col width="46" customWidth="1" min="1" max="1"/>
    <col width="118" customWidth="1" min="2" max="2"/>
  </cols>
  <sheetData>
    <row r="1">
      <c r="A1" s="1" t="inlineStr">
        <is>
          <t>Item</t>
        </is>
      </c>
      <c r="B1" s="1" t="inlineStr">
        <is>
          <t>Detail</t>
        </is>
      </c>
    </row>
    <row r="2">
      <c r="A2" s="2" t="inlineStr">
        <is>
          <t>STANDING DECISION — how numbers are held and shown</t>
        </is>
      </c>
      <c r="B2" s="3" t="inlineStr">
        <is>
          <t>Every number is held as a float internally. Decimals are SHOWN only for prices of stocks, bonds and options, for interest and dividend rates, and for expenses; everything else displays whole dollars. Rounding happens once, at the edge, never in the middle. Founder, 2026-08-22.</t>
        </is>
      </c>
    </row>
    <row r="3">
      <c r="A3" s="2" t="inlineStr">
        <is>
          <t>Date file created</t>
        </is>
      </c>
      <c r="B3" s="3" t="inlineStr">
        <is>
          <t>2026-09-02</t>
        </is>
      </c>
    </row>
    <row r="4">
      <c r="A4" s="2" t="inlineStr">
        <is>
          <t>Date file last modified</t>
        </is>
      </c>
      <c r="B4" s="3" t="inlineStr">
        <is>
          <t>2026-09-02  (stamped by the build, not typed; unchanged when the file is only read)</t>
        </is>
      </c>
    </row>
    <row r="5">
      <c r="A5" s="2" t="inlineStr">
        <is>
          <t>Objective of this file</t>
        </is>
      </c>
      <c r="B5" s="3" t="inlineStr">
        <is>
          <t>One row for every figure a person reads on screen, tied to the metric behind it, the engine that produces it, and the identifier that joins them — so a wrong number can be traced from the label on screen to its engine and formula in a minute. Serves objectives 3 and 4.</t>
        </is>
      </c>
    </row>
    <row r="6">
      <c r="A6" s="2" t="inlineStr"/>
      <c r="B6" s="3" t="inlineStr"/>
    </row>
    <row r="7">
      <c r="A7" s="2" t="inlineStr">
        <is>
          <t>TAB — Specification</t>
        </is>
      </c>
      <c r="B7" s="3" t="inlineStr">
        <is>
          <t>Everything a row must carry before its calculation can be written in code, NUMBERED S01 upwards so a piece of work can be named by its number. The last column says where each one stands in this file today.</t>
        </is>
      </c>
    </row>
    <row r="8">
      <c r="A8" s="2" t="inlineStr">
        <is>
          <t>TAB — Reference</t>
        </is>
      </c>
      <c r="B8" s="3" t="inlineStr">
        <is>
          <t>This tab. What the file is, what each tab holds, what each column means, and what it must comply with.</t>
        </is>
      </c>
    </row>
    <row r="9">
      <c r="A9" s="2" t="inlineStr">
        <is>
          <t>TAB — multiple_screens</t>
        </is>
      </c>
      <c r="B9" s="3" t="inlineStr">
        <is>
          <t>Figures shown on more than one parent screen. A figure lives here ONCE, with every screen and every label it wears listed, so the same figure can never have two definitions.</t>
        </is>
      </c>
    </row>
    <row r="10">
      <c r="A10" s="2" t="inlineStr">
        <is>
          <t>TAB — home</t>
        </is>
      </c>
      <c r="B10" s="3" t="inlineStr">
        <is>
          <t>Figures shown only on Home and the screens reached from it.</t>
        </is>
      </c>
    </row>
    <row r="11">
      <c r="A11" s="2" t="inlineStr">
        <is>
          <t>TAB — networth</t>
        </is>
      </c>
      <c r="B11" s="3" t="inlineStr">
        <is>
          <t>Figures shown only on Net worth and the screens reached from it.</t>
        </is>
      </c>
    </row>
    <row r="12">
      <c r="A12" s="2" t="inlineStr">
        <is>
          <t>TAB — performance</t>
        </is>
      </c>
      <c r="B12" s="3" t="inlineStr">
        <is>
          <t>Figures shown only on Performance and the screens reached from it.</t>
        </is>
      </c>
    </row>
    <row r="13">
      <c r="A13" s="2" t="inlineStr">
        <is>
          <t>TAB — plan</t>
        </is>
      </c>
      <c r="B13" s="3" t="inlineStr">
        <is>
          <t>Figures shown only on Plan and the screens reached from it.</t>
        </is>
      </c>
    </row>
    <row r="14">
      <c r="A14" s="2" t="inlineStr">
        <is>
          <t>TAB — cashflow</t>
        </is>
      </c>
      <c r="B14" s="3" t="inlineStr">
        <is>
          <t>Figures shown only on Cash flow and the screens reached from it.</t>
        </is>
      </c>
    </row>
    <row r="15">
      <c r="A15" s="2" t="inlineStr">
        <is>
          <t>TAB — menu</t>
        </is>
      </c>
      <c r="B15" s="3" t="inlineStr">
        <is>
          <t>Screens reachable only from the menu, and the figures on them.</t>
        </is>
      </c>
    </row>
    <row r="16">
      <c r="A16" s="2" t="inlineStr">
        <is>
          <t>TAB — engines-old-tab</t>
        </is>
      </c>
      <c r="B16" s="3" t="inlineStr">
        <is>
          <t>One row per engine identifier — the definitive list every dependency and every figure points at. Carries where the engine is implemented, what it answers, and which figures reach it.</t>
        </is>
      </c>
    </row>
    <row r="17">
      <c r="A17" s="2" t="inlineStr">
        <is>
          <t>TAB — functions_per_metric</t>
        </is>
      </c>
      <c r="B17" s="3" t="inlineStr">
        <is>
          <t>By parent screen: how many figures it shows, and how many functions stand behind each one — a single function, two to five, more than five, or none on record.</t>
        </is>
      </c>
    </row>
    <row r="18">
      <c r="A18" s="2" t="inlineStr">
        <is>
          <t>TAB — functions_summary</t>
        </is>
      </c>
      <c r="B18" s="3" t="inlineStr">
        <is>
          <t>A count per category: how many functions there are, how many are handed nothing at all, how many are handed nothing but reach into the stored data, and how many never say what they give back.</t>
        </is>
      </c>
    </row>
    <row r="19">
      <c r="A19" s="2" t="inlineStr">
        <is>
          <t>TAB — functions_from_code</t>
        </is>
      </c>
      <c r="B19"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0">
      <c r="A20" s="2" t="inlineStr">
        <is>
          <t>TAB — reconciliation</t>
        </is>
      </c>
      <c r="B20" s="3" t="inlineStr">
        <is>
          <t>The input map checked in BOTH directions: what the inputs tab says uses each input, against what each engine actually names in its own input list. Where the two disagree the row says so. The section at the foot lists inputs an engine names that appear nowhere on the inputs tab.</t>
        </is>
      </c>
    </row>
    <row r="21">
      <c r="A21" s="2" t="inlineStr">
        <is>
          <t>TAB — core_screens</t>
        </is>
      </c>
      <c r="B21" s="3" t="inlineStr">
        <is>
          <t>Every screen in the app, its parent, my recommendation on whether it belongs to the 55-70 core, and a column for the founder to decide. Until this is decided, no row in the file can honestly claim to be in scope (S17).</t>
        </is>
      </c>
    </row>
    <row r="22">
      <c r="A22" s="2" t="inlineStr">
        <is>
          <t>TAB — database</t>
        </is>
      </c>
      <c r="B22" s="3" t="inlineStr">
        <is>
          <t>What the app saves in the cloud: where each thing is stored, what it holds, which figures depend on it, how often it is written and at what grain. Also names what is deliberately NOT saved.</t>
        </is>
      </c>
    </row>
    <row r="23">
      <c r="A23" s="2" t="inlineStr">
        <is>
          <t>TAB — inputs</t>
        </is>
      </c>
      <c r="B23" s="3" t="inlineStr">
        <is>
          <t>The raw values the engines need before any calculation happens.</t>
        </is>
      </c>
    </row>
    <row r="24">
      <c r="A24" s="2" t="inlineStr"/>
      <c r="B24" s="3" t="inlineStr"/>
    </row>
    <row r="25">
      <c r="A25" s="2" t="inlineStr">
        <is>
          <t>COLUMN — Function that produces it</t>
        </is>
      </c>
      <c r="B25" s="3" t="inlineStr">
        <is>
          <t>The function in the code that produces this figure, named plainly. Three honest answers: the function · "worked out on the screen itself" · or "no function on record", which means nothing in the old inventory ever recorded one.</t>
        </is>
      </c>
    </row>
    <row r="26">
      <c r="A26" s="2" t="inlineStr">
        <is>
          <t>COLUMN — Function ID</t>
        </is>
      </c>
      <c r="B26" s="3" t="inlineStr">
        <is>
          <t>That function's identifier, MK-[family]-F-[number], from the functions_from_code tab.</t>
        </is>
      </c>
    </row>
    <row r="27">
      <c r="A27" s="2" t="inlineStr">
        <is>
          <t>COLUMN — Category / File / Line</t>
        </is>
      </c>
      <c r="B27" s="3" t="inlineStr">
        <is>
          <t>On the functions tab: which of the four categories the function falls in, and where it lives in the code.</t>
        </is>
      </c>
    </row>
    <row r="28">
      <c r="A28" s="2" t="inlineStr">
        <is>
          <t>COLUMN — Objective — what this function is for</t>
        </is>
      </c>
      <c r="B28" s="3" t="inlineStr">
        <is>
          <t>Its purpose in one sentence, in the author's own words from the note above it in the code, or from the old inventory. NOT DETERMINED where neither exists.</t>
        </is>
      </c>
    </row>
    <row r="29">
      <c r="A29" s="2" t="inlineStr">
        <is>
          <t>COLUMN — Formula (mathematical) [functions tab]</t>
        </is>
      </c>
      <c r="B29"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0">
      <c r="A30" s="2" t="inlineStr">
        <is>
          <t>COLUMN — Formula (in words) [functions tab]</t>
        </is>
      </c>
      <c r="B30"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1">
      <c r="A31" s="2" t="inlineStr">
        <is>
          <t>COLUMN — How the formula was read</t>
        </is>
      </c>
      <c r="B31"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2">
      <c r="A32" s="2" t="inlineStr">
        <is>
          <t>COLUMN — What it gives back (its output)</t>
        </is>
      </c>
      <c r="B32" s="3" t="inlineStr">
        <is>
          <t>What the function returns. NOT DECLARED means the code does not say, so nothing can check it returns the right kind of thing.</t>
        </is>
      </c>
    </row>
    <row r="33">
      <c r="A33" s="2" t="inlineStr">
        <is>
          <t>COLUMN — Can its answer reach a screen?</t>
        </is>
      </c>
      <c r="B33" s="3" t="inlineStr">
        <is>
          <t>The question that decides whether a function can put a wrong number in front of a person.</t>
        </is>
      </c>
    </row>
    <row r="34">
      <c r="A34" s="2" t="inlineStr">
        <is>
          <t>COLUMN — Figures that name it</t>
        </is>
      </c>
      <c r="B34" s="3" t="inlineStr">
        <is>
          <t>Which metric identifiers reach this function. It travels through the old inventory to get there, so it is only as good as that record.</t>
        </is>
      </c>
    </row>
    <row r="35">
      <c r="A35" s="2" t="inlineStr">
        <is>
          <t>COLUMN — Name in the old inventory</t>
        </is>
      </c>
      <c r="B35" s="3" t="inlineStr">
        <is>
          <t>What the old master called this function, kept only so the link to the earlier file is not lost. The word engine is retired.</t>
        </is>
      </c>
    </row>
    <row r="36">
      <c r="A36" s="2" t="inlineStr">
        <is>
          <t>COLUMN — Metric ID</t>
        </is>
      </c>
      <c r="B36" s="3" t="inlineStr">
        <is>
          <t>The identifier of the figure, per moneykeel_naming_spec_unique-identifier_v01.md. Given once, never changed, never reused.</t>
        </is>
      </c>
    </row>
    <row r="37">
      <c r="A37" s="2" t="inlineStr">
        <is>
          <t>COLUMN — Parent Screen Name</t>
        </is>
      </c>
      <c r="B37" s="3" t="inlineStr">
        <is>
          <t>One of: Home, Networth, Performance, Cashflow, Plan, Menu. Menu means reachable only from the menu.</t>
        </is>
      </c>
    </row>
    <row r="38">
      <c r="A38" s="2" t="inlineStr">
        <is>
          <t>COLUMN — Secondary Screen Name</t>
        </is>
      </c>
      <c r="B38" s="3" t="inlineStr">
        <is>
          <t>The screen reached from the parent, or NA when the figure is on the parent screen itself.</t>
        </is>
      </c>
    </row>
    <row r="39">
      <c r="A39" s="2" t="inlineStr">
        <is>
          <t>COLUMN — Name on Screen</t>
        </is>
      </c>
      <c r="B39" s="3" t="inlineStr">
        <is>
          <t>The label copied exactly as it is worded on screen, including capitals. Where a figure wears different labels on different screens, all are listed.</t>
        </is>
      </c>
    </row>
    <row r="40">
      <c r="A40" s="2" t="inlineStr">
        <is>
          <t>COLUMN — Name of Underlying Metric</t>
        </is>
      </c>
      <c r="B40" s="3" t="inlineStr">
        <is>
          <t>The metric's name in the code.</t>
        </is>
      </c>
    </row>
    <row r="41">
      <c r="A41" s="2" t="inlineStr">
        <is>
          <t>COLUMN — Name of Underlying Engine</t>
        </is>
      </c>
      <c r="B41" s="3" t="inlineStr">
        <is>
          <t>The engine that produces the figure. NOT IN OLD MASTER means the engine exists in the code but has no row in the old master file.</t>
        </is>
      </c>
    </row>
    <row r="42">
      <c r="A42" s="2" t="inlineStr">
        <is>
          <t>COLUMN — Inputs it needs (S02)</t>
        </is>
      </c>
      <c r="B42" s="3" t="inlineStr">
        <is>
          <t>Every input the engine reads, named. Carried from the old master where it has a row there.</t>
        </is>
      </c>
    </row>
    <row r="43">
      <c r="A43" s="2" t="inlineStr">
        <is>
          <t>COLUMN — What comes out (S04)</t>
        </is>
      </c>
      <c r="B43" s="3" t="inlineStr">
        <is>
          <t>Dollars, a percentage, a date, a count; how it is held and how it is shown. Marked "derived by rule" where it was worked out from the label and formula rather than read from the engine — those need confirming.</t>
        </is>
      </c>
    </row>
    <row r="44">
      <c r="A44" s="2" t="inlineStr">
        <is>
          <t>COLUMN — What it says when it cannot be computed (S05)</t>
        </is>
      </c>
      <c r="B44" s="3" t="inlineStr">
        <is>
          <t>The refusal. Written where the engine has been read; NOT DETERMINED where it has not, rather than guessed.</t>
        </is>
      </c>
    </row>
    <row r="45">
      <c r="A45" s="2" t="inlineStr">
        <is>
          <t>COLUMN — Grain (S06)</t>
        </is>
      </c>
      <c r="B45" s="3" t="inlineStr">
        <is>
          <t>One figure per what: holding, account, debt, goal, category, month, or person.</t>
        </is>
      </c>
    </row>
    <row r="46">
      <c r="A46" s="2" t="inlineStr">
        <is>
          <t>COLUMN — Period (S07)</t>
        </is>
      </c>
      <c r="B46" s="3" t="inlineStr">
        <is>
          <t>As of when, and over what window.</t>
        </is>
      </c>
    </row>
    <row r="47">
      <c r="A47" s="2" t="inlineStr">
        <is>
          <t>COLUMN — Dependency (S11)</t>
        </is>
      </c>
      <c r="B47" s="3" t="inlineStr">
        <is>
          <t>The engines this one leans on, each named by ITS identifier and by the output it gives. Read from the code itself, never from a document. "None" means the engine reads raw inputs only.</t>
        </is>
      </c>
    </row>
    <row r="48">
      <c r="A48" s="2" t="inlineStr">
        <is>
          <t>COLUMN — Secondary calculations and decisions the engine makes</t>
        </is>
      </c>
      <c r="B48" s="3" t="inlineStr">
        <is>
          <t>The judgements an engine must make BEFORE its headline figure exists: what class an asset is, what to call it on screen, which units apply, whether a value is fresh. Each of these is a formula of its own and needs its own row.</t>
        </is>
      </c>
    </row>
    <row r="49">
      <c r="A49" s="2" t="inlineStr">
        <is>
          <t>COLUMN — Function ID</t>
        </is>
      </c>
      <c r="B49" s="3" t="inlineStr">
        <is>
          <t>Every function in the code carries one, MK-[family]-F-[number]. The family comes from the folder the code sits in.</t>
        </is>
      </c>
    </row>
    <row r="50">
      <c r="A50" s="2" t="inlineStr">
        <is>
          <t>COLUMN — What it is for</t>
        </is>
      </c>
      <c r="B50" s="3" t="inlineStr">
        <is>
          <t>The purpose of the function in one sentence, taken from the note written above it in the code, or from the old inventory when the code carries none. NOT DETERMINED where neither exists — never invented.</t>
        </is>
      </c>
    </row>
    <row r="51">
      <c r="A51" s="2" t="inlineStr">
        <is>
          <t>COLUMN — What it is handed / what it gives back</t>
        </is>
      </c>
      <c r="B51" s="3" t="inlineStr">
        <is>
          <t>Read from the function's own signature: the values passed to it, whether it also reads the stored data, and what it returns. NOT DECLARED means the code does not say what comes back.</t>
        </is>
      </c>
    </row>
    <row r="52">
      <c r="A52" s="2" t="inlineStr">
        <is>
          <t>COLUMN — Where its answer appears</t>
        </is>
      </c>
      <c r="B52" s="3" t="inlineStr">
        <is>
          <t>In plain English: the words printed beside the answer, which screen they are on, and the section they sit under. NOT FOUND means a screen calls the function but the words could not be traced automatically and need reading.</t>
        </is>
      </c>
    </row>
    <row r="53">
      <c r="A53" s="2" t="inlineStr">
        <is>
          <t>COLUMN — Assumptions it makes</t>
        </is>
      </c>
      <c r="B53"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4">
      <c r="A54" s="2" t="inlineStr">
        <is>
          <t>COLUMN — Dependent functions</t>
        </is>
      </c>
      <c r="B54"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5">
      <c r="A55" s="2" t="inlineStr">
        <is>
          <t>COLUMN — The chain, ending in this function</t>
        </is>
      </c>
      <c r="B55" s="3" t="inlineStr">
        <is>
          <t>Read left to right. The function that shows the answer sits at the END, and everything feeding it comes before it. A loop is marked where a chain turns back on itself. Chains are cut at five levels and eight paths, and say so.</t>
        </is>
      </c>
    </row>
    <row r="56">
      <c r="A56" s="2" t="inlineStr">
        <is>
          <t>COLUMN — The chain of functions behind it</t>
        </is>
      </c>
      <c r="B56" s="3" t="inlineStr">
        <is>
          <t>The chain that ends in the function producing this figure, read left to right, taken from the functions tab.</t>
        </is>
      </c>
    </row>
    <row r="57">
      <c r="A57" s="2" t="inlineStr">
        <is>
          <t>COLUMN — Assumptions made anywhere in that chain</t>
        </is>
      </c>
      <c r="B57" s="3" t="inlineStr">
        <is>
          <t>Every assumption made by the producing function OR by any function below it, each named with the identifier of the function that makes it. This is where a figure quietly inherits a rate nobody chose.</t>
        </is>
      </c>
    </row>
    <row r="58">
      <c r="A58" s="2" t="inlineStr">
        <is>
          <t>COLUMN — Same figure as (S16)</t>
        </is>
      </c>
      <c r="B58" s="3" t="inlineStr">
        <is>
          <t>Where the same figure appears under more than one identifier, the row names the surviving identifier and why. Nothing is deleted: identifiers are never reused, so a folded row stays visible and says what it became.</t>
        </is>
      </c>
    </row>
    <row r="59">
      <c r="A59" s="2" t="inlineStr">
        <is>
          <t>COLUMN — Questions for you (numbered)</t>
        </is>
      </c>
      <c r="B59" s="3" t="inlineStr">
        <is>
          <t>My open questions about that engine or figure, each with a number that never changes. A number is never reused or renumbered, so an answer can always be matched to its question.</t>
        </is>
      </c>
    </row>
    <row r="60">
      <c r="A60" s="2" t="inlineStr">
        <is>
          <t>COLUMN — YOUR ANSWER — use the same number</t>
        </is>
      </c>
      <c r="B60" s="3" t="inlineStr">
        <is>
          <t>Answer here, starting each answer with the question number. Nothing else in the file needs to line up.</t>
        </is>
      </c>
    </row>
    <row r="61">
      <c r="A61" s="2" t="inlineStr">
        <is>
          <t>COLUMN — Where each finding stands</t>
        </is>
      </c>
      <c r="B61"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2">
      <c r="A62" s="2" t="inlineStr">
        <is>
          <t>COLUMN — Active or decommissioned</t>
        </is>
      </c>
      <c r="B62"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3">
      <c r="A63" s="2" t="inlineStr">
        <is>
          <t>COLUMN — Date last modified</t>
        </is>
      </c>
      <c r="B63"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4">
      <c r="A64" s="2" t="inlineStr">
        <is>
          <t>COLUMN — Wrong on screen — build first</t>
        </is>
      </c>
      <c r="B64" s="3" t="inlineStr">
        <is>
          <t>A finding here changes a NUMBER OR A WORD a person actually reads, on one of the three screens being built first: cash flow This month, cash flow Spending,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5">
      <c r="A65" s="2" t="inlineStr">
        <is>
          <t>COLUMN — Why no function</t>
        </is>
      </c>
      <c r="B65"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6">
      <c r="A66" s="2" t="inlineStr">
        <is>
          <t>COLUMN — Formula audit — metric vs the function it names</t>
        </is>
      </c>
      <c r="B66"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7">
      <c r="A67" s="2" t="inlineStr">
        <is>
          <t>COLUMN — Audit finding — 2026-08-25 review</t>
        </is>
      </c>
      <c r="B67"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8">
      <c r="A68" s="2" t="inlineStr">
        <is>
          <t>COLUMN — Errors or findings to address</t>
        </is>
      </c>
      <c r="B68" s="3" t="inlineStr">
        <is>
          <t>What is known to be wrong or unproved about this figure, in plain English. Blank means nothing is on record yet — not that nothing is wrong.</t>
        </is>
      </c>
    </row>
    <row r="69">
      <c r="A69" s="2" t="inlineStr">
        <is>
          <t>COLUMN — Decisions made (S03)</t>
        </is>
      </c>
      <c r="B69"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0">
      <c r="A70" s="2" t="inlineStr">
        <is>
          <t>COLUMN — Formula (mathematical)</t>
        </is>
      </c>
      <c r="B70" s="3" t="inlineStr">
        <is>
          <t>The rule written as arithmetic, so it can be followed symbol by symbol and checked against the code.</t>
        </is>
      </c>
    </row>
    <row r="71">
      <c r="A71" s="2" t="inlineStr">
        <is>
          <t>COLUMN — Formula (in words)</t>
        </is>
      </c>
      <c r="B71" s="3" t="inlineStr">
        <is>
          <t>The same rule in plain English, followable by hand. Where the engine has a row in the old master this is its wording, carried over; where it does not, it is written here from reading the code.</t>
        </is>
      </c>
    </row>
    <row r="72">
      <c r="A72" s="2" t="inlineStr">
        <is>
          <t>COLUMN — Engine ID</t>
        </is>
      </c>
      <c r="B72" s="3" t="inlineStr">
        <is>
          <t>The identifier of that engine. Blank where the figure is worked out on the screen itself rather than by an engine — which is itself a finding.</t>
        </is>
      </c>
    </row>
    <row r="73">
      <c r="A73" s="2" t="inlineStr">
        <is>
          <t>COLUMN — Your name for it (72-metric file)</t>
        </is>
      </c>
      <c r="B73" s="3" t="inlineStr">
        <is>
          <t>The founder's own name for the same figure, from METRICS-DELIVERABLE-ANSWERED-2026-08-20.xlsx. This column is the bridge between his vocabulary and the code's.</t>
        </is>
      </c>
    </row>
    <row r="74">
      <c r="A74" s="2" t="inlineStr">
        <is>
          <t>COLUMN — Core screen?</t>
        </is>
      </c>
      <c r="B74" s="3" t="inlineStr">
        <is>
          <t>Whether the screen is part of the 55-70 core, the agreed first scope. Currently NOT DETERMINED on every row: the core list has never been written down, so no row can honestly claim to be in or out of it.</t>
        </is>
      </c>
    </row>
    <row r="75">
      <c r="A75" s="2" t="inlineStr">
        <is>
          <t>COLUMN — Row status</t>
        </is>
      </c>
      <c r="B75" s="3" t="inlineStr">
        <is>
          <t>VERIFIED with its date means a person read the screen and confirmed the chain. NOT STARTED means the screen has not been read yet. Nothing in between is claimed.</t>
        </is>
      </c>
    </row>
    <row r="76">
      <c r="A76" s="2" t="inlineStr"/>
      <c r="B76" s="3" t="inlineStr"/>
    </row>
    <row r="77">
      <c r="A77" s="2" t="inlineStr">
        <is>
          <t>COLUMN — Where the code keeps it</t>
        </is>
      </c>
      <c r="B77" s="3" t="inlineStr">
        <is>
          <t>The field name the value is stored under in the code. This is the join between a value a person would name — "bond maturity date" — and the code, and it is what makes the next column checkable rather than remembered.</t>
        </is>
      </c>
    </row>
    <row r="78">
      <c r="A78" s="2" t="inlineStr">
        <is>
          <t>COLUMN — Functions that read it</t>
        </is>
      </c>
      <c r="B78" s="3" t="inlineStr">
        <is>
          <t>Every function whose body touches that field, swept from the code on every build. Replaces the two engine columns this tab carried until 2026-08-26: the word engine was retired by the vocabulary standard, and neither the engine name nor its E identifier could be looked up in the code.</t>
        </is>
      </c>
    </row>
    <row r="79">
      <c r="A79" s="2" t="inlineStr">
        <is>
          <t>COLUMN — Figures it reaches</t>
        </is>
      </c>
      <c r="B79" s="3" t="inlineStr">
        <is>
          <t>The figures served by the functions above. NONE ON RECORD means those functions are named by no figure in this file — an S21 gap, not proof the input reaches nobody.</t>
        </is>
      </c>
    </row>
    <row r="80">
      <c r="A80" s="2" t="inlineStr">
        <is>
          <t>COLUMN — Input ID</t>
        </is>
      </c>
      <c r="B80" s="3" t="inlineStr">
        <is>
          <t>The identifier of a raw input, per the same standard.</t>
        </is>
      </c>
    </row>
    <row r="81">
      <c r="A81" s="2" t="inlineStr">
        <is>
          <t>COLUMN — Variable name</t>
        </is>
      </c>
      <c r="B81" s="3" t="inlineStr">
        <is>
          <t>What the raw value is called.</t>
        </is>
      </c>
    </row>
    <row r="82">
      <c r="A82" s="2" t="inlineStr">
        <is>
          <t>COLUMN — Source</t>
        </is>
      </c>
      <c r="B82" s="3" t="inlineStr">
        <is>
          <t>Where the value comes from: the person typed it, an institution download, a connected provider, or another engine computed it.</t>
        </is>
      </c>
    </row>
    <row r="83">
      <c r="A83" s="2" t="inlineStr"/>
      <c r="B83" s="3" t="inlineStr"/>
    </row>
    <row r="84">
      <c r="A84" s="2" t="inlineStr">
        <is>
          <t>Complies with — naming</t>
        </is>
      </c>
      <c r="B84" s="3" t="inlineStr">
        <is>
          <t>MoneyKeel/documents/standards/moneykeel_naming_spec_file-and-folder-naming_v01.md</t>
        </is>
      </c>
    </row>
    <row r="85">
      <c r="A85" s="2" t="inlineStr">
        <is>
          <t>Complies with — identifiers</t>
        </is>
      </c>
      <c r="B85" s="3" t="inlineStr">
        <is>
          <t>MoneyKeel/documents/standards/moneykeel_naming_spec_unique-identifier_v01.md</t>
        </is>
      </c>
    </row>
    <row r="86">
      <c r="A86" s="2" t="inlineStr">
        <is>
          <t>Complies with — objectives</t>
        </is>
      </c>
      <c r="B86" s="3" t="inlineStr">
        <is>
          <t>MoneyKeel/documents/standards/moneykeel_calc_spec_objectives-and-verification_v01.md</t>
        </is>
      </c>
    </row>
    <row r="87">
      <c r="A87" s="2" t="inlineStr"/>
      <c r="B87" s="3" t="inlineStr"/>
    </row>
    <row r="88">
      <c r="A88" s="2" t="inlineStr">
        <is>
          <t>COVERAGE — screens read so far</t>
        </is>
      </c>
      <c r="B88" s="3" t="inlineStr">
        <is>
          <t>49 of 49. Every screen in the app has been read: the five parent screens, every secondary screen and every menu screen. Twelve screens carry no calculated figure and say so.</t>
        </is>
      </c>
    </row>
    <row r="89">
      <c r="A89" s="2" t="inlineStr">
        <is>
          <t>COVERAGE — what that means</t>
        </is>
      </c>
      <c r="B89" s="3" t="inlineStr">
        <is>
          <t>Every screen in the app is listed on its tab. Only Home carries figures so far; the rest are marked NOT STARTED. A rising count is not completeness while screens remain unread.</t>
        </is>
      </c>
    </row>
    <row r="90">
      <c r="A90" s="2" t="inlineStr">
        <is>
          <t> </t>
        </is>
      </c>
      <c r="B90" s="3" t="inlineStr">
        <is>
          <t> </t>
        </is>
      </c>
    </row>
    <row r="91">
      <c r="A91" s="2" t="inlineStr">
        <is>
          <t>AUDIT — 2026-08-25 review</t>
        </is>
      </c>
      <c r="B91"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2">
      <c r="A92" s="2" t="inlineStr">
        <is>
          <t>AUDIT A01</t>
        </is>
      </c>
      <c r="B92"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3">
      <c r="A93" s="2" t="inlineStr">
        <is>
          <t>AUDIT A48</t>
        </is>
      </c>
      <c r="B93" s="3" t="inlineStr">
        <is>
          <t>126 of 163 rows read NOT DETERMINED for the decisions that govern the figure and 37 read NOT DETERMINED for what the figure says when it cannot be computed — and every one of those same rows is stamped VERIFIED.</t>
        </is>
      </c>
    </row>
    <row r="94">
      <c r="A94" s="2" t="inlineStr">
        <is>
          <t>AUDIT A02</t>
        </is>
      </c>
      <c r="B94" s="3" t="inlineStr">
        <is>
          <t>The vocabulary standard retired the word engine on 2026-08-25. It is still the working vocabulary of the inputs tab (Which engine uses it, Engine ID), both engine columns of the reconciliation tab, column R of every screen tab, and 20-odd column notes on this tab. Identifier type E is retired and is still being issued live on the inputs tab.</t>
        </is>
      </c>
    </row>
    <row r="95">
      <c r="A95" s="2" t="inlineStr">
        <is>
          <t>AUDIT A03</t>
        </is>
      </c>
      <c r="B95" s="3" t="inlineStr">
        <is>
          <t>moneykeel_naming_spec_unique-identifier_v01.md still lists type E in its pieces table and does not list type F, while its own examples use MK-PL-F-012. Rule 4 and the worked example are still written in engine language.</t>
        </is>
      </c>
    </row>
    <row r="96">
      <c r="A96" s="2" t="inlineStr">
        <is>
          <t>AUDIT A04</t>
        </is>
      </c>
      <c r="B96" s="3" t="inlineStr">
        <is>
          <t>This tab describes two columns that no longer exist — Name of Underlying Engine, Engine ID — and names others with (S02), (S04), (S11) suffixes the headers do not carry.</t>
        </is>
      </c>
    </row>
    <row r="97">
      <c r="A97" s="2" t="inlineStr">
        <is>
          <t>AUDIT A22</t>
        </is>
      </c>
      <c r="B97" s="3" t="inlineStr">
        <is>
          <t>The vocabulary standard names four categories of function. The functions tab has six. "3 · DEPENDENT (feeds an action only)" holds 74 functions and contradicts the standard's own definition of DEPENDENT — a chain that ends at a screen.</t>
        </is>
      </c>
    </row>
    <row r="98">
      <c r="A98" s="2" t="inlineStr">
        <is>
          <t>AUDIT A05</t>
        </is>
      </c>
      <c r="B98" s="3" t="inlineStr">
        <is>
          <t>The Specification runs S01-S15, S18-S21, then S16 and S17. On a tab whose stated purpose is that a piece of work can be named by its number, the numbers are out of order.</t>
        </is>
      </c>
    </row>
    <row r="99">
      <c r="A99" s="2" t="inlineStr">
        <is>
          <t>AUDIT A07</t>
        </is>
      </c>
      <c r="B99"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0">
      <c r="A100" s="2" t="inlineStr">
        <is>
          <t>AUDIT A08</t>
        </is>
      </c>
      <c r="B100" s="3" t="inlineStr">
        <is>
          <t>S20 says 69 figures name no function, then breaks it down as Plan 23, Menu 20, Cash flow 13, Net worth 9 — which is 65. The functions_per_metric tab carries the missing four: Home 2, Performance 1, shown-on-more-than-one-screen 1.</t>
        </is>
      </c>
    </row>
    <row r="101">
      <c r="A101" s="2" t="inlineStr">
        <is>
          <t>AUDIT A09</t>
        </is>
      </c>
      <c r="B101"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engine in the code has a row in the file — is therefore not met, and S12 should read PARTIAL.</t>
        </is>
      </c>
    </row>
    <row r="102">
      <c r="A102" s="2" t="inlineStr">
        <is>
          <t>AUDIT A10</t>
        </is>
      </c>
      <c r="B102"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3">
      <c r="A103" s="2" t="inlineStr">
        <is>
          <t>AUDIT A11</t>
        </is>
      </c>
      <c r="B103" s="3" t="inlineStr">
        <is>
          <t>The gate's orphan-input check looks for the text NO INPUT ID, which appears nowhere in the file. The builder writes "NOT DETERMINED — no input list on record" and "[NOT AN INPUT — another engine's answer]" instead. That check has never fired either.</t>
        </is>
      </c>
    </row>
    <row r="104">
      <c r="A104" s="2" t="inlineStr">
        <is>
          <t>AUDIT A26</t>
        </is>
      </c>
      <c r="B104"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5">
      <c r="A105" s="2" t="inlineStr">
        <is>
          <t>AUDIT A13</t>
        </is>
      </c>
      <c r="B105"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6">
      <c r="A106" s="2" t="inlineStr">
        <is>
          <t>AUDIT A15</t>
        </is>
      </c>
      <c r="B106"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7">
      <c r="A107" s="2" t="inlineStr">
        <is>
          <t>AUDIT A16</t>
        </is>
      </c>
      <c r="B107"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8">
      <c r="A108" s="2" t="inlineStr">
        <is>
          <t>AUDIT A17</t>
        </is>
      </c>
      <c r="B108" s="3" t="inlineStr">
        <is>
          <t>"Uses a built-in i of 0", on 11 functions, is the loop counter — let i = 0.</t>
        </is>
      </c>
    </row>
    <row r="109">
      <c r="A109" s="2" t="inlineStr">
        <is>
          <t>AUDIT A18</t>
        </is>
      </c>
      <c r="B109" s="3" t="inlineStr">
        <is>
          <t>"Treats a year as twelve equal months" fires on any division by 12, a month index included; "Treats a month as 30 days" fires on any multiplication by 30. Neither is read as arithmetic, so both carry false positives.</t>
        </is>
      </c>
    </row>
    <row r="110">
      <c r="A110" s="2" t="inlineStr">
        <is>
          <t>AUDIT A19</t>
        </is>
      </c>
      <c r="B110"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1">
      <c r="A111" s="2" t="inlineStr">
        <is>
          <t>AUDIT A20</t>
        </is>
      </c>
      <c r="B111" s="3" t="inlineStr">
        <is>
          <t>Comments are stripped before assumptions are read, by design. So an assumption the author stated in prose — the kind a founder would want to see — cannot appear at all, and 241 functions read "None found".</t>
        </is>
      </c>
    </row>
    <row r="112">
      <c r="A112" s="2" t="inlineStr">
        <is>
          <t>AUDIT A21</t>
        </is>
      </c>
      <c r="B112"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3">
      <c r="A113" s="2" t="inlineStr">
        <is>
          <t>AUDIT A24</t>
        </is>
      </c>
      <c r="B113" s="3" t="inlineStr">
        <is>
          <t>All 48 input rows are stamped VERIFIED 2026-08-22. The reconciliation tab, built from the code three days later, says 9 of them are named by no engine at all and 29 more only partly agree. 10 of 48 agree in both directions.</t>
        </is>
      </c>
    </row>
    <row r="114">
      <c r="A114" s="2" t="inlineStr">
        <is>
          <t>AUDIT A25</t>
        </is>
      </c>
      <c r="B114" s="3" t="inlineStr">
        <is>
          <t>MK-XS-I-010 names two engines and carries no engine identifier, and one of the two — "the institution-words table" — is prose, not an identifier. MK-XS-I-002, -008, -009 and -017 each name two engines and carry one identifier. The identifier standard's rule 4 says neither side is allowed to be silent.</t>
        </is>
      </c>
    </row>
    <row r="115">
      <c r="A115" s="2" t="inlineStr">
        <is>
          <t>AUDIT A41</t>
        </is>
      </c>
      <c r="B115"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9"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0" customWidth="1" min="16" max="16"/>
    <col width="42" customWidth="1" min="17" max="17"/>
    <col width="42" customWidth="1" min="18" max="18"/>
    <col width="37" customWidth="1" min="19" max="19"/>
    <col width="22" customWidth="1" min="20" max="20"/>
    <col width="28" customWidth="1" min="21" max="21"/>
    <col width="36" customWidth="1" min="22" max="22"/>
    <col width="41" customWidth="1" min="23" max="23"/>
    <col width="41" customWidth="1" min="24" max="24"/>
    <col width="20" customWidth="1" min="25" max="25"/>
    <col width="18" customWidth="1" min="26" max="26"/>
    <col width="41" customWidth="1" min="27" max="27"/>
    <col width="42" customWidth="1" min="28" max="28"/>
    <col width="23" customWidth="1" min="29" max="29"/>
    <col width="37" customWidth="1" min="30" max="30"/>
    <col width="33" customWidth="1" min="31" max="31"/>
    <col width="32" customWidth="1" min="32" max="32"/>
    <col width="26" customWidth="1" min="33" max="33"/>
  </cols>
  <sheetData>
    <row r="1">
      <c r="A1" s="1" t="inlineStr">
        <is>
          <t>No.</t>
        </is>
      </c>
      <c r="B1" s="1" t="inlineStr">
        <is>
          <t>What is needed</t>
        </is>
      </c>
      <c r="C1" s="1" t="inlineStr">
        <is>
          <t>Why it is needed</t>
        </is>
      </c>
      <c r="D1" s="1" t="inlineStr">
        <is>
          <t>Where it stands in this file today</t>
        </is>
      </c>
    </row>
    <row r="2">
      <c r="A2" t="inlineStr"/>
      <c r="B2" s="4" t="inlineStr">
        <is>
          <t>SECTION — WHAT THE NUMBER IS</t>
        </is>
      </c>
      <c r="C2" s="3" t="inlineStr"/>
      <c r="D2" s="3" t="inlineStr"/>
    </row>
    <row r="3">
      <c r="A3" t="inlineStr">
        <is>
          <t>S01</t>
        </is>
      </c>
      <c r="B3" s="3" t="inlineStr">
        <is>
          <t>The formula</t>
        </is>
      </c>
      <c r="C3" s="3" t="inlineStr">
        <is>
          <t>The actual rules, both as arithmetic and in plain English, followable by hand.</t>
        </is>
      </c>
      <c r="D3" s="3" t="inlineStr">
        <is>
          <t>COMPLETE — 163 of 163 carry both forms.</t>
        </is>
      </c>
    </row>
    <row r="4">
      <c r="A4"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engine columns are gone. Still partial on the figures side, which waits on S21.</t>
        </is>
      </c>
    </row>
    <row r="5">
      <c r="A5"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c r="A6" t="inlineStr">
        <is>
          <t>S04</t>
        </is>
      </c>
      <c r="B6" s="3" t="inlineStr">
        <is>
          <t>What comes out</t>
        </is>
      </c>
      <c r="C6" s="3" t="inlineStr">
        <is>
          <t>Dollars, a percentage, a date, a count; its unit and its rounding.</t>
        </is>
      </c>
      <c r="D6" s="3" t="inlineStr">
        <is>
          <t>COMPLETE — 163 of 163, derived by rule from the label and formula and marked as derived. Confirm rather than trust.</t>
        </is>
      </c>
    </row>
    <row r="7">
      <c r="A7" t="inlineStr">
        <is>
          <t>S05</t>
        </is>
      </c>
      <c r="B7" s="3" t="inlineStr">
        <is>
          <t>What it says when it cannot be computed</t>
        </is>
      </c>
      <c r="C7" s="3" t="inlineStr">
        <is>
          <t>The exact refusal — where wrong numbers get invented.</t>
        </is>
      </c>
      <c r="D7" s="3" t="inlineStr">
        <is>
          <t>PARTIAL — 126 of 163 written; 37 read NOT DETERMINED because that engine has not been read for its refusal yet.</t>
        </is>
      </c>
    </row>
    <row r="8">
      <c r="A8" t="inlineStr">
        <is>
          <t>S06</t>
        </is>
      </c>
      <c r="B8" s="3" t="inlineStr">
        <is>
          <t>The grain</t>
        </is>
      </c>
      <c r="C8" s="3" t="inlineStr">
        <is>
          <t>One figure per holding, account, debt, goal, category, month or person.</t>
        </is>
      </c>
      <c r="D8" s="3" t="inlineStr">
        <is>
          <t>COMPLETE — 163 of 163, derived by rule and marked as derived.</t>
        </is>
      </c>
    </row>
    <row r="9">
      <c r="A9" t="inlineStr">
        <is>
          <t>S07</t>
        </is>
      </c>
      <c r="B9" s="3" t="inlineStr">
        <is>
          <t>The period</t>
        </is>
      </c>
      <c r="C9" s="3" t="inlineStr">
        <is>
          <t>As of when, and over what window.</t>
        </is>
      </c>
      <c r="D9" s="3" t="inlineStr">
        <is>
          <t>COMPLETE — 163 of 163, derived by rule and marked as derived.</t>
        </is>
      </c>
    </row>
    <row r="10">
      <c r="A10" t="inlineStr"/>
      <c r="B10" s="4" t="inlineStr">
        <is>
          <t>SECTION — WHAT PROVES IT</t>
        </is>
      </c>
      <c r="C10" s="3" t="inlineStr"/>
      <c r="D10" s="3" t="inlineStr"/>
    </row>
    <row r="11">
      <c r="A11" t="inlineStr">
        <is>
          <t>S08</t>
        </is>
      </c>
      <c r="B11" s="3" t="inlineStr">
        <is>
          <t>Worked examples</t>
        </is>
      </c>
      <c r="C11" s="3" t="inlineStr">
        <is>
          <t>These inputs give this answer. Rung 2 re-runs them through the real engine on every build.</t>
        </is>
      </c>
      <c r="D11" s="3" t="inlineStr">
        <is>
          <t>NOT STARTED — waits on the founder's answers to the numbered questions, since an example needs the rule settled first.</t>
        </is>
      </c>
    </row>
    <row r="12">
      <c r="A12"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c r="A13" t="inlineStr">
        <is>
          <t>S10</t>
        </is>
      </c>
      <c r="B13" s="3" t="inlineStr">
        <is>
          <t>Verification level</t>
        </is>
      </c>
      <c r="C13" s="3" t="inlineStr">
        <is>
          <t>Which engines are marked for rung 4 and rung 5. Marked by the founder, recommended by me.</t>
        </is>
      </c>
      <c r="D13" s="3" t="inlineStr">
        <is>
          <t>NOT STARTED — the column does not exist yet.</t>
        </is>
      </c>
    </row>
    <row r="14">
      <c r="A14" t="inlineStr"/>
      <c r="B14" s="4" t="inlineStr">
        <is>
          <t>SECTION — WHAT CONNECTS IT</t>
        </is>
      </c>
      <c r="C14" s="3" t="inlineStr"/>
      <c r="D14" s="3" t="inlineStr"/>
    </row>
    <row r="15">
      <c r="A15"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c r="A16" t="inlineStr">
        <is>
          <t>S12</t>
        </is>
      </c>
      <c r="B16" s="3" t="inlineStr">
        <is>
          <t>Where it is implemented</t>
        </is>
      </c>
      <c r="C16" s="3" t="inlineStr">
        <is>
          <t>The file and line that carry it, so file and code can be checked against each other on every build.</t>
        </is>
      </c>
      <c r="D16" s="3" t="inlineStr">
        <is>
          <t>COMPLETE for functions — the functions_from_code tab carries the file and line for all 455, read from the code. Still PARTIAL for figures: 69 of 163 name no function at all, so nothing can be pointed at.</t>
        </is>
      </c>
    </row>
    <row r="17">
      <c r="A17" t="inlineStr"/>
      <c r="B17" s="4" t="inlineStr">
        <is>
          <t>SECTION — GOVERNANCE</t>
        </is>
      </c>
      <c r="C17" s="3" t="inlineStr"/>
      <c r="D17" s="3" t="inlineStr"/>
    </row>
    <row r="18">
      <c r="A18" t="inlineStr">
        <is>
          <t>S13</t>
        </is>
      </c>
      <c r="B18" s="3" t="inlineStr">
        <is>
          <t>The founder's verdict</t>
        </is>
      </c>
      <c r="C18" s="3" t="inlineStr">
        <is>
          <t>A row counts as documented only when he has approved it.</t>
        </is>
      </c>
      <c r="D18" s="3" t="inlineStr">
        <is>
          <t>NOT STARTED — the column does not exist yet, so the coverage count means nothing until it does.</t>
        </is>
      </c>
    </row>
    <row r="19">
      <c r="A19" t="inlineStr">
        <is>
          <t>S14</t>
        </is>
      </c>
      <c r="B19" s="3" t="inlineStr">
        <is>
          <t>Lifecycle</t>
        </is>
      </c>
      <c r="C19" s="3" t="inlineStr">
        <is>
          <t>Live, cut, or superseded by another identifier.</t>
        </is>
      </c>
      <c r="D19" s="3" t="inlineStr">
        <is>
          <t>NOT STARTED.</t>
        </is>
      </c>
    </row>
    <row r="20">
      <c r="A20" t="inlineStr"/>
      <c r="B20" s="4" t="inlineStr">
        <is>
          <t>SECTION — NOT ON THE ORIGINAL LIST, STILL NEEDED</t>
        </is>
      </c>
      <c r="C20" s="3" t="inlineStr"/>
      <c r="D20" s="3" t="inlineStr"/>
    </row>
    <row r="21">
      <c r="A21" t="inlineStr">
        <is>
          <t>S15</t>
        </is>
      </c>
      <c r="B21" s="3" t="inlineStr">
        <is>
          <t>Your name for it, from the 72-metric file</t>
        </is>
      </c>
      <c r="C21" s="3" t="inlineStr">
        <is>
          <t>The bridge between the founder's vocabulary and the code's.</t>
        </is>
      </c>
      <c r="D21" s="3" t="inlineStr">
        <is>
          <t>NOT STARTED — 0 of 163 rows.</t>
        </is>
      </c>
    </row>
    <row r="22">
      <c r="A22" t="inlineStr">
        <is>
          <t>S18</t>
        </is>
      </c>
      <c r="B22" s="3" t="inlineStr">
        <is>
          <t>The reconciliation engine</t>
        </is>
      </c>
      <c r="C22" s="3" t="inlineStr">
        <is>
          <t>Both records kept independently and checked against each other as a build gate — an input an engine names that is on no row, an input declared that no engine names, an engine identifier that does not exist, an engine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engine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c r="A2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c r="A24"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counted per screen on the functions_per_metric tab: Plan 23, Menu 20, Cash flow 13, Net worth 9.</t>
        </is>
      </c>
    </row>
    <row r="25">
      <c r="A25"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NOT STARTED — this is the weak link behind S12, S19 and S20.</t>
        </is>
      </c>
    </row>
    <row r="26">
      <c r="A26"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engine legitimately producing several figures — and say so, so the question is not asked twice. Two mis-assigned engines were found and recorded as findings.</t>
        </is>
      </c>
    </row>
    <row r="27">
      <c r="A27"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c r="A28"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455 now carry both forms, read from the code itself. 24 read by hand and checked line by line, 161 rendered clean from the code, 221 partly rendered with some code still showing, 29 not rendered at all and saying so, 20 with no arithmetic to state. The How-it-was-read column carries the verdict per row, so no row overstates itself.</t>
        </is>
      </c>
    </row>
    <row r="29">
      <c r="A29"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c r="A30"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G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9"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0" customWidth="1" min="16" max="16"/>
    <col width="42" customWidth="1" min="17" max="17"/>
    <col width="42" customWidth="1" min="18" max="18"/>
    <col width="37" customWidth="1" min="19" max="19"/>
    <col width="22" customWidth="1" min="20" max="20"/>
    <col width="28" customWidth="1" min="21" max="21"/>
    <col width="36" customWidth="1" min="22" max="22"/>
    <col width="41" customWidth="1" min="23" max="23"/>
    <col width="41" customWidth="1" min="24" max="24"/>
    <col width="20" customWidth="1" min="25" max="25"/>
    <col width="18" customWidth="1" min="26" max="26"/>
    <col width="41" customWidth="1" min="27" max="27"/>
    <col width="42" customWidth="1" min="28" max="28"/>
    <col width="23" customWidth="1" min="29" max="29"/>
    <col width="37" customWidth="1" min="30" max="30"/>
    <col width="33" customWidth="1" min="31" max="31"/>
    <col width="32" customWidth="1" min="32" max="32"/>
    <col width="26" customWidth="1" min="33" max="33"/>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engine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row>
    <row r="2">
      <c r="A2" t="inlineStr">
        <is>
          <t>MK-XS-M-001</t>
        </is>
      </c>
      <c r="B2" t="inlineStr">
        <is>
          <t>Home · Networth</t>
        </is>
      </c>
      <c r="C2" t="inlineStr">
        <is>
          <t>NA</t>
        </is>
      </c>
      <c r="D2" t="inlineStr">
        <is>
          <t>Net worth · YOUR NET WORTH</t>
        </is>
      </c>
      <c r="E2" t="inlineStr">
        <is>
          <t>nw.net_worth</t>
        </is>
      </c>
      <c r="F2" t="inlineStr">
        <is>
          <t>buildNetWorth</t>
        </is>
      </c>
      <c r="G2" t="inlineStr">
        <is>
          <t>MK-NW-F-065</t>
        </is>
      </c>
      <c r="H2" t="inlineStr">
        <is>
          <t>net worth = Σ(all asset balances) − Σ(all debt balances)</t>
        </is>
      </c>
      <c r="I2"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2" t="inlineStr">
        <is>
          <t>1. everything owned → grossAssets  [MK-XS-I-001]
2. everything owed → grossDebt  [MK-XS-I-014]</t>
        </is>
      </c>
      <c r="K2" t="inlineStr">
        <is>
          <t>US dollars · held to the cent · shown as whole dollars  [derived by rule — confirm]</t>
        </is>
      </c>
      <c r="L2" t="inlineStr">
        <is>
          <t>Adds up to $0 when there is nothing to add. Zero and "nothing recorded yet" look identical on screen — worth a decision.</t>
        </is>
      </c>
      <c r="M2" t="inlineStr">
        <is>
          <t>One figure per person — or per household when two people share one record  [derived by rule — confirm]</t>
        </is>
      </c>
      <c r="N2" t="inlineStr">
        <is>
          <t>As of today, from the latest figures held  [derived by rule — confirm]</t>
        </is>
      </c>
      <c r="O2" t="inlineStr">
        <is>
          <t>None — this engine reads raw inputs only</t>
        </is>
      </c>
      <c r="P2" t="inlineStr">
        <is>
          <t>MK-ST-F-055 round2 → MK-NW-F-065 buildNetWorth</t>
        </is>
      </c>
      <c r="Q2" t="inlineStr">
        <is>
          <t>1. MK-ST-F-055 — Multiplies by 100 — a percentage, or an option contract treated as 100 shares. Worth checking which.
2. MK-ST-F-055 — Rounds the answer to a whole number.</t>
        </is>
      </c>
      <c r="R2" t="inlineStr"/>
      <c r="S2" t="inlineStr"/>
      <c r="T2" t="inlineStr">
        <is>
          <t>[Founder] Assets minus debts, computed each time and never stored as a third number that could disagree with its own halves. A genuine negative is shown, never floored at zero.</t>
        </is>
      </c>
      <c r="U2" t="inlineStr">
        <is>
          <t>THE SURVIVING IDENTIFIER for this figure. Folded in: MK-NW-M-016. Net worth. "Net worth so far" during setup is the same figure as the headline, mid-way through entry.</t>
        </is>
      </c>
      <c r="V2" t="inlineStr"/>
      <c r="W2" t="inlineStr"/>
      <c r="X2" t="inlineStr"/>
      <c r="Y2" t="inlineStr">
        <is>
          <t>NOT DETERMINED</t>
        </is>
      </c>
      <c r="Z2" t="inlineStr">
        <is>
          <t>VERIFIED 2026-08-22</t>
        </is>
      </c>
      <c r="AA2" t="inlineStr">
        <is>
          <t>1. A23 — MK-ST-F-055 (round2) is filed under "1 · ACTION — does something and displays nothing; it cannot put a wrong number in front of a person", while it rounds net worth.
2.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3.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t="inlineStr">
        <is>
          <t>AGREES — the figure's arithmetic and the arithmetic of the function it names say the same thing. Checked 2026-08-26.</t>
        </is>
      </c>
      <c r="AC2" t="inlineStr">
        <is>
          <t>HAS A FUNCTION — traceable from the screen to the code.</t>
        </is>
      </c>
      <c r="AD2" t="inlineStr"/>
      <c r="AE2" t="inlineStr">
        <is>
          <t>A23 — OPEN since 2026-08-26 — nothing has closed this. It is not known to be wrong; it is known to be unaddressed.</t>
        </is>
      </c>
      <c r="AF2" t="inlineStr">
        <is>
          <t>ACTIVE</t>
        </is>
      </c>
      <c r="AG2" t="inlineStr">
        <is>
          <t>2026-08-27</t>
        </is>
      </c>
    </row>
    <row r="3">
      <c r="A3" t="inlineStr">
        <is>
          <t>MK-XS-M-002</t>
        </is>
      </c>
      <c r="B3" t="inlineStr">
        <is>
          <t>Home · Plan · Cashflow</t>
        </is>
      </c>
      <c r="C3" t="inlineStr">
        <is>
          <t>NA</t>
        </is>
      </c>
      <c r="D3" t="inlineStr">
        <is>
          <t>Will my money last / Is my money lasting (odds)</t>
        </is>
      </c>
      <c r="E3" t="inlineStr">
        <is>
          <t>wil.chance</t>
        </is>
      </c>
      <c r="F3" t="inlineStr">
        <is>
          <t>selectWillItLast</t>
        </is>
      </c>
      <c r="G3" t="inlineStr">
        <is>
          <t>MK-PL-F-068</t>
        </is>
      </c>
      <c r="H3" t="inlineStr">
        <is>
          <t>run 1,000 futures; in each year: balance ← balance × (1 + random return) − (spending − guaranteed income);  odds = futures that never run out ÷ 1,000</t>
        </is>
      </c>
      <c r="I3" t="inlineStr">
        <is>
          <t>If age, spending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 t="inlineStr">
        <is>
          <t>1. everything → WILL_IT_LAST_INPUTS  [NOT AN INPUT — another engine’s answer; see the dependency column]
2. is a range wanted → withBand  [NOT AN INPUT — a setting or a filter, not data anyone supplies]</t>
        </is>
      </c>
      <c r="K3" t="inlineStr">
        <is>
          <t>Percent · rounded to the nearest 5 · a real 100 or 0 shown literally  [derived by rule — confirm]</t>
        </is>
      </c>
      <c r="L3" t="inlineStr">
        <is>
          <t>No odds at all until the three facts are answered. A sample is shown in their place, labelled as a sample, never as the person's own number.</t>
        </is>
      </c>
      <c r="M3" t="inlineStr">
        <is>
          <t>One figure per person — or per household when two people share one record  [derived by rule — confirm]</t>
        </is>
      </c>
      <c r="N3" t="inlineStr">
        <is>
          <t>As of today, from the latest figures held  [derived by rule — confirm]</t>
        </is>
      </c>
      <c r="O3" t="inlineStr">
        <is>
          <t>1. MK-XS-E-002 (NEST_EGG) → What is my retirement pot worth?
2. MK-XS-E-003 (ODDS_DISPLAY) → The retirement odds a person actually sees. Answers: 0, 5, 10 … 100 — the exact simulation
3. MK-XS-E-004 (RETIREMENT_SPENDING) → What will be spent each month in retirement?
4. MK-XS-E-005 (WILL_IT_LAST) → Will my money last?
5. MK-XS-E-006 (WILL_IT_LAST_INPUTS) → What goes into working out the odds?</t>
        </is>
      </c>
      <c r="P3" t="inlineStr">
        <is>
          <t>1. MK-PL-F-066 displayOdds → MK-PL-F-068 selectWillItLast
2.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MK-ST-F-055 round2 → MK-NW-F-032 earmarkedAmount → MK-NW-F-033 retirementEarmarkedValue → MK-PL-F-068 selectWillItLast
6. MK-CF-F-155 cash → MK-NW-F-008 incomeBearingClassOf → MK-NW-F-011 assetClassOf → MK-NW-F-031 primaryCarIdOf → MK-NW-F-033 retirementEarmarkedValue → MK-PL-F-068 selectWillItLast
7. MK-ST-F-010 nameEvidence → MK-NW-F-008 incomeBearingClassOf → MK-NW-F-011 assetClassOf → MK-NW-F-031 primaryCarIdOf → MK-NW-F-033 retirementEarmarkedValue → MK-PL-F-068 selectWillItLast
8. MK-ST-F-055 round2 → MK-NW-F-033 retirementEarmarkedValue → MK-PL-F-068 selectWillItLast
9. … and 5 more paths</t>
        </is>
      </c>
      <c r="Q3" t="inlineStr">
        <is>
          <t>1. MK-PL-F-066 — Rounds the answer to a whole number.
2. MK-PL-F-049 — Treats a year as twelve equal months.
3. MK-PL-F-050 — If paths is missing it uses 500.
4. MK-PL-F-050 — If seed is missing it uses 12345.
5. MK-PL-F-050 — If now year is missing it uses 2026.
6. MK-PL-F-050 — If contribution growth is missing it uses 0.
7. MK-PL-F-050 — If pre tax share is missing it uses 0.
8. MK-PL-F-050 — If required withdrawal tax rate is missing it uses 22%.
9. MK-PL-F-050 — If monthly is missing it counts as zero, so nothing recorded and a real zero look the same.
10. MK-PL-F-050 — If one off by year[off] is missing it counts as zero, so nothing recorded and a real zero look the same.
11. MK-PL-F-050 — If recurring by year[y] is missing it counts as zero, so nothing recorded and a real zero look the same.
12. MK-PL-F-050 — If contrib by year[y] is missing it counts as zero, so nothing recorded and a real zero look the same.
13. MK-PL-F-050 — Uses a built-in y of 1.
14. MK-PL-F-050 — Uses a built-in successes of 0.
15. MK-PL-F-050 — Uses a built-in p of 0.
16. MK-PL-F-050 — Uses a built-in y of 0.
17. MK-PL-F-050 — Treats a year as twelve equal months.
18. MK-PL-F-050 — Turns a monthly figure into a year by multiplying by twelve.
19. MK-PL-F-050 — Multiplies by 100 — a percentage, or an option contract treated as 100 shares. Worth checking which.
20. MK-PL-F-050 — Rounds the answer to a whole number.
21. MK-PL-F-067 — If inflation rate is missing it uses 2.5.
22. MK-PL-F-067 — If social security claim age is missing it uses 67.
23. MK-PL-F-067 — If monthly is missing it uses 0.
24. MK-PL-F-067 — If salary growth is missing it uses 0.
25. MK-PL-F-067 — Turns a monthly figure into a year by multiplying by twelve.
… and 44 more, on the functions tab</t>
        </is>
      </c>
      <c r="R3" t="inlineStr"/>
      <c r="S3" t="inlineStr">
        <is>
          <t>The odds shown on Home, Plan and Cash flow are rounded to the nearest 5, while the compare tables still show them exact. One figure, two precisions — founder's open question.</t>
        </is>
      </c>
      <c r="T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 t="inlineStr"/>
      <c r="V3" t="inlineStr">
        <is>
          <t>Q19 — The odds are rounded to the nearest 5 on screen but shown exact in the compare tables. Round everywhere, or show exact everywhere?</t>
        </is>
      </c>
      <c r="W3" t="inlineStr"/>
      <c r="X3" t="inlineStr"/>
      <c r="Y3" t="inlineStr">
        <is>
          <t>NOT DETERMINED</t>
        </is>
      </c>
      <c r="Z3" t="inlineStr">
        <is>
          <t>VERIFIED 2026-08-22</t>
        </is>
      </c>
      <c r="AA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A18 — "Treats a year as twelve equal months" fires on any division by 12, a month index included; "Treats a month as 30 days" fires on any multiplication by 30. Neither is read as arithmetic, so both carry false positives.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t="inlineStr">
        <is>
          <t>1. B13 [MISNAMED] — The figure is the thousand-futures simulation. The function it names, MK-PL-F-068 selectWillItLast, is the GATE that decides whether the question can be answered at all — it checks an age, a spending figure and a nest egg are present. The simulation is a different function and is named on no row of this file.</t>
        </is>
      </c>
      <c r="AC3" t="inlineStr">
        <is>
          <t>HAS A FUNCTION — traceable from the screen to the code.</t>
        </is>
      </c>
      <c r="AD3" t="inlineStr"/>
      <c r="AE3" t="inlineStr">
        <is>
          <t>A28 — OPEN since 2026-08-26 — nothing has closed this. It is not known to be wrong; it is known to be unaddressed.
B13 — OPEN since 2026-08-26 — nothing has closed this. It is not known to be wrong; it is known to be unaddressed.</t>
        </is>
      </c>
      <c r="AF3" t="inlineStr">
        <is>
          <t>ACTIVE</t>
        </is>
      </c>
      <c r="AG3" t="inlineStr">
        <is>
          <t>2026-08-27</t>
        </is>
      </c>
    </row>
    <row r="4">
      <c r="A4" t="inlineStr">
        <is>
          <t>MK-XS-M-003</t>
        </is>
      </c>
      <c r="B4" t="inlineStr">
        <is>
          <t>Home · Performance · Networth</t>
        </is>
      </c>
      <c r="C4" t="inlineStr">
        <is>
          <t>NA</t>
        </is>
      </c>
      <c r="D4" t="inlineStr">
        <is>
          <t>YOUR INVESTMENTS · 📈 INVESTMENTS</t>
        </is>
      </c>
      <c r="E4" t="inlineStr">
        <is>
          <t>investTotal</t>
        </is>
      </c>
      <c r="F4" t="inlineStr">
        <is>
          <t>investmentsTotal</t>
        </is>
      </c>
      <c r="G4" t="inlineStr">
        <is>
          <t>MK-NW-F-021</t>
        </is>
      </c>
      <c r="H4" t="inlineStr">
        <is>
          <t>investments = Σ(balance of each account whose class ∈ {brokerage, retirement, other investments})</t>
        </is>
      </c>
      <c r="I4" t="inlineStr">
        <is>
          <t>Add up the balances of every account whose class is Stocks / Funds, Bonds &amp; CDs, Alternatives or Unclassified. Excludes cash, the house and the car.</t>
        </is>
      </c>
      <c r="J4" t="inlineStr">
        <is>
          <t>1. each account's class → assetClassOf  [MK-XS-I-048]
2. each account's money → balance  [MK-XS-I-001]</t>
        </is>
      </c>
      <c r="K4" t="inlineStr">
        <is>
          <t>US dollars · held to the cent · shown as whole dollars  [derived by rule — confirm]</t>
        </is>
      </c>
      <c r="L4" t="inlineStr">
        <is>
          <t>Adds up to $0 when there is nothing to add. Zero and "nothing recorded yet" look identical on screen — worth a decision.</t>
        </is>
      </c>
      <c r="M4" t="inlineStr">
        <is>
          <t>One figure per person — or per household when two people share one record  [derived by rule — confirm]</t>
        </is>
      </c>
      <c r="N4" t="inlineStr">
        <is>
          <t>As of today, from the latest figures held  [derived by rule — confirm]</t>
        </is>
      </c>
      <c r="O4" t="inlineStr">
        <is>
          <t>MK-XS-E-008 (ASSET_CLASS_OF_ACCOUNT) → What kind of thing is this account — cash, a bond, shares, or something else?</t>
        </is>
      </c>
      <c r="P4" t="inlineStr">
        <is>
          <t>1. MK-ST-F-055 round2 → MK-CF-F-155 cash → MK-NW-F-008 incomeBearingClassOf → MK-NW-F-011 assetClassOf → MK-NW-F-021 investmentsTotal
2. MK-ST-F-056 has → MK-ST-F-010 nameEvidence → MK-NW-F-008 incomeBearingClassOf → MK-NW-F-011 assetClassOf → MK-NW-F-021 investmentsTotal
3. MK-CF-F-132 map → MK-ST-F-010 nameEvidence → MK-NW-F-008 incomeBearingClassOf → MK-NW-F-011 assetClassOf → MK-NW-F-021 investmentsTotal
4. MK-ST-F-055 round2 → MK-NW-F-066 sumWhere → MK-NW-F-021 investmentsTotal</t>
        </is>
      </c>
      <c r="Q4" t="inlineStr">
        <is>
          <t>1. MK-NW-F-066 — If balance is missing it counts as zero, so nothing recorded and a real zero look the same.
2. MK-NW-F-066 — Leaves some rows out of the answer — check which.
3. MK-ST-F-055 — Multiplies by 100 — a percentage, or an option contract treated as 100 shares. Worth checking which.
4. MK-ST-F-055 — Rounds the answer to a whole number.</t>
        </is>
      </c>
      <c r="R4" t="inlineStr"/>
      <c r="S4" t="inlineStr"/>
      <c r="T4" t="inlineStr">
        <is>
          <t>[The person] The retirement age in their plan.</t>
        </is>
      </c>
      <c r="U4" t="inlineStr"/>
      <c r="V4" t="inlineStr"/>
      <c r="W4" t="inlineStr"/>
      <c r="X4" t="inlineStr"/>
      <c r="Y4" t="inlineStr">
        <is>
          <t>NOT DETERMINED</t>
        </is>
      </c>
      <c r="Z4" t="inlineStr">
        <is>
          <t>VERIFIED 2026-08-22</t>
        </is>
      </c>
      <c r="AA4" t="inlineStr">
        <is>
          <t>1. A29 — The maths names the classes {brokerage, retirement, other investments}. The words name Stocks / Funds, Bonds &amp; CDs, Alternatives and Unclassified. Different lists, and Unclassified appearing in one of them decides whether an unclassified account is counted as an investment.
2.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3.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t="inlineStr">
        <is>
          <t>1. B07 [CLASH] — Three different lists of what counts as an investment for one figure. The arithmetic says {brokerage, retirement, other investments}. The code (investmentsTotal) says {stocks_etf, bonds, alternatives, MIXED}. The plain-English column says {Stocks / Funds, Bonds &amp; CDs, Alternatives, UNCLASSIFIED}. Whether an unclassified account is counted as an investment depends on which of the three a person reads. Also finding A29.</t>
        </is>
      </c>
      <c r="AC4" t="inlineStr">
        <is>
          <t>HAS A FUNCTION — traceable from the screen to the code.</t>
        </is>
      </c>
      <c r="AD4" t="inlineStr"/>
      <c r="AE4" t="inlineStr">
        <is>
          <t>A29 — OPEN since 2026-08-26 — nothing has closed this. It is not known to be wrong; it is known to be unaddressed.
B07 — OPEN since 2026-08-26 — nothing has closed this. It is not known to be wrong; it is known to be unaddressed.</t>
        </is>
      </c>
      <c r="AF4" t="inlineStr">
        <is>
          <t>ACTIVE</t>
        </is>
      </c>
      <c r="AG4" t="inlineStr">
        <is>
          <t>2026-08-27</t>
        </is>
      </c>
    </row>
    <row r="5">
      <c r="A5" t="inlineStr">
        <is>
          <t>MK-XS-M-004</t>
        </is>
      </c>
      <c r="B5" t="inlineStr">
        <is>
          <t>Home · Performance</t>
        </is>
      </c>
      <c r="C5" t="inlineStr">
        <is>
          <t>NA</t>
        </is>
      </c>
      <c r="D5" t="inlineStr">
        <is>
          <t>▲ up/▼ down $X (Y%) this month · Return · YOUR RETURN</t>
        </is>
      </c>
      <c r="E5" t="inlineStr">
        <is>
          <t>youReturn / shownReturn</t>
        </is>
      </c>
      <c r="F5" t="inlineStr">
        <is>
          <t>portfolioPeriodReturn</t>
        </is>
      </c>
      <c r="G5" t="inlineStr">
        <is>
          <t>MK-PF-F-019</t>
        </is>
      </c>
      <c r="H5" t="inlineStr">
        <is>
          <t>return = (ending − beginning − net money in) ÷ (beginning + net money in weighted by when it arrived)</t>
        </is>
      </c>
      <c r="I5" t="inlineStr">
        <is>
          <t>Weight each holding's return by how much money is in it, and add: Σ(return × value) ÷ Σ(value).
Money-weighted, not an equal average: $90,000 up 10% and $10,000 flat is +9%, where averaging the two would say +5% and be badly wrong.
A holding with no return is dropped from BOTH the top and the bottom of the sum, so it neither drags the answer down nor distorts the weights.
Nothing usable → nothing, never 0%.
This is a PRICE-based return. It does not know when you added money, which is what PERSONAL_RETURN answers — the two will differ, and both are right about different questions.</t>
        </is>
      </c>
      <c r="J5" t="inlineStr">
        <is>
          <t>1. each holding's return → rows[].periodReturn  [NOT AN INPUT — another engine’s answer; see the dependency column]
2. its value → rows[].marketValue  [NOT AN INPUT — another engine’s answer; see the dependency column]</t>
        </is>
      </c>
      <c r="K5" t="inlineStr">
        <is>
          <t>Percent · one decimal shown  [derived by rule — confirm]</t>
        </is>
      </c>
      <c r="L5" t="inlineStr">
        <is>
          <t>A division: with nothing on the bottom there is no answer, and the line must not appear as zero. NOT YET CONFIRMED against the engine.</t>
        </is>
      </c>
      <c r="M5" t="inlineStr">
        <is>
          <t>One figure per month  [derived by rule — confirm]</t>
        </is>
      </c>
      <c r="N5" t="inlineStr">
        <is>
          <t>This calendar month, to today  [derived by rule — confirm]</t>
        </is>
      </c>
      <c r="O5" t="inlineStr">
        <is>
          <t>None — this engine reads raw inputs only</t>
        </is>
      </c>
      <c r="P5" t="inlineStr">
        <is>
          <t>No dependent function — it reads its inputs and answers</t>
        </is>
      </c>
      <c r="Q5" t="inlineStr">
        <is>
          <t>1. MK-PF-F-019 — Rounds the answer to a whole number.
2. MK-PF-F-019 — Leaves some rows out of the answer — check which.</t>
        </is>
      </c>
      <c r="R5" t="inlineStr"/>
      <c r="S5" t="inlineStr"/>
      <c r="T5" t="inlineStr">
        <is>
          <t>NOT DETERMINED — no assumption recorded for this figure yet.</t>
        </is>
      </c>
      <c r="U5" t="inlineStr"/>
      <c r="V5" t="inlineStr"/>
      <c r="W5" t="inlineStr"/>
      <c r="X5" t="inlineStr"/>
      <c r="Y5" t="inlineStr">
        <is>
          <t>NOT DETERMINED</t>
        </is>
      </c>
      <c r="Z5" t="inlineStr">
        <is>
          <t>VERIFIED 2026-08-22</t>
        </is>
      </c>
      <c r="AA5" t="inlineStr">
        <is>
          <t>1. A27 — The maths column states Modified Dietz — (ending - beginning - net money in) over (beginning + flows weighted by when they arrived). The words column states something else entirely — Sum(return x value) / Sum(value), a value-weighted average of holding returns. Two different formulas for one figure, and the second is not a money-weighted return whatever the words call it.
2. A14 — This file states three different formulas for what it calls a return: Sum(return x value) / Sum(value), Modified Dietz, and earned / average value held. Three methods give three answers. One of them has to be the definition.
3. A12 — moneyWeightedReturn is defined twice and the two are different methods: src/domain/performance/moneyWeighted.ts:80 solves an internal rate of return by bisection; Calculation Module code/engines/window-return.ts:69 is Modified Dietz. Both are called the money-weighted return. Only the first has a row in this file; the sweep keeps whichever folder it walks first and drops the other in silence.
4.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5.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t="inlineStr">
        <is>
          <t>1. B06 [CLASH] — Two different return methods. The file states Modified Dietz — (ending − beginning − net money in) ÷ (beginning + flows weighted by when they arrived). The code (portfolioPeriodReturn) is Σ(each holding's return × its value) ÷ Σ(value), a value-weighted AVERAGE of holding returns. Different methods give different answers, and neither is what the other says. Also finding A27.</t>
        </is>
      </c>
      <c r="AC5" t="inlineStr">
        <is>
          <t>HAS A FUNCTION — traceable from the screen to the code.</t>
        </is>
      </c>
      <c r="AD5" t="inlineStr"/>
      <c r="AE5" t="inlineStr">
        <is>
          <t>A27 — OPEN since 2026-08-26 — nothing has closed this. It is not known to be wrong; it is known to be unaddressed.
A14 — OPEN since 2026-08-26 — nothing has closed this. It is not known to be wrong; it is known to be unaddressed.
A12 — OPEN since 2026-08-26 — nothing has closed this. It is not known to be wrong; it is known to be unaddressed.
B06 — OPEN since 2026-08-26 — nothing has closed this. It is not known to be wrong; it is known to be unaddressed.</t>
        </is>
      </c>
      <c r="AF5" t="inlineStr">
        <is>
          <t>ACTIVE</t>
        </is>
      </c>
      <c r="AG5" t="inlineStr">
        <is>
          <t>2026-08-27</t>
        </is>
      </c>
    </row>
    <row r="6">
      <c r="A6" t="inlineStr">
        <is>
          <t>MK-XS-M-005</t>
        </is>
      </c>
      <c r="B6" t="inlineStr">
        <is>
          <t>Home · Cashflow</t>
        </is>
      </c>
      <c r="C6" t="inlineStr">
        <is>
          <t>NA</t>
        </is>
      </c>
      <c r="D6" t="inlineStr">
        <is>
          <t>Spent so far · Spent $X of $Y left to spend this month</t>
        </is>
      </c>
      <c r="E6" t="inlineStr">
        <is>
          <t>bva.spent_total</t>
        </is>
      </c>
      <c r="F6" t="inlineStr">
        <is>
          <t>budgetVsActual</t>
        </is>
      </c>
      <c r="G6" t="inlineStr">
        <is>
          <t>MK-CF-F-014</t>
        </is>
      </c>
      <c r="H6" t="inlineStr">
        <is>
          <t>spent(bucket) = Σ(expenses dated in this month in that bucket, debt payments excluded);  remaining = planned − spent</t>
        </is>
      </c>
      <c r="I6" t="inlineStr">
        <is>
          <t>Adds up this month’s logged expenses by bucket and sets each against what was planned. Debt payments are deliberately left out, because debt is tracked on its own.</t>
        </is>
      </c>
      <c r="J6" t="inlineStr">
        <is>
          <t>NOT DETERMINED — no input list on record for this engine</t>
        </is>
      </c>
      <c r="K6" t="inlineStr">
        <is>
          <t>US dollars · held to the cent · shown as whole dollars  [derived by rule — confirm]</t>
        </is>
      </c>
      <c r="L6" t="inlineStr">
        <is>
          <t>Adds up to $0 when there is nothing to add. Zero and "nothing recorded yet" look identical on screen — worth a decision.</t>
        </is>
      </c>
      <c r="M6" t="inlineStr">
        <is>
          <t>One figure per month  [derived by rule — confirm]</t>
        </is>
      </c>
      <c r="N6" t="inlineStr">
        <is>
          <t>This calendar month, to today  [derived by rule — confirm]</t>
        </is>
      </c>
      <c r="O6" t="inlineStr">
        <is>
          <t>NOT DETERMINED</t>
        </is>
      </c>
      <c r="P6" t="inlineStr">
        <is>
          <t>1. MK-CF-F-132 map → MK-CF-F-014 budgetVsActual
2. MK-ST-F-055 round2 → MK-CF-F-014 budgetVsActual
3. MK-CF-F-069 benefitActiveMonths → MK-CF-F-092 incomeMonthlyGrid → MK-CF-F-120 pctBaseMonthly → MK-CF-F-003 categoryMonthly → MK-CF-F-004 spendBuckets → MK-CF-F-014 budgetVsActual
4. MK-CF-F-072 currentRetirementIncomeMonthly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MK-CF-F-132 map → MK-CF-F-092 incomeMonthlyGrid → MK-CF-F-120 pctBaseMonthly → MK-CF-F-003 categoryMonthly → MK-CF-F-004 spendBuckets → MK-CF-F-014 budgetVsActual
9. … and 5 more paths</t>
        </is>
      </c>
      <c r="Q6" t="inlineStr">
        <is>
          <t>1. MK-CF-F-014 — Uses today's date from the device clock, so the answer changes by itself overnight.
2. MK-CF-F-014 — Leaves some rows out of the answer — check which.
3. MK-ST-F-055 — Multiplies by 100 — a percentage, or an option contract treated as 100 shares. Worth checking which.
4. MK-ST-F-055 — Rounds the answer to a whole number.
5. MK-CF-F-003 — Treats a year as twelve equal months.
6. MK-CF-F-003 — Turns a monthly figure into a year by multiplying by twelve.
7. MK-CF-F-120 — Treats a year as twelve equal months.
8. MK-CF-F-092 — Treats a year as twelve equal months.
9. MK-CF-F-092 — Uses today's date from the device clock, so the answer changes by itself overnight.
10. MK-CF-F-069 — Leaves some rows out of the answer — check which.
11. MK-CF-F-065 — Uses a built-in total v of 0.
12. MK-CF-F-071 — Treats a year as twelve equal months.
13. MK-CF-F-087 — Uses today's date from the device clock, so the answer changes by itself overnight.
14. MK-CF-F-181 — Turns a monthly figure into a year by multiplying by twelve.
15. MK-CF-F-181 — Multiplies by 100 — a percentage, or an option contract treated as 100 shares. Worth checking which.
16. MK-CF-F-181 — Rounds the answer to a whole number.
17. MK-CF-F-068 — Turns a monthly figure into a year by multiplying by twelve.
18. MK-CF-F-066 — Leaves some rows out of the answer — check which.
19. MK-CF-F-077 — Uses a built-in i of 0.
20. MK-CF-F-077 — Treats a year as twelve equal months.
21. MK-CF-F-088 — Treats a year as twelve equal months.
22. MK-CF-F-088 — Uses today's date from the device clock, so the answer changes by itself overnight.
23. MK-CF-F-089 — Uses today's date from the device clock, so the answer changes by itself overnight.
24. MK-CF-F-180 — Uses a built-in total of 0.
25. MK-CF-F-082 — Uses today's date from the device clock, so the answer changes by itself overnight.
… and 13 more, on the functions tab</t>
        </is>
      </c>
      <c r="R6" t="inlineStr"/>
      <c r="S6" t="inlineStr"/>
      <c r="T6" t="inlineStr">
        <is>
          <t>NOT DETERMINED — no assumption recorded for this figure yet.</t>
        </is>
      </c>
      <c r="U6" t="inlineStr"/>
      <c r="V6" t="inlineStr"/>
      <c r="W6" t="inlineStr"/>
      <c r="X6" t="inlineStr"/>
      <c r="Y6" t="inlineStr">
        <is>
          <t>NOT DETERMINED</t>
        </is>
      </c>
      <c r="Z6" t="inlineStr">
        <is>
          <t>VERIFIED 2026-08-22</t>
        </is>
      </c>
      <c r="AA6"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A17 — "Uses a built-in i of 0", on 11 functions, is the loop counter — let i = 0.
4. A18 — "Treats a year as twelve equal months" fires on any division by 12, a month index included; "Treats a month as 30 days" fires on any multiplication by 30. Neither is read as arithmetic, so both carry false positives.
5.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6" t="inlineStr">
        <is>
          <t>HAS A FUNCTION — traceable from the screen to the code.</t>
        </is>
      </c>
      <c r="AD6" t="inlineStr">
        <is>
          <t>B26 — This month · Spending — the pace bar measures against nothing when no categories are set</t>
        </is>
      </c>
      <c r="AE6" t="inlineStr">
        <is>
          <t>B26 — OPEN since 2026-08-26 — nothing has closed this. It is not known to be wrong; it is known to be unaddressed.</t>
        </is>
      </c>
      <c r="AF6" t="inlineStr">
        <is>
          <t>ACTIVE</t>
        </is>
      </c>
      <c r="AG6" t="inlineStr">
        <is>
          <t>2026-08-27</t>
        </is>
      </c>
    </row>
    <row r="7">
      <c r="A7" t="inlineStr">
        <is>
          <t>MK-XS-M-006</t>
        </is>
      </c>
      <c r="B7" t="inlineStr">
        <is>
          <t>Home · Cashflow</t>
        </is>
      </c>
      <c r="C7" t="inlineStr">
        <is>
          <t>NA</t>
        </is>
      </c>
      <c r="D7" t="inlineStr">
        <is>
          <t>Income · In (received) · In (take-home)</t>
        </is>
      </c>
      <c r="E7" t="inlineStr">
        <is>
          <t>thisMonthNet</t>
        </is>
      </c>
      <c r="F7" t="inlineStr">
        <is>
          <t>incomeMonthlyGrid</t>
        </is>
      </c>
      <c r="G7" t="inlineStr">
        <is>
          <t>MK-CF-F-092</t>
        </is>
      </c>
      <c r="H7" t="inlineStr">
        <is>
          <t>money in month m = salary(m) + tips(m) + rental ÷ 12 + bonus(m) + equity vesting(m) − withholding(m) − pre-tax contributions(m)</t>
        </is>
      </c>
      <c r="I7" t="inlineStr">
        <is>
          <t>Builds twelve months of money in, one month at a time. Salary comes from the per-month table, equity lands in the months it vests, the bonus lands in its own month, and each month has its own withholding rate.</t>
        </is>
      </c>
      <c r="J7" t="inlineStr">
        <is>
          <t>NOT DETERMINED — no input list on record for this engine</t>
        </is>
      </c>
      <c r="K7" t="inlineStr">
        <is>
          <t>US dollars · held to the cent · shown as whole dollars  [derived by rule — confirm]</t>
        </is>
      </c>
      <c r="L7" t="inlineStr">
        <is>
          <t>A division: with nothing on the bottom there is no answer, and the line must not appear as zero. NOT YET CONFIRMED against the engine.</t>
        </is>
      </c>
      <c r="M7" t="inlineStr">
        <is>
          <t>One figure per person — or per household when two people share one record  [derived by rule — confirm]</t>
        </is>
      </c>
      <c r="N7" t="inlineStr">
        <is>
          <t>This calendar month, to today  [derived by rule — confirm]</t>
        </is>
      </c>
      <c r="O7" t="inlineStr">
        <is>
          <t>NOT DETERMINED</t>
        </is>
      </c>
      <c r="P7" t="inlineStr">
        <is>
          <t>1. MK-CF-F-069 benefitActiveMonths → MK-CF-F-092 incomeMonthlyGrid
2. MK-ST-F-052 toNum → MK-CF-F-075 retirementIncomeMonthly → MK-CF-F-072 currentRetirementIncomeMonthly → MK-CF-F-092 incomeMonthlyGrid
3. MK-ST-F-052 toNum → MK-CF-F-062 equityRowValue → MK-CF-F-065 equityVestWeights → MK-CF-F-092 incomeMonthlyGrid
4. MK-CF-F-132 map → MK-CF-F-065 equityVestWeights → MK-CF-F-092 incomeMonthlyGrid
5. MK-CF-F-069 benefitActiveMonths → MK-CF-F-070 benefitAnnual → MK-CF-F-071 extraIncome → MK-CF-F-092 incomeMonthlyGrid
6. MK-ST-F-052 toNum → MK-CF-F-070 benefitAnnual → MK-CF-F-071 extraIncome → MK-CF-F-092 incomeMonthlyGrid
7. MK-ST-F-055 round2 → MK-CF-F-071 extraIncome → MK-CF-F-092 incomeMonthlyGrid
8. MK-ST-F-052 toNum → MK-CF-F-071 extraIncome → MK-CF-F-092 incomeMonthlyGrid
9. … and 5 more paths</t>
        </is>
      </c>
      <c r="Q7" t="inlineStr">
        <is>
          <t>1. MK-CF-F-092 — Treats a year as twelve equal months.
2. MK-CF-F-092 — Uses today's date from the device clock, so the answer changes by itself overnight.
3. MK-CF-F-069 — Leaves some rows out of the answer — check which.
4. MK-CF-F-065 — Uses a built-in total v of 0.
5. MK-CF-F-071 — Treats a year as twelve equal months.
6. MK-CF-F-087 — Uses today's date from the device clock, so the answer changes by itself overnight.
7. MK-CF-F-181 — Turns a monthly figure into a year by multiplying by twelve.
8. MK-CF-F-181 — Multiplies by 100 — a percentage, or an option contract treated as 100 shares. Worth checking which.
9. MK-CF-F-181 — Rounds the answer to a whole number.
10. MK-CF-F-068 — Turns a monthly figure into a year by multiplying by twelve.
11. MK-ST-F-055 — Multiplies by 100 — a percentage, or an option contract treated as 100 shares. Worth checking which.
12. MK-ST-F-055 — Rounds the answer to a whole number.
13. MK-CF-F-066 — Leaves some rows out of the answer — check which.
14. MK-CF-F-077 — Uses a built-in i of 0.
15. MK-CF-F-077 — Treats a year as twelve equal months.
16. MK-CF-F-088 — Treats a year as twelve equal months.
17. MK-CF-F-088 — Uses today's date from the device clock, so the answer changes by itself overnight.
18. MK-CF-F-089 — Uses today's date from the device clock, so the answer changes by itself overnight.
19. MK-CF-F-180 — Uses a built-in total of 0.
20. MK-CF-F-082 — Uses today's date from the device clock, so the answer changes by itself overnight.
21. MK-CF-F-084 — Turns a monthly figure into a year by multiplying by twelve.
22. MK-CF-F-084 — Uses today's date from the device clock, so the answer changes by itself overnight.
23. MK-CF-F-067 — Leaves some rows out of the answer — check which.
24. MK-CF-F-063 — Uses today's date from the device clock, so the answer changes by itself overnight.
25. MK-CF-F-176 — If r[i] is missing it counts as zero, so nothing recorded and a real zero look the same.
… and 8 more, on the functions tab</t>
        </is>
      </c>
      <c r="R7" t="inlineStr"/>
      <c r="S7" t="inlineStr"/>
      <c r="T7" t="inlineStr">
        <is>
          <t>NOT DETERMINED — no assumption recorded for this figure yet.</t>
        </is>
      </c>
      <c r="U7" t="inlineStr">
        <is>
          <t>THE SURVIVING IDENTIFIER for this figure. Folded in: MK-CF-M-018. Money in this month. "In (take-home)" on Cash flow is the same figure as "Income" on Home.</t>
        </is>
      </c>
      <c r="V7" t="inlineStr"/>
      <c r="W7" t="inlineStr"/>
      <c r="X7" t="inlineStr"/>
      <c r="Y7" t="inlineStr">
        <is>
          <t>NOT DETERMINED</t>
        </is>
      </c>
      <c r="Z7" t="inlineStr">
        <is>
          <t>VERIFIED 2026-08-22</t>
        </is>
      </c>
      <c r="AA7"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A17 — "Uses a built-in i of 0", on 11 functions, is the loop counter — let i = 0.
4. A18 — "Treats a year as twelve equal months" fires on any division by 12, a month index included; "Treats a month as 30 days" fires on any multiplication by 30. Neither is read as arithmetic, so both carry false positives.
5.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7" t="inlineStr">
        <is>
          <t>HAS A FUNCTION — traceable from the screen to the code.</t>
        </is>
      </c>
      <c r="AD7" t="inlineStr">
        <is>
          <t>B27 — Base salary · This month — take-home shown up to $1,600/mo adrift from what was typed
B34 — This month · Spending — dividends counted as spendable, so surplus reads $250/mo too high</t>
        </is>
      </c>
      <c r="AE7" t="inlineStr">
        <is>
          <t>B27 — OPEN since 2026-08-26 — nothing has closed this. It is not known to be wrong; it is known to be unaddressed.
B34 — OPEN since 2026-08-26 — nothing has closed this. It is not known to be wrong; it is known to be unaddressed.
B25 — OPEN since 2026-08-26 — nothing has closed this. It is not known to be wrong; it is known to be unaddressed.</t>
        </is>
      </c>
      <c r="AF7" t="inlineStr">
        <is>
          <t>ACTIVE</t>
        </is>
      </c>
      <c r="AG7" t="inlineStr">
        <is>
          <t>2026-08-27</t>
        </is>
      </c>
    </row>
    <row r="8">
      <c r="A8" t="inlineStr">
        <is>
          <t>MK-XS-M-007</t>
        </is>
      </c>
      <c r="B8" t="inlineStr">
        <is>
          <t>Home · Cashflow</t>
        </is>
      </c>
      <c r="C8" t="inlineStr">
        <is>
          <t>NA</t>
        </is>
      </c>
      <c r="D8" t="inlineStr">
        <is>
          <t>Left / Over · left to spend this month</t>
        </is>
      </c>
      <c r="E8" t="inlineStr">
        <is>
          <t>left</t>
        </is>
      </c>
      <c r="F8" t="inlineStr">
        <is>
          <t>Worked out on the screen itself — no function behind it</t>
        </is>
      </c>
      <c r="G8" t="inlineStr"/>
      <c r="H8" t="inlineStr">
        <is>
          <t>left to spend = money in this month − spent so far</t>
        </is>
      </c>
      <c r="I8" t="inlineStr">
        <is>
          <t>Worked out on the screen itself, with no engine behind it — a place a second definition can appear.</t>
        </is>
      </c>
      <c r="J8" t="inlineStr">
        <is>
          <t>NOT DETERMINED — no input list on record for this engine</t>
        </is>
      </c>
      <c r="K8" t="inlineStr">
        <is>
          <t>US dollars · held to the cent · shown as whole dollars  [derived by rule — confirm]</t>
        </is>
      </c>
      <c r="L8" t="inlineStr">
        <is>
          <t>Inherits the refusal of the figures it is built from: if either side is missing, this line is not shown.</t>
        </is>
      </c>
      <c r="M8" t="inlineStr">
        <is>
          <t>One figure per month  [derived by rule — confirm]</t>
        </is>
      </c>
      <c r="N8" t="inlineStr">
        <is>
          <t>This calendar month, to today  [derived by rule — confirm]</t>
        </is>
      </c>
      <c r="O8" t="inlineStr">
        <is>
          <t>NOT DETERMINED</t>
        </is>
      </c>
      <c r="P8" t="inlineStr">
        <is>
          <t>No function on record — nothing to chain</t>
        </is>
      </c>
      <c r="Q8" t="inlineStr">
        <is>
          <t>No function on record — assumptions unknown</t>
        </is>
      </c>
      <c r="R8" t="inlineStr"/>
      <c r="S8" t="inlineStr"/>
      <c r="T8" t="inlineStr">
        <is>
          <t>NOT DETERMINED — no assumption recorded for this figure yet.</t>
        </is>
      </c>
      <c r="U8" t="inlineStr"/>
      <c r="V8" t="inlineStr"/>
      <c r="W8" t="inlineStr"/>
      <c r="X8" t="inlineStr"/>
      <c r="Y8" t="inlineStr">
        <is>
          <t>NOT DETERMINED</t>
        </is>
      </c>
      <c r="Z8" t="inlineStr">
        <is>
          <t>VERIFIED 2026-08-22</t>
        </is>
      </c>
      <c r="AA8"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t="inlineStr">
        <is>
          <t>B24 [NOT COMPARABLE] — This figure names no function, so its formula cannot be checked against anything. 69 of the 163 figures are in this position — the audit covers the 94 that name one.</t>
        </is>
      </c>
      <c r="AC8"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8" t="inlineStr"/>
      <c r="AE8" t="inlineStr">
        <is>
          <t>No finding on this row. That is not a statement that the row is right — only that nothing has been written against it.</t>
        </is>
      </c>
      <c r="AF8" t="inlineStr">
        <is>
          <t>ACTIVE</t>
        </is>
      </c>
      <c r="AG8" t="inlineStr">
        <is>
          <t>2026-08-27</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G10"/>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9"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0" customWidth="1" min="16" max="16"/>
    <col width="42" customWidth="1" min="17" max="17"/>
    <col width="42" customWidth="1" min="18" max="18"/>
    <col width="37" customWidth="1" min="19" max="19"/>
    <col width="22" customWidth="1" min="20" max="20"/>
    <col width="28" customWidth="1" min="21" max="21"/>
    <col width="36" customWidth="1" min="22" max="22"/>
    <col width="41" customWidth="1" min="23" max="23"/>
    <col width="41" customWidth="1" min="24" max="24"/>
    <col width="20" customWidth="1" min="25" max="25"/>
    <col width="18" customWidth="1" min="26" max="26"/>
    <col width="41" customWidth="1" min="27" max="27"/>
    <col width="42" customWidth="1" min="28" max="28"/>
    <col width="23" customWidth="1" min="29" max="29"/>
    <col width="37" customWidth="1" min="30" max="30"/>
    <col width="33" customWidth="1" min="31" max="31"/>
    <col width="32" customWidth="1" min="32" max="32"/>
    <col width="26" customWidth="1" min="33" max="33"/>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engine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row>
    <row r="2">
      <c r="A2" t="inlineStr">
        <is>
          <t>MK-HM-M-001</t>
        </is>
      </c>
      <c r="B2" t="inlineStr">
        <is>
          <t>Home</t>
        </is>
      </c>
      <c r="C2" t="inlineStr">
        <is>
          <t>NA</t>
        </is>
      </c>
      <c r="D2" t="inlineStr">
        <is>
          <t>prices updated &lt;when&gt;</t>
        </is>
      </c>
      <c r="E2" t="inlineStr">
        <is>
          <t>freshness</t>
        </is>
      </c>
      <c r="F2" t="inlineStr">
        <is>
          <t>priceFreshness</t>
        </is>
      </c>
      <c r="G2" t="inlineStr">
        <is>
          <t>MK-XS-F-082</t>
        </is>
      </c>
      <c r="H2" t="inlineStr">
        <is>
          <t>age = now − the moment prices were last fetched;  stale when age &gt; the freshness limit</t>
        </is>
      </c>
      <c r="I2"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t="inlineStr">
        <is>
          <t>1. when it was fetched → fetchedAt  [MK-XS-I-006]
2. now → now  [NOT AN INPUT — a setting or a filter, not data anyone supplies]</t>
        </is>
      </c>
      <c r="K2" t="inlineStr">
        <is>
          <t>US dollars per unit · held to 8 decimal places · decimals shown  [derived by rule — confirm]</t>
        </is>
      </c>
      <c r="L2" t="inlineStr">
        <is>
          <t>With no priced holdings there is no freshness to report and the line does not appear.</t>
        </is>
      </c>
      <c r="M2" t="inlineStr">
        <is>
          <t>One figure per person — or per household when two people share one record  [derived by rule — confirm]</t>
        </is>
      </c>
      <c r="N2" t="inlineStr">
        <is>
          <t>As of today, from the latest figures held  [derived by rule — confirm]</t>
        </is>
      </c>
      <c r="O2" t="inlineStr">
        <is>
          <t>MK-XS-E-013 (FETCH_PRICES) → What are these holdings worth?</t>
        </is>
      </c>
      <c r="P2" t="inlineStr">
        <is>
          <t>No dependent function — it reads its inputs and answers</t>
        </is>
      </c>
      <c r="Q2" t="inlineStr">
        <is>
          <t>None found anywhere in this chain</t>
        </is>
      </c>
      <c r="R2" t="inlineStr">
        <is>
          <t>DECIDES the moment a price stops being current.</t>
        </is>
      </c>
      <c r="S2" t="inlineStr">
        <is>
          <t>Prices are never synced, so freshness is per device. Two devices can legitimately disagree about how current a value is.</t>
        </is>
      </c>
      <c r="T2" t="inlineStr">
        <is>
          <t>NOT DETERMINED — no assumption recorded for this figure yet.</t>
        </is>
      </c>
      <c r="U2" t="inlineStr"/>
      <c r="V2" t="inlineStr">
        <is>
          <t>Q22 — How old is too old for a price before the screen warns? Today it is a fixed limit in the code; you have never set it.</t>
        </is>
      </c>
      <c r="W2" t="inlineStr"/>
      <c r="X2" t="inlineStr"/>
      <c r="Y2" t="inlineStr">
        <is>
          <t>NOT DETERMINED</t>
        </is>
      </c>
      <c r="Z2" t="inlineStr">
        <is>
          <t>VERIFIED 2026-08-22</t>
        </is>
      </c>
      <c r="AA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t="inlineStr">
        <is>
          <t>AGREES — the figure's arithmetic and the arithmetic of the function it names say the same thing. Checked 2026-08-26.</t>
        </is>
      </c>
      <c r="AC2" t="inlineStr">
        <is>
          <t>HAS A FUNCTION — traceable from the screen to the code.</t>
        </is>
      </c>
      <c r="AD2" t="inlineStr"/>
      <c r="AE2" t="inlineStr">
        <is>
          <t>No finding on this row. That is not a statement that the row is right — only that nothing has been written against it.</t>
        </is>
      </c>
      <c r="AF2" t="inlineStr">
        <is>
          <t>ACTIVE</t>
        </is>
      </c>
      <c r="AG2" t="inlineStr">
        <is>
          <t>2026-08-27</t>
        </is>
      </c>
    </row>
    <row r="3">
      <c r="A3" t="inlineStr">
        <is>
          <t>MK-HM-M-002</t>
        </is>
      </c>
      <c r="B3" t="inlineStr">
        <is>
          <t>Home</t>
        </is>
      </c>
      <c r="C3" t="inlineStr">
        <is>
          <t>NA</t>
        </is>
      </c>
      <c r="D3" t="inlineStr">
        <is>
          <t>Your net worth just crossed X</t>
        </is>
      </c>
      <c r="E3" t="inlineStr">
        <is>
          <t>milestone</t>
        </is>
      </c>
      <c r="F3" t="inlineStr">
        <is>
          <t>milestoneCrossed</t>
        </is>
      </c>
      <c r="G3" t="inlineStr">
        <is>
          <t>MK-HM-F-004</t>
        </is>
      </c>
      <c r="H3" t="inlineStr">
        <is>
          <t>crossed when net worth ≥ the next round mark above the highest mark already seen</t>
        </is>
      </c>
      <c r="I3" t="inlineStr">
        <is>
          <t>Notices when net worth passes a round number for the first time, and remembers the highest one already shown so the same milestone is never announced twice.</t>
        </is>
      </c>
      <c r="J3" t="inlineStr">
        <is>
          <t>NOT DETERMINED — no input list on record for this engine</t>
        </is>
      </c>
      <c r="K3" t="inlineStr">
        <is>
          <t>US dollars · held to the cent · shown as whole dollars  [derived by rule — confirm]</t>
        </is>
      </c>
      <c r="L3" t="inlineStr">
        <is>
          <t>NOT DETERMINED — this engine has not been read for its refusal yet.</t>
        </is>
      </c>
      <c r="M3" t="inlineStr">
        <is>
          <t>One figure per person — or per household when two people share one record  [derived by rule — confirm]</t>
        </is>
      </c>
      <c r="N3" t="inlineStr">
        <is>
          <t>As of today, from the latest figures held  [derived by rule — confirm]</t>
        </is>
      </c>
      <c r="O3" t="inlineStr">
        <is>
          <t>NOT DETERMINED</t>
        </is>
      </c>
      <c r="P3" t="inlineStr">
        <is>
          <t>MK-HM-F-003 milestoneFloor → MK-HM-F-004 milestoneCrossed</t>
        </is>
      </c>
      <c r="Q3" t="inlineStr">
        <is>
          <t>MK-HM-F-003 — Uses a built-in floor of 0.</t>
        </is>
      </c>
      <c r="R3" t="inlineStr"/>
      <c r="S3" t="inlineStr"/>
      <c r="T3" t="inlineStr">
        <is>
          <t>NOT DETERMINED — no assumption recorded for this figure yet.</t>
        </is>
      </c>
      <c r="U3" t="inlineStr"/>
      <c r="V3" t="inlineStr"/>
      <c r="W3" t="inlineStr"/>
      <c r="X3" t="inlineStr"/>
      <c r="Y3" t="inlineStr">
        <is>
          <t>NOT DETERMINED</t>
        </is>
      </c>
      <c r="Z3" t="inlineStr">
        <is>
          <t>VERIFIED 2026-08-22</t>
        </is>
      </c>
      <c r="AA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t="inlineStr">
        <is>
          <t>AGREES — the figure's arithmetic and the arithmetic of the function it names say the same thing. Checked 2026-08-26.</t>
        </is>
      </c>
      <c r="AC3" t="inlineStr">
        <is>
          <t>HAS A FUNCTION — traceable from the screen to the code.</t>
        </is>
      </c>
      <c r="AD3" t="inlineStr"/>
      <c r="AE3" t="inlineStr">
        <is>
          <t>No finding on this row. That is not a statement that the row is right — only that nothing has been written against it.</t>
        </is>
      </c>
      <c r="AF3" t="inlineStr">
        <is>
          <t>ACTIVE</t>
        </is>
      </c>
      <c r="AG3" t="inlineStr">
        <is>
          <t>2026-08-27</t>
        </is>
      </c>
    </row>
    <row r="4">
      <c r="A4" t="inlineStr">
        <is>
          <t>MK-HM-M-003</t>
        </is>
      </c>
      <c r="B4" t="inlineStr">
        <is>
          <t>Home</t>
        </is>
      </c>
      <c r="C4" t="inlineStr">
        <is>
          <t>NA</t>
        </is>
      </c>
      <c r="D4" t="inlineStr">
        <is>
          <t>Needs your attention (1, 2, 3)</t>
        </is>
      </c>
      <c r="E4" t="inlineStr">
        <is>
          <t>topInsights</t>
        </is>
      </c>
      <c r="F4" t="inlineStr">
        <is>
          <t>NOT ON RECORD — no function is recorded for this figure</t>
        </is>
      </c>
      <c r="G4" t="inlineStr"/>
      <c r="H4" t="inlineStr">
        <is>
          <t>each insight scores its own dollars at stake; the list = the highest few, ranked</t>
        </is>
      </c>
      <c r="I4" t="inlineStr">
        <is>
          <t>Works out what is worth saying today, puts a dollar amount against each, and shows the few that matter most.</t>
        </is>
      </c>
      <c r="J4" t="inlineStr">
        <is>
          <t>NOT DETERMINED — no input list on record for this engine</t>
        </is>
      </c>
      <c r="K4" t="inlineStr">
        <is>
          <t>US dollars · held to the cent · shown as whole dollars  [derived by rule — confirm]</t>
        </is>
      </c>
      <c r="L4" t="inlineStr">
        <is>
          <t>NOT DETERMINED — this engine has not been read for its refusal yet.</t>
        </is>
      </c>
      <c r="M4" t="inlineStr">
        <is>
          <t>One figure per person — or per household when two people share one record  [derived by rule — confirm]</t>
        </is>
      </c>
      <c r="N4" t="inlineStr">
        <is>
          <t>As of today, from the latest figures held  [derived by rule — confirm]</t>
        </is>
      </c>
      <c r="O4" t="inlineStr">
        <is>
          <t>NOT DETERMINED</t>
        </is>
      </c>
      <c r="P4" t="inlineStr">
        <is>
          <t>No function on record — nothing to chain</t>
        </is>
      </c>
      <c r="Q4" t="inlineStr">
        <is>
          <t>No function on record — assumptions unknown</t>
        </is>
      </c>
      <c r="R4" t="inlineStr"/>
      <c r="S4" t="inlineStr"/>
      <c r="T4" t="inlineStr">
        <is>
          <t>NOT DETERMINED — no assumption recorded for this figure yet.</t>
        </is>
      </c>
      <c r="U4" t="inlineStr">
        <is>
          <t>THE SAME FIGURE AS MK-MN-M-015 — The insights list. Home shows the top three of the same list the Insights screen shows in full.</t>
        </is>
      </c>
      <c r="V4" t="inlineStr"/>
      <c r="W4" t="inlineStr"/>
      <c r="X4" t="inlineStr"/>
      <c r="Y4" t="inlineStr">
        <is>
          <t>NOT DETERMINED</t>
        </is>
      </c>
      <c r="Z4" t="inlineStr">
        <is>
          <t>VERIFIED 2026-08-22</t>
        </is>
      </c>
      <c r="AA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t="inlineStr">
        <is>
          <t>B24 [NOT COMPARABLE] — This figure names no function, so its formula cannot be checked against anything. 69 of the 163 figures are in this position — the audit covers the 94 that name one.</t>
        </is>
      </c>
      <c r="AC4"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t="inlineStr"/>
      <c r="AE4" t="inlineStr">
        <is>
          <t>No finding on this row. That is not a statement that the row is right — only that nothing has been written against it.</t>
        </is>
      </c>
      <c r="AF4" t="inlineStr">
        <is>
          <t>SUPERSEDED BY MK-MN-M-015 — the same figure under another identifier. This number is retired and is never handed to anything else.</t>
        </is>
      </c>
      <c r="AG4" t="inlineStr">
        <is>
          <t>2026-08-27</t>
        </is>
      </c>
    </row>
    <row r="5">
      <c r="A5" t="inlineStr">
        <is>
          <t>MK-HM-M-004</t>
        </is>
      </c>
      <c r="B5" t="inlineStr">
        <is>
          <t>Home</t>
        </is>
      </c>
      <c r="C5" t="inlineStr">
        <is>
          <t>NA</t>
        </is>
      </c>
      <c r="D5" t="inlineStr">
        <is>
          <t>&lt;n&gt;% spent · day n of m</t>
        </is>
      </c>
      <c r="E5" t="inlineStr">
        <is>
          <t>pctSpent</t>
        </is>
      </c>
      <c r="F5" t="inlineStr">
        <is>
          <t>Worked out on the screen itself — no function behind it</t>
        </is>
      </c>
      <c r="G5" t="inlineStr"/>
      <c r="H5" t="inlineStr">
        <is>
          <t>share spent = spent so far ÷ money in this month</t>
        </is>
      </c>
      <c r="I5" t="inlineStr">
        <is>
          <t>Worked out on the screen itself, with no engine behind it — a place a second definition can appear.</t>
        </is>
      </c>
      <c r="J5" t="inlineStr">
        <is>
          <t>NOT DETERMINED — no input list on record for this engine</t>
        </is>
      </c>
      <c r="K5" t="inlineStr">
        <is>
          <t>Percent · one decimal shown  [derived by rule — confirm]</t>
        </is>
      </c>
      <c r="L5" t="inlineStr">
        <is>
          <t>Inherits the refusal of the figures it is built from: if either side is missing, this line is not shown.</t>
        </is>
      </c>
      <c r="M5" t="inlineStr">
        <is>
          <t>One figure per person — or per household when two people share one record  [derived by rule — confirm]</t>
        </is>
      </c>
      <c r="N5" t="inlineStr">
        <is>
          <t>As of today, from the latest figures held  [derived by rule — confirm]</t>
        </is>
      </c>
      <c r="O5" t="inlineStr">
        <is>
          <t>NOT DETERMINED</t>
        </is>
      </c>
      <c r="P5" t="inlineStr">
        <is>
          <t>No function on record — nothing to chain</t>
        </is>
      </c>
      <c r="Q5" t="inlineStr">
        <is>
          <t>No function on record — assumptions unknown</t>
        </is>
      </c>
      <c r="R5" t="inlineStr"/>
      <c r="S5" t="inlineStr"/>
      <c r="T5" t="inlineStr">
        <is>
          <t>NOT DETERMINED — no assumption recorded for this figure yet.</t>
        </is>
      </c>
      <c r="U5" t="inlineStr"/>
      <c r="V5" t="inlineStr"/>
      <c r="W5" t="inlineStr"/>
      <c r="X5" t="inlineStr"/>
      <c r="Y5" t="inlineStr">
        <is>
          <t>NOT DETERMINED</t>
        </is>
      </c>
      <c r="Z5" t="inlineStr">
        <is>
          <t>VERIFIED 2026-08-22</t>
        </is>
      </c>
      <c r="AA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t="inlineStr">
        <is>
          <t>B24 [NOT COMPARABLE] — This figure names no function, so its formula cannot be checked against anything. 69 of the 163 figures are in this position — the audit covers the 94 that name one.</t>
        </is>
      </c>
      <c r="AC5"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t="inlineStr"/>
      <c r="AE5" t="inlineStr">
        <is>
          <t>No finding on this row. That is not a statement that the row is right — only that nothing has been written against it.</t>
        </is>
      </c>
      <c r="AF5" t="inlineStr">
        <is>
          <t>ACTIVE</t>
        </is>
      </c>
      <c r="AG5" t="inlineStr">
        <is>
          <t>2026-08-27</t>
        </is>
      </c>
    </row>
    <row r="6">
      <c r="A6" t="inlineStr"/>
      <c r="B6" t="inlineStr">
        <is>
          <t>Home</t>
        </is>
      </c>
      <c r="C6" t="inlineStr">
        <is>
          <t>/add-account</t>
        </is>
      </c>
      <c r="D6" t="inlineStr">
        <is>
          <t>—</t>
        </is>
      </c>
      <c r="E6" t="inlineStr">
        <is>
          <t>—</t>
        </is>
      </c>
      <c r="F6" t="inlineStr">
        <is>
          <t>—</t>
        </is>
      </c>
      <c r="G6" t="inlineStr"/>
      <c r="H6" t="inlineStr"/>
      <c r="I6" t="inlineStr"/>
      <c r="J6" t="inlineStr"/>
      <c r="K6" t="inlineStr"/>
      <c r="L6" t="inlineStr"/>
      <c r="M6" t="inlineStr"/>
      <c r="N6" t="inlineStr"/>
      <c r="O6" t="inlineStr"/>
      <c r="P6" t="inlineStr"/>
      <c r="Q6" t="inlineStr"/>
      <c r="R6" t="inlineStr"/>
      <c r="S6" t="inlineStr"/>
      <c r="T6" t="inlineStr"/>
      <c r="U6" t="inlineStr"/>
      <c r="V6" t="inlineStr"/>
      <c r="W6" t="inlineStr"/>
      <c r="X6" t="inlineStr">
        <is>
          <t>NOT DETERMINED</t>
        </is>
      </c>
      <c r="Y6" t="inlineStr">
        <is>
          <t>READ 2026-08-22 — no calculated figure on this screen</t>
        </is>
      </c>
    </row>
    <row r="7">
      <c r="A7" t="inlineStr"/>
      <c r="B7" t="inlineStr">
        <is>
          <t>Home</t>
        </is>
      </c>
      <c r="C7" t="inlineStr">
        <is>
          <t>/connect</t>
        </is>
      </c>
      <c r="D7" t="inlineStr">
        <is>
          <t>—</t>
        </is>
      </c>
      <c r="E7" t="inlineStr">
        <is>
          <t>—</t>
        </is>
      </c>
      <c r="F7" t="inlineStr">
        <is>
          <t>—</t>
        </is>
      </c>
      <c r="G7" t="inlineStr"/>
      <c r="H7" t="inlineStr"/>
      <c r="I7" t="inlineStr"/>
      <c r="J7" t="inlineStr"/>
      <c r="K7" t="inlineStr"/>
      <c r="L7" t="inlineStr"/>
      <c r="M7" t="inlineStr"/>
      <c r="N7" t="inlineStr"/>
      <c r="O7" t="inlineStr"/>
      <c r="P7" t="inlineStr"/>
      <c r="Q7" t="inlineStr"/>
      <c r="R7" t="inlineStr"/>
      <c r="S7" t="inlineStr"/>
      <c r="T7" t="inlineStr"/>
      <c r="U7" t="inlineStr"/>
      <c r="V7" t="inlineStr"/>
      <c r="W7" t="inlineStr"/>
      <c r="X7" t="inlineStr">
        <is>
          <t>NOT DETERMINED</t>
        </is>
      </c>
      <c r="Y7" t="inlineStr">
        <is>
          <t>READ 2026-08-22 — no calculated figure on this screen</t>
        </is>
      </c>
    </row>
    <row r="8">
      <c r="A8" t="inlineStr"/>
      <c r="B8" t="inlineStr">
        <is>
          <t>Home</t>
        </is>
      </c>
      <c r="C8" t="inlineStr">
        <is>
          <t>/import-holdings</t>
        </is>
      </c>
      <c r="D8" t="inlineStr">
        <is>
          <t>—</t>
        </is>
      </c>
      <c r="E8" t="inlineStr">
        <is>
          <t>—</t>
        </is>
      </c>
      <c r="F8" t="inlineStr">
        <is>
          <t>—</t>
        </is>
      </c>
      <c r="G8" t="inlineStr"/>
      <c r="H8" t="inlineStr"/>
      <c r="I8" t="inlineStr"/>
      <c r="J8" t="inlineStr"/>
      <c r="K8" t="inlineStr"/>
      <c r="L8" t="inlineStr"/>
      <c r="M8" t="inlineStr"/>
      <c r="N8" t="inlineStr"/>
      <c r="O8" t="inlineStr"/>
      <c r="P8" t="inlineStr"/>
      <c r="Q8" t="inlineStr"/>
      <c r="R8" t="inlineStr"/>
      <c r="S8" t="inlineStr"/>
      <c r="T8" t="inlineStr"/>
      <c r="U8" t="inlineStr"/>
      <c r="V8" t="inlineStr"/>
      <c r="W8" t="inlineStr"/>
      <c r="X8" t="inlineStr">
        <is>
          <t>NOT DETERMINED</t>
        </is>
      </c>
      <c r="Y8" t="inlineStr">
        <is>
          <t>READ 2026-08-22 — no calculated figure on this screen</t>
        </is>
      </c>
    </row>
    <row r="9">
      <c r="A9" t="inlineStr"/>
      <c r="B9" t="inlineStr">
        <is>
          <t>Home</t>
        </is>
      </c>
      <c r="C9" t="inlineStr">
        <is>
          <t>/onboarding</t>
        </is>
      </c>
      <c r="D9" t="inlineStr">
        <is>
          <t>—</t>
        </is>
      </c>
      <c r="E9" t="inlineStr">
        <is>
          <t>—</t>
        </is>
      </c>
      <c r="F9" t="inlineStr">
        <is>
          <t>—</t>
        </is>
      </c>
      <c r="G9" t="inlineStr"/>
      <c r="H9" t="inlineStr"/>
      <c r="I9" t="inlineStr"/>
      <c r="J9" t="inlineStr"/>
      <c r="K9" t="inlineStr"/>
      <c r="L9" t="inlineStr"/>
      <c r="M9" t="inlineStr"/>
      <c r="N9" t="inlineStr"/>
      <c r="O9" t="inlineStr"/>
      <c r="P9" t="inlineStr"/>
      <c r="Q9" t="inlineStr"/>
      <c r="R9" t="inlineStr"/>
      <c r="S9" t="inlineStr"/>
      <c r="T9" t="inlineStr"/>
      <c r="U9" t="inlineStr"/>
      <c r="V9" t="inlineStr"/>
      <c r="W9" t="inlineStr"/>
      <c r="X9" t="inlineStr">
        <is>
          <t>NOT DETERMINED</t>
        </is>
      </c>
      <c r="Y9" t="inlineStr">
        <is>
          <t>READ 2026-08-22 — no calculated figure on this screen</t>
        </is>
      </c>
    </row>
    <row r="10">
      <c r="A10" t="inlineStr"/>
      <c r="B10" t="inlineStr">
        <is>
          <t>Home</t>
        </is>
      </c>
      <c r="C10" t="inlineStr">
        <is>
          <t>/performance</t>
        </is>
      </c>
      <c r="D10" t="inlineStr">
        <is>
          <t>—</t>
        </is>
      </c>
      <c r="E10" t="inlineStr">
        <is>
          <t>—</t>
        </is>
      </c>
      <c r="F10" t="inlineStr">
        <is>
          <t>—</t>
        </is>
      </c>
      <c r="G10" t="inlineStr"/>
      <c r="H10" t="inlineStr"/>
      <c r="I10" t="inlineStr"/>
      <c r="J10" t="inlineStr"/>
      <c r="K10" t="inlineStr"/>
      <c r="L10" t="inlineStr"/>
      <c r="M10" t="inlineStr"/>
      <c r="N10" t="inlineStr"/>
      <c r="O10" t="inlineStr"/>
      <c r="P10" t="inlineStr"/>
      <c r="Q10" t="inlineStr"/>
      <c r="R10" t="inlineStr"/>
      <c r="S10" t="inlineStr"/>
      <c r="T10" t="inlineStr"/>
      <c r="U10" t="inlineStr"/>
      <c r="V10" t="inlineStr"/>
      <c r="W10" t="inlineStr"/>
      <c r="X10" t="inlineStr">
        <is>
          <t>NOT DETERMINED</t>
        </is>
      </c>
      <c r="Y10" t="inlineStr">
        <is>
          <t>READ 2026-08-22 — the same screen as /invest, reached by a second route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G49"/>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9"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0" customWidth="1" min="16" max="16"/>
    <col width="42" customWidth="1" min="17" max="17"/>
    <col width="42" customWidth="1" min="18" max="18"/>
    <col width="37" customWidth="1" min="19" max="19"/>
    <col width="22" customWidth="1" min="20" max="20"/>
    <col width="28" customWidth="1" min="21" max="21"/>
    <col width="36" customWidth="1" min="22" max="22"/>
    <col width="41" customWidth="1" min="23" max="23"/>
    <col width="41" customWidth="1" min="24" max="24"/>
    <col width="20" customWidth="1" min="25" max="25"/>
    <col width="18" customWidth="1" min="26" max="26"/>
    <col width="41" customWidth="1" min="27" max="27"/>
    <col width="42" customWidth="1" min="28" max="28"/>
    <col width="23" customWidth="1" min="29" max="29"/>
    <col width="37" customWidth="1" min="30" max="30"/>
    <col width="33" customWidth="1" min="31" max="31"/>
    <col width="32" customWidth="1" min="32" max="32"/>
    <col width="26" customWidth="1" min="33" max="33"/>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engine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row>
    <row r="2">
      <c r="A2" t="inlineStr">
        <is>
          <t>MK-NW-M-001</t>
        </is>
      </c>
      <c r="B2" t="inlineStr">
        <is>
          <t>Networth</t>
        </is>
      </c>
      <c r="C2" t="inlineStr">
        <is>
          <t>NA</t>
        </is>
      </c>
      <c r="D2" t="inlineStr">
        <is>
          <t>Change in net worth +$X</t>
        </is>
      </c>
      <c r="E2" t="inlineStr">
        <is>
          <t>changeThisYear</t>
        </is>
      </c>
      <c r="F2" t="inlineStr">
        <is>
          <t>trendPoints</t>
        </is>
      </c>
      <c r="G2" t="inlineStr">
        <is>
          <t>MK-XS-F-005</t>
        </is>
      </c>
      <c r="H2" t="inlineStr">
        <is>
          <t>the line is the recorded net worth at each point;  change over the year = net worth today − net worth at the first point of the year</t>
        </is>
      </c>
      <c r="I2"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2" t="inlineStr">
        <is>
          <t>1. monthly snapshots → monthly  [MK-XS-I-031]
2. daily points → daily  [MK-XS-I-031]</t>
        </is>
      </c>
      <c r="K2" t="inlineStr">
        <is>
          <t>US dollars · held to the cent · shown as whole dollars  [derived by rule — confirm]</t>
        </is>
      </c>
      <c r="L2" t="inlineStr">
        <is>
          <t>A line needs at least two points; with one, the point is shown and the line is not drawn.</t>
        </is>
      </c>
      <c r="M2" t="inlineStr">
        <is>
          <t>One figure per person — or per household when two people share one record  [derived by rule — confirm]</t>
        </is>
      </c>
      <c r="N2" t="inlineStr">
        <is>
          <t>As of today, from the latest figures held  [derived by rule — confirm]</t>
        </is>
      </c>
      <c r="O2" t="inlineStr">
        <is>
          <t>MK-XS-E-014 (SNAPSHOT_READ_ALL) → What history do we hold?</t>
        </is>
      </c>
      <c r="P2"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MK-ST-F-055 round2 → MK-XS-F-008 normalizeSnapshot → MK-XS-F-009 readHistory → MK-XS-F-005 trendPoints
6. MK-ST-F-055 round2 → MK-XS-F-005 trendPoints</t>
        </is>
      </c>
      <c r="Q2" t="inlineStr">
        <is>
          <t>1. MK-XS-F-009 — Leaves some rows out of the answer — check which.
2. MK-ST-F-055 — Multiplies by 100 — a percentage, or an option contract treated as 100 shares. Worth checking which.
3. MK-ST-F-055 — Rounds the answer to a whole number.</t>
        </is>
      </c>
      <c r="R2" t="inlineStr"/>
      <c r="S2" t="inlineStr">
        <is>
          <t>The daily and monthly points are synced, but the DAILY RECORD they are checked against is not. On a second device the trend survives and the walk behind it does not.</t>
        </is>
      </c>
      <c r="T2" t="inlineStr">
        <is>
          <t>NOT DETERMINED — no assumption recorded for this figure yet.</t>
        </is>
      </c>
      <c r="U2" t="inlineStr"/>
      <c r="V2" t="inlineStr">
        <is>
          <t>Q32 — The trend survives on a new device but the walk behind it does not. Should the trend say so, or show quietly?</t>
        </is>
      </c>
      <c r="W2" t="inlineStr"/>
      <c r="X2" t="inlineStr"/>
      <c r="Y2" t="inlineStr">
        <is>
          <t>NOT DETERMINED</t>
        </is>
      </c>
      <c r="Z2" t="inlineStr">
        <is>
          <t>VERIFIED 2026-08-22</t>
        </is>
      </c>
      <c r="AA2"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t="inlineStr">
        <is>
          <t>1. B23 [MISNAMED] — The formula has two halves: the series, and the change over the year. The function it names (trendPoints) only builds and sorts the series. The subtraction that makes the headline change is done somewhere with no function on record.</t>
        </is>
      </c>
      <c r="AC2" t="inlineStr">
        <is>
          <t>HAS A FUNCTION — traceable from the screen to the code.</t>
        </is>
      </c>
      <c r="AD2" t="inlineStr"/>
      <c r="AE2" t="inlineStr">
        <is>
          <t>B23 — OPEN since 2026-08-26 — nothing has closed this. It is not known to be wrong; it is known to be unaddressed.</t>
        </is>
      </c>
      <c r="AF2" t="inlineStr">
        <is>
          <t>ACTIVE</t>
        </is>
      </c>
      <c r="AG2" t="inlineStr">
        <is>
          <t>2026-08-27</t>
        </is>
      </c>
    </row>
    <row r="3">
      <c r="A3" t="inlineStr">
        <is>
          <t>MK-NW-M-002</t>
        </is>
      </c>
      <c r="B3" t="inlineStr">
        <is>
          <t>Networth</t>
        </is>
      </c>
      <c r="C3" t="inlineStr">
        <is>
          <t>NA</t>
        </is>
      </c>
      <c r="D3" t="inlineStr">
        <is>
          <t>Return on cash + investments ±X%</t>
        </is>
      </c>
      <c r="E3" t="inlineStr">
        <is>
          <t>invPct</t>
        </is>
      </c>
      <c r="F3" t="inlineStr">
        <is>
          <t>investableChangePct</t>
        </is>
      </c>
      <c r="G3" t="inlineStr">
        <is>
          <t>MK-XS-F-010</t>
        </is>
      </c>
      <c r="H3" t="inlineStr">
        <is>
          <t>return = (investable now − investable then) ÷ investable then — money paid in or taken out is NOT removed, so a deposit shows up as a gain</t>
        </is>
      </c>
      <c r="I3" t="inlineStr">
        <is>
          <t>(today's investable − the baseline value) ÷ the baseline value.
The baseline is the EARLIEST stored daily point on or after the baseline date. The house is left out because it only moves when someone retypes it, which would otherwise read as a market gain.
No history → NO percentage. It is never back-guessed, which is right.
THE DEFECT IS WHAT THE BASELINE IS. It is whatever day the app happened to be opened, not a date a person chose. If the only stored point was written after a fall, the fall is invisible and the small recovery since reads as a gain — which is exactly how a −4.2% year showed as +2.0%.</t>
        </is>
      </c>
      <c r="J3" t="inlineStr">
        <is>
          <t>1. stored history → daily  [MK-XS-I-031]
2. today's value → currentInvestable  [NOT AN INPUT — another engine’s answer; see the dependency column]
3. baseline date → sinceKey  [MK-XS-I-031]</t>
        </is>
      </c>
      <c r="K3" t="inlineStr">
        <is>
          <t>Percent · one decimal shown  [derived by rule — confirm]</t>
        </is>
      </c>
      <c r="L3" t="inlineStr">
        <is>
          <t>No baseline, or nothing invested, means the line is simply absent rather than shown as zero.</t>
        </is>
      </c>
      <c r="M3" t="inlineStr">
        <is>
          <t>One figure per person — or per household when two people share one record  [derived by rule — confirm]</t>
        </is>
      </c>
      <c r="N3" t="inlineStr">
        <is>
          <t>The window the person chose on screen  [derived by rule — confirm]</t>
        </is>
      </c>
      <c r="O3" t="inlineStr">
        <is>
          <t>None — this engine reads raw inputs only</t>
        </is>
      </c>
      <c r="P3" t="inlineStr">
        <is>
          <t>No dependent function — it reads its inputs and answers</t>
        </is>
      </c>
      <c r="Q3" t="inlineStr">
        <is>
          <t>1. MK-XS-F-010 — Rounds the answer to a whole number.
2. MK-XS-F-010 — Leaves some rows out of the answer — check which.</t>
        </is>
      </c>
      <c r="R3" t="inlineStr"/>
      <c r="S3" t="inlineStr">
        <is>
          <t>The line is labelled "Return on cash + investments" but is computed as (now − then) ÷ then with NO adjustment for money paid in or taken out. Move $50,000 in and it reports a gain. Either the label is wrong or the formula is — founder's call.</t>
        </is>
      </c>
      <c r="T3" t="inlineStr">
        <is>
          <t>NOT DETERMINED — no assumption recorded for this figure yet.</t>
        </is>
      </c>
      <c r="U3" t="inlineStr"/>
      <c r="V3" t="inlineStr">
        <is>
          <t>Q17 — "Return on cash + investments" counts money you paid in as a gain. Is the LABEL wrong, or the FORMULA? Fixing the formula means removing deposits and withdrawals before measuring.</t>
        </is>
      </c>
      <c r="W3" t="inlineStr"/>
      <c r="X3" t="inlineStr"/>
      <c r="Y3" t="inlineStr">
        <is>
          <t>NOT DETERMINED</t>
        </is>
      </c>
      <c r="Z3" t="inlineStr">
        <is>
          <t>VERIFIED 2026-08-22</t>
        </is>
      </c>
      <c r="AA3" t="inlineStr">
        <is>
          <t>1.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t="inlineStr">
        <is>
          <t>AGREES — the figure's arithmetic and the arithmetic of the function it names say the same thing. Checked 2026-08-26.</t>
        </is>
      </c>
      <c r="AC3" t="inlineStr">
        <is>
          <t>HAS A FUNCTION — traceable from the screen to the code.</t>
        </is>
      </c>
      <c r="AD3" t="inlineStr"/>
      <c r="AE3" t="inlineStr">
        <is>
          <t>No finding on this row. That is not a statement that the row is right — only that nothing has been written against it.</t>
        </is>
      </c>
      <c r="AF3" t="inlineStr">
        <is>
          <t>ACTIVE</t>
        </is>
      </c>
      <c r="AG3" t="inlineStr">
        <is>
          <t>2026-08-27</t>
        </is>
      </c>
    </row>
    <row r="4">
      <c r="A4" t="inlineStr">
        <is>
          <t>MK-NW-M-003</t>
        </is>
      </c>
      <c r="B4" t="inlineStr">
        <is>
          <t>Networth</t>
        </is>
      </c>
      <c r="C4" t="inlineStr">
        <is>
          <t>NA</t>
        </is>
      </c>
      <c r="D4" t="inlineStr">
        <is>
          <t>the trend line</t>
        </is>
      </c>
      <c r="E4" t="inlineStr">
        <is>
          <t>series</t>
        </is>
      </c>
      <c r="F4" t="inlineStr">
        <is>
          <t>trendPoints</t>
        </is>
      </c>
      <c r="G4" t="inlineStr">
        <is>
          <t>MK-XS-F-005</t>
        </is>
      </c>
      <c r="H4" t="inlineStr">
        <is>
          <t>the line is the recorded net worth at each point;  change over the year = net worth today − net worth at the first point of the year</t>
        </is>
      </c>
      <c r="I4"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4" t="inlineStr">
        <is>
          <t>1. monthly snapshots → monthly  [MK-XS-I-031]
2. daily points → daily  [MK-XS-I-031]</t>
        </is>
      </c>
      <c r="K4" t="inlineStr">
        <is>
          <t>US dollars · held to the cent · shown as whole dollars  [derived by rule — confirm]</t>
        </is>
      </c>
      <c r="L4" t="inlineStr">
        <is>
          <t>A line needs at least two points; with one, the point is shown and the line is not drawn.</t>
        </is>
      </c>
      <c r="M4" t="inlineStr">
        <is>
          <t>One figure per person — or per household when two people share one record  [derived by rule — confirm]</t>
        </is>
      </c>
      <c r="N4" t="inlineStr">
        <is>
          <t>As of today, from the latest figures held  [derived by rule — confirm]</t>
        </is>
      </c>
      <c r="O4" t="inlineStr">
        <is>
          <t>MK-XS-E-014 (SNAPSHOT_READ_ALL) → What history do we hold?</t>
        </is>
      </c>
      <c r="P4"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MK-ST-F-055 round2 → MK-XS-F-008 normalizeSnapshot → MK-XS-F-009 readHistory → MK-XS-F-005 trendPoints
6. MK-ST-F-055 round2 → MK-XS-F-005 trendPoints</t>
        </is>
      </c>
      <c r="Q4" t="inlineStr">
        <is>
          <t>1. MK-XS-F-009 — Leaves some rows out of the answer — check which.
2. MK-ST-F-055 — Multiplies by 100 — a percentage, or an option contract treated as 100 shares. Worth checking which.
3. MK-ST-F-055 — Rounds the answer to a whole number.</t>
        </is>
      </c>
      <c r="R4" t="inlineStr"/>
      <c r="S4" t="inlineStr">
        <is>
          <t>The daily and monthly points are synced, but the DAILY RECORD they are checked against is not. On a second device the trend survives and the walk behind it does not.</t>
        </is>
      </c>
      <c r="T4" t="inlineStr">
        <is>
          <t>NOT DETERMINED — no assumption recorded for this figure yet.</t>
        </is>
      </c>
      <c r="U4" t="inlineStr"/>
      <c r="V4" t="inlineStr"/>
      <c r="W4" t="inlineStr"/>
      <c r="X4" t="inlineStr"/>
      <c r="Y4" t="inlineStr">
        <is>
          <t>NOT DETERMINED</t>
        </is>
      </c>
      <c r="Z4" t="inlineStr">
        <is>
          <t>VERIFIED 2026-08-22</t>
        </is>
      </c>
      <c r="AA4"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t="inlineStr">
        <is>
          <t>1. B23 [MISNAMED] — The formula has two halves: the series, and the change over the year. The function it names (trendPoints) only builds and sorts the series. The subtraction that makes the headline change is done somewhere with no function on record.</t>
        </is>
      </c>
      <c r="AC4" t="inlineStr">
        <is>
          <t>HAS A FUNCTION — traceable from the screen to the code.</t>
        </is>
      </c>
      <c r="AD4" t="inlineStr"/>
      <c r="AE4" t="inlineStr">
        <is>
          <t>B23 — OPEN since 2026-08-26 — nothing has closed this. It is not known to be wrong; it is known to be unaddressed.</t>
        </is>
      </c>
      <c r="AF4" t="inlineStr">
        <is>
          <t>ACTIVE</t>
        </is>
      </c>
      <c r="AG4" t="inlineStr">
        <is>
          <t>2026-08-27</t>
        </is>
      </c>
    </row>
    <row r="5">
      <c r="A5" t="inlineStr">
        <is>
          <t>MK-NW-M-004</t>
        </is>
      </c>
      <c r="B5" t="inlineStr">
        <is>
          <t>Networth</t>
        </is>
      </c>
      <c r="C5" t="inlineStr">
        <is>
          <t>NA</t>
        </is>
      </c>
      <c r="D5" t="inlineStr">
        <is>
          <t>WHAT YOU OWN</t>
        </is>
      </c>
      <c r="E5" t="inlineStr">
        <is>
          <t>totalAssets</t>
        </is>
      </c>
      <c r="F5" t="inlineStr">
        <is>
          <t>buildAssetsState</t>
        </is>
      </c>
      <c r="G5" t="inlineStr">
        <is>
          <t>MK-NW-F-039</t>
        </is>
      </c>
      <c r="H5" t="inlineStr">
        <is>
          <t>assets = Σ(balance of every account);  share of an account = balance ÷ assets</t>
        </is>
      </c>
      <c r="I5" t="inlineStr">
        <is>
          <t>Each account's share = its balance ÷ the total, so the shares add to 100. The blended return is weighted by money, not an average of the rates.
No money at all → every share is 0 and a stated default return is used, rather than dividing by nothing.</t>
        </is>
      </c>
      <c r="J5" t="inlineStr">
        <is>
          <t>1. each balance → balance  [MK-XS-I-001]
2. each assumed return → target_return  [MK-XS-I-028]</t>
        </is>
      </c>
      <c r="K5" t="inlineStr">
        <is>
          <t>US dollars · held to the cent · shown as whole dollars  [derived by rule — confirm]</t>
        </is>
      </c>
      <c r="L5" t="inlineStr">
        <is>
          <t>Adds up to $0 when there is nothing to add. Zero and "nothing recorded yet" look identical on screen — worth a decision.</t>
        </is>
      </c>
      <c r="M5" t="inlineStr">
        <is>
          <t>One figure per account  [derived by rule — confirm]</t>
        </is>
      </c>
      <c r="N5" t="inlineStr">
        <is>
          <t>As of today, from the latest figures held  [derived by rule — confirm]</t>
        </is>
      </c>
      <c r="O5" t="inlineStr">
        <is>
          <t>None — this engine reads raw inputs only</t>
        </is>
      </c>
      <c r="P5" t="inlineStr">
        <is>
          <t>1. MK-CF-F-132 map → MK-NW-F-039 buildAssetsState
2. MK-ST-F-055 round2 → MK-NW-F-039 buildAssetsState</t>
        </is>
      </c>
      <c r="Q5" t="inlineStr">
        <is>
          <t>1. MK-NW-F-039 — Multiplies by 100 — a percentage, or an option contract treated as 100 shares. Worth checking which.
2. MK-NW-F-039 — Rounds the answer to a whole number.
3. MK-ST-F-055 — Multiplies by 100 — a percentage, or an option contract treated as 100 shares. Worth checking which.
4. MK-ST-F-055 — Rounds the answer to a whole number.</t>
        </is>
      </c>
      <c r="R5" t="inlineStr"/>
      <c r="S5" t="inlineStr"/>
      <c r="T5" t="inlineStr">
        <is>
          <t>NOT DETERMINED — no assumption recorded for this figure yet.</t>
        </is>
      </c>
      <c r="U5" t="inlineStr"/>
      <c r="V5" t="inlineStr"/>
      <c r="W5" t="inlineStr"/>
      <c r="X5" t="inlineStr"/>
      <c r="Y5" t="inlineStr">
        <is>
          <t>NOT DETERMINED</t>
        </is>
      </c>
      <c r="Z5" t="inlineStr">
        <is>
          <t>VERIFIED 2026-08-22</t>
        </is>
      </c>
      <c r="AA5"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t="inlineStr">
        <is>
          <t>AGREES — the figure's arithmetic and the arithmetic of the function it names say the same thing. Checked 2026-08-26.</t>
        </is>
      </c>
      <c r="AC5" t="inlineStr">
        <is>
          <t>HAS A FUNCTION — traceable from the screen to the code.</t>
        </is>
      </c>
      <c r="AD5" t="inlineStr"/>
      <c r="AE5" t="inlineStr">
        <is>
          <t>No finding on this row. That is not a statement that the row is right — only that nothing has been written against it.</t>
        </is>
      </c>
      <c r="AF5" t="inlineStr">
        <is>
          <t>ACTIVE</t>
        </is>
      </c>
      <c r="AG5" t="inlineStr">
        <is>
          <t>2026-08-27</t>
        </is>
      </c>
    </row>
    <row r="6">
      <c r="A6" t="inlineStr">
        <is>
          <t>MK-NW-M-005</t>
        </is>
      </c>
      <c r="B6" t="inlineStr">
        <is>
          <t>Networth</t>
        </is>
      </c>
      <c r="C6" t="inlineStr">
        <is>
          <t>NA</t>
        </is>
      </c>
      <c r="D6" t="inlineStr">
        <is>
          <t>💵 CASH</t>
        </is>
      </c>
      <c r="E6" t="inlineStr">
        <is>
          <t>cashOnHand</t>
        </is>
      </c>
      <c r="F6" t="inlineStr">
        <is>
          <t>cashTotal</t>
        </is>
      </c>
      <c r="G6" t="inlineStr">
        <is>
          <t>MK-NW-F-016</t>
        </is>
      </c>
      <c r="H6" t="inlineStr">
        <is>
          <t>cash = Σ(balance of each account whose class = Cash)</t>
        </is>
      </c>
      <c r="I6" t="inlineStr">
        <is>
          <t>Add up the balances of every account whose class is Cash. Under the founder's 2026-08-04 rule that means checking, savings, high-yield savings and the uninvested sweep at a broker — and NOT money-market funds, which pay dividends and are measured with the investments.</t>
        </is>
      </c>
      <c r="J6" t="inlineStr">
        <is>
          <t>1. each account's class → assetClassOf  [MK-XS-I-048]
2. each account's money → balance  [MK-XS-I-001]</t>
        </is>
      </c>
      <c r="K6" t="inlineStr">
        <is>
          <t>US dollars · held to the cent · shown as whole dollars  [derived by rule — confirm]</t>
        </is>
      </c>
      <c r="L6" t="inlineStr">
        <is>
          <t>Adds up to $0 when there is nothing to add. Zero and "nothing recorded yet" look identical on screen — worth a decision.</t>
        </is>
      </c>
      <c r="M6" t="inlineStr">
        <is>
          <t>One figure per person — or per household when two people share one record  [derived by rule — confirm]</t>
        </is>
      </c>
      <c r="N6" t="inlineStr">
        <is>
          <t>As of today, from the latest figures held  [derived by rule — confirm]</t>
        </is>
      </c>
      <c r="O6" t="inlineStr">
        <is>
          <t>1. MK-XS-E-015 (ACCOUNT_SPLIT) → This one brokerage account holds several different things — how much of it is each?
2. MK-XS-E-008 (ASSET_CLASS_OF_ACCOUNT) → What kind of thing is this account — cash, a bond, shares, or something else?</t>
        </is>
      </c>
      <c r="P6" t="inlineStr">
        <is>
          <t>1. MK-ST-F-055 round2 → MK-CF-F-155 cash → MK-NW-F-008 incomeBearingClassOf → MK-NW-F-011 assetClassOf → MK-NW-F-027 accountClassBreakdown → MK-NW-F-016 cashTotal
2. MK-ST-F-056 has → MK-ST-F-010 nameEvidence → MK-NW-F-008 incomeBearingClassOf → MK-NW-F-011 assetClassOf → MK-NW-F-027 accountClassBreakdown → MK-NW-F-016 cashTotal
3. MK-CF-F-132 map → MK-ST-F-010 nameEvidence → MK-NW-F-008 incomeBearingClassOf → MK-NW-F-011 assetClassOf → MK-NW-F-027 accountClassBreakdown → MK-NW-F-016 cashTotal
4. MK-ST-F-055 round2 → MK-CF-F-155 cash → MK-NW-F-008 incomeBearingClassOf → MK-NW-F-027 accountClassBreakdown → MK-NW-F-016 cashTotal
5. MK-ST-F-056 has → MK-ST-F-010 nameEvidence → MK-NW-F-008 incomeBearingClassOf → MK-NW-F-027 accountClassBreakdown → MK-NW-F-016 cashTotal
6. MK-CF-F-132 map → MK-ST-F-010 nameEvidence → MK-NW-F-008 incomeBearingClassOf → MK-NW-F-027 accountClassBreakdown → MK-NW-F-016 cashTotal
7. MK-ST-F-055 round2 → MK-NW-F-027 accountClassBreakdown → MK-NW-F-016 cashTotal
8. MK-ST-F-055 round2 → MK-CF-F-155 cash → MK-NW-F-008 incomeBearingClassOf → MK-NW-F-011 assetClassOf → MK-NW-F-016 cashTotal
9. … and 3 more paths</t>
        </is>
      </c>
      <c r="Q6" t="inlineStr">
        <is>
          <t>1. MK-NW-F-016 — If balance is missing it counts as zero, so nothing recorded and a real zero look the same.
2. MK-NW-F-027 — If cash balance is missing it uses 0.
3. MK-NW-F-027 — If shares is missing it counts as zero, so nothing recorded and a real zero look the same.
4. MK-NW-F-027 — If value is missing it counts as zero, so nothing recorded and a real zero look the same.
5. MK-NW-F-027 — If balance is missing it counts as zero, so nothing recorded and a real zero look the same.
6. MK-ST-F-055 — Multiplies by 100 — a percentage, or an option contract treated as 100 shares. Worth checking which.
7. MK-ST-F-055 — Rounds the answer to a whole number.</t>
        </is>
      </c>
      <c r="R6" t="inlineStr">
        <is>
          <t>DECIDES what counts as cash — and deliberately excludes money-market funds.</t>
        </is>
      </c>
      <c r="S6" t="inlineStr">
        <is>
          <t>Money-market funds are deliberately NOT counted as cash. Any institution that reports a sweep as a fund will therefore land in investments — worth watching per provider.</t>
        </is>
      </c>
      <c r="T6" t="inlineStr">
        <is>
          <t>[Founder] Cash means checking, savings, high-yield savings and the uninvested sweep at a broker. Money-market funds are investments, because they pay dividends and are measured with the investments (founder, 2026-08-04).</t>
        </is>
      </c>
      <c r="U6" t="inlineStr"/>
      <c r="V6" t="inlineStr">
        <is>
          <t>Q16 — Does foreign-currency cash count towards Cash, or sit apart until it is converted?</t>
        </is>
      </c>
      <c r="W6" t="inlineStr"/>
      <c r="X6" t="inlineStr"/>
      <c r="Y6" t="inlineStr">
        <is>
          <t>NOT DETERMINED</t>
        </is>
      </c>
      <c r="Z6" t="inlineStr">
        <is>
          <t>VERIFIED 2026-08-22</t>
        </is>
      </c>
      <c r="AA6"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t="inlineStr">
        <is>
          <t>1. B21 [CLASH] — The file says cash is the balance of every account whose class is Cash. The code (cashTotal) also adds the CASH PORTION of a connected account's class breakdown — a brokerage that is 10% cash contributes that 10%. The file's formula misses that path entirely, so it understates cash for anyone with a connected account.</t>
        </is>
      </c>
      <c r="AC6" t="inlineStr">
        <is>
          <t>HAS A FUNCTION — traceable from the screen to the code.</t>
        </is>
      </c>
      <c r="AD6" t="inlineStr"/>
      <c r="AE6" t="inlineStr">
        <is>
          <t>B21 — OPEN since 2026-08-26 — nothing has closed this. It is not known to be wrong; it is known to be unaddressed.</t>
        </is>
      </c>
      <c r="AF6" t="inlineStr">
        <is>
          <t>ACTIVE</t>
        </is>
      </c>
      <c r="AG6" t="inlineStr">
        <is>
          <t>2026-08-27</t>
        </is>
      </c>
    </row>
    <row r="7">
      <c r="A7" t="inlineStr">
        <is>
          <t>MK-NW-M-006</t>
        </is>
      </c>
      <c r="B7" t="inlineStr">
        <is>
          <t>Networth</t>
        </is>
      </c>
      <c r="C7" t="inlineStr">
        <is>
          <t>NA</t>
        </is>
      </c>
      <c r="D7" t="inlineStr">
        <is>
          <t>🏠 PERSONAL PROPERTY</t>
        </is>
      </c>
      <c r="E7" t="inlineStr">
        <is>
          <t>sectionTotals</t>
        </is>
      </c>
      <c r="F7" t="inlineStr">
        <is>
          <t>Worked out on the screen itself — no function behind it</t>
        </is>
      </c>
      <c r="G7" t="inlineStr"/>
      <c r="H7" t="inlineStr"/>
      <c r="I7" t="inlineStr"/>
      <c r="J7" t="inlineStr">
        <is>
          <t>NOT DETERMINED — no input list on record for this engine</t>
        </is>
      </c>
      <c r="K7" t="inlineStr">
        <is>
          <t>US dollars · held to the cent · shown as whole dollars  [derived by rule — confirm]</t>
        </is>
      </c>
      <c r="L7" t="inlineStr">
        <is>
          <t>Inherits the refusal of the figures it is built from: if either side is missing, this line is not shown.</t>
        </is>
      </c>
      <c r="M7" t="inlineStr">
        <is>
          <t>One figure per person — or per household when two people share one record  [derived by rule — confirm]</t>
        </is>
      </c>
      <c r="N7" t="inlineStr">
        <is>
          <t>As of today, from the latest figures held  [derived by rule — confirm]</t>
        </is>
      </c>
      <c r="O7" t="inlineStr">
        <is>
          <t>NOT DETERMINED</t>
        </is>
      </c>
      <c r="P7" t="inlineStr">
        <is>
          <t>No function on record — nothing to chain</t>
        </is>
      </c>
      <c r="Q7" t="inlineStr">
        <is>
          <t>No function on record — assumptions unknown</t>
        </is>
      </c>
      <c r="R7" t="inlineStr"/>
      <c r="S7" t="inlineStr">
        <is>
          <t>CORRECTED 2026-08-25 — this row used to name ACCOUNT_SHARE_OF_TOTAL. Personal property is its own total, worked out on the screen, not a share of a total.</t>
        </is>
      </c>
      <c r="T7" t="inlineStr">
        <is>
          <t>NOT DETERMINED — no assumption recorded for this figure yet.</t>
        </is>
      </c>
      <c r="U7" t="inlineStr"/>
      <c r="V7" t="inlineStr"/>
      <c r="W7" t="inlineStr"/>
      <c r="X7" t="inlineStr"/>
      <c r="Y7" t="inlineStr">
        <is>
          <t>NOT DETERMINED</t>
        </is>
      </c>
      <c r="Z7" t="inlineStr">
        <is>
          <t>VERIFIED 2026-08-22</t>
        </is>
      </c>
      <c r="AA7" t="inlineStr">
        <is>
          <t>1. A06 — S01 says COMPLETE, 163 of 163 carry both forms of the formula. MK-NW-M-006 carries neither. It is 162 of 163.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t="inlineStr">
        <is>
          <t>B24 [NOT COMPARABLE] — This figure names no function, so its formula cannot be checked against anything. 69 of the 163 figures are in this position — the audit covers the 94 that name one.</t>
        </is>
      </c>
      <c r="AC7"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t="inlineStr"/>
      <c r="AE7" t="inlineStr">
        <is>
          <t>A06 — OPEN since 2026-08-26 — nothing has closed this. It is not known to be wrong; it is known to be unaddressed.</t>
        </is>
      </c>
      <c r="AF7" t="inlineStr">
        <is>
          <t>ACTIVE</t>
        </is>
      </c>
      <c r="AG7" t="inlineStr">
        <is>
          <t>2026-08-27</t>
        </is>
      </c>
    </row>
    <row r="8">
      <c r="A8" t="inlineStr">
        <is>
          <t>MK-NW-M-007</t>
        </is>
      </c>
      <c r="B8" t="inlineStr">
        <is>
          <t>Networth</t>
        </is>
      </c>
      <c r="C8" t="inlineStr">
        <is>
          <t>NA</t>
        </is>
      </c>
      <c r="D8" t="inlineStr">
        <is>
          <t>class rows — by class, institution or type</t>
        </is>
      </c>
      <c r="E8" t="inlineStr">
        <is>
          <t>classRows</t>
        </is>
      </c>
      <c r="F8" t="inlineStr">
        <is>
          <t>assetAllocation</t>
        </is>
      </c>
      <c r="G8" t="inlineStr">
        <is>
          <t>MK-NW-F-029</t>
        </is>
      </c>
      <c r="H8" t="inlineStr">
        <is>
          <t>value in class k = Σ(balance of accounts in class k);  share(k) = value(k) ÷ Σ value</t>
        </is>
      </c>
      <c r="I8" t="inlineStr">
        <is>
          <t>For every account: if it has its own breakdown (an account holding several classes at once), add each piece to its own class. Otherwise put the WHOLE balance in the one class the account resolves to. Round each total to the cent at the end, never during.
The totals must add to total assets — this is what the donut draws, so any leak shows as a wrong slice.</t>
        </is>
      </c>
      <c r="J8" t="inlineStr">
        <is>
          <t>1. each account's class → assetClassOf  [MK-XS-I-048]
2. each account's money → balance  [MK-XS-I-001]
3. any split → accountClassBreakdown  [NOT AN INPUT — another engine’s answer; see the dependency column]</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category  [derived by rule — confirm]</t>
        </is>
      </c>
      <c r="N8" t="inlineStr">
        <is>
          <t>As of today, from the latest figures held  [derived by rule — confirm]</t>
        </is>
      </c>
      <c r="O8" t="inlineStr">
        <is>
          <t>1. MK-XS-E-015 (ACCOUNT_SPLIT) → This one brokerage account holds several different things — how much of it is each?
2. MK-XS-E-008 (ASSET_CLASS_OF_ACCOUNT) → What kind of thing is this account — cash, a bond, shares, or something else?</t>
        </is>
      </c>
      <c r="P8" t="inlineStr">
        <is>
          <t>1. MK-ST-F-055 round2 → MK-CF-F-155 cash → MK-NW-F-008 incomeBearingClassOf → MK-NW-F-011 assetClassOf → MK-NW-F-027 accountClassBreakdown → MK-NW-F-029 assetAllocation
2. MK-ST-F-056 has → MK-ST-F-010 nameEvidence → MK-NW-F-008 incomeBearingClassOf → MK-NW-F-011 assetClassOf → MK-NW-F-027 accountClassBreakdown → MK-NW-F-029 assetAllocation
3. MK-CF-F-132 map → MK-ST-F-010 nameEvidence → MK-NW-F-008 incomeBearingClassOf → MK-NW-F-011 assetClassOf → MK-NW-F-027 accountClassBreakdown → MK-NW-F-029 assetAllocation
4. MK-ST-F-055 round2 → MK-CF-F-155 cash → MK-NW-F-008 incomeBearingClassOf → MK-NW-F-027 accountClassBreakdown → MK-NW-F-029 assetAllocation
5. MK-ST-F-056 has → MK-ST-F-010 nameEvidence → MK-NW-F-008 incomeBearingClassOf → MK-NW-F-027 accountClassBreakdown → MK-NW-F-029 assetAllocation
6. MK-CF-F-132 map → MK-ST-F-010 nameEvidence → MK-NW-F-008 incomeBearingClassOf → MK-NW-F-027 accountClassBreakdown → MK-NW-F-029 assetAllocation
7. MK-ST-F-055 round2 → MK-NW-F-027 accountClassBreakdown → MK-NW-F-029 assetAllocation
8. MK-ST-F-055 round2 → MK-CF-F-155 cash → MK-NW-F-008 incomeBearingClassOf → MK-NW-F-011 assetClassOf → MK-NW-F-029 assetAllocation
9. … and 3 more paths</t>
        </is>
      </c>
      <c r="Q8" t="inlineStr">
        <is>
          <t>1. MK-NW-F-029 — If balance is missing it counts as zero, so nothing recorded and a real zero look the same.
2. MK-NW-F-027 — If cash balance is missing it uses 0.
3. MK-NW-F-027 — If shares is missing it counts as zero, so nothing recorded and a real zero look the same.
4. MK-NW-F-027 — If value is missing it counts as zero, so nothing recorded and a real zero look the same.
5. MK-NW-F-027 — If balance is missing it counts as zero, so nothing recorded and a real zero look the same.
6. MK-ST-F-055 — Multiplies by 100 — a percentage, or an option contract treated as 100 shares. Worth checking which.
7. MK-ST-F-055 — Rounds the answer to a whole number.</t>
        </is>
      </c>
      <c r="R8" t="inlineStr">
        <is>
          <t>DECIDES the class of every asset before it can group them, and DECIDES the words shown for each class. The classifying rule itself is engine MK-ST-E-xxx — see the asset-classification standard.</t>
        </is>
      </c>
      <c r="S8" t="inlineStr"/>
      <c r="T8" t="inlineStr">
        <is>
          <t>NOT DETERMINED — no assumption recorded for this figure yet.</t>
        </is>
      </c>
      <c r="U8" t="inlineStr"/>
      <c r="V8"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8" t="inlineStr"/>
      <c r="X8" t="inlineStr"/>
      <c r="Y8" t="inlineStr">
        <is>
          <t>NOT DETERMINED</t>
        </is>
      </c>
      <c r="Z8" t="inlineStr">
        <is>
          <t>VERIFIED 2026-08-22</t>
        </is>
      </c>
      <c r="AA8" t="inlineStr">
        <is>
          <t>1. A50 — The import road calls the classification engine without the institution type, the institution sub-type or the person's own answer, and hard-codes hasSecurityIdentity to true (src/domain/import/holdingsImport.ts:137). So the engine's first two rules — the person's own answer outranks the institution, and a fund the institution itself declares to be money-market — cannot fire on an imported holding, which is the road most holdings arrive by.
2.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3.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t="inlineStr">
        <is>
          <t>AGREES — the figure's arithmetic and the arithmetic of the function it names say the same thing. Checked 2026-08-26.</t>
        </is>
      </c>
      <c r="AC8" t="inlineStr">
        <is>
          <t>HAS A FUNCTION — traceable from the screen to the code.</t>
        </is>
      </c>
      <c r="AD8" t="inlineStr"/>
      <c r="AE8" t="inlineStr">
        <is>
          <t>A50 — OPEN since 2026-08-26 — nothing has closed this. It is not known to be wrong; it is known to be unaddressed.</t>
        </is>
      </c>
      <c r="AF8" t="inlineStr">
        <is>
          <t>ACTIVE</t>
        </is>
      </c>
      <c r="AG8" t="inlineStr">
        <is>
          <t>2026-08-27</t>
        </is>
      </c>
    </row>
    <row r="9">
      <c r="A9" t="inlineStr">
        <is>
          <t>MK-NW-M-008</t>
        </is>
      </c>
      <c r="B9" t="inlineStr">
        <is>
          <t>Networth</t>
        </is>
      </c>
      <c r="C9" t="inlineStr">
        <is>
          <t>NA</t>
        </is>
      </c>
      <c r="D9" t="inlineStr">
        <is>
          <t>each account and its balance</t>
        </is>
      </c>
      <c r="E9" t="inlineStr">
        <is>
          <t>a.balance</t>
        </is>
      </c>
      <c r="F9" t="inlineStr">
        <is>
          <t>accountClassBreakdown</t>
        </is>
      </c>
      <c r="G9" t="inlineStr">
        <is>
          <t>MK-NW-F-027</t>
        </is>
      </c>
      <c r="H9" t="inlineStr">
        <is>
          <t>for one account: value in class k = balance × weight(k), where Σ weight(k) = 1</t>
        </is>
      </c>
      <c r="I9"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9" t="inlineStr">
        <is>
          <t>1. the account → a  [MK-XS-I-001]
2. its total → balance  [MK-XS-I-001]
3. uninvested → cash_balance  [MK-XS-I-001]
4. holdings → positions[]  [MK-XS-I-004]
5. options → option_holdings[]  [MK-XS-I-034]</t>
        </is>
      </c>
      <c r="K9" t="inlineStr">
        <is>
          <t>A count · whole units, except crypto which keeps its fractions  [derived by rule — confirm]</t>
        </is>
      </c>
      <c r="L9" t="inlineStr">
        <is>
          <t>Adds up to $0 when there is nothing to add. Zero and "nothing recorded yet" look identical on screen — worth a decision.</t>
        </is>
      </c>
      <c r="M9" t="inlineStr">
        <is>
          <t>One figure per account  [derived by rule — confirm]</t>
        </is>
      </c>
      <c r="N9" t="inlineStr">
        <is>
          <t>As of today, from the latest figures held  [derived by rule — confirm]</t>
        </is>
      </c>
      <c r="O9" t="inlineStr">
        <is>
          <t>1. MK-XS-E-008 (ASSET_CLASS_OF_ACCOUNT) → What kind of thing is this account — cash, a bond, shares, or something else?
2. MK-XS-E-016 (CLASS_FROM_NAME_TEXT) → Reading the NAME alone, is this cash, a money-market fund, or a CD / T-bill?</t>
        </is>
      </c>
      <c r="P9" t="inlineStr">
        <is>
          <t>1. MK-ST-F-055 round2 → MK-CF-F-155 cash → MK-NW-F-008 incomeBearingClassOf → MK-NW-F-011 assetClassOf → MK-NW-F-027 accountClassBreakdown
2. MK-ST-F-056 has → MK-ST-F-010 nameEvidence → MK-NW-F-008 incomeBearingClassOf → MK-NW-F-011 assetClassOf → MK-NW-F-027 accountClassBreakdown
3. MK-CF-F-132 map → MK-ST-F-010 nameEvidence → MK-NW-F-008 incomeBearingClassOf → MK-NW-F-011 assetClassOf → MK-NW-F-027 accountClassBreakdown
4. MK-ST-F-055 round2 → MK-CF-F-155 cash → MK-NW-F-008 incomeBearingClassOf → MK-NW-F-027 accountClassBreakdown
5. MK-ST-F-056 has → MK-ST-F-010 nameEvidence → MK-NW-F-008 incomeBearingClassOf → MK-NW-F-027 accountClassBreakdown
6. MK-CF-F-132 map → MK-ST-F-010 nameEvidence → MK-NW-F-008 incomeBearingClassOf → MK-NW-F-027 accountClassBreakdown
7. MK-ST-F-055 round2 → MK-NW-F-027 accountClassBreakdown</t>
        </is>
      </c>
      <c r="Q9" t="inlineStr">
        <is>
          <t>1. MK-NW-F-027 — If cash balance is missing it uses 0.
2. MK-NW-F-027 — If shares is missing it counts as zero, so nothing recorded and a real zero look the same.
3. MK-NW-F-027 — If value is missing it counts as zero, so nothing recorded and a real zero look the same.
4. MK-NW-F-027 — If balance is missing it counts as zero, so nothing recorded and a real zero look the same.
5. MK-ST-F-055 — Multiplies by 100 — a percentage, or an option contract treated as 100 shares. Worth checking which.
6. MK-ST-F-055 — Rounds the answer to a whole number.</t>
        </is>
      </c>
      <c r="R9" t="inlineStr">
        <is>
          <t>DECIDES which class each holding inside one account belongs to, then how much of the account total sits in each.</t>
        </is>
      </c>
      <c r="S9" t="inlineStr">
        <is>
          <t>Reported by the 54-item audit as one of the places a total and its parts can disagree; the reconciliation assertion now catches it, but the screen has no way to say so yet.</t>
        </is>
      </c>
      <c r="T9" t="inlineStr">
        <is>
          <t>NOT DETERMINED — no assumption recorded for this figure yet.</t>
        </is>
      </c>
      <c r="U9" t="inlineStr"/>
      <c r="V9" t="inlineStr">
        <is>
          <t>Q14 — What should a MIXED account be called on screen, when it holds several classes at once?</t>
        </is>
      </c>
      <c r="W9" t="inlineStr"/>
      <c r="X9" t="inlineStr"/>
      <c r="Y9" t="inlineStr">
        <is>
          <t>NOT DETERMINED</t>
        </is>
      </c>
      <c r="Z9" t="inlineStr">
        <is>
          <t>VERIFIED 2026-08-22</t>
        </is>
      </c>
      <c r="AA9" t="inlineStr">
        <is>
          <t>1. A50 — The import road calls the classification engine without the institution type, the institution sub-type or the person's own answer, and hard-codes hasSecurityIdentity to true (src/domain/import/holdingsImport.ts:137). So the engine's first two rules — the person's own answer outranks the institution, and a fund the institution itself declares to be money-market — cannot fire on an imported holding, which is the road most holdings arrive by.
2.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3.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t="inlineStr">
        <is>
          <t>1. B15 [MISNAMED] — The formula claims to split ANY account into its classes — value in class k = balance × weight(k). The first line of the function it names (accountClassBreakdown) is "nothing when the account is not CONNECTED". For a typed or imported account it answers nothing, and the formula does not say so.</t>
        </is>
      </c>
      <c r="AC9" t="inlineStr">
        <is>
          <t>HAS A FUNCTION — traceable from the screen to the code.</t>
        </is>
      </c>
      <c r="AD9" t="inlineStr"/>
      <c r="AE9" t="inlineStr">
        <is>
          <t>A50 — OPEN since 2026-08-26 — nothing has closed this. It is not known to be wrong; it is known to be unaddressed.
B15 — OPEN since 2026-08-26 — nothing has closed this. It is not known to be wrong; it is known to be unaddressed.</t>
        </is>
      </c>
      <c r="AF9" t="inlineStr">
        <is>
          <t>ACTIVE</t>
        </is>
      </c>
      <c r="AG9" t="inlineStr">
        <is>
          <t>2026-08-27</t>
        </is>
      </c>
    </row>
    <row r="10">
      <c r="A10" t="inlineStr">
        <is>
          <t>MK-NW-M-009</t>
        </is>
      </c>
      <c r="B10" t="inlineStr">
        <is>
          <t>Networth</t>
        </is>
      </c>
      <c r="C10" t="inlineStr">
        <is>
          <t>NA</t>
        </is>
      </c>
      <c r="D10" t="inlineStr">
        <is>
          <t>WHAT YOU OWE · 💳 DEBTS</t>
        </is>
      </c>
      <c r="E10" t="inlineStr">
        <is>
          <t>dState.total_debt_balance</t>
        </is>
      </c>
      <c r="F10" t="inlineStr">
        <is>
          <t>buildDebtState</t>
        </is>
      </c>
      <c r="G10" t="inlineStr">
        <is>
          <t>MK-CF-F-036</t>
        </is>
      </c>
      <c r="H10" t="inlineStr">
        <is>
          <t>owed = Σ(remaining balance);  monthly debt payments = Σ(required payment of each debt)</t>
        </is>
      </c>
      <c r="I10"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0" t="inlineStr">
        <is>
          <t>1. every debt → debts  [MK-XS-I-014]
2. rates → interest_rate_apr  [MK-XS-I-015]
3. payments → the minimum and chosen payments  [MK-XS-I-016]</t>
        </is>
      </c>
      <c r="K10" t="inlineStr">
        <is>
          <t>US dollars · held to the cent · shown as whole dollars  [derived by rule — confirm]</t>
        </is>
      </c>
      <c r="L10" t="inlineStr">
        <is>
          <t>Adds up to $0 when there is nothing to add. Zero and "nothing recorded yet" look identical on screen — worth a decision.</t>
        </is>
      </c>
      <c r="M10" t="inlineStr">
        <is>
          <t>One figure per debt, and one total per person  [derived by rule — confirm]</t>
        </is>
      </c>
      <c r="N10" t="inlineStr">
        <is>
          <t>As of today, from the latest figures held  [derived by rule — confirm]</t>
        </is>
      </c>
      <c r="O10" t="inlineStr">
        <is>
          <t>1. MK-XS-E-017 (DEBT_MINIMUM_TOTAL) → What must I pay across all debts to stay current?
2. MK-XS-E-018 (DEBT_PAYMENTS_ACTUAL) → What is actually going out on debt each month?</t>
        </is>
      </c>
      <c r="P10" t="inlineStr">
        <is>
          <t>1. MK-ST-F-055 round2 → MK-CF-F-026 actualDebtPayment → MK-CF-F-036 buildDebtState
2. MK-CF-F-021 defaultPaymentType → MK-CF-F-022 paymentShape → MK-CF-F-023 requiredPayment → MK-CF-F-024 totalDebtMonthly → MK-CF-F-026 actualDebtPayment → MK-CF-F-036 buildDebtState
3. MK-CF-F-021 defaultPaymentType → MK-CF-F-022 paymentShape → MK-CF-F-025 minimumDebtService → MK-CF-F-036 buildDebtState
4. MK-ST-F-055 round2 → MK-CF-F-025 minimumDebtService → MK-CF-F-036 buildDebtState
5. MK-ST-F-055 round2 → MK-CF-F-036 buildDebtState</t>
        </is>
      </c>
      <c r="Q10" t="inlineStr">
        <is>
          <t>1. MK-CF-F-036 — Leaves some rows out of the answer — check which.
2. MK-CF-F-025 — If minimum monthly payment is missing it counts as zero, so nothing recorded and a real zero look the same.
3. MK-ST-F-055 — Multiplies by 100 — a percentage, or an option contract treated as 100 shares. Worth checking which.
4. MK-ST-F-055 — Rounds the answer to a whole number.
5. MK-CF-F-023 — If monthly payment is missing it uses 0.</t>
        </is>
      </c>
      <c r="R10" t="inlineStr"/>
      <c r="S10" t="inlineStr"/>
      <c r="T10" t="inlineStr">
        <is>
          <t>NOT DETERMINED — no assumption recorded for this figure yet.</t>
        </is>
      </c>
      <c r="U10" t="inlineStr"/>
      <c r="V10" t="inlineStr"/>
      <c r="W10" t="inlineStr"/>
      <c r="X10" t="inlineStr"/>
      <c r="Y10" t="inlineStr">
        <is>
          <t>NOT DETERMINED</t>
        </is>
      </c>
      <c r="Z10" t="inlineStr">
        <is>
          <t>VERIFIED 2026-08-22</t>
        </is>
      </c>
      <c r="AA10"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t="inlineStr">
        <is>
          <t>1. B19 [ONE FORMULA] — Four figures share one formula naming buildDebtState — what is owed, each debt's balance, the MONTHLY DEBT PAYMENT, and net worth. buildDebtState returns the total owed; the monthly payment comes from a different function (requiredPayment, summed), and net worth is a different figure again.</t>
        </is>
      </c>
      <c r="AC10" t="inlineStr">
        <is>
          <t>HAS A FUNCTION — traceable from the screen to the code.</t>
        </is>
      </c>
      <c r="AD10" t="inlineStr"/>
      <c r="AE10" t="inlineStr">
        <is>
          <t>B19 — OPEN since 2026-08-26 — nothing has closed this. It is not known to be wrong; it is known to be unaddressed.</t>
        </is>
      </c>
      <c r="AF10" t="inlineStr">
        <is>
          <t>ACTIVE</t>
        </is>
      </c>
      <c r="AG10" t="inlineStr">
        <is>
          <t>2026-08-27</t>
        </is>
      </c>
    </row>
    <row r="11">
      <c r="A11" t="inlineStr">
        <is>
          <t>MK-NW-M-010</t>
        </is>
      </c>
      <c r="B11" t="inlineStr">
        <is>
          <t>Networth</t>
        </is>
      </c>
      <c r="C11" t="inlineStr">
        <is>
          <t>NA</t>
        </is>
      </c>
      <c r="D11" t="inlineStr">
        <is>
          <t>each debt and what is left on it</t>
        </is>
      </c>
      <c r="E11" t="inlineStr">
        <is>
          <t>d.remaining_balance</t>
        </is>
      </c>
      <c r="F11" t="inlineStr">
        <is>
          <t>buildDebtState</t>
        </is>
      </c>
      <c r="G11" t="inlineStr">
        <is>
          <t>MK-CF-F-036</t>
        </is>
      </c>
      <c r="H11" t="inlineStr">
        <is>
          <t>owed = Σ(remaining balance);  monthly debt payments = Σ(required payment of each debt)</t>
        </is>
      </c>
      <c r="I11"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1" t="inlineStr">
        <is>
          <t>1. every debt → debts  [MK-XS-I-014]
2. rates → interest_rate_apr  [MK-XS-I-015]
3. payments → the minimum and chosen payments  [MK-XS-I-016]</t>
        </is>
      </c>
      <c r="K11" t="inlineStr">
        <is>
          <t>US dollars · held to the cent · shown as whole dollars  [derived by rule — confirm]</t>
        </is>
      </c>
      <c r="L11" t="inlineStr">
        <is>
          <t>Adds up to $0 when there is nothing to add. Zero and "nothing recorded yet" look identical on screen — worth a decision.</t>
        </is>
      </c>
      <c r="M11" t="inlineStr">
        <is>
          <t>One figure per debt, and one total per person  [derived by rule — confirm]</t>
        </is>
      </c>
      <c r="N11" t="inlineStr">
        <is>
          <t>As of today, from the latest figures held  [derived by rule — confirm]</t>
        </is>
      </c>
      <c r="O11" t="inlineStr">
        <is>
          <t>1. MK-XS-E-017 (DEBT_MINIMUM_TOTAL) → What must I pay across all debts to stay current?
2. MK-XS-E-018 (DEBT_PAYMENTS_ACTUAL) → What is actually going out on debt each month?</t>
        </is>
      </c>
      <c r="P11" t="inlineStr">
        <is>
          <t>1. MK-ST-F-055 round2 → MK-CF-F-026 actualDebtPayment → MK-CF-F-036 buildDebtState
2. MK-CF-F-021 defaultPaymentType → MK-CF-F-022 paymentShape → MK-CF-F-023 requiredPayment → MK-CF-F-024 totalDebtMonthly → MK-CF-F-026 actualDebtPayment → MK-CF-F-036 buildDebtState
3. MK-CF-F-021 defaultPaymentType → MK-CF-F-022 paymentShape → MK-CF-F-025 minimumDebtService → MK-CF-F-036 buildDebtState
4. MK-ST-F-055 round2 → MK-CF-F-025 minimumDebtService → MK-CF-F-036 buildDebtState
5. MK-ST-F-055 round2 → MK-CF-F-036 buildDebtState</t>
        </is>
      </c>
      <c r="Q11" t="inlineStr">
        <is>
          <t>1. MK-CF-F-036 — Leaves some rows out of the answer — check which.
2. MK-CF-F-025 — If minimum monthly payment is missing it counts as zero, so nothing recorded and a real zero look the same.
3. MK-ST-F-055 — Multiplies by 100 — a percentage, or an option contract treated as 100 shares. Worth checking which.
4. MK-ST-F-055 — Rounds the answer to a whole number.
5. MK-CF-F-023 — If monthly payment is missing it uses 0.</t>
        </is>
      </c>
      <c r="R11" t="inlineStr"/>
      <c r="S11" t="inlineStr"/>
      <c r="T11" t="inlineStr">
        <is>
          <t>NOT DETERMINED — no assumption recorded for this figure yet.</t>
        </is>
      </c>
      <c r="U11" t="inlineStr"/>
      <c r="V11" t="inlineStr"/>
      <c r="W11" t="inlineStr"/>
      <c r="X11" t="inlineStr"/>
      <c r="Y11" t="inlineStr">
        <is>
          <t>NOT DETERMINED</t>
        </is>
      </c>
      <c r="Z11" t="inlineStr">
        <is>
          <t>VERIFIED 2026-08-22</t>
        </is>
      </c>
      <c r="AA11"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t="inlineStr">
        <is>
          <t>1. B19 [ONE FORMULA] — Four figures share one formula naming buildDebtState — what is owed, each debt's balance, the MONTHLY DEBT PAYMENT, and net worth. buildDebtState returns the total owed; the monthly payment comes from a different function (requiredPayment, summed), and net worth is a different figure again.</t>
        </is>
      </c>
      <c r="AC11" t="inlineStr">
        <is>
          <t>HAS A FUNCTION — traceable from the screen to the code.</t>
        </is>
      </c>
      <c r="AD11" t="inlineStr"/>
      <c r="AE11" t="inlineStr">
        <is>
          <t>B19 — OPEN since 2026-08-26 — nothing has closed this. It is not known to be wrong; it is known to be unaddressed.</t>
        </is>
      </c>
      <c r="AF11" t="inlineStr">
        <is>
          <t>ACTIVE</t>
        </is>
      </c>
      <c r="AG11" t="inlineStr">
        <is>
          <t>2026-08-27</t>
        </is>
      </c>
    </row>
    <row r="12">
      <c r="A12" t="inlineStr">
        <is>
          <t>MK-NW-M-011</t>
        </is>
      </c>
      <c r="B12" t="inlineStr">
        <is>
          <t>Networth</t>
        </is>
      </c>
      <c r="C12" t="inlineStr">
        <is>
          <t>NA</t>
        </is>
      </c>
      <c r="D12" t="inlineStr">
        <is>
          <t>minimum monthly payment on a debt</t>
        </is>
      </c>
      <c r="E12" t="inlineStr">
        <is>
          <t>d.minimum_monthly_payment</t>
        </is>
      </c>
      <c r="F12" t="inlineStr">
        <is>
          <t>requiredPayment</t>
        </is>
      </c>
      <c r="G12" t="inlineStr">
        <is>
          <t>MK-CF-F-023</t>
        </is>
      </c>
      <c r="H12" t="inlineStr">
        <is>
          <t>required payment = the stated minimum, or interest + 1% of balance when none is stated</t>
        </is>
      </c>
      <c r="I12" t="inlineStr">
        <is>
          <t>Due in full → 0. It is a dated bill, and calling it a monthly payment overstates what a person is committed to. Otherwise the LARGER of the minimum and whatever payment they have chosen, so overpaying on purpose shows up.</t>
        </is>
      </c>
      <c r="J12" t="inlineStr">
        <is>
          <t>1. shape → paymentShape  [MK-XS-I-042]
2. minimum → minimum_monthly_payment  [MK-XS-I-016]
3. chosen → monthly_payment  [MK-XS-I-041]</t>
        </is>
      </c>
      <c r="K12" t="inlineStr">
        <is>
          <t>US dollars · held to the cent · shown as whole dollars  [derived by rule — confirm]</t>
        </is>
      </c>
      <c r="L12" t="inlineStr">
        <is>
          <t>NOT DETERMINED — this engine has not been read for its refusal yet.</t>
        </is>
      </c>
      <c r="M12" t="inlineStr">
        <is>
          <t>One figure per debt, and one total per person  [derived by rule — confirm]</t>
        </is>
      </c>
      <c r="N12" t="inlineStr">
        <is>
          <t>As of today, from the latest figures held  [derived by rule — confirm]</t>
        </is>
      </c>
      <c r="O12" t="inlineStr">
        <is>
          <t>MK-XS-E-019 (DEBT_SHAPE) → How is THIS debt repaid?</t>
        </is>
      </c>
      <c r="P12" t="inlineStr">
        <is>
          <t>MK-CF-F-021 defaultPaymentType → MK-CF-F-022 paymentShape → MK-CF-F-023 requiredPayment</t>
        </is>
      </c>
      <c r="Q12" t="inlineStr">
        <is>
          <t>MK-CF-F-023 — If monthly payment is missing it uses 0.</t>
        </is>
      </c>
      <c r="R12" t="inlineStr"/>
      <c r="S12" t="inlineStr"/>
      <c r="T12" t="inlineStr">
        <is>
          <t>NOT DETERMINED — no assumption recorded for this figure yet.</t>
        </is>
      </c>
      <c r="U12" t="inlineStr"/>
      <c r="V12" t="inlineStr"/>
      <c r="W12" t="inlineStr"/>
      <c r="X12" t="inlineStr"/>
      <c r="Y12" t="inlineStr">
        <is>
          <t>NOT DETERMINED</t>
        </is>
      </c>
      <c r="Z12" t="inlineStr">
        <is>
          <t>VERIFIED 2026-08-22</t>
        </is>
      </c>
      <c r="AA12" t="inlineStr">
        <is>
          <t>1. A51 — When a debt states no minimum payment the required payment is taken as the interest plus one percent of the balance. Where the one percent comes from is not said, it is not marked as anyone's decision, and it sets both the payoff date and the monthly debt figure on the cash-flow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t="inlineStr">
        <is>
          <t>1. B01 [CLASH] — The file says the required payment is "the stated minimum, or interest + 1% of balance when none is stated". The code (requiredPayment, src/domain/debt/index.ts:44) is the LARGER of the stated minimum and the payment the person chose, falling back to the stated minimum — and ZERO for a debt due in full as a lump. There is no interest term and no 1% anywhere in the debt code. The file describes a rule that was never built.</t>
        </is>
      </c>
      <c r="AC12" t="inlineStr">
        <is>
          <t>HAS A FUNCTION — traceable from the screen to the code.</t>
        </is>
      </c>
      <c r="AD12" t="inlineStr">
        <is>
          <t>B01 — This month — a debt with no stated minimum shows $0/mo and prefills the pay dialog with $0</t>
        </is>
      </c>
      <c r="AE12" t="inlineStr">
        <is>
          <t>A51 — OPEN since 2026-08-26 — nothing has closed this. It is not known to be wrong; it is known to be unaddressed.
B01 — OPEN since 2026-08-26 — nothing has closed this. It is not known to be wrong; it is known to be unaddressed.</t>
        </is>
      </c>
      <c r="AF12" t="inlineStr">
        <is>
          <t>ACTIVE</t>
        </is>
      </c>
      <c r="AG12" t="inlineStr">
        <is>
          <t>2026-08-27</t>
        </is>
      </c>
    </row>
    <row r="13">
      <c r="A13" t="inlineStr">
        <is>
          <t>MK-NW-M-012</t>
        </is>
      </c>
      <c r="B13" t="inlineStr">
        <is>
          <t>Networth</t>
        </is>
      </c>
      <c r="C13" t="inlineStr">
        <is>
          <t>NA</t>
        </is>
      </c>
      <c r="D13" t="inlineStr">
        <is>
          <t>Monthly debt payments $X/mo</t>
        </is>
      </c>
      <c r="E13" t="inlineStr">
        <is>
          <t>dState.total_monthly_debt_service</t>
        </is>
      </c>
      <c r="F13" t="inlineStr">
        <is>
          <t>buildDebtState</t>
        </is>
      </c>
      <c r="G13" t="inlineStr">
        <is>
          <t>MK-CF-F-036</t>
        </is>
      </c>
      <c r="H13" t="inlineStr">
        <is>
          <t>owed = Σ(remaining balance);  monthly debt payments = Σ(required payment of each debt)</t>
        </is>
      </c>
      <c r="I13"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3" t="inlineStr">
        <is>
          <t>1. every debt → debts  [MK-XS-I-014]
2. rates → interest_rate_apr  [MK-XS-I-015]
3. payments → the minimum and chosen payments  [MK-XS-I-016]</t>
        </is>
      </c>
      <c r="K13" t="inlineStr">
        <is>
          <t>US dollars · held to the cent · shown as whole dollars  [derived by rule — confirm]</t>
        </is>
      </c>
      <c r="L13" t="inlineStr">
        <is>
          <t>Adds up to $0 when there is nothing to add. Zero and "nothing recorded yet" look identical on screen — worth a decision.</t>
        </is>
      </c>
      <c r="M13" t="inlineStr">
        <is>
          <t>One figure per debt, and one total per person  [derived by rule — confirm]</t>
        </is>
      </c>
      <c r="N13" t="inlineStr">
        <is>
          <t>As of today, from the latest figures held  [derived by rule — confirm]</t>
        </is>
      </c>
      <c r="O13" t="inlineStr">
        <is>
          <t>1. MK-XS-E-017 (DEBT_MINIMUM_TOTAL) → What must I pay across all debts to stay current?
2. MK-XS-E-018 (DEBT_PAYMENTS_ACTUAL) → What is actually going out on debt each month?</t>
        </is>
      </c>
      <c r="P13" t="inlineStr">
        <is>
          <t>1. MK-ST-F-055 round2 → MK-CF-F-026 actualDebtPayment → MK-CF-F-036 buildDebtState
2. MK-CF-F-021 defaultPaymentType → MK-CF-F-022 paymentShape → MK-CF-F-023 requiredPayment → MK-CF-F-024 totalDebtMonthly → MK-CF-F-026 actualDebtPayment → MK-CF-F-036 buildDebtState
3. MK-CF-F-021 defaultPaymentType → MK-CF-F-022 paymentShape → MK-CF-F-025 minimumDebtService → MK-CF-F-036 buildDebtState
4. MK-ST-F-055 round2 → MK-CF-F-025 minimumDebtService → MK-CF-F-036 buildDebtState
5. MK-ST-F-055 round2 → MK-CF-F-036 buildDebtState</t>
        </is>
      </c>
      <c r="Q13" t="inlineStr">
        <is>
          <t>1. MK-CF-F-036 — Leaves some rows out of the answer — check which.
2. MK-CF-F-025 — If minimum monthly payment is missing it counts as zero, so nothing recorded and a real zero look the same.
3. MK-ST-F-055 — Multiplies by 100 — a percentage, or an option contract treated as 100 shares. Worth checking which.
4. MK-ST-F-055 — Rounds the answer to a whole number.
5. MK-CF-F-023 — If monthly payment is missing it uses 0.</t>
        </is>
      </c>
      <c r="R13" t="inlineStr"/>
      <c r="S13" t="inlineStr"/>
      <c r="T13" t="inlineStr">
        <is>
          <t>NOT DETERMINED — no assumption recorded for this figure yet.</t>
        </is>
      </c>
      <c r="U13" t="inlineStr"/>
      <c r="V13" t="inlineStr"/>
      <c r="W13" t="inlineStr"/>
      <c r="X13" t="inlineStr"/>
      <c r="Y13" t="inlineStr">
        <is>
          <t>NOT DETERMINED</t>
        </is>
      </c>
      <c r="Z13" t="inlineStr">
        <is>
          <t>VERIFIED 2026-08-22</t>
        </is>
      </c>
      <c r="AA13"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t="inlineStr">
        <is>
          <t>1. B19 [ONE FORMULA] — Four figures share one formula naming buildDebtState — what is owed, each debt's balance, the MONTHLY DEBT PAYMENT, and net worth. buildDebtState returns the total owed; the monthly payment comes from a different function (requiredPayment, summed), and net worth is a different figure again.</t>
        </is>
      </c>
      <c r="AC13" t="inlineStr">
        <is>
          <t>HAS A FUNCTION — traceable from the screen to the code.</t>
        </is>
      </c>
      <c r="AD13" t="inlineStr"/>
      <c r="AE13" t="inlineStr">
        <is>
          <t>B19 — OPEN since 2026-08-26 — nothing has closed this. It is not known to be wrong; it is known to be unaddressed.</t>
        </is>
      </c>
      <c r="AF13" t="inlineStr">
        <is>
          <t>ACTIVE</t>
        </is>
      </c>
      <c r="AG13" t="inlineStr">
        <is>
          <t>2026-08-27</t>
        </is>
      </c>
    </row>
    <row r="14">
      <c r="A14" t="inlineStr">
        <is>
          <t>MK-NW-M-013</t>
        </is>
      </c>
      <c r="B14" t="inlineStr">
        <is>
          <t>Networth</t>
        </is>
      </c>
      <c r="C14" t="inlineStr">
        <is>
          <t>NA</t>
        </is>
      </c>
      <c r="D14" t="inlineStr">
        <is>
          <t>EMERGENCY CUSHION — X.X months</t>
        </is>
      </c>
      <c r="E14" t="inlineStr">
        <is>
          <t>runwayMonths</t>
        </is>
      </c>
      <c r="F14" t="inlineStr">
        <is>
          <t>Worked out on the screen itself — no function behind it</t>
        </is>
      </c>
      <c r="G14" t="inlineStr"/>
      <c r="H14" t="inlineStr">
        <is>
          <t>cushion in months = cash ÷ essentials a month</t>
        </is>
      </c>
      <c r="I14" t="inlineStr">
        <is>
          <t>Worked out on the screen itself, with no engine behind it — a place a second definition can appear.</t>
        </is>
      </c>
      <c r="J14" t="inlineStr">
        <is>
          <t>NOT DETERMINED — no input list on record for this engine</t>
        </is>
      </c>
      <c r="K14" t="inlineStr">
        <is>
          <t>Months · one decimal  [derived by rule — confirm]</t>
        </is>
      </c>
      <c r="L14" t="inlineStr">
        <is>
          <t>Inherits the refusal of the figures it is built from: if either side is missing, this line is not shown.</t>
        </is>
      </c>
      <c r="M14" t="inlineStr">
        <is>
          <t>One figure per month  [derived by rule — confirm]</t>
        </is>
      </c>
      <c r="N14" t="inlineStr">
        <is>
          <t>As of today, from the latest figures held  [derived by rule — confirm]</t>
        </is>
      </c>
      <c r="O14" t="inlineStr">
        <is>
          <t>NOT DETERMINED</t>
        </is>
      </c>
      <c r="P14" t="inlineStr">
        <is>
          <t>No function on record — nothing to chain</t>
        </is>
      </c>
      <c r="Q14" t="inlineStr">
        <is>
          <t>No function on record — assumptions unknown</t>
        </is>
      </c>
      <c r="R14" t="inlineStr"/>
      <c r="S14" t="inlineStr"/>
      <c r="T14" t="inlineStr">
        <is>
          <t>NOT DETERMINED — no assumption recorded for this figure yet.</t>
        </is>
      </c>
      <c r="U14" t="inlineStr"/>
      <c r="V14" t="inlineStr"/>
      <c r="W14" t="inlineStr"/>
      <c r="X14" t="inlineStr"/>
      <c r="Y14" t="inlineStr">
        <is>
          <t>NOT DETERMINED</t>
        </is>
      </c>
      <c r="Z14" t="inlineStr">
        <is>
          <t>VERIFIED 2026-08-22</t>
        </is>
      </c>
      <c r="AA1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t="inlineStr">
        <is>
          <t>B24 [NOT COMPARABLE] — This figure names no function, so its formula cannot be checked against anything. 69 of the 163 figures are in this position — the audit covers the 94 that name one.</t>
        </is>
      </c>
      <c r="AC14"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4" t="inlineStr"/>
      <c r="AE14" t="inlineStr">
        <is>
          <t>No finding on this row. That is not a statement that the row is right — only that nothing has been written against it.</t>
        </is>
      </c>
      <c r="AF14" t="inlineStr">
        <is>
          <t>ACTIVE</t>
        </is>
      </c>
      <c r="AG14" t="inlineStr">
        <is>
          <t>2026-08-27</t>
        </is>
      </c>
    </row>
    <row r="15">
      <c r="A15" t="inlineStr">
        <is>
          <t>MK-NW-M-014</t>
        </is>
      </c>
      <c r="B15" t="inlineStr">
        <is>
          <t>Networth</t>
        </is>
      </c>
      <c r="C15" t="inlineStr">
        <is>
          <t>NA</t>
        </is>
      </c>
      <c r="D15" t="inlineStr">
        <is>
          <t>of essentials covered by your cash — $X cash ÷ $Y/mo essentials</t>
        </is>
      </c>
      <c r="E15" t="inlineStr">
        <is>
          <t>cashOnHand / monthlySpend</t>
        </is>
      </c>
      <c r="F15" t="inlineStr">
        <is>
          <t>1. cashTotal
2. plannedMonthlySpend</t>
        </is>
      </c>
      <c r="G15" t="inlineStr">
        <is>
          <t>1. MK-NW-F-016
2. MK-CF-F-002</t>
        </is>
      </c>
      <c r="H15" t="inlineStr">
        <is>
          <t>months of cushion = cash ÷ essentials a month</t>
        </is>
      </c>
      <c r="I15" t="inlineStr">
        <is>
          <t>Add up the balances of every account whose class is Cash. Under the founder's 2026-08-04 rule that means checking, savings, high-yield savings and the uninvested sweep at a broker — and NOT money-market funds, which pay dividends and are measured with the investments. · 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15" t="inlineStr">
        <is>
          <t>1. each account's class → assetClassOf  [MK-XS-I-048]
2. each account's money → balance  [MK-XS-I-001]
3. the categories → SPENDING_BY_KIND  [MK-XS-I-032]
4. the single figure → monthlySpending  [MK-XS-I-024, MK-XS-I-030]</t>
        </is>
      </c>
      <c r="K15" t="inlineStr">
        <is>
          <t>US dollars · held to the cent · shown as whole dollars  [derived by rule — confirm]</t>
        </is>
      </c>
      <c r="L15" t="inlineStr">
        <is>
          <t>A division: with nothing on the bottom there is no answer, and the line must not appear as zero. NOT YET CONFIRMED against the engine.</t>
        </is>
      </c>
      <c r="M15" t="inlineStr">
        <is>
          <t>One figure per person — or per household when two people share one record  [derived by rule — confirm]</t>
        </is>
      </c>
      <c r="N15" t="inlineStr">
        <is>
          <t>As of today, from the latest figures held  [derived by rule — confirm]</t>
        </is>
      </c>
      <c r="O15" t="inlineStr">
        <is>
          <t>1. MK-XS-E-015 (ACCOUNT_SPLIT) → This one brokerage account holds several different things — how much of it is each?
2. MK-XS-E-008 (ASSET_CLASS_OF_ACCOUNT) → What kind of thing is this account — cash, a bond, shares, or something else?
3. MK-XS-E-020 (READ_A_NUMBER) → What number did the person actually type?
4. MK-XS-E-021 (SPENDING_BY_KIND) → What is spent each month, split by kind?</t>
        </is>
      </c>
      <c r="P15" t="inlineStr">
        <is>
          <t>1. MK-ST-F-055 round2 → MK-CF-F-155 cash → MK-NW-F-008 incomeBearingClassOf → MK-NW-F-011 assetClassOf → MK-NW-F-027 accountClassBreakdown → MK-NW-F-016 cashTotal
2. MK-ST-F-056 has → MK-ST-F-010 nameEvidence → MK-NW-F-008 incomeBearingClassOf → MK-NW-F-011 assetClassOf → MK-NW-F-027 accountClassBreakdown → MK-NW-F-016 cashTotal
3. MK-CF-F-132 map → MK-ST-F-010 nameEvidence → MK-NW-F-008 incomeBearingClassOf → MK-NW-F-011 assetClassOf → MK-NW-F-027 accountClassBreakdown → MK-NW-F-016 cashTotal
4. MK-ST-F-055 round2 → MK-CF-F-155 cash → MK-NW-F-008 incomeBearingClassOf → MK-NW-F-027 accountClassBreakdown → MK-NW-F-016 cashTotal
5. MK-ST-F-056 has → MK-ST-F-010 nameEvidence → MK-NW-F-008 incomeBearingClassOf → MK-NW-F-027 accountClassBreakdown → MK-NW-F-016 cashTotal
6. MK-CF-F-132 map → MK-ST-F-010 nameEvidence → MK-NW-F-008 incomeBearingClassOf → MK-NW-F-027 accountClassBreakdown → MK-NW-F-016 cashTotal
7. MK-ST-F-055 round2 → MK-NW-F-027 accountClassBreakdown → MK-NW-F-016 cashTotal
8. MK-ST-F-055 round2 → MK-CF-F-155 cash → MK-NW-F-008 incomeBearingClassOf → MK-NW-F-011 assetClassOf → MK-NW-F-016 cashTotal
9. … and 3 more paths
10. MK-CF-F-069 benefitActiveMonths → MK-CF-F-092 incomeMonthlyGrid → MK-CF-F-002 plannedMonthlySpend
11. MK-ST-F-052 toNum → MK-CF-F-075 retirementIncomeMonthly → MK-CF-F-072 currentRetirementIncomeMonthly → MK-CF-F-092 incomeMonthlyGrid → MK-CF-F-002 plannedMonthlySpend
12. MK-ST-F-052 toNum → MK-CF-F-062 equityRowValue → MK-CF-F-065 equityVestWeights → MK-CF-F-092 incomeMonthlyGrid → MK-CF-F-002 plannedMonthlySpend
13. MK-CF-F-132 map → MK-CF-F-065 equityVestWeights → MK-CF-F-092 incomeMonthlyGrid → MK-CF-F-002 plannedMonthlySpend
14. MK-CF-F-069 benefitActiveMonths → MK-CF-F-070 benefitAnnual → MK-CF-F-071 extraIncome → MK-CF-F-092 incomeMonthlyGrid → MK-CF-F-002 plannedMonthlySpend
15. MK-ST-F-052 toNum → MK-CF-F-070 benefitAnnual → MK-CF-F-071 extraIncome → MK-CF-F-092 incomeMonthlyGrid → MK-CF-F-002 plannedMonthlySpend
16. MK-ST-F-055 round2 → MK-CF-F-071 extraIncome → MK-CF-F-092 incomeMonthlyGrid → MK-CF-F-002 plannedMonthlySpend
17. MK-ST-F-052 toNum → MK-CF-F-071 extraIncome → MK-CF-F-092 incomeMonthlyGrid → MK-CF-F-002 plannedMonthlySpend
18. … and 5 more paths</t>
        </is>
      </c>
      <c r="Q15" t="inlineStr">
        <is>
          <t>1. MK-NW-F-016 — If balance is missing it counts as zero, so nothing recorded and a real zero look the same.
2. MK-NW-F-027 — If cash balance is missing it uses 0.
3. MK-NW-F-027 — If shares is missing it counts as zero, so nothing recorded and a real zero look the same.
4. MK-NW-F-027 — If value is missing it counts as zero, so nothing recorded and a real zero look the same.
5. MK-NW-F-027 — If balance is missing it counts as zero, so nothing recorded and a real zero look the same.
6. MK-ST-F-055 — Multiplies by 100 — a percentage, or an option contract treated as 100 shares. Worth checking which.
7. MK-ST-F-055 — Rounds the answer to a whole number.
8. MK-CF-F-092 — Treats a year as twelve equal months.
9. MK-CF-F-092 — Uses today's date from the device clock, so the answer changes by itself overnight.
10. MK-CF-F-069 — Leaves some rows out of the answer — check which.
11. MK-CF-F-065 — Uses a built-in total v of 0.
12. MK-CF-F-071 — Treats a year as twelve equal months.
13. MK-CF-F-087 — Uses today's date from the device clock, so the answer changes by itself overnight.
14. MK-CF-F-181 — Turns a monthly figure into a year by multiplying by twelve.
15. MK-CF-F-181 — Multiplies by 100 — a percentage, or an option contract treated as 100 shares. Worth checking which.
16. MK-CF-F-181 — Rounds the answer to a whole number.
17. MK-CF-F-068 — Turns a monthly figure into a year by multiplying by twelve.
18. MK-CF-F-066 — Leaves some rows out of the answer — check which.
19. MK-CF-F-077 — Uses a built-in i of 0.
20. MK-CF-F-077 — Treats a year as twelve equal months.
21. MK-CF-F-088 — Treats a year as twelve equal months.
22. MK-CF-F-088 — Uses today's date from the device clock, so the answer changes by itself overnight.
23. MK-CF-F-003 — Treats a year as twelve equal months.
24. MK-CF-F-003 — Turns a monthly figure into a year by multiplying by twelve.
25. MK-CF-F-089 — Uses today's date from the device clock, so the answer changes by itself overnight.
… and 16 more, on the functions tab</t>
        </is>
      </c>
      <c r="R15" t="inlineStr">
        <is>
          <t>DECIDES what counts as cash — and deliberately excludes money-market funds.</t>
        </is>
      </c>
      <c r="S15" t="inlineStr">
        <is>
          <t>Money-market funds are deliberately NOT counted as cash. Any institution that reports a sweep as a fund will therefore land in investments — worth watching per provider.</t>
        </is>
      </c>
      <c r="T15" t="inlineStr">
        <is>
          <t>[Founder] Cash means checking, savings, high-yield savings and the uninvested sweep at a broker. Money-market funds are investments, because they pay dividends and are measured with the investments (founder, 2026-08-04).</t>
        </is>
      </c>
      <c r="U15" t="inlineStr"/>
      <c r="V15" t="inlineStr"/>
      <c r="W15" t="inlineStr"/>
      <c r="X15" t="inlineStr"/>
      <c r="Y15" t="inlineStr">
        <is>
          <t>NOT DETERMINED</t>
        </is>
      </c>
      <c r="Z15" t="inlineStr">
        <is>
          <t>VERIFIED 2026-08-22</t>
        </is>
      </c>
      <c r="AA15"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A17 — "Uses a built-in i of 0", on 11 functions, is the loop counter — let i = 0.
4. A18 — "Treats a year as twelve equal months" fires on any division by 12, a month index included; "Treats a month as 30 days" fires on any multiplication by 30. Neither is read as arithmetic, so both carry false positives.
5.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t="inlineStr">
        <is>
          <t>1. B03 [CLASH] — The file says "months of cushion = cash ÷ ESSENTIALS a month". The figure routes through plannedMonthlySpend (src/domain/budget/index.ts:45), which is the larger of every planned category added up and the stated total — ALL spending, wants included. A monthlyEssentials function exists three screens away (line 158) and separates needs from wants; this figure does not call it. Dividing by a bigger number makes the cushion read SHORTER than it is, which is the safe direction but is still not what the label says.</t>
        </is>
      </c>
      <c r="AC15" t="inlineStr">
        <is>
          <t>HAS A FUNCTION — traceable from the screen to the code.</t>
        </is>
      </c>
      <c r="AD15" t="inlineStr"/>
      <c r="AE15" t="inlineStr">
        <is>
          <t>B03 — OPEN since 2026-08-26 — nothing has closed this. It is not known to be wrong; it is known to be unaddressed.</t>
        </is>
      </c>
      <c r="AF15" t="inlineStr">
        <is>
          <t>ACTIVE</t>
        </is>
      </c>
      <c r="AG15" t="inlineStr">
        <is>
          <t>2026-08-27</t>
        </is>
      </c>
    </row>
    <row r="16">
      <c r="A16" t="inlineStr">
        <is>
          <t>MK-NW-M-015</t>
        </is>
      </c>
      <c r="B16" t="inlineStr">
        <is>
          <t>Networth</t>
        </is>
      </c>
      <c r="C16" t="inlineStr">
        <is>
          <t>NA</t>
        </is>
      </c>
      <c r="D16" t="inlineStr">
        <is>
          <t>YOUR RETIREMENT PLAN — on track for $X by age Y</t>
        </is>
      </c>
      <c r="E16" t="inlineStr">
        <is>
          <t>pathAhead</t>
        </is>
      </c>
      <c r="F16" t="inlineStr">
        <is>
          <t>projectNestEgg</t>
        </is>
      </c>
      <c r="G16" t="inlineStr">
        <is>
          <t>MK-PL-F-055</t>
        </is>
      </c>
      <c r="H16" t="inlineStr">
        <is>
          <t>pot = balance × (1 + r)^n + Σ(contribution × (1 + r)^(n − year)),  n = years to retirement</t>
        </is>
      </c>
      <c r="I16"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16" t="inlineStr">
        <is>
          <t>the same inputs → inp  [MK-XS-I-001]</t>
        </is>
      </c>
      <c r="K16" t="inlineStr">
        <is>
          <t>Age in whole years  [derived by rule — confirm]</t>
        </is>
      </c>
      <c r="L16" t="inlineStr">
        <is>
          <t>No figure when there is nothing to grow, or when retirement is not ahead of the person.</t>
        </is>
      </c>
      <c r="M16" t="inlineStr">
        <is>
          <t>One figure per person — or per household when two people share one record  [derived by rule — confirm]</t>
        </is>
      </c>
      <c r="N16" t="inlineStr">
        <is>
          <t>From today to the retirement age in the plan  [derived by rule — confirm]</t>
        </is>
      </c>
      <c r="O16" t="inlineStr">
        <is>
          <t>MK-XS-E-005 (WILL_IT_LAST) → Will my money last?</t>
        </is>
      </c>
      <c r="P16" t="inlineStr">
        <is>
          <t>1. MK-CF-F-132 map → MK-PL-F-055 projectNestEgg
2. MK-ST-F-055 round2 → MK-PL-F-055 projectNestEgg
3. MK-CF-F-132 map → MK-PL-F-050 simulate → MK-PL-F-055 projectNestEgg
4. MK-PL-F-074 median → MK-PL-F-050 simulate → MK-PL-F-055 projectNestEgg
5. MK-PL-F-072 mulberry32 → MK-PL-F-050 simulate → MK-PL-F-055 projectNestEgg
6. MK-PL-F-073 normal → MK-PL-F-050 simulate → MK-PL-F-055 projectNestEgg
7. MK-PL-F-075 pctOfSorted → MK-PL-F-050 simulate → MK-PL-F-055 projectNestEgg
8. MK-ST-F-024 rmdStartAge → MK-ST-F-025 rmdStartAgeFromAge → MK-PL-F-050 simulate → MK-PL-F-055 projectNestEgg
9. … and 1 more paths</t>
        </is>
      </c>
      <c r="Q16" t="inlineStr">
        <is>
          <t>1. MK-PL-F-055 — If contribution growth is missing it uses 0.
2. MK-PL-F-055 — If monthly is missing it counts as zero, so nothing recorded and a real zero look the same.
3. MK-PL-F-055 — Uses a built-in y of 0.
4. MK-PL-F-055 — Uses a built-in need of 0.
5. MK-PL-F-055 — Turns a monthly figure into a year by multiplying by twelve.
6. MK-ST-F-055 — Multiplies by 100 — a percentage, or an option contract treated as 100 shares. Worth checking which.
7. MK-ST-F-055 — Rounds the answer to a whole number.
8. MK-PL-F-050 — If paths is missing it uses 500.
9. MK-PL-F-050 — If seed is missing it uses 12345.
10. MK-PL-F-050 — If now year is missing it uses 2026.
11. MK-PL-F-050 — If contribution growth is missing it uses 0.
12. MK-PL-F-050 — If pre tax share is missing it uses 0.
13. MK-PL-F-050 — If required withdrawal tax rate is missing it uses 22%.
14. MK-PL-F-050 — If monthly is missing it counts as zero, so nothing recorded and a real zero look the same.
15. MK-PL-F-050 — If one off by year[off] is missing it counts as zero, so nothing recorded and a real zero look the same.
16. MK-PL-F-050 — If recurring by year[y] is missing it counts as zero, so nothing recorded and a real zero look the same.
17. MK-PL-F-050 — If contrib by year[y] is missing it counts as zero, so nothing recorded and a real zero look the same.
18. MK-PL-F-050 — Uses a built-in y of 1.
19. MK-PL-F-050 — Uses a built-in successes of 0.
20. MK-PL-F-050 — Uses a built-in p of 0.
21. MK-PL-F-050 — Uses a built-in y of 0.
22. MK-PL-F-050 — Treats a year as twelve equal months.
23. MK-PL-F-050 — Turns a monthly figure into a year by multiplying by twelve.
24. MK-PL-F-050 — Multiplies by 100 — a percentage, or an option contract treated as 100 shares. Worth checking which.
25. MK-PL-F-050 — Rounds the answer to a whole number.
… and 1 more, on the functions tab</t>
        </is>
      </c>
      <c r="R16" t="inlineStr"/>
      <c r="S16" t="inlineStr">
        <is>
          <t>The Net worth screen builds this projection WITHOUT the person's big costs, while Cash flow, Budget, Goals and Social Security timing all include them. Same person, same day, two different nest eggs. Seen in the code; not yet confirmed on screen.</t>
        </is>
      </c>
      <c r="T16"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U16" t="inlineStr">
        <is>
          <t>THE SAME FIGURE AS MK-PL-M-033 — The projected pot at retirement, shown on Net worth as "on track for $X by age Y" and on the cockpit as "your $X grows to $Y". One figure, two screens — the founder spotted this one himself.</t>
        </is>
      </c>
      <c r="V16" t="inlineStr">
        <is>
          <t>Q18 — Net worth projects the pot WITHOUT your big costs; Cash flow, Budget, Goals and Social Security timing all include them. Which is right for the Net worth screen?</t>
        </is>
      </c>
      <c r="W16" t="inlineStr"/>
      <c r="X16" t="inlineStr"/>
      <c r="Y16" t="inlineStr">
        <is>
          <t>NOT DETERMINED</t>
        </is>
      </c>
      <c r="Z16" t="inlineStr">
        <is>
          <t>VERIFIED 2026-08-22</t>
        </is>
      </c>
      <c r="AA16"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spending side rather than here — so whether the headline is in today's money depends on a convention stated nowhere. (projectNestEgg, src/domain/retirement/index.ts:324.)
2.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3.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4. A18 — "Treats a year as twelve equal months" fires on any division by 12, a month index included; "Treats a month as 30 days" fires on any multiplication by 30. Neither is read as arithmetic, so both carry false positives.
5.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16" t="inlineStr">
        <is>
          <t>HAS A FUNCTION — traceable from the screen to the code.</t>
        </is>
      </c>
      <c r="AD16" t="inlineStr">
        <is>
          <t>B11 — This month — the future-paycheck figure omits contribution growth the code applies</t>
        </is>
      </c>
      <c r="AE16" t="inlineStr">
        <is>
          <t>A44 — NOT A DEFECT 2026-08-26
B11 — OPEN since 2026-08-26 — nothing has closed this. It is not known to be wrong; it is known to be unaddressed.</t>
        </is>
      </c>
      <c r="AF16" t="inlineStr">
        <is>
          <t>SUPERSEDED BY MK-PL-M-033 — the same figure under another identifier. This number is retired and is never handed to anything else.</t>
        </is>
      </c>
      <c r="AG16" t="inlineStr">
        <is>
          <t>2026-08-27</t>
        </is>
      </c>
    </row>
    <row r="17">
      <c r="A17" t="inlineStr">
        <is>
          <t>MK-NW-M-016</t>
        </is>
      </c>
      <c r="B17" t="inlineStr">
        <is>
          <t>Networth</t>
        </is>
      </c>
      <c r="C17" t="inlineStr">
        <is>
          <t>NA</t>
        </is>
      </c>
      <c r="D17" t="inlineStr">
        <is>
          <t>Net worth so far (setup)</t>
        </is>
      </c>
      <c r="E17" t="inlineStr">
        <is>
          <t>nw.net_worth</t>
        </is>
      </c>
      <c r="F17" t="inlineStr">
        <is>
          <t>buildNetWorth</t>
        </is>
      </c>
      <c r="G17" t="inlineStr">
        <is>
          <t>MK-NW-F-065</t>
        </is>
      </c>
      <c r="H17" t="inlineStr">
        <is>
          <t>net worth = Σ(all asset balances) − Σ(all debt balances)</t>
        </is>
      </c>
      <c r="I17"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17" t="inlineStr">
        <is>
          <t>1. everything owned → grossAssets  [MK-XS-I-001]
2. everything owed → grossDebt  [MK-XS-I-014]</t>
        </is>
      </c>
      <c r="K17" t="inlineStr">
        <is>
          <t>US dollars · held to the cent · shown as whole dollars  [derived by rule — confirm]</t>
        </is>
      </c>
      <c r="L17" t="inlineStr">
        <is>
          <t>Adds up to $0 when there is nothing to add. Zero and "nothing recorded yet" look identical on screen — worth a decision.</t>
        </is>
      </c>
      <c r="M17" t="inlineStr">
        <is>
          <t>One figure per person — or per household when two people share one record  [derived by rule — confirm]</t>
        </is>
      </c>
      <c r="N17" t="inlineStr">
        <is>
          <t>As of today, from the latest figures held  [derived by rule — confirm]</t>
        </is>
      </c>
      <c r="O17" t="inlineStr">
        <is>
          <t>None — this engine reads raw inputs only</t>
        </is>
      </c>
      <c r="P17" t="inlineStr">
        <is>
          <t>MK-ST-F-055 round2 → MK-NW-F-065 buildNetWorth</t>
        </is>
      </c>
      <c r="Q17" t="inlineStr">
        <is>
          <t>1. MK-ST-F-055 — Multiplies by 100 — a percentage, or an option contract treated as 100 shares. Worth checking which.
2. MK-ST-F-055 — Rounds the answer to a whole number.</t>
        </is>
      </c>
      <c r="R17" t="inlineStr"/>
      <c r="S17" t="inlineStr"/>
      <c r="T17" t="inlineStr">
        <is>
          <t>[Founder] Assets minus debts, computed each time and never stored as a third number that could disagree with its own halves. A genuine negative is shown, never floored at zero.</t>
        </is>
      </c>
      <c r="U17" t="inlineStr">
        <is>
          <t>THE SAME FIGURE AS MK-XS-M-001 — Net worth. "Net worth so far" during setup is the same figure as the headline, mid-way through entry.</t>
        </is>
      </c>
      <c r="V17" t="inlineStr"/>
      <c r="W17" t="inlineStr"/>
      <c r="X17" t="inlineStr"/>
      <c r="Y17" t="inlineStr">
        <is>
          <t>NOT DETERMINED</t>
        </is>
      </c>
      <c r="Z17" t="inlineStr">
        <is>
          <t>VERIFIED 2026-08-22</t>
        </is>
      </c>
      <c r="AA17"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t="inlineStr">
        <is>
          <t>AGREES — the figure's arithmetic and the arithmetic of the function it names say the same thing. Checked 2026-08-26.</t>
        </is>
      </c>
      <c r="AC17" t="inlineStr">
        <is>
          <t>HAS A FUNCTION — traceable from the screen to the code.</t>
        </is>
      </c>
      <c r="AD17" t="inlineStr"/>
      <c r="AE17" t="inlineStr">
        <is>
          <t>No finding on this row. That is not a statement that the row is right — only that nothing has been written against it.</t>
        </is>
      </c>
      <c r="AF17" t="inlineStr">
        <is>
          <t>SUPERSEDED BY MK-XS-M-001 — the same figure under another identifier. This number is retired and is never handed to anything else.</t>
        </is>
      </c>
      <c r="AG17" t="inlineStr">
        <is>
          <t>2026-08-27</t>
        </is>
      </c>
    </row>
    <row r="18">
      <c r="A18" t="inlineStr">
        <is>
          <t>MK-NW-M-017</t>
        </is>
      </c>
      <c r="B18" t="inlineStr">
        <is>
          <t>Networth</t>
        </is>
      </c>
      <c r="C18" t="inlineStr">
        <is>
          <t>NA</t>
        </is>
      </c>
      <c r="D18" t="inlineStr">
        <is>
          <t>Assets $X − Debts $Y = Net worth $Z</t>
        </is>
      </c>
      <c r="E18" t="inlineStr">
        <is>
          <t>totalAssets / dState.total_debt_balance</t>
        </is>
      </c>
      <c r="F18" t="inlineStr">
        <is>
          <t>1. buildNetWorth
2. buildDebtState</t>
        </is>
      </c>
      <c r="G18" t="inlineStr">
        <is>
          <t>1. MK-NW-F-065
2. MK-CF-F-036</t>
        </is>
      </c>
      <c r="H18" t="inlineStr">
        <is>
          <t>net worth = Σ(assets) − Σ(debts);  debts = Σ(remaining balance of each debt)</t>
        </is>
      </c>
      <c r="I18"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 · 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8" t="inlineStr">
        <is>
          <t>1. everything owned → grossAssets  [MK-XS-I-001]
2. everything owed → grossDebt  [MK-XS-I-014]
3. every debt → debts  [MK-XS-I-014]
4. rates → interest_rate_apr  [MK-XS-I-015]
5. payments → the minimum and chosen payments  [MK-XS-I-016]</t>
        </is>
      </c>
      <c r="K18" t="inlineStr">
        <is>
          <t>US dollars · held to the cent · shown as whole dollars  [derived by rule — confirm]</t>
        </is>
      </c>
      <c r="L18" t="inlineStr">
        <is>
          <t>Adds up to $0 when there is nothing to add. Zero and "nothing recorded yet" look identical on screen — worth a decision.</t>
        </is>
      </c>
      <c r="M18" t="inlineStr">
        <is>
          <t>One figure per debt, and one total per person  [derived by rule — confirm]</t>
        </is>
      </c>
      <c r="N18" t="inlineStr">
        <is>
          <t>As of today, from the latest figures held  [derived by rule — confirm]</t>
        </is>
      </c>
      <c r="O18" t="inlineStr">
        <is>
          <t>1. MK-XS-E-017 (DEBT_MINIMUM_TOTAL) → What must I pay across all debts to stay current?
2. MK-XS-E-018 (DEBT_PAYMENTS_ACTUAL) → What is actually going out on debt each month?</t>
        </is>
      </c>
      <c r="P18" t="inlineStr">
        <is>
          <t>1. MK-ST-F-055 round2 → MK-NW-F-065 buildNetWorth
2. MK-ST-F-055 round2 → MK-CF-F-026 actualDebtPayment → MK-CF-F-036 buildDebtState
3. MK-CF-F-021 defaultPaymentType → MK-CF-F-022 paymentShape → MK-CF-F-023 requiredPayment → MK-CF-F-024 totalDebtMonthly → MK-CF-F-026 actualDebtPayment → MK-CF-F-036 buildDebtState
4. MK-CF-F-021 defaultPaymentType → MK-CF-F-022 paymentShape → MK-CF-F-025 minimumDebtService → MK-CF-F-036 buildDebtState
5. MK-ST-F-055 round2 → MK-CF-F-025 minimumDebtService → MK-CF-F-036 buildDebtState
6. MK-ST-F-055 round2 → MK-CF-F-036 buildDebtState</t>
        </is>
      </c>
      <c r="Q18" t="inlineStr">
        <is>
          <t>1. MK-ST-F-055 — Multiplies by 100 — a percentage, or an option contract treated as 100 shares. Worth checking which.
2. MK-ST-F-055 — Rounds the answer to a whole number.
3. MK-CF-F-036 — Leaves some rows out of the answer — check which.
4. MK-CF-F-025 — If minimum monthly payment is missing it counts as zero, so nothing recorded and a real zero look the same.
5. MK-CF-F-023 — If monthly payment is missing it uses 0.</t>
        </is>
      </c>
      <c r="R18" t="inlineStr"/>
      <c r="S18" t="inlineStr"/>
      <c r="T18" t="inlineStr">
        <is>
          <t>[Founder] Assets minus debts, computed each time and never stored as a third number that could disagree with its own halves. A genuine negative is shown, never floored at zero.</t>
        </is>
      </c>
      <c r="U18" t="inlineStr"/>
      <c r="V18" t="inlineStr"/>
      <c r="W18" t="inlineStr"/>
      <c r="X18" t="inlineStr"/>
      <c r="Y18" t="inlineStr">
        <is>
          <t>NOT DETERMINED</t>
        </is>
      </c>
      <c r="Z18" t="inlineStr">
        <is>
          <t>VERIFIED 2026-08-22</t>
        </is>
      </c>
      <c r="AA18"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t="inlineStr">
        <is>
          <t>1. B19 [ONE FORMULA] — Four figures share one formula naming buildDebtState — what is owed, each debt's balance, the MONTHLY DEBT PAYMENT, and net worth. buildDebtState returns the total owed; the monthly payment comes from a different function (requiredPayment, summed), and net worth is a different figure again.</t>
        </is>
      </c>
      <c r="AC18" t="inlineStr">
        <is>
          <t>HAS A FUNCTION — traceable from the screen to the code.</t>
        </is>
      </c>
      <c r="AD18" t="inlineStr"/>
      <c r="AE18" t="inlineStr">
        <is>
          <t>B19 — OPEN since 2026-08-26 — nothing has closed this. It is not known to be wrong; it is known to be unaddressed.</t>
        </is>
      </c>
      <c r="AF18" t="inlineStr">
        <is>
          <t>ACTIVE</t>
        </is>
      </c>
      <c r="AG18" t="inlineStr">
        <is>
          <t>2026-08-27</t>
        </is>
      </c>
    </row>
    <row r="19">
      <c r="A19" t="inlineStr">
        <is>
          <t>MK-NW-M-018</t>
        </is>
      </c>
      <c r="B19" t="inlineStr">
        <is>
          <t>Networth</t>
        </is>
      </c>
      <c r="C19" t="inlineStr">
        <is>
          <t>/account-detail</t>
        </is>
      </c>
      <c r="D19" t="inlineStr">
        <is>
          <t>Market value</t>
        </is>
      </c>
      <c r="E19" t="inlineStr">
        <is>
          <t>account.balance</t>
        </is>
      </c>
      <c r="F19" t="inlineStr">
        <is>
          <t>valueFreshness</t>
        </is>
      </c>
      <c r="G19" t="inlineStr">
        <is>
          <t>MK-NW-F-003</t>
        </is>
      </c>
      <c r="H19" t="inlineStr">
        <is>
          <t>value = the balance last recorded;  age = today − date it was recorded</t>
        </is>
      </c>
      <c r="I19" t="inlineStr">
        <is>
          <t>Months between the date the value was set and today. Six months or more → stale.
A LIVE-PRICED account returns nothing: its value comes from today's prices, so staleness is not a question that applies to it. A value with no date recorded also returns nothing rather than being assumed fresh.</t>
        </is>
      </c>
      <c r="J19" t="inlineStr">
        <is>
          <t>1. the account → a  [MK-XS-I-001]
2. when the value was set → value_as_of  [MK-XS-I-033]
3. today → now  [NOT AN INPUT — a setting or a filter, not data anyone supplies]</t>
        </is>
      </c>
      <c r="K19" t="inlineStr">
        <is>
          <t>US dollars · held to the cent · shown as whole dollars  [derived by rule — confirm]</t>
        </is>
      </c>
      <c r="L19" t="inlineStr">
        <is>
          <t>Always answers, but carries the age of the figure and warns once it is stale.</t>
        </is>
      </c>
      <c r="M19" t="inlineStr">
        <is>
          <t>One figure per person — or per household when two people share one record  [derived by rule — confirm]</t>
        </is>
      </c>
      <c r="N19" t="inlineStr">
        <is>
          <t>As of today, from the latest figures held  [derived by rule — confirm]</t>
        </is>
      </c>
      <c r="O19" t="inlineStr">
        <is>
          <t>None — this engine reads raw inputs only</t>
        </is>
      </c>
      <c r="P19" t="inlineStr">
        <is>
          <t>No dependent function — it reads its inputs and answers</t>
        </is>
      </c>
      <c r="Q19" t="inlineStr">
        <is>
          <t>1. MK-NW-F-003 — Turns a monthly figure into a year by multiplying by twelve.
2. MK-NW-F-003 — Uses today's date from the device clock, so the answer changes by itself overnight.</t>
        </is>
      </c>
      <c r="R19" t="inlineStr">
        <is>
          <t>DECIDES whether a stated value is fresh enough to show without a warning.</t>
        </is>
      </c>
      <c r="S19" t="inlineStr"/>
      <c r="T19" t="inlineStr">
        <is>
          <t>NOT DETERMINED — no assumption recorded for this figure yet.</t>
        </is>
      </c>
      <c r="U19" t="inlineStr">
        <is>
          <t>THE SURVIVING IDENTIFIER for this figure. Folded in: MK-PL-M-016. An account's value. The balance listed under required withdrawals is the same figure as Market value on account detail.</t>
        </is>
      </c>
      <c r="V19" t="inlineStr">
        <is>
          <t>Q23 — Same question for a value you typed by hand: after how long should the app ask you to check it?</t>
        </is>
      </c>
      <c r="W19" t="inlineStr"/>
      <c r="X19" t="inlineStr"/>
      <c r="Y19" t="inlineStr">
        <is>
          <t>NOT DETERMINED</t>
        </is>
      </c>
      <c r="Z19" t="inlineStr">
        <is>
          <t>VERIFIED 2026-08-22</t>
        </is>
      </c>
      <c r="AA1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9" t="inlineStr">
        <is>
          <t>HAS A FUNCTION — traceable from the screen to the code.</t>
        </is>
      </c>
      <c r="AD19" t="inlineStr"/>
      <c r="AE19" t="inlineStr">
        <is>
          <t>B14 — OPEN since 2026-08-26 — nothing has closed this. It is not known to be wrong; it is known to be unaddressed.</t>
        </is>
      </c>
      <c r="AF19" t="inlineStr">
        <is>
          <t>ACTIVE</t>
        </is>
      </c>
      <c r="AG19" t="inlineStr">
        <is>
          <t>2026-08-27</t>
        </is>
      </c>
    </row>
    <row r="20">
      <c r="A20" t="inlineStr">
        <is>
          <t>MK-NW-M-019</t>
        </is>
      </c>
      <c r="B20" t="inlineStr">
        <is>
          <t>Networth</t>
        </is>
      </c>
      <c r="C20" t="inlineStr">
        <is>
          <t>/account-detail</t>
        </is>
      </c>
      <c r="D20" t="inlineStr">
        <is>
          <t>Income</t>
        </is>
      </c>
      <c r="E20" t="inlineStr">
        <is>
          <t>acctIncome</t>
        </is>
      </c>
      <c r="F20" t="inlineStr">
        <is>
          <t>NOT ON RECORD — no function is recorded for this figure</t>
        </is>
      </c>
      <c r="G20" t="inlineStr"/>
      <c r="H20" t="inlineStr">
        <is>
          <t>income = Σ(interest + dividends recorded on this account in the period)</t>
        </is>
      </c>
      <c r="I20" t="inlineStr">
        <is>
          <t>Adds the income lines the ledger holds for this account over the period shown.</t>
        </is>
      </c>
      <c r="J20" t="inlineStr">
        <is>
          <t>NOT DETERMINED — no input list on record for this engine</t>
        </is>
      </c>
      <c r="K20" t="inlineStr">
        <is>
          <t>US dollars · held to the cent · shown as whole dollars  [derived by rule — confirm]</t>
        </is>
      </c>
      <c r="L20" t="inlineStr">
        <is>
          <t>Adds up to $0 when there is nothing to add. Zero and "nothing recorded yet" look identical on screen — worth a decision.</t>
        </is>
      </c>
      <c r="M20" t="inlineStr">
        <is>
          <t>One figure per person — or per household when two people share one record  [derived by rule — confirm]</t>
        </is>
      </c>
      <c r="N20" t="inlineStr">
        <is>
          <t>As of today, from the latest figures held  [derived by rule — confirm]</t>
        </is>
      </c>
      <c r="O20" t="inlineStr">
        <is>
          <t>NOT DETERMINED</t>
        </is>
      </c>
      <c r="P20" t="inlineStr">
        <is>
          <t>No function on record — nothing to chain</t>
        </is>
      </c>
      <c r="Q20" t="inlineStr">
        <is>
          <t>No function on record — assumptions unknown</t>
        </is>
      </c>
      <c r="R20" t="inlineStr"/>
      <c r="S20" t="inlineStr"/>
      <c r="T20" t="inlineStr">
        <is>
          <t>NOT DETERMINED — no assumption recorded for this figure yet.</t>
        </is>
      </c>
      <c r="U20" t="inlineStr"/>
      <c r="V20" t="inlineStr">
        <is>
          <t>Q15 — An institution word we do not recognise: refuse the line and ask you, or book it as unclassified with no direction? The old sign-guess is what minted the $1.4 million.</t>
        </is>
      </c>
      <c r="W20" t="inlineStr"/>
      <c r="X20" t="inlineStr"/>
      <c r="Y20" t="inlineStr">
        <is>
          <t>NOT DETERMINED</t>
        </is>
      </c>
      <c r="Z20" t="inlineStr">
        <is>
          <t>VERIFIED 2026-08-22</t>
        </is>
      </c>
      <c r="AA2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t="inlineStr">
        <is>
          <t>B24 [NOT COMPARABLE] — This figure names no function, so its formula cannot be checked against anything. 69 of the 163 figures are in this position — the audit covers the 94 that name one.</t>
        </is>
      </c>
      <c r="AC20"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0" t="inlineStr"/>
      <c r="AE20" t="inlineStr">
        <is>
          <t>No finding on this row. That is not a statement that the row is right — only that nothing has been written against it.</t>
        </is>
      </c>
      <c r="AF20" t="inlineStr">
        <is>
          <t>ACTIVE</t>
        </is>
      </c>
      <c r="AG20" t="inlineStr">
        <is>
          <t>2026-08-27</t>
        </is>
      </c>
    </row>
    <row r="21">
      <c r="A21" t="inlineStr">
        <is>
          <t>MK-NW-M-020</t>
        </is>
      </c>
      <c r="B21" t="inlineStr">
        <is>
          <t>Networth</t>
        </is>
      </c>
      <c r="C21" t="inlineStr">
        <is>
          <t>/account-detail</t>
        </is>
      </c>
      <c r="D21" t="inlineStr">
        <is>
          <t>each asset class inside the account</t>
        </is>
      </c>
      <c r="E21" t="inlineStr">
        <is>
          <t>breakdown[k]</t>
        </is>
      </c>
      <c r="F21" t="inlineStr">
        <is>
          <t>accountClassBreakdown</t>
        </is>
      </c>
      <c r="G21" t="inlineStr">
        <is>
          <t>MK-NW-F-027</t>
        </is>
      </c>
      <c r="H21" t="inlineStr">
        <is>
          <t>for one account: value in class k = balance × weight(k), where Σ weight(k) = 1</t>
        </is>
      </c>
      <c r="I21"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21" t="inlineStr">
        <is>
          <t>1. the account → a  [MK-XS-I-001]
2. its total → balance  [MK-XS-I-001]
3. uninvested → cash_balance  [MK-XS-I-001]
4. holdings → positions[]  [MK-XS-I-004]
5. options → option_holdings[]  [MK-XS-I-034]</t>
        </is>
      </c>
      <c r="K21" t="inlineStr">
        <is>
          <t>A count · whole units, except crypto which keeps its fractions  [derived by rule — confirm]</t>
        </is>
      </c>
      <c r="L21" t="inlineStr">
        <is>
          <t>Adds up to $0 when there is nothing to add. Zero and "nothing recorded yet" look identical on screen — worth a decision.</t>
        </is>
      </c>
      <c r="M21" t="inlineStr">
        <is>
          <t>One figure per account  [derived by rule — confirm]</t>
        </is>
      </c>
      <c r="N21" t="inlineStr">
        <is>
          <t>As of today, from the latest figures held  [derived by rule — confirm]</t>
        </is>
      </c>
      <c r="O21" t="inlineStr">
        <is>
          <t>1. MK-XS-E-008 (ASSET_CLASS_OF_ACCOUNT) → What kind of thing is this account — cash, a bond, shares, or something else?
2. MK-XS-E-016 (CLASS_FROM_NAME_TEXT) → Reading the NAME alone, is this cash, a money-market fund, or a CD / T-bill?</t>
        </is>
      </c>
      <c r="P21" t="inlineStr">
        <is>
          <t>1. MK-ST-F-055 round2 → MK-CF-F-155 cash → MK-NW-F-008 incomeBearingClassOf → MK-NW-F-011 assetClassOf → MK-NW-F-027 accountClassBreakdown
2. MK-ST-F-056 has → MK-ST-F-010 nameEvidence → MK-NW-F-008 incomeBearingClassOf → MK-NW-F-011 assetClassOf → MK-NW-F-027 accountClassBreakdown
3. MK-CF-F-132 map → MK-ST-F-010 nameEvidence → MK-NW-F-008 incomeBearingClassOf → MK-NW-F-011 assetClassOf → MK-NW-F-027 accountClassBreakdown
4. MK-ST-F-055 round2 → MK-CF-F-155 cash → MK-NW-F-008 incomeBearingClassOf → MK-NW-F-027 accountClassBreakdown
5. MK-ST-F-056 has → MK-ST-F-010 nameEvidence → MK-NW-F-008 incomeBearingClassOf → MK-NW-F-027 accountClassBreakdown
6. MK-CF-F-132 map → MK-ST-F-010 nameEvidence → MK-NW-F-008 incomeBearingClassOf → MK-NW-F-027 accountClassBreakdown
7. MK-ST-F-055 round2 → MK-NW-F-027 accountClassBreakdown</t>
        </is>
      </c>
      <c r="Q21" t="inlineStr">
        <is>
          <t>1. MK-NW-F-027 — If cash balance is missing it uses 0.
2. MK-NW-F-027 — If shares is missing it counts as zero, so nothing recorded and a real zero look the same.
3. MK-NW-F-027 — If value is missing it counts as zero, so nothing recorded and a real zero look the same.
4. MK-NW-F-027 — If balance is missing it counts as zero, so nothing recorded and a real zero look the same.
5. MK-ST-F-055 — Multiplies by 100 — a percentage, or an option contract treated as 100 shares. Worth checking which.
6. MK-ST-F-055 — Rounds the answer to a whole number.</t>
        </is>
      </c>
      <c r="R21" t="inlineStr">
        <is>
          <t>DECIDES which class each holding inside one account belongs to, then how much of the account total sits in each.</t>
        </is>
      </c>
      <c r="S21" t="inlineStr">
        <is>
          <t>Reported by the 54-item audit as one of the places a total and its parts can disagree; the reconciliation assertion now catches it, but the screen has no way to say so yet.</t>
        </is>
      </c>
      <c r="T21" t="inlineStr">
        <is>
          <t>NOT DETERMINED — no assumption recorded for this figure yet.</t>
        </is>
      </c>
      <c r="U21" t="inlineStr"/>
      <c r="V21" t="inlineStr"/>
      <c r="W21" t="inlineStr"/>
      <c r="X21" t="inlineStr"/>
      <c r="Y21" t="inlineStr">
        <is>
          <t>NOT DETERMINED</t>
        </is>
      </c>
      <c r="Z21" t="inlineStr">
        <is>
          <t>VERIFIED 2026-08-22</t>
        </is>
      </c>
      <c r="AA21" t="inlineStr">
        <is>
          <t>1. A50 — The import road calls the classification engine without the institution type, the institution sub-type or the person's own answer, and hard-codes hasSecurityIdentity to true (src/domain/import/holdingsImport.ts:137). So the engine's first two rules — the person's own answer outranks the institution, and a fund the institution itself declares to be money-market — cannot fire on an imported holding, which is the road most holdings arrive by.
2.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3.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t="inlineStr">
        <is>
          <t>1. B15 [MISNAMED] — The formula claims to split ANY account into its classes — value in class k = balance × weight(k). The first line of the function it names (accountClassBreakdown) is "nothing when the account is not CONNECTED". For a typed or imported account it answers nothing, and the formula does not say so.</t>
        </is>
      </c>
      <c r="AC21" t="inlineStr">
        <is>
          <t>HAS A FUNCTION — traceable from the screen to the code.</t>
        </is>
      </c>
      <c r="AD21" t="inlineStr"/>
      <c r="AE21" t="inlineStr">
        <is>
          <t>A50 — OPEN since 2026-08-26 — nothing has closed this. It is not known to be wrong; it is known to be unaddressed.
B15 — OPEN since 2026-08-26 — nothing has closed this. It is not known to be wrong; it is known to be unaddressed.</t>
        </is>
      </c>
      <c r="AF21" t="inlineStr">
        <is>
          <t>ACTIVE</t>
        </is>
      </c>
      <c r="AG21" t="inlineStr">
        <is>
          <t>2026-08-27</t>
        </is>
      </c>
    </row>
    <row r="22">
      <c r="A22" t="inlineStr">
        <is>
          <t>MK-NW-M-021</t>
        </is>
      </c>
      <c r="B22" t="inlineStr">
        <is>
          <t>Networth</t>
        </is>
      </c>
      <c r="C22" t="inlineStr">
        <is>
          <t>/account-detail</t>
        </is>
      </c>
      <c r="D22" t="inlineStr">
        <is>
          <t>Income: &lt;amount&gt; on a holding row</t>
        </is>
      </c>
      <c r="E22" t="inlineStr">
        <is>
          <t>incomeOf(rw)</t>
        </is>
      </c>
      <c r="F22" t="inlineStr">
        <is>
          <t>NOT ON RECORD — no function is recorded for this figure</t>
        </is>
      </c>
      <c r="G22" t="inlineStr"/>
      <c r="H22" t="inlineStr">
        <is>
          <t>income = Σ(income lines recorded against this holding)</t>
        </is>
      </c>
      <c r="I22" t="inlineStr">
        <is>
          <t>Adds the income the ledger holds for that one holding.</t>
        </is>
      </c>
      <c r="J22" t="inlineStr">
        <is>
          <t>NOT DETERMINED — no input list on record for this engine</t>
        </is>
      </c>
      <c r="K22" t="inlineStr">
        <is>
          <t>US dollars · held to the cent · shown as whole dollars  [derived by rule — confirm]</t>
        </is>
      </c>
      <c r="L22" t="inlineStr">
        <is>
          <t>Adds up to $0 when there is nothing to add. Zero and "nothing recorded yet" look identical on screen — worth a decision.</t>
        </is>
      </c>
      <c r="M22" t="inlineStr">
        <is>
          <t>One figure per holding  [derived by rule — confirm]</t>
        </is>
      </c>
      <c r="N22" t="inlineStr">
        <is>
          <t>As of today, from the latest figures held  [derived by rule — confirm]</t>
        </is>
      </c>
      <c r="O22" t="inlineStr">
        <is>
          <t>NOT DETERMINED</t>
        </is>
      </c>
      <c r="P22" t="inlineStr">
        <is>
          <t>No function on record — nothing to chain</t>
        </is>
      </c>
      <c r="Q22" t="inlineStr">
        <is>
          <t>No function on record — assumptions unknown</t>
        </is>
      </c>
      <c r="R22" t="inlineStr"/>
      <c r="S22" t="inlineStr"/>
      <c r="T22" t="inlineStr">
        <is>
          <t>NOT DETERMINED — no assumption recorded for this figure yet.</t>
        </is>
      </c>
      <c r="U22" t="inlineStr"/>
      <c r="V22" t="inlineStr"/>
      <c r="W22" t="inlineStr"/>
      <c r="X22" t="inlineStr"/>
      <c r="Y22" t="inlineStr">
        <is>
          <t>NOT DETERMINED</t>
        </is>
      </c>
      <c r="Z22" t="inlineStr">
        <is>
          <t>VERIFIED 2026-08-22</t>
        </is>
      </c>
      <c r="AA2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t="inlineStr">
        <is>
          <t>B24 [NOT COMPARABLE] — This figure names no function, so its formula cannot be checked against anything. 69 of the 163 figures are in this position — the audit covers the 94 that name one.</t>
        </is>
      </c>
      <c r="AC22"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t="inlineStr"/>
      <c r="AE22" t="inlineStr">
        <is>
          <t>No finding on this row. That is not a statement that the row is right — only that nothing has been written against it.</t>
        </is>
      </c>
      <c r="AF22" t="inlineStr">
        <is>
          <t>ACTIVE</t>
        </is>
      </c>
      <c r="AG22" t="inlineStr">
        <is>
          <t>2026-08-27</t>
        </is>
      </c>
    </row>
    <row r="23">
      <c r="A23" t="inlineStr">
        <is>
          <t>MK-NW-M-022</t>
        </is>
      </c>
      <c r="B23" t="inlineStr">
        <is>
          <t>Networth</t>
        </is>
      </c>
      <c r="C23" t="inlineStr">
        <is>
          <t>/account-detail</t>
        </is>
      </c>
      <c r="D23" t="inlineStr">
        <is>
          <t>ACTIVITY — n records</t>
        </is>
      </c>
      <c r="E23" t="inlineStr">
        <is>
          <t>txns.length</t>
        </is>
      </c>
      <c r="F23" t="inlineStr">
        <is>
          <t>mergeHistoryFrom</t>
        </is>
      </c>
      <c r="G23" t="inlineStr">
        <is>
          <t>MK-XS-F-111</t>
        </is>
      </c>
      <c r="H23" t="inlineStr">
        <is>
          <t>records = count(transactions held for this account)</t>
        </is>
      </c>
      <c r="I23" t="inlineStr">
        <is>
          <t>Take the earliest valid date in this sync and keep whichever is earlier — it or what we already had. Depth only ever grows; a shallower sync never shortens it. Unreadable dates are ignored, and a sync with no activity leaves the answer untouched.
It exists because brokers back-fill DIFFERENT depths — one sends a year, the next ninety days. Without knowing the depth, a "past year" income figure silently understates, so year-scale figures label themselves with this date.</t>
        </is>
      </c>
      <c r="J23" t="inlineStr">
        <is>
          <t>1. what we knew → existing  [NOT AN INPUT — another engine’s answer; see the dependency column]
2. the dates in this sync → activityDates  [NOT AN INPUT — another engine’s answer; see the dependency column]</t>
        </is>
      </c>
      <c r="K23" t="inlineStr">
        <is>
          <t>A count · whole units, except crypto which keeps its fractions  [derived by rule — confirm]</t>
        </is>
      </c>
      <c r="L23" t="inlineStr">
        <is>
          <t>NOT DETERMINED — this engine has not been read for its refusal yet.</t>
        </is>
      </c>
      <c r="M23" t="inlineStr">
        <is>
          <t>One figure per person — or per household when two people share one record  [derived by rule — confirm]</t>
        </is>
      </c>
      <c r="N23" t="inlineStr">
        <is>
          <t>As of today, from the latest figures held  [derived by rule — confirm]</t>
        </is>
      </c>
      <c r="O23" t="inlineStr">
        <is>
          <t>None — this engine reads raw inputs only</t>
        </is>
      </c>
      <c r="P23" t="inlineStr">
        <is>
          <t>MK-CF-F-132 map → MK-XS-F-111 mergeHistoryFrom</t>
        </is>
      </c>
      <c r="Q23" t="inlineStr">
        <is>
          <t>MK-XS-F-111 — Leaves some rows out of the answer — check which.</t>
        </is>
      </c>
      <c r="R23" t="inlineStr"/>
      <c r="S23" t="inlineStr"/>
      <c r="T23" t="inlineStr">
        <is>
          <t>NOT DETERMINED — no assumption recorded for this figure yet.</t>
        </is>
      </c>
      <c r="U23" t="inlineStr"/>
      <c r="V23" t="inlineStr"/>
      <c r="W23" t="inlineStr"/>
      <c r="X23" t="inlineStr"/>
      <c r="Y23" t="inlineStr">
        <is>
          <t>NOT DETERMINED</t>
        </is>
      </c>
      <c r="Z23" t="inlineStr">
        <is>
          <t>VERIFIED 2026-08-22</t>
        </is>
      </c>
      <c r="AA23" t="inlineStr">
        <is>
          <t>1.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t="inlineStr">
        <is>
          <t>1. B12 [MISNAMED] — The figure is a COUNT of records. The function it names, MK-XS-F-111 mergeHistoryFrom, returns the earlier of two dates. The two have nothing to do with each other, so the figure has no function on record and does not know it.</t>
        </is>
      </c>
      <c r="AC23" t="inlineStr">
        <is>
          <t>HAS A FUNCTION — traceable from the screen to the code.</t>
        </is>
      </c>
      <c r="AD23" t="inlineStr"/>
      <c r="AE23" t="inlineStr">
        <is>
          <t>B12 — OPEN since 2026-08-26 — nothing has closed this. It is not known to be wrong; it is known to be unaddressed.</t>
        </is>
      </c>
      <c r="AF23" t="inlineStr">
        <is>
          <t>ACTIVE</t>
        </is>
      </c>
      <c r="AG23" t="inlineStr">
        <is>
          <t>2026-08-27</t>
        </is>
      </c>
    </row>
    <row r="24">
      <c r="A24" t="inlineStr">
        <is>
          <t>MK-NW-M-023</t>
        </is>
      </c>
      <c r="B24" t="inlineStr">
        <is>
          <t>Networth</t>
        </is>
      </c>
      <c r="C24" t="inlineStr">
        <is>
          <t>/account-detail</t>
        </is>
      </c>
      <c r="D24" t="inlineStr">
        <is>
          <t>Face value</t>
        </is>
      </c>
      <c r="E24" t="inlineStr">
        <is>
          <t>b.face</t>
        </is>
      </c>
      <c r="F24" t="inlineStr">
        <is>
          <t>bondInfo</t>
        </is>
      </c>
      <c r="G24" t="inlineStr">
        <is>
          <t>MK-NW-F-056</t>
        </is>
      </c>
      <c r="H24" t="inlineStr">
        <is>
          <t>face, coupon rate and maturity as recorded;  bonds total = Σ(value of each bond),  face total = Σ(face)</t>
        </is>
      </c>
      <c r="I24" t="inlineStr">
        <is>
          <t>Reads the stored bond fields off the holding and computes its yields. A holding with none of them is not a bond and returns nothing.</t>
        </is>
      </c>
      <c r="J24" t="inlineStr">
        <is>
          <t>the holding → position/account  [MK-XS-I-004]</t>
        </is>
      </c>
      <c r="K24" t="inlineStr">
        <is>
          <t>US dollars · held to the cent · shown as whole dollars  [derived by rule — confirm]</t>
        </is>
      </c>
      <c r="L24" t="inlineStr">
        <is>
          <t>Adds up to $0 when there is nothing to add. Zero and "nothing recorded yet" look identical on screen — worth a decision.</t>
        </is>
      </c>
      <c r="M24" t="inlineStr">
        <is>
          <t>One figure per bond  [derived by rule — confirm]</t>
        </is>
      </c>
      <c r="N24" t="inlineStr">
        <is>
          <t>As of today, from the latest figures held  [derived by rule — confirm]</t>
        </is>
      </c>
      <c r="O24" t="inlineStr">
        <is>
          <t>None — this engine reads raw inputs only</t>
        </is>
      </c>
      <c r="P24" t="inlineStr">
        <is>
          <t>No dependent function — it reads its inputs and answers</t>
        </is>
      </c>
      <c r="Q24" t="inlineStr">
        <is>
          <t>1. MK-NW-F-056 — If face value is missing it counts as zero, so nothing recorded and a real zero look the same.
2. MK-NW-F-056 — If coupon rate is missing it counts as zero, so nothing recorded and a real zero look the same.
3. MK-NW-F-056 — If balance is missing it counts as zero, so nothing recorded and a real zero look the same.</t>
        </is>
      </c>
      <c r="R24" t="inlineStr">
        <is>
          <t>DECIDES how a bond is NAMED on screen — issuer, or the identifying number, or a plain description; and DECIDES whether a line is a bond at all.</t>
        </is>
      </c>
      <c r="S24" t="inlineStr"/>
      <c r="T24" t="inlineStr">
        <is>
          <t>NOT DETERMINED — no assumption recorded for this figure yet.</t>
        </is>
      </c>
      <c r="U24" t="inlineStr"/>
      <c r="V24" t="inlineStr">
        <is>
          <t>Q01 — Is Quantity for a bond the FACE amount (e.g. 227,000) with the price quoted per $100 of face, or the number of bonds? It decides how value and gain are worked out.
Q02 — How should a bond be NAMED on screen? Draft: "US Treasury 4.25% Nov 2029", with the identifying number shown as a detail rather than the headline. Approve or rewrite.
Q03 — Certificates of deposit: under Fixed Income, or their own class? They carry a term, a rate and an early-withdrawal penalty that a bond does not.</t>
        </is>
      </c>
      <c r="W24" t="inlineStr"/>
      <c r="X24" t="inlineStr"/>
      <c r="Y24" t="inlineStr">
        <is>
          <t>NOT DETERMINED</t>
        </is>
      </c>
      <c r="Z24" t="inlineStr">
        <is>
          <t>VERIFIED 2026-08-22</t>
        </is>
      </c>
      <c r="AA2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t="inlineStr">
        <is>
          <t>AGREES — the figure's arithmetic and the arithmetic of the function it names say the same thing. Checked 2026-08-26.</t>
        </is>
      </c>
      <c r="AC24" t="inlineStr">
        <is>
          <t>HAS A FUNCTION — traceable from the screen to the code.</t>
        </is>
      </c>
      <c r="AD24" t="inlineStr"/>
      <c r="AE24" t="inlineStr">
        <is>
          <t>No finding on this row. That is not a statement that the row is right — only that nothing has been written against it.</t>
        </is>
      </c>
      <c r="AF24" t="inlineStr">
        <is>
          <t>ACTIVE</t>
        </is>
      </c>
      <c r="AG24" t="inlineStr">
        <is>
          <t>2026-08-27</t>
        </is>
      </c>
    </row>
    <row r="25">
      <c r="A25" t="inlineStr">
        <is>
          <t>MK-NW-M-024</t>
        </is>
      </c>
      <c r="B25" t="inlineStr">
        <is>
          <t>Networth</t>
        </is>
      </c>
      <c r="C25" t="inlineStr">
        <is>
          <t>/account-detail</t>
        </is>
      </c>
      <c r="D25" t="inlineStr">
        <is>
          <t>Interest payments — X%/yr · $Y/yr</t>
        </is>
      </c>
      <c r="E25" t="inlineStr">
        <is>
          <t>annualCoupon(b)</t>
        </is>
      </c>
      <c r="F25" t="inlineStr">
        <is>
          <t>annualCoupon</t>
        </is>
      </c>
      <c r="G25" t="inlineStr">
        <is>
          <t>MK-NW-F-057</t>
        </is>
      </c>
      <c r="H25" t="inlineStr">
        <is>
          <t>annual coupon = face × coupon rate</t>
        </is>
      </c>
      <c r="I25" t="inlineStr">
        <is>
          <t>face value × coupon rate. NOT what the bond is worth today × the rate — a $10,000 bond paying 4% pays $400 whether it is trading at $9,800 or $11,000.</t>
        </is>
      </c>
      <c r="J25" t="inlineStr">
        <is>
          <t>1. face value → face  [MK-XS-I-011]
2. coupon rate → couponRate  [MK-XS-I-012]</t>
        </is>
      </c>
      <c r="K25" t="inlineStr">
        <is>
          <t>Percent · one decimal shown  [derived by rule — confirm]</t>
        </is>
      </c>
      <c r="L25" t="inlineStr">
        <is>
          <t>NOT DETERMINED — this engine has not been read for its refusal yet.</t>
        </is>
      </c>
      <c r="M25" t="inlineStr">
        <is>
          <t>One figure per bond  [derived by rule — confirm]</t>
        </is>
      </c>
      <c r="N25" t="inlineStr">
        <is>
          <t>The last twelve months  [derived by rule — confirm]</t>
        </is>
      </c>
      <c r="O25" t="inlineStr">
        <is>
          <t>None — this engine reads raw inputs only</t>
        </is>
      </c>
      <c r="P25" t="inlineStr">
        <is>
          <t>MK-ST-F-055 round2 → MK-NW-F-057 annualCoupon</t>
        </is>
      </c>
      <c r="Q25" t="inlineStr">
        <is>
          <t>1. MK-ST-F-055 — Multiplies by 100 — a percentage, or an option contract treated as 100 shares. Worth checking which.
2. MK-ST-F-055 — Rounds the answer to a whole number.</t>
        </is>
      </c>
      <c r="R25" t="inlineStr"/>
      <c r="S25" t="inlineStr"/>
      <c r="T25" t="inlineStr">
        <is>
          <t>NOT DETERMINED — no assumption recorded for this figure yet.</t>
        </is>
      </c>
      <c r="U25" t="inlineStr">
        <is>
          <t>THE SURVIVING IDENTIFIER for this figure. Folded in: MK-NW-M-043. The coupon a bond pays in a year. "Interest payments" on account detail and "COUPON / YR" on the bonds screen.</t>
        </is>
      </c>
      <c r="V25" t="inlineStr">
        <is>
          <t>Q04 — "Annual income" on a bond: the last twelve months actually received, or the forward estimate from today's coupon? Both are defensible and they differ.</t>
        </is>
      </c>
      <c r="W25" t="inlineStr"/>
      <c r="X25" t="inlineStr"/>
      <c r="Y25" t="inlineStr">
        <is>
          <t>NOT DETERMINED</t>
        </is>
      </c>
      <c r="Z25" t="inlineStr">
        <is>
          <t>VERIFIED 2026-08-22</t>
        </is>
      </c>
      <c r="AA25" t="inlineStr">
        <is>
          <t>1. A46 — Interest income falls back to a built-in 0.042 — described in the code as roughly the US Aggregate Bond yield — when a bond fund carries no rate of its own. No source, no year, and no re-check when the year rolls.
2.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3.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t="inlineStr">
        <is>
          <t>AGREES — the figure's arithmetic and the arithmetic of the function it names say the same thing. Checked 2026-08-26.</t>
        </is>
      </c>
      <c r="AC25" t="inlineStr">
        <is>
          <t>HAS A FUNCTION — traceable from the screen to the code.</t>
        </is>
      </c>
      <c r="AD25" t="inlineStr"/>
      <c r="AE25" t="inlineStr">
        <is>
          <t>A46 — OPEN since 2026-08-26 — nothing has closed this. It is not known to be wrong; it is known to be unaddressed.</t>
        </is>
      </c>
      <c r="AF25" t="inlineStr">
        <is>
          <t>ACTIVE</t>
        </is>
      </c>
      <c r="AG25" t="inlineStr">
        <is>
          <t>2026-08-27</t>
        </is>
      </c>
    </row>
    <row r="26">
      <c r="A26" t="inlineStr">
        <is>
          <t>MK-NW-M-025</t>
        </is>
      </c>
      <c r="B26" t="inlineStr">
        <is>
          <t>Networth</t>
        </is>
      </c>
      <c r="C26" t="inlineStr">
        <is>
          <t>/account-detail</t>
        </is>
      </c>
      <c r="D26" t="inlineStr">
        <is>
          <t>Matures — &lt;date&gt; (n years away)</t>
        </is>
      </c>
      <c r="E26" t="inlineStr">
        <is>
          <t>years</t>
        </is>
      </c>
      <c r="F26" t="inlineStr">
        <is>
          <t>yearsToMaturity</t>
        </is>
      </c>
      <c r="G26" t="inlineStr">
        <is>
          <t>MK-NW-F-058</t>
        </is>
      </c>
      <c r="H26" t="inlineStr">
        <is>
          <t>years to maturity = (maturity date − today) ÷ 365</t>
        </is>
      </c>
      <c r="I26" t="inlineStr">
        <is>
          <t>maturity date − today, in years. Anything already past → 0. No maturity date → 0, treated as due now rather than as never.</t>
        </is>
      </c>
      <c r="J26" t="inlineStr">
        <is>
          <t>1. maturity → maturity  [MK-XS-I-013]
2. today → now  [NOT AN INPUT — a setting or a filter, not data anyone supplies]</t>
        </is>
      </c>
      <c r="K26" t="inlineStr">
        <is>
          <t>A date  [derived by rule — confirm]</t>
        </is>
      </c>
      <c r="L26" t="inlineStr">
        <is>
          <t>A division: with nothing on the bottom there is no answer, and the line must not appear as zero. NOT YET CONFIRMED against the engine.</t>
        </is>
      </c>
      <c r="M26" t="inlineStr">
        <is>
          <t>One figure per bond  [derived by rule — confirm]</t>
        </is>
      </c>
      <c r="N26" t="inlineStr">
        <is>
          <t>This calendar year, to today  [derived by rule — confirm]</t>
        </is>
      </c>
      <c r="O26" t="inlineStr">
        <is>
          <t>None — this engine reads raw inputs only</t>
        </is>
      </c>
      <c r="P26" t="inlineStr">
        <is>
          <t>No dependent function — it reads its inputs and answers</t>
        </is>
      </c>
      <c r="Q26" t="inlineStr">
        <is>
          <t>MK-NW-F-058 — Uses today's date from the device clock, so the answer changes by itself overnight.</t>
        </is>
      </c>
      <c r="R26" t="inlineStr"/>
      <c r="S26" t="inlineStr"/>
      <c r="T26" t="inlineStr">
        <is>
          <t>NOT DETERMINED — no assumption recorded for this figure yet.</t>
        </is>
      </c>
      <c r="U26" t="inlineStr"/>
      <c r="V26" t="inlineStr"/>
      <c r="W26" t="inlineStr"/>
      <c r="X26" t="inlineStr"/>
      <c r="Y26" t="inlineStr">
        <is>
          <t>NOT DETERMINED</t>
        </is>
      </c>
      <c r="Z26" t="inlineStr">
        <is>
          <t>VERIFIED 2026-08-22</t>
        </is>
      </c>
      <c r="AA26" t="inlineStr">
        <is>
          <t>1. A31 — This file says years to maturity is the gap divided by 365, and repeats it in the assumptions as "treats a year as 365 days". The code divides by 365.25.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t="inlineStr">
        <is>
          <t>1. B08 [CLASH] — The file divides by 365 days; the code (yearsToMaturity) divides by 365.25. Also finding A31.</t>
        </is>
      </c>
      <c r="AC26" t="inlineStr">
        <is>
          <t>HAS A FUNCTION — traceable from the screen to the code.</t>
        </is>
      </c>
      <c r="AD26" t="inlineStr"/>
      <c r="AE26" t="inlineStr">
        <is>
          <t>A31 — OPEN since 2026-08-26 — nothing has closed this. It is not known to be wrong; it is known to be unaddressed.
B08 — OPEN since 2026-08-26 — nothing has closed this. It is not known to be wrong; it is known to be unaddressed.</t>
        </is>
      </c>
      <c r="AF26" t="inlineStr">
        <is>
          <t>ACTIVE</t>
        </is>
      </c>
      <c r="AG26" t="inlineStr">
        <is>
          <t>2026-08-27</t>
        </is>
      </c>
    </row>
    <row r="27">
      <c r="A27" t="inlineStr">
        <is>
          <t>MK-NW-M-026</t>
        </is>
      </c>
      <c r="B27" t="inlineStr">
        <is>
          <t>Networth</t>
        </is>
      </c>
      <c r="C27" t="inlineStr">
        <is>
          <t>/account-detail</t>
        </is>
      </c>
      <c r="D27" t="inlineStr">
        <is>
          <t>Yield if held to maturity</t>
        </is>
      </c>
      <c r="E27" t="inlineStr">
        <is>
          <t>ytm</t>
        </is>
      </c>
      <c r="F27" t="inlineStr">
        <is>
          <t>approxYTM</t>
        </is>
      </c>
      <c r="G27" t="inlineStr">
        <is>
          <t>MK-NW-F-060</t>
        </is>
      </c>
      <c r="H27" t="inlineStr">
        <is>
          <t>y solves: value = Σ(coupon ÷ (1+y)ᵗ) + face ÷ (1+y)ⁿ,  t = 1…n years to maturity</t>
        </is>
      </c>
      <c r="I27" t="inlineStr">
        <is>
          <t>Adds the pull back to face value to the running income:
(annual coupon + (face − value) ÷ years left) ÷ ((face + value) ÷ 2).
A bond bought below face gains as it matures, so this comes out above the current yield. Already matured, or no value → no answer, never zero.</t>
        </is>
      </c>
      <c r="J27" t="inlineStr">
        <is>
          <t>1. coupon → annualCoupon  [MK-XS-I-012]
2. face → face  [MK-XS-I-011]
3. value → value  [MK-XS-I-001]
4. years left → yearsToMaturity  [MK-XS-I-013]</t>
        </is>
      </c>
      <c r="K27" t="inlineStr">
        <is>
          <t>Percent · one decimal shown  [derived by rule — confirm]</t>
        </is>
      </c>
      <c r="L27" t="inlineStr">
        <is>
          <t>No answer once the bond has matured, and none without a price.</t>
        </is>
      </c>
      <c r="M27" t="inlineStr">
        <is>
          <t>One figure per bond  [derived by rule — confirm]</t>
        </is>
      </c>
      <c r="N27" t="inlineStr">
        <is>
          <t>As of today, from the latest figures held  [derived by rule — confirm]</t>
        </is>
      </c>
      <c r="O27" t="inlineStr">
        <is>
          <t>1. MK-NW-E-016 (BOND_COUPON) → How much income does this bond pay in a year?
2. MK-NW-E-017 (BOND_YEARS_LEFT) → How long until this bond pays back?</t>
        </is>
      </c>
      <c r="P27" t="inlineStr">
        <is>
          <t>1. MK-ST-F-055 round2 → MK-NW-F-057 annualCoupon → MK-NW-F-060 approxYTM
2. MK-NW-F-058 yearsToMaturity → MK-NW-F-060 approxYTM</t>
        </is>
      </c>
      <c r="Q27" t="inlineStr">
        <is>
          <t>1. MK-NW-F-060 — Uses today's date from the device clock, so the answer changes by itself overnight.
2. MK-NW-F-060 — Rounds the answer to a whole number.
3. MK-NW-F-058 — Uses today's date from the device clock, so the answer changes by itself overnight.
4. MK-ST-F-055 — Multiplies by 100 — a percentage, or an option contract treated as 100 shares. Worth checking which.
5. MK-ST-F-055 — Rounds the answer to a whole number.</t>
        </is>
      </c>
      <c r="R27" t="inlineStr"/>
      <c r="S27" t="inlineStr"/>
      <c r="T27" t="inlineStr">
        <is>
          <t>NOT DETERMINED — no assumption recorded for this figure yet.</t>
        </is>
      </c>
      <c r="U27" t="inlineStr"/>
      <c r="V27" t="inlineStr">
        <is>
          <t>Q05 — Accrued interest: do we work it out ourselves — which needs a day-count rule per bond type — or only show what the institution gives us?</t>
        </is>
      </c>
      <c r="W27" t="inlineStr"/>
      <c r="X27" t="inlineStr"/>
      <c r="Y27" t="inlineStr">
        <is>
          <t>NOT DETERMINED</t>
        </is>
      </c>
      <c r="Z27" t="inlineStr">
        <is>
          <t>VERIFIED 2026-08-22</t>
        </is>
      </c>
      <c r="AA27" t="inlineStr">
        <is>
          <t>1. A30 — Yield to maturity: this file states the root solve — value = Sum(coupon/(1+y)^t) + face/(1+y)^n. The code (src/domain/bonds/index.ts:37) is approxYTM, the straight-line approximation (coupon + (face-value)/n) / ((face+value)/2). Measured gap 4 to 27 basis points, widening with the discount and the maturity: a 25-year 2% bond priced at 60 reads 4.50% where the stated formula gives 4.77%. This is a figure the founder can check against a broker statement, so it is a kind-B reconciliation that will fail.
2. A33 — Yield to maturity is computed with annual compounding over whole-year periods. US bonds pay semi-annually and yield is quoted bond-equivalent (semi-annual, doubled). Neither the file nor the code says which convention it means, and the two do not agree.
3. A31 — This file says years to maturity is the gap divided by 365, and repeats it in the assumptions as "treats a year as 365 days". The code divides by 365.25.
4.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5.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6.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t="inlineStr">
        <is>
          <t>1. B09 [CLASH] — The file states the root solve — the rate that discounts every coupon and the face value back to the price. The code (approxYTM) is the straight-line approximation, 4 to 27 basis points away. Also finding A30.</t>
        </is>
      </c>
      <c r="AC27" t="inlineStr">
        <is>
          <t>HAS A FUNCTION — traceable from the screen to the code.</t>
        </is>
      </c>
      <c r="AD27" t="inlineStr"/>
      <c r="AE27" t="inlineStr">
        <is>
          <t>A30 — OPEN since 2026-08-26 — nothing has closed this. It is not known to be wrong; it is known to be unaddressed.
A33 — OPEN since 2026-08-26 — nothing has closed this. It is not known to be wrong; it is known to be unaddressed.
A31 — OPEN since 2026-08-26 — nothing has closed this. It is not known to be wrong; it is known to be unaddressed.
B09 — OPEN since 2026-08-26 — nothing has closed this. It is not known to be wrong; it is known to be unaddressed.</t>
        </is>
      </c>
      <c r="AF27" t="inlineStr">
        <is>
          <t>ACTIVE</t>
        </is>
      </c>
      <c r="AG27" t="inlineStr">
        <is>
          <t>2026-08-27</t>
        </is>
      </c>
    </row>
    <row r="28">
      <c r="A28" t="inlineStr">
        <is>
          <t>MK-NW-M-027</t>
        </is>
      </c>
      <c r="B28" t="inlineStr">
        <is>
          <t>Networth</t>
        </is>
      </c>
      <c r="C28" t="inlineStr">
        <is>
          <t>/account-detail</t>
        </is>
      </c>
      <c r="D28" t="inlineStr">
        <is>
          <t>Yield on today's value</t>
        </is>
      </c>
      <c r="E28" t="inlineStr">
        <is>
          <t>cy</t>
        </is>
      </c>
      <c r="F28" t="inlineStr">
        <is>
          <t>currentYield</t>
        </is>
      </c>
      <c r="G28" t="inlineStr">
        <is>
          <t>MK-NW-F-059</t>
        </is>
      </c>
      <c r="H28" t="inlineStr">
        <is>
          <t>current yield = annual coupon ÷ current value</t>
        </is>
      </c>
      <c r="I28" t="inlineStr">
        <is>
          <t>annual coupon ÷ current value. A bond bought at a discount yields MORE than its stated coupon; one bought at a premium yields less. No value → no answer, never a division by zero.</t>
        </is>
      </c>
      <c r="J28" t="inlineStr">
        <is>
          <t>1. coupon → annualCoupon  [MK-XS-I-012]
2. what it is worth → value  [MK-XS-I-001]</t>
        </is>
      </c>
      <c r="K28" t="inlineStr">
        <is>
          <t>Percent · one decimal shown  [derived by rule — confirm]</t>
        </is>
      </c>
      <c r="L28" t="inlineStr">
        <is>
          <t>No value means no answer — never a division by zero.</t>
        </is>
      </c>
      <c r="M28" t="inlineStr">
        <is>
          <t>One figure per bond  [derived by rule — confirm]</t>
        </is>
      </c>
      <c r="N28" t="inlineStr">
        <is>
          <t>As of today, from the latest figures held  [derived by rule — confirm]</t>
        </is>
      </c>
      <c r="O28" t="inlineStr">
        <is>
          <t>MK-NW-E-016 (BOND_COUPON) → How much income does this bond pay in a year?</t>
        </is>
      </c>
      <c r="P28" t="inlineStr">
        <is>
          <t>MK-ST-F-055 round2 → MK-NW-F-057 annualCoupon → MK-NW-F-059 currentYield</t>
        </is>
      </c>
      <c r="Q28" t="inlineStr">
        <is>
          <t>1. MK-NW-F-059 — Rounds the answer to a whole number.
2. MK-ST-F-055 — Multiplies by 100 — a percentage, or an option contract treated as 100 shares. Worth checking which.
3. MK-ST-F-055 — Rounds the answer to a whole number.</t>
        </is>
      </c>
      <c r="R28" t="inlineStr"/>
      <c r="S28" t="inlineStr"/>
      <c r="T28" t="inlineStr">
        <is>
          <t>NOT DETERMINED — no assumption recorded for this figure yet.</t>
        </is>
      </c>
      <c r="U28" t="inlineStr"/>
      <c r="V28" t="inlineStr"/>
      <c r="W28" t="inlineStr"/>
      <c r="X28" t="inlineStr"/>
      <c r="Y28" t="inlineStr">
        <is>
          <t>NOT DETERMINED</t>
        </is>
      </c>
      <c r="Z28" t="inlineStr">
        <is>
          <t>VERIFIED 2026-08-22</t>
        </is>
      </c>
      <c r="AA28" t="inlineStr">
        <is>
          <t>1. A47 — Current yield is the annual coupon over the recorded value. If that value is a dirty price it carries accrued interest and the yield is understated. Nowhere does the file say which of the two it is.
2.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3.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t="inlineStr">
        <is>
          <t>AGREES — the figure's arithmetic and the arithmetic of the function it names say the same thing. Checked 2026-08-26.</t>
        </is>
      </c>
      <c r="AC28" t="inlineStr">
        <is>
          <t>HAS A FUNCTION — traceable from the screen to the code.</t>
        </is>
      </c>
      <c r="AD28" t="inlineStr"/>
      <c r="AE28" t="inlineStr">
        <is>
          <t>A47 — OPEN since 2026-08-26 — nothing has closed this. It is not known to be wrong; it is known to be unaddressed.</t>
        </is>
      </c>
      <c r="AF28" t="inlineStr">
        <is>
          <t>ACTIVE</t>
        </is>
      </c>
      <c r="AG28" t="inlineStr">
        <is>
          <t>2026-08-27</t>
        </is>
      </c>
    </row>
    <row r="29">
      <c r="A29" t="inlineStr">
        <is>
          <t>MK-NW-M-028</t>
        </is>
      </c>
      <c r="B29" t="inlineStr">
        <is>
          <t>Networth</t>
        </is>
      </c>
      <c r="C29" t="inlineStr">
        <is>
          <t>/account-detail</t>
        </is>
      </c>
      <c r="D29" t="inlineStr">
        <is>
          <t>Rates rise 1% → value roughly $X–$Y</t>
        </is>
      </c>
      <c r="E29" t="inlineStr">
        <is>
          <t>sens.ratesUp</t>
        </is>
      </c>
      <c r="F29" t="inlineStr">
        <is>
          <t>NOT ON RECORD — no function is recorded for this figure</t>
        </is>
      </c>
      <c r="G29" t="inlineStr"/>
      <c r="H29" t="inlineStr">
        <is>
          <t>change in value ≈ − duration × change in rate × value</t>
        </is>
      </c>
      <c r="I29" t="inlineStr">
        <is>
          <t>Shows roughly what a one percent move in interest rates would do to the bond's value. Longer to maturity means a bigger swing. An illustration, not a forecast.</t>
        </is>
      </c>
      <c r="J29" t="inlineStr">
        <is>
          <t>NOT DETERMINED — no input list on record for this engine</t>
        </is>
      </c>
      <c r="K29" t="inlineStr">
        <is>
          <t>Percent · one decimal shown  [derived by rule — confirm]</t>
        </is>
      </c>
      <c r="L29" t="inlineStr">
        <is>
          <t>NOT DETERMINED — this engine has not been read for its refusal yet.</t>
        </is>
      </c>
      <c r="M29" t="inlineStr">
        <is>
          <t>One figure per bond  [derived by rule — confirm]</t>
        </is>
      </c>
      <c r="N29" t="inlineStr">
        <is>
          <t>As of today, from the latest figures held  [derived by rule — confirm]</t>
        </is>
      </c>
      <c r="O29" t="inlineStr">
        <is>
          <t>NOT DETERMINED</t>
        </is>
      </c>
      <c r="P29" t="inlineStr">
        <is>
          <t>No function on record — nothing to chain</t>
        </is>
      </c>
      <c r="Q29" t="inlineStr">
        <is>
          <t>No function on record — assumptions unknown</t>
        </is>
      </c>
      <c r="R29" t="inlineStr"/>
      <c r="S29" t="inlineStr"/>
      <c r="T29" t="inlineStr">
        <is>
          <t>NOT DETERMINED — no assumption recorded for this figure yet.</t>
        </is>
      </c>
      <c r="U29" t="inlineStr"/>
      <c r="V29" t="inlineStr"/>
      <c r="W29" t="inlineStr"/>
      <c r="X29" t="inlineStr"/>
      <c r="Y29" t="inlineStr">
        <is>
          <t>NOT DETERMINED</t>
        </is>
      </c>
      <c r="Z29" t="inlineStr">
        <is>
          <t>VERIFIED 2026-08-22</t>
        </is>
      </c>
      <c r="AA29" t="inlineStr">
        <is>
          <t>1. A32 — Rate sensitivity: this file states change in value = -duration x change in rate x value. The code computes no duration at all — it reprices every cash flow at the yield plus and minus one percent. It also rounds the remaining life to whole years and prices from the APPROXIMATE yield, so pricing the bond at its own current yield does not reproduce its own value; the delta is measured from a number the model cannot reproduce.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t="inlineStr">
        <is>
          <t>B24 [NOT COMPARABLE] — This figure names no function, so its formula cannot be checked against anything. 69 of the 163 figures are in this position — the audit covers the 94 that name one.</t>
        </is>
      </c>
      <c r="AC29"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9" t="inlineStr"/>
      <c r="AE29" t="inlineStr">
        <is>
          <t>A32 — OPEN since 2026-08-26 — nothing has closed this. It is not known to be wrong; it is known to be unaddressed.</t>
        </is>
      </c>
      <c r="AF29" t="inlineStr">
        <is>
          <t>ACTIVE</t>
        </is>
      </c>
      <c r="AG29" t="inlineStr">
        <is>
          <t>2026-08-27</t>
        </is>
      </c>
    </row>
    <row r="30">
      <c r="A30" t="inlineStr">
        <is>
          <t>MK-NW-M-029</t>
        </is>
      </c>
      <c r="B30" t="inlineStr">
        <is>
          <t>Networth</t>
        </is>
      </c>
      <c r="C30" t="inlineStr">
        <is>
          <t>/holding-detail</t>
        </is>
      </c>
      <c r="D30" t="inlineStr">
        <is>
          <t>CURRENT PRICE · LIVE</t>
        </is>
      </c>
      <c r="E30" t="inlineStr">
        <is>
          <t>price</t>
        </is>
      </c>
      <c r="F30" t="inlineStr">
        <is>
          <t>NOT ON RECORD — no function is recorded for this figure</t>
        </is>
      </c>
      <c r="G30" t="inlineStr"/>
      <c r="H30" t="inlineStr">
        <is>
          <t>price = the latest close from the feed, with the time it was fetched</t>
        </is>
      </c>
      <c r="I30" t="inlineStr">
        <is>
          <t>The most recent price the feed gave, carrying the moment it was fetched so staleness can be shown.</t>
        </is>
      </c>
      <c r="J30" t="inlineStr">
        <is>
          <t>NOT DETERMINED — no input list on record for this engine</t>
        </is>
      </c>
      <c r="K30" t="inlineStr">
        <is>
          <t>US dollars per unit · held to 8 decimal places · decimals shown  [derived by rule — confirm]</t>
        </is>
      </c>
      <c r="L30" t="inlineStr">
        <is>
          <t>NOT DETERMINED — this engine has not been read for its refusal yet.</t>
        </is>
      </c>
      <c r="M30" t="inlineStr">
        <is>
          <t>One figure per person — or per household when two people share one record  [derived by rule — confirm]</t>
        </is>
      </c>
      <c r="N30" t="inlineStr">
        <is>
          <t>As of today, from the latest figures held  [derived by rule — confirm]</t>
        </is>
      </c>
      <c r="O30" t="inlineStr">
        <is>
          <t>NOT DETERMINED</t>
        </is>
      </c>
      <c r="P30" t="inlineStr">
        <is>
          <t>No function on record — nothing to chain</t>
        </is>
      </c>
      <c r="Q30" t="inlineStr">
        <is>
          <t>No function on record — assumptions unknown</t>
        </is>
      </c>
      <c r="R30" t="inlineStr"/>
      <c r="S30" t="inlineStr"/>
      <c r="T30" t="inlineStr">
        <is>
          <t>NOT DETERMINED — no assumption recorded for this figure yet.</t>
        </is>
      </c>
      <c r="U30" t="inlineStr"/>
      <c r="V30" t="inlineStr"/>
      <c r="W30" t="inlineStr"/>
      <c r="X30" t="inlineStr"/>
      <c r="Y30" t="inlineStr">
        <is>
          <t>NOT DETERMINED</t>
        </is>
      </c>
      <c r="Z30" t="inlineStr">
        <is>
          <t>VERIFIED 2026-08-22</t>
        </is>
      </c>
      <c r="AA3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t="inlineStr">
        <is>
          <t>B24 [NOT COMPARABLE] — This figure names no function, so its formula cannot be checked against anything. 69 of the 163 figures are in this position — the audit covers the 94 that name one.</t>
        </is>
      </c>
      <c r="AC30"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0" t="inlineStr"/>
      <c r="AE30" t="inlineStr">
        <is>
          <t>No finding on this row. That is not a statement that the row is right — only that nothing has been written against it.</t>
        </is>
      </c>
      <c r="AF30" t="inlineStr">
        <is>
          <t>ACTIVE</t>
        </is>
      </c>
      <c r="AG30" t="inlineStr">
        <is>
          <t>2026-08-27</t>
        </is>
      </c>
    </row>
    <row r="31">
      <c r="A31" t="inlineStr">
        <is>
          <t>MK-NW-M-030</t>
        </is>
      </c>
      <c r="B31" t="inlineStr">
        <is>
          <t>Networth</t>
        </is>
      </c>
      <c r="C31" t="inlineStr">
        <is>
          <t>/holding-detail</t>
        </is>
      </c>
      <c r="D31" t="inlineStr">
        <is>
          <t>Current value</t>
        </is>
      </c>
      <c r="E31" t="inlineStr">
        <is>
          <t>value</t>
        </is>
      </c>
      <c r="F31" t="inlineStr">
        <is>
          <t>marketValue</t>
        </is>
      </c>
      <c r="G31" t="inlineStr">
        <is>
          <t>MK-PF-F-004</t>
        </is>
      </c>
      <c r="H31" t="inlineStr">
        <is>
          <t>value = quantity × latest price</t>
        </is>
      </c>
      <c r="I31" t="inlineStr">
        <is>
          <t>shares × latest price.
NO PRICE MEANS ZERO, NOT A GUESS. An unpriced holding contributes nothing and the screen says the price is missing — it is never valued at what it cost, which would silently report a gain of exactly zero.</t>
        </is>
      </c>
      <c r="J31" t="inlineStr">
        <is>
          <t>1. shares → totalShares  [MK-XS-I-004]
2. price → the latest close  [MK-XS-I-005]</t>
        </is>
      </c>
      <c r="K31" t="inlineStr">
        <is>
          <t>US dollars · held to the cent · shown as whole dollars  [derived by rule — confirm]</t>
        </is>
      </c>
      <c r="L31" t="inlineStr">
        <is>
          <t>NOT DETERMINED — this engine has not been read for its refusal yet.</t>
        </is>
      </c>
      <c r="M31" t="inlineStr">
        <is>
          <t>One figure per holding  [derived by rule — confirm]</t>
        </is>
      </c>
      <c r="N31" t="inlineStr">
        <is>
          <t>As of today, from the latest figures held  [derived by rule — confirm]</t>
        </is>
      </c>
      <c r="O31" t="inlineStr">
        <is>
          <t>MK-XS-E-022 (HOLDING_SHARES) → How many shares of this do I own?</t>
        </is>
      </c>
      <c r="P31" t="inlineStr">
        <is>
          <t>1. MK-ST-F-055 round2 → MK-PF-F-004 marketValue
2. MK-PF-F-001 totalShares → MK-PF-F-004 marketValue</t>
        </is>
      </c>
      <c r="Q31" t="inlineStr">
        <is>
          <t>1. MK-ST-F-055 — Multiplies by 100 — a percentage, or an option contract treated as 100 shares. Worth checking which.
2. MK-ST-F-055 — Rounds the answer to a whole number.
3. MK-PF-F-001 — If shares is missing it counts as zero, so nothing recorded and a real zero look the same.</t>
        </is>
      </c>
      <c r="R31" t="inlineStr">
        <is>
          <t>DECIDES whether a line is a share, a bond, an option, a crypto amount or a currency, because the units differ; and DECIDES the price to use when the feed has none.</t>
        </is>
      </c>
      <c r="S31" t="inlineStr">
        <is>
          <t>OPTIONS: value is quantity × price with no contract multiplier. An option is 100 shares per contract unless the broker states otherwise, so an option position may be reported at one hundredth of its real value. The ledger normalises a TRADE so units × price equals the broker's cash figure, but the holdings path does not. TO VERIFY AND FIX.</t>
        </is>
      </c>
      <c r="T31" t="inlineStr">
        <is>
          <t>[Founder] A price is a ratio, not money: it keeps eight decimal places and is never rounded to cents. Rounding a Treasury bill price of $0.9888 to $0.99 invented $276 of gain on one row.</t>
        </is>
      </c>
      <c r="U31" t="inlineStr">
        <is>
          <t>THE SURVIVING IDENTIFIER for this figure. Folded in: MK-NW-M-040. A holding's current value, on holding detail and again while itemising an account.</t>
        </is>
      </c>
      <c r="V31" t="inlineStr">
        <is>
          <t>Q06 — Options: is quantity held in CONTRACTS with the price per share (so value = contracts x 100 x price), or is the price already per contract? Today neither is applied and the value may be a hundredth of the truth.
Q07 — Crypto: how many decimal places should a quantity keep? Some coins are held in very small fractions.
Q08 — Foreign currency: is this cash held at an institution, or currency trading? And should that tab's "Dividend" row be "Interest"?</t>
        </is>
      </c>
      <c r="W31" t="inlineStr"/>
      <c r="X31" t="inlineStr"/>
      <c r="Y31" t="inlineStr">
        <is>
          <t>NOT DETERMINED</t>
        </is>
      </c>
      <c r="Z31" t="inlineStr">
        <is>
          <t>VERIFIED 2026-08-22</t>
        </is>
      </c>
      <c r="AA31"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t="inlineStr">
        <is>
          <t>AGREES — the figure's arithmetic and the arithmetic of the function it names say the same thing. Checked 2026-08-26.</t>
        </is>
      </c>
      <c r="AC31" t="inlineStr">
        <is>
          <t>HAS A FUNCTION — traceable from the screen to the code.</t>
        </is>
      </c>
      <c r="AD31" t="inlineStr"/>
      <c r="AE31" t="inlineStr">
        <is>
          <t>No finding on this row. That is not a statement that the row is right — only that nothing has been written against it.</t>
        </is>
      </c>
      <c r="AF31" t="inlineStr">
        <is>
          <t>ACTIVE</t>
        </is>
      </c>
      <c r="AG31" t="inlineStr">
        <is>
          <t>2026-08-27</t>
        </is>
      </c>
    </row>
    <row r="32">
      <c r="A32" t="inlineStr">
        <is>
          <t>MK-NW-M-031</t>
        </is>
      </c>
      <c r="B32" t="inlineStr">
        <is>
          <t>Networth</t>
        </is>
      </c>
      <c r="C32" t="inlineStr">
        <is>
          <t>/holding-detail</t>
        </is>
      </c>
      <c r="D32" t="inlineStr">
        <is>
          <t>Quantity — n shares</t>
        </is>
      </c>
      <c r="E32" t="inlineStr">
        <is>
          <t>shares</t>
        </is>
      </c>
      <c r="F32" t="inlineStr">
        <is>
          <t>totalShares</t>
        </is>
      </c>
      <c r="G32" t="inlineStr">
        <is>
          <t>MK-PF-F-001</t>
        </is>
      </c>
      <c r="H32" t="inlineStr">
        <is>
          <t>quantity = Σ(shares bought) − Σ(shares sold)</t>
        </is>
      </c>
      <c r="I32" t="inlineStr">
        <is>
          <t>Add the shares across every purchase lot. A position is the SUM OF ITS LOTS, never one stored figure — that is what makes gain-since-purchase possible.</t>
        </is>
      </c>
      <c r="J32" t="inlineStr">
        <is>
          <t>each lot's shares → lots[].shares  [MK-XS-I-004, MK-XS-I-007]</t>
        </is>
      </c>
      <c r="K32" t="inlineStr">
        <is>
          <t>A count · whole units, except crypto which keeps its fractions  [derived by rule — confirm]</t>
        </is>
      </c>
      <c r="L32" t="inlineStr">
        <is>
          <t>Adds up to $0 when there is nothing to add. Zero and "nothing recorded yet" look identical on screen — worth a decision.</t>
        </is>
      </c>
      <c r="M32" t="inlineStr">
        <is>
          <t>One figure per holding  [derived by rule — confirm]</t>
        </is>
      </c>
      <c r="N32" t="inlineStr">
        <is>
          <t>As of today, from the latest figures held  [derived by rule — confirm]</t>
        </is>
      </c>
      <c r="O32" t="inlineStr">
        <is>
          <t>None — this engine reads raw inputs only</t>
        </is>
      </c>
      <c r="P32" t="inlineStr">
        <is>
          <t>No dependent function — it reads its inputs and answers</t>
        </is>
      </c>
      <c r="Q32" t="inlineStr">
        <is>
          <t>MK-PF-F-001 — If shares is missing it counts as zero, so nothing recorded and a real zero look the same.</t>
        </is>
      </c>
      <c r="R32" t="inlineStr"/>
      <c r="S32" t="inlineStr">
        <is>
          <t>OPTIONS: quantity is held in contracts for options and in shares for stock, in the same field, with nothing marking which. Anything multiplying quantity by price inherits the ambiguity.</t>
        </is>
      </c>
      <c r="T32" t="inlineStr">
        <is>
          <t>NOT DETERMINED — no assumption recorded for this figure yet.</t>
        </is>
      </c>
      <c r="U32" t="inlineStr"/>
      <c r="V32" t="inlineStr">
        <is>
          <t>Q09 — Should the app store the UNIT beside every quantity — shares, contracts, coins, units of face, currency units — so nothing can be multiplied by the wrong price? Today one field holds all of them with nothing marking which.</t>
        </is>
      </c>
      <c r="W32" t="inlineStr"/>
      <c r="X32" t="inlineStr"/>
      <c r="Y32" t="inlineStr">
        <is>
          <t>NOT DETERMINED</t>
        </is>
      </c>
      <c r="Z32" t="inlineStr">
        <is>
          <t>VERIFIED 2026-08-22</t>
        </is>
      </c>
      <c r="AA3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t="inlineStr">
        <is>
          <t>1. B22 [CLASH] — The file says "quantity = Σ(shares bought) − Σ(shares sold)". The code (totalShares) is Σ(shares on each lot). Whether selling reduces a lot or adds a negative one is stated nowhere; if it does neither, the two answers part company the first time anything is sold.</t>
        </is>
      </c>
      <c r="AC32" t="inlineStr">
        <is>
          <t>HAS A FUNCTION — traceable from the screen to the code.</t>
        </is>
      </c>
      <c r="AD32" t="inlineStr"/>
      <c r="AE32" t="inlineStr">
        <is>
          <t>B22 — OPEN since 2026-08-26 — nothing has closed this. It is not known to be wrong; it is known to be unaddressed.</t>
        </is>
      </c>
      <c r="AF32" t="inlineStr">
        <is>
          <t>ACTIVE</t>
        </is>
      </c>
      <c r="AG32" t="inlineStr">
        <is>
          <t>2026-08-27</t>
        </is>
      </c>
    </row>
    <row r="33">
      <c r="A33" t="inlineStr">
        <is>
          <t>MK-NW-M-032</t>
        </is>
      </c>
      <c r="B33" t="inlineStr">
        <is>
          <t>Networth</t>
        </is>
      </c>
      <c r="C33" t="inlineStr">
        <is>
          <t>/holding-detail</t>
        </is>
      </c>
      <c r="D33" t="inlineStr">
        <is>
          <t>Price paid (average)</t>
        </is>
      </c>
      <c r="E33" t="inlineStr">
        <is>
          <t>rawAvg</t>
        </is>
      </c>
      <c r="F33" t="inlineStr">
        <is>
          <t>costBasis</t>
        </is>
      </c>
      <c r="G33" t="inlineStr">
        <is>
          <t>MK-PF-F-002</t>
        </is>
      </c>
      <c r="H33" t="inlineStr">
        <is>
          <t>total paid = Σ(shares in each lot × price paid in that lot);  average = total paid ÷ quantity</t>
        </is>
      </c>
      <c r="I33" t="inlineStr">
        <is>
          <t>Add shares × cost per share across every lot. A lot with no cost recorded contributes nothing, but its shares still count as owned.</t>
        </is>
      </c>
      <c r="J33" t="inlineStr">
        <is>
          <t>each lot's shares and cost → lots[].shares, lots[].cost_per_share  [MK-XS-I-004, MK-XS-I-007]</t>
        </is>
      </c>
      <c r="K33" t="inlineStr">
        <is>
          <t>US dollars per unit · held to 8 decimal places · decimals shown  [derived by rule — confirm]</t>
        </is>
      </c>
      <c r="L33" t="inlineStr">
        <is>
          <t>Adds up to $0 when there is nothing to add. Zero and "nothing recorded yet" look identical on screen — worth a decision.</t>
        </is>
      </c>
      <c r="M33" t="inlineStr">
        <is>
          <t>One figure per holding  [derived by rule — confirm]</t>
        </is>
      </c>
      <c r="N33" t="inlineStr">
        <is>
          <t>As of today, from the latest figures held  [derived by rule — confirm]</t>
        </is>
      </c>
      <c r="O33" t="inlineStr">
        <is>
          <t>None — this engine reads raw inputs only</t>
        </is>
      </c>
      <c r="P33" t="inlineStr">
        <is>
          <t>MK-ST-F-055 round2 → MK-PF-F-002 costBasis</t>
        </is>
      </c>
      <c r="Q33" t="inlineStr">
        <is>
          <t>1. MK-PF-F-002 — If shares is missing it counts as zero, so nothing recorded and a real zero look the same.
2. MK-PF-F-002 — If cost per share is missing it counts as zero, so nothing recorded and a real zero look the same.
3. MK-ST-F-055 — Multiplies by 100 — a percentage, or an option contract treated as 100 shares. Worth checking which.
4. MK-ST-F-055 — Rounds the answer to a whole number.</t>
        </is>
      </c>
      <c r="R33" t="inlineStr"/>
      <c r="S33" t="inlineStr">
        <is>
          <t>OPTIONS: same contract-multiplier question as market value — cost per share × shares, with no ×100 for a contract. TO VERIFY.</t>
        </is>
      </c>
      <c r="T33" t="inlineStr">
        <is>
          <t>[Founder] Cost basis comes from recorded lots. A lot with no cost is skipped rather than treated as free shares, because free shares would report the whole value as gain and tax it.</t>
        </is>
      </c>
      <c r="U33" t="inlineStr"/>
      <c r="V33" t="inlineStr"/>
      <c r="W33" t="inlineStr"/>
      <c r="X33" t="inlineStr"/>
      <c r="Y33" t="inlineStr">
        <is>
          <t>NOT DETERMINED</t>
        </is>
      </c>
      <c r="Z33" t="inlineStr">
        <is>
          <t>VERIFIED 2026-08-22</t>
        </is>
      </c>
      <c r="AA33"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t="inlineStr">
        <is>
          <t>1. B16 [ONE FORMULA] — "Price paid (average)" and "Total paid" carry the SAME formula and name the SAME function, costBasis — which returns the total only. The average is a separate function (avgCost = cost basis ÷ shares) and is named on no row, so one of these two figures is documented as something it is not.</t>
        </is>
      </c>
      <c r="AC33" t="inlineStr">
        <is>
          <t>HAS A FUNCTION — traceable from the screen to the code.</t>
        </is>
      </c>
      <c r="AD33" t="inlineStr"/>
      <c r="AE33" t="inlineStr">
        <is>
          <t>B16 — OPEN since 2026-08-26 — nothing has closed this. It is not known to be wrong; it is known to be unaddressed.</t>
        </is>
      </c>
      <c r="AF33" t="inlineStr">
        <is>
          <t>ACTIVE</t>
        </is>
      </c>
      <c r="AG33" t="inlineStr">
        <is>
          <t>2026-08-27</t>
        </is>
      </c>
    </row>
    <row r="34">
      <c r="A34" t="inlineStr">
        <is>
          <t>MK-NW-M-033</t>
        </is>
      </c>
      <c r="B34" t="inlineStr">
        <is>
          <t>Networth</t>
        </is>
      </c>
      <c r="C34" t="inlineStr">
        <is>
          <t>/holding-detail</t>
        </is>
      </c>
      <c r="D34" t="inlineStr">
        <is>
          <t>Total paid</t>
        </is>
      </c>
      <c r="E34" t="inlineStr">
        <is>
          <t>basis</t>
        </is>
      </c>
      <c r="F34" t="inlineStr">
        <is>
          <t>costBasis</t>
        </is>
      </c>
      <c r="G34" t="inlineStr">
        <is>
          <t>MK-PF-F-002</t>
        </is>
      </c>
      <c r="H34" t="inlineStr">
        <is>
          <t>total paid = Σ(shares in each lot × price paid in that lot);  average = total paid ÷ quantity</t>
        </is>
      </c>
      <c r="I34" t="inlineStr">
        <is>
          <t>Add shares × cost per share across every lot. A lot with no cost recorded contributes nothing, but its shares still count as owned.</t>
        </is>
      </c>
      <c r="J34" t="inlineStr">
        <is>
          <t>each lot's shares and cost → lots[].shares, lots[].cost_per_share  [MK-XS-I-004, MK-XS-I-007]</t>
        </is>
      </c>
      <c r="K34" t="inlineStr">
        <is>
          <t>US dollars · held to the cent · shown as whole dollars  [derived by rule — confirm]</t>
        </is>
      </c>
      <c r="L34" t="inlineStr">
        <is>
          <t>Adds up to $0 when there is nothing to add. Zero and "nothing recorded yet" look identical on screen — worth a decision.</t>
        </is>
      </c>
      <c r="M34" t="inlineStr">
        <is>
          <t>One figure per holding  [derived by rule — confirm]</t>
        </is>
      </c>
      <c r="N34" t="inlineStr">
        <is>
          <t>As of today, from the latest figures held  [derived by rule — confirm]</t>
        </is>
      </c>
      <c r="O34" t="inlineStr">
        <is>
          <t>None — this engine reads raw inputs only</t>
        </is>
      </c>
      <c r="P34" t="inlineStr">
        <is>
          <t>MK-ST-F-055 round2 → MK-PF-F-002 costBasis</t>
        </is>
      </c>
      <c r="Q34" t="inlineStr">
        <is>
          <t>1. MK-PF-F-002 — If shares is missing it counts as zero, so nothing recorded and a real zero look the same.
2. MK-PF-F-002 — If cost per share is missing it counts as zero, so nothing recorded and a real zero look the same.
3. MK-ST-F-055 — Multiplies by 100 — a percentage, or an option contract treated as 100 shares. Worth checking which.
4. MK-ST-F-055 — Rounds the answer to a whole number.</t>
        </is>
      </c>
      <c r="R34" t="inlineStr"/>
      <c r="S34" t="inlineStr">
        <is>
          <t>OPTIONS: same contract-multiplier question as market value — cost per share × shares, with no ×100 for a contract. TO VERIFY.</t>
        </is>
      </c>
      <c r="T34" t="inlineStr">
        <is>
          <t>[Founder] Cost basis comes from recorded lots. A lot with no cost is skipped rather than treated as free shares, because free shares would report the whole value as gain and tax it.</t>
        </is>
      </c>
      <c r="U34" t="inlineStr"/>
      <c r="V34" t="inlineStr"/>
      <c r="W34" t="inlineStr"/>
      <c r="X34" t="inlineStr"/>
      <c r="Y34" t="inlineStr">
        <is>
          <t>NOT DETERMINED</t>
        </is>
      </c>
      <c r="Z34" t="inlineStr">
        <is>
          <t>VERIFIED 2026-08-22</t>
        </is>
      </c>
      <c r="AA34"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t="inlineStr">
        <is>
          <t>1. B16 [ONE FORMULA] — "Price paid (average)" and "Total paid" carry the SAME formula and name the SAME function, costBasis — which returns the total only. The average is a separate function (avgCost = cost basis ÷ shares) and is named on no row, so one of these two figures is documented as something it is not.</t>
        </is>
      </c>
      <c r="AC34" t="inlineStr">
        <is>
          <t>HAS A FUNCTION — traceable from the screen to the code.</t>
        </is>
      </c>
      <c r="AD34" t="inlineStr"/>
      <c r="AE34" t="inlineStr">
        <is>
          <t>B16 — OPEN since 2026-08-26 — nothing has closed this. It is not known to be wrong; it is known to be unaddressed.</t>
        </is>
      </c>
      <c r="AF34" t="inlineStr">
        <is>
          <t>ACTIVE</t>
        </is>
      </c>
      <c r="AG34" t="inlineStr">
        <is>
          <t>2026-08-27</t>
        </is>
      </c>
    </row>
    <row r="35">
      <c r="A35" t="inlineStr">
        <is>
          <t>MK-NW-M-034</t>
        </is>
      </c>
      <c r="B35" t="inlineStr">
        <is>
          <t>Networth</t>
        </is>
      </c>
      <c r="C35" t="inlineStr">
        <is>
          <t>/holding-detail</t>
        </is>
      </c>
      <c r="D35" t="inlineStr">
        <is>
          <t>Dividends received (12 mo)</t>
        </is>
      </c>
      <c r="E35" t="inlineStr">
        <is>
          <t>dividends.trailing12</t>
        </is>
      </c>
      <c r="F35" t="inlineStr">
        <is>
          <t>NOT ON RECORD — no function is recorded for this figure</t>
        </is>
      </c>
      <c r="G35" t="inlineStr"/>
      <c r="H35" t="inlineStr">
        <is>
          <t>dividends = Σ(dividend lines in the last 12 months)</t>
        </is>
      </c>
      <c r="I35" t="inlineStr">
        <is>
          <t>Adds the dividends recorded for this holding over the last twelve months.</t>
        </is>
      </c>
      <c r="J35" t="inlineStr">
        <is>
          <t>NOT DETERMINED — no input list on record for this engine</t>
        </is>
      </c>
      <c r="K35" t="inlineStr">
        <is>
          <t>US dollars · held to the cent · shown as whole dollars  [derived by rule — confirm]</t>
        </is>
      </c>
      <c r="L35" t="inlineStr">
        <is>
          <t>Adds up to $0 when there is nothing to add. Zero and "nothing recorded yet" look identical on screen — worth a decision.</t>
        </is>
      </c>
      <c r="M35" t="inlineStr">
        <is>
          <t>One figure per person — or per household when two people share one record  [derived by rule — confirm]</t>
        </is>
      </c>
      <c r="N35" t="inlineStr">
        <is>
          <t>This calendar month, to today  [derived by rule — confirm]</t>
        </is>
      </c>
      <c r="O35" t="inlineStr">
        <is>
          <t>NOT DETERMINED</t>
        </is>
      </c>
      <c r="P35" t="inlineStr">
        <is>
          <t>No function on record — nothing to chain</t>
        </is>
      </c>
      <c r="Q35" t="inlineStr">
        <is>
          <t>No function on record — assumptions unknown</t>
        </is>
      </c>
      <c r="R35" t="inlineStr"/>
      <c r="S35" t="inlineStr"/>
      <c r="T35" t="inlineStr">
        <is>
          <t>NOT DETERMINED — no assumption recorded for this figure yet.</t>
        </is>
      </c>
      <c r="U35" t="inlineStr"/>
      <c r="V35" t="inlineStr"/>
      <c r="W35" t="inlineStr"/>
      <c r="X35" t="inlineStr"/>
      <c r="Y35" t="inlineStr">
        <is>
          <t>NOT DETERMINED</t>
        </is>
      </c>
      <c r="Z35" t="inlineStr">
        <is>
          <t>VERIFIED 2026-08-22</t>
        </is>
      </c>
      <c r="AA3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t="inlineStr">
        <is>
          <t>B24 [NOT COMPARABLE] — This figure names no function, so its formula cannot be checked against anything. 69 of the 163 figures are in this position — the audit covers the 94 that name one.</t>
        </is>
      </c>
      <c r="AC35"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5" t="inlineStr"/>
      <c r="AE35" t="inlineStr">
        <is>
          <t>No finding on this row. That is not a statement that the row is right — only that nothing has been written against it.</t>
        </is>
      </c>
      <c r="AF35" t="inlineStr">
        <is>
          <t>ACTIVE</t>
        </is>
      </c>
      <c r="AG35" t="inlineStr">
        <is>
          <t>2026-08-27</t>
        </is>
      </c>
    </row>
    <row r="36">
      <c r="A36" t="inlineStr">
        <is>
          <t>MK-NW-M-035</t>
        </is>
      </c>
      <c r="B36" t="inlineStr">
        <is>
          <t>Networth</t>
        </is>
      </c>
      <c r="C36" t="inlineStr">
        <is>
          <t>/holding-detail</t>
        </is>
      </c>
      <c r="D36" t="inlineStr">
        <is>
          <t>Realized gain from your buys and sells</t>
        </is>
      </c>
      <c r="E36" t="inlineStr">
        <is>
          <t>realized</t>
        </is>
      </c>
      <c r="F36" t="inlineStr">
        <is>
          <t>realizedFromLedger</t>
        </is>
      </c>
      <c r="G36" t="inlineStr">
        <is>
          <t>MK-PF-F-028</t>
        </is>
      </c>
      <c r="H36" t="inlineStr">
        <is>
          <t>realised gain = Σ over sales of (proceeds − cost of the shares sold, oldest first)</t>
        </is>
      </c>
      <c r="I36" t="inlineStr">
        <is>
          <t>Walk buys and sells in date order. Each sale consumes the OLDEST buy lots first, and the gain is proceeds minus the cost of the shares it consumed.
Lots are kept separately per account AND per ticker, so a Schwab holding never covers a Robinhood sale of the same share.
A SALE WITH NO RECORDED BUY CONTRIBUTES NOTHING and is counted separately, so the screen can say how much it could not see. A cost is never invented — inventing one would report the entire sale as profit.</t>
        </is>
      </c>
      <c r="J36" t="inlineStr">
        <is>
          <t>1. the ledger → txns  [MK-XS-I-008]
2. optionally one ticker → opts.ticker  [NOT AN INPUT — a setting or a filter, not data anyone supplies]
3. optionally one account → opts.accountId  [NOT AN INPUT — a setting or a filter, not data anyone supplies]
4. today → opts.now  [NOT AN INPUT — a setting or a filter, not data anyone supplies]</t>
        </is>
      </c>
      <c r="K36" t="inlineStr">
        <is>
          <t>US dollars · held to the cent · shown as whole dollars  [derived by rule — confirm]</t>
        </is>
      </c>
      <c r="L36" t="inlineStr">
        <is>
          <t>Sales with no recorded purchase are counted separately and named on screen: "N sales had no recorded purchase, so their gain isn't counted."</t>
        </is>
      </c>
      <c r="M36" t="inlineStr">
        <is>
          <t>One figure per person — or per household when two people share one record  [derived by rule — confirm]</t>
        </is>
      </c>
      <c r="N36" t="inlineStr">
        <is>
          <t>As of today, from the latest figures held  [derived by rule — confirm]</t>
        </is>
      </c>
      <c r="O36" t="inlineStr">
        <is>
          <t>None — this engine reads raw inputs only</t>
        </is>
      </c>
      <c r="P36" t="inlineStr">
        <is>
          <t>No dependent function — it reads its inputs and answers</t>
        </is>
      </c>
      <c r="Q36" t="inlineStr">
        <is>
          <t>1. MK-PF-F-028 — If shares is missing it uses 0.
2. MK-PF-F-028 — Uses today's date from the device clock, so the answer changes by itself overnight.
3. MK-PF-F-028 — Multiplies by 100 — a percentage, or an option contract treated as 100 shares. Worth checking which.
4. MK-PF-F-028 — Rounds the answer to a whole number.
5. MK-PF-F-028 — Leaves some rows out of the answer — check which.</t>
        </is>
      </c>
      <c r="R36" t="inlineStr"/>
      <c r="S36" t="inlineStr">
        <is>
          <t>Reads the transaction ledger, which is device-only. On a second device it reports nothing — not because nothing was sold, but because the record is elsewhere.</t>
        </is>
      </c>
      <c r="T36" t="inlineStr">
        <is>
          <t>NOT DETERMINED — no assumption recorded for this figure yet.</t>
        </is>
      </c>
      <c r="U36" t="inlineStr"/>
      <c r="V36" t="inlineStr">
        <is>
          <t>Q21 — On a second device the ledger is absent, so this reads nothing. Until history syncs, should it refuse in words rather than show a figure that looks like zero?</t>
        </is>
      </c>
      <c r="W36" t="inlineStr"/>
      <c r="X36" t="inlineStr"/>
      <c r="Y36" t="inlineStr">
        <is>
          <t>NOT DETERMINED</t>
        </is>
      </c>
      <c r="Z36" t="inlineStr">
        <is>
          <t>VERIFIED 2026-08-22</t>
        </is>
      </c>
      <c r="AA36" t="inlineStr">
        <is>
          <t>1.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t="inlineStr">
        <is>
          <t>AGREES — the figure's arithmetic and the arithmetic of the function it names say the same thing. Checked 2026-08-26.</t>
        </is>
      </c>
      <c r="AC36" t="inlineStr">
        <is>
          <t>HAS A FUNCTION — traceable from the screen to the code.</t>
        </is>
      </c>
      <c r="AD36" t="inlineStr"/>
      <c r="AE36" t="inlineStr">
        <is>
          <t>No finding on this row. That is not a statement that the row is right — only that nothing has been written against it.</t>
        </is>
      </c>
      <c r="AF36" t="inlineStr">
        <is>
          <t>ACTIVE</t>
        </is>
      </c>
      <c r="AG36" t="inlineStr">
        <is>
          <t>2026-08-27</t>
        </is>
      </c>
    </row>
    <row r="37">
      <c r="A37" t="inlineStr">
        <is>
          <t>MK-NW-M-036</t>
        </is>
      </c>
      <c r="B37" t="inlineStr">
        <is>
          <t>Networth</t>
        </is>
      </c>
      <c r="C37" t="inlineStr">
        <is>
          <t>/holding-detail</t>
        </is>
      </c>
      <c r="D37" t="inlineStr">
        <is>
          <t>Gain — long-term (held over 1 yr)</t>
        </is>
      </c>
      <c r="E37" t="inlineStr">
        <is>
          <t>cg.longGain</t>
        </is>
      </c>
      <c r="F37" t="inlineStr">
        <is>
          <t>capGains</t>
        </is>
      </c>
      <c r="G37" t="inlineStr">
        <is>
          <t>MK-PF-F-006</t>
        </is>
      </c>
      <c r="H37" t="inlineStr">
        <is>
          <t>per lot: gain = shares × (price − cost per share);  long-term if the lot was held ≥ 365 whole days, otherwise short-term;  a lot with no cost recorded is skipped</t>
        </is>
      </c>
      <c r="I37" t="inlineStr">
        <is>
          <t>Each LOT is judged on its OWN purchase date, not the position's: held twelve whole months or more → long-term, otherwise short-term. Gain per lot = shares × (price − cost per share).
A lot with no cost recorded is SKIPPED, not treated as free shares — treating it as free would report the entire value as gain and tax it.
An unreadable purchase date is treated as SHORT-term: the cautious side, since understating a tax bill is the worse mistake.</t>
        </is>
      </c>
      <c r="J37" t="inlineStr">
        <is>
          <t>1. each lot → lots[]  [MK-XS-I-007]
2. price → the latest close  [MK-XS-I-005]
3. today → now  [NOT AN INPUT — a setting or a filter, not data anyone supplies]</t>
        </is>
      </c>
      <c r="K37" t="inlineStr">
        <is>
          <t>US dollars · held to the cent · shown as whole dollars  [derived by rule — confirm]</t>
        </is>
      </c>
      <c r="L37" t="inlineStr">
        <is>
          <t>A lot with no recorded purchase price is SKIPPED. Today the screen does not say so, which is finding Q20.</t>
        </is>
      </c>
      <c r="M37" t="inlineStr">
        <is>
          <t>One figure per holding  [derived by rule — confirm]</t>
        </is>
      </c>
      <c r="N37" t="inlineStr">
        <is>
          <t>As of today, from the latest figures held  [derived by rule — confirm]</t>
        </is>
      </c>
      <c r="O37" t="inlineStr">
        <is>
          <t>None — this engine reads raw inputs only</t>
        </is>
      </c>
      <c r="P37" t="inlineStr">
        <is>
          <t>MK-ST-F-055 round2 → MK-PF-F-006 capGains</t>
        </is>
      </c>
      <c r="Q37" t="inlineStr">
        <is>
          <t>1. MK-PF-F-006 — Uses today's date from the device clock, so the answer changes by itself overnight.
2. MK-ST-F-055 — Multiplies by 100 — a percentage, or an option contract treated as 100 shares. Worth checking which.
3. MK-ST-F-055 — Rounds the answer to a whole number.</t>
        </is>
      </c>
      <c r="R37" t="inlineStr"/>
      <c r="S37" t="inlineStr">
        <is>
          <t>OPTIONS: gain per lot = shares × (price − cost), again with no contract multiplier. TO VERIFY. Separately: a lot with no recorded cost is skipped, so a position of skipped lots reports no gain at all rather than saying it cannot tell.</t>
        </is>
      </c>
      <c r="T37" t="inlineStr">
        <is>
          <t>[Founder] Long-term is decided by DAYS, not calendar months (correction E7): 335 days used to count as long-term and be taxed at the lower rate.</t>
        </is>
      </c>
      <c r="U37" t="inlineStr"/>
      <c r="V37" t="inlineStr">
        <is>
          <t>Q20 — A lot with no recorded purchase price is skipped, so its gain is simply absent. Should the screen SAY so — "gain not counted for N shares, no purchase price on record" — rather than quietly reporting less?</t>
        </is>
      </c>
      <c r="W37" t="inlineStr"/>
      <c r="X37" t="inlineStr"/>
      <c r="Y37" t="inlineStr">
        <is>
          <t>NOT DETERMINED</t>
        </is>
      </c>
      <c r="Z37" t="inlineStr">
        <is>
          <t>VERIFIED 2026-08-22</t>
        </is>
      </c>
      <c r="AA37" t="inlineStr">
        <is>
          <t>1. A34 — Long-term or short-term: this file says the lot must be held 365 whole days. The IRS test is MORE than one year — a lot bought on 1 January and sold on 1 January the next year is short-term. The rule as written is one day early and mislabels the tax character of a gain at exactly the boundary.
2.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3.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t="inlineStr">
        <is>
          <t>1. B10 [CLASH] — The file says a lot is long-term when held "≥ 365 whole days". The code (capGains) says long-term begins the day AFTER the first anniversary — exactly one year is still short term, which is the IRS rule. The file is one day early and mislabels the tax on a gain at the boundary. Also finding A34.</t>
        </is>
      </c>
      <c r="AC37" t="inlineStr">
        <is>
          <t>HAS A FUNCTION — traceable from the screen to the code.</t>
        </is>
      </c>
      <c r="AD37" t="inlineStr"/>
      <c r="AE37" t="inlineStr">
        <is>
          <t>A34 — OPEN since 2026-08-26 — nothing has closed this. It is not known to be wrong; it is known to be unaddressed.
B10 — OPEN since 2026-08-26 — nothing has closed this. It is not known to be wrong; it is known to be unaddressed.</t>
        </is>
      </c>
      <c r="AF37" t="inlineStr">
        <is>
          <t>ACTIVE</t>
        </is>
      </c>
      <c r="AG37" t="inlineStr">
        <is>
          <t>2026-08-27</t>
        </is>
      </c>
    </row>
    <row r="38">
      <c r="A38" t="inlineStr">
        <is>
          <t>MK-NW-M-037</t>
        </is>
      </c>
      <c r="B38" t="inlineStr">
        <is>
          <t>Networth</t>
        </is>
      </c>
      <c r="C38" t="inlineStr">
        <is>
          <t>/holding-detail</t>
        </is>
      </c>
      <c r="D38" t="inlineStr">
        <is>
          <t>Gain — short-term (under 1 yr)</t>
        </is>
      </c>
      <c r="E38" t="inlineStr">
        <is>
          <t>cg.shortGain</t>
        </is>
      </c>
      <c r="F38" t="inlineStr">
        <is>
          <t>capGains</t>
        </is>
      </c>
      <c r="G38" t="inlineStr">
        <is>
          <t>MK-PF-F-006</t>
        </is>
      </c>
      <c r="H38" t="inlineStr">
        <is>
          <t>per lot: gain = shares × (price − cost per share);  long-term if the lot was held ≥ 365 whole days, otherwise short-term;  a lot with no cost recorded is skipped</t>
        </is>
      </c>
      <c r="I38" t="inlineStr">
        <is>
          <t>Each LOT is judged on its OWN purchase date, not the position's: held twelve whole months or more → long-term, otherwise short-term. Gain per lot = shares × (price − cost per share).
A lot with no cost recorded is SKIPPED, not treated as free shares — treating it as free would report the entire value as gain and tax it.
An unreadable purchase date is treated as SHORT-term: the cautious side, since understating a tax bill is the worse mistake.</t>
        </is>
      </c>
      <c r="J38" t="inlineStr">
        <is>
          <t>1. each lot → lots[]  [MK-XS-I-007]
2. price → the latest close  [MK-XS-I-005]
3. today → now  [NOT AN INPUT — a setting or a filter, not data anyone supplies]</t>
        </is>
      </c>
      <c r="K38" t="inlineStr">
        <is>
          <t>US dollars · held to the cent · shown as whole dollars  [derived by rule — confirm]</t>
        </is>
      </c>
      <c r="L38" t="inlineStr">
        <is>
          <t>A lot with no recorded purchase price is SKIPPED. Today the screen does not say so, which is finding Q20.</t>
        </is>
      </c>
      <c r="M38" t="inlineStr">
        <is>
          <t>One figure per holding  [derived by rule — confirm]</t>
        </is>
      </c>
      <c r="N38" t="inlineStr">
        <is>
          <t>As of today, from the latest figures held  [derived by rule — confirm]</t>
        </is>
      </c>
      <c r="O38" t="inlineStr">
        <is>
          <t>None — this engine reads raw inputs only</t>
        </is>
      </c>
      <c r="P38" t="inlineStr">
        <is>
          <t>MK-ST-F-055 round2 → MK-PF-F-006 capGains</t>
        </is>
      </c>
      <c r="Q38" t="inlineStr">
        <is>
          <t>1. MK-PF-F-006 — Uses today's date from the device clock, so the answer changes by itself overnight.
2. MK-ST-F-055 — Multiplies by 100 — a percentage, or an option contract treated as 100 shares. Worth checking which.
3. MK-ST-F-055 — Rounds the answer to a whole number.</t>
        </is>
      </c>
      <c r="R38" t="inlineStr"/>
      <c r="S38" t="inlineStr">
        <is>
          <t>OPTIONS: gain per lot = shares × (price − cost), again with no contract multiplier. TO VERIFY. Separately: a lot with no recorded cost is skipped, so a position of skipped lots reports no gain at all rather than saying it cannot tell.</t>
        </is>
      </c>
      <c r="T38" t="inlineStr">
        <is>
          <t>[Founder] Long-term is decided by DAYS, not calendar months (correction E7): 335 days used to count as long-term and be taxed at the lower rate.</t>
        </is>
      </c>
      <c r="U38" t="inlineStr"/>
      <c r="V38" t="inlineStr"/>
      <c r="W38" t="inlineStr"/>
      <c r="X38" t="inlineStr"/>
      <c r="Y38" t="inlineStr">
        <is>
          <t>NOT DETERMINED</t>
        </is>
      </c>
      <c r="Z38" t="inlineStr">
        <is>
          <t>VERIFIED 2026-08-22</t>
        </is>
      </c>
      <c r="AA38" t="inlineStr">
        <is>
          <t>1. A34 — Long-term or short-term: this file says the lot must be held 365 whole days. The IRS test is MORE than one year — a lot bought on 1 January and sold on 1 January the next year is short-term. The rule as written is one day early and mislabels the tax character of a gain at exactly the boundary.
2.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3.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t="inlineStr">
        <is>
          <t>1. B10 [CLASH] — The file says a lot is long-term when held "≥ 365 whole days". The code (capGains) says long-term begins the day AFTER the first anniversary — exactly one year is still short term, which is the IRS rule. The file is one day early and mislabels the tax on a gain at the boundary. Also finding A34.</t>
        </is>
      </c>
      <c r="AC38" t="inlineStr">
        <is>
          <t>HAS A FUNCTION — traceable from the screen to the code.</t>
        </is>
      </c>
      <c r="AD38" t="inlineStr"/>
      <c r="AE38" t="inlineStr">
        <is>
          <t>A34 — OPEN since 2026-08-26 — nothing has closed this. It is not known to be wrong; it is known to be unaddressed.
B10 — OPEN since 2026-08-26 — nothing has closed this. It is not known to be wrong; it is known to be unaddressed.</t>
        </is>
      </c>
      <c r="AF38" t="inlineStr">
        <is>
          <t>ACTIVE</t>
        </is>
      </c>
      <c r="AG38" t="inlineStr">
        <is>
          <t>2026-08-27</t>
        </is>
      </c>
    </row>
    <row r="39">
      <c r="A39" t="inlineStr">
        <is>
          <t>MK-NW-M-038</t>
        </is>
      </c>
      <c r="B39" t="inlineStr">
        <is>
          <t>Networth</t>
        </is>
      </c>
      <c r="C39" t="inlineStr">
        <is>
          <t>/itemize</t>
        </is>
      </c>
      <c r="D39" t="inlineStr">
        <is>
          <t>We keep the total at $X</t>
        </is>
      </c>
      <c r="E39" t="inlineStr">
        <is>
          <t>lump.balance</t>
        </is>
      </c>
      <c r="F39" t="inlineStr">
        <is>
          <t>NOT ON RECORD — no function is recorded for this figure</t>
        </is>
      </c>
      <c r="G39" t="inlineStr"/>
      <c r="H39" t="inlineStr">
        <is>
          <t>the balance of the account being broken into holdings</t>
        </is>
      </c>
      <c r="I39" t="inlineStr">
        <is>
          <t>The single account total that the holdings entered must add up to.</t>
        </is>
      </c>
      <c r="J39" t="inlineStr">
        <is>
          <t>NOT DETERMINED — no input list on record for this engine</t>
        </is>
      </c>
      <c r="K39" t="inlineStr">
        <is>
          <t>US dollars · held to the cent · shown as whole dollars  [derived by rule — confirm]</t>
        </is>
      </c>
      <c r="L39" t="inlineStr">
        <is>
          <t>NOT DETERMINED — this engine has not been read for its refusal yet.</t>
        </is>
      </c>
      <c r="M39" t="inlineStr">
        <is>
          <t>One figure per person — or per household when two people share one record  [derived by rule — confirm]</t>
        </is>
      </c>
      <c r="N39" t="inlineStr">
        <is>
          <t>As of today, from the latest figures held  [derived by rule — confirm]</t>
        </is>
      </c>
      <c r="O39" t="inlineStr">
        <is>
          <t>NOT DETERMINED</t>
        </is>
      </c>
      <c r="P39" t="inlineStr">
        <is>
          <t>No function on record — nothing to chain</t>
        </is>
      </c>
      <c r="Q39" t="inlineStr">
        <is>
          <t>No function on record — assumptions unknown</t>
        </is>
      </c>
      <c r="R39" t="inlineStr"/>
      <c r="S39" t="inlineStr"/>
      <c r="T39" t="inlineStr">
        <is>
          <t>NOT DETERMINED — no assumption recorded for this figure yet.</t>
        </is>
      </c>
      <c r="U39" t="inlineStr"/>
      <c r="V39" t="inlineStr"/>
      <c r="W39" t="inlineStr"/>
      <c r="X39" t="inlineStr"/>
      <c r="Y39" t="inlineStr">
        <is>
          <t>NOT DETERMINED</t>
        </is>
      </c>
      <c r="Z39" t="inlineStr">
        <is>
          <t>VERIFIED 2026-08-22</t>
        </is>
      </c>
      <c r="AA3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9" t="inlineStr">
        <is>
          <t>B24 [NOT COMPARABLE] — This figure names no function, so its formula cannot be checked against anything. 69 of the 163 figures are in this position — the audit covers the 94 that name one.</t>
        </is>
      </c>
      <c r="AC39"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9" t="inlineStr"/>
      <c r="AE39" t="inlineStr">
        <is>
          <t>No finding on this row. That is not a statement that the row is right — only that nothing has been written against it.</t>
        </is>
      </c>
      <c r="AF39" t="inlineStr">
        <is>
          <t>ACTIVE</t>
        </is>
      </c>
      <c r="AG39" t="inlineStr">
        <is>
          <t>2026-08-27</t>
        </is>
      </c>
    </row>
    <row r="40">
      <c r="A40" t="inlineStr">
        <is>
          <t>MK-NW-M-039</t>
        </is>
      </c>
      <c r="B40" t="inlineStr">
        <is>
          <t>Networth</t>
        </is>
      </c>
      <c r="C40" t="inlineStr">
        <is>
          <t>/itemize</t>
        </is>
      </c>
      <c r="D40" t="inlineStr">
        <is>
          <t>$X of $Y itemized · remainder</t>
        </is>
      </c>
      <c r="E40" t="inlineStr">
        <is>
          <t>allocated / remainder</t>
        </is>
      </c>
      <c r="F40" t="inlineStr">
        <is>
          <t>Worked out on the screen itself — no function behind it</t>
        </is>
      </c>
      <c r="G40" t="inlineStr"/>
      <c r="H40" t="inlineStr">
        <is>
          <t>left to itemise = the account total − Σ(holdings entered)</t>
        </is>
      </c>
      <c r="I40" t="inlineStr">
        <is>
          <t>Worked out on the screen itself, with no engine behind it — a place a second definition can appear.</t>
        </is>
      </c>
      <c r="J40" t="inlineStr">
        <is>
          <t>NOT DETERMINED — no input list on record for this engine</t>
        </is>
      </c>
      <c r="K40" t="inlineStr">
        <is>
          <t>US dollars · held to the cent · shown as whole dollars  [derived by rule — confirm]</t>
        </is>
      </c>
      <c r="L40" t="inlineStr">
        <is>
          <t>Inherits the refusal of the figures it is built from: if either side is missing, this line is not shown.</t>
        </is>
      </c>
      <c r="M40" t="inlineStr">
        <is>
          <t>One figure per person — or per household when two people share one record  [derived by rule — confirm]</t>
        </is>
      </c>
      <c r="N40" t="inlineStr">
        <is>
          <t>As of today, from the latest figures held  [derived by rule — confirm]</t>
        </is>
      </c>
      <c r="O40" t="inlineStr">
        <is>
          <t>NOT DETERMINED</t>
        </is>
      </c>
      <c r="P40" t="inlineStr">
        <is>
          <t>No function on record — nothing to chain</t>
        </is>
      </c>
      <c r="Q40" t="inlineStr">
        <is>
          <t>No function on record — assumptions unknown</t>
        </is>
      </c>
      <c r="R40" t="inlineStr"/>
      <c r="S40" t="inlineStr"/>
      <c r="T40" t="inlineStr">
        <is>
          <t>NOT DETERMINED — no assumption recorded for this figure yet.</t>
        </is>
      </c>
      <c r="U40" t="inlineStr"/>
      <c r="V40" t="inlineStr"/>
      <c r="W40" t="inlineStr"/>
      <c r="X40" t="inlineStr"/>
      <c r="Y40" t="inlineStr">
        <is>
          <t>NOT DETERMINED</t>
        </is>
      </c>
      <c r="Z40" t="inlineStr">
        <is>
          <t>VERIFIED 2026-08-22</t>
        </is>
      </c>
      <c r="AA4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0" t="inlineStr">
        <is>
          <t>B24 [NOT COMPARABLE] — This figure names no function, so its formula cannot be checked against anything. 69 of the 163 figures are in this position — the audit covers the 94 that name one.</t>
        </is>
      </c>
      <c r="AC40"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40" t="inlineStr"/>
      <c r="AE40" t="inlineStr">
        <is>
          <t>No finding on this row. That is not a statement that the row is right — only that nothing has been written against it.</t>
        </is>
      </c>
      <c r="AF40" t="inlineStr">
        <is>
          <t>ACTIVE</t>
        </is>
      </c>
      <c r="AG40" t="inlineStr">
        <is>
          <t>2026-08-27</t>
        </is>
      </c>
    </row>
    <row r="41">
      <c r="A41" t="inlineStr">
        <is>
          <t>MK-NW-M-040</t>
        </is>
      </c>
      <c r="B41" t="inlineStr">
        <is>
          <t>Networth</t>
        </is>
      </c>
      <c r="C41" t="inlineStr">
        <is>
          <t>/itemize</t>
        </is>
      </c>
      <c r="D41" t="inlineStr">
        <is>
          <t>each holding and its value</t>
        </is>
      </c>
      <c r="E41" t="inlineStr">
        <is>
          <t>h.value</t>
        </is>
      </c>
      <c r="F41" t="inlineStr">
        <is>
          <t>marketValue</t>
        </is>
      </c>
      <c r="G41" t="inlineStr">
        <is>
          <t>MK-PF-F-004</t>
        </is>
      </c>
      <c r="H41" t="inlineStr">
        <is>
          <t>value = quantity × latest price</t>
        </is>
      </c>
      <c r="I41" t="inlineStr">
        <is>
          <t>shares × latest price.
NO PRICE MEANS ZERO, NOT A GUESS. An unpriced holding contributes nothing and the screen says the price is missing — it is never valued at what it cost, which would silently report a gain of exactly zero.</t>
        </is>
      </c>
      <c r="J41" t="inlineStr">
        <is>
          <t>1. shares → totalShares  [MK-XS-I-004]
2. price → the latest close  [MK-XS-I-005]</t>
        </is>
      </c>
      <c r="K41" t="inlineStr">
        <is>
          <t>US dollars · held to the cent · shown as whole dollars  [derived by rule — confirm]</t>
        </is>
      </c>
      <c r="L41" t="inlineStr">
        <is>
          <t>NOT DETERMINED — this engine has not been read for its refusal yet.</t>
        </is>
      </c>
      <c r="M41" t="inlineStr">
        <is>
          <t>One figure per holding  [derived by rule — confirm]</t>
        </is>
      </c>
      <c r="N41" t="inlineStr">
        <is>
          <t>As of today, from the latest figures held  [derived by rule — confirm]</t>
        </is>
      </c>
      <c r="O41" t="inlineStr">
        <is>
          <t>MK-XS-E-022 (HOLDING_SHARES) → How many shares of this do I own?</t>
        </is>
      </c>
      <c r="P41" t="inlineStr">
        <is>
          <t>1. MK-ST-F-055 round2 → MK-PF-F-004 marketValue
2. MK-PF-F-001 totalShares → MK-PF-F-004 marketValue</t>
        </is>
      </c>
      <c r="Q41" t="inlineStr">
        <is>
          <t>1. MK-ST-F-055 — Multiplies by 100 — a percentage, or an option contract treated as 100 shares. Worth checking which.
2. MK-ST-F-055 — Rounds the answer to a whole number.
3. MK-PF-F-001 — If shares is missing it counts as zero, so nothing recorded and a real zero look the same.</t>
        </is>
      </c>
      <c r="R41" t="inlineStr">
        <is>
          <t>DECIDES whether a line is a share, a bond, an option, a crypto amount or a currency, because the units differ; and DECIDES the price to use when the feed has none.</t>
        </is>
      </c>
      <c r="S41" t="inlineStr">
        <is>
          <t>OPTIONS: value is quantity × price with no contract multiplier. An option is 100 shares per contract unless the broker states otherwise, so an option position may be reported at one hundredth of its real value. The ledger normalises a TRADE so units × price equals the broker's cash figure, but the holdings path does not. TO VERIFY AND FIX.</t>
        </is>
      </c>
      <c r="T41" t="inlineStr">
        <is>
          <t>[Founder] A price is a ratio, not money: it keeps eight decimal places and is never rounded to cents. Rounding a Treasury bill price of $0.9888 to $0.99 invented $276 of gain on one row.</t>
        </is>
      </c>
      <c r="U41" t="inlineStr">
        <is>
          <t>THE SAME FIGURE AS MK-NW-M-030 — A holding's current value, on holding detail and again while itemising an account.</t>
        </is>
      </c>
      <c r="V41" t="inlineStr"/>
      <c r="W41" t="inlineStr"/>
      <c r="X41" t="inlineStr"/>
      <c r="Y41" t="inlineStr">
        <is>
          <t>NOT DETERMINED</t>
        </is>
      </c>
      <c r="Z41" t="inlineStr">
        <is>
          <t>VERIFIED 2026-08-22</t>
        </is>
      </c>
      <c r="AA41"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1" t="inlineStr">
        <is>
          <t>AGREES — the figure's arithmetic and the arithmetic of the function it names say the same thing. Checked 2026-08-26.</t>
        </is>
      </c>
      <c r="AC41" t="inlineStr">
        <is>
          <t>HAS A FUNCTION — traceable from the screen to the code.</t>
        </is>
      </c>
      <c r="AD41" t="inlineStr"/>
      <c r="AE41" t="inlineStr">
        <is>
          <t>No finding on this row. That is not a statement that the row is right — only that nothing has been written against it.</t>
        </is>
      </c>
      <c r="AF41" t="inlineStr">
        <is>
          <t>SUPERSEDED BY MK-NW-M-030 — the same figure under another identifier. This number is retired and is never handed to anything else.</t>
        </is>
      </c>
      <c r="AG41" t="inlineStr">
        <is>
          <t>2026-08-27</t>
        </is>
      </c>
    </row>
    <row r="42">
      <c r="A42" t="inlineStr">
        <is>
          <t>MK-NW-M-041</t>
        </is>
      </c>
      <c r="B42" t="inlineStr">
        <is>
          <t>Networth</t>
        </is>
      </c>
      <c r="C42" t="inlineStr">
        <is>
          <t>/bonds</t>
        </is>
      </c>
      <c r="D42" t="inlineStr">
        <is>
          <t>total value of your bonds</t>
        </is>
      </c>
      <c r="E42" t="inlineStr">
        <is>
          <t>summary.totalValue</t>
        </is>
      </c>
      <c r="F42" t="inlineStr">
        <is>
          <t>bondInfo</t>
        </is>
      </c>
      <c r="G42" t="inlineStr">
        <is>
          <t>MK-NW-F-056</t>
        </is>
      </c>
      <c r="H42" t="inlineStr">
        <is>
          <t>face, coupon rate and maturity as recorded;  bonds total = Σ(value of each bond),  face total = Σ(face)</t>
        </is>
      </c>
      <c r="I42" t="inlineStr">
        <is>
          <t>Reads the stored bond fields off the holding and computes its yields. A holding with none of them is not a bond and returns nothing.</t>
        </is>
      </c>
      <c r="J42" t="inlineStr">
        <is>
          <t>the holding → position/account  [MK-XS-I-004]</t>
        </is>
      </c>
      <c r="K42" t="inlineStr">
        <is>
          <t>US dollars · held to the cent · shown as whole dollars  [derived by rule — confirm]</t>
        </is>
      </c>
      <c r="L42" t="inlineStr">
        <is>
          <t>Adds up to $0 when there is nothing to add. Zero and "nothing recorded yet" look identical on screen — worth a decision.</t>
        </is>
      </c>
      <c r="M42" t="inlineStr">
        <is>
          <t>One figure per bond  [derived by rule — confirm]</t>
        </is>
      </c>
      <c r="N42" t="inlineStr">
        <is>
          <t>As of today, from the latest figures held  [derived by rule — confirm]</t>
        </is>
      </c>
      <c r="O42" t="inlineStr">
        <is>
          <t>None — this engine reads raw inputs only</t>
        </is>
      </c>
      <c r="P42" t="inlineStr">
        <is>
          <t>No dependent function — it reads its inputs and answers</t>
        </is>
      </c>
      <c r="Q42" t="inlineStr">
        <is>
          <t>1. MK-NW-F-056 — If face value is missing it counts as zero, so nothing recorded and a real zero look the same.
2. MK-NW-F-056 — If coupon rate is missing it counts as zero, so nothing recorded and a real zero look the same.
3. MK-NW-F-056 — If balance is missing it counts as zero, so nothing recorded and a real zero look the same.</t>
        </is>
      </c>
      <c r="R42" t="inlineStr">
        <is>
          <t>DECIDES how a bond is NAMED on screen — issuer, or the identifying number, or a plain description; and DECIDES whether a line is a bond at all.</t>
        </is>
      </c>
      <c r="S42" t="inlineStr"/>
      <c r="T42" t="inlineStr">
        <is>
          <t>NOT DETERMINED — no assumption recorded for this figure yet.</t>
        </is>
      </c>
      <c r="U42" t="inlineStr"/>
      <c r="V42" t="inlineStr"/>
      <c r="W42" t="inlineStr"/>
      <c r="X42" t="inlineStr"/>
      <c r="Y42" t="inlineStr">
        <is>
          <t>NOT DETERMINED</t>
        </is>
      </c>
      <c r="Z42" t="inlineStr">
        <is>
          <t>VERIFIED 2026-08-22</t>
        </is>
      </c>
      <c r="AA4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2" t="inlineStr">
        <is>
          <t>AGREES — the figure's arithmetic and the arithmetic of the function it names say the same thing. Checked 2026-08-26.</t>
        </is>
      </c>
      <c r="AC42" t="inlineStr">
        <is>
          <t>HAS A FUNCTION — traceable from the screen to the code.</t>
        </is>
      </c>
      <c r="AD42" t="inlineStr"/>
      <c r="AE42" t="inlineStr">
        <is>
          <t>No finding on this row. That is not a statement that the row is right — only that nothing has been written against it.</t>
        </is>
      </c>
      <c r="AF42" t="inlineStr">
        <is>
          <t>ACTIVE</t>
        </is>
      </c>
      <c r="AG42" t="inlineStr">
        <is>
          <t>2026-08-27</t>
        </is>
      </c>
    </row>
    <row r="43">
      <c r="A43" t="inlineStr">
        <is>
          <t>MK-NW-M-042</t>
        </is>
      </c>
      <c r="B43" t="inlineStr">
        <is>
          <t>Networth</t>
        </is>
      </c>
      <c r="C43" t="inlineStr">
        <is>
          <t>/bonds</t>
        </is>
      </c>
      <c r="D43" t="inlineStr">
        <is>
          <t>n bonds · face $X</t>
        </is>
      </c>
      <c r="E43" t="inlineStr">
        <is>
          <t>summary.totalFace</t>
        </is>
      </c>
      <c r="F43" t="inlineStr">
        <is>
          <t>bondInfo</t>
        </is>
      </c>
      <c r="G43" t="inlineStr">
        <is>
          <t>MK-NW-F-056</t>
        </is>
      </c>
      <c r="H43" t="inlineStr">
        <is>
          <t>face, coupon rate and maturity as recorded;  bonds total = Σ(value of each bond),  face total = Σ(face)</t>
        </is>
      </c>
      <c r="I43" t="inlineStr">
        <is>
          <t>Reads the stored bond fields off the holding and computes its yields. A holding with none of them is not a bond and returns nothing.</t>
        </is>
      </c>
      <c r="J43" t="inlineStr">
        <is>
          <t>the holding → position/account  [MK-XS-I-004]</t>
        </is>
      </c>
      <c r="K43" t="inlineStr">
        <is>
          <t>US dollars · held to the cent · shown as whole dollars  [derived by rule — confirm]</t>
        </is>
      </c>
      <c r="L43" t="inlineStr">
        <is>
          <t>Adds up to $0 when there is nothing to add. Zero and "nothing recorded yet" look identical on screen — worth a decision.</t>
        </is>
      </c>
      <c r="M43" t="inlineStr">
        <is>
          <t>One figure per bond  [derived by rule — confirm]</t>
        </is>
      </c>
      <c r="N43" t="inlineStr">
        <is>
          <t>As of today, from the latest figures held  [derived by rule — confirm]</t>
        </is>
      </c>
      <c r="O43" t="inlineStr">
        <is>
          <t>None — this engine reads raw inputs only</t>
        </is>
      </c>
      <c r="P43" t="inlineStr">
        <is>
          <t>No dependent function — it reads its inputs and answers</t>
        </is>
      </c>
      <c r="Q43" t="inlineStr">
        <is>
          <t>1. MK-NW-F-056 — If face value is missing it counts as zero, so nothing recorded and a real zero look the same.
2. MK-NW-F-056 — If coupon rate is missing it counts as zero, so nothing recorded and a real zero look the same.
3. MK-NW-F-056 — If balance is missing it counts as zero, so nothing recorded and a real zero look the same.</t>
        </is>
      </c>
      <c r="R43" t="inlineStr">
        <is>
          <t>DECIDES how a bond is NAMED on screen — issuer, or the identifying number, or a plain description; and DECIDES whether a line is a bond at all.</t>
        </is>
      </c>
      <c r="S43" t="inlineStr"/>
      <c r="T43" t="inlineStr">
        <is>
          <t>NOT DETERMINED — no assumption recorded for this figure yet.</t>
        </is>
      </c>
      <c r="U43" t="inlineStr"/>
      <c r="V43" t="inlineStr"/>
      <c r="W43" t="inlineStr"/>
      <c r="X43" t="inlineStr"/>
      <c r="Y43" t="inlineStr">
        <is>
          <t>NOT DETERMINED</t>
        </is>
      </c>
      <c r="Z43" t="inlineStr">
        <is>
          <t>VERIFIED 2026-08-22</t>
        </is>
      </c>
      <c r="AA4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3" t="inlineStr">
        <is>
          <t>AGREES — the figure's arithmetic and the arithmetic of the function it names say the same thing. Checked 2026-08-26.</t>
        </is>
      </c>
      <c r="AC43" t="inlineStr">
        <is>
          <t>HAS A FUNCTION — traceable from the screen to the code.</t>
        </is>
      </c>
      <c r="AD43" t="inlineStr"/>
      <c r="AE43" t="inlineStr">
        <is>
          <t>No finding on this row. That is not a statement that the row is right — only that nothing has been written against it.</t>
        </is>
      </c>
      <c r="AF43" t="inlineStr">
        <is>
          <t>ACTIVE</t>
        </is>
      </c>
      <c r="AG43" t="inlineStr">
        <is>
          <t>2026-08-27</t>
        </is>
      </c>
    </row>
    <row r="44">
      <c r="A44" t="inlineStr">
        <is>
          <t>MK-NW-M-043</t>
        </is>
      </c>
      <c r="B44" t="inlineStr">
        <is>
          <t>Networth</t>
        </is>
      </c>
      <c r="C44" t="inlineStr">
        <is>
          <t>/bonds</t>
        </is>
      </c>
      <c r="D44" t="inlineStr">
        <is>
          <t>COUPON / YR</t>
        </is>
      </c>
      <c r="E44" t="inlineStr">
        <is>
          <t>summary.coupon</t>
        </is>
      </c>
      <c r="F44" t="inlineStr">
        <is>
          <t>annualCoupon</t>
        </is>
      </c>
      <c r="G44" t="inlineStr">
        <is>
          <t>MK-NW-F-057</t>
        </is>
      </c>
      <c r="H44" t="inlineStr">
        <is>
          <t>annual coupon = face × coupon rate</t>
        </is>
      </c>
      <c r="I44" t="inlineStr">
        <is>
          <t>face value × coupon rate. NOT what the bond is worth today × the rate — a $10,000 bond paying 4% pays $400 whether it is trading at $9,800 or $11,000.</t>
        </is>
      </c>
      <c r="J44" t="inlineStr">
        <is>
          <t>1. face value → face  [MK-XS-I-011]
2. coupon rate → couponRate  [MK-XS-I-012]</t>
        </is>
      </c>
      <c r="K44" t="inlineStr">
        <is>
          <t>US dollars · held to the cent · shown as whole dollars  [derived by rule — confirm]</t>
        </is>
      </c>
      <c r="L44" t="inlineStr">
        <is>
          <t>NOT DETERMINED — this engine has not been read for its refusal yet.</t>
        </is>
      </c>
      <c r="M44" t="inlineStr">
        <is>
          <t>One figure per bond  [derived by rule — confirm]</t>
        </is>
      </c>
      <c r="N44" t="inlineStr">
        <is>
          <t>As of today, from the latest figures held  [derived by rule — confirm]</t>
        </is>
      </c>
      <c r="O44" t="inlineStr">
        <is>
          <t>None — this engine reads raw inputs only</t>
        </is>
      </c>
      <c r="P44" t="inlineStr">
        <is>
          <t>MK-ST-F-055 round2 → MK-NW-F-057 annualCoupon</t>
        </is>
      </c>
      <c r="Q44" t="inlineStr">
        <is>
          <t>1. MK-ST-F-055 — Multiplies by 100 — a percentage, or an option contract treated as 100 shares. Worth checking which.
2. MK-ST-F-055 — Rounds the answer to a whole number.</t>
        </is>
      </c>
      <c r="R44" t="inlineStr"/>
      <c r="S44" t="inlineStr"/>
      <c r="T44" t="inlineStr">
        <is>
          <t>NOT DETERMINED — no assumption recorded for this figure yet.</t>
        </is>
      </c>
      <c r="U44" t="inlineStr">
        <is>
          <t>THE SAME FIGURE AS MK-NW-M-024 — The coupon a bond pays in a year. "Interest payments" on account detail and "COUPON / YR" on the bonds screen.</t>
        </is>
      </c>
      <c r="V44" t="inlineStr"/>
      <c r="W44" t="inlineStr"/>
      <c r="X44" t="inlineStr"/>
      <c r="Y44" t="inlineStr">
        <is>
          <t>NOT DETERMINED</t>
        </is>
      </c>
      <c r="Z44" t="inlineStr">
        <is>
          <t>VERIFIED 2026-08-22</t>
        </is>
      </c>
      <c r="AA44" t="inlineStr">
        <is>
          <t>1. A46 — Interest income falls back to a built-in 0.042 — described in the code as roughly the US Aggregate Bond yield — when a bond fund carries no rate of its own. No source, no year, and no re-check when the year rolls.
2.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3.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4" t="inlineStr">
        <is>
          <t>AGREES — the figure's arithmetic and the arithmetic of the function it names say the same thing. Checked 2026-08-26.</t>
        </is>
      </c>
      <c r="AC44" t="inlineStr">
        <is>
          <t>HAS A FUNCTION — traceable from the screen to the code.</t>
        </is>
      </c>
      <c r="AD44" t="inlineStr"/>
      <c r="AE44" t="inlineStr">
        <is>
          <t>A46 — OPEN since 2026-08-26 — nothing has closed this. It is not known to be wrong; it is known to be unaddressed.</t>
        </is>
      </c>
      <c r="AF44" t="inlineStr">
        <is>
          <t>SUPERSEDED BY MK-NW-M-024 — the same figure under another identifier. This number is retired and is never handed to anything else.</t>
        </is>
      </c>
      <c r="AG44" t="inlineStr">
        <is>
          <t>2026-08-27</t>
        </is>
      </c>
    </row>
    <row r="45">
      <c r="A45" t="inlineStr">
        <is>
          <t>MK-NW-M-044</t>
        </is>
      </c>
      <c r="B45" t="inlineStr">
        <is>
          <t>Networth</t>
        </is>
      </c>
      <c r="C45" t="inlineStr">
        <is>
          <t>/bonds</t>
        </is>
      </c>
      <c r="D45" t="inlineStr">
        <is>
          <t>AVG YIELD</t>
        </is>
      </c>
      <c r="E45" t="inlineStr">
        <is>
          <t>summary.yield</t>
        </is>
      </c>
      <c r="F45" t="inlineStr">
        <is>
          <t>currentYield</t>
        </is>
      </c>
      <c r="G45" t="inlineStr">
        <is>
          <t>MK-NW-F-059</t>
        </is>
      </c>
      <c r="H45" t="inlineStr">
        <is>
          <t>current yield = annual coupon ÷ current value</t>
        </is>
      </c>
      <c r="I45" t="inlineStr">
        <is>
          <t>annual coupon ÷ current value. A bond bought at a discount yields MORE than its stated coupon; one bought at a premium yields less. No value → no answer, never a division by zero.</t>
        </is>
      </c>
      <c r="J45" t="inlineStr">
        <is>
          <t>1. coupon → annualCoupon  [MK-XS-I-012]
2. what it is worth → value  [MK-XS-I-001]</t>
        </is>
      </c>
      <c r="K45" t="inlineStr">
        <is>
          <t>Percent · one decimal shown  [derived by rule — confirm]</t>
        </is>
      </c>
      <c r="L45" t="inlineStr">
        <is>
          <t>No value means no answer — never a division by zero.</t>
        </is>
      </c>
      <c r="M45" t="inlineStr">
        <is>
          <t>One figure per bond  [derived by rule — confirm]</t>
        </is>
      </c>
      <c r="N45" t="inlineStr">
        <is>
          <t>As of today, from the latest figures held  [derived by rule — confirm]</t>
        </is>
      </c>
      <c r="O45" t="inlineStr">
        <is>
          <t>MK-NW-E-016 (BOND_COUPON) → How much income does this bond pay in a year?</t>
        </is>
      </c>
      <c r="P45" t="inlineStr">
        <is>
          <t>MK-ST-F-055 round2 → MK-NW-F-057 annualCoupon → MK-NW-F-059 currentYield</t>
        </is>
      </c>
      <c r="Q45" t="inlineStr">
        <is>
          <t>1. MK-NW-F-059 — Rounds the answer to a whole number.
2. MK-ST-F-055 — Multiplies by 100 — a percentage, or an option contract treated as 100 shares. Worth checking which.
3. MK-ST-F-055 — Rounds the answer to a whole number.</t>
        </is>
      </c>
      <c r="R45" t="inlineStr"/>
      <c r="S45" t="inlineStr"/>
      <c r="T45" t="inlineStr">
        <is>
          <t>NOT DETERMINED — no assumption recorded for this figure yet.</t>
        </is>
      </c>
      <c r="U45" t="inlineStr"/>
      <c r="V45" t="inlineStr"/>
      <c r="W45" t="inlineStr"/>
      <c r="X45" t="inlineStr"/>
      <c r="Y45" t="inlineStr">
        <is>
          <t>NOT DETERMINED</t>
        </is>
      </c>
      <c r="Z45" t="inlineStr">
        <is>
          <t>VERIFIED 2026-08-22</t>
        </is>
      </c>
      <c r="AA45" t="inlineStr">
        <is>
          <t>1. A47 — Current yield is the annual coupon over the recorded value. If that value is a dirty price it carries accrued interest and the yield is understated. Nowhere does the file say which of the two it is.
2.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3.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5" t="inlineStr">
        <is>
          <t>AGREES — the figure's arithmetic and the arithmetic of the function it names say the same thing. Checked 2026-08-26.</t>
        </is>
      </c>
      <c r="AC45" t="inlineStr">
        <is>
          <t>HAS A FUNCTION — traceable from the screen to the code.</t>
        </is>
      </c>
      <c r="AD45" t="inlineStr"/>
      <c r="AE45" t="inlineStr">
        <is>
          <t>A47 — OPEN since 2026-08-26 — nothing has closed this. It is not known to be wrong; it is known to be unaddressed.</t>
        </is>
      </c>
      <c r="AF45" t="inlineStr">
        <is>
          <t>ACTIVE</t>
        </is>
      </c>
      <c r="AG45" t="inlineStr">
        <is>
          <t>2026-08-27</t>
        </is>
      </c>
    </row>
    <row r="46">
      <c r="A46" t="inlineStr">
        <is>
          <t>MK-NW-M-045</t>
        </is>
      </c>
      <c r="B46" t="inlineStr">
        <is>
          <t>Networth</t>
        </is>
      </c>
      <c r="C46" t="inlineStr">
        <is>
          <t>/bonds</t>
        </is>
      </c>
      <c r="D46" t="inlineStr">
        <is>
          <t>each bond — face, coupon, yield</t>
        </is>
      </c>
      <c r="E46" t="inlineStr">
        <is>
          <t>bi</t>
        </is>
      </c>
      <c r="F46" t="inlineStr">
        <is>
          <t>1. bondInfo
2. annualCoupon</t>
        </is>
      </c>
      <c r="G46" t="inlineStr">
        <is>
          <t>1. MK-NW-F-056
2. MK-NW-F-057</t>
        </is>
      </c>
      <c r="H46" t="inlineStr">
        <is>
          <t>annual coupon = face × coupon rate</t>
        </is>
      </c>
      <c r="I46" t="inlineStr">
        <is>
          <t>Reads the stored bond fields off the holding and computes its yields. A holding with none of them is not a bond and returns nothing. · face value × coupon rate. NOT what the bond is worth today × the rate — a $10,000 bond paying 4% pays $400 whether it is trading at $9,800 or $11,000.</t>
        </is>
      </c>
      <c r="J46" t="inlineStr">
        <is>
          <t>1. the holding → position/account  [MK-XS-I-004]
2. face value → face  [MK-XS-I-011]
3. coupon rate → couponRate  [MK-XS-I-012]</t>
        </is>
      </c>
      <c r="K46" t="inlineStr">
        <is>
          <t>Percent · one decimal shown  [derived by rule — confirm]</t>
        </is>
      </c>
      <c r="L46" t="inlineStr">
        <is>
          <t>NOT DETERMINED — this engine has not been read for its refusal yet.</t>
        </is>
      </c>
      <c r="M46" t="inlineStr">
        <is>
          <t>One figure per bond  [derived by rule — confirm]</t>
        </is>
      </c>
      <c r="N46" t="inlineStr">
        <is>
          <t>As of today, from the latest figures held  [derived by rule — confirm]</t>
        </is>
      </c>
      <c r="O46" t="inlineStr">
        <is>
          <t>None — this engine reads raw inputs only</t>
        </is>
      </c>
      <c r="P46" t="inlineStr">
        <is>
          <t>1. No dependent function — it reads its inputs and answers
2. MK-ST-F-055 round2 → MK-NW-F-057 annualCoupon</t>
        </is>
      </c>
      <c r="Q46" t="inlineStr">
        <is>
          <t>1. MK-NW-F-056 — If face value is missing it counts as zero, so nothing recorded and a real zero look the same.
2. MK-NW-F-056 — If coupon rate is missing it counts as zero, so nothing recorded and a real zero look the same.
3. MK-NW-F-056 — If balance is missing it counts as zero, so nothing recorded and a real zero look the same.
4. MK-ST-F-055 — Multiplies by 100 — a percentage, or an option contract treated as 100 shares. Worth checking which.
5. MK-ST-F-055 — Rounds the answer to a whole number.</t>
        </is>
      </c>
      <c r="R46" t="inlineStr">
        <is>
          <t>DECIDES how a bond is NAMED on screen — issuer, or the identifying number, or a plain description; and DECIDES whether a line is a bond at all.</t>
        </is>
      </c>
      <c r="S46" t="inlineStr"/>
      <c r="T46" t="inlineStr">
        <is>
          <t>NOT DETERMINED — no assumption recorded for this figure yet.</t>
        </is>
      </c>
      <c r="U46" t="inlineStr"/>
      <c r="V46" t="inlineStr"/>
      <c r="W46" t="inlineStr"/>
      <c r="X46" t="inlineStr"/>
      <c r="Y46" t="inlineStr">
        <is>
          <t>NOT DETERMINED</t>
        </is>
      </c>
      <c r="Z46" t="inlineStr">
        <is>
          <t>VERIFIED 2026-08-22</t>
        </is>
      </c>
      <c r="AA46" t="inlineStr">
        <is>
          <t>1. A46 — Interest income falls back to a built-in 0.042 — described in the code as roughly the US Aggregate Bond yield — when a bond fund carries no rate of its own. No source, no year, and no re-check when the year rolls.
2.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3.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6" t="inlineStr">
        <is>
          <t>AGREES — the figure's arithmetic and the arithmetic of the function it names say the same thing. Checked 2026-08-26.</t>
        </is>
      </c>
      <c r="AC46" t="inlineStr">
        <is>
          <t>HAS A FUNCTION — traceable from the screen to the code.</t>
        </is>
      </c>
      <c r="AD46" t="inlineStr"/>
      <c r="AE46" t="inlineStr">
        <is>
          <t>A46 — OPEN since 2026-08-26 — nothing has closed this. It is not known to be wrong; it is known to be unaddressed.</t>
        </is>
      </c>
      <c r="AF46" t="inlineStr">
        <is>
          <t>ACTIVE</t>
        </is>
      </c>
      <c r="AG46" t="inlineStr">
        <is>
          <t>2026-08-27</t>
        </is>
      </c>
    </row>
    <row r="47">
      <c r="A47" t="inlineStr"/>
      <c r="B47" t="inlineStr">
        <is>
          <t>Networth</t>
        </is>
      </c>
      <c r="C47" t="inlineStr">
        <is>
          <t>/add-account</t>
        </is>
      </c>
      <c r="D47" t="inlineStr">
        <is>
          <t>—</t>
        </is>
      </c>
      <c r="E47" t="inlineStr">
        <is>
          <t>—</t>
        </is>
      </c>
      <c r="F47" t="inlineStr">
        <is>
          <t>—</t>
        </is>
      </c>
      <c r="G47" t="inlineStr"/>
      <c r="H47" t="inlineStr"/>
      <c r="I47" t="inlineStr"/>
      <c r="J47" t="inlineStr"/>
      <c r="K47" t="inlineStr"/>
      <c r="L47" t="inlineStr"/>
      <c r="M47" t="inlineStr"/>
      <c r="N47" t="inlineStr"/>
      <c r="O47" t="inlineStr"/>
      <c r="P47" t="inlineStr"/>
      <c r="Q47" t="inlineStr"/>
      <c r="R47" t="inlineStr"/>
      <c r="S47" t="inlineStr"/>
      <c r="T47" t="inlineStr"/>
      <c r="U47" t="inlineStr"/>
      <c r="V47" t="inlineStr"/>
      <c r="W47" t="inlineStr"/>
      <c r="X47" t="inlineStr">
        <is>
          <t>NOT DETERMINED</t>
        </is>
      </c>
      <c r="Y47" t="inlineStr">
        <is>
          <t>READ 2026-08-22 — no calculated figure on this screen</t>
        </is>
      </c>
    </row>
    <row r="48">
      <c r="A48" t="inlineStr"/>
      <c r="B48" t="inlineStr">
        <is>
          <t>Networth</t>
        </is>
      </c>
      <c r="C48" t="inlineStr">
        <is>
          <t>/connect</t>
        </is>
      </c>
      <c r="D48" t="inlineStr">
        <is>
          <t>—</t>
        </is>
      </c>
      <c r="E48" t="inlineStr">
        <is>
          <t>—</t>
        </is>
      </c>
      <c r="F48" t="inlineStr">
        <is>
          <t>—</t>
        </is>
      </c>
      <c r="G48" t="inlineStr"/>
      <c r="H48" t="inlineStr"/>
      <c r="I48" t="inlineStr"/>
      <c r="J48" t="inlineStr"/>
      <c r="K48" t="inlineStr"/>
      <c r="L48" t="inlineStr"/>
      <c r="M48" t="inlineStr"/>
      <c r="N48" t="inlineStr"/>
      <c r="O48" t="inlineStr"/>
      <c r="P48" t="inlineStr"/>
      <c r="Q48" t="inlineStr"/>
      <c r="R48" t="inlineStr"/>
      <c r="S48" t="inlineStr"/>
      <c r="T48" t="inlineStr"/>
      <c r="U48" t="inlineStr"/>
      <c r="V48" t="inlineStr"/>
      <c r="W48" t="inlineStr"/>
      <c r="X48" t="inlineStr">
        <is>
          <t>NOT DETERMINED</t>
        </is>
      </c>
      <c r="Y48" t="inlineStr">
        <is>
          <t>READ 2026-08-22 — no calculated figure on this screen</t>
        </is>
      </c>
    </row>
    <row r="49">
      <c r="A49" t="inlineStr"/>
      <c r="B49" t="inlineStr">
        <is>
          <t>Networth</t>
        </is>
      </c>
      <c r="C49" t="inlineStr">
        <is>
          <t>/import-holdings</t>
        </is>
      </c>
      <c r="D49" t="inlineStr">
        <is>
          <t>—</t>
        </is>
      </c>
      <c r="E49" t="inlineStr">
        <is>
          <t>—</t>
        </is>
      </c>
      <c r="F49" t="inlineStr">
        <is>
          <t>—</t>
        </is>
      </c>
      <c r="G49" t="inlineStr"/>
      <c r="H49" t="inlineStr"/>
      <c r="I49" t="inlineStr"/>
      <c r="J49" t="inlineStr"/>
      <c r="K49" t="inlineStr"/>
      <c r="L49" t="inlineStr"/>
      <c r="M49" t="inlineStr"/>
      <c r="N49" t="inlineStr"/>
      <c r="O49" t="inlineStr"/>
      <c r="P49" t="inlineStr"/>
      <c r="Q49" t="inlineStr"/>
      <c r="R49" t="inlineStr"/>
      <c r="S49" t="inlineStr"/>
      <c r="T49" t="inlineStr"/>
      <c r="U49" t="inlineStr"/>
      <c r="V49" t="inlineStr"/>
      <c r="W49" t="inlineStr"/>
      <c r="X49" t="inlineStr">
        <is>
          <t>NOT DETERMINED</t>
        </is>
      </c>
      <c r="Y49" t="inlineStr">
        <is>
          <t>READ 2026-08-22 — no calculated figure on this screen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G16"/>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9"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0" customWidth="1" min="16" max="16"/>
    <col width="42" customWidth="1" min="17" max="17"/>
    <col width="42" customWidth="1" min="18" max="18"/>
    <col width="37" customWidth="1" min="19" max="19"/>
    <col width="22" customWidth="1" min="20" max="20"/>
    <col width="28" customWidth="1" min="21" max="21"/>
    <col width="36" customWidth="1" min="22" max="22"/>
    <col width="41" customWidth="1" min="23" max="23"/>
    <col width="41" customWidth="1" min="24" max="24"/>
    <col width="20" customWidth="1" min="25" max="25"/>
    <col width="18" customWidth="1" min="26" max="26"/>
    <col width="41" customWidth="1" min="27" max="27"/>
    <col width="42" customWidth="1" min="28" max="28"/>
    <col width="23" customWidth="1" min="29" max="29"/>
    <col width="37" customWidth="1" min="30" max="30"/>
    <col width="33" customWidth="1" min="31" max="31"/>
    <col width="32" customWidth="1" min="32" max="32"/>
    <col width="26" customWidth="1" min="33" max="33"/>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engine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row>
    <row r="2">
      <c r="A2" t="inlineStr">
        <is>
          <t>MK-PF-M-001</t>
        </is>
      </c>
      <c r="B2" t="inlineStr">
        <is>
          <t>Performance</t>
        </is>
      </c>
      <c r="C2" t="inlineStr">
        <is>
          <t>NA</t>
        </is>
      </c>
      <c r="D2" t="inlineStr">
        <is>
          <t>Ending value</t>
        </is>
      </c>
      <c r="E2" t="inlineStr">
        <is>
          <t>walk.ending</t>
        </is>
      </c>
      <c r="F2" t="inlineStr">
        <is>
          <t>buildChangeWalk</t>
        </is>
      </c>
      <c r="G2" t="inlineStr">
        <is>
          <t>MK-XS-F-011</t>
        </is>
      </c>
      <c r="H2" t="inlineStr">
        <is>
          <t>ending = beginning + money in − money out + income − costs + market change  (the identity that must close)</t>
        </is>
      </c>
      <c r="I2"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2" t="inlineStr">
        <is>
          <t>1. starting value → beginning  [MK-XS-I-031]
2. ending value → ending  [NOT AN INPUT — another engine’s answer; see the dependency column]
3. money in → contributions  [NOT AN INPUT — another engine’s answer; see the dependency column]
4. money out → withdrawals  [NOT AN INPUT — another engine’s answer; see the dependency column]
5. dividends → dividends  [NOT AN INPUT — another engine’s answer; see the dependency column]
6. interest → interest  [NOT AN INPUT — another engine’s answer; see the dependency column]
7. debt paid down → debtPrincipal  [NOT AN INPUT — another engine’s answer; see the dependency column]</t>
        </is>
      </c>
      <c r="K2" t="inlineStr">
        <is>
          <t>US dollars · held to the cent · shown as whole dollars  [derived by rule — confirm]</t>
        </is>
      </c>
      <c r="L2" t="inlineStr">
        <is>
          <t>Where the record does not reach back far enough, the beginning is back-solved and the walk says so. With neither record nor flows it refuses.</t>
        </is>
      </c>
      <c r="M2" t="inlineStr">
        <is>
          <t>One figure per person — or per household when two people share one record  [derived by rule — confirm]</t>
        </is>
      </c>
      <c r="N2" t="inlineStr">
        <is>
          <t>As of today, from the latest figures held  [derived by rule — confirm]</t>
        </is>
      </c>
      <c r="O2" t="inlineStr">
        <is>
          <t>None — this engine reads raw inputs only</t>
        </is>
      </c>
      <c r="P2" t="inlineStr">
        <is>
          <t>MK-ST-F-055 round2 → MK-XS-F-011 buildChangeWalk</t>
        </is>
      </c>
      <c r="Q2" t="inlineStr">
        <is>
          <t>1. MK-XS-F-011 — If contributions is missing it uses 0.
2. MK-XS-F-011 — If withdrawals is missing it uses 0.
3. MK-XS-F-011 — If dividends is missing it uses 0.
4. MK-XS-F-011 — If interest is missing it uses 0.
5. MK-XS-F-011 — If debt principal is missing it uses 0.
6. MK-ST-F-055 — Multiplies by 100 — a percentage, or an option contract treated as 100 shares. Worth checking which.
7. MK-ST-F-055 — Rounds the answer to a whole number.</t>
        </is>
      </c>
      <c r="R2" t="inlineStr"/>
      <c r="S2" t="inlineStr">
        <is>
          <t>Beginning values are read from the daily record, which never leaves the phone. On a new device there is no beginning, so the walk back-solves one or refuses.</t>
        </is>
      </c>
      <c r="T2" t="inlineStr">
        <is>
          <t>[Founder] The identity must close: ending = beginning + money in − money out + income − costs + market change. A direction stated by the institution never overrides a contradicting sign — a −$500 line marked IN is a reversal.</t>
        </is>
      </c>
      <c r="U2" t="inlineStr">
        <is>
          <t>THE SURVIVING IDENTIFIER for this figure. Folded in: MK-PF-M-003. The ending value, shown as its own line and again inside the heading "HOW $X BECAME $Y". Same screen, same figure, twice.</t>
        </is>
      </c>
      <c r="V2" t="inlineStr"/>
      <c r="W2" t="inlineStr"/>
      <c r="X2" t="inlineStr"/>
      <c r="Y2" t="inlineStr">
        <is>
          <t>NOT DETERMINED</t>
        </is>
      </c>
      <c r="Z2" t="inlineStr">
        <is>
          <t>VERIFIED 2026-08-22</t>
        </is>
      </c>
      <c r="AA2"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t="inlineStr">
        <is>
          <t>1. B18 [ONE FORMULA] — Four figures share the change-walk identity — "Ending value", "Wealth generated", "HOW $X BECAME $Y", "Ending market value (per account)". The identity is the frame they all sit in, not the arithmetic of any one of them. Wealth generated is not ending value, and one of the four is per account while the others are for everything.</t>
        </is>
      </c>
      <c r="AC2" t="inlineStr">
        <is>
          <t>HAS A FUNCTION — traceable from the screen to the code.</t>
        </is>
      </c>
      <c r="AD2" t="inlineStr"/>
      <c r="AE2" t="inlineStr">
        <is>
          <t>B18 — OPEN since 2026-08-26 — nothing has closed this. It is not known to be wrong; it is known to be unaddressed.</t>
        </is>
      </c>
      <c r="AF2" t="inlineStr">
        <is>
          <t>ACTIVE</t>
        </is>
      </c>
      <c r="AG2" t="inlineStr">
        <is>
          <t>2026-08-27</t>
        </is>
      </c>
    </row>
    <row r="3">
      <c r="A3" t="inlineStr">
        <is>
          <t>MK-PF-M-002</t>
        </is>
      </c>
      <c r="B3" t="inlineStr">
        <is>
          <t>Performance</t>
        </is>
      </c>
      <c r="C3" t="inlineStr">
        <is>
          <t>NA</t>
        </is>
      </c>
      <c r="D3" t="inlineStr">
        <is>
          <t>Wealth generated</t>
        </is>
      </c>
      <c r="E3" t="inlineStr">
        <is>
          <t>walk.wealthGenerated</t>
        </is>
      </c>
      <c r="F3" t="inlineStr">
        <is>
          <t>buildChangeWalk</t>
        </is>
      </c>
      <c r="G3" t="inlineStr">
        <is>
          <t>MK-XS-F-011</t>
        </is>
      </c>
      <c r="H3" t="inlineStr">
        <is>
          <t>ending = beginning + money in − money out + income − costs + market change  (the identity that must close)</t>
        </is>
      </c>
      <c r="I3"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3" t="inlineStr">
        <is>
          <t>1. starting value → beginning  [MK-XS-I-031]
2. ending value → ending  [NOT AN INPUT — another engine’s answer; see the dependency column]
3. money in → contributions  [NOT AN INPUT — another engine’s answer; see the dependency column]
4. money out → withdrawals  [NOT AN INPUT — another engine’s answer; see the dependency column]
5. dividends → dividends  [NOT AN INPUT — another engine’s answer; see the dependency column]
6. interest → interest  [NOT AN INPUT — another engine’s answer; see the dependency column]
7. debt paid down → debtPrincipal  [NOT AN INPUT — another engine’s answer; see the dependency column]</t>
        </is>
      </c>
      <c r="K3" t="inlineStr">
        <is>
          <t>Percent · one decimal shown  [derived by rule — confirm]</t>
        </is>
      </c>
      <c r="L3" t="inlineStr">
        <is>
          <t>Where the record does not reach back far enough, the beginning is back-solved and the walk says so. With neither record nor flows it refuses.</t>
        </is>
      </c>
      <c r="M3" t="inlineStr">
        <is>
          <t>One figure per person — or per household when two people share one record  [derived by rule — confirm]</t>
        </is>
      </c>
      <c r="N3" t="inlineStr">
        <is>
          <t>As of today, from the latest figures held  [derived by rule — confirm]</t>
        </is>
      </c>
      <c r="O3" t="inlineStr">
        <is>
          <t>None — this engine reads raw inputs only</t>
        </is>
      </c>
      <c r="P3" t="inlineStr">
        <is>
          <t>MK-ST-F-055 round2 → MK-XS-F-011 buildChangeWalk</t>
        </is>
      </c>
      <c r="Q3" t="inlineStr">
        <is>
          <t>1. MK-XS-F-011 — If contributions is missing it uses 0.
2. MK-XS-F-011 — If withdrawals is missing it uses 0.
3. MK-XS-F-011 — If dividends is missing it uses 0.
4. MK-XS-F-011 — If interest is missing it uses 0.
5. MK-XS-F-011 — If debt principal is missing it uses 0.
6. MK-ST-F-055 — Multiplies by 100 — a percentage, or an option contract treated as 100 shares. Worth checking which.
7. MK-ST-F-055 — Rounds the answer to a whole number.</t>
        </is>
      </c>
      <c r="R3" t="inlineStr"/>
      <c r="S3" t="inlineStr">
        <is>
          <t>Beginning values are read from the daily record, which never leaves the phone. On a new device there is no beginning, so the walk back-solves one or refuses.</t>
        </is>
      </c>
      <c r="T3" t="inlineStr">
        <is>
          <t>[Founder] The identity must close: ending = beginning + money in − money out + income − costs + market change. A direction stated by the institution never overrides a contradicting sign — a −$500 line marked IN is a reversal.</t>
        </is>
      </c>
      <c r="U3" t="inlineStr"/>
      <c r="V3" t="inlineStr"/>
      <c r="W3" t="inlineStr"/>
      <c r="X3" t="inlineStr"/>
      <c r="Y3" t="inlineStr">
        <is>
          <t>NOT DETERMINED</t>
        </is>
      </c>
      <c r="Z3" t="inlineStr">
        <is>
          <t>VERIFIED 2026-08-22</t>
        </is>
      </c>
      <c r="AA3"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t="inlineStr">
        <is>
          <t>1. B18 [ONE FORMULA] — Four figures share the change-walk identity — "Ending value", "Wealth generated", "HOW $X BECAME $Y", "Ending market value (per account)". The identity is the frame they all sit in, not the arithmetic of any one of them. Wealth generated is not ending value, and one of the four is per account while the others are for everything.</t>
        </is>
      </c>
      <c r="AC3" t="inlineStr">
        <is>
          <t>HAS A FUNCTION — traceable from the screen to the code.</t>
        </is>
      </c>
      <c r="AD3" t="inlineStr"/>
      <c r="AE3" t="inlineStr">
        <is>
          <t>B18 — OPEN since 2026-08-26 — nothing has closed this. It is not known to be wrong; it is known to be unaddressed.</t>
        </is>
      </c>
      <c r="AF3" t="inlineStr">
        <is>
          <t>ACTIVE</t>
        </is>
      </c>
      <c r="AG3" t="inlineStr">
        <is>
          <t>2026-08-27</t>
        </is>
      </c>
    </row>
    <row r="4">
      <c r="A4" t="inlineStr">
        <is>
          <t>MK-PF-M-003</t>
        </is>
      </c>
      <c r="B4" t="inlineStr">
        <is>
          <t>Performance</t>
        </is>
      </c>
      <c r="C4" t="inlineStr">
        <is>
          <t>NA</t>
        </is>
      </c>
      <c r="D4" t="inlineStr">
        <is>
          <t>HOW $X BECAME $Y · ALL ACCOUNTS</t>
        </is>
      </c>
      <c r="E4" t="inlineStr">
        <is>
          <t>walk.beginning / walk.ending</t>
        </is>
      </c>
      <c r="F4" t="inlineStr">
        <is>
          <t>buildChangeWalk</t>
        </is>
      </c>
      <c r="G4" t="inlineStr">
        <is>
          <t>MK-XS-F-011</t>
        </is>
      </c>
      <c r="H4" t="inlineStr">
        <is>
          <t>ending = beginning + money in − money out + income − costs + market change  (the identity that must close)</t>
        </is>
      </c>
      <c r="I4"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4" t="inlineStr">
        <is>
          <t>1. starting value → beginning  [MK-XS-I-031]
2. ending value → ending  [NOT AN INPUT — another engine’s answer; see the dependency column]
3. money in → contributions  [NOT AN INPUT — another engine’s answer; see the dependency column]
4. money out → withdrawals  [NOT AN INPUT — another engine’s answer; see the dependency column]
5. dividends → dividends  [NOT AN INPUT — another engine’s answer; see the dependency column]
6. interest → interest  [NOT AN INPUT — another engine’s answer; see the dependency column]
7. debt paid down → debtPrincipal  [NOT AN INPUT — another engine’s answer; see the dependency column]</t>
        </is>
      </c>
      <c r="K4" t="inlineStr">
        <is>
          <t>A count · whole units, except crypto which keeps its fractions  [derived by rule — confirm]</t>
        </is>
      </c>
      <c r="L4" t="inlineStr">
        <is>
          <t>Where the record does not reach back far enough, the beginning is back-solved and the walk says so. With neither record nor flows it refuses.</t>
        </is>
      </c>
      <c r="M4" t="inlineStr">
        <is>
          <t>One figure per account  [derived by rule — confirm]</t>
        </is>
      </c>
      <c r="N4" t="inlineStr">
        <is>
          <t>As of today, from the latest figures held  [derived by rule — confirm]</t>
        </is>
      </c>
      <c r="O4" t="inlineStr">
        <is>
          <t>None — this engine reads raw inputs only</t>
        </is>
      </c>
      <c r="P4" t="inlineStr">
        <is>
          <t>MK-ST-F-055 round2 → MK-XS-F-011 buildChangeWalk</t>
        </is>
      </c>
      <c r="Q4" t="inlineStr">
        <is>
          <t>1. MK-XS-F-011 — If contributions is missing it uses 0.
2. MK-XS-F-011 — If withdrawals is missing it uses 0.
3. MK-XS-F-011 — If dividends is missing it uses 0.
4. MK-XS-F-011 — If interest is missing it uses 0.
5. MK-XS-F-011 — If debt principal is missing it uses 0.
6. MK-ST-F-055 — Multiplies by 100 — a percentage, or an option contract treated as 100 shares. Worth checking which.
7. MK-ST-F-055 — Rounds the answer to a whole number.</t>
        </is>
      </c>
      <c r="R4" t="inlineStr"/>
      <c r="S4" t="inlineStr">
        <is>
          <t>Beginning values are read from the daily record, which never leaves the phone. On a new device there is no beginning, so the walk back-solves one or refuses.</t>
        </is>
      </c>
      <c r="T4" t="inlineStr">
        <is>
          <t>[Founder] The identity must close: ending = beginning + money in − money out + income − costs + market change. A direction stated by the institution never overrides a contradicting sign — a −$500 line marked IN is a reversal.</t>
        </is>
      </c>
      <c r="U4" t="inlineStr">
        <is>
          <t>THE SAME FIGURE AS MK-PF-M-001 — The ending value, shown as its own line and again inside the heading "HOW $X BECAME $Y". Same screen, same figure, twice.</t>
        </is>
      </c>
      <c r="V4" t="inlineStr"/>
      <c r="W4" t="inlineStr"/>
      <c r="X4" t="inlineStr"/>
      <c r="Y4" t="inlineStr">
        <is>
          <t>NOT DETERMINED</t>
        </is>
      </c>
      <c r="Z4" t="inlineStr">
        <is>
          <t>VERIFIED 2026-08-22</t>
        </is>
      </c>
      <c r="AA4"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t="inlineStr">
        <is>
          <t>1. B18 [ONE FORMULA] — Four figures share the change-walk identity — "Ending value", "Wealth generated", "HOW $X BECAME $Y", "Ending market value (per account)". The identity is the frame they all sit in, not the arithmetic of any one of them. Wealth generated is not ending value, and one of the four is per account while the others are for everything.</t>
        </is>
      </c>
      <c r="AC4" t="inlineStr">
        <is>
          <t>HAS A FUNCTION — traceable from the screen to the code.</t>
        </is>
      </c>
      <c r="AD4" t="inlineStr"/>
      <c r="AE4" t="inlineStr">
        <is>
          <t>B18 — OPEN since 2026-08-26 — nothing has closed this. It is not known to be wrong; it is known to be unaddressed.</t>
        </is>
      </c>
      <c r="AF4" t="inlineStr">
        <is>
          <t>SUPERSEDED BY MK-PF-M-001 — the same figure under another identifier. This number is retired and is never handed to anything else.</t>
        </is>
      </c>
      <c r="AG4" t="inlineStr">
        <is>
          <t>2026-08-27</t>
        </is>
      </c>
    </row>
    <row r="5">
      <c r="A5" t="inlineStr">
        <is>
          <t>MK-PF-M-004</t>
        </is>
      </c>
      <c r="B5" t="inlineStr">
        <is>
          <t>Performance</t>
        </is>
      </c>
      <c r="C5" t="inlineStr">
        <is>
          <t>NA</t>
        </is>
      </c>
      <c r="D5" t="inlineStr">
        <is>
          <t>Ending market value (per account)</t>
        </is>
      </c>
      <c r="E5" t="inlineStr">
        <is>
          <t>w.ending</t>
        </is>
      </c>
      <c r="F5" t="inlineStr">
        <is>
          <t>buildChangeWalk</t>
        </is>
      </c>
      <c r="G5" t="inlineStr">
        <is>
          <t>MK-XS-F-011</t>
        </is>
      </c>
      <c r="H5" t="inlineStr">
        <is>
          <t>ending = beginning + money in − money out + income − costs + market change  (the identity that must close)</t>
        </is>
      </c>
      <c r="I5"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5" t="inlineStr">
        <is>
          <t>1. starting value → beginning  [MK-XS-I-031]
2. ending value → ending  [NOT AN INPUT — another engine’s answer; see the dependency column]
3. money in → contributions  [NOT AN INPUT — another engine’s answer; see the dependency column]
4. money out → withdrawals  [NOT AN INPUT — another engine’s answer; see the dependency column]
5. dividends → dividends  [NOT AN INPUT — another engine’s answer; see the dependency column]
6. interest → interest  [NOT AN INPUT — another engine’s answer; see the dependency column]
7. debt paid down → debtPrincipal  [NOT AN INPUT — another engine’s answer; see the dependency column]</t>
        </is>
      </c>
      <c r="K5" t="inlineStr">
        <is>
          <t>A count · whole units, except crypto which keeps its fractions  [derived by rule — confirm]</t>
        </is>
      </c>
      <c r="L5" t="inlineStr">
        <is>
          <t>Where the record does not reach back far enough, the beginning is back-solved and the walk says so. With neither record nor flows it refuses.</t>
        </is>
      </c>
      <c r="M5" t="inlineStr">
        <is>
          <t>One figure per account  [derived by rule — confirm]</t>
        </is>
      </c>
      <c r="N5" t="inlineStr">
        <is>
          <t>As of today, from the latest figures held  [derived by rule — confirm]</t>
        </is>
      </c>
      <c r="O5" t="inlineStr">
        <is>
          <t>None — this engine reads raw inputs only</t>
        </is>
      </c>
      <c r="P5" t="inlineStr">
        <is>
          <t>MK-ST-F-055 round2 → MK-XS-F-011 buildChangeWalk</t>
        </is>
      </c>
      <c r="Q5" t="inlineStr">
        <is>
          <t>1. MK-XS-F-011 — If contributions is missing it uses 0.
2. MK-XS-F-011 — If withdrawals is missing it uses 0.
3. MK-XS-F-011 — If dividends is missing it uses 0.
4. MK-XS-F-011 — If interest is missing it uses 0.
5. MK-XS-F-011 — If debt principal is missing it uses 0.
6. MK-ST-F-055 — Multiplies by 100 — a percentage, or an option contract treated as 100 shares. Worth checking which.
7. MK-ST-F-055 — Rounds the answer to a whole number.</t>
        </is>
      </c>
      <c r="R5" t="inlineStr"/>
      <c r="S5" t="inlineStr">
        <is>
          <t>Beginning values are read from the daily record, which never leaves the phone. On a new device there is no beginning, so the walk back-solves one or refuses.</t>
        </is>
      </c>
      <c r="T5" t="inlineStr">
        <is>
          <t>[Founder] The identity must close: ending = beginning + money in − money out + income − costs + market change. A direction stated by the institution never overrides a contradicting sign — a −$500 line marked IN is a reversal.</t>
        </is>
      </c>
      <c r="U5" t="inlineStr"/>
      <c r="V5" t="inlineStr"/>
      <c r="W5" t="inlineStr"/>
      <c r="X5" t="inlineStr"/>
      <c r="Y5" t="inlineStr">
        <is>
          <t>NOT DETERMINED</t>
        </is>
      </c>
      <c r="Z5" t="inlineStr">
        <is>
          <t>VERIFIED 2026-08-22</t>
        </is>
      </c>
      <c r="AA5"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t="inlineStr">
        <is>
          <t>1. B18 [ONE FORMULA] — Four figures share the change-walk identity — "Ending value", "Wealth generated", "HOW $X BECAME $Y", "Ending market value (per account)". The identity is the frame they all sit in, not the arithmetic of any one of them. Wealth generated is not ending value, and one of the four is per account while the others are for everything.</t>
        </is>
      </c>
      <c r="AC5" t="inlineStr">
        <is>
          <t>HAS A FUNCTION — traceable from the screen to the code.</t>
        </is>
      </c>
      <c r="AD5" t="inlineStr"/>
      <c r="AE5" t="inlineStr">
        <is>
          <t>B18 — OPEN since 2026-08-26 — nothing has closed this. It is not known to be wrong; it is known to be unaddressed.</t>
        </is>
      </c>
      <c r="AF5" t="inlineStr">
        <is>
          <t>ACTIVE</t>
        </is>
      </c>
      <c r="AG5" t="inlineStr">
        <is>
          <t>2026-08-27</t>
        </is>
      </c>
    </row>
    <row r="6">
      <c r="A6" t="inlineStr">
        <is>
          <t>MK-PF-M-005</t>
        </is>
      </c>
      <c r="B6" t="inlineStr">
        <is>
          <t>Performance</t>
        </is>
      </c>
      <c r="C6" t="inlineStr">
        <is>
          <t>NA</t>
        </is>
      </c>
      <c r="D6" t="inlineStr">
        <is>
          <t>each account and its ending value</t>
        </is>
      </c>
      <c r="E6" t="inlineStr">
        <is>
          <t>a.ending</t>
        </is>
      </c>
      <c r="F6" t="inlineStr">
        <is>
          <t>buildPerformance</t>
        </is>
      </c>
      <c r="G6" t="inlineStr">
        <is>
          <t>MK-PF-F-014</t>
        </is>
      </c>
      <c r="H6" t="inlineStr">
        <is>
          <t>per account: ending;  per category: earned = Σ(ending − beginning − net money in);  return = earned ÷ average value held</t>
        </is>
      </c>
      <c r="I6"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6" t="inlineStr">
        <is>
          <t>1. the holdings → positions  [MK-XS-I-004]
2. prices → priceOf(ticker)  [MK-XS-I-005]
3. the chosen chip → period  [NOT AN INPUT — a setting or a filter, not data anyone supplies]
4. today → now  [NOT AN INPUT — a setting or a filter, not data anyone supplies]</t>
        </is>
      </c>
      <c r="K6" t="inlineStr">
        <is>
          <t>A count · whole units, except crypto which keeps its fractions  [derived by rule — confirm]</t>
        </is>
      </c>
      <c r="L6" t="inlineStr">
        <is>
          <t>Adds up to $0 when there is nothing to add. Zero and "nothing recorded yet" look identical on screen — worth a decision.</t>
        </is>
      </c>
      <c r="M6" t="inlineStr">
        <is>
          <t>One figure per account  [derived by rule — confirm]</t>
        </is>
      </c>
      <c r="N6" t="inlineStr">
        <is>
          <t>As of today, from the latest figures held  [derived by rule — confirm]</t>
        </is>
      </c>
      <c r="O6" t="inlineStr">
        <is>
          <t>1. MK-XS-E-023 (BENCHMARK_FOR_KIND) → What should this holding be compared against?
2. MK-NW-E-023 (HOLDING_COST_BASIS) → What did I pay for this in total?
3. MK-XS-E-024 (HOLDING_FIRST_BOUGHT) → When did I first buy this?
4. MK-NW-E-022 (HOLDING_MARKET_VALUE) → What is this holding worth right now?
5. MK-XS-E-025 (HOLDING_TOTAL_ROI) → How much am I up on this in percentage terms, since I bought it?
6. MK-XS-E-026 (HOLDING_UNREALISED_GAIN) → How much am I up or down on this?
7. MK-XS-E-027 (PERIOD_RETURN) → What did this holding do over the chosen period?
8. MK-XS-E-028 (PERIOD_START_DATE) → Which date does the chosen period start from?
9. MK-XS-E-029 (PRICE_LATEST) → What is the most recent price we hold for this?
10. MK-XS-E-030 (RETURN_SINCE_A_DATE) → What did this do between a given date and today?</t>
        </is>
      </c>
      <c r="P6" t="inlineStr">
        <is>
          <t>1. MK-ST-F-047 activeCurrency → MK-ST-F-048 currencySymbol → MK-ST-F-049 formatMoney → MK-ST-F-053 money → MK-PF-F-013 benchmarkTicker → MK-PF-F-014 buildPerformance
2. MK-ST-F-055 round2 → MK-PF-F-002 costBasis → MK-PF-F-014 buildPerformance
3. MK-CF-F-132 map → MK-PF-F-012 earliestPurchaseDate → MK-PF-F-014 buildPerformance
4. MK-PF-F-009 latestClose → MK-PF-F-014 buildPerformance
5. MK-CF-F-132 map → MK-PF-F-014 buildPerformance
6. MK-ST-F-055 round2 → MK-PF-F-004 marketValue → MK-PF-F-014 buildPerformance
7. MK-PF-F-001 totalShares → MK-PF-F-004 marketValue → MK-PF-F-014 buildPerformance
8. MK-PF-F-029 closeAsOf → MK-PF-F-010 periodReturn → MK-PF-F-014 buildPerformance
9. … and 5 more paths</t>
        </is>
      </c>
      <c r="Q6" t="inlineStr">
        <is>
          <t>1. MK-PF-F-014 — Uses today's date from the device clock, so the answer changes by itself overnight.
2. MK-PF-F-014 — Rounds the answer to a whole number.
3. MK-PF-F-002 — If shares is missing it counts as zero, so nothing recorded and a real zero look the same.
4. MK-PF-F-002 — If cost per share is missing it counts as zero, so nothing recorded and a real zero look the same.
5. MK-PF-F-012 — Leaves some rows out of the answer — check which.
6. MK-PF-F-010 — Uses today's date from the device clock, so the answer changes by itself overnight.
7. MK-PF-F-010 — Rounds the answer to a whole number.
8. MK-PF-F-011 — Uses today's date from the device clock, so the answer changes by itself overnight.
9. MK-PF-F-011 — Rounds the answer to a whole number.
10. MK-PF-F-007 — Rounds the answer to a whole number.
11. MK-ST-F-055 — Multiplies by 100 — a percentage, or an option contract treated as 100 shares. Worth checking which.
12. MK-ST-F-055 — Rounds the answer to a whole number.
13. MK-PF-F-001 — If shares is missing it counts as zero, so nothing recorded and a real zero look the same.
14. MK-ST-F-049 — Rounds the answer to a whole number.</t>
        </is>
      </c>
      <c r="R6" t="inlineStr"/>
      <c r="S6" t="inlineStr"/>
      <c r="T6" t="inlineStr">
        <is>
          <t>NOT DETERMINED — no assumption recorded for this figure yet.</t>
        </is>
      </c>
      <c r="U6" t="inlineStr"/>
      <c r="V6" t="inlineStr"/>
      <c r="W6" t="inlineStr"/>
      <c r="X6" t="inlineStr"/>
      <c r="Y6" t="inlineStr">
        <is>
          <t>NOT DETERMINED</t>
        </is>
      </c>
      <c r="Z6" t="inlineStr">
        <is>
          <t>VERIFIED 2026-08-22</t>
        </is>
      </c>
      <c r="AA6"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t="inlineStr">
        <is>
          <t>AGREES — the figure's arithmetic and the arithmetic of the function it names say the same thing. Checked 2026-08-26.</t>
        </is>
      </c>
      <c r="AC6" t="inlineStr">
        <is>
          <t>HAS A FUNCTION — traceable from the screen to the code.</t>
        </is>
      </c>
      <c r="AD6" t="inlineStr"/>
      <c r="AE6" t="inlineStr">
        <is>
          <t>No finding on this row. That is not a statement that the row is right — only that nothing has been written against it.</t>
        </is>
      </c>
      <c r="AF6" t="inlineStr">
        <is>
          <t>ACTIVE</t>
        </is>
      </c>
      <c r="AG6" t="inlineStr">
        <is>
          <t>2026-08-27</t>
        </is>
      </c>
    </row>
    <row r="7">
      <c r="A7" t="inlineStr">
        <is>
          <t>MK-PF-M-006</t>
        </is>
      </c>
      <c r="B7" t="inlineStr">
        <is>
          <t>Performance</t>
        </is>
      </c>
      <c r="C7" t="inlineStr">
        <is>
          <t>NA</t>
        </is>
      </c>
      <c r="D7" t="inlineStr">
        <is>
          <t>WHAT EACH CATEGORY EARNED — RETURN</t>
        </is>
      </c>
      <c r="E7" t="inlineStr">
        <is>
          <t>b.earned / b.ret</t>
        </is>
      </c>
      <c r="F7" t="inlineStr">
        <is>
          <t>buildPerformance</t>
        </is>
      </c>
      <c r="G7" t="inlineStr">
        <is>
          <t>MK-PF-F-014</t>
        </is>
      </c>
      <c r="H7" t="inlineStr">
        <is>
          <t>per account: ending;  per category: earned = Σ(ending − beginning − net money in);  return = earned ÷ average value held</t>
        </is>
      </c>
      <c r="I7"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7" t="inlineStr">
        <is>
          <t>1. the holdings → positions  [MK-XS-I-004]
2. prices → priceOf(ticker)  [MK-XS-I-005]
3. the chosen chip → period  [NOT AN INPUT — a setting or a filter, not data anyone supplies]
4. today → now  [NOT AN INPUT — a setting or a filter, not data anyone supplies]</t>
        </is>
      </c>
      <c r="K7" t="inlineStr">
        <is>
          <t>Percent · one decimal shown  [derived by rule — confirm]</t>
        </is>
      </c>
      <c r="L7" t="inlineStr">
        <is>
          <t>Adds up to $0 when there is nothing to add. Zero and "nothing recorded yet" look identical on screen — worth a decision.</t>
        </is>
      </c>
      <c r="M7" t="inlineStr">
        <is>
          <t>One figure per category  [derived by rule — confirm]</t>
        </is>
      </c>
      <c r="N7" t="inlineStr">
        <is>
          <t>The window the person chose on screen  [derived by rule — confirm]</t>
        </is>
      </c>
      <c r="O7" t="inlineStr">
        <is>
          <t>1. MK-XS-E-023 (BENCHMARK_FOR_KIND) → What should this holding be compared against?
2. MK-NW-E-023 (HOLDING_COST_BASIS) → What did I pay for this in total?
3. MK-XS-E-024 (HOLDING_FIRST_BOUGHT) → When did I first buy this?
4. MK-NW-E-022 (HOLDING_MARKET_VALUE) → What is this holding worth right now?
5. MK-XS-E-025 (HOLDING_TOTAL_ROI) → How much am I up on this in percentage terms, since I bought it?
6. MK-XS-E-026 (HOLDING_UNREALISED_GAIN) → How much am I up or down on this?
7. MK-XS-E-027 (PERIOD_RETURN) → What did this holding do over the chosen period?
8. MK-XS-E-028 (PERIOD_START_DATE) → Which date does the chosen period start from?
9. MK-XS-E-029 (PRICE_LATEST) → What is the most recent price we hold for this?
10. MK-XS-E-030 (RETURN_SINCE_A_DATE) → What did this do between a given date and today?</t>
        </is>
      </c>
      <c r="P7" t="inlineStr">
        <is>
          <t>1. MK-ST-F-047 activeCurrency → MK-ST-F-048 currencySymbol → MK-ST-F-049 formatMoney → MK-ST-F-053 money → MK-PF-F-013 benchmarkTicker → MK-PF-F-014 buildPerformance
2. MK-ST-F-055 round2 → MK-PF-F-002 costBasis → MK-PF-F-014 buildPerformance
3. MK-CF-F-132 map → MK-PF-F-012 earliestPurchaseDate → MK-PF-F-014 buildPerformance
4. MK-PF-F-009 latestClose → MK-PF-F-014 buildPerformance
5. MK-CF-F-132 map → MK-PF-F-014 buildPerformance
6. MK-ST-F-055 round2 → MK-PF-F-004 marketValue → MK-PF-F-014 buildPerformance
7. MK-PF-F-001 totalShares → MK-PF-F-004 marketValue → MK-PF-F-014 buildPerformance
8. MK-PF-F-029 closeAsOf → MK-PF-F-010 periodReturn → MK-PF-F-014 buildPerformance
9. … and 5 more paths</t>
        </is>
      </c>
      <c r="Q7" t="inlineStr">
        <is>
          <t>1. MK-PF-F-014 — Uses today's date from the device clock, so the answer changes by itself overnight.
2. MK-PF-F-014 — Rounds the answer to a whole number.
3. MK-PF-F-002 — If shares is missing it counts as zero, so nothing recorded and a real zero look the same.
4. MK-PF-F-002 — If cost per share is missing it counts as zero, so nothing recorded and a real zero look the same.
5. MK-PF-F-012 — Leaves some rows out of the answer — check which.
6. MK-PF-F-010 — Uses today's date from the device clock, so the answer changes by itself overnight.
7. MK-PF-F-010 — Rounds the answer to a whole number.
8. MK-PF-F-011 — Uses today's date from the device clock, so the answer changes by itself overnight.
9. MK-PF-F-011 — Rounds the answer to a whole number.
10. MK-PF-F-007 — Rounds the answer to a whole number.
11. MK-ST-F-055 — Multiplies by 100 — a percentage, or an option contract treated as 100 shares. Worth checking which.
12. MK-ST-F-055 — Rounds the answer to a whole number.
13. MK-PF-F-001 — If shares is missing it counts as zero, so nothing recorded and a real zero look the same.
14. MK-ST-F-049 — Rounds the answer to a whole number.</t>
        </is>
      </c>
      <c r="R7" t="inlineStr"/>
      <c r="S7" t="inlineStr"/>
      <c r="T7" t="inlineStr">
        <is>
          <t>NOT DETERMINED — no assumption recorded for this figure yet.</t>
        </is>
      </c>
      <c r="U7" t="inlineStr"/>
      <c r="V7" t="inlineStr"/>
      <c r="W7" t="inlineStr"/>
      <c r="X7" t="inlineStr"/>
      <c r="Y7" t="inlineStr">
        <is>
          <t>NOT DETERMINED</t>
        </is>
      </c>
      <c r="Z7" t="inlineStr">
        <is>
          <t>VERIFIED 2026-08-22</t>
        </is>
      </c>
      <c r="AA7" t="inlineStr">
        <is>
          <t>1. A14 — This file states three different formulas for what it calls a return: Sum(return x value) / Sum(value), Modified Dietz, and earned / average value held. Three methods give three answers. One of them has to be the definition.
2.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3.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t="inlineStr">
        <is>
          <t>AGREES — the figure's arithmetic and the arithmetic of the function it names say the same thing. Checked 2026-08-26.</t>
        </is>
      </c>
      <c r="AC7" t="inlineStr">
        <is>
          <t>HAS A FUNCTION — traceable from the screen to the code.</t>
        </is>
      </c>
      <c r="AD7" t="inlineStr"/>
      <c r="AE7" t="inlineStr">
        <is>
          <t>A14 — OPEN since 2026-08-26 — nothing has closed this. It is not known to be wrong; it is known to be unaddressed.</t>
        </is>
      </c>
      <c r="AF7" t="inlineStr">
        <is>
          <t>ACTIVE</t>
        </is>
      </c>
      <c r="AG7" t="inlineStr">
        <is>
          <t>2026-08-27</t>
        </is>
      </c>
    </row>
    <row r="8">
      <c r="A8" t="inlineStr">
        <is>
          <t>MK-PF-M-007</t>
        </is>
      </c>
      <c r="B8" t="inlineStr">
        <is>
          <t>Performance</t>
        </is>
      </c>
      <c r="C8" t="inlineStr">
        <is>
          <t>NA</t>
        </is>
      </c>
      <c r="D8" t="inlineStr">
        <is>
          <t>All categories</t>
        </is>
      </c>
      <c r="E8" t="inlineStr">
        <is>
          <t>total</t>
        </is>
      </c>
      <c r="F8" t="inlineStr">
        <is>
          <t>buildPerformance</t>
        </is>
      </c>
      <c r="G8" t="inlineStr">
        <is>
          <t>MK-PF-F-014</t>
        </is>
      </c>
      <c r="H8" t="inlineStr">
        <is>
          <t>per account: ending;  per category: earned = Σ(ending − beginning − net money in);  return = earned ÷ average value held</t>
        </is>
      </c>
      <c r="I8"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8" t="inlineStr">
        <is>
          <t>1. the holdings → positions  [MK-XS-I-004]
2. prices → priceOf(ticker)  [MK-XS-I-005]
3. the chosen chip → period  [NOT AN INPUT — a setting or a filter, not data anyone supplies]
4. today → now  [NOT AN INPUT — a setting or a filter, not data anyone supplies]</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person — or per household when two people share one record  [derived by rule — confirm]</t>
        </is>
      </c>
      <c r="N8" t="inlineStr">
        <is>
          <t>As of today, from the latest figures held  [derived by rule — confirm]</t>
        </is>
      </c>
      <c r="O8" t="inlineStr">
        <is>
          <t>1. MK-XS-E-023 (BENCHMARK_FOR_KIND) → What should this holding be compared against?
2. MK-NW-E-023 (HOLDING_COST_BASIS) → What did I pay for this in total?
3. MK-XS-E-024 (HOLDING_FIRST_BOUGHT) → When did I first buy this?
4. MK-NW-E-022 (HOLDING_MARKET_VALUE) → What is this holding worth right now?
5. MK-XS-E-025 (HOLDING_TOTAL_ROI) → How much am I up on this in percentage terms, since I bought it?
6. MK-XS-E-026 (HOLDING_UNREALISED_GAIN) → How much am I up or down on this?
7. MK-XS-E-027 (PERIOD_RETURN) → What did this holding do over the chosen period?
8. MK-XS-E-028 (PERIOD_START_DATE) → Which date does the chosen period start from?
9. MK-XS-E-029 (PRICE_LATEST) → What is the most recent price we hold for this?
10. MK-XS-E-030 (RETURN_SINCE_A_DATE) → What did this do between a given date and today?</t>
        </is>
      </c>
      <c r="P8" t="inlineStr">
        <is>
          <t>1. MK-ST-F-047 activeCurrency → MK-ST-F-048 currencySymbol → MK-ST-F-049 formatMoney → MK-ST-F-053 money → MK-PF-F-013 benchmarkTicker → MK-PF-F-014 buildPerformance
2. MK-ST-F-055 round2 → MK-PF-F-002 costBasis → MK-PF-F-014 buildPerformance
3. MK-CF-F-132 map → MK-PF-F-012 earliestPurchaseDate → MK-PF-F-014 buildPerformance
4. MK-PF-F-009 latestClose → MK-PF-F-014 buildPerformance
5. MK-CF-F-132 map → MK-PF-F-014 buildPerformance
6. MK-ST-F-055 round2 → MK-PF-F-004 marketValue → MK-PF-F-014 buildPerformance
7. MK-PF-F-001 totalShares → MK-PF-F-004 marketValue → MK-PF-F-014 buildPerformance
8. MK-PF-F-029 closeAsOf → MK-PF-F-010 periodReturn → MK-PF-F-014 buildPerformance
9. … and 5 more paths</t>
        </is>
      </c>
      <c r="Q8" t="inlineStr">
        <is>
          <t>1. MK-PF-F-014 — Uses today's date from the device clock, so the answer changes by itself overnight.
2. MK-PF-F-014 — Rounds the answer to a whole number.
3. MK-PF-F-002 — If shares is missing it counts as zero, so nothing recorded and a real zero look the same.
4. MK-PF-F-002 — If cost per share is missing it counts as zero, so nothing recorded and a real zero look the same.
5. MK-PF-F-012 — Leaves some rows out of the answer — check which.
6. MK-PF-F-010 — Uses today's date from the device clock, so the answer changes by itself overnight.
7. MK-PF-F-010 — Rounds the answer to a whole number.
8. MK-PF-F-011 — Uses today's date from the device clock, so the answer changes by itself overnight.
9. MK-PF-F-011 — Rounds the answer to a whole number.
10. MK-PF-F-007 — Rounds the answer to a whole number.
11. MK-ST-F-055 — Multiplies by 100 — a percentage, or an option contract treated as 100 shares. Worth checking which.
12. MK-ST-F-055 — Rounds the answer to a whole number.
13. MK-PF-F-001 — If shares is missing it counts as zero, so nothing recorded and a real zero look the same.
14. MK-ST-F-049 — Rounds the answer to a whole number.</t>
        </is>
      </c>
      <c r="R8" t="inlineStr"/>
      <c r="S8" t="inlineStr"/>
      <c r="T8" t="inlineStr">
        <is>
          <t>NOT DETERMINED — no assumption recorded for this figure yet.</t>
        </is>
      </c>
      <c r="U8" t="inlineStr"/>
      <c r="V8" t="inlineStr"/>
      <c r="W8" t="inlineStr"/>
      <c r="X8" t="inlineStr"/>
      <c r="Y8" t="inlineStr">
        <is>
          <t>NOT DETERMINED</t>
        </is>
      </c>
      <c r="Z8" t="inlineStr">
        <is>
          <t>VERIFIED 2026-08-22</t>
        </is>
      </c>
      <c r="AA8" t="inlineStr">
        <is>
          <t>1. A14 — This file states three different formulas for what it calls a return: Sum(return x value) / Sum(value), Modified Dietz, and earned / average value held. Three methods give three answers. One of them has to be the definition.
2.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3.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t="inlineStr">
        <is>
          <t>AGREES — the figure's arithmetic and the arithmetic of the function it names say the same thing. Checked 2026-08-26.</t>
        </is>
      </c>
      <c r="AC8" t="inlineStr">
        <is>
          <t>HAS A FUNCTION — traceable from the screen to the code.</t>
        </is>
      </c>
      <c r="AD8" t="inlineStr"/>
      <c r="AE8" t="inlineStr">
        <is>
          <t>A14 — OPEN since 2026-08-26 — nothing has closed this. It is not known to be wrong; it is known to be unaddressed.</t>
        </is>
      </c>
      <c r="AF8" t="inlineStr">
        <is>
          <t>ACTIVE</t>
        </is>
      </c>
      <c r="AG8" t="inlineStr">
        <is>
          <t>2026-08-27</t>
        </is>
      </c>
    </row>
    <row r="9">
      <c r="A9" t="inlineStr">
        <is>
          <t>MK-PF-M-008</t>
        </is>
      </c>
      <c r="B9" t="inlineStr">
        <is>
          <t>Performance</t>
        </is>
      </c>
      <c r="C9" t="inlineStr">
        <is>
          <t>NA</t>
        </is>
      </c>
      <c r="D9" t="inlineStr">
        <is>
          <t>HONEST COMPARISON</t>
        </is>
      </c>
      <c r="E9" t="inlineStr">
        <is>
          <t>benchPort</t>
        </is>
      </c>
      <c r="F9" t="inlineStr">
        <is>
          <t>portfolioBenchReturn</t>
        </is>
      </c>
      <c r="G9" t="inlineStr">
        <is>
          <t>MK-PF-F-020</t>
        </is>
      </c>
      <c r="H9" t="inlineStr">
        <is>
          <t>benchmark return = Σ(weight of each class × that class’s index return over the same window)</t>
        </is>
      </c>
      <c r="I9" t="inlineStr">
        <is>
          <t>The same money-weighted blend, over each holding's own benchmark rather than the holding itself. Blending the benchmarks the same way is what makes "you beat it by" a fair statement rather than a comparison against a single index nobody holds.</t>
        </is>
      </c>
      <c r="J9" t="inlineStr">
        <is>
          <t>1. each holding's benchmark return → rows[].benchReturn  [NOT AN INPUT — another engine’s answer; see the dependency column]
2. its value → rows[].marketValue  [NOT AN INPUT — another engine’s answer; see the dependency column]</t>
        </is>
      </c>
      <c r="K9" t="inlineStr">
        <is>
          <t>US dollars · held to the cent · shown as whole dollars  [derived by rule — confirm]</t>
        </is>
      </c>
      <c r="L9" t="inlineStr">
        <is>
          <t>Adds up to $0 when there is nothing to add. Zero and "nothing recorded yet" look identical on screen — worth a decision.</t>
        </is>
      </c>
      <c r="M9" t="inlineStr">
        <is>
          <t>One figure per person — or per household when two people share one record  [derived by rule — confirm]</t>
        </is>
      </c>
      <c r="N9" t="inlineStr">
        <is>
          <t>The window the person chose on screen  [derived by rule — confirm]</t>
        </is>
      </c>
      <c r="O9" t="inlineStr">
        <is>
          <t>None — this engine reads raw inputs only</t>
        </is>
      </c>
      <c r="P9" t="inlineStr">
        <is>
          <t>No dependent function — it reads its inputs and answers</t>
        </is>
      </c>
      <c r="Q9" t="inlineStr">
        <is>
          <t>MK-PF-F-020 — Leaves some rows out of the answer — check which.</t>
        </is>
      </c>
      <c r="R9" t="inlineStr"/>
      <c r="S9" t="inlineStr"/>
      <c r="T9" t="inlineStr">
        <is>
          <t>NOT DETERMINED — no assumption recorded for this figure yet.</t>
        </is>
      </c>
      <c r="U9" t="inlineStr"/>
      <c r="V9" t="inlineStr">
        <is>
          <t>Q33 — Which index should each asset class be compared against, and should the person be able to change it?</t>
        </is>
      </c>
      <c r="W9" t="inlineStr"/>
      <c r="X9" t="inlineStr"/>
      <c r="Y9" t="inlineStr">
        <is>
          <t>NOT DETERMINED</t>
        </is>
      </c>
      <c r="Z9" t="inlineStr">
        <is>
          <t>VERIFIED 2026-08-22</t>
        </is>
      </c>
      <c r="AA9" t="inlineStr">
        <is>
          <t>1.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t="inlineStr">
        <is>
          <t>AGREES — the figure's arithmetic and the arithmetic of the function it names say the same thing. Checked 2026-08-26.</t>
        </is>
      </c>
      <c r="AC9" t="inlineStr">
        <is>
          <t>HAS A FUNCTION — traceable from the screen to the code.</t>
        </is>
      </c>
      <c r="AD9" t="inlineStr"/>
      <c r="AE9" t="inlineStr">
        <is>
          <t>No finding on this row. That is not a statement that the row is right — only that nothing has been written against it.</t>
        </is>
      </c>
      <c r="AF9" t="inlineStr">
        <is>
          <t>ACTIVE</t>
        </is>
      </c>
      <c r="AG9" t="inlineStr">
        <is>
          <t>2026-08-27</t>
        </is>
      </c>
    </row>
    <row r="10">
      <c r="A10" t="inlineStr">
        <is>
          <t>MK-PF-M-009</t>
        </is>
      </c>
      <c r="B10" t="inlineStr">
        <is>
          <t>Performance</t>
        </is>
      </c>
      <c r="C10" t="inlineStr">
        <is>
          <t>NA</t>
        </is>
      </c>
      <c r="D10" t="inlineStr">
        <is>
          <t>Return (money-weighted, when the record covers it)</t>
        </is>
      </c>
      <c r="E10" t="inlineStr">
        <is>
          <t>mw.rate</t>
        </is>
      </c>
      <c r="F10" t="inlineStr">
        <is>
          <t>NOT ON RECORD — no function is recorded for this figure</t>
        </is>
      </c>
      <c r="G10" t="inlineStr"/>
      <c r="H10" t="inlineStr">
        <is>
          <t>r = (EMV − BMV − F) ÷ (BMV + Σ(Fᵢ × wᵢ)),  wᵢ = (days in window − days before flow i) ÷ days in window</t>
        </is>
      </c>
      <c r="I10" t="inlineStr">
        <is>
          <t>A return that accounts for WHEN money moved in or out: each flow is weighted by how much of the window it was invested for. Refused, with the dollar walk shown instead, when the timing matters too much for one percentage to be honest.</t>
        </is>
      </c>
      <c r="J10" t="inlineStr">
        <is>
          <t>NOT DETERMINED — no input list on record for this engine</t>
        </is>
      </c>
      <c r="K10" t="inlineStr">
        <is>
          <t>Percent · one decimal shown  [derived by rule — confirm]</t>
        </is>
      </c>
      <c r="L10" t="inlineStr">
        <is>
          <t>REFUSES when the timing of money moving in or out drives the percentage more than the investments do, and shows the dollar walk instead. Also refuses when the starting value is zero or negative.</t>
        </is>
      </c>
      <c r="M10" t="inlineStr">
        <is>
          <t>One figure per person — or per household when two people share one record  [derived by rule — confirm]</t>
        </is>
      </c>
      <c r="N10" t="inlineStr">
        <is>
          <t>The window the person chose on screen  [derived by rule — confirm]</t>
        </is>
      </c>
      <c r="O10" t="inlineStr">
        <is>
          <t>NOT DETERMINED</t>
        </is>
      </c>
      <c r="P10" t="inlineStr">
        <is>
          <t>No function on record — nothing to chain</t>
        </is>
      </c>
      <c r="Q10" t="inlineStr">
        <is>
          <t>No function on record — assumptions unknown</t>
        </is>
      </c>
      <c r="R10" t="inlineStr"/>
      <c r="S10" t="inlineStr"/>
      <c r="T10" t="inlineStr">
        <is>
          <t>[Founder] When the timing of money moving in or out drives the percentage more than the investments do, the figure is REFUSED and the dollar walk is shown instead.</t>
        </is>
      </c>
      <c r="U10" t="inlineStr"/>
      <c r="V10" t="inlineStr"/>
      <c r="W10" t="inlineStr"/>
      <c r="X10" t="inlineStr"/>
      <c r="Y10" t="inlineStr">
        <is>
          <t>NOT DETERMINED</t>
        </is>
      </c>
      <c r="Z10" t="inlineStr">
        <is>
          <t>VERIFIED 2026-08-22</t>
        </is>
      </c>
      <c r="AA10" t="inlineStr">
        <is>
          <t>1. A14 — This file states three different formulas for what it calls a return: Sum(return x value) / Sum(value), Modified Dietz, and earned / average value held. Three methods give three answers. One of them has to be the definition.
2. A12 — moneyWeightedReturn is defined twice and the two are different methods: src/domain/performance/moneyWeighted.ts:80 solves an internal rate of return by bisection; Calculation Module code/engines/window-return.ts:69 is Modified Dietz. Both are called the money-weighted return. Only the first has a row in this file; the sweep keeps whichever folder it walks first and drops the other in silence.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t="inlineStr">
        <is>
          <t>B24 [NOT COMPARABLE] — This figure names no function, so its formula cannot be checked against anything. 69 of the 163 figures are in this position — the audit covers the 94 that name one.</t>
        </is>
      </c>
      <c r="AC10"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0" t="inlineStr"/>
      <c r="AE10" t="inlineStr">
        <is>
          <t>A14 — OPEN since 2026-08-26 — nothing has closed this. It is not known to be wrong; it is known to be unaddressed.
A12 — OPEN since 2026-08-26 — nothing has closed this. It is not known to be wrong; it is known to be unaddressed.</t>
        </is>
      </c>
      <c r="AF10" t="inlineStr">
        <is>
          <t>ACTIVE</t>
        </is>
      </c>
      <c r="AG10" t="inlineStr">
        <is>
          <t>2026-08-27</t>
        </is>
      </c>
    </row>
    <row r="11">
      <c r="A11" t="inlineStr">
        <is>
          <t>MK-PF-M-010</t>
        </is>
      </c>
      <c r="B11" t="inlineStr">
        <is>
          <t>Performance</t>
        </is>
      </c>
      <c r="C11" t="inlineStr">
        <is>
          <t>/look-back</t>
        </is>
      </c>
      <c r="D11" t="inlineStr">
        <is>
          <t>Left in &lt;fund&gt; it became $X (up/down $Y, Z%)</t>
        </is>
      </c>
      <c r="E11" t="inlineStr">
        <is>
          <t>result.stayed</t>
        </is>
      </c>
      <c r="F11" t="inlineStr">
        <is>
          <t>lookBack</t>
        </is>
      </c>
      <c r="G11" t="inlineStr">
        <is>
          <t>MK-PF-F-023</t>
        </is>
      </c>
      <c r="H11" t="inlineStr">
        <is>
          <t>stayed = value × (1 + return of what is held);  moved = value × (1 + return of the alternative);  difference = moved − stayed</t>
        </is>
      </c>
      <c r="I11"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1" t="inlineStr">
        <is>
          <t>1. the amount → amount  [MK-XS-I-008]
2. where it sat → fromSeries  [NOT AN INPUT — another engine’s answer; see the dependency column]
3. where it might have gone → toSeries  [NOT AN INPUT — another engine’s answer; see the dependency column]
4. how far back → months  [NOT AN INPUT — a setting or a filter, not data anyone supplies]</t>
        </is>
      </c>
      <c r="K11" t="inlineStr">
        <is>
          <t>Percent · one decimal shown  [derived by rule — confirm]</t>
        </is>
      </c>
      <c r="L11" t="inlineStr">
        <is>
          <t>Without enough price history for both sides it declines the comparison rather than compare unequal periods.</t>
        </is>
      </c>
      <c r="M11" t="inlineStr">
        <is>
          <t>One figure per person — or per household when two people share one record  [derived by rule — confirm]</t>
        </is>
      </c>
      <c r="N11" t="inlineStr">
        <is>
          <t>As of today, from the latest figures held  [derived by rule — confirm]</t>
        </is>
      </c>
      <c r="O11" t="inlineStr">
        <is>
          <t>MK-XS-E-031 (PRICE_FACTOR_OVER_WINDOW) → By what multiple did this price move over the last N months?</t>
        </is>
      </c>
      <c r="P11" t="inlineStr">
        <is>
          <t>1. MK-PF-F-022 factorOverMonths → MK-PF-F-023 lookBack
2. MK-ST-F-055 round2 → MK-PF-F-023 lookBack</t>
        </is>
      </c>
      <c r="Q11" t="inlineStr">
        <is>
          <t>1. MK-PF-F-023 — Uses today's date from the device clock, so the answer changes by itself overnight.
2. MK-PF-F-023 — Rounds the answer to a whole number.
3. MK-PF-F-022 — Uses today's date from the device clock, so the answer changes by itself overnight.
4. MK-ST-F-055 — Multiplies by 100 — a percentage, or an option contract treated as 100 shares. Worth checking which.
5. MK-ST-F-055 — Rounds the answer to a whole number.</t>
        </is>
      </c>
      <c r="R11" t="inlineStr"/>
      <c r="S11" t="inlineStr"/>
      <c r="T11" t="inlineStr">
        <is>
          <t>NOT DETERMINED — no assumption recorded for this figure yet.</t>
        </is>
      </c>
      <c r="U11" t="inlineStr"/>
      <c r="V11" t="inlineStr"/>
      <c r="W11" t="inlineStr"/>
      <c r="X11" t="inlineStr"/>
      <c r="Y11" t="inlineStr">
        <is>
          <t>NOT DETERMINED</t>
        </is>
      </c>
      <c r="Z11" t="inlineStr">
        <is>
          <t>VERIFIED 2026-08-22</t>
        </is>
      </c>
      <c r="AA11"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t="inlineStr">
        <is>
          <t>AGREES — the figure's arithmetic and the arithmetic of the function it names say the same thing. Checked 2026-08-26.</t>
        </is>
      </c>
      <c r="AC11" t="inlineStr">
        <is>
          <t>HAS A FUNCTION — traceable from the screen to the code.</t>
        </is>
      </c>
      <c r="AD11" t="inlineStr"/>
      <c r="AE11" t="inlineStr">
        <is>
          <t>No finding on this row. That is not a statement that the row is right — only that nothing has been written against it.</t>
        </is>
      </c>
      <c r="AF11" t="inlineStr">
        <is>
          <t>ACTIVE</t>
        </is>
      </c>
      <c r="AG11" t="inlineStr">
        <is>
          <t>2026-08-27</t>
        </is>
      </c>
    </row>
    <row r="12">
      <c r="A12" t="inlineStr">
        <is>
          <t>MK-PF-M-011</t>
        </is>
      </c>
      <c r="B12" t="inlineStr">
        <is>
          <t>Performance</t>
        </is>
      </c>
      <c r="C12" t="inlineStr">
        <is>
          <t>/look-back</t>
        </is>
      </c>
      <c r="D12" t="inlineStr">
        <is>
          <t>Moved to &lt;fund&gt; it would be $X</t>
        </is>
      </c>
      <c r="E12" t="inlineStr">
        <is>
          <t>result.moved</t>
        </is>
      </c>
      <c r="F12" t="inlineStr">
        <is>
          <t>lookBack</t>
        </is>
      </c>
      <c r="G12" t="inlineStr">
        <is>
          <t>MK-PF-F-023</t>
        </is>
      </c>
      <c r="H12" t="inlineStr">
        <is>
          <t>stayed = value × (1 + return of what is held);  moved = value × (1 + return of the alternative);  difference = moved − stayed</t>
        </is>
      </c>
      <c r="I12"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2" t="inlineStr">
        <is>
          <t>1. the amount → amount  [MK-XS-I-008]
2. where it sat → fromSeries  [NOT AN INPUT — another engine’s answer; see the dependency column]
3. where it might have gone → toSeries  [NOT AN INPUT — another engine’s answer; see the dependency column]
4. how far back → months  [NOT AN INPUT — a setting or a filter, not data anyone supplies]</t>
        </is>
      </c>
      <c r="K12" t="inlineStr">
        <is>
          <t>US dollars · held to the cent · shown as whole dollars  [derived by rule — confirm]</t>
        </is>
      </c>
      <c r="L12" t="inlineStr">
        <is>
          <t>Without enough price history for both sides it declines the comparison rather than compare unequal periods.</t>
        </is>
      </c>
      <c r="M12" t="inlineStr">
        <is>
          <t>One figure per person — or per household when two people share one record  [derived by rule — confirm]</t>
        </is>
      </c>
      <c r="N12" t="inlineStr">
        <is>
          <t>As of today, from the latest figures held  [derived by rule — confirm]</t>
        </is>
      </c>
      <c r="O12" t="inlineStr">
        <is>
          <t>MK-XS-E-031 (PRICE_FACTOR_OVER_WINDOW) → By what multiple did this price move over the last N months?</t>
        </is>
      </c>
      <c r="P12" t="inlineStr">
        <is>
          <t>1. MK-PF-F-022 factorOverMonths → MK-PF-F-023 lookBack
2. MK-ST-F-055 round2 → MK-PF-F-023 lookBack</t>
        </is>
      </c>
      <c r="Q12" t="inlineStr">
        <is>
          <t>1. MK-PF-F-023 — Uses today's date from the device clock, so the answer changes by itself overnight.
2. MK-PF-F-023 — Rounds the answer to a whole number.
3. MK-PF-F-022 — Uses today's date from the device clock, so the answer changes by itself overnight.
4. MK-ST-F-055 — Multiplies by 100 — a percentage, or an option contract treated as 100 shares. Worth checking which.
5. MK-ST-F-055 — Rounds the answer to a whole number.</t>
        </is>
      </c>
      <c r="R12" t="inlineStr"/>
      <c r="S12" t="inlineStr"/>
      <c r="T12" t="inlineStr">
        <is>
          <t>NOT DETERMINED — no assumption recorded for this figure yet.</t>
        </is>
      </c>
      <c r="U12" t="inlineStr"/>
      <c r="V12" t="inlineStr"/>
      <c r="W12" t="inlineStr"/>
      <c r="X12" t="inlineStr"/>
      <c r="Y12" t="inlineStr">
        <is>
          <t>NOT DETERMINED</t>
        </is>
      </c>
      <c r="Z12" t="inlineStr">
        <is>
          <t>VERIFIED 2026-08-22</t>
        </is>
      </c>
      <c r="AA12"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t="inlineStr">
        <is>
          <t>AGREES — the figure's arithmetic and the arithmetic of the function it names say the same thing. Checked 2026-08-26.</t>
        </is>
      </c>
      <c r="AC12" t="inlineStr">
        <is>
          <t>HAS A FUNCTION — traceable from the screen to the code.</t>
        </is>
      </c>
      <c r="AD12" t="inlineStr"/>
      <c r="AE12" t="inlineStr">
        <is>
          <t>No finding on this row. That is not a statement that the row is right — only that nothing has been written against it.</t>
        </is>
      </c>
      <c r="AF12" t="inlineStr">
        <is>
          <t>ACTIVE</t>
        </is>
      </c>
      <c r="AG12" t="inlineStr">
        <is>
          <t>2026-08-27</t>
        </is>
      </c>
    </row>
    <row r="13">
      <c r="A13" t="inlineStr">
        <is>
          <t>MK-PF-M-012</t>
        </is>
      </c>
      <c r="B13" t="inlineStr">
        <is>
          <t>Performance</t>
        </is>
      </c>
      <c r="C13" t="inlineStr">
        <is>
          <t>/look-back</t>
        </is>
      </c>
      <c r="D13" t="inlineStr">
        <is>
          <t>Difference: $X more/less if you had moved</t>
        </is>
      </c>
      <c r="E13" t="inlineStr">
        <is>
          <t>result.difference</t>
        </is>
      </c>
      <c r="F13" t="inlineStr">
        <is>
          <t>lookBack</t>
        </is>
      </c>
      <c r="G13" t="inlineStr">
        <is>
          <t>MK-PF-F-023</t>
        </is>
      </c>
      <c r="H13" t="inlineStr">
        <is>
          <t>stayed = value × (1 + return of what is held);  moved = value × (1 + return of the alternative);  difference = moved − stayed</t>
        </is>
      </c>
      <c r="I13"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3" t="inlineStr">
        <is>
          <t>1. the amount → amount  [MK-XS-I-008]
2. where it sat → fromSeries  [NOT AN INPUT — another engine’s answer; see the dependency column]
3. where it might have gone → toSeries  [NOT AN INPUT — another engine’s answer; see the dependency column]
4. how far back → months  [NOT AN INPUT — a setting or a filter, not data anyone supplies]</t>
        </is>
      </c>
      <c r="K13" t="inlineStr">
        <is>
          <t>US dollars · held to the cent · shown as whole dollars  [derived by rule — confirm]</t>
        </is>
      </c>
      <c r="L13" t="inlineStr">
        <is>
          <t>Without enough price history for both sides it declines the comparison rather than compare unequal periods.</t>
        </is>
      </c>
      <c r="M13" t="inlineStr">
        <is>
          <t>One figure per person — or per household when two people share one record  [derived by rule — confirm]</t>
        </is>
      </c>
      <c r="N13" t="inlineStr">
        <is>
          <t>As of today, from the latest figures held  [derived by rule — confirm]</t>
        </is>
      </c>
      <c r="O13" t="inlineStr">
        <is>
          <t>MK-XS-E-031 (PRICE_FACTOR_OVER_WINDOW) → By what multiple did this price move over the last N months?</t>
        </is>
      </c>
      <c r="P13" t="inlineStr">
        <is>
          <t>1. MK-PF-F-022 factorOverMonths → MK-PF-F-023 lookBack
2. MK-ST-F-055 round2 → MK-PF-F-023 lookBack</t>
        </is>
      </c>
      <c r="Q13" t="inlineStr">
        <is>
          <t>1. MK-PF-F-023 — Uses today's date from the device clock, so the answer changes by itself overnight.
2. MK-PF-F-023 — Rounds the answer to a whole number.
3. MK-PF-F-022 — Uses today's date from the device clock, so the answer changes by itself overnight.
4. MK-ST-F-055 — Multiplies by 100 — a percentage, or an option contract treated as 100 shares. Worth checking which.
5. MK-ST-F-055 — Rounds the answer to a whole number.</t>
        </is>
      </c>
      <c r="R13" t="inlineStr"/>
      <c r="S13" t="inlineStr"/>
      <c r="T13" t="inlineStr">
        <is>
          <t>NOT DETERMINED — no assumption recorded for this figure yet.</t>
        </is>
      </c>
      <c r="U13" t="inlineStr"/>
      <c r="V13" t="inlineStr"/>
      <c r="W13" t="inlineStr"/>
      <c r="X13" t="inlineStr"/>
      <c r="Y13" t="inlineStr">
        <is>
          <t>NOT DETERMINED</t>
        </is>
      </c>
      <c r="Z13" t="inlineStr">
        <is>
          <t>VERIFIED 2026-08-22</t>
        </is>
      </c>
      <c r="AA13"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t="inlineStr">
        <is>
          <t>AGREES — the figure's arithmetic and the arithmetic of the function it names say the same thing. Checked 2026-08-26.</t>
        </is>
      </c>
      <c r="AC13" t="inlineStr">
        <is>
          <t>HAS A FUNCTION — traceable from the screen to the code.</t>
        </is>
      </c>
      <c r="AD13" t="inlineStr"/>
      <c r="AE13" t="inlineStr">
        <is>
          <t>No finding on this row. That is not a statement that the row is right — only that nothing has been written against it.</t>
        </is>
      </c>
      <c r="AF13" t="inlineStr">
        <is>
          <t>ACTIVE</t>
        </is>
      </c>
      <c r="AG13" t="inlineStr">
        <is>
          <t>2026-08-27</t>
        </is>
      </c>
    </row>
    <row r="14">
      <c r="A14" t="inlineStr"/>
      <c r="B14" t="inlineStr">
        <is>
          <t>Performance</t>
        </is>
      </c>
      <c r="C14" t="inlineStr">
        <is>
          <t>/add-account</t>
        </is>
      </c>
      <c r="D14" t="inlineStr">
        <is>
          <t>—</t>
        </is>
      </c>
      <c r="E14" t="inlineStr">
        <is>
          <t>—</t>
        </is>
      </c>
      <c r="F14" t="inlineStr">
        <is>
          <t>—</t>
        </is>
      </c>
      <c r="G14" t="inlineStr"/>
      <c r="H14" t="inlineStr"/>
      <c r="I14" t="inlineStr"/>
      <c r="J14" t="inlineStr"/>
      <c r="K14" t="inlineStr"/>
      <c r="L14" t="inlineStr"/>
      <c r="M14" t="inlineStr"/>
      <c r="N14" t="inlineStr"/>
      <c r="O14" t="inlineStr"/>
      <c r="P14" t="inlineStr"/>
      <c r="Q14" t="inlineStr"/>
      <c r="R14" t="inlineStr"/>
      <c r="S14" t="inlineStr"/>
      <c r="T14" t="inlineStr"/>
      <c r="U14" t="inlineStr"/>
      <c r="V14" t="inlineStr"/>
      <c r="W14" t="inlineStr"/>
      <c r="X14" t="inlineStr">
        <is>
          <t>NOT DETERMINED</t>
        </is>
      </c>
      <c r="Y14" t="inlineStr">
        <is>
          <t>READ 2026-08-22 — no calculated figure on this screen</t>
        </is>
      </c>
    </row>
    <row r="15">
      <c r="A15" t="inlineStr"/>
      <c r="B15" t="inlineStr">
        <is>
          <t>Performance</t>
        </is>
      </c>
      <c r="C15" t="inlineStr">
        <is>
          <t>/connect</t>
        </is>
      </c>
      <c r="D15" t="inlineStr">
        <is>
          <t>—</t>
        </is>
      </c>
      <c r="E15" t="inlineStr">
        <is>
          <t>—</t>
        </is>
      </c>
      <c r="F15" t="inlineStr">
        <is>
          <t>—</t>
        </is>
      </c>
      <c r="G15" t="inlineStr"/>
      <c r="H15" t="inlineStr"/>
      <c r="I15" t="inlineStr"/>
      <c r="J15" t="inlineStr"/>
      <c r="K15" t="inlineStr"/>
      <c r="L15" t="inlineStr"/>
      <c r="M15" t="inlineStr"/>
      <c r="N15" t="inlineStr"/>
      <c r="O15" t="inlineStr"/>
      <c r="P15" t="inlineStr"/>
      <c r="Q15" t="inlineStr"/>
      <c r="R15" t="inlineStr"/>
      <c r="S15" t="inlineStr"/>
      <c r="T15" t="inlineStr"/>
      <c r="U15" t="inlineStr"/>
      <c r="V15" t="inlineStr"/>
      <c r="W15" t="inlineStr"/>
      <c r="X15" t="inlineStr">
        <is>
          <t>NOT DETERMINED</t>
        </is>
      </c>
      <c r="Y15" t="inlineStr">
        <is>
          <t>READ 2026-08-22 — no calculated figure on this screen</t>
        </is>
      </c>
    </row>
    <row r="16">
      <c r="A16" t="inlineStr"/>
      <c r="B16" t="inlineStr">
        <is>
          <t>Performance</t>
        </is>
      </c>
      <c r="C16" t="inlineStr">
        <is>
          <t>/import-holdings</t>
        </is>
      </c>
      <c r="D16" t="inlineStr">
        <is>
          <t>—</t>
        </is>
      </c>
      <c r="E16" t="inlineStr">
        <is>
          <t>—</t>
        </is>
      </c>
      <c r="F16" t="inlineStr">
        <is>
          <t>—</t>
        </is>
      </c>
      <c r="G16" t="inlineStr"/>
      <c r="H16" t="inlineStr"/>
      <c r="I16" t="inlineStr"/>
      <c r="J16" t="inlineStr"/>
      <c r="K16" t="inlineStr"/>
      <c r="L16" t="inlineStr"/>
      <c r="M16" t="inlineStr"/>
      <c r="N16" t="inlineStr"/>
      <c r="O16" t="inlineStr"/>
      <c r="P16" t="inlineStr"/>
      <c r="Q16" t="inlineStr"/>
      <c r="R16" t="inlineStr"/>
      <c r="S16" t="inlineStr"/>
      <c r="T16" t="inlineStr"/>
      <c r="U16" t="inlineStr"/>
      <c r="V16" t="inlineStr"/>
      <c r="W16" t="inlineStr"/>
      <c r="X16" t="inlineStr">
        <is>
          <t>NOT DETERMINED</t>
        </is>
      </c>
      <c r="Y16" t="inlineStr">
        <is>
          <t>READ 2026-08-22 — no calculated figure on this screen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G43"/>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9"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0" customWidth="1" min="16" max="16"/>
    <col width="42" customWidth="1" min="17" max="17"/>
    <col width="42" customWidth="1" min="18" max="18"/>
    <col width="37" customWidth="1" min="19" max="19"/>
    <col width="22" customWidth="1" min="20" max="20"/>
    <col width="28" customWidth="1" min="21" max="21"/>
    <col width="36" customWidth="1" min="22" max="22"/>
    <col width="41" customWidth="1" min="23" max="23"/>
    <col width="41" customWidth="1" min="24" max="24"/>
    <col width="20" customWidth="1" min="25" max="25"/>
    <col width="18" customWidth="1" min="26" max="26"/>
    <col width="41" customWidth="1" min="27" max="27"/>
    <col width="42" customWidth="1" min="28" max="28"/>
    <col width="23" customWidth="1" min="29" max="29"/>
    <col width="37" customWidth="1" min="30" max="30"/>
    <col width="33" customWidth="1" min="31" max="31"/>
    <col width="32" customWidth="1" min="32" max="32"/>
    <col width="26" customWidth="1" min="33" max="33"/>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engine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row>
    <row r="2">
      <c r="A2" t="inlineStr">
        <is>
          <t>MK-PL-M-001</t>
        </is>
      </c>
      <c r="B2" t="inlineStr">
        <is>
          <t>Plan</t>
        </is>
      </c>
      <c r="C2" t="inlineStr">
        <is>
          <t>NA</t>
        </is>
      </c>
      <c r="D2" t="inlineStr">
        <is>
          <t>✓ What you have — already in: N accounts, $X counted</t>
        </is>
      </c>
      <c r="E2" t="inlineStr">
        <is>
          <t>door.credit.total</t>
        </is>
      </c>
      <c r="F2" t="inlineStr">
        <is>
          <t>planDoor</t>
        </is>
      </c>
      <c r="G2" t="inlineStr">
        <is>
          <t>MK-PL-F-026</t>
        </is>
      </c>
      <c r="H2" t="inlineStr">
        <is>
          <t>missing = the inputs with no answer;  counted = Σ(balances already in)</t>
        </is>
      </c>
      <c r="I2"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t="inlineStr">
        <is>
          <t>1. their age → birthYear or age  [MK-XS-I-017]
2. what they spend → monthlySpending  [MK-XS-I-024]
3. money that counts toward retirement → NEST_EGG  [NOT AN INPUT — another engine’s answer; see the dependency column]</t>
        </is>
      </c>
      <c r="K2" t="inlineStr">
        <is>
          <t>A count · whole units, except crypto which keeps its fractions  [derived by rule — confirm]</t>
        </is>
      </c>
      <c r="L2" t="inlineStr">
        <is>
          <t>This engine IS the refusal: it names what is missing and what is already counted.</t>
        </is>
      </c>
      <c r="M2" t="inlineStr">
        <is>
          <t>One figure per account  [derived by rule — confirm]</t>
        </is>
      </c>
      <c r="N2" t="inlineStr">
        <is>
          <t>As of today, from the latest figures held  [derived by rule — confirm]</t>
        </is>
      </c>
      <c r="O2" t="inlineStr">
        <is>
          <t>MK-XS-E-002 (NEST_EGG) → What is my retirement pot worth?</t>
        </is>
      </c>
      <c r="P2"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MK-ST-F-055 round2 → MK-NW-F-032 earmarkedAmount → MK-NW-F-033 retirementEarmarkedValue → MK-PL-F-026 planDoor
4. MK-CF-F-155 cash → MK-NW-F-008 incomeBearingClassOf → MK-NW-F-011 assetClassOf → MK-NW-F-031 primaryCarIdOf → MK-NW-F-033 retirementEarmarkedValue → MK-PL-F-026 planDoor
5. MK-ST-F-010 nameEvidence → MK-NW-F-008 incomeBearingClassOf → MK-NW-F-011 assetClassOf → MK-NW-F-031 primaryCarIdOf → MK-NW-F-033 retirementEarmarkedValue → MK-PL-F-026 planDoor
6. MK-ST-F-055 round2 → MK-NW-F-033 retirementEarmarkedValue → MK-PL-F-026 planDoor
7. MK-ST-F-055 round2 → MK-PL-F-026 planDoor</t>
        </is>
      </c>
      <c r="Q2" t="inlineStr">
        <is>
          <t>1. MK-PL-F-026 — If balance is missing it counts as zero, so nothing recorded and a real zero look the same.
2. MK-ST-F-055 — Multiplies by 100 — a percentage, or an option contract treated as 100 shares. Worth checking which.
3. MK-ST-F-055 — Rounds the answer to a whole number.
4. MK-NW-F-032 — If balance is missing it counts as zero, so nothing recorded and a real zero look the same.
5. MK-NW-F-031 — If balance is missing it counts as zero, so nothing recorded and a real zero look the same.
6. MK-NW-F-031 — Leaves some rows out of the answer — check which.</t>
        </is>
      </c>
      <c r="R2" t="inlineStr"/>
      <c r="S2" t="inlineStr"/>
      <c r="T2" t="inlineStr">
        <is>
          <t>NOT DETERMINED — no assumption recorded for this figure yet.</t>
        </is>
      </c>
      <c r="U2" t="inlineStr"/>
      <c r="V2" t="inlineStr"/>
      <c r="W2" t="inlineStr"/>
      <c r="X2" t="inlineStr"/>
      <c r="Y2" t="inlineStr">
        <is>
          <t>NOT DETERMINED</t>
        </is>
      </c>
      <c r="Z2" t="inlineStr">
        <is>
          <t>VERIFIED 2026-08-22</t>
        </is>
      </c>
      <c r="AA2"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t="inlineStr">
        <is>
          <t>AGREES — the figure's arithmetic and the arithmetic of the function it names say the same thing. Checked 2026-08-26.</t>
        </is>
      </c>
      <c r="AC2" t="inlineStr">
        <is>
          <t>HAS A FUNCTION — traceable from the screen to the code.</t>
        </is>
      </c>
      <c r="AD2" t="inlineStr"/>
      <c r="AE2" t="inlineStr">
        <is>
          <t>No finding on this row. That is not a statement that the row is right — only that nothing has been written against it.</t>
        </is>
      </c>
      <c r="AF2" t="inlineStr">
        <is>
          <t>ACTIVE</t>
        </is>
      </c>
      <c r="AG2" t="inlineStr">
        <is>
          <t>2026-08-27</t>
        </is>
      </c>
    </row>
    <row r="3">
      <c r="A3" t="inlineStr">
        <is>
          <t>MK-PL-M-002</t>
        </is>
      </c>
      <c r="B3" t="inlineStr">
        <is>
          <t>Plan</t>
        </is>
      </c>
      <c r="C3" t="inlineStr">
        <is>
          <t>NA</t>
        </is>
      </c>
      <c r="D3" t="inlineStr">
        <is>
          <t>Your odds — can't work them out yet. Add &lt;what&gt; below.</t>
        </is>
      </c>
      <c r="E3" t="inlineStr">
        <is>
          <t>door.missing</t>
        </is>
      </c>
      <c r="F3" t="inlineStr">
        <is>
          <t>planDoor</t>
        </is>
      </c>
      <c r="G3" t="inlineStr">
        <is>
          <t>MK-PL-F-026</t>
        </is>
      </c>
      <c r="H3" t="inlineStr">
        <is>
          <t>missing = the inputs with no answer;  counted = Σ(balances already in)</t>
        </is>
      </c>
      <c r="I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t="inlineStr">
        <is>
          <t>1. their age → birthYear or age  [MK-XS-I-017]
2. what they spend → monthlySpending  [MK-XS-I-024]
3. money that counts toward retirement → NEST_EGG  [NOT AN INPUT — another engine’s answer; see the dependency column]</t>
        </is>
      </c>
      <c r="K3" t="inlineStr">
        <is>
          <t>Percent · rounded to the nearest 5 · a real 100 or 0 shown literally  [derived by rule — confirm]</t>
        </is>
      </c>
      <c r="L3" t="inlineStr">
        <is>
          <t>This engine IS the refusal: it names what is missing and what is already counted.</t>
        </is>
      </c>
      <c r="M3" t="inlineStr">
        <is>
          <t>One figure per person — or per household when two people share one record  [derived by rule — confirm]</t>
        </is>
      </c>
      <c r="N3" t="inlineStr">
        <is>
          <t>As of today, from the latest figures held  [derived by rule — confirm]</t>
        </is>
      </c>
      <c r="O3" t="inlineStr">
        <is>
          <t>MK-XS-E-002 (NEST_EGG) → What is my retirement pot worth?</t>
        </is>
      </c>
      <c r="P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MK-ST-F-055 round2 → MK-NW-F-032 earmarkedAmount → MK-NW-F-033 retirementEarmarkedValue → MK-PL-F-026 planDoor
4. MK-CF-F-155 cash → MK-NW-F-008 incomeBearingClassOf → MK-NW-F-011 assetClassOf → MK-NW-F-031 primaryCarIdOf → MK-NW-F-033 retirementEarmarkedValue → MK-PL-F-026 planDoor
5. MK-ST-F-010 nameEvidence → MK-NW-F-008 incomeBearingClassOf → MK-NW-F-011 assetClassOf → MK-NW-F-031 primaryCarIdOf → MK-NW-F-033 retirementEarmarkedValue → MK-PL-F-026 planDoor
6. MK-ST-F-055 round2 → MK-NW-F-033 retirementEarmarkedValue → MK-PL-F-026 planDoor
7. MK-ST-F-055 round2 → MK-PL-F-026 planDoor</t>
        </is>
      </c>
      <c r="Q3" t="inlineStr">
        <is>
          <t>1. MK-PL-F-026 — If balance is missing it counts as zero, so nothing recorded and a real zero look the same.
2. MK-ST-F-055 — Multiplies by 100 — a percentage, or an option contract treated as 100 shares. Worth checking which.
3. MK-ST-F-055 — Rounds the answer to a whole number.
4. MK-NW-F-032 — If balance is missing it counts as zero, so nothing recorded and a real zero look the same.
5. MK-NW-F-031 — If balance is missing it counts as zero, so nothing recorded and a real zero look the same.
6. MK-NW-F-031 — Leaves some rows out of the answer — check which.</t>
        </is>
      </c>
      <c r="R3" t="inlineStr"/>
      <c r="S3" t="inlineStr"/>
      <c r="T3" t="inlineStr">
        <is>
          <t>NOT DETERMINED — no assumption recorded for this figure yet.</t>
        </is>
      </c>
      <c r="U3" t="inlineStr"/>
      <c r="V3" t="inlineStr"/>
      <c r="W3" t="inlineStr"/>
      <c r="X3" t="inlineStr"/>
      <c r="Y3" t="inlineStr">
        <is>
          <t>NOT DETERMINED</t>
        </is>
      </c>
      <c r="Z3" t="inlineStr">
        <is>
          <t>VERIFIED 2026-08-22</t>
        </is>
      </c>
      <c r="AA3"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t="inlineStr">
        <is>
          <t>AGREES — the figure's arithmetic and the arithmetic of the function it names say the same thing. Checked 2026-08-26.</t>
        </is>
      </c>
      <c r="AC3" t="inlineStr">
        <is>
          <t>HAS A FUNCTION — traceable from the screen to the code.</t>
        </is>
      </c>
      <c r="AD3" t="inlineStr"/>
      <c r="AE3" t="inlineStr">
        <is>
          <t>No finding on this row. That is not a statement that the row is right — only that nothing has been written against it.</t>
        </is>
      </c>
      <c r="AF3" t="inlineStr">
        <is>
          <t>ACTIVE</t>
        </is>
      </c>
      <c r="AG3" t="inlineStr">
        <is>
          <t>2026-08-27</t>
        </is>
      </c>
    </row>
    <row r="4">
      <c r="A4" t="inlineStr">
        <is>
          <t>MK-PL-M-003</t>
        </is>
      </c>
      <c r="B4" t="inlineStr">
        <is>
          <t>Plan</t>
        </is>
      </c>
      <c r="C4" t="inlineStr">
        <is>
          <t>NA</t>
        </is>
      </c>
      <c r="D4" t="inlineStr">
        <is>
          <t>YOUR RETIREMENT PAYCHECK — each guaranteed source</t>
        </is>
      </c>
      <c r="E4" t="inlineStr">
        <is>
          <t>g.amount</t>
        </is>
      </c>
      <c r="F4" t="inlineStr">
        <is>
          <t>NOT ON RECORD — no function is recorded for this figure</t>
        </is>
      </c>
      <c r="G4" t="inlineStr"/>
      <c r="H4" t="inlineStr">
        <is>
          <t>for each month: guaranteed total = Σ(streams live that month);  paycheck = guaranteed total + safe draw</t>
        </is>
      </c>
      <c r="I4" t="inlineStr">
        <is>
          <t>Builds the retirement paycheck month by month: what is guaranteed that month, plus what can safely be drawn from savings.</t>
        </is>
      </c>
      <c r="J4" t="inlineStr">
        <is>
          <t>NOT DETERMINED — no input list on record for this engine</t>
        </is>
      </c>
      <c r="K4" t="inlineStr">
        <is>
          <t>US dollars · held to the cent · shown as whole dollars  [derived by rule — confirm]</t>
        </is>
      </c>
      <c r="L4" t="inlineStr">
        <is>
          <t>Adds up to $0 when there is nothing to add. Zero and "nothing recorded yet" look identical on screen — worth a decision.</t>
        </is>
      </c>
      <c r="M4" t="inlineStr">
        <is>
          <t>One figure per person — or per household when two people share one record  [derived by rule — confirm]</t>
        </is>
      </c>
      <c r="N4" t="inlineStr">
        <is>
          <t>From today to the retirement age in the plan  [derived by rule — confirm]</t>
        </is>
      </c>
      <c r="O4" t="inlineStr">
        <is>
          <t>NOT DETERMINED</t>
        </is>
      </c>
      <c r="P4" t="inlineStr">
        <is>
          <t>No function on record — nothing to chain</t>
        </is>
      </c>
      <c r="Q4" t="inlineStr">
        <is>
          <t>No function on record — assumptions unknown</t>
        </is>
      </c>
      <c r="R4" t="inlineStr"/>
      <c r="S4" t="inlineStr"/>
      <c r="T4" t="inlineStr">
        <is>
          <t>NOT DETERMINED — no assumption recorded for this figure yet.</t>
        </is>
      </c>
      <c r="U4" t="inlineStr"/>
      <c r="V4" t="inlineStr"/>
      <c r="W4" t="inlineStr"/>
      <c r="X4" t="inlineStr"/>
      <c r="Y4" t="inlineStr">
        <is>
          <t>NOT DETERMINED</t>
        </is>
      </c>
      <c r="Z4" t="inlineStr">
        <is>
          <t>VERIFIED 2026-08-22</t>
        </is>
      </c>
      <c r="AA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t="inlineStr">
        <is>
          <t>B24 [NOT COMPARABLE] — This figure names no function, so its formula cannot be checked against anything. 69 of the 163 figures are in this position — the audit covers the 94 that name one.</t>
        </is>
      </c>
      <c r="AC4"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t="inlineStr"/>
      <c r="AE4" t="inlineStr">
        <is>
          <t>No finding on this row. That is not a statement that the row is right — only that nothing has been written against it.</t>
        </is>
      </c>
      <c r="AF4" t="inlineStr">
        <is>
          <t>ACTIVE</t>
        </is>
      </c>
      <c r="AG4" t="inlineStr">
        <is>
          <t>2026-08-27</t>
        </is>
      </c>
    </row>
    <row r="5">
      <c r="A5" t="inlineStr">
        <is>
          <t>MK-PL-M-004</t>
        </is>
      </c>
      <c r="B5" t="inlineStr">
        <is>
          <t>Plan</t>
        </is>
      </c>
      <c r="C5" t="inlineStr">
        <is>
          <t>NA</t>
        </is>
      </c>
      <c r="D5">
        <f> Guaranteed</f>
        <v/>
      </c>
      <c r="E5" t="inlineStr">
        <is>
          <t>payMonth.guaranteedTotal</t>
        </is>
      </c>
      <c r="F5" t="inlineStr">
        <is>
          <t>NOT ON RECORD — no function is recorded for this figure</t>
        </is>
      </c>
      <c r="G5" t="inlineStr"/>
      <c r="H5" t="inlineStr">
        <is>
          <t>for each month: guaranteed total = Σ(streams live that month);  paycheck = guaranteed total + safe draw</t>
        </is>
      </c>
      <c r="I5" t="inlineStr">
        <is>
          <t>Builds the retirement paycheck month by month: what is guaranteed that month, plus what can safely be drawn from savings.</t>
        </is>
      </c>
      <c r="J5" t="inlineStr">
        <is>
          <t>NOT DETERMINED — no input list on record for this engine</t>
        </is>
      </c>
      <c r="K5" t="inlineStr">
        <is>
          <t>US dollars · held to the cent · shown as whole dollars  [derived by rule — confirm]</t>
        </is>
      </c>
      <c r="L5" t="inlineStr">
        <is>
          <t>Adds up to $0 when there is nothing to add. Zero and "nothing recorded yet" look identical on screen — worth a decision.</t>
        </is>
      </c>
      <c r="M5" t="inlineStr">
        <is>
          <t>One figure per person — or per household when two people share one record  [derived by rule — confirm]</t>
        </is>
      </c>
      <c r="N5" t="inlineStr">
        <is>
          <t>As of today, from the latest figures held  [derived by rule — confirm]</t>
        </is>
      </c>
      <c r="O5" t="inlineStr">
        <is>
          <t>NOT DETERMINED</t>
        </is>
      </c>
      <c r="P5" t="inlineStr">
        <is>
          <t>No function on record — nothing to chain</t>
        </is>
      </c>
      <c r="Q5" t="inlineStr">
        <is>
          <t>No function on record — assumptions unknown</t>
        </is>
      </c>
      <c r="R5" t="inlineStr"/>
      <c r="S5" t="inlineStr"/>
      <c r="T5" t="inlineStr">
        <is>
          <t>NOT DETERMINED — no assumption recorded for this figure yet.</t>
        </is>
      </c>
      <c r="U5" t="inlineStr"/>
      <c r="V5" t="inlineStr"/>
      <c r="W5" t="inlineStr"/>
      <c r="X5" t="inlineStr"/>
      <c r="Y5" t="inlineStr">
        <is>
          <t>NOT DETERMINED</t>
        </is>
      </c>
      <c r="Z5" t="inlineStr">
        <is>
          <t>VERIFIED 2026-08-22</t>
        </is>
      </c>
      <c r="AA5"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t="inlineStr">
        <is>
          <t>B24 [NOT COMPARABLE] — This figure names no function, so its formula cannot be checked against anything. 69 of the 163 figures are in this position — the audit covers the 94 that name one.</t>
        </is>
      </c>
      <c r="AC5"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t="inlineStr"/>
      <c r="AE5" t="inlineStr">
        <is>
          <t>A49 — OPEN since 2026-08-26 — nothing has closed this. It is not known to be wrong; it is known to be unaddressed.</t>
        </is>
      </c>
      <c r="AF5" t="inlineStr">
        <is>
          <t>ACTIVE</t>
        </is>
      </c>
      <c r="AG5" t="inlineStr">
        <is>
          <t>2026-08-27</t>
        </is>
      </c>
    </row>
    <row r="6">
      <c r="A6" t="inlineStr">
        <is>
          <t>MK-PL-M-005</t>
        </is>
      </c>
      <c r="B6" t="inlineStr">
        <is>
          <t>Plan</t>
        </is>
      </c>
      <c r="C6" t="inlineStr">
        <is>
          <t>NA</t>
        </is>
      </c>
      <c r="D6" t="inlineStr">
        <is>
          <t>+ Draw from savings</t>
        </is>
      </c>
      <c r="E6" t="inlineStr">
        <is>
          <t>payMonth.safeDraw</t>
        </is>
      </c>
      <c r="F6" t="inlineStr">
        <is>
          <t>NOT ON RECORD — no function is recorded for this figure</t>
        </is>
      </c>
      <c r="G6" t="inlineStr"/>
      <c r="H6" t="inlineStr">
        <is>
          <t>for each month: guaranteed total = Σ(streams live that month);  paycheck = guaranteed total + safe draw</t>
        </is>
      </c>
      <c r="I6" t="inlineStr">
        <is>
          <t>Builds the retirement paycheck month by month: what is guaranteed that month, plus what can safely be drawn from savings.</t>
        </is>
      </c>
      <c r="J6" t="inlineStr">
        <is>
          <t>NOT DETERMINED — no input list on record for this engine</t>
        </is>
      </c>
      <c r="K6" t="inlineStr">
        <is>
          <t>US dollars · held to the cent · shown as whole dollars  [derived by rule — confirm]</t>
        </is>
      </c>
      <c r="L6" t="inlineStr">
        <is>
          <t>Adds up to $0 when there is nothing to add. Zero and "nothing recorded yet" look identical on screen — worth a decision.</t>
        </is>
      </c>
      <c r="M6" t="inlineStr">
        <is>
          <t>One figure per person — or per household when two people share one record  [derived by rule — confirm]</t>
        </is>
      </c>
      <c r="N6" t="inlineStr">
        <is>
          <t>As of today, from the latest figures held  [derived by rule — confirm]</t>
        </is>
      </c>
      <c r="O6" t="inlineStr">
        <is>
          <t>NOT DETERMINED</t>
        </is>
      </c>
      <c r="P6" t="inlineStr">
        <is>
          <t>No function on record — nothing to chain</t>
        </is>
      </c>
      <c r="Q6" t="inlineStr">
        <is>
          <t>No function on record — assumptions unknown</t>
        </is>
      </c>
      <c r="R6" t="inlineStr"/>
      <c r="S6" t="inlineStr"/>
      <c r="T6" t="inlineStr">
        <is>
          <t>NOT DETERMINED — no assumption recorded for this figure yet.</t>
        </is>
      </c>
      <c r="U6" t="inlineStr"/>
      <c r="V6" t="inlineStr"/>
      <c r="W6" t="inlineStr"/>
      <c r="X6" t="inlineStr"/>
      <c r="Y6" t="inlineStr">
        <is>
          <t>NOT DETERMINED</t>
        </is>
      </c>
      <c r="Z6" t="inlineStr">
        <is>
          <t>VERIFIED 2026-08-22</t>
        </is>
      </c>
      <c r="AA6"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t="inlineStr">
        <is>
          <t>B24 [NOT COMPARABLE] — This figure names no function, so its formula cannot be checked against anything. 69 of the 163 figures are in this position — the audit covers the 94 that name one.</t>
        </is>
      </c>
      <c r="AC6"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t="inlineStr"/>
      <c r="AE6" t="inlineStr">
        <is>
          <t>No finding on this row. That is not a statement that the row is right — only that nothing has been written against it.</t>
        </is>
      </c>
      <c r="AF6" t="inlineStr">
        <is>
          <t>ACTIVE</t>
        </is>
      </c>
      <c r="AG6" t="inlineStr">
        <is>
          <t>2026-08-27</t>
        </is>
      </c>
    </row>
    <row r="7">
      <c r="A7" t="inlineStr">
        <is>
          <t>MK-PL-M-006</t>
        </is>
      </c>
      <c r="B7" t="inlineStr">
        <is>
          <t>Plan</t>
        </is>
      </c>
      <c r="C7" t="inlineStr">
        <is>
          <t>NA</t>
        </is>
      </c>
      <c r="D7" t="inlineStr">
        <is>
          <t>Your paycheck $X/mo</t>
        </is>
      </c>
      <c r="E7" t="inlineStr">
        <is>
          <t>paycheckTotal</t>
        </is>
      </c>
      <c r="F7" t="inlineStr">
        <is>
          <t>Worked out on the screen itself — no function behind it</t>
        </is>
      </c>
      <c r="G7" t="inlineStr"/>
      <c r="H7" t="inlineStr">
        <is>
          <t>paycheck = guaranteed income + draw from savings</t>
        </is>
      </c>
      <c r="I7" t="inlineStr">
        <is>
          <t>Worked out on the screen itself, with no engine behind it — a place a second definition can appear.</t>
        </is>
      </c>
      <c r="J7" t="inlineStr">
        <is>
          <t>NOT DETERMINED — no input list on record for this engine</t>
        </is>
      </c>
      <c r="K7" t="inlineStr">
        <is>
          <t>US dollars · held to the cent · shown as whole dollars  [derived by rule — confirm]</t>
        </is>
      </c>
      <c r="L7" t="inlineStr">
        <is>
          <t>Inherits the refusal of the figures it is built from: if either side is missing, this line is not shown.</t>
        </is>
      </c>
      <c r="M7" t="inlineStr">
        <is>
          <t>One figure per person — or per household when two people share one record  [derived by rule — confirm]</t>
        </is>
      </c>
      <c r="N7" t="inlineStr">
        <is>
          <t>As of today, from the latest figures held  [derived by rule — confirm]</t>
        </is>
      </c>
      <c r="O7" t="inlineStr">
        <is>
          <t>NOT DETERMINED</t>
        </is>
      </c>
      <c r="P7" t="inlineStr">
        <is>
          <t>No function on record — nothing to chain</t>
        </is>
      </c>
      <c r="Q7" t="inlineStr">
        <is>
          <t>No function on record — assumptions unknown</t>
        </is>
      </c>
      <c r="R7" t="inlineStr"/>
      <c r="S7" t="inlineStr"/>
      <c r="T7" t="inlineStr">
        <is>
          <t>NOT DETERMINED — no assumption recorded for this figure yet.</t>
        </is>
      </c>
      <c r="U7" t="inlineStr"/>
      <c r="V7" t="inlineStr"/>
      <c r="W7" t="inlineStr"/>
      <c r="X7" t="inlineStr"/>
      <c r="Y7" t="inlineStr">
        <is>
          <t>NOT DETERMINED</t>
        </is>
      </c>
      <c r="Z7" t="inlineStr">
        <is>
          <t>VERIFIED 2026-08-22</t>
        </is>
      </c>
      <c r="AA7"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t="inlineStr">
        <is>
          <t>B24 [NOT COMPARABLE] — This figure names no function, so its formula cannot be checked against anything. 69 of the 163 figures are in this position — the audit covers the 94 that name one.</t>
        </is>
      </c>
      <c r="AC7"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t="inlineStr"/>
      <c r="AE7" t="inlineStr">
        <is>
          <t>No finding on this row. That is not a statement that the row is right — only that nothing has been written against it.</t>
        </is>
      </c>
      <c r="AF7" t="inlineStr">
        <is>
          <t>ACTIVE</t>
        </is>
      </c>
      <c r="AG7" t="inlineStr">
        <is>
          <t>2026-08-27</t>
        </is>
      </c>
    </row>
    <row r="8">
      <c r="A8" t="inlineStr">
        <is>
          <t>MK-PL-M-007</t>
        </is>
      </c>
      <c r="B8" t="inlineStr">
        <is>
          <t>Plan</t>
        </is>
      </c>
      <c r="C8" t="inlineStr">
        <is>
          <t>NA</t>
        </is>
      </c>
      <c r="D8" t="inlineStr">
        <is>
          <t>SAVED SCENARIOS (n)</t>
        </is>
      </c>
      <c r="E8" t="inlineStr">
        <is>
          <t>scenarios.length</t>
        </is>
      </c>
      <c r="F8" t="inlineStr">
        <is>
          <t>NOT ON RECORD — no function is recorded for this figure</t>
        </is>
      </c>
      <c r="G8" t="inlineStr"/>
      <c r="H8" t="inlineStr">
        <is>
          <t>count of scenarios saved</t>
        </is>
      </c>
      <c r="I8" t="inlineStr">
        <is>
          <t>How many what-if scenarios have been saved.</t>
        </is>
      </c>
      <c r="J8" t="inlineStr">
        <is>
          <t>NOT DETERMINED — no input list on record for this engine</t>
        </is>
      </c>
      <c r="K8" t="inlineStr">
        <is>
          <t>US dollars · held to the cent · shown as whole dollars  [derived by rule — confirm]</t>
        </is>
      </c>
      <c r="L8" t="inlineStr">
        <is>
          <t>NOT DETERMINED — this engine has not been read for its refusal yet.</t>
        </is>
      </c>
      <c r="M8" t="inlineStr">
        <is>
          <t>One figure per person — or per household when two people share one record  [derived by rule — confirm]</t>
        </is>
      </c>
      <c r="N8" t="inlineStr">
        <is>
          <t>As of today, from the latest figures held  [derived by rule — confirm]</t>
        </is>
      </c>
      <c r="O8" t="inlineStr">
        <is>
          <t>NOT DETERMINED</t>
        </is>
      </c>
      <c r="P8" t="inlineStr">
        <is>
          <t>No function on record — nothing to chain</t>
        </is>
      </c>
      <c r="Q8" t="inlineStr">
        <is>
          <t>No function on record — assumptions unknown</t>
        </is>
      </c>
      <c r="R8" t="inlineStr"/>
      <c r="S8" t="inlineStr"/>
      <c r="T8" t="inlineStr">
        <is>
          <t>NOT DETERMINED — no assumption recorded for this figure yet.</t>
        </is>
      </c>
      <c r="U8" t="inlineStr"/>
      <c r="V8" t="inlineStr"/>
      <c r="W8" t="inlineStr"/>
      <c r="X8" t="inlineStr"/>
      <c r="Y8" t="inlineStr">
        <is>
          <t>NOT DETERMINED</t>
        </is>
      </c>
      <c r="Z8" t="inlineStr">
        <is>
          <t>VERIFIED 2026-08-22</t>
        </is>
      </c>
      <c r="AA8"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t="inlineStr">
        <is>
          <t>B24 [NOT COMPARABLE] — This figure names no function, so its formula cannot be checked against anything. 69 of the 163 figures are in this position — the audit covers the 94 that name one.</t>
        </is>
      </c>
      <c r="AC8"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t="inlineStr"/>
      <c r="AE8" t="inlineStr">
        <is>
          <t>No finding on this row. That is not a statement that the row is right — only that nothing has been written against it.</t>
        </is>
      </c>
      <c r="AF8" t="inlineStr">
        <is>
          <t>ACTIVE</t>
        </is>
      </c>
      <c r="AG8" t="inlineStr">
        <is>
          <t>2026-08-27</t>
        </is>
      </c>
    </row>
    <row r="9">
      <c r="A9" t="inlineStr">
        <is>
          <t>MK-PL-M-008</t>
        </is>
      </c>
      <c r="B9" t="inlineStr">
        <is>
          <t>Plan</t>
        </is>
      </c>
      <c r="C9" t="inlineStr">
        <is>
          <t>/will-it-last</t>
        </is>
      </c>
      <c r="D9" t="inlineStr">
        <is>
          <t>What you have (nest egg)</t>
        </is>
      </c>
      <c r="E9" t="inlineStr">
        <is>
          <t>inp.start_balance</t>
        </is>
      </c>
      <c r="F9" t="inlineStr">
        <is>
          <t>willItLastInputs</t>
        </is>
      </c>
      <c r="G9" t="inlineStr">
        <is>
          <t>MK-PL-F-067</t>
        </is>
      </c>
      <c r="H9" t="inlineStr">
        <is>
          <t>the inputs one plan is built from: what is held, what will be spent, what is guaranteed, and what is still being saved</t>
        </is>
      </c>
      <c r="I9"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9" t="inlineStr">
        <is>
          <t>1. their age → birthYear  [MK-XS-I-017]
2. the pot → NEST_EGG  [NOT AN INPUT — another engine’s answer; see the dependency column]
3. return and swing → EXPECTED_RETURN_BLENDED, EXPECTED_SWING_BLENDED  [NOT AN INPUT — another engine’s answer; see the dependency column]
4. spending → RETIREMENT_SPENDING  [MK-XS-I-024]
5. guaranteed income → RETIREMENT_INCOME, SS_BENEFIT_AT_AGE  [NOT AN INPUT — another engine’s answer; see the dependency column]
6. money to leave behind → legacyTarget  [MK-XS-I-047]
7. their own overrides → the Plan screen  [MK-XS-I-044]</t>
        </is>
      </c>
      <c r="K9" t="inlineStr">
        <is>
          <t>Percent · rounded to the nearest 5 · a real 100 or 0 shown literally  [derived by rule — confirm]</t>
        </is>
      </c>
      <c r="L9" t="inlineStr">
        <is>
          <t>NOT DETERMINED — this engine has not been read for its refusal yet.</t>
        </is>
      </c>
      <c r="M9" t="inlineStr">
        <is>
          <t>One figure per person — or per household when two people share one record  [derived by rule — confirm]</t>
        </is>
      </c>
      <c r="N9" t="inlineStr">
        <is>
          <t>From today to the retirement age in the plan  [derived by rule — confirm]</t>
        </is>
      </c>
      <c r="O9" t="inlineStr">
        <is>
          <t>1. MK-XS-E-032 (EFFECTIVE_TAX_RATE) → What share of my income actually goes in tax?
2. MK-XS-E-033 (EXPECTED_RETURN_BLENDED) → What return should I expect on everything I hold together?
3. MK-XS-E-034 (EXPECTED_SWING_BLENDED) → How much does a year's return typically swing around that average?
4. MK-XS-E-035 (FILING_STATUS) → How does this person file?
5. MK-XS-E-036 (GUARANTEED_OUTSIDE_STREAMS) → The plan's guaranteed-income input as separate streams of OUTSIDE money only. Answers: zer
6. MK-XS-E-037 (MONTHLY_SAVING) → How much goes in each month?
7. MK-XS-E-002 (NEST_EGG) → What is my retirement pot worth?
8. MK-XS-E-038 (REPORTED_RETURN) → What return did the person say they actually earned over the past year?
9. MK-XS-E-004 (RETIREMENT_SPENDING) → What will be spent each month in retirement?
10. MK-XS-E-039 (SPLIT_BY_HOW_IT_IS_TAXED) → How is the retirement money split by the tax that will be owed on it?
11. MK-XS-E-040 (SS_BENEFIT_AT_AGE) → The monthly Social Security check at a chosen claim age, in today's dollars. Answers: a wh
12. MK-XS-E-041 (STATE_TAX_RATE) → What state tax rate applies?
13. MK-XS-E-042 (SWING_FROM_RETURN) → How much might a year's return swing, judged from the return alone?
14. MK-XS-E-043 (TAX_OVER65_COUNT) → How many people on the tax return are 65 or older — the input the over-65 deduction needs
15. MK-XS-E-044 (TOTAL_INCOME) → What is the whole household income for the year, before tax?</t>
        </is>
      </c>
      <c r="P9" t="inlineStr">
        <is>
          <t>1. MK-NW-F-008 incomeBearingClassOf → MK-NW-F-011 assetClassOf → MK-NW-F-007 assetKind → MK-NW-F-034 benchmarkReturn → MK-NW-F-037 blendedReturn → MK-PL-F-067 willItLastInputs
2. MK-NW-F-008 incomeBearingClassOf → MK-NW-F-011 assetClassOf → MK-NW-F-030 earmarkDefault → MK-NW-F-032 earmarkedAmount → MK-NW-F-037 blendedReturn → MK-PL-F-067 willItLastInputs
3. MK-NW-F-013 realEstateUseOf → MK-NW-F-030 earmarkDefault → MK-NW-F-032 earmarkedAmount → MK-NW-F-037 blendedReturn → MK-PL-F-067 willItLastInputs
4. MK-ST-F-055 round2 → MK-NW-F-032 earmarkedAmount → MK-NW-F-037 blendedReturn → MK-PL-F-067 willItLastInputs
5. MK-CF-F-155 cash → MK-NW-F-008 incomeBearingClassOf → MK-NW-F-011 assetClassOf → MK-NW-F-031 primaryCarIdOf → MK-NW-F-037 blendedReturn → MK-PL-F-067 willItLastInputs
6. MK-ST-F-010 nameEvidence → MK-NW-F-008 incomeBearingClassOf → MK-NW-F-011 assetClassOf → MK-NW-F-031 primaryCarIdOf → MK-NW-F-037 blendedReturn → MK-PL-F-067 willItLastInputs
7. MK-NW-F-008 incomeBearingClassOf → MK-NW-F-011 assetClassOf → MK-NW-F-030 earmarkDefault → MK-NW-F-032 earmarkedAmount → MK-NW-F-035 blendedVolatility → MK-PL-F-067 willItLastInputs
8. MK-NW-F-013 realEstateUseOf → MK-NW-F-030 earmarkDefault → MK-NW-F-032 earmarkedAmount → MK-NW-F-035 blendedVolatility → MK-PL-F-067 willItLastInputs
9. … and 5 more paths</t>
        </is>
      </c>
      <c r="Q9" t="inlineStr">
        <is>
          <t>1. MK-PL-F-067 — If inflation rate is missing it uses 2.5.
2. MK-PL-F-067 — If social security claim age is missing it uses 67.
3. MK-PL-F-067 — If monthly is missing it uses 0.
4. MK-PL-F-067 — If salary growth is missing it uses 0.
5. MK-PL-F-067 — Turns a monthly figure into a year by multiplying by twelve.
6. MK-PL-F-067 — Uses today's date from the device clock, so the answer changes by itself overnight.
7. MK-PL-F-067 — Rounds the answer to a whole number.
8. MK-PL-F-067 — Leaves some rows out of the answer — check which.
9. MK-NW-F-037 — Rounds the answer to a whole number.
10. MK-NW-F-037 — Leaves some rows out of the answer — check which.
11. MK-NW-F-035 — If v is missing it uses 12%.
12. MK-NW-F-035 — Rounds the answer to a whole number.
13. MK-NW-F-035 — Leaves some rows out of the answer — check which.
14. MK-CF-F-076 — Leaves some rows out of the answer — check which.
15. MK-CF-F-089 — Uses today's date from the device clock, so the answer changes by itself overnight.
16. MK-NW-F-004 — Rounds the answer to a whole number.
17. MK-NW-F-004 — Leaves some rows out of the answer — check which.
18. MK-PL-F-049 — Treats a year as twelve equal months.
19. MK-PL-F-060 — If statement monthly is missing it counts as zero, so nothing recorded and a real zero look the same.
20. MK-PL-F-060 — Rounds the answer to a whole number.
21. MK-CF-F-083 — Turns a monthly figure into a year by multiplying by twelve.
22. MK-CF-F-083 — Uses today's date from the device clock, so the answer changes by itself overnight.
23. MK-PL-F-065 — Never lets the answer fall below 5% or rise above 20%.
24. MK-NW-F-034 — If return is missing it uses 6%.
25. MK-NW-F-032 — If balance is missing it counts as zero, so nothing recorded and a real zero look the same.
… and 43 more, on the functions tab</t>
        </is>
      </c>
      <c r="R9" t="inlineStr"/>
      <c r="S9" t="inlineStr"/>
      <c r="T9" t="inlineStr">
        <is>
          <t>NOT DETERMINED — no assumption recorded for this figure yet.</t>
        </is>
      </c>
      <c r="U9" t="inlineStr"/>
      <c r="V9" t="inlineStr"/>
      <c r="W9" t="inlineStr"/>
      <c r="X9" t="inlineStr"/>
      <c r="Y9" t="inlineStr">
        <is>
          <t>NOT DETERMINED</t>
        </is>
      </c>
      <c r="Z9" t="inlineStr">
        <is>
          <t>VERIFIED 2026-08-22</t>
        </is>
      </c>
      <c r="AA9" t="inlineStr">
        <is>
          <t>1.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2. A18 — "Treats a year as twelve equal months" fires on any division by 12, a month index included; "Treats a month as 30 days" fires on any multiplication by 30. Neither is read as arithmetic, so both carry false positives.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t="inlineStr">
        <is>
          <t>AGREES — the figure's arithmetic and the arithmetic of the function it names say the same thing. Checked 2026-08-26.</t>
        </is>
      </c>
      <c r="AC9" t="inlineStr">
        <is>
          <t>HAS A FUNCTION — traceable from the screen to the code.</t>
        </is>
      </c>
      <c r="AD9" t="inlineStr"/>
      <c r="AE9" t="inlineStr">
        <is>
          <t>No finding on this row. That is not a statement that the row is right — only that nothing has been written against it.</t>
        </is>
      </c>
      <c r="AF9" t="inlineStr">
        <is>
          <t>ACTIVE</t>
        </is>
      </c>
      <c r="AG9" t="inlineStr">
        <is>
          <t>2026-08-27</t>
        </is>
      </c>
    </row>
    <row r="10">
      <c r="A10" t="inlineStr">
        <is>
          <t>MK-PL-M-009</t>
        </is>
      </c>
      <c r="B10" t="inlineStr">
        <is>
          <t>Plan</t>
        </is>
      </c>
      <c r="C10" t="inlineStr">
        <is>
          <t>/will-it-last</t>
        </is>
      </c>
      <c r="D10" t="inlineStr">
        <is>
          <t>Monthly spending in retirement</t>
        </is>
      </c>
      <c r="E10" t="inlineStr">
        <is>
          <t>inp.retire_monthly_spend_today</t>
        </is>
      </c>
      <c r="F10" t="inlineStr">
        <is>
          <t>retirementSpendMonthly</t>
        </is>
      </c>
      <c r="G10" t="inlineStr">
        <is>
          <t>MK-PL-F-049</t>
        </is>
      </c>
      <c r="H10" t="inlineStr">
        <is>
          <t>spending in retirement a month = what is spent today × the share expected to continue</t>
        </is>
      </c>
      <c r="I10" t="inlineStr">
        <is>
          <t>What the person said they expect to spend, adjusted for where they plan to live. Stated in TODAY'S dollars — the simulation inflates it to each future year, so inflating it here as well would count inflation twice.</t>
        </is>
      </c>
      <c r="J10" t="inlineStr">
        <is>
          <t>1. the answer → the retirement-spending question  [MK-XS-I-024]
2. where they will live → the location answer  [MK-XS-I-045]</t>
        </is>
      </c>
      <c r="K10" t="inlineStr">
        <is>
          <t>US dollars · held to the cent · shown as whole dollars  [derived by rule — confirm]</t>
        </is>
      </c>
      <c r="L10" t="inlineStr">
        <is>
          <t>NOT DETERMINED — this engine has not been read for its refusal yet.</t>
        </is>
      </c>
      <c r="M10" t="inlineStr">
        <is>
          <t>One figure per month  [derived by rule — confirm]</t>
        </is>
      </c>
      <c r="N10" t="inlineStr">
        <is>
          <t>From today to the retirement age in the plan  [derived by rule — confirm]</t>
        </is>
      </c>
      <c r="O10" t="inlineStr">
        <is>
          <t>1. MK-XS-E-045 (COST_OF_LIVING) → How much more or less does life cost where they plan to live?
2. MK-XS-E-020 (READ_A_NUMBER) → What number did the person actually type?</t>
        </is>
      </c>
      <c r="P10" t="inlineStr">
        <is>
          <t>1. MK-PL-F-047 colFactor → MK-PL-F-049 retirementSpendMonthly
2. MK-ST-F-055 round2 → MK-PL-F-049 retirementSpendMonthly
3. MK-ST-F-052 toNum → MK-PL-F-049 retirementSpendMonthly</t>
        </is>
      </c>
      <c r="Q10" t="inlineStr">
        <is>
          <t>1. MK-PL-F-049 — Treats a year as twelve equal months.
2. MK-ST-F-055 — Multiplies by 100 — a percentage, or an option contract treated as 100 shares. Worth checking which.
3. MK-ST-F-055 — Rounds the answer to a whole number.</t>
        </is>
      </c>
      <c r="R10" t="inlineStr"/>
      <c r="S10" t="inlineStr"/>
      <c r="T10" t="inlineStr">
        <is>
          <t>[The person] The retirement age in their plan.</t>
        </is>
      </c>
      <c r="U10" t="inlineStr"/>
      <c r="V10" t="inlineStr"/>
      <c r="W10" t="inlineStr"/>
      <c r="X10" t="inlineStr"/>
      <c r="Y10" t="inlineStr">
        <is>
          <t>NOT DETERMINED</t>
        </is>
      </c>
      <c r="Z10" t="inlineStr">
        <is>
          <t>VERIFIED 2026-08-22</t>
        </is>
      </c>
      <c r="AA10"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A18 — "Treats a year as twelve equal months" fires on any division by 12, a month index included; "Treats a month as 30 days" fires on any multiplication by 30. Neither is read as arithmetic, so both carry false positives.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t="inlineStr">
        <is>
          <t>AGREES — the figure's arithmetic and the arithmetic of the function it names say the same thing. Checked 2026-08-26.</t>
        </is>
      </c>
      <c r="AC10" t="inlineStr">
        <is>
          <t>HAS A FUNCTION — traceable from the screen to the code.</t>
        </is>
      </c>
      <c r="AD10" t="inlineStr"/>
      <c r="AE10" t="inlineStr">
        <is>
          <t>No finding on this row. That is not a statement that the row is right — only that nothing has been written against it.</t>
        </is>
      </c>
      <c r="AF10" t="inlineStr">
        <is>
          <t>ACTIVE</t>
        </is>
      </c>
      <c r="AG10" t="inlineStr">
        <is>
          <t>2026-08-27</t>
        </is>
      </c>
    </row>
    <row r="11">
      <c r="A11" t="inlineStr">
        <is>
          <t>MK-PL-M-010</t>
        </is>
      </c>
      <c r="B11" t="inlineStr">
        <is>
          <t>Plan</t>
        </is>
      </c>
      <c r="C11" t="inlineStr">
        <is>
          <t>/will-it-last</t>
        </is>
      </c>
      <c r="D11" t="inlineStr">
        <is>
          <t>Guaranteed income — $X/mo from age Y</t>
        </is>
      </c>
      <c r="E11" t="inlineStr">
        <is>
          <t>inp.guaranteed_monthly_income</t>
        </is>
      </c>
      <c r="F11" t="inlineStr">
        <is>
          <t>NOT ON RECORD — no function is recorded for this figure</t>
        </is>
      </c>
      <c r="G11" t="inlineStr"/>
      <c r="H11" t="inlineStr">
        <is>
          <t>each stream grows on its own rule: Social Security rises with inflation, a fixed pension does not</t>
        </is>
      </c>
      <c r="I11" t="inlineStr">
        <is>
          <t>Each guaranteed stream grows on its own rule: Social Security rises with inflation, a fixed pension stays flat. They are never grown together.</t>
        </is>
      </c>
      <c r="J11" t="inlineStr">
        <is>
          <t>NOT DETERMINED — no input list on record for this engine</t>
        </is>
      </c>
      <c r="K11" t="inlineStr">
        <is>
          <t>Age in whole years  [derived by rule — confirm]</t>
        </is>
      </c>
      <c r="L11" t="inlineStr">
        <is>
          <t>NOT DETERMINED — this engine has not been read for its refusal yet.</t>
        </is>
      </c>
      <c r="M11" t="inlineStr">
        <is>
          <t>One figure per person — or per household when two people share one record  [derived by rule — confirm]</t>
        </is>
      </c>
      <c r="N11" t="inlineStr">
        <is>
          <t>As of today, from the latest figures held  [derived by rule — confirm]</t>
        </is>
      </c>
      <c r="O11" t="inlineStr">
        <is>
          <t>NOT DETERMINED</t>
        </is>
      </c>
      <c r="P11" t="inlineStr">
        <is>
          <t>No function on record — nothing to chain</t>
        </is>
      </c>
      <c r="Q11" t="inlineStr">
        <is>
          <t>No function on record — assumptions unknown</t>
        </is>
      </c>
      <c r="R11" t="inlineStr"/>
      <c r="S11" t="inlineStr"/>
      <c r="T11" t="inlineStr">
        <is>
          <t>[Founder] Each stream grows on its own rule: Social Security rises with inflation, a fixed pension stays flat. They are never inflated together (fix B1).
[Built in] Inflation comes from a published feed, with a fallback figure when the feed is silent.</t>
        </is>
      </c>
      <c r="U11" t="inlineStr"/>
      <c r="V11" t="inlineStr"/>
      <c r="W11" t="inlineStr"/>
      <c r="X11" t="inlineStr"/>
      <c r="Y11" t="inlineStr">
        <is>
          <t>NOT DETERMINED</t>
        </is>
      </c>
      <c r="Z11" t="inlineStr">
        <is>
          <t>VERIFIED 2026-08-22</t>
        </is>
      </c>
      <c r="AA11"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t="inlineStr">
        <is>
          <t>B24 [NOT COMPARABLE] — This figure names no function, so its formula cannot be checked against anything. 69 of the 163 figures are in this position — the audit covers the 94 that name one.</t>
        </is>
      </c>
      <c r="AC11"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t="inlineStr"/>
      <c r="AE11" t="inlineStr">
        <is>
          <t>No finding on this row. That is not a statement that the row is right — only that nothing has been written against it.</t>
        </is>
      </c>
      <c r="AF11" t="inlineStr">
        <is>
          <t>ACTIVE</t>
        </is>
      </c>
      <c r="AG11" t="inlineStr">
        <is>
          <t>2026-08-27</t>
        </is>
      </c>
    </row>
    <row r="12">
      <c r="A12" t="inlineStr">
        <is>
          <t>MK-PL-M-011</t>
        </is>
      </c>
      <c r="B12" t="inlineStr">
        <is>
          <t>Plan</t>
        </is>
      </c>
      <c r="C12" t="inlineStr">
        <is>
          <t>/will-it-last</t>
        </is>
      </c>
      <c r="D12" t="inlineStr">
        <is>
          <t>Monthly saving until then</t>
        </is>
      </c>
      <c r="E12" t="inlineStr">
        <is>
          <t>inp.annual_contrib</t>
        </is>
      </c>
      <c r="F12" t="inlineStr">
        <is>
          <t>willItLastInputs</t>
        </is>
      </c>
      <c r="G12" t="inlineStr">
        <is>
          <t>MK-PL-F-067</t>
        </is>
      </c>
      <c r="H12" t="inlineStr">
        <is>
          <t>the inputs one plan is built from: what is held, what will be spent, what is guaranteed, and what is still being saved</t>
        </is>
      </c>
      <c r="I12"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12" t="inlineStr">
        <is>
          <t>1. their age → birthYear  [MK-XS-I-017]
2. the pot → NEST_EGG  [NOT AN INPUT — another engine’s answer; see the dependency column]
3. return and swing → EXPECTED_RETURN_BLENDED, EXPECTED_SWING_BLENDED  [NOT AN INPUT — another engine’s answer; see the dependency column]
4. spending → RETIREMENT_SPENDING  [MK-XS-I-024]
5. guaranteed income → RETIREMENT_INCOME, SS_BENEFIT_AT_AGE  [NOT AN INPUT — another engine’s answer; see the dependency column]
6. money to leave behind → legacyTarget  [MK-XS-I-047]
7. their own overrides → the Plan screen  [MK-XS-I-044]</t>
        </is>
      </c>
      <c r="K12" t="inlineStr">
        <is>
          <t>Percent · rounded to the nearest 5 · a real 100 or 0 shown literally  [derived by rule — confirm]</t>
        </is>
      </c>
      <c r="L12" t="inlineStr">
        <is>
          <t>NOT DETERMINED — this engine has not been read for its refusal yet.</t>
        </is>
      </c>
      <c r="M12" t="inlineStr">
        <is>
          <t>One figure per month  [derived by rule — confirm]</t>
        </is>
      </c>
      <c r="N12" t="inlineStr">
        <is>
          <t>As of today, from the latest figures held  [derived by rule — confirm]</t>
        </is>
      </c>
      <c r="O12" t="inlineStr">
        <is>
          <t>1. MK-XS-E-032 (EFFECTIVE_TAX_RATE) → What share of my income actually goes in tax?
2. MK-XS-E-033 (EXPECTED_RETURN_BLENDED) → What return should I expect on everything I hold together?
3. MK-XS-E-034 (EXPECTED_SWING_BLENDED) → How much does a year's return typically swing around that average?
4. MK-XS-E-035 (FILING_STATUS) → How does this person file?
5. MK-XS-E-036 (GUARANTEED_OUTSIDE_STREAMS) → The plan's guaranteed-income input as separate streams of OUTSIDE money only. Answers: zer
6. MK-XS-E-037 (MONTHLY_SAVING) → How much goes in each month?
7. MK-XS-E-002 (NEST_EGG) → What is my retirement pot worth?
8. MK-XS-E-038 (REPORTED_RETURN) → What return did the person say they actually earned over the past year?
9. MK-XS-E-004 (RETIREMENT_SPENDING) → What will be spent each month in retirement?
10. MK-XS-E-039 (SPLIT_BY_HOW_IT_IS_TAXED) → How is the retirement money split by the tax that will be owed on it?
11. MK-XS-E-040 (SS_BENEFIT_AT_AGE) → The monthly Social Security check at a chosen claim age, in today's dollars. Answers: a wh
12. MK-XS-E-041 (STATE_TAX_RATE) → What state tax rate applies?
13. MK-XS-E-042 (SWING_FROM_RETURN) → How much might a year's return swing, judged from the return alone?
14. MK-XS-E-043 (TAX_OVER65_COUNT) → How many people on the tax return are 65 or older — the input the over-65 deduction needs
15. MK-XS-E-044 (TOTAL_INCOME) → What is the whole household income for the year, before tax?</t>
        </is>
      </c>
      <c r="P12" t="inlineStr">
        <is>
          <t>1. MK-NW-F-008 incomeBearingClassOf → MK-NW-F-011 assetClassOf → MK-NW-F-007 assetKind → MK-NW-F-034 benchmarkReturn → MK-NW-F-037 blendedReturn → MK-PL-F-067 willItLastInputs
2. MK-NW-F-008 incomeBearingClassOf → MK-NW-F-011 assetClassOf → MK-NW-F-030 earmarkDefault → MK-NW-F-032 earmarkedAmount → MK-NW-F-037 blendedReturn → MK-PL-F-067 willItLastInputs
3. MK-NW-F-013 realEstateUseOf → MK-NW-F-030 earmarkDefault → MK-NW-F-032 earmarkedAmount → MK-NW-F-037 blendedReturn → MK-PL-F-067 willItLastInputs
4. MK-ST-F-055 round2 → MK-NW-F-032 earmarkedAmount → MK-NW-F-037 blendedReturn → MK-PL-F-067 willItLastInputs
5. MK-CF-F-155 cash → MK-NW-F-008 incomeBearingClassOf → MK-NW-F-011 assetClassOf → MK-NW-F-031 primaryCarIdOf → MK-NW-F-037 blendedReturn → MK-PL-F-067 willItLastInputs
6. MK-ST-F-010 nameEvidence → MK-NW-F-008 incomeBearingClassOf → MK-NW-F-011 assetClassOf → MK-NW-F-031 primaryCarIdOf → MK-NW-F-037 blendedReturn → MK-PL-F-067 willItLastInputs
7. MK-NW-F-008 incomeBearingClassOf → MK-NW-F-011 assetClassOf → MK-NW-F-030 earmarkDefault → MK-NW-F-032 earmarkedAmount → MK-NW-F-035 blendedVolatility → MK-PL-F-067 willItLastInputs
8. MK-NW-F-013 realEstateUseOf → MK-NW-F-030 earmarkDefault → MK-NW-F-032 earmarkedAmount → MK-NW-F-035 blendedVolatility → MK-PL-F-067 willItLastInputs
9. … and 5 more paths</t>
        </is>
      </c>
      <c r="Q12" t="inlineStr">
        <is>
          <t>1. MK-PL-F-067 — If inflation rate is missing it uses 2.5.
2. MK-PL-F-067 — If social security claim age is missing it uses 67.
3. MK-PL-F-067 — If monthly is missing it uses 0.
4. MK-PL-F-067 — If salary growth is missing it uses 0.
5. MK-PL-F-067 — Turns a monthly figure into a year by multiplying by twelve.
6. MK-PL-F-067 — Uses today's date from the device clock, so the answer changes by itself overnight.
7. MK-PL-F-067 — Rounds the answer to a whole number.
8. MK-PL-F-067 — Leaves some rows out of the answer — check which.
9. MK-NW-F-037 — Rounds the answer to a whole number.
10. MK-NW-F-037 — Leaves some rows out of the answer — check which.
11. MK-NW-F-035 — If v is missing it uses 12%.
12. MK-NW-F-035 — Rounds the answer to a whole number.
13. MK-NW-F-035 — Leaves some rows out of the answer — check which.
14. MK-CF-F-076 — Leaves some rows out of the answer — check which.
15. MK-CF-F-089 — Uses today's date from the device clock, so the answer changes by itself overnight.
16. MK-NW-F-004 — Rounds the answer to a whole number.
17. MK-NW-F-004 — Leaves some rows out of the answer — check which.
18. MK-PL-F-049 — Treats a year as twelve equal months.
19. MK-PL-F-060 — If statement monthly is missing it counts as zero, so nothing recorded and a real zero look the same.
20. MK-PL-F-060 — Rounds the answer to a whole number.
21. MK-CF-F-083 — Turns a monthly figure into a year by multiplying by twelve.
22. MK-CF-F-083 — Uses today's date from the device clock, so the answer changes by itself overnight.
23. MK-PL-F-065 — Never lets the answer fall below 5% or rise above 20%.
24. MK-NW-F-034 — If return is missing it uses 6%.
25. MK-NW-F-032 — If balance is missing it counts as zero, so nothing recorded and a real zero look the same.
… and 43 more, on the functions tab</t>
        </is>
      </c>
      <c r="R12" t="inlineStr"/>
      <c r="S12" t="inlineStr"/>
      <c r="T12" t="inlineStr">
        <is>
          <t>NOT DETERMINED — no assumption recorded for this figure yet.</t>
        </is>
      </c>
      <c r="U12" t="inlineStr">
        <is>
          <t>THE SURVIVING IDENTIFIER for this figure. Folded in: MK-PL-M-029. What is being saved each month towards retirement — "Monthly saving until then" and "Retirement saving $X/mo now".</t>
        </is>
      </c>
      <c r="V12" t="inlineStr"/>
      <c r="W12" t="inlineStr"/>
      <c r="X12" t="inlineStr"/>
      <c r="Y12" t="inlineStr">
        <is>
          <t>NOT DETERMINED</t>
        </is>
      </c>
      <c r="Z12" t="inlineStr">
        <is>
          <t>VERIFIED 2026-08-22</t>
        </is>
      </c>
      <c r="AA12" t="inlineStr">
        <is>
          <t>1.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2. A18 — "Treats a year as twelve equal months" fires on any division by 12, a month index included; "Treats a month as 30 days" fires on any multiplication by 30. Neither is read as arithmetic, so both carry false positives.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t="inlineStr">
        <is>
          <t>AGREES — the figure's arithmetic and the arithmetic of the function it names say the same thing. Checked 2026-08-26.</t>
        </is>
      </c>
      <c r="AC12" t="inlineStr">
        <is>
          <t>HAS A FUNCTION — traceable from the screen to the code.</t>
        </is>
      </c>
      <c r="AD12" t="inlineStr"/>
      <c r="AE12" t="inlineStr">
        <is>
          <t>No finding on this row. That is not a statement that the row is right — only that nothing has been written against it.</t>
        </is>
      </c>
      <c r="AF12" t="inlineStr">
        <is>
          <t>ACTIVE</t>
        </is>
      </c>
      <c r="AG12" t="inlineStr">
        <is>
          <t>2026-08-27</t>
        </is>
      </c>
    </row>
    <row r="13">
      <c r="A13" t="inlineStr">
        <is>
          <t>MK-PL-M-012</t>
        </is>
      </c>
      <c r="B13" t="inlineStr">
        <is>
          <t>Plan</t>
        </is>
      </c>
      <c r="C13" t="inlineStr">
        <is>
          <t>/required-withdrawals</t>
        </is>
      </c>
      <c r="D13" t="inlineStr">
        <is>
          <t>Yours starts in &lt;year&gt; (age N)</t>
        </is>
      </c>
      <c r="E13" t="inlineStr">
        <is>
          <t>rmdStartAgeFor(age)</t>
        </is>
      </c>
      <c r="F13" t="inlineStr">
        <is>
          <t>NOT ON RECORD — no function is recorded for this figure</t>
        </is>
      </c>
      <c r="G13" t="inlineStr"/>
      <c r="H13" t="inlineStr">
        <is>
          <t>start age = 73 for those born 1951–1959, 75 for those born 1960 or later;  Roth 401(k) is exempt</t>
        </is>
      </c>
      <c r="I13" t="inlineStr">
        <is>
          <t>The age required withdrawals begin, from one dated table: 73 for those born 1951 to 1959, 75 for those born in 1960 or later. A Roth 401(k) is exempt.</t>
        </is>
      </c>
      <c r="J13" t="inlineStr">
        <is>
          <t>NOT DETERMINED — no input list on record for this engine</t>
        </is>
      </c>
      <c r="K13" t="inlineStr">
        <is>
          <t>Age in whole years  [derived by rule — confirm]</t>
        </is>
      </c>
      <c r="L13" t="inlineStr">
        <is>
          <t>NOT DETERMINED — this engine has not been read for its refusal yet.</t>
        </is>
      </c>
      <c r="M13" t="inlineStr">
        <is>
          <t>One figure per person — or per household when two people share one record  [derived by rule — confirm]</t>
        </is>
      </c>
      <c r="N13" t="inlineStr">
        <is>
          <t>This calendar year, to today  [derived by rule — confirm]</t>
        </is>
      </c>
      <c r="O13" t="inlineStr">
        <is>
          <t>NOT DETERMINED</t>
        </is>
      </c>
      <c r="P13" t="inlineStr">
        <is>
          <t>No function on record — nothing to chain</t>
        </is>
      </c>
      <c r="Q13" t="inlineStr">
        <is>
          <t>No function on record — assumptions unknown</t>
        </is>
      </c>
      <c r="R13" t="inlineStr"/>
      <c r="S13" t="inlineStr"/>
      <c r="T13" t="inlineStr">
        <is>
          <t>[Founder] The same one dated table, after both earlier copies were deleted.</t>
        </is>
      </c>
      <c r="U13" t="inlineStr"/>
      <c r="V13" t="inlineStr"/>
      <c r="W13" t="inlineStr"/>
      <c r="X13" t="inlineStr"/>
      <c r="Y13" t="inlineStr">
        <is>
          <t>NOT DETERMINED</t>
        </is>
      </c>
      <c r="Z13" t="inlineStr">
        <is>
          <t>VERIFIED 2026-08-22</t>
        </is>
      </c>
      <c r="AA1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t="inlineStr">
        <is>
          <t>B24 [NOT COMPARABLE] — This figure names no function, so its formula cannot be checked against anything. 69 of the 163 figures are in this position — the audit covers the 94 that name one.</t>
        </is>
      </c>
      <c r="AC1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t="inlineStr"/>
      <c r="AE13" t="inlineStr">
        <is>
          <t>A36 — OPEN since 2026-08-26 — nothing has closed this. It is not known to be wrong; it is known to be unaddressed.
A41 — OPEN since 2026-08-26 — nothing has closed this. It is not known to be wrong; it is known to be unaddressed.</t>
        </is>
      </c>
      <c r="AF13" t="inlineStr">
        <is>
          <t>ACTIVE</t>
        </is>
      </c>
      <c r="AG13" t="inlineStr">
        <is>
          <t>2026-08-27</t>
        </is>
      </c>
    </row>
    <row r="14">
      <c r="A14" t="inlineStr">
        <is>
          <t>MK-PL-M-013</t>
        </is>
      </c>
      <c r="B14" t="inlineStr">
        <is>
          <t>Plan</t>
        </is>
      </c>
      <c r="C14" t="inlineStr">
        <is>
          <t>/required-withdrawals</t>
        </is>
      </c>
      <c r="D14" t="inlineStr">
        <is>
          <t>Required $X</t>
        </is>
      </c>
      <c r="E14" t="inlineStr">
        <is>
          <t>required</t>
        </is>
      </c>
      <c r="F14" t="inlineStr">
        <is>
          <t>NOT ON RECORD — no function is recorded for this figure</t>
        </is>
      </c>
      <c r="G14" t="inlineStr"/>
      <c r="H14" t="inlineStr">
        <is>
          <t>required = balance on 31 December last year ÷ the life-expectancy factor for this age</t>
        </is>
      </c>
      <c r="I14" t="inlineStr">
        <is>
          <t>The amount the law requires to be taken out this year: last 31 December's balance divided by the life-expectancy factor for the person's age.</t>
        </is>
      </c>
      <c r="J14" t="inlineStr">
        <is>
          <t>NOT DETERMINED — no input list on record for this engine</t>
        </is>
      </c>
      <c r="K14" t="inlineStr">
        <is>
          <t>US dollars · held to the cent · shown as whole dollars  [derived by rule — confirm]</t>
        </is>
      </c>
      <c r="L14" t="inlineStr">
        <is>
          <t>Nothing before the start age for that birth year. A Roth 401(k) is exempt and says so.</t>
        </is>
      </c>
      <c r="M14" t="inlineStr">
        <is>
          <t>One figure per person — or per household when two people share one record  [derived by rule — confirm]</t>
        </is>
      </c>
      <c r="N14" t="inlineStr">
        <is>
          <t>As of today, from the latest figures held  [derived by rule — confirm]</t>
        </is>
      </c>
      <c r="O14" t="inlineStr">
        <is>
          <t>NOT DETERMINED</t>
        </is>
      </c>
      <c r="P14" t="inlineStr">
        <is>
          <t>No function on record — nothing to chain</t>
        </is>
      </c>
      <c r="Q14" t="inlineStr">
        <is>
          <t>No function on record — assumptions unknown</t>
        </is>
      </c>
      <c r="R14" t="inlineStr"/>
      <c r="S14" t="inlineStr"/>
      <c r="T14" t="inlineStr">
        <is>
          <t>[Founder] One dated table. Start age is 73 for those born 1951–1959 and 75 for those born 1960 or later; a Roth 401(k) is exempt (fix B4).</t>
        </is>
      </c>
      <c r="U14" t="inlineStr"/>
      <c r="V14" t="inlineStr">
        <is>
          <t>Q31 — Required withdrawals are estimated from balances we hold. When an institution states its own required figure, does theirs win?</t>
        </is>
      </c>
      <c r="W14" t="inlineStr"/>
      <c r="X14" t="inlineStr"/>
      <c r="Y14" t="inlineStr">
        <is>
          <t>NOT DETERMINED</t>
        </is>
      </c>
      <c r="Z14" t="inlineStr">
        <is>
          <t>VERIFIED 2026-08-22</t>
        </is>
      </c>
      <c r="AA14"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t="inlineStr">
        <is>
          <t>B24 [NOT COMPARABLE] — This figure names no function, so its formula cannot be checked against anything. 69 of the 163 figures are in this position — the audit covers the 94 that name one.</t>
        </is>
      </c>
      <c r="AC14"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t="inlineStr"/>
      <c r="AE14" t="inlineStr">
        <is>
          <t>A35 — OPEN since 2026-08-26 — nothing has closed this. It is not known to be wrong; it is known to be unaddressed.
A37 — OPEN since 2026-08-26 — nothing has closed this. It is not known to be wrong; it is known to be unaddressed.
A41 — OPEN since 2026-08-26 — nothing has closed this. It is not known to be wrong; it is known to be unaddressed.</t>
        </is>
      </c>
      <c r="AF14" t="inlineStr">
        <is>
          <t>ACTIVE</t>
        </is>
      </c>
      <c r="AG14" t="inlineStr">
        <is>
          <t>2026-08-27</t>
        </is>
      </c>
    </row>
    <row r="15">
      <c r="A15" t="inlineStr">
        <is>
          <t>MK-PL-M-014</t>
        </is>
      </c>
      <c r="B15" t="inlineStr">
        <is>
          <t>Plan</t>
        </is>
      </c>
      <c r="C15" t="inlineStr">
        <is>
          <t>/required-withdrawals</t>
        </is>
      </c>
      <c r="D15" t="inlineStr">
        <is>
          <t>Taken so far $X · still to take</t>
        </is>
      </c>
      <c r="E15" t="inlineStr">
        <is>
          <t>taken / still</t>
        </is>
      </c>
      <c r="F15" t="inlineStr">
        <is>
          <t>Worked out on the screen itself — no function behind it</t>
        </is>
      </c>
      <c r="G15" t="inlineStr"/>
      <c r="H15" t="inlineStr">
        <is>
          <t>still to take = required this year − taken so far</t>
        </is>
      </c>
      <c r="I15" t="inlineStr">
        <is>
          <t>Worked out on the screen itself, with no engine behind it — a place a second definition can appear.</t>
        </is>
      </c>
      <c r="J15" t="inlineStr">
        <is>
          <t>NOT DETERMINED — no input list on record for this engine</t>
        </is>
      </c>
      <c r="K15" t="inlineStr">
        <is>
          <t>US dollars · held to the cent · shown as whole dollars  [derived by rule — confirm]</t>
        </is>
      </c>
      <c r="L15" t="inlineStr">
        <is>
          <t>Inherits the refusal of the figures it is built from: if either side is missing, this line is not shown.</t>
        </is>
      </c>
      <c r="M15" t="inlineStr">
        <is>
          <t>One figure per person — or per household when two people share one record  [derived by rule — confirm]</t>
        </is>
      </c>
      <c r="N15" t="inlineStr">
        <is>
          <t>As of today, from the latest figures held  [derived by rule — confirm]</t>
        </is>
      </c>
      <c r="O15" t="inlineStr">
        <is>
          <t>NOT DETERMINED</t>
        </is>
      </c>
      <c r="P15" t="inlineStr">
        <is>
          <t>No function on record — nothing to chain</t>
        </is>
      </c>
      <c r="Q15" t="inlineStr">
        <is>
          <t>No function on record — assumptions unknown</t>
        </is>
      </c>
      <c r="R15" t="inlineStr"/>
      <c r="S15" t="inlineStr"/>
      <c r="T15" t="inlineStr">
        <is>
          <t>NOT DETERMINED — no assumption recorded for this figure yet.</t>
        </is>
      </c>
      <c r="U15" t="inlineStr"/>
      <c r="V15" t="inlineStr"/>
      <c r="W15" t="inlineStr"/>
      <c r="X15" t="inlineStr"/>
      <c r="Y15" t="inlineStr">
        <is>
          <t>NOT DETERMINED</t>
        </is>
      </c>
      <c r="Z15" t="inlineStr">
        <is>
          <t>VERIFIED 2026-08-22</t>
        </is>
      </c>
      <c r="AA1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t="inlineStr">
        <is>
          <t>B24 [NOT COMPARABLE] — This figure names no function, so its formula cannot be checked against anything. 69 of the 163 figures are in this position — the audit covers the 94 that name one.</t>
        </is>
      </c>
      <c r="AC15"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t="inlineStr"/>
      <c r="AE15" t="inlineStr">
        <is>
          <t>No finding on this row. That is not a statement that the row is right — only that nothing has been written against it.</t>
        </is>
      </c>
      <c r="AF15" t="inlineStr">
        <is>
          <t>ACTIVE</t>
        </is>
      </c>
      <c r="AG15" t="inlineStr">
        <is>
          <t>2026-08-27</t>
        </is>
      </c>
    </row>
    <row r="16">
      <c r="A16" t="inlineStr">
        <is>
          <t>MK-PL-M-015</t>
        </is>
      </c>
      <c r="B16" t="inlineStr">
        <is>
          <t>Plan</t>
        </is>
      </c>
      <c r="C16" t="inlineStr">
        <is>
          <t>/required-withdrawals</t>
        </is>
      </c>
      <c r="D16" t="inlineStr">
        <is>
          <t>YEAR BY YEAR (ESTIMATES) — each year and amount</t>
        </is>
      </c>
      <c r="E16" t="inlineStr">
        <is>
          <t>r.amount</t>
        </is>
      </c>
      <c r="F16" t="inlineStr">
        <is>
          <t>NOT ON RECORD — no function is recorded for this figure</t>
        </is>
      </c>
      <c r="G16" t="inlineStr"/>
      <c r="H16" t="inlineStr">
        <is>
          <t>required = balance on 31 December last year ÷ the life-expectancy factor for this age</t>
        </is>
      </c>
      <c r="I16" t="inlineStr">
        <is>
          <t>The amount the law requires to be taken out this year: last 31 December's balance divided by the life-expectancy factor for the person's age.</t>
        </is>
      </c>
      <c r="J16" t="inlineStr">
        <is>
          <t>NOT DETERMINED — no input list on record for this engine</t>
        </is>
      </c>
      <c r="K16" t="inlineStr">
        <is>
          <t>US dollars · held to the cent · shown as whole dollars  [derived by rule — confirm]</t>
        </is>
      </c>
      <c r="L16" t="inlineStr">
        <is>
          <t>Nothing before the start age for that birth year. A Roth 401(k) is exempt and says so.</t>
        </is>
      </c>
      <c r="M16" t="inlineStr">
        <is>
          <t>One figure per person — or per household when two people share one record  [derived by rule — confirm]</t>
        </is>
      </c>
      <c r="N16" t="inlineStr">
        <is>
          <t>This calendar year, to today  [derived by rule — confirm]</t>
        </is>
      </c>
      <c r="O16" t="inlineStr">
        <is>
          <t>NOT DETERMINED</t>
        </is>
      </c>
      <c r="P16" t="inlineStr">
        <is>
          <t>No function on record — nothing to chain</t>
        </is>
      </c>
      <c r="Q16" t="inlineStr">
        <is>
          <t>No function on record — assumptions unknown</t>
        </is>
      </c>
      <c r="R16" t="inlineStr"/>
      <c r="S16" t="inlineStr"/>
      <c r="T16" t="inlineStr">
        <is>
          <t>[Founder] One dated table. Start age is 73 for those born 1951–1959 and 75 for those born 1960 or later; a Roth 401(k) is exempt (fix B4).</t>
        </is>
      </c>
      <c r="U16" t="inlineStr"/>
      <c r="V16" t="inlineStr"/>
      <c r="W16" t="inlineStr"/>
      <c r="X16" t="inlineStr"/>
      <c r="Y16" t="inlineStr">
        <is>
          <t>NOT DETERMINED</t>
        </is>
      </c>
      <c r="Z16" t="inlineStr">
        <is>
          <t>VERIFIED 2026-08-22</t>
        </is>
      </c>
      <c r="AA16"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t="inlineStr">
        <is>
          <t>B24 [NOT COMPARABLE] — This figure names no function, so its formula cannot be checked against anything. 69 of the 163 figures are in this position — the audit covers the 94 that name one.</t>
        </is>
      </c>
      <c r="AC16"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t="inlineStr"/>
      <c r="AE16" t="inlineStr">
        <is>
          <t>A35 — OPEN since 2026-08-26 — nothing has closed this. It is not known to be wrong; it is known to be unaddressed.
A37 — OPEN since 2026-08-26 — nothing has closed this. It is not known to be wrong; it is known to be unaddressed.
A41 — OPEN since 2026-08-26 — nothing has closed this. It is not known to be wrong; it is known to be unaddressed.</t>
        </is>
      </c>
      <c r="AF16" t="inlineStr">
        <is>
          <t>ACTIVE</t>
        </is>
      </c>
      <c r="AG16" t="inlineStr">
        <is>
          <t>2026-08-27</t>
        </is>
      </c>
    </row>
    <row r="17">
      <c r="A17" t="inlineStr">
        <is>
          <t>MK-PL-M-016</t>
        </is>
      </c>
      <c r="B17" t="inlineStr">
        <is>
          <t>Plan</t>
        </is>
      </c>
      <c r="C17" t="inlineStr">
        <is>
          <t>/required-withdrawals</t>
        </is>
      </c>
      <c r="D17" t="inlineStr">
        <is>
          <t>BASED ON THESE ACCOUNTS — each balance</t>
        </is>
      </c>
      <c r="E17" t="inlineStr">
        <is>
          <t>a.balance</t>
        </is>
      </c>
      <c r="F17" t="inlineStr">
        <is>
          <t>valueFreshness</t>
        </is>
      </c>
      <c r="G17" t="inlineStr">
        <is>
          <t>MK-NW-F-003</t>
        </is>
      </c>
      <c r="H17" t="inlineStr">
        <is>
          <t>value = the balance last recorded;  age = today − date it was recorded</t>
        </is>
      </c>
      <c r="I17" t="inlineStr">
        <is>
          <t>Months between the date the value was set and today. Six months or more → stale.
A LIVE-PRICED account returns nothing: its value comes from today's prices, so staleness is not a question that applies to it. A value with no date recorded also returns nothing rather than being assumed fresh.</t>
        </is>
      </c>
      <c r="J17" t="inlineStr">
        <is>
          <t>1. the account → a  [MK-XS-I-001]
2. when the value was set → value_as_of  [MK-XS-I-033]
3. today → now  [NOT AN INPUT — a setting or a filter, not data anyone supplies]</t>
        </is>
      </c>
      <c r="K17" t="inlineStr">
        <is>
          <t>A count · whole units, except crypto which keeps its fractions  [derived by rule — confirm]</t>
        </is>
      </c>
      <c r="L17" t="inlineStr">
        <is>
          <t>Always answers, but carries the age of the figure and warns once it is stale.</t>
        </is>
      </c>
      <c r="M17" t="inlineStr">
        <is>
          <t>One figure per account  [derived by rule — confirm]</t>
        </is>
      </c>
      <c r="N17" t="inlineStr">
        <is>
          <t>As of today, from the latest figures held  [derived by rule — confirm]</t>
        </is>
      </c>
      <c r="O17" t="inlineStr">
        <is>
          <t>None — this engine reads raw inputs only</t>
        </is>
      </c>
      <c r="P17" t="inlineStr">
        <is>
          <t>No dependent function — it reads its inputs and answers</t>
        </is>
      </c>
      <c r="Q17" t="inlineStr">
        <is>
          <t>1. MK-NW-F-003 — Turns a monthly figure into a year by multiplying by twelve.
2. MK-NW-F-003 — Uses today's date from the device clock, so the answer changes by itself overnight.</t>
        </is>
      </c>
      <c r="R17" t="inlineStr">
        <is>
          <t>DECIDES whether a stated value is fresh enough to show without a warning.</t>
        </is>
      </c>
      <c r="S17" t="inlineStr"/>
      <c r="T17" t="inlineStr">
        <is>
          <t>NOT DETERMINED — no assumption recorded for this figure yet.</t>
        </is>
      </c>
      <c r="U17" t="inlineStr">
        <is>
          <t>THE SAME FIGURE AS MK-NW-M-018 — An account's value. The balance listed under required withdrawals is the same figure as Market value on account detail.</t>
        </is>
      </c>
      <c r="V17" t="inlineStr"/>
      <c r="W17" t="inlineStr"/>
      <c r="X17" t="inlineStr"/>
      <c r="Y17" t="inlineStr">
        <is>
          <t>NOT DETERMINED</t>
        </is>
      </c>
      <c r="Z17" t="inlineStr">
        <is>
          <t>VERIFIED 2026-08-22</t>
        </is>
      </c>
      <c r="AA17"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t="inlineStr">
        <is>
          <t>HAS A FUNCTION — traceable from the screen to the code.</t>
        </is>
      </c>
      <c r="AD17" t="inlineStr"/>
      <c r="AE17" t="inlineStr">
        <is>
          <t>B14 — OPEN since 2026-08-26 — nothing has closed this. It is not known to be wrong; it is known to be unaddressed.</t>
        </is>
      </c>
      <c r="AF17" t="inlineStr">
        <is>
          <t>SUPERSEDED BY MK-NW-M-018 — the same figure under another identifier. This number is retired and is never handed to anything else.</t>
        </is>
      </c>
      <c r="AG17" t="inlineStr">
        <is>
          <t>2026-08-27</t>
        </is>
      </c>
    </row>
    <row r="18">
      <c r="A18" t="inlineStr">
        <is>
          <t>MK-PL-M-017</t>
        </is>
      </c>
      <c r="B18" t="inlineStr">
        <is>
          <t>Plan</t>
        </is>
      </c>
      <c r="C18" t="inlineStr">
        <is>
          <t>/ss-timing</t>
        </is>
      </c>
      <c r="D18" t="inlineStr">
        <is>
          <t>Monthly check (today's dollars)</t>
        </is>
      </c>
      <c r="E18" t="inlineStr">
        <is>
          <t>A.guaranteedMonthly</t>
        </is>
      </c>
      <c r="F18" t="inlineStr">
        <is>
          <t>ssBenefitAt</t>
        </is>
      </c>
      <c r="G18" t="inlineStr">
        <is>
          <t>MK-PL-F-060</t>
        </is>
      </c>
      <c r="H18" t="inlineStr">
        <is>
          <t>benefit at claim age = the statement amount at full retirement age × the claim factor for that age</t>
        </is>
      </c>
      <c r="I18" t="inlineStr">
        <is>
          <t>Statement monthly amount × the claim factor for (claim age, birth year), rounded to whole dollars.</t>
        </is>
      </c>
      <c r="J18" t="inlineStr">
        <is>
          <t>1. statement amount at their full retirement age (typed from their ssa.gov statement) → statement monthly  [MK-XS-I-008, MK-XS-I-018, MK-XS-I-020]
2. claim age (the slider) → the factor's input  [MK-XS-I-021]
3. birth year (setup) → the anchor  [MK-XS-I-017]</t>
        </is>
      </c>
      <c r="K18" t="inlineStr">
        <is>
          <t>US dollars · held to the cent · shown as whole dollars  [derived by rule — confirm]</t>
        </is>
      </c>
      <c r="L18" t="inlineStr">
        <is>
          <t>Without a statement amount a worked example is shown, labelled as an example throughout.</t>
        </is>
      </c>
      <c r="M18" t="inlineStr">
        <is>
          <t>One figure per month  [derived by rule — confirm]</t>
        </is>
      </c>
      <c r="N18" t="inlineStr">
        <is>
          <t>As of today, from the latest figures held  [derived by rule — confirm]</t>
        </is>
      </c>
      <c r="O18" t="inlineStr">
        <is>
          <t>MK-XS-E-046 (SS_CLAIM_FACTOR) → How much of the statement amount a claim age actually pays, anchored at the person's OWN f</t>
        </is>
      </c>
      <c r="P18" t="inlineStr">
        <is>
          <t>MK-PL-F-057 fullRetirementAge → MK-PL-F-058 ssClaimFactorFor → MK-PL-F-060 ssBenefitAt</t>
        </is>
      </c>
      <c r="Q18" t="inlineStr">
        <is>
          <t>1. MK-PL-F-060 — If statement monthly is missing it counts as zero, so nothing recorded and a real zero look the same.
2. MK-PL-F-060 — Rounds the answer to a whole number.
3. MK-PL-F-058 — Treats a year as twelve equal months.
4. MK-PL-F-058 — Turns a monthly figure into a year by multiplying by twelve.
5. MK-PL-F-058 — Rounds the answer to a whole number.
6. MK-PL-F-057 — Treats a year as twelve equal months.</t>
        </is>
      </c>
      <c r="R18" t="inlineStr"/>
      <c r="S18" t="inlineStr"/>
      <c r="T18"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t="inlineStr"/>
      <c r="V18" t="inlineStr"/>
      <c r="W18" t="inlineStr"/>
      <c r="X18" t="inlineStr"/>
      <c r="Y18" t="inlineStr">
        <is>
          <t>NOT DETERMINED</t>
        </is>
      </c>
      <c r="Z18" t="inlineStr">
        <is>
          <t>VERIFIED 2026-08-22</t>
        </is>
      </c>
      <c r="AA18"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A18 — "Treats a year as twelve equal months" fires on any division by 12, a month index included; "Treats a month as 30 days" fires on any multiplication by 30. Neither is read as arithmetic, so both carry false positives.
5.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t="inlineStr">
        <is>
          <t>AGREES — the figure's arithmetic and the arithmetic of the function it names say the same thing. Checked 2026-08-26.</t>
        </is>
      </c>
      <c r="AC18" t="inlineStr">
        <is>
          <t>HAS A FUNCTION — traceable from the screen to the code.</t>
        </is>
      </c>
      <c r="AD18" t="inlineStr"/>
      <c r="AE18" t="inlineStr">
        <is>
          <t>A38 — OPEN since 2026-08-26 — nothing has closed this. It is not known to be wrong; it is known to be unaddressed.
A39 — OPEN since 2026-08-26 — nothing has closed this. It is not known to be wrong; it is known to be unaddressed.
A41 — OPEN since 2026-08-26 — nothing has closed this. It is not known to be wrong; it is known to be unaddressed.</t>
        </is>
      </c>
      <c r="AF18" t="inlineStr">
        <is>
          <t>ACTIVE</t>
        </is>
      </c>
      <c r="AG18" t="inlineStr">
        <is>
          <t>2026-08-27</t>
        </is>
      </c>
    </row>
    <row r="19">
      <c r="A19" t="inlineStr">
        <is>
          <t>MK-PL-M-018</t>
        </is>
      </c>
      <c r="B19" t="inlineStr">
        <is>
          <t>Plan</t>
        </is>
      </c>
      <c r="C19" t="inlineStr">
        <is>
          <t>/ss-timing</t>
        </is>
      </c>
      <c r="D19" t="inlineStr">
        <is>
          <t>You receive $X/mo ✓</t>
        </is>
      </c>
      <c r="E19" t="inlineStr">
        <is>
          <t>op.ri_ss</t>
        </is>
      </c>
      <c r="F19" t="inlineStr">
        <is>
          <t>currentRetirementIncomeMonthly</t>
        </is>
      </c>
      <c r="G19" t="inlineStr">
        <is>
          <t>MK-CF-F-072</t>
        </is>
      </c>
      <c r="H19" t="inlineStr">
        <is>
          <t>guaranteed income now = Σ(streams already being received)</t>
        </is>
      </c>
      <c r="I19"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t="inlineStr">
        <is>
          <t>1. do they receive it now → incomeSources  [MK-XS-I-040]
2. the amounts → retirementIncomeMonthly  [MK-XS-I-008]</t>
        </is>
      </c>
      <c r="K19" t="inlineStr">
        <is>
          <t>US dollars · held to the cent · shown as whole dollars  [derived by rule — confirm]</t>
        </is>
      </c>
      <c r="L19" t="inlineStr">
        <is>
          <t>Adds up to $0 when there is nothing to add. Zero and "nothing recorded yet" look identical on screen — worth a decision.</t>
        </is>
      </c>
      <c r="M19" t="inlineStr">
        <is>
          <t>One figure per person — or per household when two people share one record  [derived by rule — confirm]</t>
        </is>
      </c>
      <c r="N19" t="inlineStr">
        <is>
          <t>As of today, from the latest figures held  [derived by rule — confirm]</t>
        </is>
      </c>
      <c r="O19" t="inlineStr">
        <is>
          <t>MK-XS-E-047 (RETIREMENT_INCOME) → How much retirement income arrives monthly?</t>
        </is>
      </c>
      <c r="P19" t="inlineStr">
        <is>
          <t>MK-ST-F-052 toNum → MK-CF-F-075 retirementIncomeMonthly → MK-CF-F-072 currentRetirementIncomeMonthly</t>
        </is>
      </c>
      <c r="Q19" t="inlineStr">
        <is>
          <t>None found anywhere in this chain</t>
        </is>
      </c>
      <c r="R19" t="inlineStr"/>
      <c r="S19" t="inlineStr"/>
      <c r="T19" t="inlineStr">
        <is>
          <t>NOT DETERMINED — no assumption recorded for this figure yet.</t>
        </is>
      </c>
      <c r="U19" t="inlineStr">
        <is>
          <t>THE SAME FIGURE AS MK-CF-M-011 — Guaranteed income being received now. Shown four ways: "You receive $X/mo" on Social Security timing, "incl. Social Security $X/mo" on the cockpit, as a source on Cash flow, and as a list on Monthly income. One figure, four identifiers.</t>
        </is>
      </c>
      <c r="V19" t="inlineStr"/>
      <c r="W19" t="inlineStr"/>
      <c r="X19" t="inlineStr"/>
      <c r="Y19" t="inlineStr">
        <is>
          <t>NOT DETERMINED</t>
        </is>
      </c>
      <c r="Z19" t="inlineStr">
        <is>
          <t>VERIFIED 2026-08-22</t>
        </is>
      </c>
      <c r="AA1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t="inlineStr">
        <is>
          <t>AGREES — the figure's arithmetic and the arithmetic of the function it names say the same thing. Checked 2026-08-26.</t>
        </is>
      </c>
      <c r="AC19" t="inlineStr">
        <is>
          <t>HAS A FUNCTION — traceable from the screen to the code.</t>
        </is>
      </c>
      <c r="AD19" t="inlineStr"/>
      <c r="AE19" t="inlineStr">
        <is>
          <t>No finding on this row. That is not a statement that the row is right — only that nothing has been written against it.</t>
        </is>
      </c>
      <c r="AF19" t="inlineStr">
        <is>
          <t>SUPERSEDED BY MK-CF-M-011 — the same figure under another identifier. This number is retired and is never handed to anything else.</t>
        </is>
      </c>
      <c r="AG19" t="inlineStr">
        <is>
          <t>2026-08-27</t>
        </is>
      </c>
    </row>
    <row r="20">
      <c r="A20" t="inlineStr">
        <is>
          <t>MK-PL-M-019</t>
        </is>
      </c>
      <c r="B20" t="inlineStr">
        <is>
          <t>Plan</t>
        </is>
      </c>
      <c r="C20" t="inlineStr">
        <is>
          <t>/ss-timing</t>
        </is>
      </c>
      <c r="D20" t="inlineStr">
        <is>
          <t>Claiming at N pays $X a month</t>
        </is>
      </c>
      <c r="E20" t="inlineStr">
        <is>
          <t>r.monthly</t>
        </is>
      </c>
      <c r="F20" t="inlineStr">
        <is>
          <t>1. ssClaimFactorFor
2. ssBenefitAt</t>
        </is>
      </c>
      <c r="G20" t="inlineStr">
        <is>
          <t>1. MK-PL-F-058
2. MK-PL-F-060</t>
        </is>
      </c>
      <c r="H20" t="inlineStr">
        <is>
          <t>factor = 1 − 5/9% per month for the first 36 months early, − 5/12% per month beyond that; + 2/3% per month for each month claimed late up to 70</t>
        </is>
      </c>
      <c r="I20"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t="inlineStr">
        <is>
          <t>1. claim age (the slider, 62–70) → months early or late vs their full retirement age  [MK-XS-I-018, MK-XS-I-021]
2. birth year (their setup answer) → the full retirement age it anchors to  [MK-XS-I-017, MK-XS-I-018]
3. statement amount at their full retirement age (typed from their ssa.gov statement) → statement monthly  [MK-XS-I-008, MK-XS-I-018, MK-XS-I-020]
4. claim age (the slider) → the factor's input  [MK-XS-I-021]
5. birth year (setup) → the anchor  [MK-XS-I-017]</t>
        </is>
      </c>
      <c r="K20" t="inlineStr">
        <is>
          <t>US dollars · held to the cent · shown as whole dollars  [derived by rule — confirm]</t>
        </is>
      </c>
      <c r="L20" t="inlineStr">
        <is>
          <t>Without a statement amount a worked example is shown, labelled as an example throughout.</t>
        </is>
      </c>
      <c r="M20" t="inlineStr">
        <is>
          <t>One figure per month  [derived by rule — confirm]</t>
        </is>
      </c>
      <c r="N20" t="inlineStr">
        <is>
          <t>As of today, from the latest figures held  [derived by rule — confirm]</t>
        </is>
      </c>
      <c r="O20" t="inlineStr">
        <is>
          <t>1. MK-XS-E-048 (SS_FULL_RETIREMENT_AGE) → The person's own Social Security full retirement age. Answers: 66 (born through 1954) · 66
2. MK-XS-E-046 (SS_CLAIM_FACTOR) → How much of the statement amount a claim age actually pays, anchored at the person's OWN f</t>
        </is>
      </c>
      <c r="P20" t="inlineStr">
        <is>
          <t>1. MK-PL-F-057 fullRetirementAge → MK-PL-F-058 ssClaimFactorFor
2. MK-PL-F-057 fullRetirementAge → MK-PL-F-058 ssClaimFactorFor → MK-PL-F-060 ssBenefitAt</t>
        </is>
      </c>
      <c r="Q20" t="inlineStr">
        <is>
          <t>1. MK-PL-F-058 — Treats a year as twelve equal months.
2. MK-PL-F-058 — Turns a monthly figure into a year by multiplying by twelve.
3. MK-PL-F-058 — Rounds the answer to a whole number.
4. MK-PL-F-057 — Treats a year as twelve equal months.
5. MK-PL-F-060 — If statement monthly is missing it counts as zero, so nothing recorded and a real zero look the same.
6. MK-PL-F-060 — Rounds the answer to a whole number.</t>
        </is>
      </c>
      <c r="R20" t="inlineStr"/>
      <c r="S20" t="inlineStr"/>
      <c r="T20"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t="inlineStr"/>
      <c r="V20" t="inlineStr"/>
      <c r="W20" t="inlineStr"/>
      <c r="X20" t="inlineStr"/>
      <c r="Y20" t="inlineStr">
        <is>
          <t>NOT DETERMINED</t>
        </is>
      </c>
      <c r="Z20" t="inlineStr">
        <is>
          <t>VERIFIED 2026-08-22</t>
        </is>
      </c>
      <c r="AA20"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A18 — "Treats a year as twelve equal months" fires on any division by 12, a month index included; "Treats a month as 30 days" fires on any multiplication by 30. Neither is read as arithmetic, so both carry false positives.
5.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t="inlineStr">
        <is>
          <t>AGREES — the figure's arithmetic and the arithmetic of the function it names say the same thing. Checked 2026-08-26.</t>
        </is>
      </c>
      <c r="AC20" t="inlineStr">
        <is>
          <t>HAS A FUNCTION — traceable from the screen to the code.</t>
        </is>
      </c>
      <c r="AD20" t="inlineStr"/>
      <c r="AE20" t="inlineStr">
        <is>
          <t>A38 — OPEN since 2026-08-26 — nothing has closed this. It is not known to be wrong; it is known to be unaddressed.
A39 — OPEN since 2026-08-26 — nothing has closed this. It is not known to be wrong; it is known to be unaddressed.
A41 — OPEN since 2026-08-26 — nothing has closed this. It is not known to be wrong; it is known to be unaddressed.</t>
        </is>
      </c>
      <c r="AF20" t="inlineStr">
        <is>
          <t>ACTIVE</t>
        </is>
      </c>
      <c r="AG20" t="inlineStr">
        <is>
          <t>2026-08-27</t>
        </is>
      </c>
    </row>
    <row r="21">
      <c r="A21" t="inlineStr">
        <is>
          <t>MK-PL-M-020</t>
        </is>
      </c>
      <c r="B21" t="inlineStr">
        <is>
          <t>Plan</t>
        </is>
      </c>
      <c r="C21" t="inlineStr">
        <is>
          <t>/ss-timing</t>
        </is>
      </c>
      <c r="D21" t="inlineStr">
        <is>
          <t>about $X in total by age N</t>
        </is>
      </c>
      <c r="E21" t="inlineStr">
        <is>
          <t>r.lifetime</t>
        </is>
      </c>
      <c r="F21" t="inlineStr">
        <is>
          <t>NOT ON RECORD — no function is recorded for this figure</t>
        </is>
      </c>
      <c r="G21" t="inlineStr"/>
      <c r="H21" t="inlineStr">
        <is>
          <t>lifetime total = monthly benefit × 12 × (life expectancy − claim age)</t>
        </is>
      </c>
      <c r="I21" t="inlineStr">
        <is>
          <t>The monthly Social Security check multiplied out to a life expectancy, so claiming early and claiming late can be compared in total dollars.</t>
        </is>
      </c>
      <c r="J21" t="inlineStr">
        <is>
          <t>NOT DETERMINED — no input list on record for this engine</t>
        </is>
      </c>
      <c r="K21" t="inlineStr">
        <is>
          <t>Age in whole years  [derived by rule — confirm]</t>
        </is>
      </c>
      <c r="L21" t="inlineStr">
        <is>
          <t>NOT DETERMINED — this engine has not been read for its refusal yet.</t>
        </is>
      </c>
      <c r="M21" t="inlineStr">
        <is>
          <t>One figure per person — or per household when two people share one record  [derived by rule — confirm]</t>
        </is>
      </c>
      <c r="N21" t="inlineStr">
        <is>
          <t>As of today, from the latest figures held  [derived by rule — confirm]</t>
        </is>
      </c>
      <c r="O21" t="inlineStr">
        <is>
          <t>NOT DETERMINED</t>
        </is>
      </c>
      <c r="P21" t="inlineStr">
        <is>
          <t>No function on record — nothing to chain</t>
        </is>
      </c>
      <c r="Q21" t="inlineStr">
        <is>
          <t>No function on record — assumptions unknown</t>
        </is>
      </c>
      <c r="R21" t="inlineStr"/>
      <c r="S21" t="inlineStr"/>
      <c r="T21" t="inlineStr">
        <is>
          <t>[Built in] A life-expectancy figure the person never chose.
[The person] The claim age they set, and the statement amount they typed.</t>
        </is>
      </c>
      <c r="U21" t="inlineStr"/>
      <c r="V21" t="inlineStr"/>
      <c r="W21" t="inlineStr"/>
      <c r="X21" t="inlineStr"/>
      <c r="Y21" t="inlineStr">
        <is>
          <t>NOT DETERMINED</t>
        </is>
      </c>
      <c r="Z21" t="inlineStr">
        <is>
          <t>VERIFIED 2026-08-22</t>
        </is>
      </c>
      <c r="AA21"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t="inlineStr">
        <is>
          <t>B24 [NOT COMPARABLE] — This figure names no function, so its formula cannot be checked against anything. 69 of the 163 figures are in this position — the audit covers the 94 that name one.</t>
        </is>
      </c>
      <c r="AC21"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t="inlineStr"/>
      <c r="AE21" t="inlineStr">
        <is>
          <t>A40 — OPEN since 2026-08-26 — nothing has closed this. It is not known to be wrong; it is known to be unaddressed.
A41 — OPEN since 2026-08-26 — nothing has closed this. It is not known to be wrong; it is known to be unaddressed.</t>
        </is>
      </c>
      <c r="AF21" t="inlineStr">
        <is>
          <t>ACTIVE</t>
        </is>
      </c>
      <c r="AG21" t="inlineStr">
        <is>
          <t>2026-08-27</t>
        </is>
      </c>
    </row>
    <row r="22">
      <c r="A22" t="inlineStr">
        <is>
          <t>MK-PL-M-021</t>
        </is>
      </c>
      <c r="B22" t="inlineStr">
        <is>
          <t>Plan</t>
        </is>
      </c>
      <c r="C22" t="inlineStr">
        <is>
          <t>/ss-timing</t>
        </is>
      </c>
      <c r="D22" t="inlineStr">
        <is>
          <t>Showing example numbers (a $X/mo statement)</t>
        </is>
      </c>
      <c r="E22" t="inlineStr">
        <is>
          <t>exampleStmt</t>
        </is>
      </c>
      <c r="F22" t="inlineStr">
        <is>
          <t>NOT ON RECORD — no function is recorded for this figure</t>
        </is>
      </c>
      <c r="G22" t="inlineStr"/>
      <c r="H22" t="inlineStr">
        <is>
          <t>a stated example amount, shown labelled as an example</t>
        </is>
      </c>
      <c r="I22" t="inlineStr">
        <is>
          <t>A worked example shown in place of a real Social Security statement, always labelled as such.</t>
        </is>
      </c>
      <c r="J22" t="inlineStr">
        <is>
          <t>NOT DETERMINED — no input list on record for this engine</t>
        </is>
      </c>
      <c r="K22" t="inlineStr">
        <is>
          <t>US dollars · held to the cent · shown as whole dollars  [derived by rule — confirm]</t>
        </is>
      </c>
      <c r="L22" t="inlineStr">
        <is>
          <t>NOT DETERMINED — this engine has not been read for its refusal yet.</t>
        </is>
      </c>
      <c r="M22" t="inlineStr">
        <is>
          <t>One figure per person — or per household when two people share one record  [derived by rule — confirm]</t>
        </is>
      </c>
      <c r="N22" t="inlineStr">
        <is>
          <t>As of today, from the latest figures held  [derived by rule — confirm]</t>
        </is>
      </c>
      <c r="O22" t="inlineStr">
        <is>
          <t>NOT DETERMINED</t>
        </is>
      </c>
      <c r="P22" t="inlineStr">
        <is>
          <t>No function on record — nothing to chain</t>
        </is>
      </c>
      <c r="Q22" t="inlineStr">
        <is>
          <t>No function on record — assumptions unknown</t>
        </is>
      </c>
      <c r="R22" t="inlineStr"/>
      <c r="S22" t="inlineStr"/>
      <c r="T22" t="inlineStr">
        <is>
          <t>NOT DETERMINED — no assumption recorded for this figure yet.</t>
        </is>
      </c>
      <c r="U22" t="inlineStr"/>
      <c r="V22" t="inlineStr"/>
      <c r="W22" t="inlineStr"/>
      <c r="X22" t="inlineStr"/>
      <c r="Y22" t="inlineStr">
        <is>
          <t>NOT DETERMINED</t>
        </is>
      </c>
      <c r="Z22" t="inlineStr">
        <is>
          <t>VERIFIED 2026-08-22</t>
        </is>
      </c>
      <c r="AA2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t="inlineStr">
        <is>
          <t>B24 [NOT COMPARABLE] — This figure names no function, so its formula cannot be checked against anything. 69 of the 163 figures are in this position — the audit covers the 94 that name one.</t>
        </is>
      </c>
      <c r="AC22"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t="inlineStr"/>
      <c r="AE22" t="inlineStr">
        <is>
          <t>No finding on this row. That is not a statement that the row is right — only that nothing has been written against it.</t>
        </is>
      </c>
      <c r="AF22" t="inlineStr">
        <is>
          <t>ACTIVE</t>
        </is>
      </c>
      <c r="AG22" t="inlineStr">
        <is>
          <t>2026-08-27</t>
        </is>
      </c>
    </row>
    <row r="23">
      <c r="A23" t="inlineStr">
        <is>
          <t>MK-PL-M-022</t>
        </is>
      </c>
      <c r="B23" t="inlineStr">
        <is>
          <t>Plan</t>
        </is>
      </c>
      <c r="C23" t="inlineStr">
        <is>
          <t>/roth</t>
        </is>
      </c>
      <c r="D23" t="inlineStr">
        <is>
          <t>Convert to Roth this year (&lt;year&gt;)</t>
        </is>
      </c>
      <c r="E23" t="inlineStr">
        <is>
          <t>A.rothConversionThisYear</t>
        </is>
      </c>
      <c r="F23" t="inlineStr">
        <is>
          <t>Typed by the person — no function behind it</t>
        </is>
      </c>
      <c r="G23" t="inlineStr"/>
      <c r="H23" t="inlineStr">
        <is>
          <t>the value typed by the person</t>
        </is>
      </c>
      <c r="I23" t="inlineStr">
        <is>
          <t>A number the person entered; no calculation.</t>
        </is>
      </c>
      <c r="J23" t="inlineStr">
        <is>
          <t>NOT DETERMINED — no input list on record for this engine</t>
        </is>
      </c>
      <c r="K23" t="inlineStr">
        <is>
          <t>US dollars · held to the cent · shown as whole dollars  [derived by rule — confirm]</t>
        </is>
      </c>
      <c r="L23" t="inlineStr">
        <is>
          <t>Nothing to compute — the person either entered it or has not, and the screen shows it only when they have.</t>
        </is>
      </c>
      <c r="M23" t="inlineStr">
        <is>
          <t>One figure per person — or per household when two people share one record  [derived by rule — confirm]</t>
        </is>
      </c>
      <c r="N23" t="inlineStr">
        <is>
          <t>This calendar year, to today  [derived by rule — confirm]</t>
        </is>
      </c>
      <c r="O23" t="inlineStr">
        <is>
          <t>NOT DETERMINED</t>
        </is>
      </c>
      <c r="P23" t="inlineStr">
        <is>
          <t>No function on record — nothing to chain</t>
        </is>
      </c>
      <c r="Q23" t="inlineStr">
        <is>
          <t>No function on record — assumptions unknown</t>
        </is>
      </c>
      <c r="R23" t="inlineStr"/>
      <c r="S23" t="inlineStr"/>
      <c r="T23" t="inlineStr">
        <is>
          <t>NOT DETERMINED — no assumption recorded for this figure yet.</t>
        </is>
      </c>
      <c r="U23" t="inlineStr"/>
      <c r="V23" t="inlineStr"/>
      <c r="W23" t="inlineStr"/>
      <c r="X23" t="inlineStr"/>
      <c r="Y23" t="inlineStr">
        <is>
          <t>NOT DETERMINED</t>
        </is>
      </c>
      <c r="Z23" t="inlineStr">
        <is>
          <t>VERIFIED 2026-08-22</t>
        </is>
      </c>
      <c r="AA2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t="inlineStr">
        <is>
          <t>B24 [NOT COMPARABLE] — This figure names no function, so its formula cannot be checked against anything. 69 of the 163 figures are in this position — the audit covers the 94 that name one.</t>
        </is>
      </c>
      <c r="AC23" t="inlineStr">
        <is>
          <t>TYPED — none needed. The person entered this number; nothing calculates it and nothing should. This row is already right and needs no work.</t>
        </is>
      </c>
      <c r="AD23" t="inlineStr"/>
      <c r="AE23" t="inlineStr">
        <is>
          <t>No finding on this row. That is not a statement that the row is right — only that nothing has been written against it.</t>
        </is>
      </c>
      <c r="AF23" t="inlineStr">
        <is>
          <t>ACTIVE</t>
        </is>
      </c>
      <c r="AG23" t="inlineStr">
        <is>
          <t>2026-08-27</t>
        </is>
      </c>
    </row>
    <row r="24">
      <c r="A24" t="inlineStr">
        <is>
          <t>MK-PL-M-023</t>
        </is>
      </c>
      <c r="B24" t="inlineStr">
        <is>
          <t>Plan</t>
        </is>
      </c>
      <c r="C24" t="inlineStr">
        <is>
          <t>/roth</t>
        </is>
      </c>
      <c r="D24" t="inlineStr">
        <is>
          <t>Extra tax next April (estimate) — about $X</t>
        </is>
      </c>
      <c r="E24" t="inlineStr">
        <is>
          <t>taxCost</t>
        </is>
      </c>
      <c r="F24" t="inlineStr">
        <is>
          <t>NOT ON RECORD — no function is recorded for this figure</t>
        </is>
      </c>
      <c r="G24" t="inlineStr"/>
      <c r="H24" t="inlineStr">
        <is>
          <t>extra tax ≈ Σ over bands of (amount converted falling in that band × its rate)</t>
        </is>
      </c>
      <c r="I24" t="inlineStr">
        <is>
          <t>The extra tax a Roth conversion would cause: the converted amount is stacked on top of this year's income and taxed band by band.</t>
        </is>
      </c>
      <c r="J24" t="inlineStr">
        <is>
          <t>NOT DETERMINED — no input list on record for this engine</t>
        </is>
      </c>
      <c r="K24" t="inlineStr">
        <is>
          <t>US dollars · held to the cent · shown as whole dollars  [derived by rule — confirm]</t>
        </is>
      </c>
      <c r="L24" t="inlineStr">
        <is>
          <t>Adds up to $0 when there is nothing to add. Zero and "nothing recorded yet" look identical on screen — worth a decision.</t>
        </is>
      </c>
      <c r="M24" t="inlineStr">
        <is>
          <t>One figure per person — or per household when two people share one record  [derived by rule — confirm]</t>
        </is>
      </c>
      <c r="N24" t="inlineStr">
        <is>
          <t>As of today, from the latest figures held  [derived by rule — confirm]</t>
        </is>
      </c>
      <c r="O24" t="inlineStr">
        <is>
          <t>NOT DETERMINED</t>
        </is>
      </c>
      <c r="P24" t="inlineStr">
        <is>
          <t>No function on record — nothing to chain</t>
        </is>
      </c>
      <c r="Q24" t="inlineStr">
        <is>
          <t>No function on record — assumptions unknown</t>
        </is>
      </c>
      <c r="R24" t="inlineStr"/>
      <c r="S24" t="inlineStr"/>
      <c r="T24" t="inlineStr">
        <is>
          <t>NOT DETERMINED — no assumption recorded for this figure yet.</t>
        </is>
      </c>
      <c r="U24" t="inlineStr"/>
      <c r="V24" t="inlineStr"/>
      <c r="W24" t="inlineStr"/>
      <c r="X24" t="inlineStr"/>
      <c r="Y24" t="inlineStr">
        <is>
          <t>NOT DETERMINED</t>
        </is>
      </c>
      <c r="Z24" t="inlineStr">
        <is>
          <t>VERIFIED 2026-08-22</t>
        </is>
      </c>
      <c r="AA24"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t="inlineStr">
        <is>
          <t>B24 [NOT COMPARABLE] — This figure names no function, so its formula cannot be checked against anything. 69 of the 163 figures are in this position — the audit covers the 94 that name one.</t>
        </is>
      </c>
      <c r="AC24"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t="inlineStr"/>
      <c r="AE24" t="inlineStr">
        <is>
          <t>A42 — OPEN since 2026-08-26 — nothing has closed this. It is not known to be wrong; it is known to be unaddressed.
A41 — OPEN since 2026-08-26 — nothing has closed this. It is not known to be wrong; it is known to be unaddressed.</t>
        </is>
      </c>
      <c r="AF24" t="inlineStr">
        <is>
          <t>ACTIVE</t>
        </is>
      </c>
      <c r="AG24" t="inlineStr">
        <is>
          <t>2026-08-27</t>
        </is>
      </c>
    </row>
    <row r="25">
      <c r="A25" t="inlineStr">
        <is>
          <t>MK-PL-M-024</t>
        </is>
      </c>
      <c r="B25" t="inlineStr">
        <is>
          <t>Plan</t>
        </is>
      </c>
      <c r="C25" t="inlineStr">
        <is>
          <t>/roth</t>
        </is>
      </c>
      <c r="D25" t="inlineStr">
        <is>
          <t>from your pre-tax $X</t>
        </is>
      </c>
      <c r="E25" t="inlineStr">
        <is>
          <t>preTax</t>
        </is>
      </c>
      <c r="F25" t="inlineStr">
        <is>
          <t>NOT ON RECORD — no function is recorded for this figure</t>
        </is>
      </c>
      <c r="G25" t="inlineStr"/>
      <c r="H25" t="inlineStr">
        <is>
          <t>pre-tax balance = Σ(balance of accounts whose tax type = pre-tax)</t>
        </is>
      </c>
      <c r="I25" t="inlineStr">
        <is>
          <t>Adds the balances of accounts whose money has not been taxed yet — the pot a Roth move would come from.</t>
        </is>
      </c>
      <c r="J25" t="inlineStr">
        <is>
          <t>NOT DETERMINED — no input list on record for this engine</t>
        </is>
      </c>
      <c r="K25" t="inlineStr">
        <is>
          <t>US dollars · held to the cent · shown as whole dollars  [derived by rule — confirm]</t>
        </is>
      </c>
      <c r="L25" t="inlineStr">
        <is>
          <t>Adds up to $0 when there is nothing to add. Zero and "nothing recorded yet" look identical on screen — worth a decision.</t>
        </is>
      </c>
      <c r="M25" t="inlineStr">
        <is>
          <t>One figure per person — or per household when two people share one record  [derived by rule — confirm]</t>
        </is>
      </c>
      <c r="N25" t="inlineStr">
        <is>
          <t>As of today, from the latest figures held  [derived by rule — confirm]</t>
        </is>
      </c>
      <c r="O25" t="inlineStr">
        <is>
          <t>NOT DETERMINED</t>
        </is>
      </c>
      <c r="P25" t="inlineStr">
        <is>
          <t>No function on record — nothing to chain</t>
        </is>
      </c>
      <c r="Q25" t="inlineStr">
        <is>
          <t>No function on record — assumptions unknown</t>
        </is>
      </c>
      <c r="R25" t="inlineStr"/>
      <c r="S25" t="inlineStr"/>
      <c r="T25" t="inlineStr">
        <is>
          <t>NOT DETERMINED — no assumption recorded for this figure yet.</t>
        </is>
      </c>
      <c r="U25" t="inlineStr"/>
      <c r="V25" t="inlineStr"/>
      <c r="W25" t="inlineStr"/>
      <c r="X25" t="inlineStr"/>
      <c r="Y25" t="inlineStr">
        <is>
          <t>NOT DETERMINED</t>
        </is>
      </c>
      <c r="Z25" t="inlineStr">
        <is>
          <t>VERIFIED 2026-08-22</t>
        </is>
      </c>
      <c r="AA2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t="inlineStr">
        <is>
          <t>B24 [NOT COMPARABLE] — This figure names no function, so its formula cannot be checked against anything. 69 of the 163 figures are in this position — the audit covers the 94 that name one.</t>
        </is>
      </c>
      <c r="AC25"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t="inlineStr"/>
      <c r="AE25" t="inlineStr">
        <is>
          <t>No finding on this row. That is not a statement that the row is right — only that nothing has been written against it.</t>
        </is>
      </c>
      <c r="AF25" t="inlineStr">
        <is>
          <t>ACTIVE</t>
        </is>
      </c>
      <c r="AG25" t="inlineStr">
        <is>
          <t>2026-08-27</t>
        </is>
      </c>
    </row>
    <row r="26">
      <c r="A26" t="inlineStr">
        <is>
          <t>MK-PL-M-025</t>
        </is>
      </c>
      <c r="B26" t="inlineStr">
        <is>
          <t>Plan</t>
        </is>
      </c>
      <c r="C26" t="inlineStr">
        <is>
          <t>/what-if</t>
        </is>
      </c>
      <c r="D26" t="inlineStr">
        <is>
          <t>+$X/mo (the saving dial)</t>
        </is>
      </c>
      <c r="E26" t="inlineStr">
        <is>
          <t>addMonthly</t>
        </is>
      </c>
      <c r="F26" t="inlineStr">
        <is>
          <t>Typed by the person — no function behind it</t>
        </is>
      </c>
      <c r="G26" t="inlineStr"/>
      <c r="H26" t="inlineStr">
        <is>
          <t>the value typed by the person</t>
        </is>
      </c>
      <c r="I26" t="inlineStr">
        <is>
          <t>A number the person entered; no calculation.</t>
        </is>
      </c>
      <c r="J26" t="inlineStr">
        <is>
          <t>NOT DETERMINED — no input list on record for this engine</t>
        </is>
      </c>
      <c r="K26" t="inlineStr">
        <is>
          <t>US dollars · held to the cent · shown as whole dollars  [derived by rule — confirm]</t>
        </is>
      </c>
      <c r="L26" t="inlineStr">
        <is>
          <t>Nothing to compute — the person either entered it or has not, and the screen shows it only when they have.</t>
        </is>
      </c>
      <c r="M26" t="inlineStr">
        <is>
          <t>One figure per person — or per household when two people share one record  [derived by rule — confirm]</t>
        </is>
      </c>
      <c r="N26" t="inlineStr">
        <is>
          <t>As of today, from the latest figures held  [derived by rule — confirm]</t>
        </is>
      </c>
      <c r="O26" t="inlineStr">
        <is>
          <t>NOT DETERMINED</t>
        </is>
      </c>
      <c r="P26" t="inlineStr">
        <is>
          <t>No function on record — nothing to chain</t>
        </is>
      </c>
      <c r="Q26" t="inlineStr">
        <is>
          <t>No function on record — assumptions unknown</t>
        </is>
      </c>
      <c r="R26" t="inlineStr"/>
      <c r="S26" t="inlineStr"/>
      <c r="T26" t="inlineStr">
        <is>
          <t>NOT DETERMINED — no assumption recorded for this figure yet.</t>
        </is>
      </c>
      <c r="U26" t="inlineStr"/>
      <c r="V26" t="inlineStr"/>
      <c r="W26" t="inlineStr"/>
      <c r="X26" t="inlineStr"/>
      <c r="Y26" t="inlineStr">
        <is>
          <t>NOT DETERMINED</t>
        </is>
      </c>
      <c r="Z26" t="inlineStr">
        <is>
          <t>VERIFIED 2026-08-22</t>
        </is>
      </c>
      <c r="AA26"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t="inlineStr">
        <is>
          <t>B24 [NOT COMPARABLE] — This figure names no function, so its formula cannot be checked against anything. 69 of the 163 figures are in this position — the audit covers the 94 that name one.</t>
        </is>
      </c>
      <c r="AC26" t="inlineStr">
        <is>
          <t>TYPED — none needed. The person entered this number; nothing calculates it and nothing should. This row is already right and needs no work.</t>
        </is>
      </c>
      <c r="AD26" t="inlineStr"/>
      <c r="AE26" t="inlineStr">
        <is>
          <t>No finding on this row. That is not a statement that the row is right — only that nothing has been written against it.</t>
        </is>
      </c>
      <c r="AF26" t="inlineStr">
        <is>
          <t>ACTIVE</t>
        </is>
      </c>
      <c r="AG26" t="inlineStr">
        <is>
          <t>2026-08-27</t>
        </is>
      </c>
    </row>
    <row r="27">
      <c r="A27" t="inlineStr">
        <is>
          <t>MK-PL-M-026</t>
        </is>
      </c>
      <c r="B27" t="inlineStr">
        <is>
          <t>Plan</t>
        </is>
      </c>
      <c r="C27" t="inlineStr">
        <is>
          <t>/what-if</t>
        </is>
      </c>
      <c r="D27" t="inlineStr">
        <is>
          <t>$X → $Y (nest egg before and after)</t>
        </is>
      </c>
      <c r="E27" t="inlineStr">
        <is>
          <t>result.before.egg / result.after.egg</t>
        </is>
      </c>
      <c r="F27" t="inlineStr">
        <is>
          <t>projectNestEgg</t>
        </is>
      </c>
      <c r="G27" t="inlineStr">
        <is>
          <t>MK-PL-F-055</t>
        </is>
      </c>
      <c r="H27" t="inlineStr">
        <is>
          <t>pot = balance × (1 + r)^n + Σ(contribution × (1 + r)^(n − year)),  n = years to retirement</t>
        </is>
      </c>
      <c r="I27"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27" t="inlineStr">
        <is>
          <t>the same inputs → inp  [MK-XS-I-001]</t>
        </is>
      </c>
      <c r="K27" t="inlineStr">
        <is>
          <t>US dollars · held to the cent · shown as whole dollars  [derived by rule — confirm]</t>
        </is>
      </c>
      <c r="L27" t="inlineStr">
        <is>
          <t>No figure when there is nothing to grow, or when retirement is not ahead of the person.</t>
        </is>
      </c>
      <c r="M27" t="inlineStr">
        <is>
          <t>One figure per person — or per household when two people share one record  [derived by rule — confirm]</t>
        </is>
      </c>
      <c r="N27" t="inlineStr">
        <is>
          <t>From today to the retirement age in the plan  [derived by rule — confirm]</t>
        </is>
      </c>
      <c r="O27" t="inlineStr">
        <is>
          <t>MK-XS-E-005 (WILL_IT_LAST) → Will my money last?</t>
        </is>
      </c>
      <c r="P27" t="inlineStr">
        <is>
          <t>1. MK-CF-F-132 map → MK-PL-F-055 projectNestEgg
2. MK-ST-F-055 round2 → MK-PL-F-055 projectNestEgg
3. MK-CF-F-132 map → MK-PL-F-050 simulate → MK-PL-F-055 projectNestEgg
4. MK-PL-F-074 median → MK-PL-F-050 simulate → MK-PL-F-055 projectNestEgg
5. MK-PL-F-072 mulberry32 → MK-PL-F-050 simulate → MK-PL-F-055 projectNestEgg
6. MK-PL-F-073 normal → MK-PL-F-050 simulate → MK-PL-F-055 projectNestEgg
7. MK-PL-F-075 pctOfSorted → MK-PL-F-050 simulate → MK-PL-F-055 projectNestEgg
8. MK-ST-F-024 rmdStartAge → MK-ST-F-025 rmdStartAgeFromAge → MK-PL-F-050 simulate → MK-PL-F-055 projectNestEgg
9. … and 1 more paths</t>
        </is>
      </c>
      <c r="Q27" t="inlineStr">
        <is>
          <t>1. MK-PL-F-055 — If contribution growth is missing it uses 0.
2. MK-PL-F-055 — If monthly is missing it counts as zero, so nothing recorded and a real zero look the same.
3. MK-PL-F-055 — Uses a built-in y of 0.
4. MK-PL-F-055 — Uses a built-in need of 0.
5. MK-PL-F-055 — Turns a monthly figure into a year by multiplying by twelve.
6. MK-ST-F-055 — Multiplies by 100 — a percentage, or an option contract treated as 100 shares. Worth checking which.
7. MK-ST-F-055 — Rounds the answer to a whole number.
8. MK-PL-F-050 — If paths is missing it uses 500.
9. MK-PL-F-050 — If seed is missing it uses 12345.
10. MK-PL-F-050 — If now year is missing it uses 2026.
11. MK-PL-F-050 — If contribution growth is missing it uses 0.
12. MK-PL-F-050 — If pre tax share is missing it uses 0.
13. MK-PL-F-050 — If required withdrawal tax rate is missing it uses 22%.
14. MK-PL-F-050 — If monthly is missing it counts as zero, so nothing recorded and a real zero look the same.
15. MK-PL-F-050 — If one off by year[off] is missing it counts as zero, so nothing recorded and a real zero look the same.
16. MK-PL-F-050 — If recurring by year[y] is missing it counts as zero, so nothing recorded and a real zero look the same.
17. MK-PL-F-050 — If contrib by year[y] is missing it counts as zero, so nothing recorded and a real zero look the same.
18. MK-PL-F-050 — Uses a built-in y of 1.
19. MK-PL-F-050 — Uses a built-in successes of 0.
20. MK-PL-F-050 — Uses a built-in p of 0.
21. MK-PL-F-050 — Uses a built-in y of 0.
22. MK-PL-F-050 — Treats a year as twelve equal months.
23. MK-PL-F-050 — Turns a monthly figure into a year by multiplying by twelve.
24. MK-PL-F-050 — Multiplies by 100 — a percentage, or an option contract treated as 100 shares. Worth checking which.
25. MK-PL-F-050 — Rounds the answer to a whole number.
… and 1 more, on the functions tab</t>
        </is>
      </c>
      <c r="R27" t="inlineStr"/>
      <c r="S27" t="inlineStr">
        <is>
          <t>The Net worth screen builds this projection WITHOUT the person's big costs, while Cash flow, Budget, Goals and Social Security timing all include them. Same person, same day, two different nest eggs. Seen in the code; not yet confirmed on screen.</t>
        </is>
      </c>
      <c r="T27"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U27" t="inlineStr"/>
      <c r="V27" t="inlineStr"/>
      <c r="W27" t="inlineStr"/>
      <c r="X27" t="inlineStr"/>
      <c r="Y27" t="inlineStr">
        <is>
          <t>NOT DETERMINED</t>
        </is>
      </c>
      <c r="Z27" t="inlineStr">
        <is>
          <t>VERIFIED 2026-08-22</t>
        </is>
      </c>
      <c r="AA27"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spending side rather than here — so whether the headline is in today's money depends on a convention stated nowhere. (projectNestEgg, src/domain/retirement/index.ts:324.)
2.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3.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4. A18 — "Treats a year as twelve equal months" fires on any division by 12, a month index included; "Treats a month as 30 days" fires on any multiplication by 30. Neither is read as arithmetic, so both carry false positives.
5.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t="inlineStr">
        <is>
          <t>HAS A FUNCTION — traceable from the screen to the code.</t>
        </is>
      </c>
      <c r="AD27" t="inlineStr">
        <is>
          <t>B11 — This month — the future-paycheck figure omits contribution growth the code applies</t>
        </is>
      </c>
      <c r="AE27" t="inlineStr">
        <is>
          <t>A44 — NOT A DEFECT 2026-08-26
B11 — OPEN since 2026-08-26 — nothing has closed this. It is not known to be wrong; it is known to be unaddressed.</t>
        </is>
      </c>
      <c r="AF27" t="inlineStr">
        <is>
          <t>ACTIVE</t>
        </is>
      </c>
      <c r="AG27" t="inlineStr">
        <is>
          <t>2026-08-27</t>
        </is>
      </c>
    </row>
    <row r="28">
      <c r="A28" t="inlineStr">
        <is>
          <t>MK-PL-M-027</t>
        </is>
      </c>
      <c r="B28" t="inlineStr">
        <is>
          <t>Plan</t>
        </is>
      </c>
      <c r="C28" t="inlineStr">
        <is>
          <t>/what-if</t>
        </is>
      </c>
      <c r="D28" t="inlineStr">
        <is>
          <t>the difference the change makes</t>
        </is>
      </c>
      <c r="E28" t="inlineStr">
        <is>
          <t>result.after.egg - result.before.egg</t>
        </is>
      </c>
      <c r="F28" t="inlineStr">
        <is>
          <t>Worked out on the screen itself — no function behind it</t>
        </is>
      </c>
      <c r="G28" t="inlineStr"/>
      <c r="H28" t="inlineStr">
        <is>
          <t>difference = pot after the change − pot before it</t>
        </is>
      </c>
      <c r="I28" t="inlineStr">
        <is>
          <t>Worked out on the screen itself, with no engine behind it — a place a second definition can appear.</t>
        </is>
      </c>
      <c r="J28" t="inlineStr">
        <is>
          <t>NOT DETERMINED — no input list on record for this engine</t>
        </is>
      </c>
      <c r="K28" t="inlineStr">
        <is>
          <t>US dollars · held to the cent · shown as whole dollars  [derived by rule — confirm]</t>
        </is>
      </c>
      <c r="L28" t="inlineStr">
        <is>
          <t>Inherits the refusal of the figures it is built from: if either side is missing, this line is not shown.</t>
        </is>
      </c>
      <c r="M28" t="inlineStr">
        <is>
          <t>One figure per person — or per household when two people share one record  [derived by rule — confirm]</t>
        </is>
      </c>
      <c r="N28" t="inlineStr">
        <is>
          <t>As of today, from the latest figures held  [derived by rule — confirm]</t>
        </is>
      </c>
      <c r="O28" t="inlineStr">
        <is>
          <t>NOT DETERMINED</t>
        </is>
      </c>
      <c r="P28" t="inlineStr">
        <is>
          <t>No function on record — nothing to chain</t>
        </is>
      </c>
      <c r="Q28" t="inlineStr">
        <is>
          <t>No function on record — assumptions unknown</t>
        </is>
      </c>
      <c r="R28" t="inlineStr"/>
      <c r="S28" t="inlineStr"/>
      <c r="T28" t="inlineStr">
        <is>
          <t>NOT DETERMINED — no assumption recorded for this figure yet.</t>
        </is>
      </c>
      <c r="U28" t="inlineStr"/>
      <c r="V28" t="inlineStr"/>
      <c r="W28" t="inlineStr"/>
      <c r="X28" t="inlineStr"/>
      <c r="Y28" t="inlineStr">
        <is>
          <t>NOT DETERMINED</t>
        </is>
      </c>
      <c r="Z28" t="inlineStr">
        <is>
          <t>VERIFIED 2026-08-22</t>
        </is>
      </c>
      <c r="AA28"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t="inlineStr">
        <is>
          <t>B24 [NOT COMPARABLE] — This figure names no function, so its formula cannot be checked against anything. 69 of the 163 figures are in this position — the audit covers the 94 that name one.</t>
        </is>
      </c>
      <c r="AC28"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t="inlineStr"/>
      <c r="AE28" t="inlineStr">
        <is>
          <t>No finding on this row. That is not a statement that the row is right — only that nothing has been written against it.</t>
        </is>
      </c>
      <c r="AF28" t="inlineStr">
        <is>
          <t>ACTIVE</t>
        </is>
      </c>
      <c r="AG28" t="inlineStr">
        <is>
          <t>2026-08-27</t>
        </is>
      </c>
    </row>
    <row r="29">
      <c r="A29" t="inlineStr">
        <is>
          <t>MK-PL-M-028</t>
        </is>
      </c>
      <c r="B29" t="inlineStr">
        <is>
          <t>Plan</t>
        </is>
      </c>
      <c r="C29" t="inlineStr">
        <is>
          <t>/multi-goal</t>
        </is>
      </c>
      <c r="D29" t="inlineStr">
        <is>
          <t>each goal and its monthly amount</t>
        </is>
      </c>
      <c r="E29" t="inlineStr">
        <is>
          <t>d.monthlyAmount</t>
        </is>
      </c>
      <c r="F29" t="inlineStr">
        <is>
          <t>Typed by the person — no function behind it</t>
        </is>
      </c>
      <c r="G29" t="inlineStr"/>
      <c r="H29" t="inlineStr">
        <is>
          <t>the values typed by the person</t>
        </is>
      </c>
      <c r="I29" t="inlineStr">
        <is>
          <t>Amounts the person entered; no calculation.</t>
        </is>
      </c>
      <c r="J29" t="inlineStr">
        <is>
          <t>NOT DETERMINED — no input list on record for this engine</t>
        </is>
      </c>
      <c r="K29" t="inlineStr">
        <is>
          <t>US dollars · held to the cent · shown as whole dollars  [derived by rule — confirm]</t>
        </is>
      </c>
      <c r="L29" t="inlineStr">
        <is>
          <t>Nothing to compute — the person either entered it or has not, and the screen shows it only when they have.</t>
        </is>
      </c>
      <c r="M29" t="inlineStr">
        <is>
          <t>One figure per goal  [derived by rule — confirm]</t>
        </is>
      </c>
      <c r="N29" t="inlineStr">
        <is>
          <t>As of today, from the latest figures held  [derived by rule — confirm]</t>
        </is>
      </c>
      <c r="O29" t="inlineStr">
        <is>
          <t>NOT DETERMINED</t>
        </is>
      </c>
      <c r="P29" t="inlineStr">
        <is>
          <t>No function on record — nothing to chain</t>
        </is>
      </c>
      <c r="Q29" t="inlineStr">
        <is>
          <t>No function on record — assumptions unknown</t>
        </is>
      </c>
      <c r="R29" t="inlineStr"/>
      <c r="S29" t="inlineStr"/>
      <c r="T29" t="inlineStr">
        <is>
          <t>NOT DETERMINED — no assumption recorded for this figure yet.</t>
        </is>
      </c>
      <c r="U29" t="inlineStr"/>
      <c r="V29" t="inlineStr"/>
      <c r="W29" t="inlineStr"/>
      <c r="X29" t="inlineStr"/>
      <c r="Y29" t="inlineStr">
        <is>
          <t>NOT DETERMINED</t>
        </is>
      </c>
      <c r="Z29" t="inlineStr">
        <is>
          <t>VERIFIED 2026-08-22</t>
        </is>
      </c>
      <c r="AA2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t="inlineStr">
        <is>
          <t>B24 [NOT COMPARABLE] — This figure names no function, so its formula cannot be checked against anything. 69 of the 163 figures are in this position — the audit covers the 94 that name one.</t>
        </is>
      </c>
      <c r="AC29" t="inlineStr">
        <is>
          <t>TYPED — none needed. The person entered this number; nothing calculates it and nothing should. This row is already right and needs no work.</t>
        </is>
      </c>
      <c r="AD29" t="inlineStr"/>
      <c r="AE29" t="inlineStr">
        <is>
          <t>No finding on this row. That is not a statement that the row is right — only that nothing has been written against it.</t>
        </is>
      </c>
      <c r="AF29" t="inlineStr">
        <is>
          <t>ACTIVE</t>
        </is>
      </c>
      <c r="AG29" t="inlineStr">
        <is>
          <t>2026-08-27</t>
        </is>
      </c>
    </row>
    <row r="30">
      <c r="A30" t="inlineStr">
        <is>
          <t>MK-PL-M-029</t>
        </is>
      </c>
      <c r="B30" t="inlineStr">
        <is>
          <t>Plan</t>
        </is>
      </c>
      <c r="C30" t="inlineStr">
        <is>
          <t>/multi-goal</t>
        </is>
      </c>
      <c r="D30" t="inlineStr">
        <is>
          <t>Retirement saving — $X/mo now → $Y/mo</t>
        </is>
      </c>
      <c r="E30" t="inlineStr">
        <is>
          <t>A.contribMonthly / retirementMo</t>
        </is>
      </c>
      <c r="F30" t="inlineStr">
        <is>
          <t>willItLastInputs</t>
        </is>
      </c>
      <c r="G30" t="inlineStr">
        <is>
          <t>MK-PL-F-067</t>
        </is>
      </c>
      <c r="H30" t="inlineStr">
        <is>
          <t>the inputs one plan is built from: what is held, what will be spent, what is guaranteed, and what is still being saved</t>
        </is>
      </c>
      <c r="I30"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30" t="inlineStr">
        <is>
          <t>1. their age → birthYear  [MK-XS-I-017]
2. the pot → NEST_EGG  [NOT AN INPUT — another engine’s answer; see the dependency column]
3. return and swing → EXPECTED_RETURN_BLENDED, EXPECTED_SWING_BLENDED  [NOT AN INPUT — another engine’s answer; see the dependency column]
4. spending → RETIREMENT_SPENDING  [MK-XS-I-024]
5. guaranteed income → RETIREMENT_INCOME, SS_BENEFIT_AT_AGE  [NOT AN INPUT — another engine’s answer; see the dependency column]
6. money to leave behind → legacyTarget  [MK-XS-I-047]
7. their own overrides → the Plan screen  [MK-XS-I-044]</t>
        </is>
      </c>
      <c r="K30" t="inlineStr">
        <is>
          <t>Percent · rounded to the nearest 5 · a real 100 or 0 shown literally  [derived by rule — confirm]</t>
        </is>
      </c>
      <c r="L30" t="inlineStr">
        <is>
          <t>NOT DETERMINED — this engine has not been read for its refusal yet.</t>
        </is>
      </c>
      <c r="M30" t="inlineStr">
        <is>
          <t>One figure per person — or per household when two people share one record  [derived by rule — confirm]</t>
        </is>
      </c>
      <c r="N30" t="inlineStr">
        <is>
          <t>From today to the retirement age in the plan  [derived by rule — confirm]</t>
        </is>
      </c>
      <c r="O30" t="inlineStr">
        <is>
          <t>1. MK-XS-E-032 (EFFECTIVE_TAX_RATE) → What share of my income actually goes in tax?
2. MK-XS-E-033 (EXPECTED_RETURN_BLENDED) → What return should I expect on everything I hold together?
3. MK-XS-E-034 (EXPECTED_SWING_BLENDED) → How much does a year's return typically swing around that average?
4. MK-XS-E-035 (FILING_STATUS) → How does this person file?
5. MK-XS-E-036 (GUARANTEED_OUTSIDE_STREAMS) → The plan's guaranteed-income input as separate streams of OUTSIDE money only. Answers: zer
6. MK-XS-E-037 (MONTHLY_SAVING) → How much goes in each month?
7. MK-XS-E-002 (NEST_EGG) → What is my retirement pot worth?
8. MK-XS-E-038 (REPORTED_RETURN) → What return did the person say they actually earned over the past year?
9. MK-XS-E-004 (RETIREMENT_SPENDING) → What will be spent each month in retirement?
10. MK-XS-E-039 (SPLIT_BY_HOW_IT_IS_TAXED) → How is the retirement money split by the tax that will be owed on it?
11. MK-XS-E-040 (SS_BENEFIT_AT_AGE) → The monthly Social Security check at a chosen claim age, in today's dollars. Answers: a wh
12. MK-XS-E-041 (STATE_TAX_RATE) → What state tax rate applies?
13. MK-XS-E-042 (SWING_FROM_RETURN) → How much might a year's return swing, judged from the return alone?
14. MK-XS-E-043 (TAX_OVER65_COUNT) → How many people on the tax return are 65 or older — the input the over-65 deduction needs
15. MK-XS-E-044 (TOTAL_INCOME) → What is the whole household income for the year, before tax?</t>
        </is>
      </c>
      <c r="P30" t="inlineStr">
        <is>
          <t>1. MK-NW-F-008 incomeBearingClassOf → MK-NW-F-011 assetClassOf → MK-NW-F-007 assetKind → MK-NW-F-034 benchmarkReturn → MK-NW-F-037 blendedReturn → MK-PL-F-067 willItLastInputs
2. MK-NW-F-008 incomeBearingClassOf → MK-NW-F-011 assetClassOf → MK-NW-F-030 earmarkDefault → MK-NW-F-032 earmarkedAmount → MK-NW-F-037 blendedReturn → MK-PL-F-067 willItLastInputs
3. MK-NW-F-013 realEstateUseOf → MK-NW-F-030 earmarkDefault → MK-NW-F-032 earmarkedAmount → MK-NW-F-037 blendedReturn → MK-PL-F-067 willItLastInputs
4. MK-ST-F-055 round2 → MK-NW-F-032 earmarkedAmount → MK-NW-F-037 blendedReturn → MK-PL-F-067 willItLastInputs
5. MK-CF-F-155 cash → MK-NW-F-008 incomeBearingClassOf → MK-NW-F-011 assetClassOf → MK-NW-F-031 primaryCarIdOf → MK-NW-F-037 blendedReturn → MK-PL-F-067 willItLastInputs
6. MK-ST-F-010 nameEvidence → MK-NW-F-008 incomeBearingClassOf → MK-NW-F-011 assetClassOf → MK-NW-F-031 primaryCarIdOf → MK-NW-F-037 blendedReturn → MK-PL-F-067 willItLastInputs
7. MK-NW-F-008 incomeBearingClassOf → MK-NW-F-011 assetClassOf → MK-NW-F-030 earmarkDefault → MK-NW-F-032 earmarkedAmount → MK-NW-F-035 blendedVolatility → MK-PL-F-067 willItLastInputs
8. MK-NW-F-013 realEstateUseOf → MK-NW-F-030 earmarkDefault → MK-NW-F-032 earmarkedAmount → MK-NW-F-035 blendedVolatility → MK-PL-F-067 willItLastInputs
9. … and 5 more paths</t>
        </is>
      </c>
      <c r="Q30" t="inlineStr">
        <is>
          <t>1. MK-PL-F-067 — If inflation rate is missing it uses 2.5.
2. MK-PL-F-067 — If social security claim age is missing it uses 67.
3. MK-PL-F-067 — If monthly is missing it uses 0.
4. MK-PL-F-067 — If salary growth is missing it uses 0.
5. MK-PL-F-067 — Turns a monthly figure into a year by multiplying by twelve.
6. MK-PL-F-067 — Uses today's date from the device clock, so the answer changes by itself overnight.
7. MK-PL-F-067 — Rounds the answer to a whole number.
8. MK-PL-F-067 — Leaves some rows out of the answer — check which.
9. MK-NW-F-037 — Rounds the answer to a whole number.
10. MK-NW-F-037 — Leaves some rows out of the answer — check which.
11. MK-NW-F-035 — If v is missing it uses 12%.
12. MK-NW-F-035 — Rounds the answer to a whole number.
13. MK-NW-F-035 — Leaves some rows out of the answer — check which.
14. MK-CF-F-076 — Leaves some rows out of the answer — check which.
15. MK-CF-F-089 — Uses today's date from the device clock, so the answer changes by itself overnight.
16. MK-NW-F-004 — Rounds the answer to a whole number.
17. MK-NW-F-004 — Leaves some rows out of the answer — check which.
18. MK-PL-F-049 — Treats a year as twelve equal months.
19. MK-PL-F-060 — If statement monthly is missing it counts as zero, so nothing recorded and a real zero look the same.
20. MK-PL-F-060 — Rounds the answer to a whole number.
21. MK-CF-F-083 — Turns a monthly figure into a year by multiplying by twelve.
22. MK-CF-F-083 — Uses today's date from the device clock, so the answer changes by itself overnight.
23. MK-PL-F-065 — Never lets the answer fall below 5% or rise above 20%.
24. MK-NW-F-034 — If return is missing it uses 6%.
25. MK-NW-F-032 — If balance is missing it counts as zero, so nothing recorded and a real zero look the same.
… and 43 more, on the functions tab</t>
        </is>
      </c>
      <c r="R30" t="inlineStr"/>
      <c r="S30" t="inlineStr"/>
      <c r="T30" t="inlineStr">
        <is>
          <t>NOT DETERMINED — no assumption recorded for this figure yet.</t>
        </is>
      </c>
      <c r="U30" t="inlineStr">
        <is>
          <t>THE SAME FIGURE AS MK-PL-M-011 — What is being saved each month towards retirement — "Monthly saving until then" and "Retirement saving $X/mo now".</t>
        </is>
      </c>
      <c r="V30" t="inlineStr"/>
      <c r="W30" t="inlineStr"/>
      <c r="X30" t="inlineStr"/>
      <c r="Y30" t="inlineStr">
        <is>
          <t>NOT DETERMINED</t>
        </is>
      </c>
      <c r="Z30" t="inlineStr">
        <is>
          <t>VERIFIED 2026-08-22</t>
        </is>
      </c>
      <c r="AA30" t="inlineStr">
        <is>
          <t>1.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2. A18 — "Treats a year as twelve equal months" fires on any division by 12, a month index included; "Treats a month as 30 days" fires on any multiplication by 30. Neither is read as arithmetic, so both carry false positives.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t="inlineStr">
        <is>
          <t>AGREES — the figure's arithmetic and the arithmetic of the function it names say the same thing. Checked 2026-08-26.</t>
        </is>
      </c>
      <c r="AC30" t="inlineStr">
        <is>
          <t>HAS A FUNCTION — traceable from the screen to the code.</t>
        </is>
      </c>
      <c r="AD30" t="inlineStr"/>
      <c r="AE30" t="inlineStr">
        <is>
          <t>No finding on this row. That is not a statement that the row is right — only that nothing has been written against it.</t>
        </is>
      </c>
      <c r="AF30" t="inlineStr">
        <is>
          <t>SUPERSEDED BY MK-PL-M-011 — the same figure under another identifier. This number is retired and is never handed to anything else.</t>
        </is>
      </c>
      <c r="AG30" t="inlineStr">
        <is>
          <t>2026-08-27</t>
        </is>
      </c>
    </row>
    <row r="31">
      <c r="A31" t="inlineStr">
        <is>
          <t>MK-PL-M-030</t>
        </is>
      </c>
      <c r="B31" t="inlineStr">
        <is>
          <t>Plan</t>
        </is>
      </c>
      <c r="C31" t="inlineStr">
        <is>
          <t>/multi-goal</t>
        </is>
      </c>
      <c r="D31" t="inlineStr">
        <is>
          <t>Extra on debt $X/mo</t>
        </is>
      </c>
      <c r="E31" t="inlineStr">
        <is>
          <t>extraDebt</t>
        </is>
      </c>
      <c r="F31" t="inlineStr">
        <is>
          <t>Typed by the person — no function behind it</t>
        </is>
      </c>
      <c r="G31" t="inlineStr"/>
      <c r="H31" t="inlineStr">
        <is>
          <t>the value typed by the person</t>
        </is>
      </c>
      <c r="I31" t="inlineStr">
        <is>
          <t>A number the person entered; no calculation.</t>
        </is>
      </c>
      <c r="J31" t="inlineStr">
        <is>
          <t>NOT DETERMINED — no input list on record for this engine</t>
        </is>
      </c>
      <c r="K31" t="inlineStr">
        <is>
          <t>US dollars · held to the cent · shown as whole dollars  [derived by rule — confirm]</t>
        </is>
      </c>
      <c r="L31" t="inlineStr">
        <is>
          <t>Nothing to compute — the person either entered it or has not, and the screen shows it only when they have.</t>
        </is>
      </c>
      <c r="M31" t="inlineStr">
        <is>
          <t>One figure per debt, and one total per person  [derived by rule — confirm]</t>
        </is>
      </c>
      <c r="N31" t="inlineStr">
        <is>
          <t>As of today, from the latest figures held  [derived by rule — confirm]</t>
        </is>
      </c>
      <c r="O31" t="inlineStr">
        <is>
          <t>NOT DETERMINED</t>
        </is>
      </c>
      <c r="P31" t="inlineStr">
        <is>
          <t>No function on record — nothing to chain</t>
        </is>
      </c>
      <c r="Q31" t="inlineStr">
        <is>
          <t>No function on record — assumptions unknown</t>
        </is>
      </c>
      <c r="R31" t="inlineStr"/>
      <c r="S31" t="inlineStr">
        <is>
          <t>CORRECTED 2026-08-25 — this row used to name DEBT_PICTURE. "Extra on debt $X/mo" is an amount the person chose on a dial, not a figure that engine produces.</t>
        </is>
      </c>
      <c r="T31" t="inlineStr">
        <is>
          <t>NOT DETERMINED — no assumption recorded for this figure yet.</t>
        </is>
      </c>
      <c r="U31" t="inlineStr"/>
      <c r="V31" t="inlineStr"/>
      <c r="W31" t="inlineStr"/>
      <c r="X31" t="inlineStr"/>
      <c r="Y31" t="inlineStr">
        <is>
          <t>NOT DETERMINED</t>
        </is>
      </c>
      <c r="Z31" t="inlineStr">
        <is>
          <t>VERIFIED 2026-08-22</t>
        </is>
      </c>
      <c r="AA31"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t="inlineStr">
        <is>
          <t>B24 [NOT COMPARABLE] — This figure names no function, so its formula cannot be checked against anything. 69 of the 163 figures are in this position — the audit covers the 94 that name one.</t>
        </is>
      </c>
      <c r="AC31" t="inlineStr">
        <is>
          <t>TYPED — none needed. The person entered this number; nothing calculates it and nothing should. This row is already right and needs no work.</t>
        </is>
      </c>
      <c r="AD31" t="inlineStr"/>
      <c r="AE31" t="inlineStr">
        <is>
          <t>No finding on this row. That is not a statement that the row is right — only that nothing has been written against it.</t>
        </is>
      </c>
      <c r="AF31" t="inlineStr">
        <is>
          <t>ACTIVE</t>
        </is>
      </c>
      <c r="AG31" t="inlineStr">
        <is>
          <t>2026-08-27</t>
        </is>
      </c>
    </row>
    <row r="32">
      <c r="A32" t="inlineStr">
        <is>
          <t>MK-PL-M-031</t>
        </is>
      </c>
      <c r="B32" t="inlineStr">
        <is>
          <t>Plan</t>
        </is>
      </c>
      <c r="C32" t="inlineStr">
        <is>
          <t>/multi-goal</t>
        </is>
      </c>
      <c r="D32" t="inlineStr">
        <is>
          <t>paid off &lt;month&gt; · saves $X</t>
        </is>
      </c>
      <c r="E32" t="inlineStr">
        <is>
          <t>weighed.debtPayoff</t>
        </is>
      </c>
      <c r="F32" t="inlineStr">
        <is>
          <t>NOT ON RECORD — no function is recorded for this figure</t>
        </is>
      </c>
      <c r="G32" t="inlineStr"/>
      <c r="H32" t="inlineStr">
        <is>
          <t>each month: balance ← balance × (1 + rate ÷ 12) − payment, until balance ≤ 0;  payoff month = the first month it does</t>
        </is>
      </c>
      <c r="I32" t="inlineStr">
        <is>
          <t>Runs the debt forward month by month: interest is added, the payment is taken off, and the month the balance reaches zero is the payoff date.</t>
        </is>
      </c>
      <c r="J32" t="inlineStr">
        <is>
          <t>NOT DETERMINED — no input list on record for this engine</t>
        </is>
      </c>
      <c r="K32" t="inlineStr">
        <is>
          <t>US dollars · held to the cent · shown as whole dollars  [derived by rule — confirm]</t>
        </is>
      </c>
      <c r="L32" t="inlineStr">
        <is>
          <t>A division: with nothing on the bottom there is no answer, and the line must not appear as zero. NOT YET CONFIRMED against the engine.</t>
        </is>
      </c>
      <c r="M32" t="inlineStr">
        <is>
          <t>One figure per debt, and one total per person  [derived by rule — confirm]</t>
        </is>
      </c>
      <c r="N32" t="inlineStr">
        <is>
          <t>As of today, from the latest figures held  [derived by rule — confirm]</t>
        </is>
      </c>
      <c r="O32" t="inlineStr">
        <is>
          <t>NOT DETERMINED</t>
        </is>
      </c>
      <c r="P32" t="inlineStr">
        <is>
          <t>No function on record — nothing to chain</t>
        </is>
      </c>
      <c r="Q32" t="inlineStr">
        <is>
          <t>No function on record — assumptions unknown</t>
        </is>
      </c>
      <c r="R32" t="inlineStr"/>
      <c r="S32" t="inlineStr"/>
      <c r="T32" t="inlineStr">
        <is>
          <t>NOT DETERMINED — no assumption recorded for this figure yet.</t>
        </is>
      </c>
      <c r="U32" t="inlineStr"/>
      <c r="V32" t="inlineStr"/>
      <c r="W32" t="inlineStr"/>
      <c r="X32" t="inlineStr"/>
      <c r="Y32" t="inlineStr">
        <is>
          <t>NOT DETERMINED</t>
        </is>
      </c>
      <c r="Z32" t="inlineStr">
        <is>
          <t>VERIFIED 2026-08-22</t>
        </is>
      </c>
      <c r="AA32"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t="inlineStr">
        <is>
          <t>B24 [NOT COMPARABLE] — This figure names no function, so its formula cannot be checked against anything. 69 of the 163 figures are in this position — the audit covers the 94 that name one.</t>
        </is>
      </c>
      <c r="AC32"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t="inlineStr"/>
      <c r="AE32" t="inlineStr">
        <is>
          <t>A43 — OPEN since 2026-08-26 — nothing has closed this. It is not known to be wrong; it is known to be unaddressed.</t>
        </is>
      </c>
      <c r="AF32" t="inlineStr">
        <is>
          <t>ACTIVE</t>
        </is>
      </c>
      <c r="AG32" t="inlineStr">
        <is>
          <t>2026-08-27</t>
        </is>
      </c>
    </row>
    <row r="33">
      <c r="A33" t="inlineStr">
        <is>
          <t>MK-PL-M-032</t>
        </is>
      </c>
      <c r="B33" t="inlineStr">
        <is>
          <t>Plan</t>
        </is>
      </c>
      <c r="C33" t="inlineStr">
        <is>
          <t>/retirement</t>
        </is>
      </c>
      <c r="D33" t="inlineStr">
        <is>
          <t>incl. Social Security $X/mo from age N</t>
        </is>
      </c>
      <c r="E33" t="inlineStr">
        <is>
          <t>ssIncome</t>
        </is>
      </c>
      <c r="F33" t="inlineStr">
        <is>
          <t>currentRetirementIncomeMonthly</t>
        </is>
      </c>
      <c r="G33" t="inlineStr">
        <is>
          <t>MK-CF-F-072</t>
        </is>
      </c>
      <c r="H33" t="inlineStr">
        <is>
          <t>guaranteed income now = Σ(streams already being received)</t>
        </is>
      </c>
      <c r="I3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t="inlineStr">
        <is>
          <t>1. do they receive it now → incomeSources  [MK-XS-I-040]
2. the amounts → retirementIncomeMonthly  [MK-XS-I-008]</t>
        </is>
      </c>
      <c r="K33" t="inlineStr">
        <is>
          <t>Age in whole years  [derived by rule — confirm]</t>
        </is>
      </c>
      <c r="L33" t="inlineStr">
        <is>
          <t>Adds up to $0 when there is nothing to add. Zero and "nothing recorded yet" look identical on screen — worth a decision.</t>
        </is>
      </c>
      <c r="M33" t="inlineStr">
        <is>
          <t>One figure per person — or per household when two people share one record  [derived by rule — confirm]</t>
        </is>
      </c>
      <c r="N33" t="inlineStr">
        <is>
          <t>As of today, from the latest figures held  [derived by rule — confirm]</t>
        </is>
      </c>
      <c r="O33" t="inlineStr">
        <is>
          <t>MK-XS-E-047 (RETIREMENT_INCOME) → How much retirement income arrives monthly?</t>
        </is>
      </c>
      <c r="P33" t="inlineStr">
        <is>
          <t>MK-ST-F-052 toNum → MK-CF-F-075 retirementIncomeMonthly → MK-CF-F-072 currentRetirementIncomeMonthly</t>
        </is>
      </c>
      <c r="Q33" t="inlineStr">
        <is>
          <t>None found anywhere in this chain</t>
        </is>
      </c>
      <c r="R33" t="inlineStr"/>
      <c r="S33" t="inlineStr"/>
      <c r="T33" t="inlineStr">
        <is>
          <t>NOT DETERMINED — no assumption recorded for this figure yet.</t>
        </is>
      </c>
      <c r="U33" t="inlineStr">
        <is>
          <t>THE SAME FIGURE AS MK-CF-M-011 — Guaranteed income being received now. Shown four ways: "You receive $X/mo" on Social Security timing, "incl. Social Security $X/mo" on the cockpit, as a source on Cash flow, and as a list on Monthly income. One figure, four identifiers.</t>
        </is>
      </c>
      <c r="V33" t="inlineStr"/>
      <c r="W33" t="inlineStr"/>
      <c r="X33" t="inlineStr"/>
      <c r="Y33" t="inlineStr">
        <is>
          <t>NOT DETERMINED</t>
        </is>
      </c>
      <c r="Z33" t="inlineStr">
        <is>
          <t>VERIFIED 2026-08-22</t>
        </is>
      </c>
      <c r="AA3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t="inlineStr">
        <is>
          <t>AGREES — the figure's arithmetic and the arithmetic of the function it names say the same thing. Checked 2026-08-26.</t>
        </is>
      </c>
      <c r="AC33" t="inlineStr">
        <is>
          <t>HAS A FUNCTION — traceable from the screen to the code.</t>
        </is>
      </c>
      <c r="AD33" t="inlineStr"/>
      <c r="AE33" t="inlineStr">
        <is>
          <t>No finding on this row. That is not a statement that the row is right — only that nothing has been written against it.</t>
        </is>
      </c>
      <c r="AF33" t="inlineStr">
        <is>
          <t>SUPERSEDED BY MK-CF-M-011 — the same figure under another identifier. This number is retired and is never handed to anything else.</t>
        </is>
      </c>
      <c r="AG33" t="inlineStr">
        <is>
          <t>2026-08-27</t>
        </is>
      </c>
    </row>
    <row r="34">
      <c r="A34" t="inlineStr">
        <is>
          <t>MK-PL-M-033</t>
        </is>
      </c>
      <c r="B34" t="inlineStr">
        <is>
          <t>Plan</t>
        </is>
      </c>
      <c r="C34" t="inlineStr">
        <is>
          <t>/retirement</t>
        </is>
      </c>
      <c r="D34" t="inlineStr">
        <is>
          <t>your $X grows to $Y by age N at Z%/yr</t>
        </is>
      </c>
      <c r="E34" t="inlineStr">
        <is>
          <t>nestEgg / scProjected</t>
        </is>
      </c>
      <c r="F34" t="inlineStr">
        <is>
          <t>projectNestEgg</t>
        </is>
      </c>
      <c r="G34" t="inlineStr">
        <is>
          <t>MK-PL-F-055</t>
        </is>
      </c>
      <c r="H34" t="inlineStr">
        <is>
          <t>pot = balance × (1 + r)^n + Σ(contribution × (1 + r)^(n − year)),  n = years to retirement</t>
        </is>
      </c>
      <c r="I34"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34" t="inlineStr">
        <is>
          <t>the same inputs → inp  [MK-XS-I-001]</t>
        </is>
      </c>
      <c r="K34" t="inlineStr">
        <is>
          <t>Percent · one decimal shown  [derived by rule — confirm]</t>
        </is>
      </c>
      <c r="L34" t="inlineStr">
        <is>
          <t>No figure when there is nothing to grow, or when retirement is not ahead of the person.</t>
        </is>
      </c>
      <c r="M34" t="inlineStr">
        <is>
          <t>One figure per person — or per household when two people share one record  [derived by rule — confirm]</t>
        </is>
      </c>
      <c r="N34" t="inlineStr">
        <is>
          <t>The last twelve months  [derived by rule — confirm]</t>
        </is>
      </c>
      <c r="O34" t="inlineStr">
        <is>
          <t>MK-XS-E-005 (WILL_IT_LAST) → Will my money last?</t>
        </is>
      </c>
      <c r="P34" t="inlineStr">
        <is>
          <t>1. MK-CF-F-132 map → MK-PL-F-055 projectNestEgg
2. MK-ST-F-055 round2 → MK-PL-F-055 projectNestEgg
3. MK-CF-F-132 map → MK-PL-F-050 simulate → MK-PL-F-055 projectNestEgg
4. MK-PL-F-074 median → MK-PL-F-050 simulate → MK-PL-F-055 projectNestEgg
5. MK-PL-F-072 mulberry32 → MK-PL-F-050 simulate → MK-PL-F-055 projectNestEgg
6. MK-PL-F-073 normal → MK-PL-F-050 simulate → MK-PL-F-055 projectNestEgg
7. MK-PL-F-075 pctOfSorted → MK-PL-F-050 simulate → MK-PL-F-055 projectNestEgg
8. MK-ST-F-024 rmdStartAge → MK-ST-F-025 rmdStartAgeFromAge → MK-PL-F-050 simulate → MK-PL-F-055 projectNestEgg
9. … and 1 more paths</t>
        </is>
      </c>
      <c r="Q34" t="inlineStr">
        <is>
          <t>1. MK-PL-F-055 — If contribution growth is missing it uses 0.
2. MK-PL-F-055 — If monthly is missing it counts as zero, so nothing recorded and a real zero look the same.
3. MK-PL-F-055 — Uses a built-in y of 0.
4. MK-PL-F-055 — Uses a built-in need of 0.
5. MK-PL-F-055 — Turns a monthly figure into a year by multiplying by twelve.
6. MK-ST-F-055 — Multiplies by 100 — a percentage, or an option contract treated as 100 shares. Worth checking which.
7. MK-ST-F-055 — Rounds the answer to a whole number.
8. MK-PL-F-050 — If paths is missing it uses 500.
9. MK-PL-F-050 — If seed is missing it uses 12345.
10. MK-PL-F-050 — If now year is missing it uses 2026.
11. MK-PL-F-050 — If contribution growth is missing it uses 0.
12. MK-PL-F-050 — If pre tax share is missing it uses 0.
13. MK-PL-F-050 — If required withdrawal tax rate is missing it uses 22%.
14. MK-PL-F-050 — If monthly is missing it counts as zero, so nothing recorded and a real zero look the same.
15. MK-PL-F-050 — If one off by year[off] is missing it counts as zero, so nothing recorded and a real zero look the same.
16. MK-PL-F-050 — If recurring by year[y] is missing it counts as zero, so nothing recorded and a real zero look the same.
17. MK-PL-F-050 — If contrib by year[y] is missing it counts as zero, so nothing recorded and a real zero look the same.
18. MK-PL-F-050 — Uses a built-in y of 1.
19. MK-PL-F-050 — Uses a built-in successes of 0.
20. MK-PL-F-050 — Uses a built-in p of 0.
21. MK-PL-F-050 — Uses a built-in y of 0.
22. MK-PL-F-050 — Treats a year as twelve equal months.
23. MK-PL-F-050 — Turns a monthly figure into a year by multiplying by twelve.
24. MK-PL-F-050 — Multiplies by 100 — a percentage, or an option contract treated as 100 shares. Worth checking which.
25. MK-PL-F-050 — Rounds the answer to a whole number.
… and 1 more, on the functions tab</t>
        </is>
      </c>
      <c r="R34" t="inlineStr"/>
      <c r="S34" t="inlineStr">
        <is>
          <t>The Net worth screen builds this projection WITHOUT the person's big costs, while Cash flow, Budget, Goals and Social Security timing all include them. Same person, same day, two different nest eggs. Seen in the code; not yet confirmed on screen.</t>
        </is>
      </c>
      <c r="T34"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U34" t="inlineStr">
        <is>
          <t>THE SURVIVING IDENTIFIER for this figure. Folded in: MK-NW-M-015. The projected pot at retirement, shown on Net worth as "on track for $X by age Y" and on the cockpit as "your $X grows to $Y". One figure, two screens — the founder spotted this one himself.</t>
        </is>
      </c>
      <c r="V34" t="inlineStr"/>
      <c r="W34" t="inlineStr"/>
      <c r="X34" t="inlineStr"/>
      <c r="Y34" t="inlineStr">
        <is>
          <t>NOT DETERMINED</t>
        </is>
      </c>
      <c r="Z34" t="inlineStr">
        <is>
          <t>VERIFIED 2026-08-22</t>
        </is>
      </c>
      <c r="AA34"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spending side rather than here — so whether the headline is in today's money depends on a convention stated nowhere. (projectNestEgg, src/domain/retirement/index.ts:324.)
2.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3.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4. A18 — "Treats a year as twelve equal months" fires on any division by 12, a month index included; "Treats a month as 30 days" fires on any multiplication by 30. Neither is read as arithmetic, so both carry false positives.
5.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t="inlineStr">
        <is>
          <t>HAS A FUNCTION — traceable from the screen to the code.</t>
        </is>
      </c>
      <c r="AD34" t="inlineStr">
        <is>
          <t>B11 — This month — the future-paycheck figure omits contribution growth the code applies</t>
        </is>
      </c>
      <c r="AE34" t="inlineStr">
        <is>
          <t>A44 — NOT A DEFECT 2026-08-26
B11 — OPEN since 2026-08-26 — nothing has closed this. It is not known to be wrong; it is known to be unaddressed.</t>
        </is>
      </c>
      <c r="AF34" t="inlineStr">
        <is>
          <t>ACTIVE</t>
        </is>
      </c>
      <c r="AG34" t="inlineStr">
        <is>
          <t>2026-08-27</t>
        </is>
      </c>
    </row>
    <row r="35">
      <c r="A35" t="inlineStr">
        <is>
          <t>MK-PL-M-034</t>
        </is>
      </c>
      <c r="B35" t="inlineStr">
        <is>
          <t>Plan</t>
        </is>
      </c>
      <c r="C35" t="inlineStr">
        <is>
          <t>/retirement</t>
        </is>
      </c>
      <c r="D35" t="inlineStr">
        <is>
          <t>At Z% return, your money lasts past age N</t>
        </is>
      </c>
      <c r="E35" t="inlineStr">
        <is>
          <t>scDeplete</t>
        </is>
      </c>
      <c r="F35" t="inlineStr">
        <is>
          <t>selectWillItLast</t>
        </is>
      </c>
      <c r="G35" t="inlineStr">
        <is>
          <t>MK-PL-F-068</t>
        </is>
      </c>
      <c r="H35" t="inlineStr">
        <is>
          <t>run 1,000 futures; in each year: balance ← balance × (1 + random return) − (spending − guaranteed income);  odds = futures that never run out ÷ 1,000</t>
        </is>
      </c>
      <c r="I35" t="inlineStr">
        <is>
          <t>If age, spending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t="inlineStr">
        <is>
          <t>1. everything → WILL_IT_LAST_INPUTS  [NOT AN INPUT — another engine’s answer; see the dependency column]
2. is a range wanted → withBand  [NOT AN INPUT — a setting or a filter, not data anyone supplies]</t>
        </is>
      </c>
      <c r="K35" t="inlineStr">
        <is>
          <t>Percent · rounded to the nearest 5 · a real 100 or 0 shown literally  [derived by rule — confirm]</t>
        </is>
      </c>
      <c r="L35" t="inlineStr">
        <is>
          <t>No odds at all until the three facts are answered. A sample is shown in their place, labelled as a sample, never as the person's own number.</t>
        </is>
      </c>
      <c r="M35" t="inlineStr">
        <is>
          <t>One figure per person — or per household when two people share one record  [derived by rule — confirm]</t>
        </is>
      </c>
      <c r="N35" t="inlineStr">
        <is>
          <t>The window the person chose on screen  [derived by rule — confirm]</t>
        </is>
      </c>
      <c r="O35" t="inlineStr">
        <is>
          <t>1. MK-XS-E-002 (NEST_EGG) → What is my retirement pot worth?
2. MK-XS-E-003 (ODDS_DISPLAY) → The retirement odds a person actually sees. Answers: 0, 5, 10 … 100 — the exact simulation
3. MK-XS-E-004 (RETIREMENT_SPENDING) → What will be spent each month in retirement?
4. MK-XS-E-005 (WILL_IT_LAST) → Will my money last?
5. MK-XS-E-006 (WILL_IT_LAST_INPUTS) → What goes into working out the odds?</t>
        </is>
      </c>
      <c r="P35" t="inlineStr">
        <is>
          <t>1. MK-PL-F-066 displayOdds → MK-PL-F-068 selectWillItLast
2.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MK-ST-F-055 round2 → MK-NW-F-032 earmarkedAmount → MK-NW-F-033 retirementEarmarkedValue → MK-PL-F-068 selectWillItLast
6. MK-CF-F-155 cash → MK-NW-F-008 incomeBearingClassOf → MK-NW-F-011 assetClassOf → MK-NW-F-031 primaryCarIdOf → MK-NW-F-033 retirementEarmarkedValue → MK-PL-F-068 selectWillItLast
7. MK-ST-F-010 nameEvidence → MK-NW-F-008 incomeBearingClassOf → MK-NW-F-011 assetClassOf → MK-NW-F-031 primaryCarIdOf → MK-NW-F-033 retirementEarmarkedValue → MK-PL-F-068 selectWillItLast
8. MK-ST-F-055 round2 → MK-NW-F-033 retirementEarmarkedValue → MK-PL-F-068 selectWillItLast
9. … and 5 more paths</t>
        </is>
      </c>
      <c r="Q35" t="inlineStr">
        <is>
          <t>1. MK-PL-F-066 — Rounds the answer to a whole number.
2. MK-PL-F-049 — Treats a year as twelve equal months.
3. MK-PL-F-050 — If paths is missing it uses 500.
4. MK-PL-F-050 — If seed is missing it uses 12345.
5. MK-PL-F-050 — If now year is missing it uses 2026.
6. MK-PL-F-050 — If contribution growth is missing it uses 0.
7. MK-PL-F-050 — If pre tax share is missing it uses 0.
8. MK-PL-F-050 — If required withdrawal tax rate is missing it uses 22%.
9. MK-PL-F-050 — If monthly is missing it counts as zero, so nothing recorded and a real zero look the same.
10. MK-PL-F-050 — If one off by year[off] is missing it counts as zero, so nothing recorded and a real zero look the same.
11. MK-PL-F-050 — If recurring by year[y] is missing it counts as zero, so nothing recorded and a real zero look the same.
12. MK-PL-F-050 — If contrib by year[y] is missing it counts as zero, so nothing recorded and a real zero look the same.
13. MK-PL-F-050 — Uses a built-in y of 1.
14. MK-PL-F-050 — Uses a built-in successes of 0.
15. MK-PL-F-050 — Uses a built-in p of 0.
16. MK-PL-F-050 — Uses a built-in y of 0.
17. MK-PL-F-050 — Treats a year as twelve equal months.
18. MK-PL-F-050 — Turns a monthly figure into a year by multiplying by twelve.
19. MK-PL-F-050 — Multiplies by 100 — a percentage, or an option contract treated as 100 shares. Worth checking which.
20. MK-PL-F-050 — Rounds the answer to a whole number.
21. MK-PL-F-067 — If inflation rate is missing it uses 2.5.
22. MK-PL-F-067 — If social security claim age is missing it uses 67.
23. MK-PL-F-067 — If monthly is missing it uses 0.
24. MK-PL-F-067 — If salary growth is missing it uses 0.
25. MK-PL-F-067 — Turns a monthly figure into a year by multiplying by twelve.
… and 44 more, on the functions tab</t>
        </is>
      </c>
      <c r="R35" t="inlineStr"/>
      <c r="S35" t="inlineStr">
        <is>
          <t>The odds shown on Home, Plan and Cash flow are rounded to the nearest 5, while the compare tables still show them exact. One figure, two precisions — founder's open question.</t>
        </is>
      </c>
      <c r="T35"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t="inlineStr"/>
      <c r="V35" t="inlineStr"/>
      <c r="W35" t="inlineStr"/>
      <c r="X35" t="inlineStr"/>
      <c r="Y35" t="inlineStr">
        <is>
          <t>NOT DETERMINED</t>
        </is>
      </c>
      <c r="Z35" t="inlineStr">
        <is>
          <t>VERIFIED 2026-08-22</t>
        </is>
      </c>
      <c r="AA35" t="inlineStr">
        <is>
          <t>1.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2. A18 — "Treats a year as twelve equal months" fires on any division by 12, a month index included; "Treats a month as 30 days" fires on any multiplication by 30. Neither is read as arithmetic, so both carry false positives.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t="inlineStr">
        <is>
          <t>1. B13 [MISNAMED] — The figure is the thousand-futures simulation. The function it names, MK-PL-F-068 selectWillItLast, is the GATE that decides whether the question can be answered at all — it checks an age, a spending figure and a nest egg are present. The simulation is a different function and is named on no row of this file.</t>
        </is>
      </c>
      <c r="AC35" t="inlineStr">
        <is>
          <t>HAS A FUNCTION — traceable from the screen to the code.</t>
        </is>
      </c>
      <c r="AD35" t="inlineStr"/>
      <c r="AE35" t="inlineStr">
        <is>
          <t>B13 — OPEN since 2026-08-26 — nothing has closed this. It is not known to be wrong; it is known to be unaddressed.</t>
        </is>
      </c>
      <c r="AF35" t="inlineStr">
        <is>
          <t>ACTIVE</t>
        </is>
      </c>
      <c r="AG35" t="inlineStr">
        <is>
          <t>2026-08-27</t>
        </is>
      </c>
    </row>
    <row r="36">
      <c r="A36" t="inlineStr">
        <is>
          <t>MK-PL-M-035</t>
        </is>
      </c>
      <c r="B36" t="inlineStr">
        <is>
          <t>Plan</t>
        </is>
      </c>
      <c r="C36" t="inlineStr">
        <is>
          <t>/retirement</t>
        </is>
      </c>
      <c r="D36" t="inlineStr">
        <is>
          <t>Retire at age (the dial)</t>
        </is>
      </c>
      <c r="E36" t="inlineStr">
        <is>
          <t>rAge</t>
        </is>
      </c>
      <c r="F36" t="inlineStr">
        <is>
          <t>Typed by the person — no function behind it</t>
        </is>
      </c>
      <c r="G36" t="inlineStr"/>
      <c r="H36" t="inlineStr">
        <is>
          <t>the age set by the person</t>
        </is>
      </c>
      <c r="I36" t="inlineStr">
        <is>
          <t>An age the person set on a dial; no calculation.</t>
        </is>
      </c>
      <c r="J36" t="inlineStr">
        <is>
          <t>NOT DETERMINED — no input list on record for this engine</t>
        </is>
      </c>
      <c r="K36" t="inlineStr">
        <is>
          <t>Age in whole years  [derived by rule — confirm]</t>
        </is>
      </c>
      <c r="L36" t="inlineStr">
        <is>
          <t>Nothing to compute — the person either entered it or has not, and the screen shows it only when they have.</t>
        </is>
      </c>
      <c r="M36" t="inlineStr">
        <is>
          <t>One figure per person — or per household when two people share one record  [derived by rule — confirm]</t>
        </is>
      </c>
      <c r="N36" t="inlineStr">
        <is>
          <t>From today to the retirement age in the plan  [derived by rule — confirm]</t>
        </is>
      </c>
      <c r="O36" t="inlineStr">
        <is>
          <t>NOT DETERMINED</t>
        </is>
      </c>
      <c r="P36" t="inlineStr">
        <is>
          <t>No function on record — nothing to chain</t>
        </is>
      </c>
      <c r="Q36" t="inlineStr">
        <is>
          <t>No function on record — assumptions unknown</t>
        </is>
      </c>
      <c r="R36" t="inlineStr"/>
      <c r="S36" t="inlineStr"/>
      <c r="T36" t="inlineStr">
        <is>
          <t>NOT DETERMINED — no assumption recorded for this figure yet.</t>
        </is>
      </c>
      <c r="U36" t="inlineStr"/>
      <c r="V36" t="inlineStr"/>
      <c r="W36" t="inlineStr"/>
      <c r="X36" t="inlineStr"/>
      <c r="Y36" t="inlineStr">
        <is>
          <t>NOT DETERMINED</t>
        </is>
      </c>
      <c r="Z36" t="inlineStr">
        <is>
          <t>VERIFIED 2026-08-22</t>
        </is>
      </c>
      <c r="AA36"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t="inlineStr">
        <is>
          <t>B24 [NOT COMPARABLE] — This figure names no function, so its formula cannot be checked against anything. 69 of the 163 figures are in this position — the audit covers the 94 that name one.</t>
        </is>
      </c>
      <c r="AC36" t="inlineStr">
        <is>
          <t>TYPED — none needed. The person entered this number; nothing calculates it and nothing should. This row is already right and needs no work.</t>
        </is>
      </c>
      <c r="AD36" t="inlineStr"/>
      <c r="AE36" t="inlineStr">
        <is>
          <t>No finding on this row. That is not a statement that the row is right — only that nothing has been written against it.</t>
        </is>
      </c>
      <c r="AF36" t="inlineStr">
        <is>
          <t>ACTIVE</t>
        </is>
      </c>
      <c r="AG36" t="inlineStr">
        <is>
          <t>2026-08-27</t>
        </is>
      </c>
    </row>
    <row r="37">
      <c r="A37" t="inlineStr">
        <is>
          <t>MK-PL-M-036</t>
        </is>
      </c>
      <c r="B37" t="inlineStr">
        <is>
          <t>Plan</t>
        </is>
      </c>
      <c r="C37" t="inlineStr">
        <is>
          <t>/education</t>
        </is>
      </c>
      <c r="D37" t="inlineStr">
        <is>
          <t>the future total cost of school</t>
        </is>
      </c>
      <c r="E37" t="inlineStr">
        <is>
          <t>plan.futureTotalCost</t>
        </is>
      </c>
      <c r="F37" t="inlineStr">
        <is>
          <t>NOT ON RECORD — no function is recorded for this figure</t>
        </is>
      </c>
      <c r="G37" t="inlineStr"/>
      <c r="H37" t="inlineStr">
        <is>
          <t>future cost = today’s cost × (1 + education inflation)^years;  monthly needed = gap ÷ months until school starts</t>
        </is>
      </c>
      <c r="I37" t="inlineStr">
        <is>
          <t>Grows today's cost of school by education inflation to the year it starts, then divides what is still missing by the months until then.</t>
        </is>
      </c>
      <c r="J37" t="inlineStr">
        <is>
          <t>NOT DETERMINED — no input list on record for this engine</t>
        </is>
      </c>
      <c r="K37" t="inlineStr">
        <is>
          <t>US dollars · held to the cent · shown as whole dollars  [derived by rule — confirm]</t>
        </is>
      </c>
      <c r="L37" t="inlineStr">
        <is>
          <t>A division: with nothing on the bottom there is no answer, and the line must not appear as zero. NOT YET CONFIRMED against the engine.</t>
        </is>
      </c>
      <c r="M37" t="inlineStr">
        <is>
          <t>One figure per person — or per household when two people share one record  [derived by rule — confirm]</t>
        </is>
      </c>
      <c r="N37" t="inlineStr">
        <is>
          <t>As of today, from the latest figures held  [derived by rule — confirm]</t>
        </is>
      </c>
      <c r="O37" t="inlineStr">
        <is>
          <t>NOT DETERMINED</t>
        </is>
      </c>
      <c r="P37" t="inlineStr">
        <is>
          <t>No function on record — nothing to chain</t>
        </is>
      </c>
      <c r="Q37" t="inlineStr">
        <is>
          <t>No function on record — assumptions unknown</t>
        </is>
      </c>
      <c r="R37" t="inlineStr"/>
      <c r="S37" t="inlineStr"/>
      <c r="T37" t="inlineStr">
        <is>
          <t>[Built in] Inflation comes from a published feed, with a fallback figure when the feed is silent.</t>
        </is>
      </c>
      <c r="U37" t="inlineStr"/>
      <c r="V37" t="inlineStr">
        <is>
          <t>Q26 — What education inflation rate should the college projection use, and should it be visible and editable on the screen?</t>
        </is>
      </c>
      <c r="W37" t="inlineStr"/>
      <c r="X37" t="inlineStr"/>
      <c r="Y37" t="inlineStr">
        <is>
          <t>NOT DETERMINED</t>
        </is>
      </c>
      <c r="Z37" t="inlineStr">
        <is>
          <t>VERIFIED 2026-08-22</t>
        </is>
      </c>
      <c r="AA37"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t="inlineStr">
        <is>
          <t>B24 [NOT COMPARABLE] — This figure names no function, so its formula cannot be checked against anything. 69 of the 163 figures are in this position — the audit covers the 94 that name one.</t>
        </is>
      </c>
      <c r="AC37"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t="inlineStr"/>
      <c r="AE37" t="inlineStr">
        <is>
          <t>A45 — OPEN since 2026-08-26 — nothing has closed this. It is not known to be wrong; it is known to be unaddressed.</t>
        </is>
      </c>
      <c r="AF37" t="inlineStr">
        <is>
          <t>ACTIVE</t>
        </is>
      </c>
      <c r="AG37" t="inlineStr">
        <is>
          <t>2026-08-27</t>
        </is>
      </c>
    </row>
    <row r="38">
      <c r="A38" t="inlineStr">
        <is>
          <t>MK-PL-M-037</t>
        </is>
      </c>
      <c r="B38" t="inlineStr">
        <is>
          <t>Plan</t>
        </is>
      </c>
      <c r="C38" t="inlineStr">
        <is>
          <t>/education</t>
        </is>
      </c>
      <c r="D38" t="inlineStr">
        <is>
          <t>$X/mo set aside closes the $Y gap</t>
        </is>
      </c>
      <c r="E38" t="inlineStr">
        <is>
          <t>plan.monthlyNeeded / plan.gap</t>
        </is>
      </c>
      <c r="F38" t="inlineStr">
        <is>
          <t>NOT ON RECORD — no function is recorded for this figure</t>
        </is>
      </c>
      <c r="G38" t="inlineStr"/>
      <c r="H38" t="inlineStr">
        <is>
          <t>future cost = today’s cost × (1 + education inflation)^years;  monthly needed = gap ÷ months until school starts</t>
        </is>
      </c>
      <c r="I38" t="inlineStr">
        <is>
          <t>Grows today's cost of school by education inflation to the year it starts, then divides what is still missing by the months until then.</t>
        </is>
      </c>
      <c r="J38" t="inlineStr">
        <is>
          <t>NOT DETERMINED — no input list on record for this engine</t>
        </is>
      </c>
      <c r="K38" t="inlineStr">
        <is>
          <t>US dollars · held to the cent · shown as whole dollars  [derived by rule — confirm]</t>
        </is>
      </c>
      <c r="L38" t="inlineStr">
        <is>
          <t>A division: with nothing on the bottom there is no answer, and the line must not appear as zero. NOT YET CONFIRMED against the engine.</t>
        </is>
      </c>
      <c r="M38" t="inlineStr">
        <is>
          <t>One figure per person — or per household when two people share one record  [derived by rule — confirm]</t>
        </is>
      </c>
      <c r="N38" t="inlineStr">
        <is>
          <t>As of today, from the latest figures held  [derived by rule — confirm]</t>
        </is>
      </c>
      <c r="O38" t="inlineStr">
        <is>
          <t>NOT DETERMINED</t>
        </is>
      </c>
      <c r="P38" t="inlineStr">
        <is>
          <t>No function on record — nothing to chain</t>
        </is>
      </c>
      <c r="Q38" t="inlineStr">
        <is>
          <t>No function on record — assumptions unknown</t>
        </is>
      </c>
      <c r="R38" t="inlineStr"/>
      <c r="S38" t="inlineStr"/>
      <c r="T38" t="inlineStr">
        <is>
          <t>[Built in] Inflation comes from a published feed, with a fallback figure when the feed is silent.</t>
        </is>
      </c>
      <c r="U38" t="inlineStr"/>
      <c r="V38" t="inlineStr"/>
      <c r="W38" t="inlineStr"/>
      <c r="X38" t="inlineStr"/>
      <c r="Y38" t="inlineStr">
        <is>
          <t>NOT DETERMINED</t>
        </is>
      </c>
      <c r="Z38" t="inlineStr">
        <is>
          <t>VERIFIED 2026-08-22</t>
        </is>
      </c>
      <c r="AA38"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t="inlineStr">
        <is>
          <t>B24 [NOT COMPARABLE] — This figure names no function, so its formula cannot be checked against anything. 69 of the 163 figures are in this position — the audit covers the 94 that name one.</t>
        </is>
      </c>
      <c r="AC38"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t="inlineStr"/>
      <c r="AE38" t="inlineStr">
        <is>
          <t>A45 — OPEN since 2026-08-26 — nothing has closed this. It is not known to be wrong; it is known to be unaddressed.</t>
        </is>
      </c>
      <c r="AF38" t="inlineStr">
        <is>
          <t>ACTIVE</t>
        </is>
      </c>
      <c r="AG38" t="inlineStr">
        <is>
          <t>2026-08-27</t>
        </is>
      </c>
    </row>
    <row r="39">
      <c r="A39" t="inlineStr"/>
      <c r="B39" t="inlineStr">
        <is>
          <t>Plan</t>
        </is>
      </c>
      <c r="C39" t="inlineStr">
        <is>
          <t>/add-account</t>
        </is>
      </c>
      <c r="D39" t="inlineStr">
        <is>
          <t>—</t>
        </is>
      </c>
      <c r="E39" t="inlineStr">
        <is>
          <t>—</t>
        </is>
      </c>
      <c r="F39" t="inlineStr">
        <is>
          <t>—</t>
        </is>
      </c>
      <c r="G39" t="inlineStr"/>
      <c r="H39" t="inlineStr"/>
      <c r="I39" t="inlineStr"/>
      <c r="J39" t="inlineStr"/>
      <c r="K39" t="inlineStr"/>
      <c r="L39" t="inlineStr"/>
      <c r="M39" t="inlineStr"/>
      <c r="N39" t="inlineStr"/>
      <c r="O39" t="inlineStr"/>
      <c r="P39" t="inlineStr"/>
      <c r="Q39" t="inlineStr"/>
      <c r="R39" t="inlineStr"/>
      <c r="S39" t="inlineStr"/>
      <c r="T39" t="inlineStr"/>
      <c r="U39" t="inlineStr"/>
      <c r="V39" t="inlineStr"/>
      <c r="W39" t="inlineStr"/>
      <c r="X39" t="inlineStr">
        <is>
          <t>NOT DETERMINED</t>
        </is>
      </c>
      <c r="Y39" t="inlineStr">
        <is>
          <t>READ 2026-08-22 — no calculated figure on this screen</t>
        </is>
      </c>
    </row>
    <row r="40">
      <c r="A40" t="inlineStr"/>
      <c r="B40" t="inlineStr">
        <is>
          <t>Plan</t>
        </is>
      </c>
      <c r="C40" t="inlineStr">
        <is>
          <t>/connect</t>
        </is>
      </c>
      <c r="D40" t="inlineStr">
        <is>
          <t>—</t>
        </is>
      </c>
      <c r="E40" t="inlineStr">
        <is>
          <t>—</t>
        </is>
      </c>
      <c r="F40" t="inlineStr">
        <is>
          <t>—</t>
        </is>
      </c>
      <c r="G40" t="inlineStr"/>
      <c r="H40" t="inlineStr"/>
      <c r="I40" t="inlineStr"/>
      <c r="J40" t="inlineStr"/>
      <c r="K40" t="inlineStr"/>
      <c r="L40" t="inlineStr"/>
      <c r="M40" t="inlineStr"/>
      <c r="N40" t="inlineStr"/>
      <c r="O40" t="inlineStr"/>
      <c r="P40" t="inlineStr"/>
      <c r="Q40" t="inlineStr"/>
      <c r="R40" t="inlineStr"/>
      <c r="S40" t="inlineStr"/>
      <c r="T40" t="inlineStr"/>
      <c r="U40" t="inlineStr"/>
      <c r="V40" t="inlineStr"/>
      <c r="W40" t="inlineStr"/>
      <c r="X40" t="inlineStr">
        <is>
          <t>NOT DETERMINED</t>
        </is>
      </c>
      <c r="Y40" t="inlineStr">
        <is>
          <t>READ 2026-08-22 — no calculated figure on this screen</t>
        </is>
      </c>
    </row>
    <row r="41">
      <c r="A41" t="inlineStr"/>
      <c r="B41" t="inlineStr">
        <is>
          <t>Plan</t>
        </is>
      </c>
      <c r="C41" t="inlineStr">
        <is>
          <t>/import-holdings</t>
        </is>
      </c>
      <c r="D41" t="inlineStr">
        <is>
          <t>—</t>
        </is>
      </c>
      <c r="E41" t="inlineStr">
        <is>
          <t>—</t>
        </is>
      </c>
      <c r="F41" t="inlineStr">
        <is>
          <t>—</t>
        </is>
      </c>
      <c r="G41" t="inlineStr"/>
      <c r="H41" t="inlineStr"/>
      <c r="I41" t="inlineStr"/>
      <c r="J41" t="inlineStr"/>
      <c r="K41" t="inlineStr"/>
      <c r="L41" t="inlineStr"/>
      <c r="M41" t="inlineStr"/>
      <c r="N41" t="inlineStr"/>
      <c r="O41" t="inlineStr"/>
      <c r="P41" t="inlineStr"/>
      <c r="Q41" t="inlineStr"/>
      <c r="R41" t="inlineStr"/>
      <c r="S41" t="inlineStr"/>
      <c r="T41" t="inlineStr"/>
      <c r="U41" t="inlineStr"/>
      <c r="V41" t="inlineStr"/>
      <c r="W41" t="inlineStr"/>
      <c r="X41" t="inlineStr">
        <is>
          <t>NOT DETERMINED</t>
        </is>
      </c>
      <c r="Y41" t="inlineStr">
        <is>
          <t>READ 2026-08-22 — no calculated figure on this screen</t>
        </is>
      </c>
    </row>
    <row r="42">
      <c r="A42" t="inlineStr"/>
      <c r="B42" t="inlineStr">
        <is>
          <t>Plan</t>
        </is>
      </c>
      <c r="C42" t="inlineStr">
        <is>
          <t>/performance</t>
        </is>
      </c>
      <c r="D42" t="inlineStr">
        <is>
          <t>—</t>
        </is>
      </c>
      <c r="E42" t="inlineStr">
        <is>
          <t>—</t>
        </is>
      </c>
      <c r="F42" t="inlineStr">
        <is>
          <t>—</t>
        </is>
      </c>
      <c r="G42" t="inlineStr"/>
      <c r="H42" t="inlineStr"/>
      <c r="I42" t="inlineStr"/>
      <c r="J42" t="inlineStr"/>
      <c r="K42" t="inlineStr"/>
      <c r="L42" t="inlineStr"/>
      <c r="M42" t="inlineStr"/>
      <c r="N42" t="inlineStr"/>
      <c r="O42" t="inlineStr"/>
      <c r="P42" t="inlineStr"/>
      <c r="Q42" t="inlineStr"/>
      <c r="R42" t="inlineStr"/>
      <c r="S42" t="inlineStr"/>
      <c r="T42" t="inlineStr"/>
      <c r="U42" t="inlineStr"/>
      <c r="V42" t="inlineStr"/>
      <c r="W42" t="inlineStr"/>
      <c r="X42" t="inlineStr">
        <is>
          <t>NOT DETERMINED</t>
        </is>
      </c>
      <c r="Y42" t="inlineStr">
        <is>
          <t>READ 2026-08-22 — the same screen as /invest, reached by a second route</t>
        </is>
      </c>
    </row>
    <row r="43">
      <c r="A43" t="inlineStr"/>
      <c r="B43" t="inlineStr">
        <is>
          <t>Plan</t>
        </is>
      </c>
      <c r="C43" t="inlineStr">
        <is>
          <t>/sharpen</t>
        </is>
      </c>
      <c r="D43" t="inlineStr">
        <is>
          <t>—</t>
        </is>
      </c>
      <c r="E43" t="inlineStr">
        <is>
          <t>—</t>
        </is>
      </c>
      <c r="F43" t="inlineStr">
        <is>
          <t>—</t>
        </is>
      </c>
      <c r="G43" t="inlineStr"/>
      <c r="H43" t="inlineStr"/>
      <c r="I43" t="inlineStr"/>
      <c r="J43" t="inlineStr"/>
      <c r="K43" t="inlineStr"/>
      <c r="L43" t="inlineStr"/>
      <c r="M43" t="inlineStr"/>
      <c r="N43" t="inlineStr"/>
      <c r="O43" t="inlineStr"/>
      <c r="P43" t="inlineStr"/>
      <c r="Q43" t="inlineStr"/>
      <c r="R43" t="inlineStr"/>
      <c r="S43" t="inlineStr"/>
      <c r="T43" t="inlineStr"/>
      <c r="U43" t="inlineStr"/>
      <c r="V43" t="inlineStr"/>
      <c r="W43" t="inlineStr"/>
      <c r="X43" t="inlineStr">
        <is>
          <t>NOT DETERMINED</t>
        </is>
      </c>
      <c r="Y43" t="inlineStr">
        <is>
          <t>READ 2026-08-22 — no calculated figure on this screen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G35"/>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9"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0" customWidth="1" min="16" max="16"/>
    <col width="42" customWidth="1" min="17" max="17"/>
    <col width="42" customWidth="1" min="18" max="18"/>
    <col width="37" customWidth="1" min="19" max="19"/>
    <col width="22" customWidth="1" min="20" max="20"/>
    <col width="28" customWidth="1" min="21" max="21"/>
    <col width="36" customWidth="1" min="22" max="22"/>
    <col width="41" customWidth="1" min="23" max="23"/>
    <col width="41" customWidth="1" min="24" max="24"/>
    <col width="20" customWidth="1" min="25" max="25"/>
    <col width="18" customWidth="1" min="26" max="26"/>
    <col width="41" customWidth="1" min="27" max="27"/>
    <col width="42" customWidth="1" min="28" max="28"/>
    <col width="23" customWidth="1" min="29" max="29"/>
    <col width="37" customWidth="1" min="30" max="30"/>
    <col width="33" customWidth="1" min="31" max="31"/>
    <col width="32" customWidth="1" min="32" max="32"/>
    <col width="26" customWidth="1" min="33" max="33"/>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engine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row>
    <row r="2">
      <c r="A2" t="inlineStr">
        <is>
          <t>MK-CF-M-001</t>
        </is>
      </c>
      <c r="B2" t="inlineStr">
        <is>
          <t>Cashflow</t>
        </is>
      </c>
      <c r="C2" t="inlineStr">
        <is>
          <t>NA</t>
        </is>
      </c>
      <c r="D2" t="inlineStr">
        <is>
          <t>Expected in</t>
        </is>
      </c>
      <c r="E2" t="inlineStr">
        <is>
          <t>cell.inflow</t>
        </is>
      </c>
      <c r="F2" t="inlineStr">
        <is>
          <t>NOT ON RECORD — no function is recorded for this figure</t>
        </is>
      </c>
      <c r="G2" t="inlineStr"/>
      <c r="H2" t="inlineStr">
        <is>
          <t>for month m: expected in = Σ(income landing in m);  planned out = Σ(bills and planned spending dated in m);  planned surplus = expected in − planned out</t>
        </is>
      </c>
      <c r="I2" t="inlineStr">
        <is>
          <t>Lays the year out month by month so a month with a big bill in it can be seen before it arrives.</t>
        </is>
      </c>
      <c r="J2" t="inlineStr">
        <is>
          <t>NOT DETERMINED — no input list on record for this engine</t>
        </is>
      </c>
      <c r="K2" t="inlineStr">
        <is>
          <t>US dollars · held to the cent · shown as whole dollars  [derived by rule — confirm]</t>
        </is>
      </c>
      <c r="L2" t="inlineStr">
        <is>
          <t>Adds up to $0 when there is nothing to add. Zero and "nothing recorded yet" look identical on screen — worth a decision.</t>
        </is>
      </c>
      <c r="M2" t="inlineStr">
        <is>
          <t>One figure per person — or per household when two people share one record  [derived by rule — confirm]</t>
        </is>
      </c>
      <c r="N2" t="inlineStr">
        <is>
          <t>As of today, from the latest figures held  [derived by rule — confirm]</t>
        </is>
      </c>
      <c r="O2" t="inlineStr">
        <is>
          <t>NOT DETERMINED</t>
        </is>
      </c>
      <c r="P2" t="inlineStr">
        <is>
          <t>No function on record — nothing to chain</t>
        </is>
      </c>
      <c r="Q2" t="inlineStr">
        <is>
          <t>No function on record — assumptions unknown</t>
        </is>
      </c>
      <c r="R2" t="inlineStr"/>
      <c r="S2" t="inlineStr"/>
      <c r="T2" t="inlineStr">
        <is>
          <t>NOT DETERMINED — no assumption recorded for this figure yet.</t>
        </is>
      </c>
      <c r="U2" t="inlineStr"/>
      <c r="V2" t="inlineStr"/>
      <c r="W2" t="inlineStr"/>
      <c r="X2" t="inlineStr"/>
      <c r="Y2" t="inlineStr">
        <is>
          <t>NOT DETERMINED</t>
        </is>
      </c>
      <c r="Z2" t="inlineStr">
        <is>
          <t>VERIFIED 2026-08-22</t>
        </is>
      </c>
      <c r="AA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t="inlineStr">
        <is>
          <t>B24 [NOT COMPARABLE] — This figure names no function, so its formula cannot be checked against anything. 69 of the 163 figures are in this position — the audit covers the 94 that name one.</t>
        </is>
      </c>
      <c r="AC2"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t="inlineStr"/>
      <c r="AE2" t="inlineStr">
        <is>
          <t>No finding on this row. That is not a statement that the row is right — only that nothing has been written against it.</t>
        </is>
      </c>
      <c r="AF2" t="inlineStr">
        <is>
          <t>ACTIVE</t>
        </is>
      </c>
      <c r="AG2" t="inlineStr">
        <is>
          <t>2026-08-27</t>
        </is>
      </c>
    </row>
    <row r="3">
      <c r="A3" t="inlineStr">
        <is>
          <t>MK-CF-M-002</t>
        </is>
      </c>
      <c r="B3" t="inlineStr">
        <is>
          <t>Cashflow</t>
        </is>
      </c>
      <c r="C3" t="inlineStr">
        <is>
          <t>NA</t>
        </is>
      </c>
      <c r="D3" t="inlineStr">
        <is>
          <t>Planned out · incl. &lt;big bill&gt;</t>
        </is>
      </c>
      <c r="E3" t="inlineStr">
        <is>
          <t>cell.outflow</t>
        </is>
      </c>
      <c r="F3" t="inlineStr">
        <is>
          <t>NOT ON RECORD — no function is recorded for this figure</t>
        </is>
      </c>
      <c r="G3" t="inlineStr"/>
      <c r="H3" t="inlineStr">
        <is>
          <t>for month m: expected in = Σ(income landing in m);  planned out = Σ(bills and planned spending dated in m);  planned surplus = expected in − planned out</t>
        </is>
      </c>
      <c r="I3" t="inlineStr">
        <is>
          <t>Lays the year out month by month so a month with a big bill in it can be seen before it arrives.</t>
        </is>
      </c>
      <c r="J3" t="inlineStr">
        <is>
          <t>NOT DETERMINED — no input list on record for this engine</t>
        </is>
      </c>
      <c r="K3" t="inlineStr">
        <is>
          <t>US dollars · held to the cent · shown as whole dollars  [derived by rule — confirm]</t>
        </is>
      </c>
      <c r="L3" t="inlineStr">
        <is>
          <t>Adds up to $0 when there is nothing to add. Zero and "nothing recorded yet" look identical on screen — worth a decision.</t>
        </is>
      </c>
      <c r="M3" t="inlineStr">
        <is>
          <t>One figure per person — or per household when two people share one record  [derived by rule — confirm]</t>
        </is>
      </c>
      <c r="N3" t="inlineStr">
        <is>
          <t>As of today, from the latest figures held  [derived by rule — confirm]</t>
        </is>
      </c>
      <c r="O3" t="inlineStr">
        <is>
          <t>NOT DETERMINED</t>
        </is>
      </c>
      <c r="P3" t="inlineStr">
        <is>
          <t>No function on record — nothing to chain</t>
        </is>
      </c>
      <c r="Q3" t="inlineStr">
        <is>
          <t>No function on record — assumptions unknown</t>
        </is>
      </c>
      <c r="R3" t="inlineStr"/>
      <c r="S3" t="inlineStr"/>
      <c r="T3" t="inlineStr">
        <is>
          <t>NOT DETERMINED — no assumption recorded for this figure yet.</t>
        </is>
      </c>
      <c r="U3" t="inlineStr"/>
      <c r="V3" t="inlineStr"/>
      <c r="W3" t="inlineStr"/>
      <c r="X3" t="inlineStr"/>
      <c r="Y3" t="inlineStr">
        <is>
          <t>NOT DETERMINED</t>
        </is>
      </c>
      <c r="Z3" t="inlineStr">
        <is>
          <t>VERIFIED 2026-08-22</t>
        </is>
      </c>
      <c r="AA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t="inlineStr">
        <is>
          <t>B24 [NOT COMPARABLE] — This figure names no function, so its formula cannot be checked against anything. 69 of the 163 figures are in this position — the audit covers the 94 that name one.</t>
        </is>
      </c>
      <c r="AC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t="inlineStr"/>
      <c r="AE3" t="inlineStr">
        <is>
          <t>No finding on this row. That is not a statement that the row is right — only that nothing has been written against it.</t>
        </is>
      </c>
      <c r="AF3" t="inlineStr">
        <is>
          <t>ACTIVE</t>
        </is>
      </c>
      <c r="AG3" t="inlineStr">
        <is>
          <t>2026-08-27</t>
        </is>
      </c>
    </row>
    <row r="4">
      <c r="A4" t="inlineStr">
        <is>
          <t>MK-CF-M-003</t>
        </is>
      </c>
      <c r="B4" t="inlineStr">
        <is>
          <t>Cashflow</t>
        </is>
      </c>
      <c r="C4" t="inlineStr">
        <is>
          <t>NA</t>
        </is>
      </c>
      <c r="D4">
        <f> Planned surplus</f>
        <v/>
      </c>
      <c r="E4" t="inlineStr">
        <is>
          <t>cell.net</t>
        </is>
      </c>
      <c r="F4" t="inlineStr">
        <is>
          <t>Worked out on the screen itself — no function behind it</t>
        </is>
      </c>
      <c r="G4" t="inlineStr"/>
      <c r="H4" t="inlineStr">
        <is>
          <t>planned surplus = expected in − planned out</t>
        </is>
      </c>
      <c r="I4" t="inlineStr">
        <is>
          <t>Worked out on the screen itself, with no engine behind it — a place a second definition can appear.</t>
        </is>
      </c>
      <c r="J4" t="inlineStr">
        <is>
          <t>NOT DETERMINED — no input list on record for this engine</t>
        </is>
      </c>
      <c r="K4" t="inlineStr">
        <is>
          <t>US dollars · held to the cent · shown as whole dollars  [derived by rule — confirm]</t>
        </is>
      </c>
      <c r="L4" t="inlineStr">
        <is>
          <t>Inherits the refusal of the figures it is built from: if either side is missing, this line is not shown.</t>
        </is>
      </c>
      <c r="M4" t="inlineStr">
        <is>
          <t>One figure per person — or per household when two people share one record  [derived by rule — confirm]</t>
        </is>
      </c>
      <c r="N4" t="inlineStr">
        <is>
          <t>As of today, from the latest figures held  [derived by rule — confirm]</t>
        </is>
      </c>
      <c r="O4" t="inlineStr">
        <is>
          <t>NOT DETERMINED</t>
        </is>
      </c>
      <c r="P4" t="inlineStr">
        <is>
          <t>No function on record — nothing to chain</t>
        </is>
      </c>
      <c r="Q4" t="inlineStr">
        <is>
          <t>No function on record — assumptions unknown</t>
        </is>
      </c>
      <c r="R4" t="inlineStr"/>
      <c r="S4" t="inlineStr"/>
      <c r="T4" t="inlineStr">
        <is>
          <t>NOT DETERMINED — no assumption recorded for this figure yet.</t>
        </is>
      </c>
      <c r="U4" t="inlineStr"/>
      <c r="V4" t="inlineStr"/>
      <c r="W4" t="inlineStr"/>
      <c r="X4" t="inlineStr"/>
      <c r="Y4" t="inlineStr">
        <is>
          <t>NOT DETERMINED</t>
        </is>
      </c>
      <c r="Z4" t="inlineStr">
        <is>
          <t>VERIFIED 2026-08-22</t>
        </is>
      </c>
      <c r="AA4"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t="inlineStr">
        <is>
          <t>B24 [NOT COMPARABLE] — This figure names no function, so its formula cannot be checked against anything. 69 of the 163 figures are in this position — the audit covers the 94 that name one.</t>
        </is>
      </c>
      <c r="AC4"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4" t="inlineStr"/>
      <c r="AE4" t="inlineStr">
        <is>
          <t>A49 — OPEN since 2026-08-26 — nothing has closed this. It is not known to be wrong; it is known to be unaddressed.</t>
        </is>
      </c>
      <c r="AF4" t="inlineStr">
        <is>
          <t>ACTIVE</t>
        </is>
      </c>
      <c r="AG4" t="inlineStr">
        <is>
          <t>2026-08-27</t>
        </is>
      </c>
    </row>
    <row r="5">
      <c r="A5" t="inlineStr">
        <is>
          <t>MK-CF-M-004</t>
        </is>
      </c>
      <c r="B5" t="inlineStr">
        <is>
          <t>Cashflow</t>
        </is>
      </c>
      <c r="C5" t="inlineStr">
        <is>
          <t>NA</t>
        </is>
      </c>
      <c r="D5" t="inlineStr">
        <is>
          <t>Out (spent + debt)</t>
        </is>
      </c>
      <c r="E5" t="inlineStr">
        <is>
          <t>out</t>
        </is>
      </c>
      <c r="F5" t="inlineStr">
        <is>
          <t>budgetVsActual</t>
        </is>
      </c>
      <c r="G5" t="inlineStr">
        <is>
          <t>MK-CF-F-014</t>
        </is>
      </c>
      <c r="H5" t="inlineStr">
        <is>
          <t>spent(bucket) = Σ(expenses dated in this month in that bucket, debt payments excluded);  remaining = planned − spent</t>
        </is>
      </c>
      <c r="I5" t="inlineStr">
        <is>
          <t>Adds up this month’s logged expenses by bucket and sets each against what was planned. Debt payments are deliberately left out, because debt is tracked on its own.</t>
        </is>
      </c>
      <c r="J5" t="inlineStr">
        <is>
          <t>NOT DETERMINED — no input list on record for this engine</t>
        </is>
      </c>
      <c r="K5" t="inlineStr">
        <is>
          <t>US dollars · held to the cent · shown as whole dollars  [derived by rule — confirm]</t>
        </is>
      </c>
      <c r="L5" t="inlineStr">
        <is>
          <t>Adds up to $0 when there is nothing to add. Zero and "nothing recorded yet" look identical on screen — worth a decision.</t>
        </is>
      </c>
      <c r="M5" t="inlineStr">
        <is>
          <t>One figure per debt, and one total per person  [derived by rule — confirm]</t>
        </is>
      </c>
      <c r="N5" t="inlineStr">
        <is>
          <t>As of today, from the latest figures held  [derived by rule — confirm]</t>
        </is>
      </c>
      <c r="O5" t="inlineStr">
        <is>
          <t>NOT DETERMINED</t>
        </is>
      </c>
      <c r="P5" t="inlineStr">
        <is>
          <t>1. MK-CF-F-132 map → MK-CF-F-014 budgetVsActual
2. MK-ST-F-055 round2 → MK-CF-F-014 budgetVsActual
3. MK-CF-F-069 benefitActiveMonths → MK-CF-F-092 incomeMonthlyGrid → MK-CF-F-120 pctBaseMonthly → MK-CF-F-003 categoryMonthly → MK-CF-F-004 spendBuckets → MK-CF-F-014 budgetVsActual
4. MK-CF-F-072 currentRetirementIncomeMonthly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MK-CF-F-132 map → MK-CF-F-092 incomeMonthlyGrid → MK-CF-F-120 pctBaseMonthly → MK-CF-F-003 categoryMonthly → MK-CF-F-004 spendBuckets → MK-CF-F-014 budgetVsActual
9. … and 5 more paths</t>
        </is>
      </c>
      <c r="Q5" t="inlineStr">
        <is>
          <t>1. MK-CF-F-014 — Uses today's date from the device clock, so the answer changes by itself overnight.
2. MK-CF-F-014 — Leaves some rows out of the answer — check which.
3. MK-ST-F-055 — Multiplies by 100 — a percentage, or an option contract treated as 100 shares. Worth checking which.
4. MK-ST-F-055 — Rounds the answer to a whole number.
5. MK-CF-F-003 — Treats a year as twelve equal months.
6. MK-CF-F-003 — Turns a monthly figure into a year by multiplying by twelve.
7. MK-CF-F-120 — Treats a year as twelve equal months.
8. MK-CF-F-092 — Treats a year as twelve equal months.
9. MK-CF-F-092 — Uses today's date from the device clock, so the answer changes by itself overnight.
10. MK-CF-F-069 — Leaves some rows out of the answer — check which.
11. MK-CF-F-065 — Uses a built-in total v of 0.
12. MK-CF-F-071 — Treats a year as twelve equal months.
13. MK-CF-F-087 — Uses today's date from the device clock, so the answer changes by itself overnight.
14. MK-CF-F-181 — Turns a monthly figure into a year by multiplying by twelve.
15. MK-CF-F-181 — Multiplies by 100 — a percentage, or an option contract treated as 100 shares. Worth checking which.
16. MK-CF-F-181 — Rounds the answer to a whole number.
17. MK-CF-F-068 — Turns a monthly figure into a year by multiplying by twelve.
18. MK-CF-F-066 — Leaves some rows out of the answer — check which.
19. MK-CF-F-077 — Uses a built-in i of 0.
20. MK-CF-F-077 — Treats a year as twelve equal months.
21. MK-CF-F-088 — Treats a year as twelve equal months.
22. MK-CF-F-088 — Uses today's date from the device clock, so the answer changes by itself overnight.
23. MK-CF-F-089 — Uses today's date from the device clock, so the answer changes by itself overnight.
24. MK-CF-F-180 — Uses a built-in total of 0.
25. MK-CF-F-082 — Uses today's date from the device clock, so the answer changes by itself overnight.
… and 13 more, on the functions tab</t>
        </is>
      </c>
      <c r="R5" t="inlineStr"/>
      <c r="S5" t="inlineStr"/>
      <c r="T5" t="inlineStr">
        <is>
          <t>NOT DETERMINED — no assumption recorded for this figure yet.</t>
        </is>
      </c>
      <c r="U5" t="inlineStr"/>
      <c r="V5" t="inlineStr"/>
      <c r="W5" t="inlineStr"/>
      <c r="X5" t="inlineStr"/>
      <c r="Y5" t="inlineStr">
        <is>
          <t>NOT DETERMINED</t>
        </is>
      </c>
      <c r="Z5" t="inlineStr">
        <is>
          <t>VERIFIED 2026-08-22</t>
        </is>
      </c>
      <c r="AA5"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A17 — "Uses a built-in i of 0", on 11 functions, is the loop counter — let i = 0.
4. A18 — "Treats a year as twelve equal months" fires on any division by 12, a month index included; "Treats a month as 30 days" fires on any multiplication by 30. Neither is read as arithmetic, so both carry false positives.
5.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t="inlineStr">
        <is>
          <t>AGREES — the figure's arithmetic and the arithmetic of the function it names say the same thing. Checked 2026-08-26.</t>
        </is>
      </c>
      <c r="AC5" t="inlineStr">
        <is>
          <t>HAS A FUNCTION — traceable from the screen to the code.</t>
        </is>
      </c>
      <c r="AD5" t="inlineStr"/>
      <c r="AE5" t="inlineStr">
        <is>
          <t>No finding on this row. That is not a statement that the row is right — only that nothing has been written against it.</t>
        </is>
      </c>
      <c r="AF5" t="inlineStr">
        <is>
          <t>ACTIVE</t>
        </is>
      </c>
      <c r="AG5" t="inlineStr">
        <is>
          <t>2026-08-27</t>
        </is>
      </c>
    </row>
    <row r="6">
      <c r="A6" t="inlineStr">
        <is>
          <t>MK-CF-M-005</t>
        </is>
      </c>
      <c r="B6" t="inlineStr">
        <is>
          <t>Cashflow</t>
        </is>
      </c>
      <c r="C6" t="inlineStr">
        <is>
          <t>NA</t>
        </is>
      </c>
      <c r="D6">
        <f> Surplus</f>
        <v/>
      </c>
      <c r="E6" t="inlineStr">
        <is>
          <t>inn - out</t>
        </is>
      </c>
      <c r="F6" t="inlineStr">
        <is>
          <t>Worked out on the screen itself — no function behind it</t>
        </is>
      </c>
      <c r="G6" t="inlineStr"/>
      <c r="H6" t="inlineStr">
        <is>
          <t>surplus = money in − money out</t>
        </is>
      </c>
      <c r="I6" t="inlineStr">
        <is>
          <t>Worked out on the screen itself, with no engine behind it — a place a second definition can appear.</t>
        </is>
      </c>
      <c r="J6" t="inlineStr">
        <is>
          <t>NOT DETERMINED — no input list on record for this engine</t>
        </is>
      </c>
      <c r="K6" t="inlineStr">
        <is>
          <t>US dollars · held to the cent · shown as whole dollars  [derived by rule — confirm]</t>
        </is>
      </c>
      <c r="L6" t="inlineStr">
        <is>
          <t>Inherits the refusal of the figures it is built from: if either side is missing, this line is not shown.</t>
        </is>
      </c>
      <c r="M6" t="inlineStr">
        <is>
          <t>One figure per person — or per household when two people share one record  [derived by rule — confirm]</t>
        </is>
      </c>
      <c r="N6" t="inlineStr">
        <is>
          <t>As of today, from the latest figures held  [derived by rule — confirm]</t>
        </is>
      </c>
      <c r="O6" t="inlineStr">
        <is>
          <t>NOT DETERMINED</t>
        </is>
      </c>
      <c r="P6" t="inlineStr">
        <is>
          <t>No function on record — nothing to chain</t>
        </is>
      </c>
      <c r="Q6" t="inlineStr">
        <is>
          <t>No function on record — assumptions unknown</t>
        </is>
      </c>
      <c r="R6" t="inlineStr"/>
      <c r="S6" t="inlineStr"/>
      <c r="T6" t="inlineStr">
        <is>
          <t>NOT DETERMINED — no assumption recorded for this figure yet.</t>
        </is>
      </c>
      <c r="U6" t="inlineStr"/>
      <c r="V6" t="inlineStr"/>
      <c r="W6" t="inlineStr"/>
      <c r="X6" t="inlineStr"/>
      <c r="Y6" t="inlineStr">
        <is>
          <t>NOT DETERMINED</t>
        </is>
      </c>
      <c r="Z6" t="inlineStr">
        <is>
          <t>VERIFIED 2026-08-22</t>
        </is>
      </c>
      <c r="AA6"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t="inlineStr">
        <is>
          <t>B24 [NOT COMPARABLE] — This figure names no function, so its formula cannot be checked against anything. 69 of the 163 figures are in this position — the audit covers the 94 that name one.</t>
        </is>
      </c>
      <c r="AC6"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6" t="inlineStr"/>
      <c r="AE6" t="inlineStr">
        <is>
          <t>A49 — OPEN since 2026-08-26 — nothing has closed this. It is not known to be wrong; it is known to be unaddressed.</t>
        </is>
      </c>
      <c r="AF6" t="inlineStr">
        <is>
          <t>ACTIVE</t>
        </is>
      </c>
      <c r="AG6" t="inlineStr">
        <is>
          <t>2026-08-27</t>
        </is>
      </c>
    </row>
    <row r="7">
      <c r="A7" t="inlineStr">
        <is>
          <t>MK-CF-M-006</t>
        </is>
      </c>
      <c r="B7" t="inlineStr">
        <is>
          <t>Cashflow</t>
        </is>
      </c>
      <c r="C7" t="inlineStr">
        <is>
          <t>NA</t>
        </is>
      </c>
      <c r="D7" t="inlineStr">
        <is>
          <t>YOUR SOURCES — Base salary</t>
        </is>
      </c>
      <c r="E7" t="inlineStr">
        <is>
          <t>op.baseSalary</t>
        </is>
      </c>
      <c r="F7" t="inlineStr">
        <is>
          <t>totalGrossAnnual</t>
        </is>
      </c>
      <c r="G7" t="inlineStr">
        <is>
          <t>MK-CF-F-083</t>
        </is>
      </c>
      <c r="H7" t="inlineStr">
        <is>
          <t>gross a year = salary + self-employment + bonus + equity vesting + rental + other;  net a month = (gross − tax withheld − pre-tax contributions) ÷ 12</t>
        </is>
      </c>
      <c r="I7"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7" t="inlineStr">
        <is>
          <t>each part → its own engine above  [NOT AN INPUT — another engine’s answer; see the dependency column]</t>
        </is>
      </c>
      <c r="K7" t="inlineStr">
        <is>
          <t>US dollars · held to the cent · shown as whole dollars  [derived by rule — confirm]</t>
        </is>
      </c>
      <c r="L7" t="inlineStr">
        <is>
          <t>A division: with nothing on the bottom there is no answer, and the line must not appear as zero. NOT YET CONFIRMED against the engine.</t>
        </is>
      </c>
      <c r="M7" t="inlineStr">
        <is>
          <t>One figure per person — or per household when two people share one record  [derived by rule — confirm]</t>
        </is>
      </c>
      <c r="N7" t="inlineStr">
        <is>
          <t>As of today, from the latest figures held  [derived by rule — confirm]</t>
        </is>
      </c>
      <c r="O7" t="inlineStr">
        <is>
          <t>1. MK-XS-E-049 (EQUITY_THIS_YEAR) → How much equity vests this year?
2. MK-XS-E-050 (OTHER_INCOME) → What else comes in?
3. MK-XS-E-020 (READ_A_NUMBER) → What number did the person actually type?
4. MK-XS-E-051 (RENTAL_INCOME_A_YEAR) → What do the rentals net over a year?
5. MK-PL-E-007 (RETIREMENT_INCOME_NOW) → How much retirement income is arriving TODAY?
6. MK-XS-E-052 (SALARY_A_YEAR) → What is the salary for the year?
7. MK-XS-E-053 (TIPS_A_YEAR) → What do tips come to over the year?</t>
        </is>
      </c>
      <c r="P7" t="inlineStr">
        <is>
          <t>1. MK-ST-F-052 toNum → MK-CF-F-075 retirementIncomeMonthly → MK-CF-F-072 currentRetirementIncomeMonthly → MK-CF-F-083 totalGrossAnnual
2. MK-CF-F-069 benefitActiveMonths → MK-CF-F-070 benefitAnnual → MK-CF-F-071 extraIncome → MK-CF-F-083 totalGrossAnnual
3. MK-ST-F-052 toNum → MK-CF-F-070 benefitAnnual → MK-CF-F-071 extraIncome → MK-CF-F-083 totalGrossAnnual
4. MK-ST-F-055 round2 → MK-CF-F-071 extraIncome → MK-CF-F-083 totalGrossAnnual
5. MK-ST-F-052 toNum → MK-CF-F-071 extraIncome → MK-CF-F-083 totalGrossAnnual
6. MK-CF-F-132 map → MK-CF-F-067 rentalList → MK-CF-F-068 rentalNetAnnual → MK-CF-F-083 totalGrossAnnual
7. MK-ST-F-052 toNum → MK-CF-F-067 rentalList → MK-CF-F-068 rentalNetAnnual → MK-CF-F-083 totalGrossAnnual
8. MK-ST-F-052 toNum → MK-CF-F-062 equityRowValue → MK-CF-F-066 rsuAnnual → MK-CF-F-083 totalGrossAnnual
9. … and 5 more paths</t>
        </is>
      </c>
      <c r="Q7" t="inlineStr">
        <is>
          <t>1. MK-CF-F-083 — Turns a monthly figure into a year by multiplying by twelve.
2. MK-CF-F-083 — Uses today's date from the device clock, so the answer changes by itself overnight.
3. MK-CF-F-071 — Treats a year as twelve equal months.
4. MK-CF-F-068 — Turns a monthly figure into a year by multiplying by twelve.
5. MK-CF-F-066 — Leaves some rows out of the answer — check which.
6. MK-CF-F-082 — Uses today's date from the device clock, so the answer changes by itself overnight.
7. MK-CF-F-074 — Uses today's date from the device clock, so the answer changes by itself overnight.
8. MK-ST-F-055 — Multiplies by 100 — a percentage, or an option contract treated as 100 shares. Worth checking which.
9. MK-ST-F-055 — Rounds the answer to a whole number.
10. MK-CF-F-067 — Leaves some rows out of the answer — check which.
11. MK-CF-F-063 — Uses today's date from the device clock, so the answer changes by itself overnight.
12. MK-CF-F-081 — Uses today's date from the device clock, so the answer changes by itself overnight.
13. MK-CF-F-081 — Leaves some rows out of the answer — check which.
14. MK-CF-F-069 — Leaves some rows out of the answer — check which.
15. MK-CF-F-176 — If r[i] is missing it counts as zero, so nothing recorded and a real zero look the same.
16. MK-CF-F-177 — Uses today's date from the device clock, so the answer changes by itself overnight.
17. MK-CF-F-130 — If salary freq] is missing it uses 12.
18. MK-CF-F-130 — Treats a year as twelve equal months.
19. MK-CF-F-167 — Uses today's date from the device clock, so the answer changes by itself overnight.
20. MK-CF-F-165 — Uses today's date from the device clock, so the answer changes by itself overnight.</t>
        </is>
      </c>
      <c r="R7" t="inlineStr"/>
      <c r="S7" t="inlineStr"/>
      <c r="T7" t="inlineStr">
        <is>
          <t>NOT DETERMINED — no assumption recorded for this figure yet.</t>
        </is>
      </c>
      <c r="U7" t="inlineStr"/>
      <c r="V7" t="inlineStr"/>
      <c r="W7" t="inlineStr"/>
      <c r="X7" t="inlineStr"/>
      <c r="Y7" t="inlineStr">
        <is>
          <t>NOT DETERMINED</t>
        </is>
      </c>
      <c r="Z7" t="inlineStr">
        <is>
          <t>VERIFIED 2026-08-22</t>
        </is>
      </c>
      <c r="AA7"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A18 — "Treats a year as twelve equal months" fires on any division by 12, a month index included; "Treats a month as 30 days" fires on any multiplication by 30. Neither is read as arithmetic, so both carry false positives.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B30 [CLASH] — THE QUESTION DOES NOT SAY WHAT IT MEANS. The income screen offers a Gross / Take-home toggle and asks "Take-home pay each month". Most people read take-home as AFTER TAX; the app stores it as after tax AND after the 401(k) — its own code calls that "available" and keeps a separate "net (after tax)" concept the question never offers. So someone entering an after-tax figure has their 401(k) removed a second time. Founder wording 2026-08-27: ask for "the amount that lands in your bank account", which nobody confuses.
3.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4. B31 [CLASH] — NOBODY HAS EVER SET A FILING STATUS. filingStatusOf reads op.filingStatus, no screen anywhere writes it, so the fallback fires every time and EVERYONE is taxed as a single filer — including the couple who just told the app they have a partner. Five surfaces read it and all five get single: every month's withholding rate, the effective rate, the Roth conversion, the retirement tax rate, and the base-pay estimate. On $84,000 a married couple is shown $328 a month less than lands in their bank; at $200,000 it is $866. The app already asks whether they have a partner and still taxes them alone.
5. B32 [CLASH] — THE HOUSEHOLD'S INCOME IS ONE PERSON'S. Net worth is a household, the debts are a household, the spending is a household — the income is not. There is exactly one salary field, and whoEarns (You / Partner / Both) only LABELS whose it is; there is no second amount anywhere, and none of the extra-income fields is a second wage. So a couple sees one income against two people's spending and two people's debts, and their surplus reads far worse than it is on every screen that uses it. Separately, the joint tax bracket is worked out from that one income: on $84,000 with a partner earning $54,000 the marginal band should be 22% and reads 12%, which alone puts take-home $168 a month too high.
6. B33 [CLASH] — THE OVER-65 ADDITION COUNTS ONE PERSON ON A JOINT RETURN. over65CountOf reads the person's own birth year and returns 0 or 1 — a couple where both are 65 or older is counted as one, so the standard deduction is short by $1,650. Recorded in the 2026-08-20 brief as deliberately conservative because a partner's age was never captured; the filing-status question is where it can be captured, which removes the reason.
7. B17 [ONE FORMULA] — Seven figures share one formula and one function, totalGrossAnnual, which returns GROSS A YEAR and nothing else: "net a year", "Gross / year", "Net / month", and the four per-source rows (Base salary, Self-employment, Bonus, each income source). Neither net figure is what the function returns, and a single source is not the total. Six of the seven need their own formula.</t>
        </is>
      </c>
      <c r="AC7" t="inlineStr">
        <is>
          <t>HAS A FUNCTION — traceable from the screen to the code.</t>
        </is>
      </c>
      <c r="AD7" t="inlineStr">
        <is>
          <t>B27 — Base salary · This month — take-home shown up to $1,600/mo adrift from what was typed
B30 — Base salary — the question invites the wrong figure, which is then double-deducted
B29 — Base salary — three copies of the match arithmetic, free to drift apart
B31 — Base salary · This month — every couple taxed as a single filer, $328–$866/mo too low
B32 — Base salary · This month · Spending — the household's income is one person's, so the surplus reads far worse than it is
B33 — Base salary — a couple both over 65 is counted as one, $1,650 of deduction short</t>
        </is>
      </c>
      <c r="AE7" t="inlineStr">
        <is>
          <t>B27 — OPEN since 2026-08-26 — nothing has closed this. It is not known to be wrong; it is known to be unaddressed.
B30 — OPEN since 2026-08-26 — nothing has closed this. It is not known to be wrong; it is known to be unaddressed.
B29 — OPEN since 2026-08-26 — nothing has closed this. It is not known to be wrong; it is known to be unaddressed.
B31 — OPEN since 2026-08-26 — nothing has closed this. It is not known to be wrong; it is known to be unaddressed.
B32 — OPEN since 2026-08-26 — nothing has closed this. It is not known to be wrong; it is known to be unaddressed.
B33 — OPEN since 2026-08-26 — nothing has closed this. It is not known to be wrong; it is known to be unaddressed.
B17 — OPEN since 2026-08-26 — nothing has closed this. It is not known to be wrong; it is known to be unaddressed.</t>
        </is>
      </c>
      <c r="AF7" t="inlineStr">
        <is>
          <t>ACTIVE</t>
        </is>
      </c>
      <c r="AG7" t="inlineStr">
        <is>
          <t>2026-08-27</t>
        </is>
      </c>
    </row>
    <row r="8">
      <c r="A8" t="inlineStr">
        <is>
          <t>MK-CF-M-029</t>
        </is>
      </c>
      <c r="B8" t="inlineStr">
        <is>
          <t>Cashflow</t>
        </is>
      </c>
      <c r="C8" t="inlineStr">
        <is>
          <t>NA</t>
        </is>
      </c>
      <c r="D8" t="inlineStr">
        <is>
          <t>YOUR BASE PAY — your tax band, on everything you are taxed on</t>
        </is>
      </c>
      <c r="E8" t="inlineStr">
        <is>
          <t>band</t>
        </is>
      </c>
      <c r="F8" t="inlineStr">
        <is>
          <t>effectiveRate</t>
        </is>
      </c>
      <c r="G8" t="inlineStr">
        <is>
          <t>MK-CF-F-090</t>
        </is>
      </c>
      <c r="H8" t="inlineStr"/>
      <c r="I8" t="inlineStr"/>
      <c r="J8" t="inlineStr">
        <is>
          <t>NOT DETERMINED — no input list on record for this engine</t>
        </is>
      </c>
      <c r="K8" t="inlineStr">
        <is>
          <t>US dollars · held to the cent · shown as whole dollars  [derived by rule — confirm]</t>
        </is>
      </c>
      <c r="L8" t="inlineStr">
        <is>
          <t>NOT DETERMINED — this engine has not been read for its refusal yet.</t>
        </is>
      </c>
      <c r="M8" t="inlineStr">
        <is>
          <t>One figure per person — or per household when two people share one record  [derived by rule — confirm]</t>
        </is>
      </c>
      <c r="N8" t="inlineStr">
        <is>
          <t>As of today, from the latest figures held  [derived by rule — confirm]</t>
        </is>
      </c>
      <c r="O8" t="inlineStr">
        <is>
          <t>NOT DETERMINED</t>
        </is>
      </c>
      <c r="P8" t="inlineStr">
        <is>
          <t>1. MK-CF-F-172 hasWage → MK-CF-F-173 earnerWages → MK-CF-F-181 rateInForce → MK-CF-F-090 effectiveRate
2. MK-CF-F-099 deductionFor → MK-CF-F-100 taxableIncomeFor → MK-CF-F-101 taxOwedFor → MK-CF-F-102 effectiveRateOnGrossFor → MK-CF-F-181 rateInForce → MK-CF-F-090 effectiveRate
3. MK-CF-F-172 hasWage → MK-CF-F-173 earnerWages → MK-CF-F-180 enteredLandsAnnual → MK-CF-F-181 rateInForce → MK-CF-F-090 effectiveRate
4. MK-ST-F-055 round2 → MK-CF-F-180 enteredLandsAnnual → MK-CF-F-181 rateInForce → MK-CF-F-090 effectiveRate
5. MK-ST-F-052 toNum → MK-CF-F-180 enteredLandsAnnual → MK-CF-F-181 rateInForce → MK-CF-F-090 effectiveRate
6. MK-CF-F-085 filingStatusOf → MK-CF-F-181 rateInForce → MK-CF-F-090 effectiveRate
7. MK-ST-F-052 toNum → MK-CF-F-089 over65CountOf → MK-CF-F-181 rateInForce → MK-CF-F-090 effectiveRate
8. MK-CF-F-173 earnerWages → MK-CF-F-176 sumMonthsOverEarners → MK-CF-F-060 salaryGrossByMonth → MK-CF-F-082 salaryAnnual → MK-CF-F-181 rateInForce → MK-CF-F-090 effectiveRate
9. … and 4 more paths</t>
        </is>
      </c>
      <c r="Q8" t="inlineStr">
        <is>
          <t>1. MK-CF-F-181 — Turns a monthly figure into a year by multiplying by twelve.
2. MK-CF-F-181 — Multiplies by 100 — a percentage, or an option contract treated as 100 shares. Worth checking which.
3. MK-CF-F-181 — Rounds the answer to a whole number.
4. MK-CF-F-180 — Uses a built-in total of 0.
5. MK-CF-F-089 — Uses today's date from the device clock, so the answer changes by itself overnight.
6. MK-CF-F-082 — Uses today's date from the device clock, so the answer changes by itself overnight.
7. MK-CF-F-084 — Turns a monthly figure into a year by multiplying by twelve.
8. MK-CF-F-084 — Uses today's date from the device clock, so the answer changes by itself overnight.
9. MK-ST-F-055 — Multiplies by 100 — a percentage, or an option contract treated as 100 shares. Worth checking which.
10. MK-ST-F-055 — Rounds the answer to a whole number.
11. MK-CF-F-071 — Treats a year as twelve equal months.
12. MK-CF-F-068 — Turns a monthly figure into a year by multiplying by twelve.
13. MK-CF-F-066 — Leaves some rows out of the answer — check which.
14. MK-CF-F-074 — Uses today's date from the device clock, so the answer changes by itself overnight.
15. MK-CF-F-176 — If r[i] is missing it counts as zero, so nothing recorded and a real zero look the same.
16. MK-CF-F-177 — Uses today's date from the device clock, so the answer changes by itself overnight.
17. MK-CF-F-067 — Leaves some rows out of the answer — check which.
18. MK-CF-F-063 — Uses today's date from the device clock, so the answer changes by itself overnight.
19. MK-CF-F-081 — Uses today's date from the device clock, so the answer changes by itself overnight.
20. MK-CF-F-081 — Leaves some rows out of the answer — check which.
21. MK-CF-F-130 — If salary freq] is missing it uses 12.
22. MK-CF-F-130 — Treats a year as twelve equal months.
23. MK-CF-F-167 — Uses today's date from the device clock, so the answer changes by itself overnight.
24. MK-CF-F-069 — Leaves some rows out of the answer — check which.
25. MK-CF-F-165 — Uses today's date from the device clock, so the answer changes by itself overnight.</t>
        </is>
      </c>
      <c r="R8" t="inlineStr"/>
      <c r="S8" t="inlineStr"/>
      <c r="T8" t="inlineStr">
        <is>
          <t>NOT DETERMINED — no assumption recorded for this figure yet.</t>
        </is>
      </c>
      <c r="U8" t="inlineStr"/>
      <c r="V8" t="inlineStr"/>
      <c r="W8" t="inlineStr"/>
      <c r="X8" t="inlineStr"/>
      <c r="Y8" t="inlineStr">
        <is>
          <t>NOT DETERMINED</t>
        </is>
      </c>
      <c r="Z8" t="inlineStr">
        <is>
          <t>VERIFIED 2026-08-22</t>
        </is>
      </c>
      <c r="AA8"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A18 — "Treats a year as twelve equal months" fires on any division by 12, a month index included; "Treats a month as 30 days" fires on any multiplication by 30. Neither is read as arithmetic, so both carry false positives.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t="inlineStr">
        <is>
          <t>AGREES — the figure's arithmetic and the arithmetic of the function it names say the same thing. Checked 2026-08-26.</t>
        </is>
      </c>
      <c r="AC8" t="inlineStr">
        <is>
          <t>HAS A FUNCTION — traceable from the screen to the code.</t>
        </is>
      </c>
      <c r="AD8" t="inlineStr"/>
      <c r="AE8" t="inlineStr">
        <is>
          <t>No finding on this row. That is not a statement that the row is right — only that nothing has been written against it.</t>
        </is>
      </c>
      <c r="AF8" t="inlineStr">
        <is>
          <t>DECOMMISSIONED 2026-08-28 — it was here and is not any more. Kept so the number is never reused and earlier work can still be traced.</t>
        </is>
      </c>
      <c r="AG8" t="inlineStr">
        <is>
          <t>2026-08-28</t>
        </is>
      </c>
    </row>
    <row r="9">
      <c r="A9" t="inlineStr">
        <is>
          <t>MK-CF-M-007</t>
        </is>
      </c>
      <c r="B9" t="inlineStr">
        <is>
          <t>Cashflow</t>
        </is>
      </c>
      <c r="C9" t="inlineStr">
        <is>
          <t>NA</t>
        </is>
      </c>
      <c r="D9" t="inlineStr">
        <is>
          <t>YOUR SOURCES — Self-employment</t>
        </is>
      </c>
      <c r="E9" t="inlineStr">
        <is>
          <t>op.seAmount</t>
        </is>
      </c>
      <c r="F9" t="inlineStr">
        <is>
          <t>totalGrossAnnual</t>
        </is>
      </c>
      <c r="G9" t="inlineStr">
        <is>
          <t>MK-CF-F-083</t>
        </is>
      </c>
      <c r="H9" t="inlineStr">
        <is>
          <t>gross a year = salary + self-employment + bonus + equity vesting + rental + other;  net a month = (gross − tax withheld − pre-tax contributions) ÷ 12</t>
        </is>
      </c>
      <c r="I9"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t="inlineStr">
        <is>
          <t>each part → its own engine above  [NOT AN INPUT — another engine’s answer; see the dependency column]</t>
        </is>
      </c>
      <c r="K9" t="inlineStr">
        <is>
          <t>US dollars · held to the cent · shown as whole dollars  [derived by rule — confirm]</t>
        </is>
      </c>
      <c r="L9" t="inlineStr">
        <is>
          <t>A division: with nothing on the bottom there is no answer, and the line must not appear as zero. NOT YET CONFIRMED against the engine.</t>
        </is>
      </c>
      <c r="M9" t="inlineStr">
        <is>
          <t>One figure per person — or per household when two people share one record  [derived by rule — confirm]</t>
        </is>
      </c>
      <c r="N9" t="inlineStr">
        <is>
          <t>As of today, from the latest figures held  [derived by rule — confirm]</t>
        </is>
      </c>
      <c r="O9" t="inlineStr">
        <is>
          <t>1. MK-XS-E-049 (EQUITY_THIS_YEAR) → How much equity vests this year?
2. MK-XS-E-050 (OTHER_INCOME) → What else comes in?
3. MK-XS-E-020 (READ_A_NUMBER) → What number did the person actually type?
4. MK-XS-E-051 (RENTAL_INCOME_A_YEAR) → What do the rentals net over a year?
5. MK-PL-E-007 (RETIREMENT_INCOME_NOW) → How much retirement income is arriving TODAY?
6. MK-XS-E-052 (SALARY_A_YEAR) → What is the salary for the year?
7. MK-XS-E-053 (TIPS_A_YEAR) → What do tips come to over the year?</t>
        </is>
      </c>
      <c r="P9" t="inlineStr">
        <is>
          <t>1. MK-ST-F-052 toNum → MK-CF-F-075 retirementIncomeMonthly → MK-CF-F-072 currentRetirementIncomeMonthly → MK-CF-F-083 totalGrossAnnual
2. MK-CF-F-069 benefitActiveMonths → MK-CF-F-070 benefitAnnual → MK-CF-F-071 extraIncome → MK-CF-F-083 totalGrossAnnual
3. MK-ST-F-052 toNum → MK-CF-F-070 benefitAnnual → MK-CF-F-071 extraIncome → MK-CF-F-083 totalGrossAnnual
4. MK-ST-F-055 round2 → MK-CF-F-071 extraIncome → MK-CF-F-083 totalGrossAnnual
5. MK-ST-F-052 toNum → MK-CF-F-071 extraIncome → MK-CF-F-083 totalGrossAnnual
6. MK-CF-F-132 map → MK-CF-F-067 rentalList → MK-CF-F-068 rentalNetAnnual → MK-CF-F-083 totalGrossAnnual
7. MK-ST-F-052 toNum → MK-CF-F-067 rentalList → MK-CF-F-068 rentalNetAnnual → MK-CF-F-083 totalGrossAnnual
8. MK-ST-F-052 toNum → MK-CF-F-062 equityRowValue → MK-CF-F-066 rsuAnnual → MK-CF-F-083 totalGrossAnnual
9. … and 5 more paths</t>
        </is>
      </c>
      <c r="Q9" t="inlineStr">
        <is>
          <t>1. MK-CF-F-083 — Turns a monthly figure into a year by multiplying by twelve.
2. MK-CF-F-083 — Uses today's date from the device clock, so the answer changes by itself overnight.
3. MK-CF-F-071 — Treats a year as twelve equal months.
4. MK-CF-F-068 — Turns a monthly figure into a year by multiplying by twelve.
5. MK-CF-F-066 — Leaves some rows out of the answer — check which.
6. MK-CF-F-082 — Uses today's date from the device clock, so the answer changes by itself overnight.
7. MK-CF-F-074 — Uses today's date from the device clock, so the answer changes by itself overnight.
8. MK-ST-F-055 — Multiplies by 100 — a percentage, or an option contract treated as 100 shares. Worth checking which.
9. MK-ST-F-055 — Rounds the answer to a whole number.
10. MK-CF-F-067 — Leaves some rows out of the answer — check which.
11. MK-CF-F-063 — Uses today's date from the device clock, so the answer changes by itself overnight.
12. MK-CF-F-081 — Uses today's date from the device clock, so the answer changes by itself overnight.
13. MK-CF-F-081 — Leaves some rows out of the answer — check which.
14. MK-CF-F-069 — Leaves some rows out of the answer — check which.
15. MK-CF-F-176 — If r[i] is missing it counts as zero, so nothing recorded and a real zero look the same.
16. MK-CF-F-177 — Uses today's date from the device clock, so the answer changes by itself overnight.
17. MK-CF-F-130 — If salary freq] is missing it uses 12.
18. MK-CF-F-130 — Treats a year as twelve equal months.
19. MK-CF-F-167 — Uses today's date from the device clock, so the answer changes by itself overnight.
20. MK-CF-F-165 — Uses today's date from the device clock, so the answer changes by itself overnight.</t>
        </is>
      </c>
      <c r="R9" t="inlineStr"/>
      <c r="S9" t="inlineStr"/>
      <c r="T9" t="inlineStr">
        <is>
          <t>NOT DETERMINED — no assumption recorded for this figure yet.</t>
        </is>
      </c>
      <c r="U9" t="inlineStr"/>
      <c r="V9" t="inlineStr"/>
      <c r="W9" t="inlineStr"/>
      <c r="X9" t="inlineStr"/>
      <c r="Y9" t="inlineStr">
        <is>
          <t>NOT DETERMINED</t>
        </is>
      </c>
      <c r="Z9" t="inlineStr">
        <is>
          <t>VERIFIED 2026-08-22</t>
        </is>
      </c>
      <c r="AA9"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A18 — "Treats a year as twelve equal months" fires on any division by 12, a month index included; "Treats a month as 30 days" fires on any multiplication by 30. Neither is read as arithmetic, so both carry false positives.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t="inlineStr">
        <is>
          <t>1. B17 [ONE FORMULA] — Seven figures share one formula and one function, totalGrossAnnual, which returns GROSS A YEAR and nothing else: "net a year", "Gross / year", "Net / month", and the four per-source rows (Base salary, Self-employment, Bonus, each income source). Neither net figure is what the function returns, and a single source is not the total. Six of the seven need their own formula.</t>
        </is>
      </c>
      <c r="AC9" t="inlineStr">
        <is>
          <t>HAS A FUNCTION — traceable from the screen to the code.</t>
        </is>
      </c>
      <c r="AD9" t="inlineStr"/>
      <c r="AE9" t="inlineStr">
        <is>
          <t>B17 — OPEN since 2026-08-26 — nothing has closed this. It is not known to be wrong; it is known to be unaddressed.</t>
        </is>
      </c>
      <c r="AF9" t="inlineStr">
        <is>
          <t>ACTIVE</t>
        </is>
      </c>
      <c r="AG9" t="inlineStr">
        <is>
          <t>2026-08-27</t>
        </is>
      </c>
    </row>
    <row r="10">
      <c r="A10" t="inlineStr">
        <is>
          <t>MK-CF-M-008</t>
        </is>
      </c>
      <c r="B10" t="inlineStr">
        <is>
          <t>Cashflow</t>
        </is>
      </c>
      <c r="C10" t="inlineStr">
        <is>
          <t>NA</t>
        </is>
      </c>
      <c r="D10" t="inlineStr">
        <is>
          <t>YOUR SOURCES — Bonus</t>
        </is>
      </c>
      <c r="E10" t="inlineStr">
        <is>
          <t>op.bonusAnnual</t>
        </is>
      </c>
      <c r="F10" t="inlineStr">
        <is>
          <t>totalGrossAnnual</t>
        </is>
      </c>
      <c r="G10" t="inlineStr">
        <is>
          <t>MK-CF-F-083</t>
        </is>
      </c>
      <c r="H10" t="inlineStr">
        <is>
          <t>gross a year = salary + self-employment + bonus + equity vesting + rental + other;  net a month = (gross − tax withheld − pre-tax contributions) ÷ 12</t>
        </is>
      </c>
      <c r="I10"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t="inlineStr">
        <is>
          <t>each part → its own engine above  [NOT AN INPUT — another engine’s answer; see the dependency column]</t>
        </is>
      </c>
      <c r="K10" t="inlineStr">
        <is>
          <t>US dollars · held to the cent · shown as whole dollars  [derived by rule — confirm]</t>
        </is>
      </c>
      <c r="L10" t="inlineStr">
        <is>
          <t>A division: with nothing on the bottom there is no answer, and the line must not appear as zero. NOT YET CONFIRMED against the engine.</t>
        </is>
      </c>
      <c r="M10" t="inlineStr">
        <is>
          <t>One figure per person — or per household when two people share one record  [derived by rule — confirm]</t>
        </is>
      </c>
      <c r="N10" t="inlineStr">
        <is>
          <t>As of today, from the latest figures held  [derived by rule — confirm]</t>
        </is>
      </c>
      <c r="O10" t="inlineStr">
        <is>
          <t>1. MK-XS-E-049 (EQUITY_THIS_YEAR) → How much equity vests this year?
2. MK-XS-E-050 (OTHER_INCOME) → What else comes in?
3. MK-XS-E-020 (READ_A_NUMBER) → What number did the person actually type?
4. MK-XS-E-051 (RENTAL_INCOME_A_YEAR) → What do the rentals net over a year?
5. MK-PL-E-007 (RETIREMENT_INCOME_NOW) → How much retirement income is arriving TODAY?
6. MK-XS-E-052 (SALARY_A_YEAR) → What is the salary for the year?
7. MK-XS-E-053 (TIPS_A_YEAR) → What do tips come to over the year?</t>
        </is>
      </c>
      <c r="P10" t="inlineStr">
        <is>
          <t>1. MK-ST-F-052 toNum → MK-CF-F-075 retirementIncomeMonthly → MK-CF-F-072 currentRetirementIncomeMonthly → MK-CF-F-083 totalGrossAnnual
2. MK-CF-F-069 benefitActiveMonths → MK-CF-F-070 benefitAnnual → MK-CF-F-071 extraIncome → MK-CF-F-083 totalGrossAnnual
3. MK-ST-F-052 toNum → MK-CF-F-070 benefitAnnual → MK-CF-F-071 extraIncome → MK-CF-F-083 totalGrossAnnual
4. MK-ST-F-055 round2 → MK-CF-F-071 extraIncome → MK-CF-F-083 totalGrossAnnual
5. MK-ST-F-052 toNum → MK-CF-F-071 extraIncome → MK-CF-F-083 totalGrossAnnual
6. MK-CF-F-132 map → MK-CF-F-067 rentalList → MK-CF-F-068 rentalNetAnnual → MK-CF-F-083 totalGrossAnnual
7. MK-ST-F-052 toNum → MK-CF-F-067 rentalList → MK-CF-F-068 rentalNetAnnual → MK-CF-F-083 totalGrossAnnual
8. MK-ST-F-052 toNum → MK-CF-F-062 equityRowValue → MK-CF-F-066 rsuAnnual → MK-CF-F-083 totalGrossAnnual
9. … and 5 more paths</t>
        </is>
      </c>
      <c r="Q10" t="inlineStr">
        <is>
          <t>1. MK-CF-F-083 — Turns a monthly figure into a year by multiplying by twelve.
2. MK-CF-F-083 — Uses today's date from the device clock, so the answer changes by itself overnight.
3. MK-CF-F-071 — Treats a year as twelve equal months.
4. MK-CF-F-068 — Turns a monthly figure into a year by multiplying by twelve.
5. MK-CF-F-066 — Leaves some rows out of the answer — check which.
6. MK-CF-F-082 — Uses today's date from the device clock, so the answer changes by itself overnight.
7. MK-CF-F-074 — Uses today's date from the device clock, so the answer changes by itself overnight.
8. MK-ST-F-055 — Multiplies by 100 — a percentage, or an option contract treated as 100 shares. Worth checking which.
9. MK-ST-F-055 — Rounds the answer to a whole number.
10. MK-CF-F-067 — Leaves some rows out of the answer — check which.
11. MK-CF-F-063 — Uses today's date from the device clock, so the answer changes by itself overnight.
12. MK-CF-F-081 — Uses today's date from the device clock, so the answer changes by itself overnight.
13. MK-CF-F-081 — Leaves some rows out of the answer — check which.
14. MK-CF-F-069 — Leaves some rows out of the answer — check which.
15. MK-CF-F-176 — If r[i] is missing it counts as zero, so nothing recorded and a real zero look the same.
16. MK-CF-F-177 — Uses today's date from the device clock, so the answer changes by itself overnight.
17. MK-CF-F-130 — If salary freq] is missing it uses 12.
18. MK-CF-F-130 — Treats a year as twelve equal months.
19. MK-CF-F-167 — Uses today's date from the device clock, so the answer changes by itself overnight.
20. MK-CF-F-165 — Uses today's date from the device clock, so the answer changes by itself overnight.</t>
        </is>
      </c>
      <c r="R10" t="inlineStr"/>
      <c r="S10" t="inlineStr"/>
      <c r="T10" t="inlineStr">
        <is>
          <t>NOT DETERMINED — no assumption recorded for this figure yet.</t>
        </is>
      </c>
      <c r="U10" t="inlineStr"/>
      <c r="V10" t="inlineStr"/>
      <c r="W10" t="inlineStr"/>
      <c r="X10" t="inlineStr"/>
      <c r="Y10" t="inlineStr">
        <is>
          <t>NOT DETERMINED</t>
        </is>
      </c>
      <c r="Z10" t="inlineStr">
        <is>
          <t>VERIFIED 2026-08-22</t>
        </is>
      </c>
      <c r="AA10"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A18 — "Treats a year as twelve equal months" fires on any division by 12, a month index included; "Treats a month as 30 days" fires on any multiplication by 30. Neither is read as arithmetic, so both carry false positives.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t="inlineStr">
        <is>
          <t>1. B17 [ONE FORMULA] — Seven figures share one formula and one function, totalGrossAnnual, which returns GROSS A YEAR and nothing else: "net a year", "Gross / year", "Net / month", and the four per-source rows (Base salary, Self-employment, Bonus, each income source). Neither net figure is what the function returns, and a single source is not the total. Six of the seven need their own formula.</t>
        </is>
      </c>
      <c r="AC10" t="inlineStr">
        <is>
          <t>HAS A FUNCTION — traceable from the screen to the code.</t>
        </is>
      </c>
      <c r="AD10" t="inlineStr"/>
      <c r="AE10" t="inlineStr">
        <is>
          <t>B17 — OPEN since 2026-08-26 — nothing has closed this. It is not known to be wrong; it is known to be unaddressed.</t>
        </is>
      </c>
      <c r="AF10" t="inlineStr">
        <is>
          <t>ACTIVE</t>
        </is>
      </c>
      <c r="AG10" t="inlineStr">
        <is>
          <t>2026-08-27</t>
        </is>
      </c>
    </row>
    <row r="11">
      <c r="A11" t="inlineStr">
        <is>
          <t>MK-CF-M-009</t>
        </is>
      </c>
      <c r="B11" t="inlineStr">
        <is>
          <t>Cashflow</t>
        </is>
      </c>
      <c r="C11" t="inlineStr">
        <is>
          <t>NA</t>
        </is>
      </c>
      <c r="D11" t="inlineStr">
        <is>
          <t>YOUR SOURCES — Stock vesting (equity)</t>
        </is>
      </c>
      <c r="E11" t="inlineStr">
        <is>
          <t>rsuTotal</t>
        </is>
      </c>
      <c r="F11" t="inlineStr">
        <is>
          <t>NOT ON RECORD — no function is recorded for this figure</t>
        </is>
      </c>
      <c r="G11" t="inlineStr"/>
      <c r="H11" t="inlineStr">
        <is>
          <t>equity a year ÷ the vest months it lands in, by the stated weights</t>
        </is>
      </c>
      <c r="I11" t="inlineStr">
        <is>
          <t>Spreads stock that vests across the months it actually vests in, rather than smoothing it over the year.</t>
        </is>
      </c>
      <c r="J11" t="inlineStr">
        <is>
          <t>NOT DETERMINED — no input list on record for this engine</t>
        </is>
      </c>
      <c r="K11" t="inlineStr">
        <is>
          <t>US dollars · held to the cent · shown as whole dollars  [derived by rule — confirm]</t>
        </is>
      </c>
      <c r="L11" t="inlineStr">
        <is>
          <t>A division: with nothing on the bottom there is no answer, and the line must not appear as zero. NOT YET CONFIRMED against the engine.</t>
        </is>
      </c>
      <c r="M11" t="inlineStr">
        <is>
          <t>One figure per person — or per household when two people share one record  [derived by rule — confirm]</t>
        </is>
      </c>
      <c r="N11" t="inlineStr">
        <is>
          <t>As of today, from the latest figures held  [derived by rule — confirm]</t>
        </is>
      </c>
      <c r="O11" t="inlineStr">
        <is>
          <t>NOT DETERMINED</t>
        </is>
      </c>
      <c r="P11" t="inlineStr">
        <is>
          <t>No function on record — nothing to chain</t>
        </is>
      </c>
      <c r="Q11" t="inlineStr">
        <is>
          <t>No function on record — assumptions unknown</t>
        </is>
      </c>
      <c r="R11" t="inlineStr"/>
      <c r="S11" t="inlineStr"/>
      <c r="T11" t="inlineStr">
        <is>
          <t>NOT DETERMINED — no assumption recorded for this figure yet.</t>
        </is>
      </c>
      <c r="U11" t="inlineStr"/>
      <c r="V11" t="inlineStr"/>
      <c r="W11" t="inlineStr"/>
      <c r="X11" t="inlineStr"/>
      <c r="Y11" t="inlineStr">
        <is>
          <t>NOT DETERMINED</t>
        </is>
      </c>
      <c r="Z11" t="inlineStr">
        <is>
          <t>VERIFIED 2026-08-22</t>
        </is>
      </c>
      <c r="AA11"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t="inlineStr">
        <is>
          <t>B24 [NOT COMPARABLE] — This figure names no function, so its formula cannot be checked against anything. 69 of the 163 figures are in this position — the audit covers the 94 that name one.</t>
        </is>
      </c>
      <c r="AC11"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t="inlineStr"/>
      <c r="AE11" t="inlineStr">
        <is>
          <t>No finding on this row. That is not a statement that the row is right — only that nothing has been written against it.</t>
        </is>
      </c>
      <c r="AF11" t="inlineStr">
        <is>
          <t>ACTIVE</t>
        </is>
      </c>
      <c r="AG11" t="inlineStr">
        <is>
          <t>2026-08-27</t>
        </is>
      </c>
    </row>
    <row r="12">
      <c r="A12" t="inlineStr">
        <is>
          <t>MK-CF-M-010</t>
        </is>
      </c>
      <c r="B12" t="inlineStr">
        <is>
          <t>Cashflow</t>
        </is>
      </c>
      <c r="C12" t="inlineStr">
        <is>
          <t>NA</t>
        </is>
      </c>
      <c r="D12" t="inlineStr">
        <is>
          <t>YOUR SOURCES — Rental property</t>
        </is>
      </c>
      <c r="E12" t="inlineStr">
        <is>
          <t>rentalTotal</t>
        </is>
      </c>
      <c r="F12" t="inlineStr">
        <is>
          <t>rentalNetAnnual</t>
        </is>
      </c>
      <c r="G12" t="inlineStr">
        <is>
          <t>MK-CF-F-068</t>
        </is>
      </c>
      <c r="H12" t="inlineStr">
        <is>
          <t>rental net a year = rent received − running costs</t>
        </is>
      </c>
      <c r="I12" t="inlineStr">
        <is>
          <t>(income − costs) each month, added across properties, × 12.
A property that costs more than it earns REDUCES income rather than being floored at zero — a loss-making rental is a real fact about a plan.</t>
        </is>
      </c>
      <c r="J12" t="inlineStr">
        <is>
          <t>each rental → rentalList  [MK-XS-I-023]</t>
        </is>
      </c>
      <c r="K12" t="inlineStr">
        <is>
          <t>US dollars · held to the cent · shown as whole dollars  [derived by rule — confirm]</t>
        </is>
      </c>
      <c r="L12" t="inlineStr">
        <is>
          <t>NOT DETERMINED — this engine has not been read for its refusal yet.</t>
        </is>
      </c>
      <c r="M12" t="inlineStr">
        <is>
          <t>One figure per person — or per household when two people share one record  [derived by rule — confirm]</t>
        </is>
      </c>
      <c r="N12" t="inlineStr">
        <is>
          <t>As of today, from the latest figures held  [derived by rule — confirm]</t>
        </is>
      </c>
      <c r="O12" t="inlineStr">
        <is>
          <t>MK-XS-E-054 (RENTALS) → What rental properties are there, and what does each bring in?</t>
        </is>
      </c>
      <c r="P12" t="inlineStr">
        <is>
          <t>1. MK-CF-F-132 map → MK-CF-F-067 rentalList → MK-CF-F-068 rentalNetAnnual
2. MK-ST-F-052 toNum → MK-CF-F-067 rentalList → MK-CF-F-068 rentalNetAnnual</t>
        </is>
      </c>
      <c r="Q12" t="inlineStr">
        <is>
          <t>1. MK-CF-F-068 — Turns a monthly figure into a year by multiplying by twelve.
2. MK-CF-F-067 — Leaves some rows out of the answer — check which.</t>
        </is>
      </c>
      <c r="R12" t="inlineStr"/>
      <c r="S12" t="inlineStr"/>
      <c r="T12" t="inlineStr">
        <is>
          <t>NOT DETERMINED — no assumption recorded for this figure yet.</t>
        </is>
      </c>
      <c r="U12" t="inlineStr"/>
      <c r="V12" t="inlineStr"/>
      <c r="W12" t="inlineStr"/>
      <c r="X12" t="inlineStr"/>
      <c r="Y12" t="inlineStr">
        <is>
          <t>NOT DETERMINED</t>
        </is>
      </c>
      <c r="Z12" t="inlineStr">
        <is>
          <t>VERIFIED 2026-08-22</t>
        </is>
      </c>
      <c r="AA12" t="inlineStr">
        <is>
          <t>1.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t="inlineStr">
        <is>
          <t>1. B20 [CLASH] — The file says "rental net a year = rent received − running costs". The code (rentalNetAnnual) is Σ(income − expenses) × 12 — the inputs are MONTHLY and the twelve is what makes it a year. As written, the file's formula gives a month and calls it a year.</t>
        </is>
      </c>
      <c r="AC12" t="inlineStr">
        <is>
          <t>HAS A FUNCTION — traceable from the screen to the code.</t>
        </is>
      </c>
      <c r="AD12" t="inlineStr"/>
      <c r="AE12" t="inlineStr">
        <is>
          <t>B20 — OPEN since 2026-08-26 — nothing has closed this. It is not known to be wrong; it is known to be unaddressed.</t>
        </is>
      </c>
      <c r="AF12" t="inlineStr">
        <is>
          <t>ACTIVE</t>
        </is>
      </c>
      <c r="AG12" t="inlineStr">
        <is>
          <t>2026-08-27</t>
        </is>
      </c>
    </row>
    <row r="13">
      <c r="A13" t="inlineStr">
        <is>
          <t>MK-CF-M-011</t>
        </is>
      </c>
      <c r="B13" t="inlineStr">
        <is>
          <t>Cashflow</t>
        </is>
      </c>
      <c r="C13" t="inlineStr">
        <is>
          <t>NA</t>
        </is>
      </c>
      <c r="D13" t="inlineStr">
        <is>
          <t>YOUR SOURCES — Social Security · pension</t>
        </is>
      </c>
      <c r="E13" t="inlineStr">
        <is>
          <t>guaranteed</t>
        </is>
      </c>
      <c r="F13" t="inlineStr">
        <is>
          <t>currentRetirementIncomeMonthly</t>
        </is>
      </c>
      <c r="G13" t="inlineStr">
        <is>
          <t>MK-CF-F-072</t>
        </is>
      </c>
      <c r="H13" t="inlineStr">
        <is>
          <t>guaranteed income now = Σ(streams already being received)</t>
        </is>
      </c>
      <c r="I1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3" t="inlineStr">
        <is>
          <t>1. do they receive it now → incomeSources  [MK-XS-I-040]
2. the amounts → retirementIncomeMonthly  [MK-XS-I-008]</t>
        </is>
      </c>
      <c r="K13" t="inlineStr">
        <is>
          <t>US dollars · held to the cent · shown as whole dollars  [derived by rule — confirm]</t>
        </is>
      </c>
      <c r="L13" t="inlineStr">
        <is>
          <t>Adds up to $0 when there is nothing to add. Zero and "nothing recorded yet" look identical on screen — worth a decision.</t>
        </is>
      </c>
      <c r="M13" t="inlineStr">
        <is>
          <t>One figure per person — or per household when two people share one record  [derived by rule — confirm]</t>
        </is>
      </c>
      <c r="N13" t="inlineStr">
        <is>
          <t>As of today, from the latest figures held  [derived by rule — confirm]</t>
        </is>
      </c>
      <c r="O13" t="inlineStr">
        <is>
          <t>MK-XS-E-047 (RETIREMENT_INCOME) → How much retirement income arrives monthly?</t>
        </is>
      </c>
      <c r="P13" t="inlineStr">
        <is>
          <t>MK-ST-F-052 toNum → MK-CF-F-075 retirementIncomeMonthly → MK-CF-F-072 currentRetirementIncomeMonthly</t>
        </is>
      </c>
      <c r="Q13" t="inlineStr">
        <is>
          <t>None found anywhere in this chain</t>
        </is>
      </c>
      <c r="R13" t="inlineStr"/>
      <c r="S13" t="inlineStr"/>
      <c r="T13" t="inlineStr">
        <is>
          <t>NOT DETERMINED — no assumption recorded for this figure yet.</t>
        </is>
      </c>
      <c r="U13" t="inlineStr">
        <is>
          <t>THE SURVIVING IDENTIFIER for this figure. Folded in: MK-PL-M-018, MK-PL-M-032, MK-CF-M-024. Guaranteed income being received now. Shown four ways: "You receive $X/mo" on Social Security timing, "incl. Social Security $X/mo" on the cockpit, as a source on Cash flow, and as a list on Monthly income. One figure, four identifiers.</t>
        </is>
      </c>
      <c r="V13" t="inlineStr"/>
      <c r="W13" t="inlineStr"/>
      <c r="X13" t="inlineStr"/>
      <c r="Y13" t="inlineStr">
        <is>
          <t>NOT DETERMINED</t>
        </is>
      </c>
      <c r="Z13" t="inlineStr">
        <is>
          <t>VERIFIED 2026-08-22</t>
        </is>
      </c>
      <c r="AA1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t="inlineStr">
        <is>
          <t>AGREES — the figure's arithmetic and the arithmetic of the function it names say the same thing. Checked 2026-08-26.</t>
        </is>
      </c>
      <c r="AC13" t="inlineStr">
        <is>
          <t>HAS A FUNCTION — traceable from the screen to the code.</t>
        </is>
      </c>
      <c r="AD13" t="inlineStr"/>
      <c r="AE13" t="inlineStr">
        <is>
          <t>No finding on this row. That is not a statement that the row is right — only that nothing has been written against it.</t>
        </is>
      </c>
      <c r="AF13" t="inlineStr">
        <is>
          <t>ACTIVE</t>
        </is>
      </c>
      <c r="AG13" t="inlineStr">
        <is>
          <t>2026-08-27</t>
        </is>
      </c>
    </row>
    <row r="14">
      <c r="A14" t="inlineStr">
        <is>
          <t>MK-CF-M-012</t>
        </is>
      </c>
      <c r="B14" t="inlineStr">
        <is>
          <t>Cashflow</t>
        </is>
      </c>
      <c r="C14" t="inlineStr">
        <is>
          <t>NA</t>
        </is>
      </c>
      <c r="D14" t="inlineStr">
        <is>
          <t>RECEIVED · &lt;month&gt; — each payment</t>
        </is>
      </c>
      <c r="E14" t="inlineStr">
        <is>
          <t>i.amount</t>
        </is>
      </c>
      <c r="F14" t="inlineStr">
        <is>
          <t>NOT ON RECORD — no function is recorded for this figure</t>
        </is>
      </c>
      <c r="G14" t="inlineStr"/>
      <c r="H14" t="inlineStr">
        <is>
          <t>each payment recorded this month, with its date and source</t>
        </is>
      </c>
      <c r="I14" t="inlineStr">
        <is>
          <t>Lists what has actually been received this month, rather than what was expected.</t>
        </is>
      </c>
      <c r="J14" t="inlineStr">
        <is>
          <t>NOT DETERMINED — no input list on record for this engine</t>
        </is>
      </c>
      <c r="K14" t="inlineStr">
        <is>
          <t>US dollars · held to the cent · shown as whole dollars  [derived by rule — confirm]</t>
        </is>
      </c>
      <c r="L14" t="inlineStr">
        <is>
          <t>NOT DETERMINED — this engine has not been read for its refusal yet.</t>
        </is>
      </c>
      <c r="M14" t="inlineStr">
        <is>
          <t>One figure per month  [derived by rule — confirm]</t>
        </is>
      </c>
      <c r="N14" t="inlineStr">
        <is>
          <t>This calendar month, to today  [derived by rule — confirm]</t>
        </is>
      </c>
      <c r="O14" t="inlineStr">
        <is>
          <t>NOT DETERMINED</t>
        </is>
      </c>
      <c r="P14" t="inlineStr">
        <is>
          <t>No function on record — nothing to chain</t>
        </is>
      </c>
      <c r="Q14" t="inlineStr">
        <is>
          <t>No function on record — assumptions unknown</t>
        </is>
      </c>
      <c r="R14" t="inlineStr"/>
      <c r="S14" t="inlineStr"/>
      <c r="T14" t="inlineStr">
        <is>
          <t>NOT DETERMINED — no assumption recorded for this figure yet.</t>
        </is>
      </c>
      <c r="U14" t="inlineStr"/>
      <c r="V14" t="inlineStr"/>
      <c r="W14" t="inlineStr"/>
      <c r="X14" t="inlineStr"/>
      <c r="Y14" t="inlineStr">
        <is>
          <t>NOT DETERMINED</t>
        </is>
      </c>
      <c r="Z14" t="inlineStr">
        <is>
          <t>VERIFIED 2026-08-22</t>
        </is>
      </c>
      <c r="AA1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t="inlineStr">
        <is>
          <t>B24 [NOT COMPARABLE] — This figure names no function, so its formula cannot be checked against anything. 69 of the 163 figures are in this position — the audit covers the 94 that name one.</t>
        </is>
      </c>
      <c r="AC14"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t="inlineStr"/>
      <c r="AE14" t="inlineStr">
        <is>
          <t>No finding on this row. That is not a statement that the row is right — only that nothing has been written against it.</t>
        </is>
      </c>
      <c r="AF14" t="inlineStr">
        <is>
          <t>ACTIVE</t>
        </is>
      </c>
      <c r="AG14" t="inlineStr">
        <is>
          <t>2026-08-27</t>
        </is>
      </c>
    </row>
    <row r="15">
      <c r="A15" t="inlineStr">
        <is>
          <t>MK-CF-M-013</t>
        </is>
      </c>
      <c r="B15" t="inlineStr">
        <is>
          <t>Cashflow</t>
        </is>
      </c>
      <c r="C15" t="inlineStr">
        <is>
          <t>NA</t>
        </is>
      </c>
      <c r="D15" t="inlineStr">
        <is>
          <t>&lt;MONTH&gt; · $X SPENT</t>
        </is>
      </c>
      <c r="E15" t="inlineStr">
        <is>
          <t>spent</t>
        </is>
      </c>
      <c r="F15" t="inlineStr">
        <is>
          <t>spendBuckets</t>
        </is>
      </c>
      <c r="G15" t="inlineStr">
        <is>
          <t>MK-CF-F-004</t>
        </is>
      </c>
      <c r="H15" t="inlineStr">
        <is>
          <t>spent in a bucket = Σ(expenses this month in that bucket);  debt payments are excluded</t>
        </is>
      </c>
      <c r="I15" t="inlineStr">
        <is>
          <t>If the person answered category by category, total each category into its bucket. If they gave three summary figures instead, use those. Nothing answered is zero — never a guessed household average, which would put a number in their plan that nobody chose.</t>
        </is>
      </c>
      <c r="J15" t="inlineStr">
        <is>
          <t>1. the categories → spendCats  [MK-XS-I-032]
2. or the three summary figures → b_fixed, b_nonmonthly, b_flexible  [NOT AN INPUT — another engine’s answer; see the dependency column]</t>
        </is>
      </c>
      <c r="K15" t="inlineStr">
        <is>
          <t>US dollars · held to the cent · shown as whole dollars  [derived by rule — confirm]</t>
        </is>
      </c>
      <c r="L15" t="inlineStr">
        <is>
          <t>Adds up to $0 when there is nothing to add. Zero and "nothing recorded yet" look identical on screen — worth a decision.</t>
        </is>
      </c>
      <c r="M15" t="inlineStr">
        <is>
          <t>One figure per month  [derived by rule — confirm]</t>
        </is>
      </c>
      <c r="N15" t="inlineStr">
        <is>
          <t>As of today, from the latest figures held  [derived by rule — confirm]</t>
        </is>
      </c>
      <c r="O15" t="inlineStr">
        <is>
          <t>MK-XS-E-020 (READ_A_NUMBER) → What number did the person actually type?</t>
        </is>
      </c>
      <c r="P15"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MK-ST-F-055 round2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Q15" t="inlineStr">
        <is>
          <t>1. MK-CF-F-003 — Treats a year as twelve equal months.
2. MK-CF-F-003 — Turns a monthly figure into a year by multiplying by twelve.
3. MK-ST-F-055 — Multiplies by 100 — a percentage, or an option contract treated as 100 shares. Worth checking which.
4. MK-ST-F-055 — Rounds the answer to a whole number.
5. MK-CF-F-120 — Treats a year as twelve equal months.
6. MK-CF-F-092 — Treats a year as twelve equal months.
7. MK-CF-F-092 — Uses today's date from the device clock, so the answer changes by itself overnight.
8. MK-CF-F-069 — Leaves some rows out of the answer — check which.
9. MK-CF-F-065 — Uses a built-in total v of 0.
10. MK-CF-F-071 — Treats a year as twelve equal months.
11. MK-CF-F-087 — Uses today's date from the device clock, so the answer changes by itself overnight.
12. MK-CF-F-181 — Turns a monthly figure into a year by multiplying by twelve.
13. MK-CF-F-181 — Multiplies by 100 — a percentage, or an option contract treated as 100 shares. Worth checking which.
14. MK-CF-F-181 — Rounds the answer to a whole number.
15. MK-CF-F-068 — Turns a monthly figure into a year by multiplying by twelve.
16. MK-CF-F-066 — Leaves some rows out of the answer — check which.
17. MK-CF-F-077 — Uses a built-in i of 0.
18. MK-CF-F-077 — Treats a year as twelve equal months.
19. MK-CF-F-088 — Treats a year as twelve equal months.
20. MK-CF-F-088 — Uses today's date from the device clock, so the answer changes by itself overnight.
21. MK-CF-F-089 — Uses today's date from the device clock, so the answer changes by itself overnight.
22. MK-CF-F-180 — Uses a built-in total of 0.
23. MK-CF-F-082 — Uses today's date from the device clock, so the answer changes by itself overnight.
24. MK-CF-F-084 — Turns a monthly figure into a year by multiplying by twelve.
25. MK-CF-F-084 — Uses today's date from the device clock, so the answer changes by itself overnight.
… and 11 more, on the functions tab</t>
        </is>
      </c>
      <c r="R15" t="inlineStr"/>
      <c r="S15" t="inlineStr"/>
      <c r="T15" t="inlineStr">
        <is>
          <t>NOT DETERMINED — no assumption recorded for this figure yet.</t>
        </is>
      </c>
      <c r="U15" t="inlineStr"/>
      <c r="V15" t="inlineStr"/>
      <c r="W15" t="inlineStr"/>
      <c r="X15" t="inlineStr"/>
      <c r="Y15" t="inlineStr">
        <is>
          <t>NOT DETERMINED</t>
        </is>
      </c>
      <c r="Z15" t="inlineStr">
        <is>
          <t>VERIFIED 2026-08-22</t>
        </is>
      </c>
      <c r="AA15"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A17 — "Uses a built-in i of 0", on 11 functions, is the loop counter — let i = 0.
4. A18 — "Treats a year as twelve equal months" fires on any division by 12, a month index included; "Treats a month as 30 days" fires on any multiplication by 30. Neither is read as arithmetic, so both carry false positives.
5.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t="inlineStr">
        <is>
          <t>1.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spending" on screen, which makes it a wrong word in front of the person as well as a wrong number. This is the same class as bug B-24.</t>
        </is>
      </c>
      <c r="AC15" t="inlineStr">
        <is>
          <t>HAS A FUNCTION — traceable from the screen to the code.</t>
        </is>
      </c>
      <c r="AD15" t="inlineStr"/>
      <c r="AE15" t="inlineStr">
        <is>
          <t>B02 — NOT A DEFECT 2026-08-26</t>
        </is>
      </c>
      <c r="AF15" t="inlineStr">
        <is>
          <t>ACTIVE</t>
        </is>
      </c>
      <c r="AG15" t="inlineStr">
        <is>
          <t>2026-08-27</t>
        </is>
      </c>
    </row>
    <row r="16">
      <c r="A16" t="inlineStr">
        <is>
          <t>MK-CF-M-014</t>
        </is>
      </c>
      <c r="B16" t="inlineStr">
        <is>
          <t>Cashflow</t>
        </is>
      </c>
      <c r="C16" t="inlineStr">
        <is>
          <t>NA</t>
        </is>
      </c>
      <c r="D16" t="inlineStr">
        <is>
          <t>each expense and its amount</t>
        </is>
      </c>
      <c r="E16" t="inlineStr">
        <is>
          <t>e.amount</t>
        </is>
      </c>
      <c r="F16" t="inlineStr">
        <is>
          <t>spendBuckets</t>
        </is>
      </c>
      <c r="G16" t="inlineStr">
        <is>
          <t>MK-CF-F-004</t>
        </is>
      </c>
      <c r="H16" t="inlineStr">
        <is>
          <t>spent in a bucket = Σ(expenses this month in that bucket);  debt payments are excluded</t>
        </is>
      </c>
      <c r="I16" t="inlineStr">
        <is>
          <t>If the person answered category by category, total each category into its bucket. If they gave three summary figures instead, use those. Nothing answered is zero — never a guessed household average, which would put a number in their plan that nobody chose.</t>
        </is>
      </c>
      <c r="J16" t="inlineStr">
        <is>
          <t>1. the categories → spendCats  [MK-XS-I-032]
2. or the three summary figures → b_fixed, b_nonmonthly, b_flexible  [NOT AN INPUT — another engine’s answer; see the dependency column]</t>
        </is>
      </c>
      <c r="K16" t="inlineStr">
        <is>
          <t>US dollars · held to the cent · shown as whole dollars  [derived by rule — confirm]</t>
        </is>
      </c>
      <c r="L16" t="inlineStr">
        <is>
          <t>Adds up to $0 when there is nothing to add. Zero and "nothing recorded yet" look identical on screen — worth a decision.</t>
        </is>
      </c>
      <c r="M16" t="inlineStr">
        <is>
          <t>One figure per person — or per household when two people share one record  [derived by rule — confirm]</t>
        </is>
      </c>
      <c r="N16" t="inlineStr">
        <is>
          <t>As of today, from the latest figures held  [derived by rule — confirm]</t>
        </is>
      </c>
      <c r="O16" t="inlineStr">
        <is>
          <t>MK-XS-E-020 (READ_A_NUMBER) → What number did the person actually type?</t>
        </is>
      </c>
      <c r="P16"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MK-ST-F-055 round2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Q16" t="inlineStr">
        <is>
          <t>1. MK-CF-F-003 — Treats a year as twelve equal months.
2. MK-CF-F-003 — Turns a monthly figure into a year by multiplying by twelve.
3. MK-ST-F-055 — Multiplies by 100 — a percentage, or an option contract treated as 100 shares. Worth checking which.
4. MK-ST-F-055 — Rounds the answer to a whole number.
5. MK-CF-F-120 — Treats a year as twelve equal months.
6. MK-CF-F-092 — Treats a year as twelve equal months.
7. MK-CF-F-092 — Uses today's date from the device clock, so the answer changes by itself overnight.
8. MK-CF-F-069 — Leaves some rows out of the answer — check which.
9. MK-CF-F-065 — Uses a built-in total v of 0.
10. MK-CF-F-071 — Treats a year as twelve equal months.
11. MK-CF-F-087 — Uses today's date from the device clock, so the answer changes by itself overnight.
12. MK-CF-F-181 — Turns a monthly figure into a year by multiplying by twelve.
13. MK-CF-F-181 — Multiplies by 100 — a percentage, or an option contract treated as 100 shares. Worth checking which.
14. MK-CF-F-181 — Rounds the answer to a whole number.
15. MK-CF-F-068 — Turns a monthly figure into a year by multiplying by twelve.
16. MK-CF-F-066 — Leaves some rows out of the answer — check which.
17. MK-CF-F-077 — Uses a built-in i of 0.
18. MK-CF-F-077 — Treats a year as twelve equal months.
19. MK-CF-F-088 — Treats a year as twelve equal months.
20. MK-CF-F-088 — Uses today's date from the device clock, so the answer changes by itself overnight.
21. MK-CF-F-089 — Uses today's date from the device clock, so the answer changes by itself overnight.
22. MK-CF-F-180 — Uses a built-in total of 0.
23. MK-CF-F-082 — Uses today's date from the device clock, so the answer changes by itself overnight.
24. MK-CF-F-084 — Turns a monthly figure into a year by multiplying by twelve.
25. MK-CF-F-084 — Uses today's date from the device clock, so the answer changes by itself overnight.
… and 11 more, on the functions tab</t>
        </is>
      </c>
      <c r="R16" t="inlineStr"/>
      <c r="S16" t="inlineStr"/>
      <c r="T16" t="inlineStr">
        <is>
          <t>NOT DETERMINED — no assumption recorded for this figure yet.</t>
        </is>
      </c>
      <c r="U16" t="inlineStr"/>
      <c r="V16" t="inlineStr"/>
      <c r="W16" t="inlineStr"/>
      <c r="X16" t="inlineStr"/>
      <c r="Y16" t="inlineStr">
        <is>
          <t>NOT DETERMINED</t>
        </is>
      </c>
      <c r="Z16" t="inlineStr">
        <is>
          <t>VERIFIED 2026-08-22</t>
        </is>
      </c>
      <c r="AA16"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A17 — "Uses a built-in i of 0", on 11 functions, is the loop counter — let i = 0.
4. A18 — "Treats a year as twelve equal months" fires on any division by 12, a month index included; "Treats a month as 30 days" fires on any multiplication by 30. Neither is read as arithmetic, so both carry false positives.
5.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t="inlineStr">
        <is>
          <t>1.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spending" on screen, which makes it a wrong word in front of the person as well as a wrong number. This is the same class as bug B-24.</t>
        </is>
      </c>
      <c r="AC16" t="inlineStr">
        <is>
          <t>HAS A FUNCTION — traceable from the screen to the code.</t>
        </is>
      </c>
      <c r="AD16" t="inlineStr"/>
      <c r="AE16" t="inlineStr">
        <is>
          <t>B02 — NOT A DEFECT 2026-08-26</t>
        </is>
      </c>
      <c r="AF16" t="inlineStr">
        <is>
          <t>ACTIVE</t>
        </is>
      </c>
      <c r="AG16" t="inlineStr">
        <is>
          <t>2026-08-27</t>
        </is>
      </c>
    </row>
    <row r="17">
      <c r="A17" t="inlineStr">
        <is>
          <t>MK-CF-M-015</t>
        </is>
      </c>
      <c r="B17" t="inlineStr">
        <is>
          <t>Cashflow</t>
        </is>
      </c>
      <c r="C17" t="inlineStr">
        <is>
          <t>NA</t>
        </is>
      </c>
      <c r="D17" t="inlineStr">
        <is>
          <t>BY CATEGORY VS PLAN — $X of $Y</t>
        </is>
      </c>
      <c r="E17" t="inlineStr">
        <is>
          <t>b.spent / b.planned</t>
        </is>
      </c>
      <c r="F17" t="inlineStr">
        <is>
          <t>plannedMonthlySpend</t>
        </is>
      </c>
      <c r="G17" t="inlineStr">
        <is>
          <t>MK-CF-F-002</t>
        </is>
      </c>
      <c r="H17" t="inlineStr">
        <is>
          <t>planned a month = Σ(each category’s planned amount);  remaining = planned − spent</t>
        </is>
      </c>
      <c r="I17"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17" t="inlineStr">
        <is>
          <t>1. the categories → SPENDING_BY_KIND  [MK-XS-I-032]
2. the single figure → monthlySpending  [MK-XS-I-024, MK-XS-I-030]</t>
        </is>
      </c>
      <c r="K17" t="inlineStr">
        <is>
          <t>US dollars · held to the cent · shown as whole dollars  [derived by rule — confirm]</t>
        </is>
      </c>
      <c r="L17" t="inlineStr">
        <is>
          <t>Adds up to $0 when there is nothing to add. Zero and "nothing recorded yet" look identical on screen — worth a decision.</t>
        </is>
      </c>
      <c r="M17" t="inlineStr">
        <is>
          <t>One figure per category  [derived by rule — confirm]</t>
        </is>
      </c>
      <c r="N17" t="inlineStr">
        <is>
          <t>As of today, from the latest figures held  [derived by rule — confirm]</t>
        </is>
      </c>
      <c r="O17" t="inlineStr">
        <is>
          <t>1. MK-XS-E-020 (READ_A_NUMBER) → What number did the person actually type?
2. MK-XS-E-021 (SPENDING_BY_KIND) → What is spent each month, split by kind?</t>
        </is>
      </c>
      <c r="P17" t="inlineStr">
        <is>
          <t>1. MK-CF-F-069 benefitActiveMonths → MK-CF-F-092 incomeMonthlyGrid → MK-CF-F-002 plannedMonthlySpend
2. MK-ST-F-052 toNum → MK-CF-F-075 retirementIncomeMonthly → MK-CF-F-072 currentRetirementIncomeMonthly → MK-CF-F-092 incomeMonthlyGrid → MK-CF-F-002 plannedMonthlySpend
3.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MK-ST-F-052 toNum → MK-CF-F-070 benefitAnnual → MK-CF-F-071 extraIncome → MK-CF-F-092 incomeMonthlyGrid → MK-CF-F-002 plannedMonthlySpend
7. MK-ST-F-055 round2 → MK-CF-F-071 extraIncome → MK-CF-F-092 incomeMonthlyGrid → MK-CF-F-002 plannedMonthlySpend
8. MK-ST-F-052 toNum → MK-CF-F-071 extraIncome → MK-CF-F-092 incomeMonthlyGrid → MK-CF-F-002 plannedMonthlySpend
9. … and 5 more paths</t>
        </is>
      </c>
      <c r="Q17" t="inlineStr">
        <is>
          <t>1. MK-CF-F-092 — Treats a year as twelve equal months.
2. MK-CF-F-092 — Uses today's date from the device clock, so the answer changes by itself overnight.
3. MK-CF-F-069 — Leaves some rows out of the answer — check which.
4. MK-CF-F-065 — Uses a built-in total v of 0.
5. MK-CF-F-071 — Treats a year as twelve equal months.
6. MK-CF-F-087 — Uses today's date from the device clock, so the answer changes by itself overnight.
7. MK-CF-F-181 — Turns a monthly figure into a year by multiplying by twelve.
8. MK-CF-F-181 — Multiplies by 100 — a percentage, or an option contract treated as 100 shares. Worth checking which.
9. MK-CF-F-181 — Rounds the answer to a whole number.
10. MK-CF-F-068 — Turns a monthly figure into a year by multiplying by twelve.
11. MK-ST-F-055 — Multiplies by 100 — a percentage, or an option contract treated as 100 shares. Worth checking which.
12. MK-ST-F-055 — Rounds the answer to a whole number.
13. MK-CF-F-066 — Leaves some rows out of the answer — check which.
14. MK-CF-F-077 — Uses a built-in i of 0.
15. MK-CF-F-077 — Treats a year as twelve equal months.
16. MK-CF-F-088 — Treats a year as twelve equal months.
17. MK-CF-F-088 — Uses today's date from the device clock, so the answer changes by itself overnight.
18. MK-CF-F-003 — Treats a year as twelve equal months.
19. MK-CF-F-003 — Turns a monthly figure into a year by multiplying by twelve.
20. MK-CF-F-089 — Uses today's date from the device clock, so the answer changes by itself overnight.
21. MK-CF-F-180 — Uses a built-in total of 0.
22. MK-CF-F-082 — Uses today's date from the device clock, so the answer changes by itself overnight.
23. MK-CF-F-084 — Turns a monthly figure into a year by multiplying by twelve.
24. MK-CF-F-084 — Uses today's date from the device clock, so the answer changes by itself overnight.
25. MK-CF-F-067 — Leaves some rows out of the answer — check which.
… and 11 more, on the functions tab</t>
        </is>
      </c>
      <c r="R17" t="inlineStr"/>
      <c r="S17" t="inlineStr"/>
      <c r="T17" t="inlineStr">
        <is>
          <t>NOT DETERMINED — no assumption recorded for this figure yet.</t>
        </is>
      </c>
      <c r="U17" t="inlineStr">
        <is>
          <t>THE SURVIVING IDENTIFIER for this figure. Folded in: MK-MN-M-007. Spending against plan for a category — the same comparison on Cash flow and on the expense screen. CONFIRM: the expense screen adds the amount being typed, which may make it a different figure.</t>
        </is>
      </c>
      <c r="V17" t="inlineStr"/>
      <c r="W17" t="inlineStr"/>
      <c r="X17" t="inlineStr"/>
      <c r="Y17" t="inlineStr">
        <is>
          <t>NOT DETERMINED</t>
        </is>
      </c>
      <c r="Z17" t="inlineStr">
        <is>
          <t>VERIFIED 2026-08-22</t>
        </is>
      </c>
      <c r="AA17"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A17 — "Uses a built-in i of 0", on 11 functions, is the loop counter — let i = 0.
4. A18 — "Treats a year as twelve equal months" fires on any division by 12, a month index included; "Treats a month as 30 days" fires on any multiplication by 30. Neither is read as arithmetic, so both carry false positives.
5.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17" t="inlineStr">
        <is>
          <t>HAS A FUNCTION — traceable from the screen to the code.</t>
        </is>
      </c>
      <c r="AD17" t="inlineStr">
        <is>
          <t>B26 — This month · Spending — the pace bar measures against nothing when no categories are set</t>
        </is>
      </c>
      <c r="AE17" t="inlineStr">
        <is>
          <t>B26 — OPEN since 2026-08-26 — nothing has closed this. It is not known to be wrong; it is known to be unaddressed.</t>
        </is>
      </c>
      <c r="AF17" t="inlineStr">
        <is>
          <t>ACTIVE</t>
        </is>
      </c>
      <c r="AG17" t="inlineStr">
        <is>
          <t>2026-08-27</t>
        </is>
      </c>
    </row>
    <row r="18">
      <c r="A18" t="inlineStr">
        <is>
          <t>MK-CF-M-016</t>
        </is>
      </c>
      <c r="B18" t="inlineStr">
        <is>
          <t>Cashflow</t>
        </is>
      </c>
      <c r="C18" t="inlineStr">
        <is>
          <t>NA</t>
        </is>
      </c>
      <c r="D18" t="inlineStr">
        <is>
          <t>BIG-TICKET RADAR — &lt;bill&gt; · due &lt;month&gt;</t>
        </is>
      </c>
      <c r="E18" t="inlineStr">
        <is>
          <t>b.amount</t>
        </is>
      </c>
      <c r="F18" t="inlineStr">
        <is>
          <t>NOT ON RECORD — no function is recorded for this figure</t>
        </is>
      </c>
      <c r="G18" t="inlineStr"/>
      <c r="H18" t="inlineStr">
        <is>
          <t>a bill is flagged when its amount is large relative to a typical month and it falls within the horizon shown</t>
        </is>
      </c>
      <c r="I18" t="inlineStr">
        <is>
          <t>Points out the big one-off bills coming up, so they are not a surprise.</t>
        </is>
      </c>
      <c r="J18" t="inlineStr">
        <is>
          <t>NOT DETERMINED — no input list on record for this engine</t>
        </is>
      </c>
      <c r="K18" t="inlineStr">
        <is>
          <t>US dollars · held to the cent · shown as whole dollars  [derived by rule — confirm]</t>
        </is>
      </c>
      <c r="L18" t="inlineStr">
        <is>
          <t>NOT DETERMINED — this engine has not been read for its refusal yet.</t>
        </is>
      </c>
      <c r="M18" t="inlineStr">
        <is>
          <t>One figure per month  [derived by rule — confirm]</t>
        </is>
      </c>
      <c r="N18" t="inlineStr">
        <is>
          <t>As of today, from the latest figures held  [derived by rule — confirm]</t>
        </is>
      </c>
      <c r="O18" t="inlineStr">
        <is>
          <t>NOT DETERMINED</t>
        </is>
      </c>
      <c r="P18" t="inlineStr">
        <is>
          <t>No function on record — nothing to chain</t>
        </is>
      </c>
      <c r="Q18" t="inlineStr">
        <is>
          <t>No function on record — assumptions unknown</t>
        </is>
      </c>
      <c r="R18" t="inlineStr"/>
      <c r="S18" t="inlineStr"/>
      <c r="T18" t="inlineStr">
        <is>
          <t>NOT DETERMINED — no assumption recorded for this figure yet.</t>
        </is>
      </c>
      <c r="U18" t="inlineStr"/>
      <c r="V18" t="inlineStr"/>
      <c r="W18" t="inlineStr"/>
      <c r="X18" t="inlineStr"/>
      <c r="Y18" t="inlineStr">
        <is>
          <t>NOT DETERMINED</t>
        </is>
      </c>
      <c r="Z18" t="inlineStr">
        <is>
          <t>VERIFIED 2026-08-22</t>
        </is>
      </c>
      <c r="AA18"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t="inlineStr">
        <is>
          <t>1. B28 [CLASH] — THE BIG-TICKET RADAR IS BACKWARDS. It flags any bill over $500 from the grid, and debt payments join the grid as bills — so the MORTGAGE is flagged every single month, which teaches people to ignore the section. Meanwhile an unusual credit-card payment is tested against the mean of ALL logged "Debt payment" expenses — mortgage, car and card averaged together — so a $1,850 payment against a usual $195 is compared to a bar near $3,120 and stays QUIET. It shows the payment that never changes and hides the one that does. CashFlowScreen.tsx:462.</t>
        </is>
      </c>
      <c r="AC18"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8" t="inlineStr">
        <is>
          <t>B28 — Spending — the radar flags the mortgage monthly and hides an unusual card payment</t>
        </is>
      </c>
      <c r="AE18" t="inlineStr">
        <is>
          <t>B28 — OPEN since 2026-08-26 — nothing has closed this. It is not known to be wrong; it is known to be unaddressed.</t>
        </is>
      </c>
      <c r="AF18" t="inlineStr">
        <is>
          <t>ACTIVE</t>
        </is>
      </c>
      <c r="AG18" t="inlineStr">
        <is>
          <t>2026-08-27</t>
        </is>
      </c>
    </row>
    <row r="19">
      <c r="A19" t="inlineStr">
        <is>
          <t>MK-CF-M-017</t>
        </is>
      </c>
      <c r="B19" t="inlineStr">
        <is>
          <t>Cashflow</t>
        </is>
      </c>
      <c r="C19" t="inlineStr">
        <is>
          <t>NA</t>
        </is>
      </c>
      <c r="D19" t="inlineStr">
        <is>
          <t>well above your usual &lt;category&gt;</t>
        </is>
      </c>
      <c r="E19" t="inlineStr">
        <is>
          <t>e.amount</t>
        </is>
      </c>
      <c r="F19" t="inlineStr">
        <is>
          <t>NOT ON RECORD — no function is recorded for this figure</t>
        </is>
      </c>
      <c r="G19" t="inlineStr"/>
      <c r="H19" t="inlineStr">
        <is>
          <t>flagged when an expense is well above the usual amount for its category</t>
        </is>
      </c>
      <c r="I19" t="inlineStr">
        <is>
          <t>Marks a single expense that sits well above what that category normally costs.</t>
        </is>
      </c>
      <c r="J19" t="inlineStr">
        <is>
          <t>NOT DETERMINED — no input list on record for this engine</t>
        </is>
      </c>
      <c r="K19" t="inlineStr">
        <is>
          <t>US dollars · held to the cent · shown as whole dollars  [derived by rule — confirm]</t>
        </is>
      </c>
      <c r="L19" t="inlineStr">
        <is>
          <t>NOT DETERMINED — this engine has not been read for its refusal yet.</t>
        </is>
      </c>
      <c r="M19" t="inlineStr">
        <is>
          <t>One figure per category  [derived by rule — confirm]</t>
        </is>
      </c>
      <c r="N19" t="inlineStr">
        <is>
          <t>As of today, from the latest figures held  [derived by rule — confirm]</t>
        </is>
      </c>
      <c r="O19" t="inlineStr">
        <is>
          <t>NOT DETERMINED</t>
        </is>
      </c>
      <c r="P19" t="inlineStr">
        <is>
          <t>No function on record — nothing to chain</t>
        </is>
      </c>
      <c r="Q19" t="inlineStr">
        <is>
          <t>No function on record — assumptions unknown</t>
        </is>
      </c>
      <c r="R19" t="inlineStr"/>
      <c r="S19" t="inlineStr"/>
      <c r="T19" t="inlineStr">
        <is>
          <t>NOT DETERMINED — no assumption recorded for this figure yet.</t>
        </is>
      </c>
      <c r="U19" t="inlineStr"/>
      <c r="V19" t="inlineStr"/>
      <c r="W19" t="inlineStr"/>
      <c r="X19" t="inlineStr"/>
      <c r="Y19" t="inlineStr">
        <is>
          <t>NOT DETERMINED</t>
        </is>
      </c>
      <c r="Z19" t="inlineStr">
        <is>
          <t>VERIFIED 2026-08-22</t>
        </is>
      </c>
      <c r="AA1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t="inlineStr">
        <is>
          <t>B24 [NOT COMPARABLE] — This figure names no function, so its formula cannot be checked against anything. 69 of the 163 figures are in this position — the audit covers the 94 that name one.</t>
        </is>
      </c>
      <c r="AC19"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9" t="inlineStr"/>
      <c r="AE19" t="inlineStr">
        <is>
          <t>No finding on this row. That is not a statement that the row is right — only that nothing has been written against it.</t>
        </is>
      </c>
      <c r="AF19" t="inlineStr">
        <is>
          <t>ACTIVE</t>
        </is>
      </c>
      <c r="AG19" t="inlineStr">
        <is>
          <t>2026-08-27</t>
        </is>
      </c>
    </row>
    <row r="20">
      <c r="A20" t="inlineStr">
        <is>
          <t>MK-CF-M-018</t>
        </is>
      </c>
      <c r="B20" t="inlineStr">
        <is>
          <t>Cashflow</t>
        </is>
      </c>
      <c r="C20" t="inlineStr">
        <is>
          <t>NA</t>
        </is>
      </c>
      <c r="D20" t="inlineStr">
        <is>
          <t>THIS MONTH — In (take-home)</t>
        </is>
      </c>
      <c r="E20" t="inlineStr">
        <is>
          <t>inflow</t>
        </is>
      </c>
      <c r="F20" t="inlineStr">
        <is>
          <t>incomeMonthlyGrid</t>
        </is>
      </c>
      <c r="G20" t="inlineStr">
        <is>
          <t>MK-CF-F-092</t>
        </is>
      </c>
      <c r="H20" t="inlineStr">
        <is>
          <t>money in month m = salary(m) + tips(m) + rental ÷ 12 + bonus(m) + equity vesting(m) − withholding(m) − pre-tax contributions(m)</t>
        </is>
      </c>
      <c r="I20" t="inlineStr">
        <is>
          <t>Builds twelve months of money in, one month at a time. Salary comes from the per-month table, equity lands in the months it vests, the bonus lands in its own month, and each month has its own withholding rate.</t>
        </is>
      </c>
      <c r="J20" t="inlineStr">
        <is>
          <t>NOT DETERMINED — no input list on record for this engine</t>
        </is>
      </c>
      <c r="K20" t="inlineStr">
        <is>
          <t>US dollars · held to the cent · shown as whole dollars  [derived by rule — confirm]</t>
        </is>
      </c>
      <c r="L20" t="inlineStr">
        <is>
          <t>A division: with nothing on the bottom there is no answer, and the line must not appear as zero. NOT YET CONFIRMED against the engine.</t>
        </is>
      </c>
      <c r="M20" t="inlineStr">
        <is>
          <t>One figure per month  [derived by rule — confirm]</t>
        </is>
      </c>
      <c r="N20" t="inlineStr">
        <is>
          <t>This calendar month, to today  [derived by rule — confirm]</t>
        </is>
      </c>
      <c r="O20" t="inlineStr">
        <is>
          <t>NOT DETERMINED</t>
        </is>
      </c>
      <c r="P20" t="inlineStr">
        <is>
          <t>1. MK-CF-F-069 benefitActiveMonths → MK-CF-F-092 incomeMonthlyGrid
2. MK-ST-F-052 toNum → MK-CF-F-075 retirementIncomeMonthly → MK-CF-F-072 currentRetirementIncomeMonthly → MK-CF-F-092 incomeMonthlyGrid
3. MK-ST-F-052 toNum → MK-CF-F-062 equityRowValue → MK-CF-F-065 equityVestWeights → MK-CF-F-092 incomeMonthlyGrid
4. MK-CF-F-132 map → MK-CF-F-065 equityVestWeights → MK-CF-F-092 incomeMonthlyGrid
5. MK-CF-F-069 benefitActiveMonths → MK-CF-F-070 benefitAnnual → MK-CF-F-071 extraIncome → MK-CF-F-092 incomeMonthlyGrid
6. MK-ST-F-052 toNum → MK-CF-F-070 benefitAnnual → MK-CF-F-071 extraIncome → MK-CF-F-092 incomeMonthlyGrid
7. MK-ST-F-055 round2 → MK-CF-F-071 extraIncome → MK-CF-F-092 incomeMonthlyGrid
8. MK-ST-F-052 toNum → MK-CF-F-071 extraIncome → MK-CF-F-092 incomeMonthlyGrid
9. … and 5 more paths</t>
        </is>
      </c>
      <c r="Q20" t="inlineStr">
        <is>
          <t>1. MK-CF-F-092 — Treats a year as twelve equal months.
2. MK-CF-F-092 — Uses today's date from the device clock, so the answer changes by itself overnight.
3. MK-CF-F-069 — Leaves some rows out of the answer — check which.
4. MK-CF-F-065 — Uses a built-in total v of 0.
5. MK-CF-F-071 — Treats a year as twelve equal months.
6. MK-CF-F-087 — Uses today's date from the device clock, so the answer changes by itself overnight.
7. MK-CF-F-181 — Turns a monthly figure into a year by multiplying by twelve.
8. MK-CF-F-181 — Multiplies by 100 — a percentage, or an option contract treated as 100 shares. Worth checking which.
9. MK-CF-F-181 — Rounds the answer to a whole number.
10. MK-CF-F-068 — Turns a monthly figure into a year by multiplying by twelve.
11. MK-ST-F-055 — Multiplies by 100 — a percentage, or an option contract treated as 100 shares. Worth checking which.
12. MK-ST-F-055 — Rounds the answer to a whole number.
13. MK-CF-F-066 — Leaves some rows out of the answer — check which.
14. MK-CF-F-077 — Uses a built-in i of 0.
15. MK-CF-F-077 — Treats a year as twelve equal months.
16. MK-CF-F-088 — Treats a year as twelve equal months.
17. MK-CF-F-088 — Uses today's date from the device clock, so the answer changes by itself overnight.
18. MK-CF-F-089 — Uses today's date from the device clock, so the answer changes by itself overnight.
19. MK-CF-F-180 — Uses a built-in total of 0.
20. MK-CF-F-082 — Uses today's date from the device clock, so the answer changes by itself overnight.
21. MK-CF-F-084 — Turns a monthly figure into a year by multiplying by twelve.
22. MK-CF-F-084 — Uses today's date from the device clock, so the answer changes by itself overnight.
23. MK-CF-F-067 — Leaves some rows out of the answer — check which.
24. MK-CF-F-063 — Uses today's date from the device clock, so the answer changes by itself overnight.
25. MK-CF-F-176 — If r[i] is missing it counts as zero, so nothing recorded and a real zero look the same.
… and 8 more, on the functions tab</t>
        </is>
      </c>
      <c r="R20" t="inlineStr"/>
      <c r="S20" t="inlineStr"/>
      <c r="T20" t="inlineStr">
        <is>
          <t>NOT DETERMINED — no assumption recorded for this figure yet.</t>
        </is>
      </c>
      <c r="U20" t="inlineStr">
        <is>
          <t>THE SAME FIGURE AS MK-XS-M-006 — Money in this month. "In (take-home)" on Cash flow is the same figure as "Income" on Home.</t>
        </is>
      </c>
      <c r="V20" t="inlineStr"/>
      <c r="W20" t="inlineStr"/>
      <c r="X20" t="inlineStr"/>
      <c r="Y20" t="inlineStr">
        <is>
          <t>NOT DETERMINED</t>
        </is>
      </c>
      <c r="Z20" t="inlineStr">
        <is>
          <t>VERIFIED 2026-08-22</t>
        </is>
      </c>
      <c r="AA20"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A17 — "Uses a built-in i of 0", on 11 functions, is the loop counter — let i = 0.
4. A18 — "Treats a year as twelve equal months" fires on any division by 12, a month index included; "Treats a month as 30 days" fires on any multiplication by 30. Neither is read as arithmetic, so both carry false positives.
5.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20" t="inlineStr">
        <is>
          <t>HAS A FUNCTION — traceable from the screen to the code.</t>
        </is>
      </c>
      <c r="AD20" t="inlineStr">
        <is>
          <t>B27 — Base salary · This month — take-home shown up to $1,600/mo adrift from what was typed
B34 — This month · Spending — dividends counted as spendable, so surplus reads $250/mo too high</t>
        </is>
      </c>
      <c r="AE20" t="inlineStr">
        <is>
          <t>B27 — OPEN since 2026-08-26 — nothing has closed this. It is not known to be wrong; it is known to be unaddressed.
B34 — OPEN since 2026-08-26 — nothing has closed this. It is not known to be wrong; it is known to be unaddressed.
B25 — OPEN since 2026-08-26 — nothing has closed this. It is not known to be wrong; it is known to be unaddressed.</t>
        </is>
      </c>
      <c r="AF20" t="inlineStr">
        <is>
          <t>SUPERSEDED BY MK-XS-M-006 — the same figure under another identifier. This number is retired and is never handed to anything else.</t>
        </is>
      </c>
      <c r="AG20" t="inlineStr">
        <is>
          <t>2026-08-27</t>
        </is>
      </c>
    </row>
    <row r="21">
      <c r="A21" t="inlineStr">
        <is>
          <t>MK-CF-M-019</t>
        </is>
      </c>
      <c r="B21" t="inlineStr">
        <is>
          <t>Cashflow</t>
        </is>
      </c>
      <c r="C21" t="inlineStr">
        <is>
          <t>NA</t>
        </is>
      </c>
      <c r="D21" t="inlineStr">
        <is>
          <t>THIS MONTH — Out (bills + debt)</t>
        </is>
      </c>
      <c r="E21" t="inlineStr">
        <is>
          <t>outflow</t>
        </is>
      </c>
      <c r="F21" t="inlineStr">
        <is>
          <t>1. spendBuckets
2. requiredPayment</t>
        </is>
      </c>
      <c r="G21" t="inlineStr">
        <is>
          <t>1. MK-CF-F-004
2. MK-CF-F-023</t>
        </is>
      </c>
      <c r="H21" t="inlineStr">
        <is>
          <t>money out = Σ(expenses this month) + Σ(required debt payments)</t>
        </is>
      </c>
      <c r="I21" t="inlineStr">
        <is>
          <t>If the person answered category by category, total each category into its bucket. If they gave three summary figures instead, use those. Nothing answered is zero — never a guessed household average, which would put a number in their plan that nobody chose. · Due in full → 0. It is a dated bill, and calling it a monthly payment overstates what a person is committed to. Otherwise the LARGER of the minimum and whatever payment they have chosen, so overpaying on purpose shows up.</t>
        </is>
      </c>
      <c r="J21" t="inlineStr">
        <is>
          <t>1. the categories → spendCats  [MK-XS-I-032]
2. or the three summary figures → b_fixed, b_nonmonthly, b_flexible  [NOT AN INPUT — another engine’s answer; see the dependency column]
3. shape → paymentShape  [MK-XS-I-042]
4. minimum → minimum_monthly_payment  [MK-XS-I-016]
5. chosen → monthly_payment  [MK-XS-I-041]</t>
        </is>
      </c>
      <c r="K21" t="inlineStr">
        <is>
          <t>US dollars · held to the cent · shown as whole dollars  [derived by rule — confirm]</t>
        </is>
      </c>
      <c r="L21" t="inlineStr">
        <is>
          <t>Adds up to $0 when there is nothing to add. Zero and "nothing recorded yet" look identical on screen — worth a decision.</t>
        </is>
      </c>
      <c r="M21" t="inlineStr">
        <is>
          <t>One figure per debt, and one total per person  [derived by rule — confirm]</t>
        </is>
      </c>
      <c r="N21" t="inlineStr">
        <is>
          <t>This calendar month, to today  [derived by rule — confirm]</t>
        </is>
      </c>
      <c r="O21" t="inlineStr">
        <is>
          <t>1. MK-XS-E-020 (READ_A_NUMBER) → What number did the person actually type?
2. MK-XS-E-019 (DEBT_SHAPE) → How is THIS debt repaid?</t>
        </is>
      </c>
      <c r="P21"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MK-ST-F-055 round2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
10. MK-CF-F-021 defaultPaymentType → MK-CF-F-022 paymentShape → MK-CF-F-023 requiredPayment</t>
        </is>
      </c>
      <c r="Q21" t="inlineStr">
        <is>
          <t>1. MK-CF-F-003 — Treats a year as twelve equal months.
2. MK-CF-F-003 — Turns a monthly figure into a year by multiplying by twelve.
3. MK-ST-F-055 — Multiplies by 100 — a percentage, or an option contract treated as 100 shares. Worth checking which.
4. MK-ST-F-055 — Rounds the answer to a whole number.
5. MK-CF-F-120 — Treats a year as twelve equal months.
6. MK-CF-F-092 — Treats a year as twelve equal months.
7. MK-CF-F-092 — Uses today's date from the device clock, so the answer changes by itself overnight.
8. MK-CF-F-069 — Leaves some rows out of the answer — check which.
9. MK-CF-F-065 — Uses a built-in total v of 0.
10. MK-CF-F-071 — Treats a year as twelve equal months.
11. MK-CF-F-087 — Uses today's date from the device clock, so the answer changes by itself overnight.
12. MK-CF-F-181 — Turns a monthly figure into a year by multiplying by twelve.
13. MK-CF-F-181 — Multiplies by 100 — a percentage, or an option contract treated as 100 shares. Worth checking which.
14. MK-CF-F-181 — Rounds the answer to a whole number.
15. MK-CF-F-068 — Turns a monthly figure into a year by multiplying by twelve.
16. MK-CF-F-066 — Leaves some rows out of the answer — check which.
17. MK-CF-F-077 — Uses a built-in i of 0.
18. MK-CF-F-077 — Treats a year as twelve equal months.
19. MK-CF-F-088 — Treats a year as twelve equal months.
20. MK-CF-F-088 — Uses today's date from the device clock, so the answer changes by itself overnight.
21. MK-CF-F-089 — Uses today's date from the device clock, so the answer changes by itself overnight.
22. MK-CF-F-180 — Uses a built-in total of 0.
23. MK-CF-F-082 — Uses today's date from the device clock, so the answer changes by itself overnight.
24. MK-CF-F-084 — Turns a monthly figure into a year by multiplying by twelve.
25. MK-CF-F-084 — Uses today's date from the device clock, so the answer changes by itself overnight.
… and 12 more, on the functions tab</t>
        </is>
      </c>
      <c r="R21" t="inlineStr"/>
      <c r="S21" t="inlineStr"/>
      <c r="T21" t="inlineStr">
        <is>
          <t>NOT DETERMINED — no assumption recorded for this figure yet.</t>
        </is>
      </c>
      <c r="U21" t="inlineStr"/>
      <c r="V21" t="inlineStr"/>
      <c r="W21" t="inlineStr"/>
      <c r="X21" t="inlineStr"/>
      <c r="Y21" t="inlineStr">
        <is>
          <t>NOT DETERMINED</t>
        </is>
      </c>
      <c r="Z21" t="inlineStr">
        <is>
          <t>VERIFIED 2026-08-22</t>
        </is>
      </c>
      <c r="AA21"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A17 — "Uses a built-in i of 0", on 11 functions, is the loop counter — let i = 0.
4. A18 — "Treats a year as twelve equal months" fires on any division by 12, a month index included; "Treats a month as 30 days" fires on any multiplication by 30. Neither is read as arithmetic, so both carry false positives.
5.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t="inlineStr">
        <is>
          <t>1. B01 [CLASH] — The file says the required payment is "the stated minimum, or interest + 1% of balance when none is stated". The code (requiredPayment, src/domain/debt/index.ts:44) is the LARGER of the stated minimum and the payment the person chose, falling back to the stated minimum — and ZERO for a debt due in full as a lump. There is no interest term and no 1% anywhere in the debt code. The file describes a rule that was never built.
2.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spending" on screen, which makes it a wrong word in front of the person as well as a wrong number. This is the same class as bug B-24.</t>
        </is>
      </c>
      <c r="AC21" t="inlineStr">
        <is>
          <t>HAS A FUNCTION — traceable from the screen to the code.</t>
        </is>
      </c>
      <c r="AD21" t="inlineStr">
        <is>
          <t>B01 — This month — a debt with no stated minimum shows $0/mo and prefills the pay dialog with $0</t>
        </is>
      </c>
      <c r="AE21" t="inlineStr">
        <is>
          <t>B01 — OPEN since 2026-08-26 — nothing has closed this. It is not known to be wrong; it is known to be unaddressed.
B02 — NOT A DEFECT 2026-08-26</t>
        </is>
      </c>
      <c r="AF21" t="inlineStr">
        <is>
          <t>ACTIVE</t>
        </is>
      </c>
      <c r="AG21" t="inlineStr">
        <is>
          <t>2026-08-27</t>
        </is>
      </c>
    </row>
    <row r="22">
      <c r="A22" t="inlineStr">
        <is>
          <t>MK-CF-M-020</t>
        </is>
      </c>
      <c r="B22" t="inlineStr">
        <is>
          <t>Cashflow</t>
        </is>
      </c>
      <c r="C22" t="inlineStr">
        <is>
          <t>NA</t>
        </is>
      </c>
      <c r="D22" t="inlineStr">
        <is>
          <t>THIS MONTH — free to use</t>
        </is>
      </c>
      <c r="E22" t="inlineStr">
        <is>
          <t>free</t>
        </is>
      </c>
      <c r="F22" t="inlineStr">
        <is>
          <t>Worked out on the screen itself — no function behind it</t>
        </is>
      </c>
      <c r="G22" t="inlineStr"/>
      <c r="H22" t="inlineStr">
        <is>
          <t>free to use = money in − money out − Σ(monthly amounts the Plan committed)</t>
        </is>
      </c>
      <c r="I22" t="inlineStr">
        <is>
          <t>Worked out on the screen itself, with no engine behind it — a place a second definition can appear.</t>
        </is>
      </c>
      <c r="J22" t="inlineStr">
        <is>
          <t>NOT DETERMINED — no input list on record for this engine</t>
        </is>
      </c>
      <c r="K22" t="inlineStr">
        <is>
          <t>US dollars · held to the cent · shown as whole dollars  [derived by rule — confirm]</t>
        </is>
      </c>
      <c r="L22" t="inlineStr">
        <is>
          <t>Inherits the refusal of the figures it is built from: if either side is missing, this line is not shown.</t>
        </is>
      </c>
      <c r="M22" t="inlineStr">
        <is>
          <t>One figure per month  [derived by rule — confirm]</t>
        </is>
      </c>
      <c r="N22" t="inlineStr">
        <is>
          <t>This calendar month, to today  [derived by rule — confirm]</t>
        </is>
      </c>
      <c r="O22" t="inlineStr">
        <is>
          <t>NOT DETERMINED</t>
        </is>
      </c>
      <c r="P22" t="inlineStr">
        <is>
          <t>No function on record — nothing to chain</t>
        </is>
      </c>
      <c r="Q22" t="inlineStr">
        <is>
          <t>No function on record — assumptions unknown</t>
        </is>
      </c>
      <c r="R22" t="inlineStr"/>
      <c r="S22" t="inlineStr"/>
      <c r="T22" t="inlineStr">
        <is>
          <t>NOT DETERMINED — no assumption recorded for this figure yet.</t>
        </is>
      </c>
      <c r="U22" t="inlineStr"/>
      <c r="V22" t="inlineStr"/>
      <c r="W22" t="inlineStr"/>
      <c r="X22" t="inlineStr"/>
      <c r="Y22" t="inlineStr">
        <is>
          <t>NOT DETERMINED</t>
        </is>
      </c>
      <c r="Z22" t="inlineStr">
        <is>
          <t>VERIFIED 2026-08-22</t>
        </is>
      </c>
      <c r="AA2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t="inlineStr">
        <is>
          <t>B24 [NOT COMPARABLE] — This figure names no function, so its formula cannot be checked against anything. 69 of the 163 figures are in this position — the audit covers the 94 that name one.</t>
        </is>
      </c>
      <c r="AC22"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2" t="inlineStr"/>
      <c r="AE22" t="inlineStr">
        <is>
          <t>No finding on this row. That is not a statement that the row is right — only that nothing has been written against it.</t>
        </is>
      </c>
      <c r="AF22" t="inlineStr">
        <is>
          <t>ACTIVE</t>
        </is>
      </c>
      <c r="AG22" t="inlineStr">
        <is>
          <t>2026-08-27</t>
        </is>
      </c>
    </row>
    <row r="23">
      <c r="A23" t="inlineStr">
        <is>
          <t>MK-CF-M-021</t>
        </is>
      </c>
      <c r="B23" t="inlineStr">
        <is>
          <t>Cashflow</t>
        </is>
      </c>
      <c r="C23" t="inlineStr">
        <is>
          <t>NA</t>
        </is>
      </c>
      <c r="D23" t="inlineStr">
        <is>
          <t>&lt;goal&gt; · from your Plan</t>
        </is>
      </c>
      <c r="E23" t="inlineStr">
        <is>
          <t>c.monthlyAmount</t>
        </is>
      </c>
      <c r="F23" t="inlineStr">
        <is>
          <t>NOT ON RECORD — no function is recorded for this figure</t>
        </is>
      </c>
      <c r="G23" t="inlineStr"/>
      <c r="H23" t="inlineStr">
        <is>
          <t>Σ(monthly amount of each goal the Plan has committed to)</t>
        </is>
      </c>
      <c r="I23" t="inlineStr">
        <is>
          <t>The monthly amounts the Plan has already promised to goals, so cash flow can show what is genuinely free.</t>
        </is>
      </c>
      <c r="J23" t="inlineStr">
        <is>
          <t>NOT DETERMINED — no input list on record for this engine</t>
        </is>
      </c>
      <c r="K23" t="inlineStr">
        <is>
          <t>US dollars · held to the cent · shown as whole dollars  [derived by rule — confirm]</t>
        </is>
      </c>
      <c r="L23" t="inlineStr">
        <is>
          <t>Adds up to $0 when there is nothing to add. Zero and "nothing recorded yet" look identical on screen — worth a decision.</t>
        </is>
      </c>
      <c r="M23" t="inlineStr">
        <is>
          <t>One figure per goal  [derived by rule — confirm]</t>
        </is>
      </c>
      <c r="N23" t="inlineStr">
        <is>
          <t>As of today, from the latest figures held  [derived by rule — confirm]</t>
        </is>
      </c>
      <c r="O23" t="inlineStr">
        <is>
          <t>NOT DETERMINED</t>
        </is>
      </c>
      <c r="P23" t="inlineStr">
        <is>
          <t>No function on record — nothing to chain</t>
        </is>
      </c>
      <c r="Q23" t="inlineStr">
        <is>
          <t>No function on record — assumptions unknown</t>
        </is>
      </c>
      <c r="R23" t="inlineStr"/>
      <c r="S23" t="inlineStr"/>
      <c r="T23" t="inlineStr">
        <is>
          <t>NOT DETERMINED — no assumption recorded for this figure yet.</t>
        </is>
      </c>
      <c r="U23" t="inlineStr"/>
      <c r="V23" t="inlineStr"/>
      <c r="W23" t="inlineStr"/>
      <c r="X23" t="inlineStr"/>
      <c r="Y23" t="inlineStr">
        <is>
          <t>NOT DETERMINED</t>
        </is>
      </c>
      <c r="Z23" t="inlineStr">
        <is>
          <t>VERIFIED 2026-08-22</t>
        </is>
      </c>
      <c r="AA2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t="inlineStr">
        <is>
          <t>B24 [NOT COMPARABLE] — This figure names no function, so its formula cannot be checked against anything. 69 of the 163 figures are in this position — the audit covers the 94 that name one.</t>
        </is>
      </c>
      <c r="AC2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3" t="inlineStr"/>
      <c r="AE23" t="inlineStr">
        <is>
          <t>No finding on this row. That is not a statement that the row is right — only that nothing has been written against it.</t>
        </is>
      </c>
      <c r="AF23" t="inlineStr">
        <is>
          <t>ACTIVE</t>
        </is>
      </c>
      <c r="AG23" t="inlineStr">
        <is>
          <t>2026-08-27</t>
        </is>
      </c>
    </row>
    <row r="24">
      <c r="A24" t="inlineStr">
        <is>
          <t>MK-CF-M-022</t>
        </is>
      </c>
      <c r="B24" t="inlineStr">
        <is>
          <t>Cashflow</t>
        </is>
      </c>
      <c r="C24" t="inlineStr">
        <is>
          <t>NA</t>
        </is>
      </c>
      <c r="D24" t="inlineStr">
        <is>
          <t>YOUR FUTURE PAYCHECK — At &lt;age&gt;: ~$X / mo</t>
        </is>
      </c>
      <c r="E24" t="inlineStr">
        <is>
          <t>projection.monthly</t>
        </is>
      </c>
      <c r="F24" t="inlineStr">
        <is>
          <t>projectNestEgg</t>
        </is>
      </c>
      <c r="G24" t="inlineStr">
        <is>
          <t>MK-PL-F-055</t>
        </is>
      </c>
      <c r="H24" t="inlineStr">
        <is>
          <t>pot = balance × (1 + r)^n + Σ(contribution × (1 + r)^(n − year)),  n = years to retirement</t>
        </is>
      </c>
      <c r="I24"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24" t="inlineStr">
        <is>
          <t>the same inputs → inp  [MK-XS-I-001]</t>
        </is>
      </c>
      <c r="K24" t="inlineStr">
        <is>
          <t>Age in whole years  [derived by rule — confirm]</t>
        </is>
      </c>
      <c r="L24" t="inlineStr">
        <is>
          <t>No figure when there is nothing to grow, or when retirement is not ahead of the person.</t>
        </is>
      </c>
      <c r="M24" t="inlineStr">
        <is>
          <t>One figure per person — or per household when two people share one record  [derived by rule — confirm]</t>
        </is>
      </c>
      <c r="N24" t="inlineStr">
        <is>
          <t>As of today, from the latest figures held  [derived by rule — confirm]</t>
        </is>
      </c>
      <c r="O24" t="inlineStr">
        <is>
          <t>MK-XS-E-005 (WILL_IT_LAST) → Will my money last?</t>
        </is>
      </c>
      <c r="P24" t="inlineStr">
        <is>
          <t>1. MK-CF-F-132 map → MK-PL-F-055 projectNestEgg
2. MK-ST-F-055 round2 → MK-PL-F-055 projectNestEgg
3. MK-CF-F-132 map → MK-PL-F-050 simulate → MK-PL-F-055 projectNestEgg
4. MK-PL-F-074 median → MK-PL-F-050 simulate → MK-PL-F-055 projectNestEgg
5. MK-PL-F-072 mulberry32 → MK-PL-F-050 simulate → MK-PL-F-055 projectNestEgg
6. MK-PL-F-073 normal → MK-PL-F-050 simulate → MK-PL-F-055 projectNestEgg
7. MK-PL-F-075 pctOfSorted → MK-PL-F-050 simulate → MK-PL-F-055 projectNestEgg
8. MK-ST-F-024 rmdStartAge → MK-ST-F-025 rmdStartAgeFromAge → MK-PL-F-050 simulate → MK-PL-F-055 projectNestEgg
9. … and 1 more paths</t>
        </is>
      </c>
      <c r="Q24" t="inlineStr">
        <is>
          <t>1. MK-PL-F-055 — If contribution growth is missing it uses 0.
2. MK-PL-F-055 — If monthly is missing it counts as zero, so nothing recorded and a real zero look the same.
3. MK-PL-F-055 — Uses a built-in y of 0.
4. MK-PL-F-055 — Uses a built-in need of 0.
5. MK-PL-F-055 — Turns a monthly figure into a year by multiplying by twelve.
6. MK-ST-F-055 — Multiplies by 100 — a percentage, or an option contract treated as 100 shares. Worth checking which.
7. MK-ST-F-055 — Rounds the answer to a whole number.
8. MK-PL-F-050 — If paths is missing it uses 500.
9. MK-PL-F-050 — If seed is missing it uses 12345.
10. MK-PL-F-050 — If now year is missing it uses 2026.
11. MK-PL-F-050 — If contribution growth is missing it uses 0.
12. MK-PL-F-050 — If pre tax share is missing it uses 0.
13. MK-PL-F-050 — If required withdrawal tax rate is missing it uses 22%.
14. MK-PL-F-050 — If monthly is missing it counts as zero, so nothing recorded and a real zero look the same.
15. MK-PL-F-050 — If one off by year[off] is missing it counts as zero, so nothing recorded and a real zero look the same.
16. MK-PL-F-050 — If recurring by year[y] is missing it counts as zero, so nothing recorded and a real zero look the same.
17. MK-PL-F-050 — If contrib by year[y] is missing it counts as zero, so nothing recorded and a real zero look the same.
18. MK-PL-F-050 — Uses a built-in y of 1.
19. MK-PL-F-050 — Uses a built-in successes of 0.
20. MK-PL-F-050 — Uses a built-in p of 0.
21. MK-PL-F-050 — Uses a built-in y of 0.
22. MK-PL-F-050 — Treats a year as twelve equal months.
23. MK-PL-F-050 — Turns a monthly figure into a year by multiplying by twelve.
24. MK-PL-F-050 — Multiplies by 100 — a percentage, or an option contract treated as 100 shares. Worth checking which.
25. MK-PL-F-050 — Rounds the answer to a whole number.
… and 1 more, on the functions tab</t>
        </is>
      </c>
      <c r="R24" t="inlineStr"/>
      <c r="S24" t="inlineStr">
        <is>
          <t>The Net worth screen builds this projection WITHOUT the person's big costs, while Cash flow, Budget, Goals and Social Security timing all include them. Same person, same day, two different nest eggs. Seen in the code; not yet confirmed on screen.</t>
        </is>
      </c>
      <c r="T24"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U24" t="inlineStr"/>
      <c r="V24" t="inlineStr"/>
      <c r="W24" t="inlineStr"/>
      <c r="X24" t="inlineStr"/>
      <c r="Y24" t="inlineStr">
        <is>
          <t>NOT DETERMINED</t>
        </is>
      </c>
      <c r="Z24" t="inlineStr">
        <is>
          <t>VERIFIED 2026-08-22</t>
        </is>
      </c>
      <c r="AA24"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spending side rather than here — so whether the headline is in today's money depends on a convention stated nowhere. (projectNestEgg, src/domain/retirement/index.ts:324.)
2.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3.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4. A18 — "Treats a year as twelve equal months" fires on any division by 12, a month index included; "Treats a month as 30 days" fires on any multiplication by 30. Neither is read as arithmetic, so both carry false positives.
5.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4" t="inlineStr">
        <is>
          <t>HAS A FUNCTION — traceable from the screen to the code.</t>
        </is>
      </c>
      <c r="AD24" t="inlineStr">
        <is>
          <t>B11 — This month — the future-paycheck figure omits contribution growth the code applies</t>
        </is>
      </c>
      <c r="AE24" t="inlineStr">
        <is>
          <t>A44 — NOT A DEFECT 2026-08-26
B11 — OPEN since 2026-08-26 — nothing has closed this. It is not known to be wrong; it is known to be unaddressed.</t>
        </is>
      </c>
      <c r="AF24" t="inlineStr">
        <is>
          <t>ACTIVE</t>
        </is>
      </c>
      <c r="AG24" t="inlineStr">
        <is>
          <t>2026-08-27</t>
        </is>
      </c>
    </row>
    <row r="25">
      <c r="A25" t="inlineStr">
        <is>
          <t>MK-CF-M-023</t>
        </is>
      </c>
      <c r="B25" t="inlineStr">
        <is>
          <t>Cashflow</t>
        </is>
      </c>
      <c r="C25" t="inlineStr">
        <is>
          <t>NA</t>
        </is>
      </c>
      <c r="D25" t="inlineStr">
        <is>
          <t>YOUR FUTURE PAYCHECK — Social Security · pension</t>
        </is>
      </c>
      <c r="E25" t="inlineStr">
        <is>
          <t>projection.guaranteed</t>
        </is>
      </c>
      <c r="F25" t="inlineStr">
        <is>
          <t>retirementIncomeMonthly</t>
        </is>
      </c>
      <c r="G25" t="inlineStr">
        <is>
          <t>MK-CF-F-075</t>
        </is>
      </c>
      <c r="H25" t="inlineStr">
        <is>
          <t>guaranteed income a month = Social Security + pension + annuity + any other stated stream</t>
        </is>
      </c>
      <c r="I25" t="inlineStr">
        <is>
          <t>Add Social Security, pension, withdrawals, required minimum distributions, annuities and other — each converted to a monthly figure from however it was entered (yearly, quarterly, monthly).</t>
        </is>
      </c>
      <c r="J25" t="inlineStr">
        <is>
          <t>1. each source → ri_ss  [MK-XS-I-020]
2. ri_pension  [MK-XS-I-022]
3. ri_withdrawals  [MK-XS-I-038]
4. ri_rmd  [MK-XS-I-037]
5. ri_annuities  [MK-XS-I-035]
6. ri_other  [MK-XS-I-036]
7. and how often each arrives → the matching frequency  [MK-XS-I-039]</t>
        </is>
      </c>
      <c r="K25" t="inlineStr">
        <is>
          <t>US dollars · held to the cent · shown as whole dollars  [derived by rule — confirm]</t>
        </is>
      </c>
      <c r="L25" t="inlineStr">
        <is>
          <t>NOT DETERMINED — this engine has not been read for its refusal yet.</t>
        </is>
      </c>
      <c r="M25" t="inlineStr">
        <is>
          <t>One figure per person — or per household when two people share one record  [derived by rule — confirm]</t>
        </is>
      </c>
      <c r="N25" t="inlineStr">
        <is>
          <t>As of today, from the latest figures held  [derived by rule — confirm]</t>
        </is>
      </c>
      <c r="O25" t="inlineStr">
        <is>
          <t>MK-XS-E-020 (READ_A_NUMBER) → What number did the person actually type?</t>
        </is>
      </c>
      <c r="P25" t="inlineStr">
        <is>
          <t>MK-ST-F-052 toNum → MK-CF-F-075 retirementIncomeMonthly</t>
        </is>
      </c>
      <c r="Q25" t="inlineStr">
        <is>
          <t>None found anywhere in this chain</t>
        </is>
      </c>
      <c r="R25" t="inlineStr"/>
      <c r="S25" t="inlineStr"/>
      <c r="T25" t="inlineStr">
        <is>
          <t>NOT DETERMINED — no assumption recorded for this figure yet.</t>
        </is>
      </c>
      <c r="U25" t="inlineStr"/>
      <c r="V25" t="inlineStr"/>
      <c r="W25" t="inlineStr"/>
      <c r="X25" t="inlineStr"/>
      <c r="Y25" t="inlineStr">
        <is>
          <t>NOT DETERMINED</t>
        </is>
      </c>
      <c r="Z25" t="inlineStr">
        <is>
          <t>VERIFIED 2026-08-22</t>
        </is>
      </c>
      <c r="AA2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t="inlineStr">
        <is>
          <t>AGREES — the figure's arithmetic and the arithmetic of the function it names say the same thing. Checked 2026-08-26.</t>
        </is>
      </c>
      <c r="AC25" t="inlineStr">
        <is>
          <t>HAS A FUNCTION — traceable from the screen to the code.</t>
        </is>
      </c>
      <c r="AD25" t="inlineStr"/>
      <c r="AE25" t="inlineStr">
        <is>
          <t>No finding on this row. That is not a statement that the row is right — only that nothing has been written against it.</t>
        </is>
      </c>
      <c r="AF25" t="inlineStr">
        <is>
          <t>ACTIVE</t>
        </is>
      </c>
      <c r="AG25" t="inlineStr">
        <is>
          <t>2026-08-27</t>
        </is>
      </c>
    </row>
    <row r="26">
      <c r="A26" t="inlineStr">
        <is>
          <t>MK-CF-M-024</t>
        </is>
      </c>
      <c r="B26" t="inlineStr">
        <is>
          <t>Cashflow</t>
        </is>
      </c>
      <c r="C26" t="inlineStr">
        <is>
          <t>/monthly-income</t>
        </is>
      </c>
      <c r="D26" t="inlineStr">
        <is>
          <t>each source of guaranteed income</t>
        </is>
      </c>
      <c r="E26" t="inlineStr">
        <is>
          <t>g.amount</t>
        </is>
      </c>
      <c r="F26" t="inlineStr">
        <is>
          <t>currentRetirementIncomeMonthly</t>
        </is>
      </c>
      <c r="G26" t="inlineStr">
        <is>
          <t>MK-CF-F-072</t>
        </is>
      </c>
      <c r="H26" t="inlineStr">
        <is>
          <t>guaranteed income now = Σ(streams already being received)</t>
        </is>
      </c>
      <c r="I26"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26" t="inlineStr">
        <is>
          <t>1. do they receive it now → incomeSources  [MK-XS-I-040]
2. the amounts → retirementIncomeMonthly  [MK-XS-I-008]</t>
        </is>
      </c>
      <c r="K26" t="inlineStr">
        <is>
          <t>US dollars · held to the cent · shown as whole dollars  [derived by rule — confirm]</t>
        </is>
      </c>
      <c r="L26" t="inlineStr">
        <is>
          <t>Adds up to $0 when there is nothing to add. Zero and "nothing recorded yet" look identical on screen — worth a decision.</t>
        </is>
      </c>
      <c r="M26" t="inlineStr">
        <is>
          <t>One figure per person — or per household when two people share one record  [derived by rule — confirm]</t>
        </is>
      </c>
      <c r="N26" t="inlineStr">
        <is>
          <t>As of today, from the latest figures held  [derived by rule — confirm]</t>
        </is>
      </c>
      <c r="O26" t="inlineStr">
        <is>
          <t>MK-XS-E-047 (RETIREMENT_INCOME) → How much retirement income arrives monthly?</t>
        </is>
      </c>
      <c r="P26" t="inlineStr">
        <is>
          <t>MK-ST-F-052 toNum → MK-CF-F-075 retirementIncomeMonthly → MK-CF-F-072 currentRetirementIncomeMonthly</t>
        </is>
      </c>
      <c r="Q26" t="inlineStr">
        <is>
          <t>None found anywhere in this chain</t>
        </is>
      </c>
      <c r="R26" t="inlineStr"/>
      <c r="S26" t="inlineStr"/>
      <c r="T26" t="inlineStr">
        <is>
          <t>NOT DETERMINED — no assumption recorded for this figure yet.</t>
        </is>
      </c>
      <c r="U26" t="inlineStr">
        <is>
          <t>THE SAME FIGURE AS MK-CF-M-011 — Guaranteed income being received now. Shown four ways: "You receive $X/mo" on Social Security timing, "incl. Social Security $X/mo" on the cockpit, as a source on Cash flow, and as a list on Monthly income. One figure, four identifiers.</t>
        </is>
      </c>
      <c r="V26" t="inlineStr"/>
      <c r="W26" t="inlineStr"/>
      <c r="X26" t="inlineStr"/>
      <c r="Y26" t="inlineStr">
        <is>
          <t>NOT DETERMINED</t>
        </is>
      </c>
      <c r="Z26" t="inlineStr">
        <is>
          <t>VERIFIED 2026-08-22</t>
        </is>
      </c>
      <c r="AA26"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t="inlineStr">
        <is>
          <t>AGREES — the figure's arithmetic and the arithmetic of the function it names say the same thing. Checked 2026-08-26.</t>
        </is>
      </c>
      <c r="AC26" t="inlineStr">
        <is>
          <t>HAS A FUNCTION — traceable from the screen to the code.</t>
        </is>
      </c>
      <c r="AD26" t="inlineStr"/>
      <c r="AE26" t="inlineStr">
        <is>
          <t>No finding on this row. That is not a statement that the row is right — only that nothing has been written against it.</t>
        </is>
      </c>
      <c r="AF26" t="inlineStr">
        <is>
          <t>SUPERSEDED BY MK-CF-M-011 — the same figure under another identifier. This number is retired and is never handed to anything else.</t>
        </is>
      </c>
      <c r="AG26" t="inlineStr">
        <is>
          <t>2026-08-27</t>
        </is>
      </c>
    </row>
    <row r="27">
      <c r="A27" t="inlineStr">
        <is>
          <t>MK-CF-M-025</t>
        </is>
      </c>
      <c r="B27" t="inlineStr">
        <is>
          <t>Cashflow</t>
        </is>
      </c>
      <c r="C27" t="inlineStr">
        <is>
          <t>/month-detail</t>
        </is>
      </c>
      <c r="D27" t="inlineStr">
        <is>
          <t>what came in and went out that month</t>
        </is>
      </c>
      <c r="E27" t="inlineStr">
        <is>
          <t>cell</t>
        </is>
      </c>
      <c r="F27" t="inlineStr">
        <is>
          <t>NOT ON RECORD — no function is recorded for this figure</t>
        </is>
      </c>
      <c r="G27" t="inlineStr"/>
      <c r="H27" t="inlineStr">
        <is>
          <t>see the by-month grid</t>
        </is>
      </c>
      <c r="I27" t="inlineStr">
        <is>
          <t>The month-by-month view of money in and money out.</t>
        </is>
      </c>
      <c r="J27" t="inlineStr">
        <is>
          <t>NOT DETERMINED — no input list on record for this engine</t>
        </is>
      </c>
      <c r="K27" t="inlineStr">
        <is>
          <t>US dollars · held to the cent · shown as whole dollars  [derived by rule — confirm]</t>
        </is>
      </c>
      <c r="L27" t="inlineStr">
        <is>
          <t>NOT DETERMINED — this engine has not been read for its refusal yet.</t>
        </is>
      </c>
      <c r="M27" t="inlineStr">
        <is>
          <t>One figure per month  [derived by rule — confirm]</t>
        </is>
      </c>
      <c r="N27" t="inlineStr">
        <is>
          <t>As of today, from the latest figures held  [derived by rule — confirm]</t>
        </is>
      </c>
      <c r="O27" t="inlineStr">
        <is>
          <t>NOT DETERMINED</t>
        </is>
      </c>
      <c r="P27" t="inlineStr">
        <is>
          <t>No function on record — nothing to chain</t>
        </is>
      </c>
      <c r="Q27" t="inlineStr">
        <is>
          <t>No function on record — assumptions unknown</t>
        </is>
      </c>
      <c r="R27" t="inlineStr"/>
      <c r="S27" t="inlineStr"/>
      <c r="T27" t="inlineStr">
        <is>
          <t>NOT DETERMINED — no assumption recorded for this figure yet.</t>
        </is>
      </c>
      <c r="U27" t="inlineStr"/>
      <c r="V27" t="inlineStr"/>
      <c r="W27" t="inlineStr"/>
      <c r="X27" t="inlineStr"/>
      <c r="Y27" t="inlineStr">
        <is>
          <t>NOT DETERMINED</t>
        </is>
      </c>
      <c r="Z27" t="inlineStr">
        <is>
          <t>VERIFIED 2026-08-22</t>
        </is>
      </c>
      <c r="AA27"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t="inlineStr">
        <is>
          <t>B24 [NOT COMPARABLE] — This figure names no function, so its formula cannot be checked against anything. 69 of the 163 figures are in this position — the audit covers the 94 that name one.</t>
        </is>
      </c>
      <c r="AC27"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7" t="inlineStr"/>
      <c r="AE27" t="inlineStr">
        <is>
          <t>No finding on this row. That is not a statement that the row is right — only that nothing has been written against it.</t>
        </is>
      </c>
      <c r="AF27" t="inlineStr">
        <is>
          <t>ACTIVE</t>
        </is>
      </c>
      <c r="AG27" t="inlineStr">
        <is>
          <t>2026-08-27</t>
        </is>
      </c>
    </row>
    <row r="28">
      <c r="A28" t="inlineStr">
        <is>
          <t>MK-CF-M-026</t>
        </is>
      </c>
      <c r="B28" t="inlineStr">
        <is>
          <t>Cashflow</t>
        </is>
      </c>
      <c r="C28" t="inlineStr">
        <is>
          <t>/paycheck-months</t>
        </is>
      </c>
      <c r="D28" t="inlineStr">
        <is>
          <t>the months a paycheck lands</t>
        </is>
      </c>
      <c r="E28" t="inlineStr">
        <is>
          <t>payYear</t>
        </is>
      </c>
      <c r="F28" t="inlineStr">
        <is>
          <t>NOT ON RECORD — no function is recorded for this figure</t>
        </is>
      </c>
      <c r="G28" t="inlineStr"/>
      <c r="H28" t="inlineStr">
        <is>
          <t>paycheck a month = guaranteed income + the draw from savings</t>
        </is>
      </c>
      <c r="I28" t="inlineStr">
        <is>
          <t>Builds the monthly paycheck in retirement: what is guaranteed that month, plus what can be drawn from savings without breaking the plan.</t>
        </is>
      </c>
      <c r="J28" t="inlineStr">
        <is>
          <t>NOT DETERMINED — no input list on record for this engine</t>
        </is>
      </c>
      <c r="K28" t="inlineStr">
        <is>
          <t>Months · one decimal  [derived by rule — confirm]</t>
        </is>
      </c>
      <c r="L28" t="inlineStr">
        <is>
          <t>NOT DETERMINED — this engine has not been read for its refusal yet.</t>
        </is>
      </c>
      <c r="M28" t="inlineStr">
        <is>
          <t>One figure per month  [derived by rule — confirm]</t>
        </is>
      </c>
      <c r="N28" t="inlineStr">
        <is>
          <t>As of today, from the latest figures held  [derived by rule — confirm]</t>
        </is>
      </c>
      <c r="O28" t="inlineStr">
        <is>
          <t>NOT DETERMINED</t>
        </is>
      </c>
      <c r="P28" t="inlineStr">
        <is>
          <t>No function on record — nothing to chain</t>
        </is>
      </c>
      <c r="Q28" t="inlineStr">
        <is>
          <t>No function on record — assumptions unknown</t>
        </is>
      </c>
      <c r="R28" t="inlineStr"/>
      <c r="S28" t="inlineStr"/>
      <c r="T28" t="inlineStr">
        <is>
          <t>[Founder] Withdrawals, including required ones, are NOT counted as guaranteed income — counting money coming out of the pot as income would count the same dollars twice (fix B5).</t>
        </is>
      </c>
      <c r="U28" t="inlineStr"/>
      <c r="V28" t="inlineStr">
        <is>
          <t>Q30 — The draw from savings is shown as one figure a month. Should it hold steady in today's dollars, or rise with inflation each year?</t>
        </is>
      </c>
      <c r="W28" t="inlineStr"/>
      <c r="X28" t="inlineStr"/>
      <c r="Y28" t="inlineStr">
        <is>
          <t>NOT DETERMINED</t>
        </is>
      </c>
      <c r="Z28" t="inlineStr">
        <is>
          <t>VERIFIED 2026-08-22</t>
        </is>
      </c>
      <c r="AA28"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t="inlineStr">
        <is>
          <t>B24 [NOT COMPARABLE] — This figure names no function, so its formula cannot be checked against anything. 69 of the 163 figures are in this position — the audit covers the 94 that name one.</t>
        </is>
      </c>
      <c r="AC28"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8" t="inlineStr"/>
      <c r="AE28" t="inlineStr">
        <is>
          <t>No finding on this row. That is not a statement that the row is right — only that nothing has been written against it.</t>
        </is>
      </c>
      <c r="AF28" t="inlineStr">
        <is>
          <t>ACTIVE</t>
        </is>
      </c>
      <c r="AG28" t="inlineStr">
        <is>
          <t>2026-08-27</t>
        </is>
      </c>
    </row>
    <row r="29">
      <c r="A29" t="inlineStr">
        <is>
          <t>MK-CF-M-027</t>
        </is>
      </c>
      <c r="B29" t="inlineStr">
        <is>
          <t>Cashflow</t>
        </is>
      </c>
      <c r="C29" t="inlineStr">
        <is>
          <t>/income-manager</t>
        </is>
      </c>
      <c r="D29" t="inlineStr">
        <is>
          <t>each income source and its amount</t>
        </is>
      </c>
      <c r="E29" t="inlineStr">
        <is>
          <t>sources</t>
        </is>
      </c>
      <c r="F29" t="inlineStr">
        <is>
          <t>totalGrossAnnual</t>
        </is>
      </c>
      <c r="G29" t="inlineStr">
        <is>
          <t>MK-CF-F-083</t>
        </is>
      </c>
      <c r="H29" t="inlineStr">
        <is>
          <t>gross a year = salary + self-employment + bonus + equity vesting + rental + other;  net a month = (gross − tax withheld − pre-tax contributions) ÷ 12</t>
        </is>
      </c>
      <c r="I29"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9" t="inlineStr">
        <is>
          <t>each part → its own engine above  [NOT AN INPUT — another engine’s answer; see the dependency column]</t>
        </is>
      </c>
      <c r="K29" t="inlineStr">
        <is>
          <t>US dollars · held to the cent · shown as whole dollars  [derived by rule — confirm]</t>
        </is>
      </c>
      <c r="L29" t="inlineStr">
        <is>
          <t>A division: with nothing on the bottom there is no answer, and the line must not appear as zero. NOT YET CONFIRMED against the engine.</t>
        </is>
      </c>
      <c r="M29" t="inlineStr">
        <is>
          <t>One figure per person — or per household when two people share one record  [derived by rule — confirm]</t>
        </is>
      </c>
      <c r="N29" t="inlineStr">
        <is>
          <t>As of today, from the latest figures held  [derived by rule — confirm]</t>
        </is>
      </c>
      <c r="O29" t="inlineStr">
        <is>
          <t>1. MK-XS-E-049 (EQUITY_THIS_YEAR) → How much equity vests this year?
2. MK-XS-E-050 (OTHER_INCOME) → What else comes in?
3. MK-XS-E-020 (READ_A_NUMBER) → What number did the person actually type?
4. MK-XS-E-051 (RENTAL_INCOME_A_YEAR) → What do the rentals net over a year?
5. MK-PL-E-007 (RETIREMENT_INCOME_NOW) → How much retirement income is arriving TODAY?
6. MK-XS-E-052 (SALARY_A_YEAR) → What is the salary for the year?
7. MK-XS-E-053 (TIPS_A_YEAR) → What do tips come to over the year?</t>
        </is>
      </c>
      <c r="P29" t="inlineStr">
        <is>
          <t>1. MK-ST-F-052 toNum → MK-CF-F-075 retirementIncomeMonthly → MK-CF-F-072 currentRetirementIncomeMonthly → MK-CF-F-083 totalGrossAnnual
2. MK-CF-F-069 benefitActiveMonths → MK-CF-F-070 benefitAnnual → MK-CF-F-071 extraIncome → MK-CF-F-083 totalGrossAnnual
3. MK-ST-F-052 toNum → MK-CF-F-070 benefitAnnual → MK-CF-F-071 extraIncome → MK-CF-F-083 totalGrossAnnual
4. MK-ST-F-055 round2 → MK-CF-F-071 extraIncome → MK-CF-F-083 totalGrossAnnual
5. MK-ST-F-052 toNum → MK-CF-F-071 extraIncome → MK-CF-F-083 totalGrossAnnual
6. MK-CF-F-132 map → MK-CF-F-067 rentalList → MK-CF-F-068 rentalNetAnnual → MK-CF-F-083 totalGrossAnnual
7. MK-ST-F-052 toNum → MK-CF-F-067 rentalList → MK-CF-F-068 rentalNetAnnual → MK-CF-F-083 totalGrossAnnual
8. MK-ST-F-052 toNum → MK-CF-F-062 equityRowValue → MK-CF-F-066 rsuAnnual → MK-CF-F-083 totalGrossAnnual
9. … and 5 more paths</t>
        </is>
      </c>
      <c r="Q29" t="inlineStr">
        <is>
          <t>1. MK-CF-F-083 — Turns a monthly figure into a year by multiplying by twelve.
2. MK-CF-F-083 — Uses today's date from the device clock, so the answer changes by itself overnight.
3. MK-CF-F-071 — Treats a year as twelve equal months.
4. MK-CF-F-068 — Turns a monthly figure into a year by multiplying by twelve.
5. MK-CF-F-066 — Leaves some rows out of the answer — check which.
6. MK-CF-F-082 — Uses today's date from the device clock, so the answer changes by itself overnight.
7. MK-CF-F-074 — Uses today's date from the device clock, so the answer changes by itself overnight.
8. MK-ST-F-055 — Multiplies by 100 — a percentage, or an option contract treated as 100 shares. Worth checking which.
9. MK-ST-F-055 — Rounds the answer to a whole number.
10. MK-CF-F-067 — Leaves some rows out of the answer — check which.
11. MK-CF-F-063 — Uses today's date from the device clock, so the answer changes by itself overnight.
12. MK-CF-F-081 — Uses today's date from the device clock, so the answer changes by itself overnight.
13. MK-CF-F-081 — Leaves some rows out of the answer — check which.
14. MK-CF-F-069 — Leaves some rows out of the answer — check which.
15. MK-CF-F-176 — If r[i] is missing it counts as zero, so nothing recorded and a real zero look the same.
16. MK-CF-F-177 — Uses today's date from the device clock, so the answer changes by itself overnight.
17. MK-CF-F-130 — If salary freq] is missing it uses 12.
18. MK-CF-F-130 — Treats a year as twelve equal months.
19. MK-CF-F-167 — Uses today's date from the device clock, so the answer changes by itself overnight.
20. MK-CF-F-165 — Uses today's date from the device clock, so the answer changes by itself overnight.</t>
        </is>
      </c>
      <c r="R29" t="inlineStr"/>
      <c r="S29" t="inlineStr"/>
      <c r="T29" t="inlineStr">
        <is>
          <t>NOT DETERMINED — no assumption recorded for this figure yet.</t>
        </is>
      </c>
      <c r="U29" t="inlineStr"/>
      <c r="V29" t="inlineStr"/>
      <c r="W29" t="inlineStr"/>
      <c r="X29" t="inlineStr"/>
      <c r="Y29" t="inlineStr">
        <is>
          <t>NOT DETERMINED</t>
        </is>
      </c>
      <c r="Z29" t="inlineStr">
        <is>
          <t>VERIFIED 2026-08-22</t>
        </is>
      </c>
      <c r="AA29"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A18 — "Treats a year as twelve equal months" fires on any division by 12, a month index included; "Treats a month as 30 days" fires on any multiplication by 30. Neither is read as arithmetic, so both carry false positives.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t="inlineStr">
        <is>
          <t>1. B17 [ONE FORMULA] — Seven figures share one formula and one function, totalGrossAnnual, which returns GROSS A YEAR and nothing else: "net a year", "Gross / year", "Net / month", and the four per-source rows (Base salary, Self-employment, Bonus, each income source). Neither net figure is what the function returns, and a single source is not the total. Six of the seven need their own formula.</t>
        </is>
      </c>
      <c r="AC29" t="inlineStr">
        <is>
          <t>HAS A FUNCTION — traceable from the screen to the code.</t>
        </is>
      </c>
      <c r="AD29" t="inlineStr"/>
      <c r="AE29" t="inlineStr">
        <is>
          <t>B17 — OPEN since 2026-08-26 — nothing has closed this. It is not known to be wrong; it is known to be unaddressed.</t>
        </is>
      </c>
      <c r="AF29" t="inlineStr">
        <is>
          <t>ACTIVE</t>
        </is>
      </c>
      <c r="AG29" t="inlineStr">
        <is>
          <t>2026-08-27</t>
        </is>
      </c>
    </row>
    <row r="30">
      <c r="A30" t="inlineStr">
        <is>
          <t>MK-CF-M-028</t>
        </is>
      </c>
      <c r="B30" t="inlineStr">
        <is>
          <t>Cashflow</t>
        </is>
      </c>
      <c r="C30" t="inlineStr">
        <is>
          <t>/bill-calendar</t>
        </is>
      </c>
      <c r="D30" t="inlineStr">
        <is>
          <t>each bill and the day it falls</t>
        </is>
      </c>
      <c r="E30" t="inlineStr">
        <is>
          <t>bills</t>
        </is>
      </c>
      <c r="F30" t="inlineStr">
        <is>
          <t>NOT ON RECORD — no function is recorded for this figure</t>
        </is>
      </c>
      <c r="G30" t="inlineStr"/>
      <c r="H30" t="inlineStr">
        <is>
          <t>each bill falls on its stated day;  the month’s bills = Σ(amounts due in that month)</t>
        </is>
      </c>
      <c r="I30" t="inlineStr">
        <is>
          <t>Places each recurring bill on the day of the month it falls, so the shape of the month can be seen.</t>
        </is>
      </c>
      <c r="J30" t="inlineStr">
        <is>
          <t>NOT DETERMINED — no input list on record for this engine</t>
        </is>
      </c>
      <c r="K30" t="inlineStr">
        <is>
          <t>US dollars · held to the cent · shown as whole dollars  [derived by rule — confirm]</t>
        </is>
      </c>
      <c r="L30" t="inlineStr">
        <is>
          <t>Adds up to $0 when there is nothing to add. Zero and "nothing recorded yet" look identical on screen — worth a decision.</t>
        </is>
      </c>
      <c r="M30" t="inlineStr">
        <is>
          <t>One figure per person — or per household when two people share one record  [derived by rule — confirm]</t>
        </is>
      </c>
      <c r="N30" t="inlineStr">
        <is>
          <t>As of today, from the latest figures held  [derived by rule — confirm]</t>
        </is>
      </c>
      <c r="O30" t="inlineStr">
        <is>
          <t>NOT DETERMINED</t>
        </is>
      </c>
      <c r="P30" t="inlineStr">
        <is>
          <t>No function on record — nothing to chain</t>
        </is>
      </c>
      <c r="Q30" t="inlineStr">
        <is>
          <t>No function on record — assumptions unknown</t>
        </is>
      </c>
      <c r="R30" t="inlineStr"/>
      <c r="S30" t="inlineStr"/>
      <c r="T30" t="inlineStr">
        <is>
          <t>NOT DETERMINED — no assumption recorded for this figure yet.</t>
        </is>
      </c>
      <c r="U30" t="inlineStr"/>
      <c r="V30" t="inlineStr"/>
      <c r="W30" t="inlineStr"/>
      <c r="X30" t="inlineStr"/>
      <c r="Y30" t="inlineStr">
        <is>
          <t>NOT DETERMINED</t>
        </is>
      </c>
      <c r="Z30" t="inlineStr">
        <is>
          <t>VERIFIED 2026-08-22</t>
        </is>
      </c>
      <c r="AA3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t="inlineStr">
        <is>
          <t>B24 [NOT COMPARABLE] — This figure names no function, so its formula cannot be checked against anything. 69 of the 163 figures are in this position — the audit covers the 94 that name one.</t>
        </is>
      </c>
      <c r="AC30"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0" t="inlineStr"/>
      <c r="AE30" t="inlineStr">
        <is>
          <t>No finding on this row. That is not a statement that the row is right — only that nothing has been written against it.</t>
        </is>
      </c>
      <c r="AF30" t="inlineStr">
        <is>
          <t>ACTIVE</t>
        </is>
      </c>
      <c r="AG30" t="inlineStr">
        <is>
          <t>2026-08-27</t>
        </is>
      </c>
    </row>
    <row r="31">
      <c r="A31" t="inlineStr"/>
      <c r="B31" t="inlineStr">
        <is>
          <t>Cashflow</t>
        </is>
      </c>
      <c r="C31" t="inlineStr">
        <is>
          <t>/add-account</t>
        </is>
      </c>
      <c r="D31" t="inlineStr">
        <is>
          <t>—</t>
        </is>
      </c>
      <c r="E31" t="inlineStr">
        <is>
          <t>—</t>
        </is>
      </c>
      <c r="F31" t="inlineStr">
        <is>
          <t>—</t>
        </is>
      </c>
      <c r="G31" t="inlineStr"/>
      <c r="H31" t="inlineStr"/>
      <c r="I31" t="inlineStr"/>
      <c r="J31" t="inlineStr"/>
      <c r="K31" t="inlineStr"/>
      <c r="L31" t="inlineStr"/>
      <c r="M31" t="inlineStr"/>
      <c r="N31" t="inlineStr"/>
      <c r="O31" t="inlineStr"/>
      <c r="P31" t="inlineStr"/>
      <c r="Q31" t="inlineStr"/>
      <c r="R31" t="inlineStr"/>
      <c r="S31" t="inlineStr"/>
      <c r="T31" t="inlineStr"/>
      <c r="U31" t="inlineStr"/>
      <c r="V31" t="inlineStr"/>
      <c r="W31" t="inlineStr"/>
      <c r="X31" t="inlineStr">
        <is>
          <t>NOT DETERMINED</t>
        </is>
      </c>
      <c r="Y31" t="inlineStr">
        <is>
          <t>READ 2026-08-22 — no calculated figure on this screen</t>
        </is>
      </c>
    </row>
    <row r="32">
      <c r="A32" t="inlineStr"/>
      <c r="B32" t="inlineStr">
        <is>
          <t>Cashflow</t>
        </is>
      </c>
      <c r="C32" t="inlineStr">
        <is>
          <t>/connect</t>
        </is>
      </c>
      <c r="D32" t="inlineStr">
        <is>
          <t>—</t>
        </is>
      </c>
      <c r="E32" t="inlineStr">
        <is>
          <t>—</t>
        </is>
      </c>
      <c r="F32" t="inlineStr">
        <is>
          <t>—</t>
        </is>
      </c>
      <c r="G32" t="inlineStr"/>
      <c r="H32" t="inlineStr"/>
      <c r="I32" t="inlineStr"/>
      <c r="J32" t="inlineStr"/>
      <c r="K32" t="inlineStr"/>
      <c r="L32" t="inlineStr"/>
      <c r="M32" t="inlineStr"/>
      <c r="N32" t="inlineStr"/>
      <c r="O32" t="inlineStr"/>
      <c r="P32" t="inlineStr"/>
      <c r="Q32" t="inlineStr"/>
      <c r="R32" t="inlineStr"/>
      <c r="S32" t="inlineStr"/>
      <c r="T32" t="inlineStr"/>
      <c r="U32" t="inlineStr"/>
      <c r="V32" t="inlineStr"/>
      <c r="W32" t="inlineStr"/>
      <c r="X32" t="inlineStr">
        <is>
          <t>NOT DETERMINED</t>
        </is>
      </c>
      <c r="Y32" t="inlineStr">
        <is>
          <t>READ 2026-08-22 — no calculated figure on this screen</t>
        </is>
      </c>
    </row>
    <row r="33">
      <c r="A33" t="inlineStr"/>
      <c r="B33" t="inlineStr">
        <is>
          <t>Cashflow</t>
        </is>
      </c>
      <c r="C33" t="inlineStr">
        <is>
          <t>/import-holdings</t>
        </is>
      </c>
      <c r="D33" t="inlineStr">
        <is>
          <t>—</t>
        </is>
      </c>
      <c r="E33" t="inlineStr">
        <is>
          <t>—</t>
        </is>
      </c>
      <c r="F33" t="inlineStr">
        <is>
          <t>—</t>
        </is>
      </c>
      <c r="G33" t="inlineStr"/>
      <c r="H33" t="inlineStr"/>
      <c r="I33" t="inlineStr"/>
      <c r="J33" t="inlineStr"/>
      <c r="K33" t="inlineStr"/>
      <c r="L33" t="inlineStr"/>
      <c r="M33" t="inlineStr"/>
      <c r="N33" t="inlineStr"/>
      <c r="O33" t="inlineStr"/>
      <c r="P33" t="inlineStr"/>
      <c r="Q33" t="inlineStr"/>
      <c r="R33" t="inlineStr"/>
      <c r="S33" t="inlineStr"/>
      <c r="T33" t="inlineStr"/>
      <c r="U33" t="inlineStr"/>
      <c r="V33" t="inlineStr"/>
      <c r="W33" t="inlineStr"/>
      <c r="X33" t="inlineStr">
        <is>
          <t>NOT DETERMINED</t>
        </is>
      </c>
      <c r="Y33" t="inlineStr">
        <is>
          <t>READ 2026-08-22 — no calculated figure on this screen</t>
        </is>
      </c>
    </row>
    <row r="34">
      <c r="A34" t="inlineStr"/>
      <c r="B34" t="inlineStr">
        <is>
          <t>Cashflow</t>
        </is>
      </c>
      <c r="C34" t="inlineStr">
        <is>
          <t>/onboarding</t>
        </is>
      </c>
      <c r="D34" t="inlineStr">
        <is>
          <t>—</t>
        </is>
      </c>
      <c r="E34" t="inlineStr">
        <is>
          <t>—</t>
        </is>
      </c>
      <c r="F34" t="inlineStr">
        <is>
          <t>—</t>
        </is>
      </c>
      <c r="G34" t="inlineStr"/>
      <c r="H34" t="inlineStr"/>
      <c r="I34" t="inlineStr"/>
      <c r="J34" t="inlineStr"/>
      <c r="K34" t="inlineStr"/>
      <c r="L34" t="inlineStr"/>
      <c r="M34" t="inlineStr"/>
      <c r="N34" t="inlineStr"/>
      <c r="O34" t="inlineStr"/>
      <c r="P34" t="inlineStr"/>
      <c r="Q34" t="inlineStr"/>
      <c r="R34" t="inlineStr"/>
      <c r="S34" t="inlineStr"/>
      <c r="T34" t="inlineStr"/>
      <c r="U34" t="inlineStr"/>
      <c r="V34" t="inlineStr"/>
      <c r="W34" t="inlineStr"/>
      <c r="X34" t="inlineStr">
        <is>
          <t>NOT DETERMINED</t>
        </is>
      </c>
      <c r="Y34" t="inlineStr">
        <is>
          <t>READ 2026-08-22 — no calculated figure on this screen</t>
        </is>
      </c>
    </row>
    <row r="35">
      <c r="A35" t="inlineStr"/>
      <c r="B35" t="inlineStr">
        <is>
          <t>Cashflow</t>
        </is>
      </c>
      <c r="C35" t="inlineStr">
        <is>
          <t>/performance</t>
        </is>
      </c>
      <c r="D35" t="inlineStr">
        <is>
          <t>—</t>
        </is>
      </c>
      <c r="E35" t="inlineStr">
        <is>
          <t>—</t>
        </is>
      </c>
      <c r="F35" t="inlineStr">
        <is>
          <t>—</t>
        </is>
      </c>
      <c r="G35" t="inlineStr"/>
      <c r="H35" t="inlineStr"/>
      <c r="I35" t="inlineStr"/>
      <c r="J35" t="inlineStr"/>
      <c r="K35" t="inlineStr"/>
      <c r="L35" t="inlineStr"/>
      <c r="M35" t="inlineStr"/>
      <c r="N35" t="inlineStr"/>
      <c r="O35" t="inlineStr"/>
      <c r="P35" t="inlineStr"/>
      <c r="Q35" t="inlineStr"/>
      <c r="R35" t="inlineStr"/>
      <c r="S35" t="inlineStr"/>
      <c r="T35" t="inlineStr"/>
      <c r="U35" t="inlineStr"/>
      <c r="V35" t="inlineStr"/>
      <c r="W35" t="inlineStr"/>
      <c r="X35" t="inlineStr">
        <is>
          <t>NOT DETERMINED</t>
        </is>
      </c>
      <c r="Y35" t="inlineStr">
        <is>
          <t>READ 2026-08-22 — the same screen as /invest, reached by a second route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G3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9"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0" customWidth="1" min="16" max="16"/>
    <col width="42" customWidth="1" min="17" max="17"/>
    <col width="42" customWidth="1" min="18" max="18"/>
    <col width="37" customWidth="1" min="19" max="19"/>
    <col width="22" customWidth="1" min="20" max="20"/>
    <col width="28" customWidth="1" min="21" max="21"/>
    <col width="36" customWidth="1" min="22" max="22"/>
    <col width="41" customWidth="1" min="23" max="23"/>
    <col width="41" customWidth="1" min="24" max="24"/>
    <col width="20" customWidth="1" min="25" max="25"/>
    <col width="18" customWidth="1" min="26" max="26"/>
    <col width="41" customWidth="1" min="27" max="27"/>
    <col width="42" customWidth="1" min="28" max="28"/>
    <col width="23" customWidth="1" min="29" max="29"/>
    <col width="37" customWidth="1" min="30" max="30"/>
    <col width="33" customWidth="1" min="31" max="31"/>
    <col width="32" customWidth="1" min="32" max="32"/>
    <col width="26" customWidth="1" min="33" max="33"/>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engine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row>
    <row r="2">
      <c r="A2" t="inlineStr">
        <is>
          <t>MK-MN-M-001</t>
        </is>
      </c>
      <c r="B2" t="inlineStr">
        <is>
          <t>Menu</t>
        </is>
      </c>
      <c r="C2" t="inlineStr">
        <is>
          <t>/big-costs</t>
        </is>
      </c>
      <c r="D2" t="inlineStr">
        <is>
          <t>each big cost and its year</t>
        </is>
      </c>
      <c r="E2" t="inlineStr">
        <is>
          <t>c.amount</t>
        </is>
      </c>
      <c r="F2" t="inlineStr">
        <is>
          <t>NOT ON RECORD — no function is recorded for this figure</t>
        </is>
      </c>
      <c r="G2" t="inlineStr"/>
      <c r="H2" t="inlineStr">
        <is>
          <t>total = Σ(each big cost);  each one lands in the year it is dated</t>
        </is>
      </c>
      <c r="I2" t="inlineStr">
        <is>
          <t>Adds up the one-off costs the person has told us about, each sitting in the year it is expected.</t>
        </is>
      </c>
      <c r="J2" t="inlineStr">
        <is>
          <t>NOT DETERMINED — no input list on record for this engine</t>
        </is>
      </c>
      <c r="K2" t="inlineStr">
        <is>
          <t>US dollars · held to the cent · shown as whole dollars  [derived by rule — confirm]</t>
        </is>
      </c>
      <c r="L2" t="inlineStr">
        <is>
          <t>Adds up to $0 when there is nothing to add. Zero and "nothing recorded yet" look identical on screen — worth a decision.</t>
        </is>
      </c>
      <c r="M2" t="inlineStr">
        <is>
          <t>One figure per person — or per household when two people share one record  [derived by rule — confirm]</t>
        </is>
      </c>
      <c r="N2" t="inlineStr">
        <is>
          <t>This calendar year, to today  [derived by rule — confirm]</t>
        </is>
      </c>
      <c r="O2" t="inlineStr">
        <is>
          <t>NOT DETERMINED</t>
        </is>
      </c>
      <c r="P2" t="inlineStr">
        <is>
          <t>No function on record — nothing to chain</t>
        </is>
      </c>
      <c r="Q2" t="inlineStr">
        <is>
          <t>No function on record — assumptions unknown</t>
        </is>
      </c>
      <c r="R2" t="inlineStr"/>
      <c r="S2" t="inlineStr"/>
      <c r="T2" t="inlineStr">
        <is>
          <t>NOT DETERMINED — no assumption recorded for this figure yet.</t>
        </is>
      </c>
      <c r="U2" t="inlineStr"/>
      <c r="V2" t="inlineStr"/>
      <c r="W2" t="inlineStr"/>
      <c r="X2" t="inlineStr"/>
      <c r="Y2" t="inlineStr">
        <is>
          <t>NOT DETERMINED</t>
        </is>
      </c>
      <c r="Z2" t="inlineStr">
        <is>
          <t>VERIFIED 2026-08-22</t>
        </is>
      </c>
      <c r="AA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t="inlineStr">
        <is>
          <t>B24 [NOT COMPARABLE] — This figure names no function, so its formula cannot be checked against anything. 69 of the 163 figures are in this position — the audit covers the 94 that name one.</t>
        </is>
      </c>
      <c r="AC2"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t="inlineStr"/>
      <c r="AE2" t="inlineStr">
        <is>
          <t>No finding on this row. That is not a statement that the row is right — only that nothing has been written against it.</t>
        </is>
      </c>
      <c r="AF2" t="inlineStr">
        <is>
          <t>ACTIVE</t>
        </is>
      </c>
      <c r="AG2" t="inlineStr">
        <is>
          <t>2026-08-27</t>
        </is>
      </c>
    </row>
    <row r="3">
      <c r="A3" t="inlineStr">
        <is>
          <t>MK-MN-M-002</t>
        </is>
      </c>
      <c r="B3" t="inlineStr">
        <is>
          <t>Menu</t>
        </is>
      </c>
      <c r="C3" t="inlineStr">
        <is>
          <t>/big-costs</t>
        </is>
      </c>
      <c r="D3" t="inlineStr">
        <is>
          <t>the total of your big costs</t>
        </is>
      </c>
      <c r="E3" t="inlineStr">
        <is>
          <t>total</t>
        </is>
      </c>
      <c r="F3" t="inlineStr">
        <is>
          <t>NOT ON RECORD — no function is recorded for this figure</t>
        </is>
      </c>
      <c r="G3" t="inlineStr"/>
      <c r="H3" t="inlineStr">
        <is>
          <t>total = Σ(each big cost);  each one lands in the year it is dated</t>
        </is>
      </c>
      <c r="I3" t="inlineStr">
        <is>
          <t>Adds up the one-off costs the person has told us about, each sitting in the year it is expected.</t>
        </is>
      </c>
      <c r="J3" t="inlineStr">
        <is>
          <t>NOT DETERMINED — no input list on record for this engine</t>
        </is>
      </c>
      <c r="K3" t="inlineStr">
        <is>
          <t>US dollars · held to the cent · shown as whole dollars  [derived by rule — confirm]</t>
        </is>
      </c>
      <c r="L3" t="inlineStr">
        <is>
          <t>Adds up to $0 when there is nothing to add. Zero and "nothing recorded yet" look identical on screen — worth a decision.</t>
        </is>
      </c>
      <c r="M3" t="inlineStr">
        <is>
          <t>One figure per person — or per household when two people share one record  [derived by rule — confirm]</t>
        </is>
      </c>
      <c r="N3" t="inlineStr">
        <is>
          <t>As of today, from the latest figures held  [derived by rule — confirm]</t>
        </is>
      </c>
      <c r="O3" t="inlineStr">
        <is>
          <t>NOT DETERMINED</t>
        </is>
      </c>
      <c r="P3" t="inlineStr">
        <is>
          <t>No function on record — nothing to chain</t>
        </is>
      </c>
      <c r="Q3" t="inlineStr">
        <is>
          <t>No function on record — assumptions unknown</t>
        </is>
      </c>
      <c r="R3" t="inlineStr"/>
      <c r="S3" t="inlineStr"/>
      <c r="T3" t="inlineStr">
        <is>
          <t>NOT DETERMINED — no assumption recorded for this figure yet.</t>
        </is>
      </c>
      <c r="U3" t="inlineStr"/>
      <c r="V3" t="inlineStr"/>
      <c r="W3" t="inlineStr"/>
      <c r="X3" t="inlineStr"/>
      <c r="Y3" t="inlineStr">
        <is>
          <t>NOT DETERMINED</t>
        </is>
      </c>
      <c r="Z3" t="inlineStr">
        <is>
          <t>VERIFIED 2026-08-22</t>
        </is>
      </c>
      <c r="AA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t="inlineStr">
        <is>
          <t>B24 [NOT COMPARABLE] — This figure names no function, so its formula cannot be checked against anything. 69 of the 163 figures are in this position — the audit covers the 94 that name one.</t>
        </is>
      </c>
      <c r="AC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t="inlineStr"/>
      <c r="AE3" t="inlineStr">
        <is>
          <t>No finding on this row. That is not a statement that the row is right — only that nothing has been written against it.</t>
        </is>
      </c>
      <c r="AF3" t="inlineStr">
        <is>
          <t>ACTIVE</t>
        </is>
      </c>
      <c r="AG3" t="inlineStr">
        <is>
          <t>2026-08-27</t>
        </is>
      </c>
    </row>
    <row r="4">
      <c r="A4" t="inlineStr">
        <is>
          <t>MK-MN-M-003</t>
        </is>
      </c>
      <c r="B4" t="inlineStr">
        <is>
          <t>Menu</t>
        </is>
      </c>
      <c r="C4" t="inlineStr">
        <is>
          <t>/contribution-room</t>
        </is>
      </c>
      <c r="D4" t="inlineStr">
        <is>
          <t>$X left / up to $Y</t>
        </is>
      </c>
      <c r="E4" t="inlineStr">
        <is>
          <t>room / limit</t>
        </is>
      </c>
      <c r="F4" t="inlineStr">
        <is>
          <t>NOT ON RECORD — no function is recorded for this figure</t>
        </is>
      </c>
      <c r="G4" t="inlineStr"/>
      <c r="H4" t="inlineStr">
        <is>
          <t>room left = the year’s limit − what has already gone in;  per month = room left ÷ months left in the year</t>
        </is>
      </c>
      <c r="I4" t="inlineStr">
        <is>
          <t>Takes the year's legal limit for the account, subtracts what has already gone in, and divides what is left by the months remaining.</t>
        </is>
      </c>
      <c r="J4" t="inlineStr">
        <is>
          <t>NOT DETERMINED — no input list on record for this engine</t>
        </is>
      </c>
      <c r="K4" t="inlineStr">
        <is>
          <t>US dollars · held to the cent · shown as whole dollars  [derived by rule — confirm]</t>
        </is>
      </c>
      <c r="L4" t="inlineStr">
        <is>
          <t>A division: with nothing on the bottom there is no answer, and the line must not appear as zero. NOT YET CONFIRMED against the engine.</t>
        </is>
      </c>
      <c r="M4" t="inlineStr">
        <is>
          <t>One figure per person — or per household when two people share one record  [derived by rule — confirm]</t>
        </is>
      </c>
      <c r="N4" t="inlineStr">
        <is>
          <t>As of today, from the latest figures held  [derived by rule — confirm]</t>
        </is>
      </c>
      <c r="O4" t="inlineStr">
        <is>
          <t>NOT DETERMINED</t>
        </is>
      </c>
      <c r="P4" t="inlineStr">
        <is>
          <t>No function on record — nothing to chain</t>
        </is>
      </c>
      <c r="Q4" t="inlineStr">
        <is>
          <t>No function on record — assumptions unknown</t>
        </is>
      </c>
      <c r="R4" t="inlineStr"/>
      <c r="S4" t="inlineStr"/>
      <c r="T4" t="inlineStr">
        <is>
          <t>NOT DETERMINED — no assumption recorded for this figure yet.</t>
        </is>
      </c>
      <c r="U4" t="inlineStr"/>
      <c r="V4" t="inlineStr"/>
      <c r="W4" t="inlineStr"/>
      <c r="X4" t="inlineStr"/>
      <c r="Y4" t="inlineStr">
        <is>
          <t>NOT DETERMINED</t>
        </is>
      </c>
      <c r="Z4" t="inlineStr">
        <is>
          <t>VERIFIED 2026-08-22</t>
        </is>
      </c>
      <c r="AA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t="inlineStr">
        <is>
          <t>B24 [NOT COMPARABLE] — This figure names no function, so its formula cannot be checked against anything. 69 of the 163 figures are in this position — the audit covers the 94 that name one.</t>
        </is>
      </c>
      <c r="AC4"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t="inlineStr"/>
      <c r="AE4" t="inlineStr">
        <is>
          <t>No finding on this row. That is not a statement that the row is right — only that nothing has been written against it.</t>
        </is>
      </c>
      <c r="AF4" t="inlineStr">
        <is>
          <t>ACTIVE</t>
        </is>
      </c>
      <c r="AG4" t="inlineStr">
        <is>
          <t>2026-08-27</t>
        </is>
      </c>
    </row>
    <row r="5">
      <c r="A5" t="inlineStr">
        <is>
          <t>MK-MN-M-004</t>
        </is>
      </c>
      <c r="B5" t="inlineStr">
        <is>
          <t>Menu</t>
        </is>
      </c>
      <c r="C5" t="inlineStr">
        <is>
          <t>/contribution-room</t>
        </is>
      </c>
      <c r="D5" t="inlineStr">
        <is>
          <t>about $X of the $Y limit</t>
        </is>
      </c>
      <c r="E5" t="inlineStr">
        <is>
          <t>used / limit</t>
        </is>
      </c>
      <c r="F5" t="inlineStr">
        <is>
          <t>NOT ON RECORD — no function is recorded for this figure</t>
        </is>
      </c>
      <c r="G5" t="inlineStr"/>
      <c r="H5" t="inlineStr">
        <is>
          <t>room left = the year’s limit − what has already gone in;  per month = room left ÷ months left in the year</t>
        </is>
      </c>
      <c r="I5" t="inlineStr">
        <is>
          <t>Takes the year's legal limit for the account, subtracts what has already gone in, and divides what is left by the months remaining.</t>
        </is>
      </c>
      <c r="J5" t="inlineStr">
        <is>
          <t>NOT DETERMINED — no input list on record for this engine</t>
        </is>
      </c>
      <c r="K5" t="inlineStr">
        <is>
          <t>US dollars · held to the cent · shown as whole dollars  [derived by rule — confirm]</t>
        </is>
      </c>
      <c r="L5" t="inlineStr">
        <is>
          <t>A division: with nothing on the bottom there is no answer, and the line must not appear as zero. NOT YET CONFIRMED against the engine.</t>
        </is>
      </c>
      <c r="M5" t="inlineStr">
        <is>
          <t>One figure per person — or per household when two people share one record  [derived by rule — confirm]</t>
        </is>
      </c>
      <c r="N5" t="inlineStr">
        <is>
          <t>As of today, from the latest figures held  [derived by rule — confirm]</t>
        </is>
      </c>
      <c r="O5" t="inlineStr">
        <is>
          <t>NOT DETERMINED</t>
        </is>
      </c>
      <c r="P5" t="inlineStr">
        <is>
          <t>No function on record — nothing to chain</t>
        </is>
      </c>
      <c r="Q5" t="inlineStr">
        <is>
          <t>No function on record — assumptions unknown</t>
        </is>
      </c>
      <c r="R5" t="inlineStr"/>
      <c r="S5" t="inlineStr"/>
      <c r="T5" t="inlineStr">
        <is>
          <t>NOT DETERMINED — no assumption recorded for this figure yet.</t>
        </is>
      </c>
      <c r="U5" t="inlineStr"/>
      <c r="V5" t="inlineStr"/>
      <c r="W5" t="inlineStr"/>
      <c r="X5" t="inlineStr"/>
      <c r="Y5" t="inlineStr">
        <is>
          <t>NOT DETERMINED</t>
        </is>
      </c>
      <c r="Z5" t="inlineStr">
        <is>
          <t>VERIFIED 2026-08-22</t>
        </is>
      </c>
      <c r="AA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t="inlineStr">
        <is>
          <t>B24 [NOT COMPARABLE] — This figure names no function, so its formula cannot be checked against anything. 69 of the 163 figures are in this position — the audit covers the 94 that name one.</t>
        </is>
      </c>
      <c r="AC5"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t="inlineStr"/>
      <c r="AE5" t="inlineStr">
        <is>
          <t>No finding on this row. That is not a statement that the row is right — only that nothing has been written against it.</t>
        </is>
      </c>
      <c r="AF5" t="inlineStr">
        <is>
          <t>ACTIVE</t>
        </is>
      </c>
      <c r="AG5" t="inlineStr">
        <is>
          <t>2026-08-27</t>
        </is>
      </c>
    </row>
    <row r="6">
      <c r="A6" t="inlineStr">
        <is>
          <t>MK-MN-M-005</t>
        </is>
      </c>
      <c r="B6" t="inlineStr">
        <is>
          <t>Menu</t>
        </is>
      </c>
      <c r="C6" t="inlineStr">
        <is>
          <t>/contribution-room</t>
        </is>
      </c>
      <c r="D6" t="inlineStr">
        <is>
          <t>about $X/mo for the rest of the year</t>
        </is>
      </c>
      <c r="E6" t="inlineStr">
        <is>
          <t>perMonth</t>
        </is>
      </c>
      <c r="F6" t="inlineStr">
        <is>
          <t>Worked out on the screen itself — no function behind it</t>
        </is>
      </c>
      <c r="G6" t="inlineStr"/>
      <c r="H6" t="inlineStr">
        <is>
          <t>per month = room left ÷ months left in the year</t>
        </is>
      </c>
      <c r="I6" t="inlineStr">
        <is>
          <t>Worked out on the screen itself, with no engine behind it — a place a second definition can appear.</t>
        </is>
      </c>
      <c r="J6" t="inlineStr">
        <is>
          <t>NOT DETERMINED — no input list on record for this engine</t>
        </is>
      </c>
      <c r="K6" t="inlineStr">
        <is>
          <t>US dollars · held to the cent · shown as whole dollars  [derived by rule — confirm]</t>
        </is>
      </c>
      <c r="L6" t="inlineStr">
        <is>
          <t>Inherits the refusal of the figures it is built from: if either side is missing, this line is not shown.</t>
        </is>
      </c>
      <c r="M6" t="inlineStr">
        <is>
          <t>One figure per person — or per household when two people share one record  [derived by rule — confirm]</t>
        </is>
      </c>
      <c r="N6" t="inlineStr">
        <is>
          <t>This calendar year, to today  [derived by rule — confirm]</t>
        </is>
      </c>
      <c r="O6" t="inlineStr">
        <is>
          <t>NOT DETERMINED</t>
        </is>
      </c>
      <c r="P6" t="inlineStr">
        <is>
          <t>No function on record — nothing to chain</t>
        </is>
      </c>
      <c r="Q6" t="inlineStr">
        <is>
          <t>No function on record — assumptions unknown</t>
        </is>
      </c>
      <c r="R6" t="inlineStr"/>
      <c r="S6" t="inlineStr"/>
      <c r="T6" t="inlineStr">
        <is>
          <t>NOT DETERMINED — no assumption recorded for this figure yet.</t>
        </is>
      </c>
      <c r="U6" t="inlineStr"/>
      <c r="V6" t="inlineStr"/>
      <c r="W6" t="inlineStr"/>
      <c r="X6" t="inlineStr"/>
      <c r="Y6" t="inlineStr">
        <is>
          <t>NOT DETERMINED</t>
        </is>
      </c>
      <c r="Z6" t="inlineStr">
        <is>
          <t>VERIFIED 2026-08-22</t>
        </is>
      </c>
      <c r="AA6"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t="inlineStr">
        <is>
          <t>B24 [NOT COMPARABLE] — This figure names no function, so its formula cannot be checked against anything. 69 of the 163 figures are in this position — the audit covers the 94 that name one.</t>
        </is>
      </c>
      <c r="AC6"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6" t="inlineStr"/>
      <c r="AE6" t="inlineStr">
        <is>
          <t>No finding on this row. That is not a statement that the row is right — only that nothing has been written against it.</t>
        </is>
      </c>
      <c r="AF6" t="inlineStr">
        <is>
          <t>ACTIVE</t>
        </is>
      </c>
      <c r="AG6" t="inlineStr">
        <is>
          <t>2026-08-27</t>
        </is>
      </c>
    </row>
    <row r="7">
      <c r="A7" t="inlineStr">
        <is>
          <t>MK-MN-M-006</t>
        </is>
      </c>
      <c r="B7" t="inlineStr">
        <is>
          <t>Menu</t>
        </is>
      </c>
      <c r="C7" t="inlineStr">
        <is>
          <t>/credit</t>
        </is>
      </c>
      <c r="D7" t="inlineStr">
        <is>
          <t>$X of $Y used — the line marks 30%</t>
        </is>
      </c>
      <c r="E7" t="inlineStr">
        <is>
          <t>bal / lim</t>
        </is>
      </c>
      <c r="F7" t="inlineStr">
        <is>
          <t>NOT ON RECORD — no function is recorded for this figure</t>
        </is>
      </c>
      <c r="G7" t="inlineStr"/>
      <c r="H7" t="inlineStr">
        <is>
          <t>use = balance ÷ credit limit</t>
        </is>
      </c>
      <c r="I7" t="inlineStr">
        <is>
          <t>The balance on the card against its limit — the share of the line being used.</t>
        </is>
      </c>
      <c r="J7" t="inlineStr">
        <is>
          <t>NOT DETERMINED — no input list on record for this engine</t>
        </is>
      </c>
      <c r="K7" t="inlineStr">
        <is>
          <t>Percent · one decimal shown  [derived by rule — confirm]</t>
        </is>
      </c>
      <c r="L7" t="inlineStr">
        <is>
          <t>A division: with nothing on the bottom there is no answer, and the line must not appear as zero. NOT YET CONFIRMED against the engine.</t>
        </is>
      </c>
      <c r="M7" t="inlineStr">
        <is>
          <t>One figure per person — or per household when two people share one record  [derived by rule — confirm]</t>
        </is>
      </c>
      <c r="N7" t="inlineStr">
        <is>
          <t>As of today, from the latest figures held  [derived by rule — confirm]</t>
        </is>
      </c>
      <c r="O7" t="inlineStr">
        <is>
          <t>NOT DETERMINED</t>
        </is>
      </c>
      <c r="P7" t="inlineStr">
        <is>
          <t>No function on record — nothing to chain</t>
        </is>
      </c>
      <c r="Q7" t="inlineStr">
        <is>
          <t>No function on record — assumptions unknown</t>
        </is>
      </c>
      <c r="R7" t="inlineStr"/>
      <c r="S7" t="inlineStr"/>
      <c r="T7" t="inlineStr">
        <is>
          <t>NOT DETERMINED — no assumption recorded for this figure yet.</t>
        </is>
      </c>
      <c r="U7" t="inlineStr"/>
      <c r="V7" t="inlineStr"/>
      <c r="W7" t="inlineStr"/>
      <c r="X7" t="inlineStr"/>
      <c r="Y7" t="inlineStr">
        <is>
          <t>NOT DETERMINED</t>
        </is>
      </c>
      <c r="Z7" t="inlineStr">
        <is>
          <t>VERIFIED 2026-08-22</t>
        </is>
      </c>
      <c r="AA7"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t="inlineStr">
        <is>
          <t>B24 [NOT COMPARABLE] — This figure names no function, so its formula cannot be checked against anything. 69 of the 163 figures are in this position — the audit covers the 94 that name one.</t>
        </is>
      </c>
      <c r="AC7"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t="inlineStr"/>
      <c r="AE7" t="inlineStr">
        <is>
          <t>No finding on this row. That is not a statement that the row is right — only that nothing has been written against it.</t>
        </is>
      </c>
      <c r="AF7" t="inlineStr">
        <is>
          <t>ACTIVE</t>
        </is>
      </c>
      <c r="AG7" t="inlineStr">
        <is>
          <t>2026-08-27</t>
        </is>
      </c>
    </row>
    <row r="8">
      <c r="A8" t="inlineStr">
        <is>
          <t>MK-MN-M-007</t>
        </is>
      </c>
      <c r="B8" t="inlineStr">
        <is>
          <t>Menu</t>
        </is>
      </c>
      <c r="C8" t="inlineStr">
        <is>
          <t>/expense</t>
        </is>
      </c>
      <c r="D8" t="inlineStr">
        <is>
          <t>$X of $Y this month · over by $Z</t>
        </is>
      </c>
      <c r="E8" t="inlineStr">
        <is>
          <t>catSpend / catBudget</t>
        </is>
      </c>
      <c r="F8" t="inlineStr">
        <is>
          <t>plannedMonthlySpend</t>
        </is>
      </c>
      <c r="G8" t="inlineStr">
        <is>
          <t>MK-CF-F-002</t>
        </is>
      </c>
      <c r="H8" t="inlineStr">
        <is>
          <t>planned a month = Σ(each category’s planned amount);  remaining = planned − spent</t>
        </is>
      </c>
      <c r="I8"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8" t="inlineStr">
        <is>
          <t>1. the categories → SPENDING_BY_KIND  [MK-XS-I-032]
2. the single figure → monthlySpending  [MK-XS-I-024, MK-XS-I-030]</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month  [derived by rule — confirm]</t>
        </is>
      </c>
      <c r="N8" t="inlineStr">
        <is>
          <t>This calendar month, to today  [derived by rule — confirm]</t>
        </is>
      </c>
      <c r="O8" t="inlineStr">
        <is>
          <t>1. MK-XS-E-020 (READ_A_NUMBER) → What number did the person actually type?
2. MK-XS-E-021 (SPENDING_BY_KIND) → What is spent each month, split by kind?</t>
        </is>
      </c>
      <c r="P8" t="inlineStr">
        <is>
          <t>1. MK-CF-F-069 benefitActiveMonths → MK-CF-F-092 incomeMonthlyGrid → MK-CF-F-002 plannedMonthlySpend
2. MK-ST-F-052 toNum → MK-CF-F-075 retirementIncomeMonthly → MK-CF-F-072 currentRetirementIncomeMonthly → MK-CF-F-092 incomeMonthlyGrid → MK-CF-F-002 plannedMonthlySpend
3.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MK-ST-F-052 toNum → MK-CF-F-070 benefitAnnual → MK-CF-F-071 extraIncome → MK-CF-F-092 incomeMonthlyGrid → MK-CF-F-002 plannedMonthlySpend
7. MK-ST-F-055 round2 → MK-CF-F-071 extraIncome → MK-CF-F-092 incomeMonthlyGrid → MK-CF-F-002 plannedMonthlySpend
8. MK-ST-F-052 toNum → MK-CF-F-071 extraIncome → MK-CF-F-092 incomeMonthlyGrid → MK-CF-F-002 plannedMonthlySpend
9. … and 5 more paths</t>
        </is>
      </c>
      <c r="Q8" t="inlineStr">
        <is>
          <t>1. MK-CF-F-092 — Treats a year as twelve equal months.
2. MK-CF-F-092 — Uses today's date from the device clock, so the answer changes by itself overnight.
3. MK-CF-F-069 — Leaves some rows out of the answer — check which.
4. MK-CF-F-065 — Uses a built-in total v of 0.
5. MK-CF-F-071 — Treats a year as twelve equal months.
6. MK-CF-F-087 — Uses today's date from the device clock, so the answer changes by itself overnight.
7. MK-CF-F-181 — Turns a monthly figure into a year by multiplying by twelve.
8. MK-CF-F-181 — Multiplies by 100 — a percentage, or an option contract treated as 100 shares. Worth checking which.
9. MK-CF-F-181 — Rounds the answer to a whole number.
10. MK-CF-F-068 — Turns a monthly figure into a year by multiplying by twelve.
11. MK-ST-F-055 — Multiplies by 100 — a percentage, or an option contract treated as 100 shares. Worth checking which.
12. MK-ST-F-055 — Rounds the answer to a whole number.
13. MK-CF-F-066 — Leaves some rows out of the answer — check which.
14. MK-CF-F-077 — Uses a built-in i of 0.
15. MK-CF-F-077 — Treats a year as twelve equal months.
16. MK-CF-F-088 — Treats a year as twelve equal months.
17. MK-CF-F-088 — Uses today's date from the device clock, so the answer changes by itself overnight.
18. MK-CF-F-003 — Treats a year as twelve equal months.
19. MK-CF-F-003 — Turns a monthly figure into a year by multiplying by twelve.
20. MK-CF-F-089 — Uses today's date from the device clock, so the answer changes by itself overnight.
21. MK-CF-F-180 — Uses a built-in total of 0.
22. MK-CF-F-082 — Uses today's date from the device clock, so the answer changes by itself overnight.
23. MK-CF-F-084 — Turns a monthly figure into a year by multiplying by twelve.
24. MK-CF-F-084 — Uses today's date from the device clock, so the answer changes by itself overnight.
25. MK-CF-F-067 — Leaves some rows out of the answer — check which.
… and 11 more, on the functions tab</t>
        </is>
      </c>
      <c r="R8" t="inlineStr"/>
      <c r="S8" t="inlineStr"/>
      <c r="T8" t="inlineStr">
        <is>
          <t>NOT DETERMINED — no assumption recorded for this figure yet.</t>
        </is>
      </c>
      <c r="U8" t="inlineStr">
        <is>
          <t>THE SAME FIGURE AS MK-CF-M-015 — Spending against plan for a category — the same comparison on Cash flow and on the expense screen. CONFIRM: the expense screen adds the amount being typed, which may make it a different figure.</t>
        </is>
      </c>
      <c r="V8" t="inlineStr"/>
      <c r="W8" t="inlineStr"/>
      <c r="X8" t="inlineStr"/>
      <c r="Y8" t="inlineStr">
        <is>
          <t>NOT DETERMINED</t>
        </is>
      </c>
      <c r="Z8" t="inlineStr">
        <is>
          <t>VERIFIED 2026-08-22</t>
        </is>
      </c>
      <c r="AA8"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A17 — "Uses a built-in i of 0", on 11 functions, is the loop counter — let i = 0.
4. A18 — "Treats a year as twelve equal months" fires on any division by 12, a month index included; "Treats a month as 30 days" fires on any multiplication by 30. Neither is read as arithmetic, so both carry false positives.
5.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t="inlineStr">
        <is>
          <t>AGREES — the figure's arithmetic and the arithmetic of the function it names say the same thing. Checked 2026-08-26.</t>
        </is>
      </c>
      <c r="AC8" t="inlineStr">
        <is>
          <t>HAS A FUNCTION — traceable from the screen to the code.</t>
        </is>
      </c>
      <c r="AD8" t="inlineStr"/>
      <c r="AE8" t="inlineStr">
        <is>
          <t>No finding on this row. That is not a statement that the row is right — only that nothing has been written against it.</t>
        </is>
      </c>
      <c r="AF8" t="inlineStr">
        <is>
          <t>SUPERSEDED BY MK-CF-M-015 — the same figure under another identifier. This number is retired and is never handed to anything else.</t>
        </is>
      </c>
      <c r="AG8" t="inlineStr">
        <is>
          <t>2026-08-27</t>
        </is>
      </c>
    </row>
    <row r="9">
      <c r="A9" t="inlineStr">
        <is>
          <t>MK-MN-M-008</t>
        </is>
      </c>
      <c r="B9" t="inlineStr">
        <is>
          <t>Menu</t>
        </is>
      </c>
      <c r="C9" t="inlineStr">
        <is>
          <t>/goals</t>
        </is>
      </c>
      <c r="D9" t="inlineStr">
        <is>
          <t>typical free cash to save $X/mo</t>
        </is>
      </c>
      <c r="E9" t="inlineStr">
        <is>
          <t>capacity.avg</t>
        </is>
      </c>
      <c r="F9" t="inlineStr">
        <is>
          <t>NOT ON RECORD — no function is recorded for this figure</t>
        </is>
      </c>
      <c r="G9" t="inlineStr"/>
      <c r="H9" t="inlineStr">
        <is>
          <t>typical free cash a month = median over recent months of (money in − money out)</t>
        </is>
      </c>
      <c r="I9" t="inlineStr">
        <is>
          <t>Looks at recent months and takes the typical amount left after money in and money out — what could realistically be saved, not the best month.</t>
        </is>
      </c>
      <c r="J9" t="inlineStr">
        <is>
          <t>NOT DETERMINED — no input list on record for this engine</t>
        </is>
      </c>
      <c r="K9" t="inlineStr">
        <is>
          <t>US dollars · held to the cent · shown as whole dollars  [derived by rule — confirm]</t>
        </is>
      </c>
      <c r="L9" t="inlineStr">
        <is>
          <t>Needs recent months to speak. With too few it says so rather than offering a figure from one month.</t>
        </is>
      </c>
      <c r="M9" t="inlineStr">
        <is>
          <t>One figure per person — or per household when two people share one record  [derived by rule — confirm]</t>
        </is>
      </c>
      <c r="N9" t="inlineStr">
        <is>
          <t>As of today, from the latest figures held  [derived by rule — confirm]</t>
        </is>
      </c>
      <c r="O9" t="inlineStr">
        <is>
          <t>NOT DETERMINED</t>
        </is>
      </c>
      <c r="P9" t="inlineStr">
        <is>
          <t>No function on record — nothing to chain</t>
        </is>
      </c>
      <c r="Q9" t="inlineStr">
        <is>
          <t>No function on record — assumptions unknown</t>
        </is>
      </c>
      <c r="R9" t="inlineStr"/>
      <c r="S9" t="inlineStr"/>
      <c r="T9" t="inlineStr">
        <is>
          <t>NOT DETERMINED — no assumption recorded for this figure yet.</t>
        </is>
      </c>
      <c r="U9" t="inlineStr"/>
      <c r="V9" t="inlineStr">
        <is>
          <t>Q27 — "Typical free cash to save" uses the middle of recent months. How many months should it look back, and should a one-off windfall be excluded?</t>
        </is>
      </c>
      <c r="W9" t="inlineStr"/>
      <c r="X9" t="inlineStr"/>
      <c r="Y9" t="inlineStr">
        <is>
          <t>NOT DETERMINED</t>
        </is>
      </c>
      <c r="Z9" t="inlineStr">
        <is>
          <t>VERIFIED 2026-08-22</t>
        </is>
      </c>
      <c r="AA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t="inlineStr">
        <is>
          <t>B24 [NOT COMPARABLE] — This figure names no function, so its formula cannot be checked against anything. 69 of the 163 figures are in this position — the audit covers the 94 that name one.</t>
        </is>
      </c>
      <c r="AC9"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9" t="inlineStr"/>
      <c r="AE9" t="inlineStr">
        <is>
          <t>No finding on this row. That is not a statement that the row is right — only that nothing has been written against it.</t>
        </is>
      </c>
      <c r="AF9" t="inlineStr">
        <is>
          <t>ACTIVE</t>
        </is>
      </c>
      <c r="AG9" t="inlineStr">
        <is>
          <t>2026-08-27</t>
        </is>
      </c>
    </row>
    <row r="10">
      <c r="A10" t="inlineStr">
        <is>
          <t>MK-MN-M-009</t>
        </is>
      </c>
      <c r="B10" t="inlineStr">
        <is>
          <t>Menu</t>
        </is>
      </c>
      <c r="C10" t="inlineStr">
        <is>
          <t>/goals</t>
        </is>
      </c>
      <c r="D10" t="inlineStr">
        <is>
          <t>each goal — $X of $Y · $Z to go</t>
        </is>
      </c>
      <c r="E10" t="inlineStr">
        <is>
          <t>g.saved / g.target</t>
        </is>
      </c>
      <c r="F10" t="inlineStr">
        <is>
          <t>NOT ON RECORD — no function is recorded for this figure</t>
        </is>
      </c>
      <c r="G10" t="inlineStr"/>
      <c r="H10" t="inlineStr">
        <is>
          <t>to go = target − saved;  progress = saved ÷ target</t>
        </is>
      </c>
      <c r="I10" t="inlineStr">
        <is>
          <t>What has been put aside against the target, and what is still to go.</t>
        </is>
      </c>
      <c r="J10" t="inlineStr">
        <is>
          <t>NOT DETERMINED — no input list on record for this engine</t>
        </is>
      </c>
      <c r="K10" t="inlineStr">
        <is>
          <t>US dollars · held to the cent · shown as whole dollars  [derived by rule — confirm]</t>
        </is>
      </c>
      <c r="L10" t="inlineStr">
        <is>
          <t>A division: with nothing on the bottom there is no answer, and the line must not appear as zero. NOT YET CONFIRMED against the engine.</t>
        </is>
      </c>
      <c r="M10" t="inlineStr">
        <is>
          <t>One figure per goal  [derived by rule — confirm]</t>
        </is>
      </c>
      <c r="N10" t="inlineStr">
        <is>
          <t>As of today, from the latest figures held  [derived by rule — confirm]</t>
        </is>
      </c>
      <c r="O10" t="inlineStr">
        <is>
          <t>NOT DETERMINED</t>
        </is>
      </c>
      <c r="P10" t="inlineStr">
        <is>
          <t>No function on record — nothing to chain</t>
        </is>
      </c>
      <c r="Q10" t="inlineStr">
        <is>
          <t>No function on record — assumptions unknown</t>
        </is>
      </c>
      <c r="R10" t="inlineStr"/>
      <c r="S10" t="inlineStr"/>
      <c r="T10" t="inlineStr">
        <is>
          <t>NOT DETERMINED — no assumption recorded for this figure yet.</t>
        </is>
      </c>
      <c r="U10" t="inlineStr"/>
      <c r="V10" t="inlineStr"/>
      <c r="W10" t="inlineStr"/>
      <c r="X10" t="inlineStr"/>
      <c r="Y10" t="inlineStr">
        <is>
          <t>NOT DETERMINED</t>
        </is>
      </c>
      <c r="Z10" t="inlineStr">
        <is>
          <t>VERIFIED 2026-08-22</t>
        </is>
      </c>
      <c r="AA1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t="inlineStr">
        <is>
          <t>B24 [NOT COMPARABLE] — This figure names no function, so its formula cannot be checked against anything. 69 of the 163 figures are in this position — the audit covers the 94 that name one.</t>
        </is>
      </c>
      <c r="AC10"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0" t="inlineStr"/>
      <c r="AE10" t="inlineStr">
        <is>
          <t>No finding on this row. That is not a statement that the row is right — only that nothing has been written against it.</t>
        </is>
      </c>
      <c r="AF10" t="inlineStr">
        <is>
          <t>ACTIVE</t>
        </is>
      </c>
      <c r="AG10" t="inlineStr">
        <is>
          <t>2026-08-27</t>
        </is>
      </c>
    </row>
    <row r="11">
      <c r="A11" t="inlineStr">
        <is>
          <t>MK-MN-M-010</t>
        </is>
      </c>
      <c r="B11" t="inlineStr">
        <is>
          <t>Menu</t>
        </is>
      </c>
      <c r="C11" t="inlineStr">
        <is>
          <t>/goals</t>
        </is>
      </c>
      <c r="D11" t="inlineStr">
        <is>
          <t>your non-monthly budget</t>
        </is>
      </c>
      <c r="E11" t="inlineStr">
        <is>
          <t>sinkBasis</t>
        </is>
      </c>
      <c r="F11" t="inlineStr">
        <is>
          <t>NOT ON RECORD — no function is recorded for this figure</t>
        </is>
      </c>
      <c r="G11" t="inlineStr"/>
      <c r="H11" t="inlineStr">
        <is>
          <t>set aside a month = Σ(each non-monthly cost ÷ months until it falls due)</t>
        </is>
      </c>
      <c r="I11" t="inlineStr">
        <is>
          <t>Takes the costs that do not arrive monthly and spreads each one across the months until it falls due.</t>
        </is>
      </c>
      <c r="J11" t="inlineStr">
        <is>
          <t>NOT DETERMINED — no input list on record for this engine</t>
        </is>
      </c>
      <c r="K11" t="inlineStr">
        <is>
          <t>US dollars · held to the cent · shown as whole dollars  [derived by rule — confirm]</t>
        </is>
      </c>
      <c r="L11" t="inlineStr">
        <is>
          <t>Adds up to $0 when there is nothing to add. Zero and "nothing recorded yet" look identical on screen — worth a decision.</t>
        </is>
      </c>
      <c r="M11" t="inlineStr">
        <is>
          <t>One figure per month  [derived by rule — confirm]</t>
        </is>
      </c>
      <c r="N11" t="inlineStr">
        <is>
          <t>As of today, from the latest figures held  [derived by rule — confirm]</t>
        </is>
      </c>
      <c r="O11" t="inlineStr">
        <is>
          <t>NOT DETERMINED</t>
        </is>
      </c>
      <c r="P11" t="inlineStr">
        <is>
          <t>No function on record — nothing to chain</t>
        </is>
      </c>
      <c r="Q11" t="inlineStr">
        <is>
          <t>No function on record — assumptions unknown</t>
        </is>
      </c>
      <c r="R11" t="inlineStr"/>
      <c r="S11" t="inlineStr"/>
      <c r="T11" t="inlineStr">
        <is>
          <t>NOT DETERMINED — no assumption recorded for this figure yet.</t>
        </is>
      </c>
      <c r="U11" t="inlineStr"/>
      <c r="V11" t="inlineStr"/>
      <c r="W11" t="inlineStr"/>
      <c r="X11" t="inlineStr"/>
      <c r="Y11" t="inlineStr">
        <is>
          <t>NOT DETERMINED</t>
        </is>
      </c>
      <c r="Z11" t="inlineStr">
        <is>
          <t>VERIFIED 2026-08-22</t>
        </is>
      </c>
      <c r="AA11"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t="inlineStr">
        <is>
          <t>B24 [NOT COMPARABLE] — This figure names no function, so its formula cannot be checked against anything. 69 of the 163 figures are in this position — the audit covers the 94 that name one.</t>
        </is>
      </c>
      <c r="AC11"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t="inlineStr"/>
      <c r="AE11" t="inlineStr">
        <is>
          <t>No finding on this row. That is not a statement that the row is right — only that nothing has been written against it.</t>
        </is>
      </c>
      <c r="AF11" t="inlineStr">
        <is>
          <t>ACTIVE</t>
        </is>
      </c>
      <c r="AG11" t="inlineStr">
        <is>
          <t>2026-08-27</t>
        </is>
      </c>
    </row>
    <row r="12">
      <c r="A12" t="inlineStr">
        <is>
          <t>MK-MN-M-011</t>
        </is>
      </c>
      <c r="B12" t="inlineStr">
        <is>
          <t>Menu</t>
        </is>
      </c>
      <c r="C12" t="inlineStr">
        <is>
          <t>/income-detail</t>
        </is>
      </c>
      <c r="D12" t="inlineStr">
        <is>
          <t>net a year</t>
        </is>
      </c>
      <c r="E12" t="inlineStr">
        <is>
          <t>state.total_net_annual</t>
        </is>
      </c>
      <c r="F12" t="inlineStr">
        <is>
          <t>totalGrossAnnual</t>
        </is>
      </c>
      <c r="G12" t="inlineStr">
        <is>
          <t>MK-CF-F-083</t>
        </is>
      </c>
      <c r="H12" t="inlineStr">
        <is>
          <t>gross a year = salary + self-employment + bonus + equity vesting + rental + other;  net a month = (gross − tax withheld − pre-tax contributions) ÷ 12</t>
        </is>
      </c>
      <c r="I12"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2" t="inlineStr">
        <is>
          <t>each part → its own engine above  [NOT AN INPUT — another engine’s answer; see the dependency column]</t>
        </is>
      </c>
      <c r="K12" t="inlineStr">
        <is>
          <t>US dollars · held to the cent · shown as whole dollars  [derived by rule — confirm]</t>
        </is>
      </c>
      <c r="L12" t="inlineStr">
        <is>
          <t>A division: with nothing on the bottom there is no answer, and the line must not appear as zero. NOT YET CONFIRMED against the engine.</t>
        </is>
      </c>
      <c r="M12" t="inlineStr">
        <is>
          <t>One figure per person — or per household when two people share one record  [derived by rule — confirm]</t>
        </is>
      </c>
      <c r="N12" t="inlineStr">
        <is>
          <t>The last twelve months  [derived by rule — confirm]</t>
        </is>
      </c>
      <c r="O12" t="inlineStr">
        <is>
          <t>1. MK-XS-E-049 (EQUITY_THIS_YEAR) → How much equity vests this year?
2. MK-XS-E-050 (OTHER_INCOME) → What else comes in?
3. MK-XS-E-020 (READ_A_NUMBER) → What number did the person actually type?
4. MK-XS-E-051 (RENTAL_INCOME_A_YEAR) → What do the rentals net over a year?
5. MK-PL-E-007 (RETIREMENT_INCOME_NOW) → How much retirement income is arriving TODAY?
6. MK-XS-E-052 (SALARY_A_YEAR) → What is the salary for the year?
7. MK-XS-E-053 (TIPS_A_YEAR) → What do tips come to over the year?</t>
        </is>
      </c>
      <c r="P12" t="inlineStr">
        <is>
          <t>1. MK-ST-F-052 toNum → MK-CF-F-075 retirementIncomeMonthly → MK-CF-F-072 currentRetirementIncomeMonthly → MK-CF-F-083 totalGrossAnnual
2. MK-CF-F-069 benefitActiveMonths → MK-CF-F-070 benefitAnnual → MK-CF-F-071 extraIncome → MK-CF-F-083 totalGrossAnnual
3. MK-ST-F-052 toNum → MK-CF-F-070 benefitAnnual → MK-CF-F-071 extraIncome → MK-CF-F-083 totalGrossAnnual
4. MK-ST-F-055 round2 → MK-CF-F-071 extraIncome → MK-CF-F-083 totalGrossAnnual
5. MK-ST-F-052 toNum → MK-CF-F-071 extraIncome → MK-CF-F-083 totalGrossAnnual
6. MK-CF-F-132 map → MK-CF-F-067 rentalList → MK-CF-F-068 rentalNetAnnual → MK-CF-F-083 totalGrossAnnual
7. MK-ST-F-052 toNum → MK-CF-F-067 rentalList → MK-CF-F-068 rentalNetAnnual → MK-CF-F-083 totalGrossAnnual
8. MK-ST-F-052 toNum → MK-CF-F-062 equityRowValue → MK-CF-F-066 rsuAnnual → MK-CF-F-083 totalGrossAnnual
9. … and 5 more paths</t>
        </is>
      </c>
      <c r="Q12" t="inlineStr">
        <is>
          <t>1. MK-CF-F-083 — Turns a monthly figure into a year by multiplying by twelve.
2. MK-CF-F-083 — Uses today's date from the device clock, so the answer changes by itself overnight.
3. MK-CF-F-071 — Treats a year as twelve equal months.
4. MK-CF-F-068 — Turns a monthly figure into a year by multiplying by twelve.
5. MK-CF-F-066 — Leaves some rows out of the answer — check which.
6. MK-CF-F-082 — Uses today's date from the device clock, so the answer changes by itself overnight.
7. MK-CF-F-074 — Uses today's date from the device clock, so the answer changes by itself overnight.
8. MK-ST-F-055 — Multiplies by 100 — a percentage, or an option contract treated as 100 shares. Worth checking which.
9. MK-ST-F-055 — Rounds the answer to a whole number.
10. MK-CF-F-067 — Leaves some rows out of the answer — check which.
11. MK-CF-F-063 — Uses today's date from the device clock, so the answer changes by itself overnight.
12. MK-CF-F-081 — Uses today's date from the device clock, so the answer changes by itself overnight.
13. MK-CF-F-081 — Leaves some rows out of the answer — check which.
14. MK-CF-F-069 — Leaves some rows out of the answer — check which.
15. MK-CF-F-176 — If r[i] is missing it counts as zero, so nothing recorded and a real zero look the same.
16. MK-CF-F-177 — Uses today's date from the device clock, so the answer changes by itself overnight.
17. MK-CF-F-130 — If salary freq] is missing it uses 12.
18. MK-CF-F-130 — Treats a year as twelve equal months.
19. MK-CF-F-167 — Uses today's date from the device clock, so the answer changes by itself overnight.
20. MK-CF-F-165 — Uses today's date from the device clock, so the answer changes by itself overnight.</t>
        </is>
      </c>
      <c r="R12" t="inlineStr"/>
      <c r="S12" t="inlineStr"/>
      <c r="T12" t="inlineStr">
        <is>
          <t>NOT DETERMINED — no assumption recorded for this figure yet.</t>
        </is>
      </c>
      <c r="U12" t="inlineStr"/>
      <c r="V12" t="inlineStr"/>
      <c r="W12" t="inlineStr"/>
      <c r="X12" t="inlineStr"/>
      <c r="Y12" t="inlineStr">
        <is>
          <t>NOT DETERMINED</t>
        </is>
      </c>
      <c r="Z12" t="inlineStr">
        <is>
          <t>VERIFIED 2026-08-22</t>
        </is>
      </c>
      <c r="AA12"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A18 — "Treats a year as twelve equal months" fires on any division by 12, a month index included; "Treats a month as 30 days" fires on any multiplication by 30. Neither is read as arithmetic, so both carry false positives.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t="inlineStr">
        <is>
          <t>1. B17 [ONE FORMULA] — Seven figures share one formula and one function, totalGrossAnnual, which returns GROSS A YEAR and nothing else: "net a year", "Gross / year", "Net / month", and the four per-source rows (Base salary, Self-employment, Bonus, each income source). Neither net figure is what the function returns, and a single source is not the total. Six of the seven need their own formula.</t>
        </is>
      </c>
      <c r="AC12" t="inlineStr">
        <is>
          <t>HAS A FUNCTION — traceable from the screen to the code.</t>
        </is>
      </c>
      <c r="AD12" t="inlineStr"/>
      <c r="AE12" t="inlineStr">
        <is>
          <t>B17 — OPEN since 2026-08-26 — nothing has closed this. It is not known to be wrong; it is known to be unaddressed.</t>
        </is>
      </c>
      <c r="AF12" t="inlineStr">
        <is>
          <t>ACTIVE</t>
        </is>
      </c>
      <c r="AG12" t="inlineStr">
        <is>
          <t>2026-08-27</t>
        </is>
      </c>
    </row>
    <row r="13">
      <c r="A13" t="inlineStr">
        <is>
          <t>MK-MN-M-012</t>
        </is>
      </c>
      <c r="B13" t="inlineStr">
        <is>
          <t>Menu</t>
        </is>
      </c>
      <c r="C13" t="inlineStr">
        <is>
          <t>/income-detail</t>
        </is>
      </c>
      <c r="D13" t="inlineStr">
        <is>
          <t>Gross / year</t>
        </is>
      </c>
      <c r="E13" t="inlineStr">
        <is>
          <t>state.total_gross_annual</t>
        </is>
      </c>
      <c r="F13" t="inlineStr">
        <is>
          <t>totalGrossAnnual</t>
        </is>
      </c>
      <c r="G13" t="inlineStr">
        <is>
          <t>MK-CF-F-083</t>
        </is>
      </c>
      <c r="H13" t="inlineStr">
        <is>
          <t>gross a year = salary + self-employment + bonus + equity vesting + rental + other;  net a month = (gross − tax withheld − pre-tax contributions) ÷ 12</t>
        </is>
      </c>
      <c r="I1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3" t="inlineStr">
        <is>
          <t>each part → its own engine above  [NOT AN INPUT — another engine’s answer; see the dependency column]</t>
        </is>
      </c>
      <c r="K13" t="inlineStr">
        <is>
          <t>US dollars · held to the cent · shown as whole dollars  [derived by rule — confirm]</t>
        </is>
      </c>
      <c r="L13" t="inlineStr">
        <is>
          <t>A division: with nothing on the bottom there is no answer, and the line must not appear as zero. NOT YET CONFIRMED against the engine.</t>
        </is>
      </c>
      <c r="M13" t="inlineStr">
        <is>
          <t>One figure per person — or per household when two people share one record  [derived by rule — confirm]</t>
        </is>
      </c>
      <c r="N13" t="inlineStr">
        <is>
          <t>This calendar year, to today  [derived by rule — confirm]</t>
        </is>
      </c>
      <c r="O13" t="inlineStr">
        <is>
          <t>1. MK-XS-E-049 (EQUITY_THIS_YEAR) → How much equity vests this year?
2. MK-XS-E-050 (OTHER_INCOME) → What else comes in?
3. MK-XS-E-020 (READ_A_NUMBER) → What number did the person actually type?
4. MK-XS-E-051 (RENTAL_INCOME_A_YEAR) → What do the rentals net over a year?
5. MK-PL-E-007 (RETIREMENT_INCOME_NOW) → How much retirement income is arriving TODAY?
6. MK-XS-E-052 (SALARY_A_YEAR) → What is the salary for the year?
7. MK-XS-E-053 (TIPS_A_YEAR) → What do tips come to over the year?</t>
        </is>
      </c>
      <c r="P13" t="inlineStr">
        <is>
          <t>1. MK-ST-F-052 toNum → MK-CF-F-075 retirementIncomeMonthly → MK-CF-F-072 currentRetirementIncomeMonthly → MK-CF-F-083 totalGrossAnnual
2. MK-CF-F-069 benefitActiveMonths → MK-CF-F-070 benefitAnnual → MK-CF-F-071 extraIncome → MK-CF-F-083 totalGrossAnnual
3. MK-ST-F-052 toNum → MK-CF-F-070 benefitAnnual → MK-CF-F-071 extraIncome → MK-CF-F-083 totalGrossAnnual
4. MK-ST-F-055 round2 → MK-CF-F-071 extraIncome → MK-CF-F-083 totalGrossAnnual
5. MK-ST-F-052 toNum → MK-CF-F-071 extraIncome → MK-CF-F-083 totalGrossAnnual
6. MK-CF-F-132 map → MK-CF-F-067 rentalList → MK-CF-F-068 rentalNetAnnual → MK-CF-F-083 totalGrossAnnual
7. MK-ST-F-052 toNum → MK-CF-F-067 rentalList → MK-CF-F-068 rentalNetAnnual → MK-CF-F-083 totalGrossAnnual
8. MK-ST-F-052 toNum → MK-CF-F-062 equityRowValue → MK-CF-F-066 rsuAnnual → MK-CF-F-083 totalGrossAnnual
9. … and 5 more paths</t>
        </is>
      </c>
      <c r="Q13" t="inlineStr">
        <is>
          <t>1. MK-CF-F-083 — Turns a monthly figure into a year by multiplying by twelve.
2. MK-CF-F-083 — Uses today's date from the device clock, so the answer changes by itself overnight.
3. MK-CF-F-071 — Treats a year as twelve equal months.
4. MK-CF-F-068 — Turns a monthly figure into a year by multiplying by twelve.
5. MK-CF-F-066 — Leaves some rows out of the answer — check which.
6. MK-CF-F-082 — Uses today's date from the device clock, so the answer changes by itself overnight.
7. MK-CF-F-074 — Uses today's date from the device clock, so the answer changes by itself overnight.
8. MK-ST-F-055 — Multiplies by 100 — a percentage, or an option contract treated as 100 shares. Worth checking which.
9. MK-ST-F-055 — Rounds the answer to a whole number.
10. MK-CF-F-067 — Leaves some rows out of the answer — check which.
11. MK-CF-F-063 — Uses today's date from the device clock, so the answer changes by itself overnight.
12. MK-CF-F-081 — Uses today's date from the device clock, so the answer changes by itself overnight.
13. MK-CF-F-081 — Leaves some rows out of the answer — check which.
14. MK-CF-F-069 — Leaves some rows out of the answer — check which.
15. MK-CF-F-176 — If r[i] is missing it counts as zero, so nothing recorded and a real zero look the same.
16. MK-CF-F-177 — Uses today's date from the device clock, so the answer changes by itself overnight.
17. MK-CF-F-130 — If salary freq] is missing it uses 12.
18. MK-CF-F-130 — Treats a year as twelve equal months.
19. MK-CF-F-167 — Uses today's date from the device clock, so the answer changes by itself overnight.
20. MK-CF-F-165 — Uses today's date from the device clock, so the answer changes by itself overnight.</t>
        </is>
      </c>
      <c r="R13" t="inlineStr"/>
      <c r="S13" t="inlineStr"/>
      <c r="T13" t="inlineStr">
        <is>
          <t>NOT DETERMINED — no assumption recorded for this figure yet.</t>
        </is>
      </c>
      <c r="U13" t="inlineStr"/>
      <c r="V13" t="inlineStr"/>
      <c r="W13" t="inlineStr"/>
      <c r="X13" t="inlineStr"/>
      <c r="Y13" t="inlineStr">
        <is>
          <t>NOT DETERMINED</t>
        </is>
      </c>
      <c r="Z13" t="inlineStr">
        <is>
          <t>VERIFIED 2026-08-22</t>
        </is>
      </c>
      <c r="AA13"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A18 — "Treats a year as twelve equal months" fires on any division by 12, a month index included; "Treats a month as 30 days" fires on any multiplication by 30. Neither is read as arithmetic, so both carry false positives.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t="inlineStr">
        <is>
          <t>1. B17 [ONE FORMULA] — Seven figures share one formula and one function, totalGrossAnnual, which returns GROSS A YEAR and nothing else: "net a year", "Gross / year", "Net / month", and the four per-source rows (Base salary, Self-employment, Bonus, each income source). Neither net figure is what the function returns, and a single source is not the total. Six of the seven need their own formula.</t>
        </is>
      </c>
      <c r="AC13" t="inlineStr">
        <is>
          <t>HAS A FUNCTION — traceable from the screen to the code.</t>
        </is>
      </c>
      <c r="AD13" t="inlineStr"/>
      <c r="AE13" t="inlineStr">
        <is>
          <t>B17 — OPEN since 2026-08-26 — nothing has closed this. It is not known to be wrong; it is known to be unaddressed.</t>
        </is>
      </c>
      <c r="AF13" t="inlineStr">
        <is>
          <t>ACTIVE</t>
        </is>
      </c>
      <c r="AG13" t="inlineStr">
        <is>
          <t>2026-08-27</t>
        </is>
      </c>
    </row>
    <row r="14">
      <c r="A14" t="inlineStr">
        <is>
          <t>MK-MN-M-013</t>
        </is>
      </c>
      <c r="B14" t="inlineStr">
        <is>
          <t>Menu</t>
        </is>
      </c>
      <c r="C14" t="inlineStr">
        <is>
          <t>/income-detail</t>
        </is>
      </c>
      <c r="D14" t="inlineStr">
        <is>
          <t>Net / month</t>
        </is>
      </c>
      <c r="E14" t="inlineStr">
        <is>
          <t>state.net_monthly_income</t>
        </is>
      </c>
      <c r="F14" t="inlineStr">
        <is>
          <t>totalGrossAnnual</t>
        </is>
      </c>
      <c r="G14" t="inlineStr">
        <is>
          <t>MK-CF-F-083</t>
        </is>
      </c>
      <c r="H14" t="inlineStr">
        <is>
          <t>gross a year = salary + self-employment + bonus + equity vesting + rental + other;  net a month = (gross − tax withheld − pre-tax contributions) ÷ 12</t>
        </is>
      </c>
      <c r="I14"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4" t="inlineStr">
        <is>
          <t>each part → its own engine above  [NOT AN INPUT — another engine’s answer; see the dependency column]</t>
        </is>
      </c>
      <c r="K14" t="inlineStr">
        <is>
          <t>US dollars · held to the cent · shown as whole dollars  [derived by rule — confirm]</t>
        </is>
      </c>
      <c r="L14" t="inlineStr">
        <is>
          <t>A division: with nothing on the bottom there is no answer, and the line must not appear as zero. NOT YET CONFIRMED against the engine.</t>
        </is>
      </c>
      <c r="M14" t="inlineStr">
        <is>
          <t>One figure per month  [derived by rule — confirm]</t>
        </is>
      </c>
      <c r="N14" t="inlineStr">
        <is>
          <t>As of today, from the latest figures held  [derived by rule — confirm]</t>
        </is>
      </c>
      <c r="O14" t="inlineStr">
        <is>
          <t>1. MK-XS-E-049 (EQUITY_THIS_YEAR) → How much equity vests this year?
2. MK-XS-E-050 (OTHER_INCOME) → What else comes in?
3. MK-XS-E-020 (READ_A_NUMBER) → What number did the person actually type?
4. MK-XS-E-051 (RENTAL_INCOME_A_YEAR) → What do the rentals net over a year?
5. MK-PL-E-007 (RETIREMENT_INCOME_NOW) → How much retirement income is arriving TODAY?
6. MK-XS-E-052 (SALARY_A_YEAR) → What is the salary for the year?
7. MK-XS-E-053 (TIPS_A_YEAR) → What do tips come to over the year?</t>
        </is>
      </c>
      <c r="P14" t="inlineStr">
        <is>
          <t>1. MK-ST-F-052 toNum → MK-CF-F-075 retirementIncomeMonthly → MK-CF-F-072 currentRetirementIncomeMonthly → MK-CF-F-083 totalGrossAnnual
2. MK-CF-F-069 benefitActiveMonths → MK-CF-F-070 benefitAnnual → MK-CF-F-071 extraIncome → MK-CF-F-083 totalGrossAnnual
3. MK-ST-F-052 toNum → MK-CF-F-070 benefitAnnual → MK-CF-F-071 extraIncome → MK-CF-F-083 totalGrossAnnual
4. MK-ST-F-055 round2 → MK-CF-F-071 extraIncome → MK-CF-F-083 totalGrossAnnual
5. MK-ST-F-052 toNum → MK-CF-F-071 extraIncome → MK-CF-F-083 totalGrossAnnual
6. MK-CF-F-132 map → MK-CF-F-067 rentalList → MK-CF-F-068 rentalNetAnnual → MK-CF-F-083 totalGrossAnnual
7. MK-ST-F-052 toNum → MK-CF-F-067 rentalList → MK-CF-F-068 rentalNetAnnual → MK-CF-F-083 totalGrossAnnual
8. MK-ST-F-052 toNum → MK-CF-F-062 equityRowValue → MK-CF-F-066 rsuAnnual → MK-CF-F-083 totalGrossAnnual
9. … and 5 more paths</t>
        </is>
      </c>
      <c r="Q14" t="inlineStr">
        <is>
          <t>1. MK-CF-F-083 — Turns a monthly figure into a year by multiplying by twelve.
2. MK-CF-F-083 — Uses today's date from the device clock, so the answer changes by itself overnight.
3. MK-CF-F-071 — Treats a year as twelve equal months.
4. MK-CF-F-068 — Turns a monthly figure into a year by multiplying by twelve.
5. MK-CF-F-066 — Leaves some rows out of the answer — check which.
6. MK-CF-F-082 — Uses today's date from the device clock, so the answer changes by itself overnight.
7. MK-CF-F-074 — Uses today's date from the device clock, so the answer changes by itself overnight.
8. MK-ST-F-055 — Multiplies by 100 — a percentage, or an option contract treated as 100 shares. Worth checking which.
9. MK-ST-F-055 — Rounds the answer to a whole number.
10. MK-CF-F-067 — Leaves some rows out of the answer — check which.
11. MK-CF-F-063 — Uses today's date from the device clock, so the answer changes by itself overnight.
12. MK-CF-F-081 — Uses today's date from the device clock, so the answer changes by itself overnight.
13. MK-CF-F-081 — Leaves some rows out of the answer — check which.
14. MK-CF-F-069 — Leaves some rows out of the answer — check which.
15. MK-CF-F-176 — If r[i] is missing it counts as zero, so nothing recorded and a real zero look the same.
16. MK-CF-F-177 — Uses today's date from the device clock, so the answer changes by itself overnight.
17. MK-CF-F-130 — If salary freq] is missing it uses 12.
18. MK-CF-F-130 — Treats a year as twelve equal months.
19. MK-CF-F-167 — Uses today's date from the device clock, so the answer changes by itself overnight.
20. MK-CF-F-165 — Uses today's date from the device clock, so the answer changes by itself overnight.</t>
        </is>
      </c>
      <c r="R14" t="inlineStr"/>
      <c r="S14" t="inlineStr"/>
      <c r="T14" t="inlineStr">
        <is>
          <t>NOT DETERMINED — no assumption recorded for this figure yet.</t>
        </is>
      </c>
      <c r="U14" t="inlineStr"/>
      <c r="V14" t="inlineStr"/>
      <c r="W14" t="inlineStr"/>
      <c r="X14" t="inlineStr"/>
      <c r="Y14" t="inlineStr">
        <is>
          <t>NOT DETERMINED</t>
        </is>
      </c>
      <c r="Z14" t="inlineStr">
        <is>
          <t>VERIFIED 2026-08-22</t>
        </is>
      </c>
      <c r="AA14"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A18 — "Treats a year as twelve equal months" fires on any division by 12, a month index included; "Treats a month as 30 days" fires on any multiplication by 30. Neither is read as arithmetic, so both carry false positives.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t="inlineStr">
        <is>
          <t>1. B17 [ONE FORMULA] — Seven figures share one formula and one function, totalGrossAnnual, which returns GROSS A YEAR and nothing else: "net a year", "Gross / year", "Net / month", and the four per-source rows (Base salary, Self-employment, Bonus, each income source). Neither net figure is what the function returns, and a single source is not the total. Six of the seven need their own formula.</t>
        </is>
      </c>
      <c r="AC14" t="inlineStr">
        <is>
          <t>HAS A FUNCTION — traceable from the screen to the code.</t>
        </is>
      </c>
      <c r="AD14" t="inlineStr"/>
      <c r="AE14" t="inlineStr">
        <is>
          <t>B17 — OPEN since 2026-08-26 — nothing has closed this. It is not known to be wrong; it is known to be unaddressed.</t>
        </is>
      </c>
      <c r="AF14" t="inlineStr">
        <is>
          <t>ACTIVE</t>
        </is>
      </c>
      <c r="AG14" t="inlineStr">
        <is>
          <t>2026-08-27</t>
        </is>
      </c>
    </row>
    <row r="15">
      <c r="A15" t="inlineStr">
        <is>
          <t>MK-MN-M-014</t>
        </is>
      </c>
      <c r="B15" t="inlineStr">
        <is>
          <t>Menu</t>
        </is>
      </c>
      <c r="C15" t="inlineStr">
        <is>
          <t>/income-detail</t>
        </is>
      </c>
      <c r="D15" t="inlineStr">
        <is>
          <t>Employer 401(k) match</t>
        </is>
      </c>
      <c r="E15" t="inlineStr">
        <is>
          <t>state.employer_match_annual</t>
        </is>
      </c>
      <c r="F15" t="inlineStr">
        <is>
          <t>employerMatchMonthly</t>
        </is>
      </c>
      <c r="G15" t="inlineStr">
        <is>
          <t>MK-CF-F-078</t>
        </is>
      </c>
      <c r="H15" t="inlineStr">
        <is>
          <t>match a year = the employer’s stated rate × pay, capped at the stated limit</t>
        </is>
      </c>
      <c r="I15" t="inlineStr">
        <is>
          <t>Either a percentage of what the person contributes to their 401(k), or a flat monthly amount — whichever way they described it.</t>
        </is>
      </c>
      <c r="J15" t="inlineStr">
        <is>
          <t>1. the match → employerMatchValue  [NOT AN INPUT — another engine’s answer; see the dependency column]
2. percent or dollars → employerMatchMode  [MK-XS-I-046]
3. their own contribution → c_401k  [MK-XS-I-043]</t>
        </is>
      </c>
      <c r="K15" t="inlineStr">
        <is>
          <t>US dollars · held to the cent · shown as whole dollars  [derived by rule — confirm]</t>
        </is>
      </c>
      <c r="L15" t="inlineStr">
        <is>
          <t>NOT DETERMINED — this engine has not been read for its refusal yet.</t>
        </is>
      </c>
      <c r="M15" t="inlineStr">
        <is>
          <t>One figure per person — or per household when two people share one record  [derived by rule — confirm]</t>
        </is>
      </c>
      <c r="N15" t="inlineStr">
        <is>
          <t>As of today, from the latest figures held  [derived by rule — confirm]</t>
        </is>
      </c>
      <c r="O15" t="inlineStr">
        <is>
          <t>MK-XS-E-020 (READ_A_NUMBER) → What number did the person actually type?</t>
        </is>
      </c>
      <c r="P15" t="inlineStr">
        <is>
          <t>MK-CF-F-172 hasWage → MK-CF-F-173 earnerWages → MK-CF-F-175 sumOverEarners → MK-CF-F-078 employerMatchMonthly</t>
        </is>
      </c>
      <c r="Q15" t="inlineStr">
        <is>
          <t>None found anywhere in this chain</t>
        </is>
      </c>
      <c r="R15" t="inlineStr"/>
      <c r="S15" t="inlineStr"/>
      <c r="T15" t="inlineStr">
        <is>
          <t>NOT DETERMINED — no assumption recorded for this figure yet.</t>
        </is>
      </c>
      <c r="U15" t="inlineStr"/>
      <c r="V15" t="inlineStr"/>
      <c r="W15" t="inlineStr"/>
      <c r="X15" t="inlineStr"/>
      <c r="Y15" t="inlineStr">
        <is>
          <t>NOT DETERMINED</t>
        </is>
      </c>
      <c r="Z15" t="inlineStr">
        <is>
          <t>VERIFIED 2026-08-22</t>
        </is>
      </c>
      <c r="AA1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5" t="inlineStr">
        <is>
          <t>HAS A FUNCTION — traceable from the screen to the code.</t>
        </is>
      </c>
      <c r="AD15" t="inlineStr">
        <is>
          <t>B29 — Base salary — three copies of the match arithmetic, free to drift apart</t>
        </is>
      </c>
      <c r="AE15" t="inlineStr">
        <is>
          <t>B29 — OPEN since 2026-08-26 — nothing has closed this. It is not known to be wrong; it is known to be unaddressed.
B04 — OPEN since 2026-08-26 — nothing has closed this. It is not known to be wrong; it is known to be unaddressed.</t>
        </is>
      </c>
      <c r="AF15" t="inlineStr">
        <is>
          <t>ACTIVE</t>
        </is>
      </c>
      <c r="AG15" t="inlineStr">
        <is>
          <t>2026-08-27</t>
        </is>
      </c>
    </row>
    <row r="16">
      <c r="A16" t="inlineStr">
        <is>
          <t>MK-MN-M-015</t>
        </is>
      </c>
      <c r="B16" t="inlineStr">
        <is>
          <t>Menu</t>
        </is>
      </c>
      <c r="C16" t="inlineStr">
        <is>
          <t>/insights</t>
        </is>
      </c>
      <c r="D16" t="inlineStr">
        <is>
          <t>each insight and the dollars behind it</t>
        </is>
      </c>
      <c r="E16" t="inlineStr">
        <is>
          <t>shareOf(v)</t>
        </is>
      </c>
      <c r="F16" t="inlineStr">
        <is>
          <t>NOT ON RECORD — no function is recorded for this figure</t>
        </is>
      </c>
      <c r="G16" t="inlineStr"/>
      <c r="H16" t="inlineStr">
        <is>
          <t>each insight scores its own dollars at stake; the list = the highest few, ranked</t>
        </is>
      </c>
      <c r="I16" t="inlineStr">
        <is>
          <t>Works out what is worth saying today, puts a dollar amount against each, and shows the few that matter most.</t>
        </is>
      </c>
      <c r="J16" t="inlineStr">
        <is>
          <t>NOT DETERMINED — no input list on record for this engine</t>
        </is>
      </c>
      <c r="K16" t="inlineStr">
        <is>
          <t>US dollars · held to the cent · shown as whole dollars  [derived by rule — confirm]</t>
        </is>
      </c>
      <c r="L16" t="inlineStr">
        <is>
          <t>NOT DETERMINED — this engine has not been read for its refusal yet.</t>
        </is>
      </c>
      <c r="M16" t="inlineStr">
        <is>
          <t>One figure per person — or per household when two people share one record  [derived by rule — confirm]</t>
        </is>
      </c>
      <c r="N16" t="inlineStr">
        <is>
          <t>As of today, from the latest figures held  [derived by rule — confirm]</t>
        </is>
      </c>
      <c r="O16" t="inlineStr">
        <is>
          <t>NOT DETERMINED</t>
        </is>
      </c>
      <c r="P16" t="inlineStr">
        <is>
          <t>No function on record — nothing to chain</t>
        </is>
      </c>
      <c r="Q16" t="inlineStr">
        <is>
          <t>No function on record — assumptions unknown</t>
        </is>
      </c>
      <c r="R16" t="inlineStr"/>
      <c r="S16" t="inlineStr"/>
      <c r="T16" t="inlineStr">
        <is>
          <t>NOT DETERMINED — no assumption recorded for this figure yet.</t>
        </is>
      </c>
      <c r="U16" t="inlineStr">
        <is>
          <t>THE SURVIVING IDENTIFIER for this figure. Folded in: MK-HM-M-003. The insights list. Home shows the top three of the same list the Insights screen shows in full.</t>
        </is>
      </c>
      <c r="V16" t="inlineStr"/>
      <c r="W16" t="inlineStr"/>
      <c r="X16" t="inlineStr"/>
      <c r="Y16" t="inlineStr">
        <is>
          <t>NOT DETERMINED</t>
        </is>
      </c>
      <c r="Z16" t="inlineStr">
        <is>
          <t>VERIFIED 2026-08-22</t>
        </is>
      </c>
      <c r="AA16"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t="inlineStr">
        <is>
          <t>B24 [NOT COMPARABLE] — This figure names no function, so its formula cannot be checked against anything. 69 of the 163 figures are in this position — the audit covers the 94 that name one.</t>
        </is>
      </c>
      <c r="AC16"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t="inlineStr"/>
      <c r="AE16" t="inlineStr">
        <is>
          <t>No finding on this row. That is not a statement that the row is right — only that nothing has been written against it.</t>
        </is>
      </c>
      <c r="AF16" t="inlineStr">
        <is>
          <t>ACTIVE</t>
        </is>
      </c>
      <c r="AG16" t="inlineStr">
        <is>
          <t>2026-08-27</t>
        </is>
      </c>
    </row>
    <row r="17">
      <c r="A17" t="inlineStr">
        <is>
          <t>MK-MN-M-016</t>
        </is>
      </c>
      <c r="B17" t="inlineStr">
        <is>
          <t>Menu</t>
        </is>
      </c>
      <c r="C17" t="inlineStr">
        <is>
          <t>/insights</t>
        </is>
      </c>
      <c r="D17" t="inlineStr">
        <is>
          <t>Total invested · Cash total · Investable total</t>
        </is>
      </c>
      <c r="E17" t="inlineStr">
        <is>
          <t>investable / cash</t>
        </is>
      </c>
      <c r="F17" t="inlineStr">
        <is>
          <t>1. investableAssets
2. cashTotal</t>
        </is>
      </c>
      <c r="G17" t="inlineStr">
        <is>
          <t>1. MK-NW-F-022
2. MK-NW-F-016</t>
        </is>
      </c>
      <c r="H17" t="inlineStr">
        <is>
          <t>investable = cash + investments  (excludes home and belongings)</t>
        </is>
      </c>
      <c r="I17" t="inlineStr">
        <is>
          <t>Cash + investments — everything except the house and the car. Selling the roof you live under is not a plan, so physical assets are excluded by CLASS, not by tax type. · Add up the balances of every account whose class is Cash. Under the founder's 2026-08-04 rule that means checking, savings, high-yield savings and the uninvested sweep at a broker — and NOT money-market funds, which pay dividends and are measured with the investments.</t>
        </is>
      </c>
      <c r="J17" t="inlineStr">
        <is>
          <t>1. each account's class → assetClassOf  [MK-XS-I-048]
2. each account's money → balance  [MK-XS-I-001]
3. each account's class → assetClassOf  [MK-XS-I-048]
4. each account's money → balance  [MK-XS-I-001]</t>
        </is>
      </c>
      <c r="K17" t="inlineStr">
        <is>
          <t>US dollars · held to the cent · shown as whole dollars  [derived by rule — confirm]</t>
        </is>
      </c>
      <c r="L17" t="inlineStr">
        <is>
          <t>NOT DETERMINED — this engine has not been read for its refusal yet.</t>
        </is>
      </c>
      <c r="M17" t="inlineStr">
        <is>
          <t>One figure per person — or per household when two people share one record  [derived by rule — confirm]</t>
        </is>
      </c>
      <c r="N17" t="inlineStr">
        <is>
          <t>As of today, from the latest figures held  [derived by rule — confirm]</t>
        </is>
      </c>
      <c r="O17" t="inlineStr">
        <is>
          <t>1. MK-XS-E-055 (IS_PHYSICAL_ASSET) → Is this something physical you own rather than money you could spend?
2. MK-XS-E-015 (ACCOUNT_SPLIT) → This one brokerage account holds several different things — how much of it is each?
3. MK-XS-E-008 (ASSET_CLASS_OF_ACCOUNT) → What kind of thing is this account — cash, a bond, shares, or something else?</t>
        </is>
      </c>
      <c r="P17" t="inlineStr">
        <is>
          <t>1. MK-ST-F-055 round2 → MK-CF-F-155 cash → MK-NW-F-008 incomeBearingClassOf → MK-NW-F-011 assetClassOf → MK-NW-F-014 isRealAsset → MK-NW-F-022 investableAssets
2. MK-ST-F-056 has → MK-ST-F-010 nameEvidence → MK-NW-F-008 incomeBearingClassOf → MK-NW-F-011 assetClassOf → MK-NW-F-014 isRealAsset → MK-NW-F-022 investableAssets
3. MK-CF-F-132 map → MK-ST-F-010 nameEvidence → MK-NW-F-008 incomeBearingClassOf → MK-NW-F-011 assetClassOf → MK-NW-F-014 isRealAsset → MK-NW-F-022 investableAssets
4. MK-ST-F-055 round2 → MK-NW-F-066 sumWhere → MK-NW-F-022 investableAssets
5. MK-ST-F-055 round2 → MK-NW-F-015 totalAssets → MK-NW-F-022 investableAssets
6. MK-ST-F-055 round2 → MK-CF-F-155 cash → MK-NW-F-008 incomeBearingClassOf → MK-NW-F-011 assetClassOf → MK-NW-F-027 accountClassBreakdown → MK-NW-F-016 cashTotal
7. MK-ST-F-056 has → MK-ST-F-010 nameEvidence → MK-NW-F-008 incomeBearingClassOf → MK-NW-F-011 assetClassOf → MK-NW-F-027 accountClassBreakdown → MK-NW-F-016 cashTotal
8. MK-CF-F-132 map → MK-ST-F-010 nameEvidence → MK-NW-F-008 incomeBearingClassOf → MK-NW-F-011 assetClassOf → MK-NW-F-027 accountClassBreakdown → MK-NW-F-016 cashTotal
9. MK-ST-F-055 round2 → MK-CF-F-155 cash → MK-NW-F-008 incomeBearingClassOf → MK-NW-F-027 accountClassBreakdown → MK-NW-F-016 cashTotal
10. MK-ST-F-056 has → MK-ST-F-010 nameEvidence → MK-NW-F-008 incomeBearingClassOf → MK-NW-F-027 accountClassBreakdown → MK-NW-F-016 cashTotal
11. MK-CF-F-132 map → MK-ST-F-010 nameEvidence → MK-NW-F-008 incomeBearingClassOf → MK-NW-F-027 accountClassBreakdown → MK-NW-F-016 cashTotal
12. MK-ST-F-055 round2 → MK-NW-F-027 accountClassBreakdown → MK-NW-F-016 cashTotal
13. MK-ST-F-055 round2 → MK-CF-F-155 cash → MK-NW-F-008 incomeBearingClassOf → MK-NW-F-011 assetClassOf → MK-NW-F-016 cashTotal
14. … and 3 more paths</t>
        </is>
      </c>
      <c r="Q17" t="inlineStr">
        <is>
          <t>1. MK-NW-F-066 — If balance is missing it counts as zero, so nothing recorded and a real zero look the same.
2. MK-NW-F-066 — Leaves some rows out of the answer — check which.
3. MK-NW-F-015 — If balance is missing it counts as zero, so nothing recorded and a real zero look the same.
4. MK-ST-F-055 — Multiplies by 100 — a percentage, or an option contract treated as 100 shares. Worth checking which.
5. MK-ST-F-055 — Rounds the answer to a whole number.
6. MK-NW-F-016 — If balance is missing it counts as zero, so nothing recorded and a real zero look the same.
7. MK-NW-F-027 — If cash balance is missing it uses 0.
8. MK-NW-F-027 — If shares is missing it counts as zero, so nothing recorded and a real zero look the same.
9. MK-NW-F-027 — If value is missing it counts as zero, so nothing recorded and a real zero look the same.
10. MK-NW-F-027 — If balance is missing it counts as zero, so nothing recorded and a real zero look the same.</t>
        </is>
      </c>
      <c r="R17" t="inlineStr">
        <is>
          <t>DECIDES what counts as cash — and deliberately excludes money-market funds.</t>
        </is>
      </c>
      <c r="S17" t="inlineStr">
        <is>
          <t>Money-market funds are deliberately NOT counted as cash. Any institution that reports a sweep as a fund will therefore land in investments — worth watching per provider.</t>
        </is>
      </c>
      <c r="T17" t="inlineStr">
        <is>
          <t>[Founder] Cash means checking, savings, high-yield savings and the uninvested sweep at a broker. Money-market funds are investments, because they pay dividends and are measured with the investments (founder, 2026-08-04).</t>
        </is>
      </c>
      <c r="U17" t="inlineStr"/>
      <c r="V17" t="inlineStr"/>
      <c r="W17" t="inlineStr"/>
      <c r="X17" t="inlineStr"/>
      <c r="Y17" t="inlineStr">
        <is>
          <t>NOT DETERMINED</t>
        </is>
      </c>
      <c r="Z17" t="inlineStr">
        <is>
          <t>VERIFIED 2026-08-22</t>
        </is>
      </c>
      <c r="AA17"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t="inlineStr">
        <is>
          <t>AGREES — the figure's arithmetic and the arithmetic of the function it names say the same thing. Checked 2026-08-26.</t>
        </is>
      </c>
      <c r="AC17" t="inlineStr">
        <is>
          <t>HAS A FUNCTION — traceable from the screen to the code.</t>
        </is>
      </c>
      <c r="AD17" t="inlineStr"/>
      <c r="AE17" t="inlineStr">
        <is>
          <t>No finding on this row. That is not a statement that the row is right — only that nothing has been written against it.</t>
        </is>
      </c>
      <c r="AF17" t="inlineStr">
        <is>
          <t>ACTIVE</t>
        </is>
      </c>
      <c r="AG17" t="inlineStr">
        <is>
          <t>2026-08-27</t>
        </is>
      </c>
    </row>
    <row r="18">
      <c r="A18" t="inlineStr">
        <is>
          <t>MK-MN-M-017</t>
        </is>
      </c>
      <c r="B18" t="inlineStr">
        <is>
          <t>Menu</t>
        </is>
      </c>
      <c r="C18" t="inlineStr">
        <is>
          <t>/insurance</t>
        </is>
      </c>
      <c r="D18" t="inlineStr">
        <is>
          <t>the life-cover gap</t>
        </is>
      </c>
      <c r="E18" t="inlineStr">
        <is>
          <t>need.gap</t>
        </is>
      </c>
      <c r="F18" t="inlineStr">
        <is>
          <t>NOT ON RECORD — no function is recorded for this figure</t>
        </is>
      </c>
      <c r="G18" t="inlineStr"/>
      <c r="H18" t="inlineStr">
        <is>
          <t>need = income to replace × years + debts + goals + final expenses;  gap = need − cover already held</t>
        </is>
      </c>
      <c r="I18" t="inlineStr">
        <is>
          <t>Adds the income that would need replacing for the chosen number of years to debts, goals and final expenses, then subtracts cover already held.</t>
        </is>
      </c>
      <c r="J18" t="inlineStr">
        <is>
          <t>NOT DETERMINED — no input list on record for this engine</t>
        </is>
      </c>
      <c r="K18" t="inlineStr">
        <is>
          <t>US dollars · held to the cent · shown as whole dollars  [derived by rule — confirm]</t>
        </is>
      </c>
      <c r="L18" t="inlineStr">
        <is>
          <t>NOT DETERMINED — this engine has not been read for its refusal yet.</t>
        </is>
      </c>
      <c r="M18" t="inlineStr">
        <is>
          <t>One figure per person — or per household when two people share one record  [derived by rule — confirm]</t>
        </is>
      </c>
      <c r="N18" t="inlineStr">
        <is>
          <t>As of today, from the latest figures held  [derived by rule — confirm]</t>
        </is>
      </c>
      <c r="O18" t="inlineStr">
        <is>
          <t>NOT DETERMINED</t>
        </is>
      </c>
      <c r="P18" t="inlineStr">
        <is>
          <t>No function on record — nothing to chain</t>
        </is>
      </c>
      <c r="Q18" t="inlineStr">
        <is>
          <t>No function on record — assumptions unknown</t>
        </is>
      </c>
      <c r="R18" t="inlineStr"/>
      <c r="S18" t="inlineStr"/>
      <c r="T18" t="inlineStr">
        <is>
          <t>NOT DETERMINED — no assumption recorded for this figure yet.</t>
        </is>
      </c>
      <c r="U18" t="inlineStr"/>
      <c r="V18" t="inlineStr">
        <is>
          <t>Q25 — How many years of income should the default life-cover estimate replace, and does it assume the mortgage is cleared?</t>
        </is>
      </c>
      <c r="W18" t="inlineStr"/>
      <c r="X18" t="inlineStr"/>
      <c r="Y18" t="inlineStr">
        <is>
          <t>NOT DETERMINED</t>
        </is>
      </c>
      <c r="Z18" t="inlineStr">
        <is>
          <t>VERIFIED 2026-08-22</t>
        </is>
      </c>
      <c r="AA18"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t="inlineStr">
        <is>
          <t>B24 [NOT COMPARABLE] — This figure names no function, so its formula cannot be checked against anything. 69 of the 163 figures are in this position — the audit covers the 94 that name one.</t>
        </is>
      </c>
      <c r="AC18"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8" t="inlineStr"/>
      <c r="AE18" t="inlineStr">
        <is>
          <t>No finding on this row. That is not a statement that the row is right — only that nothing has been written against it.</t>
        </is>
      </c>
      <c r="AF18" t="inlineStr">
        <is>
          <t>ACTIVE</t>
        </is>
      </c>
      <c r="AG18" t="inlineStr">
        <is>
          <t>2026-08-27</t>
        </is>
      </c>
    </row>
    <row r="19">
      <c r="A19" t="inlineStr">
        <is>
          <t>MK-MN-M-018</t>
        </is>
      </c>
      <c r="B19" t="inlineStr">
        <is>
          <t>Menu</t>
        </is>
      </c>
      <c r="C19" t="inlineStr">
        <is>
          <t>/insurance</t>
        </is>
      </c>
      <c r="D19" t="inlineStr">
        <is>
          <t>Income replacement (N yrs)</t>
        </is>
      </c>
      <c r="E19" t="inlineStr">
        <is>
          <t>need.incomeReplacement</t>
        </is>
      </c>
      <c r="F19" t="inlineStr">
        <is>
          <t>NOT ON RECORD — no function is recorded for this figure</t>
        </is>
      </c>
      <c r="G19" t="inlineStr"/>
      <c r="H19" t="inlineStr">
        <is>
          <t>need = income to replace × years + debts + goals + final expenses;  gap = need − cover already held</t>
        </is>
      </c>
      <c r="I19" t="inlineStr">
        <is>
          <t>Adds the income that would need replacing for the chosen number of years to debts, goals and final expenses, then subtracts cover already held.</t>
        </is>
      </c>
      <c r="J19" t="inlineStr">
        <is>
          <t>NOT DETERMINED — no input list on record for this engine</t>
        </is>
      </c>
      <c r="K19" t="inlineStr">
        <is>
          <t>US dollars · held to the cent · shown as whole dollars  [derived by rule — confirm]</t>
        </is>
      </c>
      <c r="L19" t="inlineStr">
        <is>
          <t>NOT DETERMINED — this engine has not been read for its refusal yet.</t>
        </is>
      </c>
      <c r="M19" t="inlineStr">
        <is>
          <t>One figure per person — or per household when two people share one record  [derived by rule — confirm]</t>
        </is>
      </c>
      <c r="N19" t="inlineStr">
        <is>
          <t>As of today, from the latest figures held  [derived by rule — confirm]</t>
        </is>
      </c>
      <c r="O19" t="inlineStr">
        <is>
          <t>NOT DETERMINED</t>
        </is>
      </c>
      <c r="P19" t="inlineStr">
        <is>
          <t>No function on record — nothing to chain</t>
        </is>
      </c>
      <c r="Q19" t="inlineStr">
        <is>
          <t>No function on record — assumptions unknown</t>
        </is>
      </c>
      <c r="R19" t="inlineStr"/>
      <c r="S19" t="inlineStr"/>
      <c r="T19" t="inlineStr">
        <is>
          <t>NOT DETERMINED — no assumption recorded for this figure yet.</t>
        </is>
      </c>
      <c r="U19" t="inlineStr"/>
      <c r="V19" t="inlineStr"/>
      <c r="W19" t="inlineStr"/>
      <c r="X19" t="inlineStr"/>
      <c r="Y19" t="inlineStr">
        <is>
          <t>NOT DETERMINED</t>
        </is>
      </c>
      <c r="Z19" t="inlineStr">
        <is>
          <t>VERIFIED 2026-08-22</t>
        </is>
      </c>
      <c r="AA1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t="inlineStr">
        <is>
          <t>B24 [NOT COMPARABLE] — This figure names no function, so its formula cannot be checked against anything. 69 of the 163 figures are in this position — the audit covers the 94 that name one.</t>
        </is>
      </c>
      <c r="AC19"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9" t="inlineStr"/>
      <c r="AE19" t="inlineStr">
        <is>
          <t>No finding on this row. That is not a statement that the row is right — only that nothing has been written against it.</t>
        </is>
      </c>
      <c r="AF19" t="inlineStr">
        <is>
          <t>ACTIVE</t>
        </is>
      </c>
      <c r="AG19" t="inlineStr">
        <is>
          <t>2026-08-27</t>
        </is>
      </c>
    </row>
    <row r="20">
      <c r="A20" t="inlineStr">
        <is>
          <t>MK-MN-M-019</t>
        </is>
      </c>
      <c r="B20" t="inlineStr">
        <is>
          <t>Menu</t>
        </is>
      </c>
      <c r="C20" t="inlineStr">
        <is>
          <t>/insurance</t>
        </is>
      </c>
      <c r="D20" t="inlineStr">
        <is>
          <t>+ Debts, goals &amp; final expenses · Total need</t>
        </is>
      </c>
      <c r="E20" t="inlineStr">
        <is>
          <t>need.total</t>
        </is>
      </c>
      <c r="F20" t="inlineStr">
        <is>
          <t>NOT ON RECORD — no function is recorded for this figure</t>
        </is>
      </c>
      <c r="G20" t="inlineStr"/>
      <c r="H20" t="inlineStr">
        <is>
          <t>need = income to replace × years + debts + goals + final expenses;  gap = need − cover already held</t>
        </is>
      </c>
      <c r="I20" t="inlineStr">
        <is>
          <t>Adds the income that would need replacing for the chosen number of years to debts, goals and final expenses, then subtracts cover already held.</t>
        </is>
      </c>
      <c r="J20" t="inlineStr">
        <is>
          <t>NOT DETERMINED — no input list on record for this engine</t>
        </is>
      </c>
      <c r="K20" t="inlineStr">
        <is>
          <t>US dollars · held to the cent · shown as whole dollars  [derived by rule — confirm]</t>
        </is>
      </c>
      <c r="L20" t="inlineStr">
        <is>
          <t>NOT DETERMINED — this engine has not been read for its refusal yet.</t>
        </is>
      </c>
      <c r="M20" t="inlineStr">
        <is>
          <t>One figure per debt, and one total per person  [derived by rule — confirm]</t>
        </is>
      </c>
      <c r="N20" t="inlineStr">
        <is>
          <t>As of today, from the latest figures held  [derived by rule — confirm]</t>
        </is>
      </c>
      <c r="O20" t="inlineStr">
        <is>
          <t>NOT DETERMINED</t>
        </is>
      </c>
      <c r="P20" t="inlineStr">
        <is>
          <t>No function on record — nothing to chain</t>
        </is>
      </c>
      <c r="Q20" t="inlineStr">
        <is>
          <t>No function on record — assumptions unknown</t>
        </is>
      </c>
      <c r="R20" t="inlineStr"/>
      <c r="S20" t="inlineStr"/>
      <c r="T20" t="inlineStr">
        <is>
          <t>NOT DETERMINED — no assumption recorded for this figure yet.</t>
        </is>
      </c>
      <c r="U20" t="inlineStr"/>
      <c r="V20" t="inlineStr"/>
      <c r="W20" t="inlineStr"/>
      <c r="X20" t="inlineStr"/>
      <c r="Y20" t="inlineStr">
        <is>
          <t>NOT DETERMINED</t>
        </is>
      </c>
      <c r="Z20" t="inlineStr">
        <is>
          <t>VERIFIED 2026-08-22</t>
        </is>
      </c>
      <c r="AA2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t="inlineStr">
        <is>
          <t>B24 [NOT COMPARABLE] — This figure names no function, so its formula cannot be checked against anything. 69 of the 163 figures are in this position — the audit covers the 94 that name one.</t>
        </is>
      </c>
      <c r="AC20"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0" t="inlineStr"/>
      <c r="AE20" t="inlineStr">
        <is>
          <t>No finding on this row. That is not a statement that the row is right — only that nothing has been written against it.</t>
        </is>
      </c>
      <c r="AF20" t="inlineStr">
        <is>
          <t>ACTIVE</t>
        </is>
      </c>
      <c r="AG20" t="inlineStr">
        <is>
          <t>2026-08-27</t>
        </is>
      </c>
    </row>
    <row r="21">
      <c r="A21" t="inlineStr">
        <is>
          <t>MK-MN-M-020</t>
        </is>
      </c>
      <c r="B21" t="inlineStr">
        <is>
          <t>Menu</t>
        </is>
      </c>
      <c r="C21" t="inlineStr">
        <is>
          <t>/jobsafety</t>
        </is>
      </c>
      <c r="D21" t="inlineStr">
        <is>
          <t>N months of essentials is $X ($Y/mo)</t>
        </is>
      </c>
      <c r="E21" t="inlineStr">
        <is>
          <t>target / ess</t>
        </is>
      </c>
      <c r="F21" t="inlineStr">
        <is>
          <t>NOT ON RECORD — no function is recorded for this figure</t>
        </is>
      </c>
      <c r="G21" t="inlineStr"/>
      <c r="H21" t="inlineStr">
        <is>
          <t>runway in months = cash ÷ essentials a month;  target = months wanted × essentials a month</t>
        </is>
      </c>
      <c r="I21" t="inlineStr">
        <is>
          <t>How many months of essential bills the cash on hand would cover with no pay coming in.</t>
        </is>
      </c>
      <c r="J21" t="inlineStr">
        <is>
          <t>NOT DETERMINED — no input list on record for this engine</t>
        </is>
      </c>
      <c r="K21" t="inlineStr">
        <is>
          <t>Months · one decimal  [derived by rule — confirm]</t>
        </is>
      </c>
      <c r="L21" t="inlineStr">
        <is>
          <t>A division: with nothing on the bottom there is no answer, and the line must not appear as zero. NOT YET CONFIRMED against the engine.</t>
        </is>
      </c>
      <c r="M21" t="inlineStr">
        <is>
          <t>One figure per month  [derived by rule — confirm]</t>
        </is>
      </c>
      <c r="N21" t="inlineStr">
        <is>
          <t>As of today, from the latest figures held  [derived by rule — confirm]</t>
        </is>
      </c>
      <c r="O21" t="inlineStr">
        <is>
          <t>NOT DETERMINED</t>
        </is>
      </c>
      <c r="P21" t="inlineStr">
        <is>
          <t>No function on record — nothing to chain</t>
        </is>
      </c>
      <c r="Q21" t="inlineStr">
        <is>
          <t>No function on record — assumptions unknown</t>
        </is>
      </c>
      <c r="R21" t="inlineStr"/>
      <c r="S21" t="inlineStr"/>
      <c r="T21" t="inlineStr">
        <is>
          <t>NOT DETERMINED — no assumption recorded for this figure yet.</t>
        </is>
      </c>
      <c r="U21" t="inlineStr"/>
      <c r="V21" t="inlineStr">
        <is>
          <t>Q28 — How many months of essentials should the app treat as safe by default — and is that number yours to set per person, or one figure for everyone?</t>
        </is>
      </c>
      <c r="W21" t="inlineStr"/>
      <c r="X21" t="inlineStr"/>
      <c r="Y21" t="inlineStr">
        <is>
          <t>NOT DETERMINED</t>
        </is>
      </c>
      <c r="Z21" t="inlineStr">
        <is>
          <t>VERIFIED 2026-08-22</t>
        </is>
      </c>
      <c r="AA21"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t="inlineStr">
        <is>
          <t>B24 [NOT COMPARABLE] — This figure names no function, so its formula cannot be checked against anything. 69 of the 163 figures are in this position — the audit covers the 94 that name one.</t>
        </is>
      </c>
      <c r="AC21"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t="inlineStr"/>
      <c r="AE21" t="inlineStr">
        <is>
          <t>No finding on this row. That is not a statement that the row is right — only that nothing has been written against it.</t>
        </is>
      </c>
      <c r="AF21" t="inlineStr">
        <is>
          <t>ACTIVE</t>
        </is>
      </c>
      <c r="AG21" t="inlineStr">
        <is>
          <t>2026-08-27</t>
        </is>
      </c>
    </row>
    <row r="22">
      <c r="A22" t="inlineStr">
        <is>
          <t>MK-MN-M-021</t>
        </is>
      </c>
      <c r="B22" t="inlineStr">
        <is>
          <t>Menu</t>
        </is>
      </c>
      <c r="C22" t="inlineStr">
        <is>
          <t>/jobsafety</t>
        </is>
      </c>
      <c r="D22" t="inlineStr">
        <is>
          <t>Using $X/mo from your logged spending</t>
        </is>
      </c>
      <c r="E22" t="inlineStr">
        <is>
          <t>monthSpend</t>
        </is>
      </c>
      <c r="F22" t="inlineStr">
        <is>
          <t>spendBuckets</t>
        </is>
      </c>
      <c r="G22" t="inlineStr">
        <is>
          <t>MK-CF-F-004</t>
        </is>
      </c>
      <c r="H22" t="inlineStr">
        <is>
          <t>spent in a bucket = Σ(expenses this month in that bucket);  debt payments are excluded</t>
        </is>
      </c>
      <c r="I22" t="inlineStr">
        <is>
          <t>If the person answered category by category, total each category into its bucket. If they gave three summary figures instead, use those. Nothing answered is zero — never a guessed household average, which would put a number in their plan that nobody chose.</t>
        </is>
      </c>
      <c r="J22" t="inlineStr">
        <is>
          <t>1. the categories → spendCats  [MK-XS-I-032]
2. or the three summary figures → b_fixed, b_nonmonthly, b_flexible  [NOT AN INPUT — another engine’s answer; see the dependency column]</t>
        </is>
      </c>
      <c r="K22" t="inlineStr">
        <is>
          <t>US dollars · held to the cent · shown as whole dollars  [derived by rule — confirm]</t>
        </is>
      </c>
      <c r="L22" t="inlineStr">
        <is>
          <t>Adds up to $0 when there is nothing to add. Zero and "nothing recorded yet" look identical on screen — worth a decision.</t>
        </is>
      </c>
      <c r="M22" t="inlineStr">
        <is>
          <t>One figure per person — or per household when two people share one record  [derived by rule — confirm]</t>
        </is>
      </c>
      <c r="N22" t="inlineStr">
        <is>
          <t>As of today, from the latest figures held  [derived by rule — confirm]</t>
        </is>
      </c>
      <c r="O22" t="inlineStr">
        <is>
          <t>MK-XS-E-020 (READ_A_NUMBER) → What number did the person actually type?</t>
        </is>
      </c>
      <c r="P22"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MK-ST-F-055 round2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Q22" t="inlineStr">
        <is>
          <t>1. MK-CF-F-003 — Treats a year as twelve equal months.
2. MK-CF-F-003 — Turns a monthly figure into a year by multiplying by twelve.
3. MK-ST-F-055 — Multiplies by 100 — a percentage, or an option contract treated as 100 shares. Worth checking which.
4. MK-ST-F-055 — Rounds the answer to a whole number.
5. MK-CF-F-120 — Treats a year as twelve equal months.
6. MK-CF-F-092 — Treats a year as twelve equal months.
7. MK-CF-F-092 — Uses today's date from the device clock, so the answer changes by itself overnight.
8. MK-CF-F-069 — Leaves some rows out of the answer — check which.
9. MK-CF-F-065 — Uses a built-in total v of 0.
10. MK-CF-F-071 — Treats a year as twelve equal months.
11. MK-CF-F-087 — Uses today's date from the device clock, so the answer changes by itself overnight.
12. MK-CF-F-181 — Turns a monthly figure into a year by multiplying by twelve.
13. MK-CF-F-181 — Multiplies by 100 — a percentage, or an option contract treated as 100 shares. Worth checking which.
14. MK-CF-F-181 — Rounds the answer to a whole number.
15. MK-CF-F-068 — Turns a monthly figure into a year by multiplying by twelve.
16. MK-CF-F-066 — Leaves some rows out of the answer — check which.
17. MK-CF-F-077 — Uses a built-in i of 0.
18. MK-CF-F-077 — Treats a year as twelve equal months.
19. MK-CF-F-088 — Treats a year as twelve equal months.
20. MK-CF-F-088 — Uses today's date from the device clock, so the answer changes by itself overnight.
21. MK-CF-F-089 — Uses today's date from the device clock, so the answer changes by itself overnight.
22. MK-CF-F-180 — Uses a built-in total of 0.
23. MK-CF-F-082 — Uses today's date from the device clock, so the answer changes by itself overnight.
24. MK-CF-F-084 — Turns a monthly figure into a year by multiplying by twelve.
25. MK-CF-F-084 — Uses today's date from the device clock, so the answer changes by itself overnight.
… and 11 more, on the functions tab</t>
        </is>
      </c>
      <c r="R22" t="inlineStr"/>
      <c r="S22" t="inlineStr"/>
      <c r="T22" t="inlineStr">
        <is>
          <t>NOT DETERMINED — no assumption recorded for this figure yet.</t>
        </is>
      </c>
      <c r="U22" t="inlineStr"/>
      <c r="V22" t="inlineStr"/>
      <c r="W22" t="inlineStr"/>
      <c r="X22" t="inlineStr"/>
      <c r="Y22" t="inlineStr">
        <is>
          <t>NOT DETERMINED</t>
        </is>
      </c>
      <c r="Z22" t="inlineStr">
        <is>
          <t>VERIFIED 2026-08-22</t>
        </is>
      </c>
      <c r="AA22"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A17 — "Uses a built-in i of 0", on 11 functions, is the loop counter — let i = 0.
4. A18 — "Treats a year as twelve equal months" fires on any division by 12, a month index included; "Treats a month as 30 days" fires on any multiplication by 30. Neither is read as arithmetic, so both carry false positives.
5.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t="inlineStr">
        <is>
          <t>1.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spending" on screen, which makes it a wrong word in front of the person as well as a wrong number. This is the same class as bug B-24.</t>
        </is>
      </c>
      <c r="AC22" t="inlineStr">
        <is>
          <t>HAS A FUNCTION — traceable from the screen to the code.</t>
        </is>
      </c>
      <c r="AD22" t="inlineStr"/>
      <c r="AE22" t="inlineStr">
        <is>
          <t>B02 — NOT A DEFECT 2026-08-26</t>
        </is>
      </c>
      <c r="AF22" t="inlineStr">
        <is>
          <t>ACTIVE</t>
        </is>
      </c>
      <c r="AG22" t="inlineStr">
        <is>
          <t>2026-08-27</t>
        </is>
      </c>
    </row>
    <row r="23">
      <c r="A23" t="inlineStr">
        <is>
          <t>MK-MN-M-022</t>
        </is>
      </c>
      <c r="B23" t="inlineStr">
        <is>
          <t>Menu</t>
        </is>
      </c>
      <c r="C23" t="inlineStr">
        <is>
          <t>/other-investments</t>
        </is>
      </c>
      <c r="D23" t="inlineStr">
        <is>
          <t>the total value of these investments</t>
        </is>
      </c>
      <c r="E23" t="inlineStr">
        <is>
          <t>summary.totalValue</t>
        </is>
      </c>
      <c r="F23" t="inlineStr">
        <is>
          <t>NOT ON RECORD — no function is recorded for this figure</t>
        </is>
      </c>
      <c r="G23" t="inlineStr"/>
      <c r="H23" t="inlineStr">
        <is>
          <t>total = Σ(recorded value of each alternative holding)</t>
        </is>
      </c>
      <c r="I23" t="inlineStr">
        <is>
          <t>Adds up the recorded value of every alternative holding — the things with no market price of their own.</t>
        </is>
      </c>
      <c r="J23" t="inlineStr">
        <is>
          <t>NOT DETERMINED — no input list on record for this engine</t>
        </is>
      </c>
      <c r="K23" t="inlineStr">
        <is>
          <t>US dollars · held to the cent · shown as whole dollars  [derived by rule — confirm]</t>
        </is>
      </c>
      <c r="L23" t="inlineStr">
        <is>
          <t>Adds up to $0 when there is nothing to add. Zero and "nothing recorded yet" look identical on screen — worth a decision.</t>
        </is>
      </c>
      <c r="M23" t="inlineStr">
        <is>
          <t>One figure per person — or per household when two people share one record  [derived by rule — confirm]</t>
        </is>
      </c>
      <c r="N23" t="inlineStr">
        <is>
          <t>As of today, from the latest figures held  [derived by rule — confirm]</t>
        </is>
      </c>
      <c r="O23" t="inlineStr">
        <is>
          <t>NOT DETERMINED</t>
        </is>
      </c>
      <c r="P23" t="inlineStr">
        <is>
          <t>No function on record — nothing to chain</t>
        </is>
      </c>
      <c r="Q23" t="inlineStr">
        <is>
          <t>No function on record — assumptions unknown</t>
        </is>
      </c>
      <c r="R23" t="inlineStr"/>
      <c r="S23" t="inlineStr"/>
      <c r="T23" t="inlineStr">
        <is>
          <t>NOT DETERMINED — no assumption recorded for this figure yet.</t>
        </is>
      </c>
      <c r="U23" t="inlineStr"/>
      <c r="V23" t="inlineStr"/>
      <c r="W23" t="inlineStr"/>
      <c r="X23" t="inlineStr"/>
      <c r="Y23" t="inlineStr">
        <is>
          <t>NOT DETERMINED</t>
        </is>
      </c>
      <c r="Z23" t="inlineStr">
        <is>
          <t>VERIFIED 2026-08-22</t>
        </is>
      </c>
      <c r="AA2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t="inlineStr">
        <is>
          <t>B24 [NOT COMPARABLE] — This figure names no function, so its formula cannot be checked against anything. 69 of the 163 figures are in this position — the audit covers the 94 that name one.</t>
        </is>
      </c>
      <c r="AC2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3" t="inlineStr"/>
      <c r="AE23" t="inlineStr">
        <is>
          <t>No finding on this row. That is not a statement that the row is right — only that nothing has been written against it.</t>
        </is>
      </c>
      <c r="AF23" t="inlineStr">
        <is>
          <t>ACTIVE</t>
        </is>
      </c>
      <c r="AG23" t="inlineStr">
        <is>
          <t>2026-08-27</t>
        </is>
      </c>
    </row>
    <row r="24">
      <c r="A24" t="inlineStr">
        <is>
          <t>MK-MN-M-023</t>
        </is>
      </c>
      <c r="B24" t="inlineStr">
        <is>
          <t>Menu</t>
        </is>
      </c>
      <c r="C24" t="inlineStr">
        <is>
          <t>/other-investments</t>
        </is>
      </c>
      <c r="D24" t="inlineStr">
        <is>
          <t>EST. GROWTH / YR</t>
        </is>
      </c>
      <c r="E24" t="inlineStr">
        <is>
          <t>summary.growth</t>
        </is>
      </c>
      <c r="F24" t="inlineStr">
        <is>
          <t>NOT ON RECORD — no function is recorded for this figure</t>
        </is>
      </c>
      <c r="G24" t="inlineStr"/>
      <c r="H24" t="inlineStr">
        <is>
          <t>estimated growth a year = Σ(value × its stated growth rate)</t>
        </is>
      </c>
      <c r="I24" t="inlineStr">
        <is>
          <t>Applies each alternative holding's own stated growth rate to its value and adds the results. An estimate, and labelled as one.</t>
        </is>
      </c>
      <c r="J24" t="inlineStr">
        <is>
          <t>NOT DETERMINED — no input list on record for this engine</t>
        </is>
      </c>
      <c r="K24" t="inlineStr">
        <is>
          <t>US dollars · held to the cent · shown as whole dollars  [derived by rule — confirm]</t>
        </is>
      </c>
      <c r="L24" t="inlineStr">
        <is>
          <t>Adds up to $0 when there is nothing to add. Zero and "nothing recorded yet" look identical on screen — worth a decision.</t>
        </is>
      </c>
      <c r="M24" t="inlineStr">
        <is>
          <t>One figure per person — or per household when two people share one record  [derived by rule — confirm]</t>
        </is>
      </c>
      <c r="N24" t="inlineStr">
        <is>
          <t>As of today, from the latest figures held  [derived by rule — confirm]</t>
        </is>
      </c>
      <c r="O24" t="inlineStr">
        <is>
          <t>NOT DETERMINED</t>
        </is>
      </c>
      <c r="P24" t="inlineStr">
        <is>
          <t>No function on record — nothing to chain</t>
        </is>
      </c>
      <c r="Q24" t="inlineStr">
        <is>
          <t>No function on record — assumptions unknown</t>
        </is>
      </c>
      <c r="R24" t="inlineStr"/>
      <c r="S24" t="inlineStr"/>
      <c r="T24" t="inlineStr">
        <is>
          <t>NOT DETERMINED — no assumption recorded for this figure yet.</t>
        </is>
      </c>
      <c r="U24" t="inlineStr"/>
      <c r="V24" t="inlineStr"/>
      <c r="W24" t="inlineStr"/>
      <c r="X24" t="inlineStr"/>
      <c r="Y24" t="inlineStr">
        <is>
          <t>NOT DETERMINED</t>
        </is>
      </c>
      <c r="Z24" t="inlineStr">
        <is>
          <t>VERIFIED 2026-08-22</t>
        </is>
      </c>
      <c r="AA2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t="inlineStr">
        <is>
          <t>B24 [NOT COMPARABLE] — This figure names no function, so its formula cannot be checked against anything. 69 of the 163 figures are in this position — the audit covers the 94 that name one.</t>
        </is>
      </c>
      <c r="AC24"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t="inlineStr"/>
      <c r="AE24" t="inlineStr">
        <is>
          <t>No finding on this row. That is not a statement that the row is right — only that nothing has been written against it.</t>
        </is>
      </c>
      <c r="AF24" t="inlineStr">
        <is>
          <t>ACTIVE</t>
        </is>
      </c>
      <c r="AG24" t="inlineStr">
        <is>
          <t>2026-08-27</t>
        </is>
      </c>
    </row>
    <row r="25">
      <c r="A25" t="inlineStr">
        <is>
          <t>MK-MN-M-024</t>
        </is>
      </c>
      <c r="B25" t="inlineStr">
        <is>
          <t>Menu</t>
        </is>
      </c>
      <c r="C25" t="inlineStr">
        <is>
          <t>/stress-test</t>
        </is>
      </c>
      <c r="D25" t="inlineStr">
        <is>
          <t>You could cover a $X hit</t>
        </is>
      </c>
      <c r="E25" t="inlineStr">
        <is>
          <t>shock</t>
        </is>
      </c>
      <c r="F25" t="inlineStr">
        <is>
          <t>NOT ON RECORD — no function is recorded for this figure</t>
        </is>
      </c>
      <c r="G25" t="inlineStr"/>
      <c r="H25" t="inlineStr">
        <is>
          <t>cash after = cash − the shock;  runway after = cash after ÷ essentials a month</t>
        </is>
      </c>
      <c r="I25" t="inlineStr">
        <is>
          <t>Takes a one-off hit out of the cash on hand and shows what would be left and how many months of essentials it would cover.</t>
        </is>
      </c>
      <c r="J25" t="inlineStr">
        <is>
          <t>NOT DETERMINED — no input list on record for this engine</t>
        </is>
      </c>
      <c r="K25" t="inlineStr">
        <is>
          <t>US dollars · held to the cent · shown as whole dollars  [derived by rule — confirm]</t>
        </is>
      </c>
      <c r="L25" t="inlineStr">
        <is>
          <t>Adds up to $0 when there is nothing to add. Zero and "nothing recorded yet" look identical on screen — worth a decision.</t>
        </is>
      </c>
      <c r="M25" t="inlineStr">
        <is>
          <t>One figure per person — or per household when two people share one record  [derived by rule — confirm]</t>
        </is>
      </c>
      <c r="N25" t="inlineStr">
        <is>
          <t>As of today, from the latest figures held  [derived by rule — confirm]</t>
        </is>
      </c>
      <c r="O25" t="inlineStr">
        <is>
          <t>NOT DETERMINED</t>
        </is>
      </c>
      <c r="P25" t="inlineStr">
        <is>
          <t>No function on record — nothing to chain</t>
        </is>
      </c>
      <c r="Q25" t="inlineStr">
        <is>
          <t>No function on record — assumptions unknown</t>
        </is>
      </c>
      <c r="R25" t="inlineStr"/>
      <c r="S25" t="inlineStr"/>
      <c r="T25" t="inlineStr">
        <is>
          <t>NOT DETERMINED — no assumption recorded for this figure yet.</t>
        </is>
      </c>
      <c r="U25" t="inlineStr"/>
      <c r="V25" t="inlineStr">
        <is>
          <t>Q29 — What size of shock should the test use by default, and should it be a fixed dollar figure or a share of the person's spending?</t>
        </is>
      </c>
      <c r="W25" t="inlineStr"/>
      <c r="X25" t="inlineStr"/>
      <c r="Y25" t="inlineStr">
        <is>
          <t>NOT DETERMINED</t>
        </is>
      </c>
      <c r="Z25" t="inlineStr">
        <is>
          <t>VERIFIED 2026-08-22</t>
        </is>
      </c>
      <c r="AA2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t="inlineStr">
        <is>
          <t>B24 [NOT COMPARABLE] — This figure names no function, so its formula cannot be checked against anything. 69 of the 163 figures are in this position — the audit covers the 94 that name one.</t>
        </is>
      </c>
      <c r="AC25"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t="inlineStr"/>
      <c r="AE25" t="inlineStr">
        <is>
          <t>No finding on this row. That is not a statement that the row is right — only that nothing has been written against it.</t>
        </is>
      </c>
      <c r="AF25" t="inlineStr">
        <is>
          <t>ACTIVE</t>
        </is>
      </c>
      <c r="AG25" t="inlineStr">
        <is>
          <t>2026-08-27</t>
        </is>
      </c>
    </row>
    <row r="26">
      <c r="A26" t="inlineStr">
        <is>
          <t>MK-MN-M-025</t>
        </is>
      </c>
      <c r="B26" t="inlineStr">
        <is>
          <t>Menu</t>
        </is>
      </c>
      <c r="C26" t="inlineStr">
        <is>
          <t>/stress-test</t>
        </is>
      </c>
      <c r="D26" t="inlineStr">
        <is>
          <t>You'd have $X left — about N months of essentials</t>
        </is>
      </c>
      <c r="E26" t="inlineStr">
        <is>
          <t>r.cashAfter / r.runwayAfter</t>
        </is>
      </c>
      <c r="F26" t="inlineStr">
        <is>
          <t>NOT ON RECORD — no function is recorded for this figure</t>
        </is>
      </c>
      <c r="G26" t="inlineStr"/>
      <c r="H26" t="inlineStr">
        <is>
          <t>cash after = cash − the shock;  runway after = cash after ÷ essentials a month</t>
        </is>
      </c>
      <c r="I26" t="inlineStr">
        <is>
          <t>Takes a one-off hit out of the cash on hand and shows what would be left and how many months of essentials it would cover.</t>
        </is>
      </c>
      <c r="J26" t="inlineStr">
        <is>
          <t>NOT DETERMINED — no input list on record for this engine</t>
        </is>
      </c>
      <c r="K26" t="inlineStr">
        <is>
          <t>Months · one decimal  [derived by rule — confirm]</t>
        </is>
      </c>
      <c r="L26" t="inlineStr">
        <is>
          <t>Adds up to $0 when there is nothing to add. Zero and "nothing recorded yet" look identical on screen — worth a decision.</t>
        </is>
      </c>
      <c r="M26" t="inlineStr">
        <is>
          <t>One figure per month  [derived by rule — confirm]</t>
        </is>
      </c>
      <c r="N26" t="inlineStr">
        <is>
          <t>As of today, from the latest figures held  [derived by rule — confirm]</t>
        </is>
      </c>
      <c r="O26" t="inlineStr">
        <is>
          <t>NOT DETERMINED</t>
        </is>
      </c>
      <c r="P26" t="inlineStr">
        <is>
          <t>No function on record — nothing to chain</t>
        </is>
      </c>
      <c r="Q26" t="inlineStr">
        <is>
          <t>No function on record — assumptions unknown</t>
        </is>
      </c>
      <c r="R26" t="inlineStr"/>
      <c r="S26" t="inlineStr"/>
      <c r="T26" t="inlineStr">
        <is>
          <t>NOT DETERMINED — no assumption recorded for this figure yet.</t>
        </is>
      </c>
      <c r="U26" t="inlineStr"/>
      <c r="V26" t="inlineStr"/>
      <c r="W26" t="inlineStr"/>
      <c r="X26" t="inlineStr"/>
      <c r="Y26" t="inlineStr">
        <is>
          <t>NOT DETERMINED</t>
        </is>
      </c>
      <c r="Z26" t="inlineStr">
        <is>
          <t>VERIFIED 2026-08-22</t>
        </is>
      </c>
      <c r="AA26"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t="inlineStr">
        <is>
          <t>B24 [NOT COMPARABLE] — This figure names no function, so its formula cannot be checked against anything. 69 of the 163 figures are in this position — the audit covers the 94 that name one.</t>
        </is>
      </c>
      <c r="AC26"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6" t="inlineStr"/>
      <c r="AE26" t="inlineStr">
        <is>
          <t>No finding on this row. That is not a statement that the row is right — only that nothing has been written against it.</t>
        </is>
      </c>
      <c r="AF26" t="inlineStr">
        <is>
          <t>ACTIVE</t>
        </is>
      </c>
      <c r="AG26" t="inlineStr">
        <is>
          <t>2026-08-27</t>
        </is>
      </c>
    </row>
    <row r="27">
      <c r="A27" t="inlineStr">
        <is>
          <t>MK-MN-M-026</t>
        </is>
      </c>
      <c r="B27" t="inlineStr">
        <is>
          <t>Menu</t>
        </is>
      </c>
      <c r="C27" t="inlineStr">
        <is>
          <t>/stress-test</t>
        </is>
      </c>
      <c r="D27" t="inlineStr">
        <is>
          <t>your $X/mo of must-pay bills</t>
        </is>
      </c>
      <c r="E27" t="inlineStr">
        <is>
          <t>ess</t>
        </is>
      </c>
      <c r="F27" t="inlineStr">
        <is>
          <t>plannedMonthlySpend</t>
        </is>
      </c>
      <c r="G27" t="inlineStr">
        <is>
          <t>MK-CF-F-002</t>
        </is>
      </c>
      <c r="H27" t="inlineStr">
        <is>
          <t>planned a month = Σ(each category’s planned amount);  remaining = planned − spent</t>
        </is>
      </c>
      <c r="I27"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27" t="inlineStr">
        <is>
          <t>1. the categories → SPENDING_BY_KIND  [MK-XS-I-032]
2. the single figure → monthlySpending  [MK-XS-I-024, MK-XS-I-030]</t>
        </is>
      </c>
      <c r="K27" t="inlineStr">
        <is>
          <t>US dollars · held to the cent · shown as whole dollars  [derived by rule — confirm]</t>
        </is>
      </c>
      <c r="L27" t="inlineStr">
        <is>
          <t>Adds up to $0 when there is nothing to add. Zero and "nothing recorded yet" look identical on screen — worth a decision.</t>
        </is>
      </c>
      <c r="M27" t="inlineStr">
        <is>
          <t>One figure per person — or per household when two people share one record  [derived by rule — confirm]</t>
        </is>
      </c>
      <c r="N27" t="inlineStr">
        <is>
          <t>As of today, from the latest figures held  [derived by rule — confirm]</t>
        </is>
      </c>
      <c r="O27" t="inlineStr">
        <is>
          <t>1. MK-XS-E-020 (READ_A_NUMBER) → What number did the person actually type?
2. MK-XS-E-021 (SPENDING_BY_KIND) → What is spent each month, split by kind?</t>
        </is>
      </c>
      <c r="P27" t="inlineStr">
        <is>
          <t>1. MK-CF-F-069 benefitActiveMonths → MK-CF-F-092 incomeMonthlyGrid → MK-CF-F-002 plannedMonthlySpend
2. MK-ST-F-052 toNum → MK-CF-F-075 retirementIncomeMonthly → MK-CF-F-072 currentRetirementIncomeMonthly → MK-CF-F-092 incomeMonthlyGrid → MK-CF-F-002 plannedMonthlySpend
3.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MK-ST-F-052 toNum → MK-CF-F-070 benefitAnnual → MK-CF-F-071 extraIncome → MK-CF-F-092 incomeMonthlyGrid → MK-CF-F-002 plannedMonthlySpend
7. MK-ST-F-055 round2 → MK-CF-F-071 extraIncome → MK-CF-F-092 incomeMonthlyGrid → MK-CF-F-002 plannedMonthlySpend
8. MK-ST-F-052 toNum → MK-CF-F-071 extraIncome → MK-CF-F-092 incomeMonthlyGrid → MK-CF-F-002 plannedMonthlySpend
9. … and 5 more paths</t>
        </is>
      </c>
      <c r="Q27" t="inlineStr">
        <is>
          <t>1. MK-CF-F-092 — Treats a year as twelve equal months.
2. MK-CF-F-092 — Uses today's date from the device clock, so the answer changes by itself overnight.
3. MK-CF-F-069 — Leaves some rows out of the answer — check which.
4. MK-CF-F-065 — Uses a built-in total v of 0.
5. MK-CF-F-071 — Treats a year as twelve equal months.
6. MK-CF-F-087 — Uses today's date from the device clock, so the answer changes by itself overnight.
7. MK-CF-F-181 — Turns a monthly figure into a year by multiplying by twelve.
8. MK-CF-F-181 — Multiplies by 100 — a percentage, or an option contract treated as 100 shares. Worth checking which.
9. MK-CF-F-181 — Rounds the answer to a whole number.
10. MK-CF-F-068 — Turns a monthly figure into a year by multiplying by twelve.
11. MK-ST-F-055 — Multiplies by 100 — a percentage, or an option contract treated as 100 shares. Worth checking which.
12. MK-ST-F-055 — Rounds the answer to a whole number.
13. MK-CF-F-066 — Leaves some rows out of the answer — check which.
14. MK-CF-F-077 — Uses a built-in i of 0.
15. MK-CF-F-077 — Treats a year as twelve equal months.
16. MK-CF-F-088 — Treats a year as twelve equal months.
17. MK-CF-F-088 — Uses today's date from the device clock, so the answer changes by itself overnight.
18. MK-CF-F-003 — Treats a year as twelve equal months.
19. MK-CF-F-003 — Turns a monthly figure into a year by multiplying by twelve.
20. MK-CF-F-089 — Uses today's date from the device clock, so the answer changes by itself overnight.
21. MK-CF-F-180 — Uses a built-in total of 0.
22. MK-CF-F-082 — Uses today's date from the device clock, so the answer changes by itself overnight.
23. MK-CF-F-084 — Turns a monthly figure into a year by multiplying by twelve.
24. MK-CF-F-084 — Uses today's date from the device clock, so the answer changes by itself overnight.
25. MK-CF-F-067 — Leaves some rows out of the answer — check which.
… and 11 more, on the functions tab</t>
        </is>
      </c>
      <c r="R27" t="inlineStr"/>
      <c r="S27" t="inlineStr"/>
      <c r="T27" t="inlineStr">
        <is>
          <t>NOT DETERMINED — no assumption recorded for this figure yet.</t>
        </is>
      </c>
      <c r="U27" t="inlineStr"/>
      <c r="V27" t="inlineStr"/>
      <c r="W27" t="inlineStr"/>
      <c r="X27" t="inlineStr"/>
      <c r="Y27" t="inlineStr">
        <is>
          <t>NOT DETERMINED</t>
        </is>
      </c>
      <c r="Z27" t="inlineStr">
        <is>
          <t>VERIFIED 2026-08-22</t>
        </is>
      </c>
      <c r="AA27" t="inlineStr">
        <is>
          <t>1. A15 — 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
2. A16 — 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
3. A17 — "Uses a built-in i of 0", on 11 functions, is the loop counter — let i = 0.
4. A18 — "Treats a year as twelve equal months" fires on any division by 12, a month index included; "Treats a month as 30 days" fires on any multiplication by 30. Neither is read as arithmetic, so both carry false positives.
5.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t="inlineStr">
        <is>
          <t>1. B03 [CLASH] — The file says "months of cushion = cash ÷ ESSENTIALS a month". The figure routes through plannedMonthlySpend (src/domain/budget/index.ts:45), which is the larger of every planned category added up and the stated total — ALL spending, wants included. A monthlyEssentials function exists three screens away (line 158) and separates needs from wants; this figure does not call it. Dividing by a bigger number makes the cushion read SHORTER than it is, which is the safe direction but is still not what the label says.</t>
        </is>
      </c>
      <c r="AC27" t="inlineStr">
        <is>
          <t>HAS A FUNCTION — traceable from the screen to the code.</t>
        </is>
      </c>
      <c r="AD27" t="inlineStr"/>
      <c r="AE27" t="inlineStr">
        <is>
          <t>B03 — OPEN since 2026-08-26 — nothing has closed this. It is not known to be wrong; it is known to be unaddressed.</t>
        </is>
      </c>
      <c r="AF27" t="inlineStr">
        <is>
          <t>ACTIVE</t>
        </is>
      </c>
      <c r="AG27" t="inlineStr">
        <is>
          <t>2026-08-27</t>
        </is>
      </c>
    </row>
    <row r="28">
      <c r="A28" t="inlineStr">
        <is>
          <t>MK-MN-M-027</t>
        </is>
      </c>
      <c r="B28" t="inlineStr">
        <is>
          <t>Menu</t>
        </is>
      </c>
      <c r="C28" t="inlineStr">
        <is>
          <t>/tax-organizer</t>
        </is>
      </c>
      <c r="D28" t="inlineStr">
        <is>
          <t>each taxable line and its amount</t>
        </is>
      </c>
      <c r="E28" t="inlineStr">
        <is>
          <t>l.amount</t>
        </is>
      </c>
      <c r="F28" t="inlineStr">
        <is>
          <t>taxableIncomeFor</t>
        </is>
      </c>
      <c r="G28" t="inlineStr">
        <is>
          <t>MK-CF-F-100</t>
        </is>
      </c>
      <c r="H28" t="inlineStr">
        <is>
          <t>taxable income = gross income − pre-tax contributions − the deduction for the filing status and age</t>
        </is>
      </c>
      <c r="I28" t="inlineStr">
        <is>
          <t>gross − the deduction for that filing status: $16,100 single · $32,200 married · $24,150 head of household.</t>
        </is>
      </c>
      <c r="J28" t="inlineStr">
        <is>
          <t>1. gross → gross  [MK-XS-I-023]
2. how they file → status  [MK-XS-I-030]</t>
        </is>
      </c>
      <c r="K28" t="inlineStr">
        <is>
          <t>US dollars · held to the cent · shown as whole dollars  [derived by rule — confirm]</t>
        </is>
      </c>
      <c r="L28" t="inlineStr">
        <is>
          <t>NOT DETERMINED — this engine has not been read for its refusal yet.</t>
        </is>
      </c>
      <c r="M28" t="inlineStr">
        <is>
          <t>One figure per person — or per household when two people share one record  [derived by rule — confirm]</t>
        </is>
      </c>
      <c r="N28" t="inlineStr">
        <is>
          <t>As of today, from the latest figures held  [derived by rule — confirm]</t>
        </is>
      </c>
      <c r="O28" t="inlineStr">
        <is>
          <t>MK-XS-E-056 (TAX_DEDUCTION) → What amount of income is tax-free before the brackets start. Answers: $16,100 single · $32</t>
        </is>
      </c>
      <c r="P28" t="inlineStr">
        <is>
          <t>MK-CF-F-099 deductionFor → MK-CF-F-100 taxableIncomeFor</t>
        </is>
      </c>
      <c r="Q28" t="inlineStr">
        <is>
          <t>None found anywhere in this chain</t>
        </is>
      </c>
      <c r="R28" t="inlineStr"/>
      <c r="S28" t="inlineStr"/>
      <c r="T28" t="inlineStr">
        <is>
          <t>[Founder] Explicit tables per filing status. A married band is not twice the single band — the 37% band starts at $768,700, not at double the single figure.</t>
        </is>
      </c>
      <c r="U28" t="inlineStr"/>
      <c r="V28" t="inlineStr">
        <is>
          <t>Q24 — State tax is applied to taxable accounts only. Do you want a state rate captured per person, or to keep the single blended figure we use now?</t>
        </is>
      </c>
      <c r="W28" t="inlineStr"/>
      <c r="X28" t="inlineStr"/>
      <c r="Y28" t="inlineStr">
        <is>
          <t>NOT DETERMINED</t>
        </is>
      </c>
      <c r="Z28" t="inlineStr">
        <is>
          <t>VERIFIED 2026-08-22</t>
        </is>
      </c>
      <c r="AA28"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t="inlineStr">
        <is>
          <t>1. B05 [CLASH] — The file said taxable income = gross − pre-tax contributions − the deduction, and the code (taxableByCalendarMonth, src/domain/income/onboarding.ts) never took the 401(k) off. Tax was charged on money that never reached the person — $4,400 a year too much on a $120,000 salary putting in $20,000 — and because the withholding rate is worked out as tax ÷ that same base, the error reached take-home, monthly surplus, planned spend, essentials, the emergency test, savings by month and the whole snapshot: 17 functions in all. NOW: the contribution comes off before tax, in the one function that owns the taxable base, only in a month with pay, never below zero. incomeMonthlyGrid had a line-for-line COPY of that arithmetic; it now calls the shared function, because the rate is divided by one copy and applied to the other and fixing one alone gave a different wrong answer. The grid's own "amount -= c401k" line is gone — with the subtraction moved before tax, subtracting again took it twice. Pinned by five laws in b05_pretax_401k.test.ts, four of which fail on the old code.</t>
        </is>
      </c>
      <c r="AC28" t="inlineStr">
        <is>
          <t>HAS A FUNCTION — traceable from the screen to the code.</t>
        </is>
      </c>
      <c r="AD28" t="inlineStr"/>
      <c r="AE28" t="inlineStr">
        <is>
          <t>B05 — FIXED 2026-08-26</t>
        </is>
      </c>
      <c r="AF28" t="inlineStr">
        <is>
          <t>ACTIVE</t>
        </is>
      </c>
      <c r="AG28" t="inlineStr">
        <is>
          <t>2026-08-27</t>
        </is>
      </c>
    </row>
    <row r="29">
      <c r="A29" t="inlineStr">
        <is>
          <t>MK-MN-M-028</t>
        </is>
      </c>
      <c r="B29" t="inlineStr">
        <is>
          <t>Menu</t>
        </is>
      </c>
      <c r="C29" t="inlineStr">
        <is>
          <t>/tax-organizer</t>
        </is>
      </c>
      <c r="D29" t="inlineStr">
        <is>
          <t>Taxable income · Non-taxable</t>
        </is>
      </c>
      <c r="E29" t="inlineStr">
        <is>
          <t>org.taxableTotal</t>
        </is>
      </c>
      <c r="F29" t="inlineStr">
        <is>
          <t>taxableIncomeFor</t>
        </is>
      </c>
      <c r="G29" t="inlineStr">
        <is>
          <t>MK-CF-F-100</t>
        </is>
      </c>
      <c r="H29" t="inlineStr">
        <is>
          <t>taxable income = gross income − pre-tax contributions − the deduction for the filing status and age</t>
        </is>
      </c>
      <c r="I29" t="inlineStr">
        <is>
          <t>gross − the deduction for that filing status: $16,100 single · $32,200 married · $24,150 head of household.</t>
        </is>
      </c>
      <c r="J29" t="inlineStr">
        <is>
          <t>1. gross → gross  [MK-XS-I-023]
2. how they file → status  [MK-XS-I-030]</t>
        </is>
      </c>
      <c r="K29" t="inlineStr">
        <is>
          <t>US dollars · held to the cent · shown as whole dollars  [derived by rule — confirm]</t>
        </is>
      </c>
      <c r="L29" t="inlineStr">
        <is>
          <t>NOT DETERMINED — this engine has not been read for its refusal yet.</t>
        </is>
      </c>
      <c r="M29" t="inlineStr">
        <is>
          <t>One figure per person — or per household when two people share one record  [derived by rule — confirm]</t>
        </is>
      </c>
      <c r="N29" t="inlineStr">
        <is>
          <t>As of today, from the latest figures held  [derived by rule — confirm]</t>
        </is>
      </c>
      <c r="O29" t="inlineStr">
        <is>
          <t>MK-XS-E-056 (TAX_DEDUCTION) → What amount of income is tax-free before the brackets start. Answers: $16,100 single · $32</t>
        </is>
      </c>
      <c r="P29" t="inlineStr">
        <is>
          <t>MK-CF-F-099 deductionFor → MK-CF-F-100 taxableIncomeFor</t>
        </is>
      </c>
      <c r="Q29" t="inlineStr">
        <is>
          <t>None found anywhere in this chain</t>
        </is>
      </c>
      <c r="R29" t="inlineStr"/>
      <c r="S29" t="inlineStr"/>
      <c r="T29" t="inlineStr">
        <is>
          <t>[Founder] Explicit tables per filing status. A married band is not twice the single band — the 37% band starts at $768,700, not at double the single figure.</t>
        </is>
      </c>
      <c r="U29" t="inlineStr"/>
      <c r="V29" t="inlineStr"/>
      <c r="W29" t="inlineStr"/>
      <c r="X29" t="inlineStr"/>
      <c r="Y29" t="inlineStr">
        <is>
          <t>NOT DETERMINED</t>
        </is>
      </c>
      <c r="Z29" t="inlineStr">
        <is>
          <t>VERIFIED 2026-08-22</t>
        </is>
      </c>
      <c r="AA2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t="inlineStr">
        <is>
          <t>1. B05 [CLASH] — The file said taxable income = gross − pre-tax contributions − the deduction, and the code (taxableByCalendarMonth, src/domain/income/onboarding.ts) never took the 401(k) off. Tax was charged on money that never reached the person — $4,400 a year too much on a $120,000 salary putting in $20,000 — and because the withholding rate is worked out as tax ÷ that same base, the error reached take-home, monthly surplus, planned spend, essentials, the emergency test, savings by month and the whole snapshot: 17 functions in all. NOW: the contribution comes off before tax, in the one function that owns the taxable base, only in a month with pay, never below zero. incomeMonthlyGrid had a line-for-line COPY of that arithmetic; it now calls the shared function, because the rate is divided by one copy and applied to the other and fixing one alone gave a different wrong answer. The grid's own "amount -= c401k" line is gone — with the subtraction moved before tax, subtracting again took it twice. Pinned by five laws in b05_pretax_401k.test.ts, four of which fail on the old code.</t>
        </is>
      </c>
      <c r="AC29" t="inlineStr">
        <is>
          <t>HAS A FUNCTION — traceable from the screen to the code.</t>
        </is>
      </c>
      <c r="AD29" t="inlineStr"/>
      <c r="AE29" t="inlineStr">
        <is>
          <t>B05 — FIXED 2026-08-26</t>
        </is>
      </c>
      <c r="AF29" t="inlineStr">
        <is>
          <t>ACTIVE</t>
        </is>
      </c>
      <c r="AG29" t="inlineStr">
        <is>
          <t>2026-08-27</t>
        </is>
      </c>
    </row>
    <row r="30">
      <c r="A30" t="inlineStr">
        <is>
          <t>MK-MN-M-029</t>
        </is>
      </c>
      <c r="B30" t="inlineStr">
        <is>
          <t>Menu</t>
        </is>
      </c>
      <c r="C30" t="inlineStr">
        <is>
          <t>/tax-organizer</t>
        </is>
      </c>
      <c r="D30" t="inlineStr">
        <is>
          <t>each contribution and its amount</t>
        </is>
      </c>
      <c r="E30" t="inlineStr">
        <is>
          <t>c.amount</t>
        </is>
      </c>
      <c r="F30" t="inlineStr">
        <is>
          <t>NOT ON RECORD — no function is recorded for this figure</t>
        </is>
      </c>
      <c r="G30" t="inlineStr"/>
      <c r="H30" t="inlineStr">
        <is>
          <t>room left = the year’s limit − what has already gone in;  per month = room left ÷ months left in the year</t>
        </is>
      </c>
      <c r="I30" t="inlineStr">
        <is>
          <t>Takes the year's legal limit for the account, subtracts what has already gone in, and divides what is left by the months remaining.</t>
        </is>
      </c>
      <c r="J30" t="inlineStr">
        <is>
          <t>NOT DETERMINED — no input list on record for this engine</t>
        </is>
      </c>
      <c r="K30" t="inlineStr">
        <is>
          <t>US dollars · held to the cent · shown as whole dollars  [derived by rule — confirm]</t>
        </is>
      </c>
      <c r="L30" t="inlineStr">
        <is>
          <t>A division: with nothing on the bottom there is no answer, and the line must not appear as zero. NOT YET CONFIRMED against the engine.</t>
        </is>
      </c>
      <c r="M30" t="inlineStr">
        <is>
          <t>One figure per person — or per household when two people share one record  [derived by rule — confirm]</t>
        </is>
      </c>
      <c r="N30" t="inlineStr">
        <is>
          <t>As of today, from the latest figures held  [derived by rule — confirm]</t>
        </is>
      </c>
      <c r="O30" t="inlineStr">
        <is>
          <t>NOT DETERMINED</t>
        </is>
      </c>
      <c r="P30" t="inlineStr">
        <is>
          <t>No function on record — nothing to chain</t>
        </is>
      </c>
      <c r="Q30" t="inlineStr">
        <is>
          <t>No function on record — assumptions unknown</t>
        </is>
      </c>
      <c r="R30" t="inlineStr"/>
      <c r="S30" t="inlineStr"/>
      <c r="T30" t="inlineStr">
        <is>
          <t>NOT DETERMINED — no assumption recorded for this figure yet.</t>
        </is>
      </c>
      <c r="U30" t="inlineStr"/>
      <c r="V30" t="inlineStr"/>
      <c r="W30" t="inlineStr"/>
      <c r="X30" t="inlineStr"/>
      <c r="Y30" t="inlineStr">
        <is>
          <t>NOT DETERMINED</t>
        </is>
      </c>
      <c r="Z30" t="inlineStr">
        <is>
          <t>VERIFIED 2026-08-22</t>
        </is>
      </c>
      <c r="AA3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t="inlineStr">
        <is>
          <t>B24 [NOT COMPARABLE] — This figure names no function, so its formula cannot be checked against anything. 69 of the 163 figures are in this position — the audit covers the 94 that name one.</t>
        </is>
      </c>
      <c r="AC30"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0" t="inlineStr"/>
      <c r="AE30" t="inlineStr">
        <is>
          <t>No finding on this row. That is not a statement that the row is right — only that nothing has been written against it.</t>
        </is>
      </c>
      <c r="AF30" t="inlineStr">
        <is>
          <t>ACTIVE</t>
        </is>
      </c>
      <c r="AG30" t="inlineStr">
        <is>
          <t>2026-08-27</t>
        </is>
      </c>
    </row>
    <row r="31">
      <c r="A31" t="inlineStr">
        <is>
          <t>MK-MN-M-030</t>
        </is>
      </c>
      <c r="B31" t="inlineStr">
        <is>
          <t>Menu</t>
        </is>
      </c>
      <c r="C31" t="inlineStr">
        <is>
          <t>/worth-a-look</t>
        </is>
      </c>
      <c r="D31" t="inlineStr">
        <is>
          <t>$X left &lt;account&gt; on &lt;date&gt;</t>
        </is>
      </c>
      <c r="E31" t="inlineStr">
        <is>
          <t>f.amount</t>
        </is>
      </c>
      <c r="F31" t="inlineStr">
        <is>
          <t>NOT ON RECORD — no function is recorded for this figure</t>
        </is>
      </c>
      <c r="G31" t="inlineStr"/>
      <c r="H31" t="inlineStr">
        <is>
          <t>flagged when money left an account and has not arrived anywhere else</t>
        </is>
      </c>
      <c r="I31" t="inlineStr">
        <is>
          <t>Notices money leaving an account so it can be asked about rather than quietly lost.</t>
        </is>
      </c>
      <c r="J31" t="inlineStr">
        <is>
          <t>NOT DETERMINED — no input list on record for this engine</t>
        </is>
      </c>
      <c r="K31" t="inlineStr">
        <is>
          <t>A count · whole units, except crypto which keeps its fractions  [derived by rule — confirm]</t>
        </is>
      </c>
      <c r="L31" t="inlineStr">
        <is>
          <t>NOT DETERMINED — this engine has not been read for its refusal yet.</t>
        </is>
      </c>
      <c r="M31" t="inlineStr">
        <is>
          <t>One figure per account  [derived by rule — confirm]</t>
        </is>
      </c>
      <c r="N31" t="inlineStr">
        <is>
          <t>As of today, from the latest figures held  [derived by rule — confirm]</t>
        </is>
      </c>
      <c r="O31" t="inlineStr">
        <is>
          <t>NOT DETERMINED</t>
        </is>
      </c>
      <c r="P31" t="inlineStr">
        <is>
          <t>No function on record — nothing to chain</t>
        </is>
      </c>
      <c r="Q31" t="inlineStr">
        <is>
          <t>No function on record — assumptions unknown</t>
        </is>
      </c>
      <c r="R31" t="inlineStr"/>
      <c r="S31" t="inlineStr"/>
      <c r="T31" t="inlineStr">
        <is>
          <t>NOT DETERMINED — no assumption recorded for this figure yet.</t>
        </is>
      </c>
      <c r="U31" t="inlineStr"/>
      <c r="V31" t="inlineStr"/>
      <c r="W31" t="inlineStr"/>
      <c r="X31" t="inlineStr"/>
      <c r="Y31" t="inlineStr">
        <is>
          <t>NOT DETERMINED</t>
        </is>
      </c>
      <c r="Z31" t="inlineStr">
        <is>
          <t>VERIFIED 2026-08-22</t>
        </is>
      </c>
      <c r="AA31"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t="inlineStr">
        <is>
          <t>B24 [NOT COMPARABLE] — This figure names no function, so its formula cannot be checked against anything. 69 of the 163 figures are in this position — the audit covers the 94 that name one.</t>
        </is>
      </c>
      <c r="AC31"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1" t="inlineStr"/>
      <c r="AE31" t="inlineStr">
        <is>
          <t>No finding on this row. That is not a statement that the row is right — only that nothing has been written against it.</t>
        </is>
      </c>
      <c r="AF31" t="inlineStr">
        <is>
          <t>ACTIVE</t>
        </is>
      </c>
      <c r="AG31" t="inlineStr">
        <is>
          <t>2026-08-27</t>
        </is>
      </c>
    </row>
    <row r="32">
      <c r="A32" t="inlineStr"/>
      <c r="B32" t="inlineStr">
        <is>
          <t>Menu</t>
        </is>
      </c>
      <c r="C32" t="inlineStr">
        <is>
          <t>/auth</t>
        </is>
      </c>
      <c r="D32" t="inlineStr">
        <is>
          <t>—</t>
        </is>
      </c>
      <c r="E32" t="inlineStr">
        <is>
          <t>—</t>
        </is>
      </c>
      <c r="F32" t="inlineStr">
        <is>
          <t>—</t>
        </is>
      </c>
      <c r="G32" t="inlineStr"/>
      <c r="H32" t="inlineStr"/>
      <c r="I32" t="inlineStr"/>
      <c r="J32" t="inlineStr"/>
      <c r="K32" t="inlineStr"/>
      <c r="L32" t="inlineStr"/>
      <c r="M32" t="inlineStr"/>
      <c r="N32" t="inlineStr"/>
      <c r="O32" t="inlineStr"/>
      <c r="P32" t="inlineStr"/>
      <c r="Q32" t="inlineStr"/>
      <c r="R32" t="inlineStr"/>
      <c r="S32" t="inlineStr"/>
      <c r="T32" t="inlineStr"/>
      <c r="U32" t="inlineStr"/>
      <c r="V32" t="inlineStr"/>
      <c r="W32" t="inlineStr"/>
      <c r="X32" t="inlineStr">
        <is>
          <t>NOT DETERMINED</t>
        </is>
      </c>
      <c r="Y32" t="inlineStr">
        <is>
          <t>READ 2026-08-22 — no calculated figure on this screen</t>
        </is>
      </c>
    </row>
    <row r="33">
      <c r="A33" t="inlineStr"/>
      <c r="B33" t="inlineStr">
        <is>
          <t>Menu</t>
        </is>
      </c>
      <c r="C33" t="inlineStr">
        <is>
          <t>/estate</t>
        </is>
      </c>
      <c r="D33" t="inlineStr">
        <is>
          <t>—</t>
        </is>
      </c>
      <c r="E33" t="inlineStr">
        <is>
          <t>—</t>
        </is>
      </c>
      <c r="F33" t="inlineStr">
        <is>
          <t>—</t>
        </is>
      </c>
      <c r="G33" t="inlineStr"/>
      <c r="H33" t="inlineStr"/>
      <c r="I33" t="inlineStr"/>
      <c r="J33" t="inlineStr"/>
      <c r="K33" t="inlineStr"/>
      <c r="L33" t="inlineStr"/>
      <c r="M33" t="inlineStr"/>
      <c r="N33" t="inlineStr"/>
      <c r="O33" t="inlineStr"/>
      <c r="P33" t="inlineStr"/>
      <c r="Q33" t="inlineStr"/>
      <c r="R33" t="inlineStr"/>
      <c r="S33" t="inlineStr"/>
      <c r="T33" t="inlineStr"/>
      <c r="U33" t="inlineStr"/>
      <c r="V33" t="inlineStr"/>
      <c r="W33" t="inlineStr"/>
      <c r="X33" t="inlineStr">
        <is>
          <t>NOT DETERMINED</t>
        </is>
      </c>
      <c r="Y33" t="inlineStr">
        <is>
          <t>READ 2026-08-22 — no calculated figure on this screen</t>
        </is>
      </c>
    </row>
    <row r="34">
      <c r="A34" t="inlineStr"/>
      <c r="B34" t="inlineStr">
        <is>
          <t>Menu</t>
        </is>
      </c>
      <c r="C34" t="inlineStr">
        <is>
          <t>/first-run</t>
        </is>
      </c>
      <c r="D34" t="inlineStr">
        <is>
          <t>—</t>
        </is>
      </c>
      <c r="E34" t="inlineStr">
        <is>
          <t>—</t>
        </is>
      </c>
      <c r="F34" t="inlineStr">
        <is>
          <t>—</t>
        </is>
      </c>
      <c r="G34" t="inlineStr"/>
      <c r="H34" t="inlineStr"/>
      <c r="I34" t="inlineStr"/>
      <c r="J34" t="inlineStr"/>
      <c r="K34" t="inlineStr"/>
      <c r="L34" t="inlineStr"/>
      <c r="M34" t="inlineStr"/>
      <c r="N34" t="inlineStr"/>
      <c r="O34" t="inlineStr"/>
      <c r="P34" t="inlineStr"/>
      <c r="Q34" t="inlineStr"/>
      <c r="R34" t="inlineStr"/>
      <c r="S34" t="inlineStr"/>
      <c r="T34" t="inlineStr"/>
      <c r="U34" t="inlineStr"/>
      <c r="V34" t="inlineStr"/>
      <c r="W34" t="inlineStr"/>
      <c r="X34" t="inlineStr">
        <is>
          <t>NOT DETERMINED</t>
        </is>
      </c>
      <c r="Y34" t="inlineStr">
        <is>
          <t>READ 2026-08-22 — no calculated figure on this screen</t>
        </is>
      </c>
    </row>
    <row r="35">
      <c r="A35" t="inlineStr"/>
      <c r="B35" t="inlineStr">
        <is>
          <t>Menu</t>
        </is>
      </c>
      <c r="C35" t="inlineStr">
        <is>
          <t>/income</t>
        </is>
      </c>
      <c r="D35" t="inlineStr">
        <is>
          <t>—</t>
        </is>
      </c>
      <c r="E35" t="inlineStr">
        <is>
          <t>—</t>
        </is>
      </c>
      <c r="F35" t="inlineStr">
        <is>
          <t>—</t>
        </is>
      </c>
      <c r="G35" t="inlineStr"/>
      <c r="H35" t="inlineStr"/>
      <c r="I35" t="inlineStr"/>
      <c r="J35" t="inlineStr"/>
      <c r="K35" t="inlineStr"/>
      <c r="L35" t="inlineStr"/>
      <c r="M35" t="inlineStr"/>
      <c r="N35" t="inlineStr"/>
      <c r="O35" t="inlineStr"/>
      <c r="P35" t="inlineStr"/>
      <c r="Q35" t="inlineStr"/>
      <c r="R35" t="inlineStr"/>
      <c r="S35" t="inlineStr"/>
      <c r="T35" t="inlineStr"/>
      <c r="U35" t="inlineStr"/>
      <c r="V35" t="inlineStr"/>
      <c r="W35" t="inlineStr"/>
      <c r="X35" t="inlineStr">
        <is>
          <t>NOT DETERMINED</t>
        </is>
      </c>
      <c r="Y35" t="inlineStr">
        <is>
          <t>READ 2026-08-22 — no calculated figure on this screen</t>
        </is>
      </c>
    </row>
    <row r="36">
      <c r="A36" t="inlineStr"/>
      <c r="B36" t="inlineStr">
        <is>
          <t>Menu</t>
        </is>
      </c>
      <c r="C36" t="inlineStr">
        <is>
          <t>/rewards</t>
        </is>
      </c>
      <c r="D36" t="inlineStr">
        <is>
          <t>—</t>
        </is>
      </c>
      <c r="E36" t="inlineStr">
        <is>
          <t>—</t>
        </is>
      </c>
      <c r="F36" t="inlineStr">
        <is>
          <t>—</t>
        </is>
      </c>
      <c r="G36" t="inlineStr"/>
      <c r="H36" t="inlineStr"/>
      <c r="I36" t="inlineStr"/>
      <c r="J36" t="inlineStr"/>
      <c r="K36" t="inlineStr"/>
      <c r="L36" t="inlineStr"/>
      <c r="M36" t="inlineStr"/>
      <c r="N36" t="inlineStr"/>
      <c r="O36" t="inlineStr"/>
      <c r="P36" t="inlineStr"/>
      <c r="Q36" t="inlineStr"/>
      <c r="R36" t="inlineStr"/>
      <c r="S36" t="inlineStr"/>
      <c r="T36" t="inlineStr"/>
      <c r="U36" t="inlineStr"/>
      <c r="V36" t="inlineStr"/>
      <c r="W36" t="inlineStr"/>
      <c r="X36" t="inlineStr">
        <is>
          <t>NOT DETERMINED</t>
        </is>
      </c>
      <c r="Y36" t="inlineStr">
        <is>
          <t>READ 2026-08-22 — no calculated figure on this screen</t>
        </is>
      </c>
    </row>
    <row r="37">
      <c r="A37" t="inlineStr"/>
      <c r="B37" t="inlineStr">
        <is>
          <t>Menu</t>
        </is>
      </c>
      <c r="C37" t="inlineStr">
        <is>
          <t>/settings</t>
        </is>
      </c>
      <c r="D37" t="inlineStr">
        <is>
          <t>—</t>
        </is>
      </c>
      <c r="E37" t="inlineStr">
        <is>
          <t>—</t>
        </is>
      </c>
      <c r="F37" t="inlineStr">
        <is>
          <t>—</t>
        </is>
      </c>
      <c r="G37" t="inlineStr"/>
      <c r="H37" t="inlineStr"/>
      <c r="I37" t="inlineStr"/>
      <c r="J37" t="inlineStr"/>
      <c r="K37" t="inlineStr"/>
      <c r="L37" t="inlineStr"/>
      <c r="M37" t="inlineStr"/>
      <c r="N37" t="inlineStr"/>
      <c r="O37" t="inlineStr"/>
      <c r="P37" t="inlineStr"/>
      <c r="Q37" t="inlineStr"/>
      <c r="R37" t="inlineStr"/>
      <c r="S37" t="inlineStr"/>
      <c r="T37" t="inlineStr"/>
      <c r="U37" t="inlineStr"/>
      <c r="V37" t="inlineStr"/>
      <c r="W37" t="inlineStr"/>
      <c r="X37" t="inlineStr">
        <is>
          <t>NOT DETERMINED</t>
        </is>
      </c>
      <c r="Y37" t="inlineStr">
        <is>
          <t>READ 2026-08-22 — no calculated figure on this screen</t>
        </is>
      </c>
    </row>
    <row r="38">
      <c r="A38" t="inlineStr"/>
      <c r="B38" t="inlineStr">
        <is>
          <t>Menu</t>
        </is>
      </c>
      <c r="C38" t="inlineStr">
        <is>
          <t>/tips</t>
        </is>
      </c>
      <c r="D38" t="inlineStr">
        <is>
          <t>—</t>
        </is>
      </c>
      <c r="E38" t="inlineStr">
        <is>
          <t>—</t>
        </is>
      </c>
      <c r="F38" t="inlineStr">
        <is>
          <t>—</t>
        </is>
      </c>
      <c r="G38" t="inlineStr"/>
      <c r="H38" t="inlineStr"/>
      <c r="I38" t="inlineStr"/>
      <c r="J38" t="inlineStr"/>
      <c r="K38" t="inlineStr"/>
      <c r="L38" t="inlineStr"/>
      <c r="M38" t="inlineStr"/>
      <c r="N38" t="inlineStr"/>
      <c r="O38" t="inlineStr"/>
      <c r="P38" t="inlineStr"/>
      <c r="Q38" t="inlineStr"/>
      <c r="R38" t="inlineStr"/>
      <c r="S38" t="inlineStr"/>
      <c r="T38" t="inlineStr"/>
      <c r="U38" t="inlineStr"/>
      <c r="V38" t="inlineStr"/>
      <c r="W38" t="inlineStr"/>
      <c r="X38" t="inlineStr">
        <is>
          <t>NOT DETERMINED</t>
        </is>
      </c>
      <c r="Y38" t="inlineStr">
        <is>
          <t>READ 2026-08-22 — no calculated figure on this screen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61"/>
  <sheetViews>
    <sheetView workbookViewId="0">
      <pane ySplit="1" topLeftCell="A2" activePane="bottomLeft" state="frozen"/>
      <selection pane="bottomLeft" activeCell="A1" sqref="A1"/>
    </sheetView>
  </sheetViews>
  <sheetFormatPr baseColWidth="8" defaultRowHeight="15"/>
  <cols>
    <col width="16" customWidth="1" min="1" max="1"/>
    <col width="21" customWidth="1" min="2" max="2"/>
    <col width="14" customWidth="1" min="3" max="3"/>
    <col width="31" customWidth="1" min="4" max="4"/>
    <col width="30" customWidth="1" min="5" max="5"/>
    <col width="26" customWidth="1" min="6" max="6"/>
    <col width="18" customWidth="1" min="7" max="7"/>
    <col width="32" customWidth="1" min="8" max="8"/>
    <col width="26" customWidth="1" min="9" max="9"/>
  </cols>
  <sheetData>
    <row r="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row>
    <row r="2">
      <c r="A2" t="inlineStr">
        <is>
          <t>MK-XS-I-001</t>
        </is>
      </c>
      <c r="B2" t="inlineStr">
        <is>
          <t>account balance</t>
        </is>
      </c>
      <c r="C2" t="inlineStr">
        <is>
          <t>the institution download, a connection, or typed by hand</t>
        </is>
      </c>
      <c r="D2" t="inlineStr">
        <is>
          <t>balance · cash_balance · total_asset_value</t>
        </is>
      </c>
      <c r="E2" t="inlineStr">
        <is>
          <t>1. MK-NW-F-027 accountClassBreakdown
2. MK-ST-F-027 accountId
3. MK-NW-F-002 alternativesSummary
4. MK-CF-F-125 amortise
5. MK-CF-F-111 applyTransaction
6. MK-NW-F-029 assetAllocation
7. MK-NW-F-040 assetsFromOnboarding
8. MK-CF-F-135 availableCash
9. MK-NW-F-056 bondInfo
10. MK-NW-F-039 buildAssetsState
11. MK-ST-F-028 buildDayFromAccounts
12. MK-NW-F-052 buildItemizedAccounts
13. MK-XS-F-031 buildSnapshot
14. MK-CF-F-136 bumpCash
… and 24 more — the full list is on functions_from_code</t>
        </is>
      </c>
      <c r="F2" t="inlineStr">
        <is>
          <t>MK-MN-M-016 · MK-NW-M-004 · MK-NW-M-005 · MK-NW-M-007 · MK-NW-M-008 · MK-NW-M-014 · MK-NW-M-020 · MK-NW-M-023 · MK-NW-M-041 · MK-NW-M-042 · MK-NW-M-045 · MK-PL-M-001 · MK-PL-M-002</t>
        </is>
      </c>
      <c r="G2" t="inlineStr">
        <is>
          <t>SWEPT FROM THE CODE 2026-08-26</t>
        </is>
      </c>
      <c r="H2" t="inlineStr">
        <is>
          <t>ACTIVE</t>
        </is>
      </c>
      <c r="I2" t="inlineStr">
        <is>
          <t>2026-08-28</t>
        </is>
      </c>
    </row>
    <row r="3">
      <c r="A3" t="inlineStr">
        <is>
          <t>MK-XS-I-002</t>
        </is>
      </c>
      <c r="B3" t="inlineStr">
        <is>
          <t>account type (taxable, pre-tax, Roth)</t>
        </is>
      </c>
      <c r="C3" t="inlineStr">
        <is>
          <t>typed at setup, or guessed from the account name</t>
        </is>
      </c>
      <c r="D3" t="inlineStr">
        <is>
          <t>tax_bucket · tax_treatment · taxBucket</t>
        </is>
      </c>
      <c r="E3" t="inlineStr">
        <is>
          <t>1. MK-NW-F-005 accountAllowsTicker
2. MK-NW-F-025 accountDisplayName
3. MK-NW-F-011 assetClassOf
4. MK-NW-F-040 assetsFromOnboarding
5. MK-NW-F-037 blendedReturn
6. MK-NW-F-035 blendedVolatility
7. MK-NW-F-052 buildItemizedAccounts
8. MK-CF-F-136 bumpCash
9. MK-XS-F-103 confirmWrapper
10. MK-XS-F-002 dataGaps
11. MK-NW-F-038 earmarkedKinds
12. MK-XS-F-102 ingestSync
13. MK-NW-F-001 isAlternative
14. MK-XS-F-104 mapAccountType
… and 8 more — the full list is on functions_from_code</t>
        </is>
      </c>
      <c r="F3" t="inlineStr">
        <is>
          <t>NONE ON RECORD — the functions above serve no figure that names them. See S21.</t>
        </is>
      </c>
      <c r="G3" t="inlineStr">
        <is>
          <t>SWEPT FROM THE CODE 2026-08-26</t>
        </is>
      </c>
      <c r="H3" t="inlineStr">
        <is>
          <t>ACTIVE</t>
        </is>
      </c>
      <c r="I3" t="inlineStr">
        <is>
          <t>2026-08-27</t>
        </is>
      </c>
    </row>
    <row r="4">
      <c r="A4" t="inlineStr">
        <is>
          <t>MK-XS-I-003</t>
        </is>
      </c>
      <c r="B4" t="inlineStr">
        <is>
          <t>institution name</t>
        </is>
      </c>
      <c r="C4" t="inlineStr">
        <is>
          <t>the download or the connection</t>
        </is>
      </c>
      <c r="D4" t="inlineStr">
        <is>
          <t>institution</t>
        </is>
      </c>
      <c r="E4" t="inlineStr">
        <is>
          <t>1. MK-NW-F-025 accountDisplayName
2. MK-NW-F-026 accountDisplayNames
3. MK-NW-F-052 buildItemizedAccounts
4. MK-XS-F-014 classifyHolding
5. MK-ST-F-011 classifyHoldingClass
6. MK-NW-F-046 historyCoverage
7. MK-CF-F-184 incomeFromAccounts
8. MK-XS-F-102 ingestSync
9. MK-XS-F-016 matchImportAccount
10. MK-XS-F-120 nameOf
11. MK-PL-F-031 taxOrganizer</t>
        </is>
      </c>
      <c r="F4" t="inlineStr">
        <is>
          <t>NONE ON RECORD — the functions above serve no figure that names them. See S21.</t>
        </is>
      </c>
      <c r="G4" t="inlineStr">
        <is>
          <t>SWEPT FROM THE CODE 2026-08-26</t>
        </is>
      </c>
      <c r="H4" t="inlineStr">
        <is>
          <t>ACTIVE</t>
        </is>
      </c>
      <c r="I4" t="inlineStr">
        <is>
          <t>2026-08-28</t>
        </is>
      </c>
    </row>
    <row r="5">
      <c r="A5" t="inlineStr">
        <is>
          <t>MK-XS-I-004</t>
        </is>
      </c>
      <c r="B5" t="inlineStr">
        <is>
          <t>holding quantity (shares)</t>
        </is>
      </c>
      <c r="C5" t="inlineStr">
        <is>
          <t>the download, a connection, or typed</t>
        </is>
      </c>
      <c r="D5" t="inlineStr">
        <is>
          <t>shares · totalShares · quantity</t>
        </is>
      </c>
      <c r="E5" t="inlineStr">
        <is>
          <t>1. MK-NW-F-027 accountClassBreakdown
2. MK-ST-F-027 accountId
3. MK-CF-F-138 addLot
4. MK-CF-F-111 applyTransaction
5. MK-PF-F-003 avgCost
6. MK-ST-F-028 buildDayFromAccounts
7. MK-PF-F-006 capGains
8. MK-CF-F-118 cashEffect
9. MK-PF-F-002 costBasis
10. MK-XS-F-002 dataGaps
11. MK-CF-F-062 equityRowValue
12. MK-XS-F-129 findHeaderRow
13. MK-XS-F-145 flatSymbol
14. MK-XS-F-015 importHoldings
… and 13 more — the full list is on functions_from_code</t>
        </is>
      </c>
      <c r="F5" t="inlineStr">
        <is>
          <t>MK-NW-M-008 · MK-NW-M-020 · MK-NW-M-030 · MK-NW-M-031 · MK-NW-M-032 · MK-NW-M-033 · MK-NW-M-035 · MK-NW-M-036 · MK-NW-M-037 · MK-NW-M-040</t>
        </is>
      </c>
      <c r="G5" t="inlineStr">
        <is>
          <t>SWEPT FROM THE CODE 2026-08-26</t>
        </is>
      </c>
      <c r="H5" t="inlineStr">
        <is>
          <t>ACTIVE</t>
        </is>
      </c>
      <c r="I5" t="inlineStr">
        <is>
          <t>2026-08-28</t>
        </is>
      </c>
    </row>
    <row r="6">
      <c r="A6" t="inlineStr">
        <is>
          <t>MK-XS-I-005</t>
        </is>
      </c>
      <c r="B6" t="inlineStr">
        <is>
          <t>holding price</t>
        </is>
      </c>
      <c r="C6" t="inlineStr">
        <is>
          <t>the price feed</t>
        </is>
      </c>
      <c r="D6" t="inlineStr">
        <is>
          <t>last_price · close · latestClose · priceOf</t>
        </is>
      </c>
      <c r="E6" t="inlineStr">
        <is>
          <t>1. MK-NW-F-027 accountClassBreakdown
2. MK-ST-F-027 accountId
3. MK-ST-F-028 buildDayFromAccounts
4. MK-PF-F-014 buildPerformance
5. MK-PF-F-029 closeAsOf
6. MK-CF-F-043 compareMortgageToTreasury
7. MK-PF-F-022 factorOverMonths
8. MK-XS-F-102 ingestSync
9. MK-PF-F-009 latestClose
10. MK-PF-F-010 periodReturn
11. MK-PF-F-011 periodReturnSince
12. MK-PF-F-018 portfolioTrend
13. MK-XS-F-088 sendBudgetAlert
14. MK-XS-F-143 yahooSymbol</t>
        </is>
      </c>
      <c r="F6" t="inlineStr">
        <is>
          <t>MK-NW-M-008 · MK-NW-M-020 · MK-PF-M-005 · MK-PF-M-006 · MK-PF-M-007</t>
        </is>
      </c>
      <c r="G6" t="inlineStr">
        <is>
          <t>SWEPT FROM THE CODE 2026-08-26</t>
        </is>
      </c>
      <c r="H6" t="inlineStr">
        <is>
          <t>ACTIVE</t>
        </is>
      </c>
      <c r="I6" t="inlineStr">
        <is>
          <t>2026-08-27</t>
        </is>
      </c>
    </row>
    <row r="7">
      <c r="A7" t="inlineStr">
        <is>
          <t>MK-XS-I-006</t>
        </is>
      </c>
      <c r="B7" t="inlineStr">
        <is>
          <t>price fetched at</t>
        </is>
      </c>
      <c r="C7" t="inlineStr">
        <is>
          <t>the app, when it last asked for prices</t>
        </is>
      </c>
      <c r="D7" t="inlineStr">
        <is>
          <t>fetchedAt · last_synced · pricesFetchedAt</t>
        </is>
      </c>
      <c r="E7" t="inlineStr">
        <is>
          <t>1. MK-XS-F-002 dataGaps
2. MK-XS-F-056 fetchEconomicData
3. MK-XS-F-102 ingestSync
4. MK-XS-F-082 priceFreshness
5. MK-NW-F-045 sourceWording</t>
        </is>
      </c>
      <c r="F7" t="inlineStr">
        <is>
          <t>MK-HM-M-001</t>
        </is>
      </c>
      <c r="G7" t="inlineStr">
        <is>
          <t>SWEPT FROM THE CODE 2026-08-26</t>
        </is>
      </c>
      <c r="H7" t="inlineStr">
        <is>
          <t>ACTIVE</t>
        </is>
      </c>
      <c r="I7" t="inlineStr">
        <is>
          <t>2026-08-27</t>
        </is>
      </c>
    </row>
    <row r="8">
      <c r="A8" t="inlineStr">
        <is>
          <t>MK-XS-I-007</t>
        </is>
      </c>
      <c r="B8" t="inlineStr">
        <is>
          <t>purchase price and date (per lot)</t>
        </is>
      </c>
      <c r="C8" t="inlineStr">
        <is>
          <t>the download or typed</t>
        </is>
      </c>
      <c r="D8" t="inlineStr">
        <is>
          <t>cost_per_share · purchase_date · cost_basis · costBasis</t>
        </is>
      </c>
      <c r="E8" t="inlineStr">
        <is>
          <t>1. MK-ST-F-027 accountId
2. MK-CF-F-138 addLot
3. MK-PF-F-003 avgCost
4. MK-PF-F-013 benchmarkTicker
5. MK-ST-F-028 buildDayFromAccounts
6. MK-PF-F-014 buildPerformance
7. MK-PF-F-006 capGains
8. MK-PF-F-002 costBasis
9. MK-PF-F-012 earliestPurchaseDate
10. MK-XS-F-145 flatSymbol
11. MK-XS-F-102 ingestSync
12. MK-XS-F-106 mapOptionHolding
13. MK-XS-F-105 mapPosition
14. MK-XS-F-146 prettyExpiry
… and 3 more — the full list is on functions_from_code</t>
        </is>
      </c>
      <c r="F8" t="inlineStr">
        <is>
          <t>MK-NW-M-032 · MK-NW-M-033 · MK-NW-M-036 · MK-NW-M-037 · MK-PF-M-005 · MK-PF-M-006 · MK-PF-M-007</t>
        </is>
      </c>
      <c r="G8" t="inlineStr">
        <is>
          <t>SWEPT FROM THE CODE 2026-08-26</t>
        </is>
      </c>
      <c r="H8" t="inlineStr">
        <is>
          <t>ACTIVE</t>
        </is>
      </c>
      <c r="I8" t="inlineStr">
        <is>
          <t>2026-08-27</t>
        </is>
      </c>
    </row>
    <row r="9">
      <c r="A9" t="inlineStr">
        <is>
          <t>MK-XS-I-008</t>
        </is>
      </c>
      <c r="B9" t="inlineStr">
        <is>
          <t>transaction amount</t>
        </is>
      </c>
      <c r="C9" t="inlineStr">
        <is>
          <t>the institution download</t>
        </is>
      </c>
      <c r="D9" t="inlineStr">
        <is>
          <t>t.amount · txn.amount · transaction.amount</t>
        </is>
      </c>
      <c r="E9" t="inlineStr">
        <is>
          <t>1. MK-CF-F-111 applyTransaction
2. MK-CF-F-118 cashEffect
3. MK-CF-F-119 investmentIncomeAnnual
4. MK-CF-F-183 paidOutByAccount
5. MK-CF-F-109 reviewTransactions
6. MK-PL-F-009 rmdTakenThisYear
7. MK-PF-F-024 userFlows</t>
        </is>
      </c>
      <c r="F9" t="inlineStr">
        <is>
          <t>NONE ON RECORD — the functions above serve no figure that names them. See S21.</t>
        </is>
      </c>
      <c r="G9" t="inlineStr">
        <is>
          <t>SWEPT FROM THE CODE 2026-08-26</t>
        </is>
      </c>
      <c r="H9" t="inlineStr">
        <is>
          <t>ACTIVE</t>
        </is>
      </c>
      <c r="I9" t="inlineStr">
        <is>
          <t>2026-08-28</t>
        </is>
      </c>
    </row>
    <row r="10">
      <c r="A10" t="inlineStr">
        <is>
          <t>MK-XS-I-009</t>
        </is>
      </c>
      <c r="B10" t="inlineStr">
        <is>
          <t>transaction date</t>
        </is>
      </c>
      <c r="C10" t="inlineStr">
        <is>
          <t>the institution download</t>
        </is>
      </c>
      <c r="D10" t="inlineStr">
        <is>
          <t>t.date · txn.date · posted_at</t>
        </is>
      </c>
      <c r="E10" t="inlineStr">
        <is>
          <t>1. MK-CF-F-138 addLot
2. MK-CF-F-119 investmentIncomeAnnual
3. MK-PF-F-028 realizedFromLedger
4. MK-CF-F-109 reviewTransactions
5. MK-PL-F-009 rmdTakenThisYear
6. MK-PF-F-024 userFlows</t>
        </is>
      </c>
      <c r="F10" t="inlineStr">
        <is>
          <t>MK-NW-M-035</t>
        </is>
      </c>
      <c r="G10" t="inlineStr">
        <is>
          <t>SWEPT FROM THE CODE 2026-08-26</t>
        </is>
      </c>
      <c r="H10" t="inlineStr">
        <is>
          <t>ACTIVE</t>
        </is>
      </c>
      <c r="I10" t="inlineStr">
        <is>
          <t>2026-08-27</t>
        </is>
      </c>
    </row>
    <row r="11">
      <c r="A11" t="inlineStr">
        <is>
          <t>MK-XS-I-010</t>
        </is>
      </c>
      <c r="B11" t="inlineStr">
        <is>
          <t>transaction words (the institution's own wording)</t>
        </is>
      </c>
      <c r="C11" t="inlineStr">
        <is>
          <t>the institution download</t>
        </is>
      </c>
      <c r="D11" t="inlineStr">
        <is>
          <t>description · merchant · raw_description · payee</t>
        </is>
      </c>
      <c r="E11" t="inlineStr">
        <is>
          <t>1. MK-NW-F-027 accountClassBreakdown
2. MK-XS-F-108 activityKey
3. MK-CF-F-110 flagComparisonText
4. MK-XS-F-015 importHoldings
5. MK-ST-F-014 importKey
6. MK-XS-F-102 ingestSync
7. MK-XS-F-105 mapPosition
8. MK-XS-F-097 ocrReceipt
9. MK-XS-F-058 parseReceipt
10. MK-ST-F-013 personalFlowTotals
11. MK-NW-F-054 reclassifyAccounts
12. MK-CF-F-109 reviewTransactions
13. MK-ST-F-012 toLedgerRow</t>
        </is>
      </c>
      <c r="F11" t="inlineStr">
        <is>
          <t>MK-NW-M-008 · MK-NW-M-020</t>
        </is>
      </c>
      <c r="G11" t="inlineStr">
        <is>
          <t>SWEPT FROM THE CODE 2026-08-26</t>
        </is>
      </c>
      <c r="H11" t="inlineStr">
        <is>
          <t>ACTIVE</t>
        </is>
      </c>
      <c r="I11" t="inlineStr">
        <is>
          <t>2026-08-27</t>
        </is>
      </c>
    </row>
    <row r="12">
      <c r="A12" t="inlineStr">
        <is>
          <t>MK-XS-I-011</t>
        </is>
      </c>
      <c r="B12" t="inlineStr">
        <is>
          <t>bond face value</t>
        </is>
      </c>
      <c r="C12" t="inlineStr">
        <is>
          <t>typed, or the download</t>
        </is>
      </c>
      <c r="D12" t="inlineStr">
        <is>
          <t>face_value · face</t>
        </is>
      </c>
      <c r="E12" t="inlineStr">
        <is>
          <t>1. MK-NW-F-057 annualCoupon
2. MK-NW-F-060 approxYTM
3. MK-NW-F-056 bondInfo
4. MK-NW-F-064 bondRateSensitivity
5. MK-NW-F-061 bondSummary
6. MK-NW-F-052 buildItemizedAccounts
7. MK-CF-F-184 incomeFromAccounts
8. MK-NW-F-063 interestIncomeAnnual
9. MK-NW-F-069 priceAtYield</t>
        </is>
      </c>
      <c r="F12" t="inlineStr">
        <is>
          <t>MK-NW-M-023 · MK-NW-M-024 · MK-NW-M-026 · MK-NW-M-041 · MK-NW-M-042 · MK-NW-M-043 · MK-NW-M-045</t>
        </is>
      </c>
      <c r="G12" t="inlineStr">
        <is>
          <t>SWEPT FROM THE CODE 2026-08-26</t>
        </is>
      </c>
      <c r="H12" t="inlineStr">
        <is>
          <t>ACTIVE</t>
        </is>
      </c>
      <c r="I12" t="inlineStr">
        <is>
          <t>2026-08-28</t>
        </is>
      </c>
    </row>
    <row r="13">
      <c r="A13" t="inlineStr">
        <is>
          <t>MK-XS-I-012</t>
        </is>
      </c>
      <c r="B13" t="inlineStr">
        <is>
          <t>bond coupon rate</t>
        </is>
      </c>
      <c r="C13" t="inlineStr">
        <is>
          <t>typed, or the download</t>
        </is>
      </c>
      <c r="D13" t="inlineStr">
        <is>
          <t>coupon_rate · couponRate</t>
        </is>
      </c>
      <c r="E13" t="inlineStr">
        <is>
          <t>1. MK-NW-F-057 annualCoupon
2. MK-NW-F-056 bondInfo
3. MK-NW-F-064 bondRateSensitivity
4. MK-NW-F-052 buildItemizedAccounts
5. MK-CF-F-184 incomeFromAccounts
6. MK-NW-F-063 interestIncomeAnnual</t>
        </is>
      </c>
      <c r="F13" t="inlineStr">
        <is>
          <t>MK-NW-M-023 · MK-NW-M-024 · MK-NW-M-041 · MK-NW-M-042 · MK-NW-M-043 · MK-NW-M-045</t>
        </is>
      </c>
      <c r="G13" t="inlineStr">
        <is>
          <t>SWEPT FROM THE CODE 2026-08-26</t>
        </is>
      </c>
      <c r="H13" t="inlineStr">
        <is>
          <t>ACTIVE</t>
        </is>
      </c>
      <c r="I13" t="inlineStr">
        <is>
          <t>2026-08-28</t>
        </is>
      </c>
    </row>
    <row r="14">
      <c r="A14" t="inlineStr">
        <is>
          <t>MK-XS-I-013</t>
        </is>
      </c>
      <c r="B14" t="inlineStr">
        <is>
          <t>bond maturity date</t>
        </is>
      </c>
      <c r="C14" t="inlineStr">
        <is>
          <t>typed, or the download</t>
        </is>
      </c>
      <c r="D14" t="inlineStr">
        <is>
          <t>maturity_date · maturity</t>
        </is>
      </c>
      <c r="E14" t="inlineStr">
        <is>
          <t>1. MK-NW-F-060 approxYTM
2. MK-NW-F-011 assetClassOf
3. MK-NW-F-056 bondInfo
4. MK-NW-F-061 bondSummary
5. MK-NW-F-052 buildItemizedAccounts
6. MK-ST-F-011 classifyHoldingClass
7. MK-NW-F-053 correctClassOf
8. MK-NW-F-001 isAlternative
9. MK-XS-F-107 mapActivityType
10. MK-ST-F-010 nameEvidence
11. MK-NW-F-069 priceAtYield
12. MK-NW-F-058 yearsToMaturity</t>
        </is>
      </c>
      <c r="F14" t="inlineStr">
        <is>
          <t>MK-NW-M-023 · MK-NW-M-025 · MK-NW-M-026 · MK-NW-M-041 · MK-NW-M-042 · MK-NW-M-045</t>
        </is>
      </c>
      <c r="G14" t="inlineStr">
        <is>
          <t>SWEPT FROM THE CODE 2026-08-26</t>
        </is>
      </c>
      <c r="H14" t="inlineStr">
        <is>
          <t>ACTIVE</t>
        </is>
      </c>
      <c r="I14" t="inlineStr">
        <is>
          <t>2026-08-27</t>
        </is>
      </c>
    </row>
    <row r="15">
      <c r="A15" t="inlineStr">
        <is>
          <t>MK-XS-I-014</t>
        </is>
      </c>
      <c r="B15" t="inlineStr">
        <is>
          <t>debt balance</t>
        </is>
      </c>
      <c r="C15" t="inlineStr">
        <is>
          <t>typed, or a connection</t>
        </is>
      </c>
      <c r="D15" t="inlineStr">
        <is>
          <t>remaining_balance</t>
        </is>
      </c>
      <c r="E15" t="inlineStr">
        <is>
          <t>1. MK-XS-F-004 buildDatedGrid
2. MK-CF-F-036 buildDebtState
3. MK-CF-F-038 debtsFromOnboarding
4. MK-CF-F-034 payoffPlan
5. MK-CF-F-027 totalDebtBalance
6. MK-PL-F-036 weighGoals</t>
        </is>
      </c>
      <c r="F15" t="inlineStr">
        <is>
          <t>MK-NW-M-009 · MK-NW-M-010 · MK-NW-M-012 · MK-NW-M-017</t>
        </is>
      </c>
      <c r="G15" t="inlineStr">
        <is>
          <t>SWEPT FROM THE CODE 2026-08-26</t>
        </is>
      </c>
      <c r="H15" t="inlineStr">
        <is>
          <t>ACTIVE</t>
        </is>
      </c>
      <c r="I15" t="inlineStr">
        <is>
          <t>2026-08-27</t>
        </is>
      </c>
    </row>
    <row r="16">
      <c r="A16" t="inlineStr">
        <is>
          <t>MK-XS-I-015</t>
        </is>
      </c>
      <c r="B16" t="inlineStr">
        <is>
          <t>debt interest rate</t>
        </is>
      </c>
      <c r="C16" t="inlineStr">
        <is>
          <t>typed</t>
        </is>
      </c>
      <c r="D16" t="inlineStr">
        <is>
          <t>interest_rate_apr</t>
        </is>
      </c>
      <c r="E16" t="inlineStr">
        <is>
          <t>1. MK-CF-F-036 buildDebtState
2. MK-CF-F-038 debtsFromOnboarding
3. MK-CF-F-034 payoffPlan</t>
        </is>
      </c>
      <c r="F16" t="inlineStr">
        <is>
          <t>MK-NW-M-009 · MK-NW-M-010 · MK-NW-M-012 · MK-NW-M-017</t>
        </is>
      </c>
      <c r="G16" t="inlineStr">
        <is>
          <t>SWEPT FROM THE CODE 2026-08-26</t>
        </is>
      </c>
      <c r="H16" t="inlineStr">
        <is>
          <t>ACTIVE</t>
        </is>
      </c>
      <c r="I16" t="inlineStr">
        <is>
          <t>2026-08-27</t>
        </is>
      </c>
    </row>
    <row r="17">
      <c r="A17" t="inlineStr">
        <is>
          <t>MK-XS-I-016</t>
        </is>
      </c>
      <c r="B17" t="inlineStr">
        <is>
          <t>debt minimum payment</t>
        </is>
      </c>
      <c r="C17" t="inlineStr">
        <is>
          <t>typed</t>
        </is>
      </c>
      <c r="D17" t="inlineStr">
        <is>
          <t>minimum_monthly_payment</t>
        </is>
      </c>
      <c r="E17" t="inlineStr">
        <is>
          <t>1. MK-CF-F-038 debtsFromOnboarding
2. MK-CF-F-025 minimumDebtService
3. MK-CF-F-034 payoffPlan
4. MK-CF-F-023 requiredPayment</t>
        </is>
      </c>
      <c r="F17" t="inlineStr">
        <is>
          <t>MK-CF-M-019 · MK-NW-M-011</t>
        </is>
      </c>
      <c r="G17" t="inlineStr">
        <is>
          <t>SWEPT FROM THE CODE 2026-08-26</t>
        </is>
      </c>
      <c r="H17" t="inlineStr">
        <is>
          <t>ACTIVE</t>
        </is>
      </c>
      <c r="I17" t="inlineStr">
        <is>
          <t>2026-08-27</t>
        </is>
      </c>
    </row>
    <row r="18">
      <c r="A18" t="inlineStr">
        <is>
          <t>MK-XS-I-017</t>
        </is>
      </c>
      <c r="B18" t="inlineStr">
        <is>
          <t>birth year</t>
        </is>
      </c>
      <c r="C18" t="inlineStr">
        <is>
          <t>typed at setup</t>
        </is>
      </c>
      <c r="D18" t="inlineStr">
        <is>
          <t>birthYear · birth_year</t>
        </is>
      </c>
      <c r="E18" t="inlineStr">
        <is>
          <t>1. MK-PL-F-064 claimWindow
2. MK-XS-F-017 currentAge
3. MK-PL-F-063 fraLabel
4. MK-PL-F-057 fullRetirementAge
5. MK-PL-F-027 nextDecision
6. MK-CF-F-089 over65CountOf
7. MK-PL-F-026 planDoor
8. MK-XS-F-026 profileFromOnboarding
9. MK-PL-F-006 rmdDivisor
10. MK-ST-F-024 rmdStartAge
11. MK-PL-F-060 ssBenefitAt
12. MK-PL-F-058 ssClaimFactorFor
13. MK-PL-F-062 ssLifetimeTotal
14. MK-XS-F-020 toReadModel
… and 1 more — the full list is on functions_from_code</t>
        </is>
      </c>
      <c r="F18" t="inlineStr">
        <is>
          <t>MK-PL-M-001 · MK-PL-M-002 · MK-PL-M-008 · MK-PL-M-011 · MK-PL-M-017 · MK-PL-M-019 · MK-PL-M-029</t>
        </is>
      </c>
      <c r="G18" t="inlineStr">
        <is>
          <t>SWEPT FROM THE CODE 2026-08-26</t>
        </is>
      </c>
      <c r="H18" t="inlineStr">
        <is>
          <t>ACTIVE</t>
        </is>
      </c>
      <c r="I18" t="inlineStr">
        <is>
          <t>2026-08-27</t>
        </is>
      </c>
    </row>
    <row r="19">
      <c r="A19" t="inlineStr">
        <is>
          <t>MK-XS-I-018</t>
        </is>
      </c>
      <c r="B19" t="inlineStr">
        <is>
          <t>retirement age</t>
        </is>
      </c>
      <c r="C19" t="inlineStr">
        <is>
          <t>typed, or the dial on Plan</t>
        </is>
      </c>
      <c r="D19" t="inlineStr">
        <is>
          <t>retireAge · retire_age · targetRetirementAge</t>
        </is>
      </c>
      <c r="E19" t="inlineStr">
        <is>
          <t>1. MK-XS-F-031 buildSnapshot
2. MK-PL-F-048 capitalNeeded
3. MK-PL-F-043 howTheGapCloses
4. MK-PL-F-046 leverDeltas
5. MK-PL-F-030 onCourseSentence
6. MK-PL-F-044 planTarget
7. MK-XS-F-026 profileFromOnboarding
8. MK-PL-F-055 projectNestEgg
9. MK-PL-F-035 retireAgeWithContribution
10. MK-XS-F-019 retirementHorizonYears
11. MK-PL-F-049 retirementSpendMonthly
12. MK-CF-F-058 rothConversionWindow
13. MK-PL-F-050 simulate
14. MK-PL-F-056 solveRetireAge
… and 6 more — the full list is on functions_from_code</t>
        </is>
      </c>
      <c r="F19" t="inlineStr">
        <is>
          <t>MK-CF-M-022 · MK-NW-M-015 · MK-PL-M-008 · MK-PL-M-009 · MK-PL-M-011 · MK-PL-M-026 · MK-PL-M-029 · MK-PL-M-033</t>
        </is>
      </c>
      <c r="G19" t="inlineStr">
        <is>
          <t>SWEPT FROM THE CODE 2026-08-26</t>
        </is>
      </c>
      <c r="H19" t="inlineStr">
        <is>
          <t>ACTIVE</t>
        </is>
      </c>
      <c r="I19" t="inlineStr">
        <is>
          <t>2026-08-27</t>
        </is>
      </c>
    </row>
    <row r="20">
      <c r="A20" t="inlineStr">
        <is>
          <t>MK-XS-I-019</t>
        </is>
      </c>
      <c r="B20" t="inlineStr">
        <is>
          <t>monthly spending in retirement</t>
        </is>
      </c>
      <c r="C20" t="inlineStr">
        <is>
          <t>typed</t>
        </is>
      </c>
      <c r="D20" t="inlineStr">
        <is>
          <t>expectedRetirementSpending · spendingChangeLater · travelBudget · medicalBudget</t>
        </is>
      </c>
      <c r="E20" t="inlineStr">
        <is>
          <t>MK-PL-F-049 retirementSpendMonthly</t>
        </is>
      </c>
      <c r="F20" t="inlineStr">
        <is>
          <t>MK-PL-M-009</t>
        </is>
      </c>
      <c r="G20" t="inlineStr">
        <is>
          <t>SWEPT FROM THE CODE 2026-08-26</t>
        </is>
      </c>
      <c r="H20" t="inlineStr">
        <is>
          <t>ACTIVE</t>
        </is>
      </c>
      <c r="I20" t="inlineStr">
        <is>
          <t>2026-08-27</t>
        </is>
      </c>
    </row>
    <row r="21">
      <c r="A21" t="inlineStr">
        <is>
          <t>MK-XS-I-020</t>
        </is>
      </c>
      <c r="B21" t="inlineStr">
        <is>
          <t>Social Security monthly amount</t>
        </is>
      </c>
      <c r="C21" t="inlineStr">
        <is>
          <t>typed from the statement, or a worked example</t>
        </is>
      </c>
      <c r="D21" t="inlineStr">
        <is>
          <t>socialSecurityMonthly · ssMonthly · statementMonthly</t>
        </is>
      </c>
      <c r="E21" t="inlineStr">
        <is>
          <t>1. MK-PL-F-060 ssBenefitAt
2. MK-PL-F-061 ssBenefitAtClaimAge
3. MK-PL-F-062 ssLifetimeTotal
4. MK-PL-F-067 willItLastInputs</t>
        </is>
      </c>
      <c r="F21" t="inlineStr">
        <is>
          <t>MK-PL-M-008 · MK-PL-M-011 · MK-PL-M-017 · MK-PL-M-019 · MK-PL-M-029</t>
        </is>
      </c>
      <c r="G21" t="inlineStr">
        <is>
          <t>SWEPT FROM THE CODE 2026-08-26</t>
        </is>
      </c>
      <c r="H21" t="inlineStr">
        <is>
          <t>ACTIVE</t>
        </is>
      </c>
      <c r="I21" t="inlineStr">
        <is>
          <t>2026-08-27</t>
        </is>
      </c>
    </row>
    <row r="22">
      <c r="A22" t="inlineStr">
        <is>
          <t>MK-XS-I-021</t>
        </is>
      </c>
      <c r="B22" t="inlineStr">
        <is>
          <t>Social Security claim age</t>
        </is>
      </c>
      <c r="C22" t="inlineStr">
        <is>
          <t>typed</t>
        </is>
      </c>
      <c r="D22" t="inlineStr">
        <is>
          <t>claimAge · ssClaimAge</t>
        </is>
      </c>
      <c r="E22" t="inlineStr">
        <is>
          <t>1. MK-PL-F-046 leverDeltas
2. MK-PL-F-027 nextDecision
3. MK-CF-F-058 rothConversionWindow
4. MK-PL-F-060 ssBenefitAt
5. MK-PL-F-061 ssBenefitAtClaimAge
6. MK-PL-F-059 ssClaimFactor
7. MK-PL-F-058 ssClaimFactorFor
8. MK-PL-F-062 ssLifetimeTotal
9. MK-PL-F-067 willItLastInputs
10. MK-PL-F-052 withSsStream</t>
        </is>
      </c>
      <c r="F22" t="inlineStr">
        <is>
          <t>MK-PL-M-008 · MK-PL-M-011 · MK-PL-M-017 · MK-PL-M-019 · MK-PL-M-029</t>
        </is>
      </c>
      <c r="G22" t="inlineStr">
        <is>
          <t>SWEPT FROM THE CODE 2026-08-26</t>
        </is>
      </c>
      <c r="H22" t="inlineStr">
        <is>
          <t>ACTIVE</t>
        </is>
      </c>
      <c r="I22" t="inlineStr">
        <is>
          <t>2026-08-27</t>
        </is>
      </c>
    </row>
    <row r="23">
      <c r="A23" t="inlineStr">
        <is>
          <t>MK-XS-I-022</t>
        </is>
      </c>
      <c r="B23" t="inlineStr">
        <is>
          <t>pension monthly amount</t>
        </is>
      </c>
      <c r="C23" t="inlineStr">
        <is>
          <t>typed</t>
        </is>
      </c>
      <c r="D23" t="inlineStr">
        <is>
          <t>pensionMonthly · ri_pension · pension</t>
        </is>
      </c>
      <c r="E23" t="inlineStr">
        <is>
          <t>1. MK-CF-F-076 guaranteedOutsideStreams
2. MK-CF-F-075 retirementIncomeMonthly
3. MK-PL-F-049 retirementSpendMonthly
4. MK-PL-F-031 taxOrganizer</t>
        </is>
      </c>
      <c r="F23" t="inlineStr">
        <is>
          <t>MK-CF-M-023 · MK-PL-M-009</t>
        </is>
      </c>
      <c r="G23" t="inlineStr">
        <is>
          <t>SWEPT FROM THE CODE 2026-08-26</t>
        </is>
      </c>
      <c r="H23" t="inlineStr">
        <is>
          <t>ACTIVE</t>
        </is>
      </c>
      <c r="I23" t="inlineStr">
        <is>
          <t>2026-08-27</t>
        </is>
      </c>
    </row>
    <row r="24">
      <c r="A24" t="inlineStr">
        <is>
          <t>MK-XS-I-023</t>
        </is>
      </c>
      <c r="B24" t="inlineStr">
        <is>
          <t>salary and other income</t>
        </is>
      </c>
      <c r="C24" t="inlineStr">
        <is>
          <t>typed at setup</t>
        </is>
      </c>
      <c r="D24" t="inlineStr">
        <is>
          <t>salaryByMonth · bonusAnnual · tipsMonthly · signingOnetime · salaryAnnual</t>
        </is>
      </c>
      <c r="E24" t="inlineStr">
        <is>
          <t>1. MK-XS-F-004 buildDatedGrid
2. MK-CF-F-020 cashflowYear
3. MK-CF-F-172 hasWage
4. MK-CF-F-079 incomeFromOnboarding
5. MK-CF-F-092 incomeMonthlyGrid
6. MK-CF-O-004 incomeSummary
7. MK-CF-F-181 rateInForce
8. MK-CF-F-082 salaryAnnual
9. MK-CF-F-165 salaryMonths
10. MK-PL-F-031 taxOrganizer
11. MK-CF-F-084 taxableAnnual
12. MK-CF-F-088 taxableByCalendarMonth
13. MK-CF-F-074 tipsAnnual
14. MK-CF-F-083 totalGrossAnnual
… and 1 more — the full list is on functions_from_code</t>
        </is>
      </c>
      <c r="F24" t="inlineStr">
        <is>
          <t>MK-CF-M-006 · MK-CF-M-007 · MK-CF-M-008 · MK-CF-M-018 · MK-CF-M-027 · MK-MN-M-011 · MK-MN-M-012 · MK-MN-M-013 · MK-XS-M-006</t>
        </is>
      </c>
      <c r="G24" t="inlineStr">
        <is>
          <t>SWEPT FROM THE CODE 2026-08-26</t>
        </is>
      </c>
      <c r="H24" t="inlineStr">
        <is>
          <t>ACTIVE</t>
        </is>
      </c>
      <c r="I24" t="inlineStr">
        <is>
          <t>2026-08-28</t>
        </is>
      </c>
    </row>
    <row r="25">
      <c r="A25" t="inlineStr">
        <is>
          <t>MK-XS-I-024</t>
        </is>
      </c>
      <c r="B25" t="inlineStr">
        <is>
          <t>logged spending</t>
        </is>
      </c>
      <c r="C25" t="inlineStr">
        <is>
          <t>typed, or read from a download</t>
        </is>
      </c>
      <c r="D25" t="inlineStr">
        <is>
          <t>loggedSpend · expenses · txns · transactions</t>
        </is>
      </c>
      <c r="E25" t="inlineStr">
        <is>
          <t>1. MK-CF-F-005 actualMonthFlow
2. MK-CF-F-151 actualSpending
3. MK-XS-F-057 analyzeExpenses
4. MK-CF-F-014 budgetVsActual
5. MK-XS-F-100 connectionFreshness
6. MK-XS-F-002 dataGaps
7. MK-CF-F-157 debtPaymentsByDebt
8. MK-CF-F-150 debtPaymentsCountedAsExpenses
9. MK-PF-F-025 historyIsComplete
10. MK-CF-F-184 incomeFromAccounts
11. MK-CF-F-079 incomeFromOnboarding
12. MK-CF-F-119 investmentIncomeAnnual
13. MK-PF-F-026 moneyWeightedReturn
14. MK-PL-F-027 nextDecision
… and 9 more — the full list is on functions_from_code</t>
        </is>
      </c>
      <c r="F25" t="inlineStr">
        <is>
          <t>MK-CF-M-004 · MK-CF-M-010 · MK-NW-M-035 · MK-XS-M-005</t>
        </is>
      </c>
      <c r="G25" t="inlineStr">
        <is>
          <t>SWEPT FROM THE CODE 2026-08-26</t>
        </is>
      </c>
      <c r="H25" t="inlineStr">
        <is>
          <t>ACTIVE</t>
        </is>
      </c>
      <c r="I25" t="inlineStr">
        <is>
          <t>2026-08-28</t>
        </is>
      </c>
    </row>
    <row r="26">
      <c r="A26" t="inlineStr">
        <is>
          <t>MK-XS-I-025</t>
        </is>
      </c>
      <c r="B26" t="inlineStr">
        <is>
          <t>typical monthly essentials</t>
        </is>
      </c>
      <c r="C26" t="inlineStr">
        <is>
          <t>typed</t>
        </is>
      </c>
      <c r="D26" t="inlineStr">
        <is>
          <t>monthlyEssentials · essentials</t>
        </is>
      </c>
      <c r="E26" t="inlineStr">
        <is>
          <t>1. MK-CF-F-010 emergencyTest
2. MK-CF-F-009 monthlyEssentials</t>
        </is>
      </c>
      <c r="F26" t="inlineStr">
        <is>
          <t>NONE ON RECORD — the functions above serve no figure that names them. See S21.</t>
        </is>
      </c>
      <c r="G26" t="inlineStr">
        <is>
          <t>SWEPT FROM THE CODE 2026-08-26</t>
        </is>
      </c>
      <c r="H26" t="inlineStr">
        <is>
          <t>ACTIVE</t>
        </is>
      </c>
      <c r="I26" t="inlineStr">
        <is>
          <t>2026-08-27</t>
        </is>
      </c>
    </row>
    <row r="27">
      <c r="A27" t="inlineStr">
        <is>
          <t>MK-XS-I-026</t>
        </is>
      </c>
      <c r="B27" t="inlineStr">
        <is>
          <t>big costs (amount and year)</t>
        </is>
      </c>
      <c r="C27" t="inlineStr">
        <is>
          <t>typed</t>
        </is>
      </c>
      <c r="D27" t="inlineStr">
        <is>
          <t>bigCosts · oneOffs</t>
        </is>
      </c>
      <c r="E27" t="inlineStr">
        <is>
          <t>1. MK-XS-F-004 buildDatedGrid
2. MK-PL-F-065 volOf
3. MK-PL-F-067 willItLastInputs</t>
        </is>
      </c>
      <c r="F27" t="inlineStr">
        <is>
          <t>MK-PL-M-008 · MK-PL-M-011 · MK-PL-M-029</t>
        </is>
      </c>
      <c r="G27" t="inlineStr">
        <is>
          <t>SWEPT FROM THE CODE 2026-08-26</t>
        </is>
      </c>
      <c r="H27" t="inlineStr">
        <is>
          <t>ACTIVE</t>
        </is>
      </c>
      <c r="I27" t="inlineStr">
        <is>
          <t>2026-08-27</t>
        </is>
      </c>
    </row>
    <row r="28">
      <c r="A28" t="inlineStr">
        <is>
          <t>MK-XS-I-027</t>
        </is>
      </c>
      <c r="B28" t="inlineStr">
        <is>
          <t>goals (target, saved, date)</t>
        </is>
      </c>
      <c r="C28" t="inlineStr">
        <is>
          <t>typed</t>
        </is>
      </c>
      <c r="D28" t="inlineStr">
        <is>
          <t>goals · targetDate · g.saved · g.target</t>
        </is>
      </c>
      <c r="E28" t="inlineStr">
        <is>
          <t>1. MK-PL-F-011 buildGoalsState
2. MK-XS-F-031 buildSnapshot
3. MK-PL-F-019 goalMonthsRemaining
4. MK-PL-F-022 goalProgressPct
5. MK-PL-F-023 goalStatus
6. MK-PL-F-013 goalsFromOnboarding
7. MK-HM-F-006 money0
8. MK-PL-F-021 monthsToGoal
9. MK-PL-F-018 monthsUntil
10. MK-XS-F-001 planCompleteness
11. MK-PL-F-020 requiredMonthly
12. MK-PL-F-017 sinkingFund
13. MK-PL-F-012 waterfall</t>
        </is>
      </c>
      <c r="F28" t="inlineStr">
        <is>
          <t>NONE ON RECORD — the functions above serve no figure that names them. See S21.</t>
        </is>
      </c>
      <c r="G28" t="inlineStr">
        <is>
          <t>SWEPT FROM THE CODE 2026-08-26</t>
        </is>
      </c>
      <c r="H28" t="inlineStr">
        <is>
          <t>ACTIVE</t>
        </is>
      </c>
      <c r="I28" t="inlineStr">
        <is>
          <t>2026-08-27</t>
        </is>
      </c>
    </row>
    <row r="29">
      <c r="A29" t="inlineStr">
        <is>
          <t>MK-XS-I-028</t>
        </is>
      </c>
      <c r="B29" t="inlineStr">
        <is>
          <t>assumed return</t>
        </is>
      </c>
      <c r="C29" t="inlineStr">
        <is>
          <t>built in, and adjustable on the cockpit</t>
        </is>
      </c>
      <c r="D29" t="inlineStr">
        <is>
          <t>mean_return · target_return · assumedReturn · meanReturn</t>
        </is>
      </c>
      <c r="E29" t="inlineStr">
        <is>
          <t>1. MK-NW-F-040 assetsFromOnboarding
2. MK-NW-F-039 buildAssetsState
3. MK-NW-F-052 buildItemizedAccounts
4. MK-PL-F-053 buildRetirementState
5. MK-XS-F-031 buildSnapshot
6. MK-CF-F-184 incomeFromAccounts
7. MK-XS-F-102 ingestSync
8. MK-NW-F-063 interestIncomeAnnual
9. MK-PL-F-055 projectNestEgg
10. MK-PL-F-049 retirementSpendMonthly
11. MK-PL-F-050 simulate
12. MK-CF-F-106 solveSafeDraw
13. MK-PL-F-067 willItLastInputs</t>
        </is>
      </c>
      <c r="F29" t="inlineStr">
        <is>
          <t>MK-CF-M-022 · MK-NW-M-004 · MK-NW-M-015 · MK-PL-M-008 · MK-PL-M-009 · MK-PL-M-011 · MK-PL-M-026 · MK-PL-M-029 · MK-PL-M-033</t>
        </is>
      </c>
      <c r="G29" t="inlineStr">
        <is>
          <t>SWEPT FROM THE CODE 2026-08-26</t>
        </is>
      </c>
      <c r="H29" t="inlineStr">
        <is>
          <t>ACTIVE</t>
        </is>
      </c>
      <c r="I29" t="inlineStr">
        <is>
          <t>2026-08-28</t>
        </is>
      </c>
    </row>
    <row r="30">
      <c r="A30" t="inlineStr">
        <is>
          <t>MK-XS-I-029</t>
        </is>
      </c>
      <c r="B30" t="inlineStr">
        <is>
          <t>inflation rate</t>
        </is>
      </c>
      <c r="C30" t="inlineStr">
        <is>
          <t>a published feed, with a built-in fallback</t>
        </is>
      </c>
      <c r="D30" t="inlineStr">
        <is>
          <t>inflation · inflationRate</t>
        </is>
      </c>
      <c r="E30" t="inlineStr">
        <is>
          <t>1. MK-XS-F-057 analyzeExpenses
2. MK-PL-F-053 buildRetirementState
3. MK-XS-F-031 buildSnapshot
4. MK-PL-F-003 depletionAge
5. MK-XS-F-056 fetchEconomicData
6. MK-PL-F-055 projectNestEgg
7. MK-PL-F-049 retirementSpendMonthly
8. MK-PL-F-050 simulate
9. MK-CF-F-106 solveSafeDraw
10. MK-PL-F-065 volOf
11. MK-PL-F-067 willItLastInputs
12. MK-PL-F-004 withdrawalOrder</t>
        </is>
      </c>
      <c r="F30" t="inlineStr">
        <is>
          <t>MK-CF-M-022 · MK-NW-M-015 · MK-PL-M-008 · MK-PL-M-009 · MK-PL-M-011 · MK-PL-M-026 · MK-PL-M-029 · MK-PL-M-033</t>
        </is>
      </c>
      <c r="G30" t="inlineStr">
        <is>
          <t>SWEPT FROM THE CODE 2026-08-26</t>
        </is>
      </c>
      <c r="H30" t="inlineStr">
        <is>
          <t>ACTIVE</t>
        </is>
      </c>
      <c r="I30" t="inlineStr">
        <is>
          <t>2026-08-27</t>
        </is>
      </c>
    </row>
    <row r="31">
      <c r="A31" t="inlineStr">
        <is>
          <t>MK-XS-I-030</t>
        </is>
      </c>
      <c r="B31" t="inlineStr">
        <is>
          <t>tax filing status and age</t>
        </is>
      </c>
      <c r="C31" t="inlineStr">
        <is>
          <t>typed at setup</t>
        </is>
      </c>
      <c r="D31" t="inlineStr">
        <is>
          <t>filingStatus · over65 · FilingStatus</t>
        </is>
      </c>
      <c r="E31" t="inlineStr">
        <is>
          <t>1. MK-CF-O-001 basePay
2. MK-CF-F-099 deductionFor
3. MK-CF-F-171 earnerPay
4. MK-CF-F-102 effectiveRateOnGrossFor
5. MK-CF-F-048 effectiveTaxRate
6. MK-CF-F-085 filingStatusOf
7. MK-CF-F-097 grossFromNet
8. MK-CF-O-004 incomeSummary
9. MK-CF-F-104 ltcgRateFor
10. MK-CF-F-103 marginalBracketFor
11. MK-CF-F-089 over65CountOf
12. MK-CF-F-098 progressiveMonthlyTax
13. MK-PL-F-032 rothConversionCost
14. MK-CF-F-144 takeHomeAsEntered
… and 3 more — the full list is on functions_from_code</t>
        </is>
      </c>
      <c r="F31" t="inlineStr">
        <is>
          <t>MK-MN-M-027 · MK-MN-M-028</t>
        </is>
      </c>
      <c r="G31" t="inlineStr">
        <is>
          <t>SWEPT FROM THE CODE 2026-08-26</t>
        </is>
      </c>
      <c r="H31" t="inlineStr">
        <is>
          <t>ACTIVE</t>
        </is>
      </c>
      <c r="I31" t="inlineStr">
        <is>
          <t>2026-08-28</t>
        </is>
      </c>
    </row>
    <row r="32">
      <c r="A32" t="inlineStr">
        <is>
          <t>MK-XS-I-031</t>
        </is>
      </c>
      <c r="B32" t="inlineStr">
        <is>
          <t>daily and monthly snapshots</t>
        </is>
      </c>
      <c r="C32" t="inlineStr">
        <is>
          <t>the app itself, once a day</t>
        </is>
      </c>
      <c r="D32" t="inlineStr">
        <is>
          <t>nwDaily · readHistory · SnapshotDay · recordSnapshotDay</t>
        </is>
      </c>
      <c r="E32" t="inlineStr">
        <is>
          <t>1. MK-ST-F-028 buildDayFromAccounts
2. MK-ST-F-035 covers
3. MK-ST-F-037 pendingUpload
4. MK-ST-F-029 prune
5. MK-XS-F-009 readHistory
6. MK-ST-F-036 reconcile
7. MK-ST-F-030 record
8. MK-XS-F-005 trendPoints
9. MK-ST-F-032 unitsOn
10. MK-ST-F-031 valueOn</t>
        </is>
      </c>
      <c r="F32" t="inlineStr">
        <is>
          <t>MK-NW-M-001 · MK-NW-M-003</t>
        </is>
      </c>
      <c r="G32" t="inlineStr">
        <is>
          <t>SWEPT FROM THE CODE 2026-08-26</t>
        </is>
      </c>
      <c r="H32" t="inlineStr">
        <is>
          <t>ACTIVE</t>
        </is>
      </c>
      <c r="I32" t="inlineStr">
        <is>
          <t>2026-08-27</t>
        </is>
      </c>
    </row>
    <row r="33">
      <c r="A33" t="inlineStr">
        <is>
          <t>MK-XS-I-032</t>
        </is>
      </c>
      <c r="B33" t="inlineStr">
        <is>
          <t>spending categories the person set up</t>
        </is>
      </c>
      <c r="C33" t="inlineStr">
        <is>
          <t>Typed by the person when they set up their budget</t>
        </is>
      </c>
      <c r="D33" t="inlineStr">
        <is>
          <t>spendCats · b_fixed · b_nonmonthly · b_flexible</t>
        </is>
      </c>
      <c r="E33" t="inlineStr">
        <is>
          <t>1. MK-CF-F-014 budgetVsActual
2. MK-XS-F-004 buildDatedGrid
3. MK-XS-F-030 effectiveAnnualContribution
4. MK-CF-F-009 monthlyEssentials
5. MK-CF-F-007 nonMonthlyBasis
6. MK-CF-F-004 spendBuckets
7. MK-CF-F-008 spendByMonth
8. MK-CF-F-019 upcomingBills</t>
        </is>
      </c>
      <c r="F33" t="inlineStr">
        <is>
          <t>MK-CF-M-004 · MK-CF-M-013 · MK-CF-M-014 · MK-CF-M-019 · MK-MN-M-021 · MK-XS-M-005</t>
        </is>
      </c>
      <c r="G33" t="inlineStr">
        <is>
          <t>SWEPT FROM THE CODE 2026-08-26</t>
        </is>
      </c>
      <c r="H33" t="inlineStr">
        <is>
          <t>ACTIVE</t>
        </is>
      </c>
      <c r="I33" t="inlineStr">
        <is>
          <t>2026-08-27</t>
        </is>
      </c>
    </row>
    <row r="34">
      <c r="A34" t="inlineStr">
        <is>
          <t>MK-XS-I-033</t>
        </is>
      </c>
      <c r="B34" t="inlineStr">
        <is>
          <t>the date a hand-typed value was set</t>
        </is>
      </c>
      <c r="C34" t="inlineStr">
        <is>
          <t>Typed by the person, stamped when they save it</t>
        </is>
      </c>
      <c r="D34" t="inlineStr">
        <is>
          <t>value_as_of</t>
        </is>
      </c>
      <c r="E34" t="inlineStr">
        <is>
          <t>1. MK-XS-F-002 dataGaps
2. MK-XS-F-102 ingestSync
3. MK-NW-F-003 valueFreshness</t>
        </is>
      </c>
      <c r="F34" t="inlineStr">
        <is>
          <t>MK-NW-M-018 · MK-PL-M-016</t>
        </is>
      </c>
      <c r="G34" t="inlineStr">
        <is>
          <t>SWEPT FROM THE CODE 2026-08-26</t>
        </is>
      </c>
      <c r="H34" t="inlineStr">
        <is>
          <t>ACTIVE</t>
        </is>
      </c>
      <c r="I34" t="inlineStr">
        <is>
          <t>2026-08-27</t>
        </is>
      </c>
    </row>
    <row r="35">
      <c r="A35" t="inlineStr">
        <is>
          <t>MK-XS-I-034</t>
        </is>
      </c>
      <c r="B35" t="inlineStr">
        <is>
          <t>option positions — contracts, strike, expiry, put or call</t>
        </is>
      </c>
      <c r="C35" t="inlineStr">
        <is>
          <t>An institution download, a connection, or typed</t>
        </is>
      </c>
      <c r="D35" t="inlineStr">
        <is>
          <t>option_holdings · contracts · strike · expiry</t>
        </is>
      </c>
      <c r="E35" t="inlineStr">
        <is>
          <t>1. MK-NW-F-027 accountClassBreakdown
2. MK-NW-F-028 classPortionLabel
3. MK-CF-F-062 equityRowValue
4. MK-XS-F-102 ingestSync
5. MK-XS-F-106 mapOptionHolding
6. MK-XS-F-146 prettyExpiry</t>
        </is>
      </c>
      <c r="F35" t="inlineStr">
        <is>
          <t>MK-NW-M-008 · MK-NW-M-020</t>
        </is>
      </c>
      <c r="G35" t="inlineStr">
        <is>
          <t>SWEPT FROM THE CODE 2026-08-26</t>
        </is>
      </c>
      <c r="H35" t="inlineStr">
        <is>
          <t>ACTIVE</t>
        </is>
      </c>
      <c r="I35" t="inlineStr">
        <is>
          <t>2026-08-27</t>
        </is>
      </c>
    </row>
    <row r="36">
      <c r="A36" t="inlineStr">
        <is>
          <t>MK-XS-I-035</t>
        </is>
      </c>
      <c r="B36" t="inlineStr">
        <is>
          <t>annuity income</t>
        </is>
      </c>
      <c r="C36" t="inlineStr">
        <is>
          <t>Typed by the person</t>
        </is>
      </c>
      <c r="D36" t="inlineStr">
        <is>
          <t>annuityMonthly · ri_annuity · annuity</t>
        </is>
      </c>
      <c r="E36" t="inlineStr">
        <is>
          <t>1. MK-NW-F-035 blendedVolatility
2. MK-CF-F-076 guaranteedOutsideStreams
3. MK-CF-F-075 retirementIncomeMonthly
4. MK-PL-F-049 retirementSpendMonthly</t>
        </is>
      </c>
      <c r="F36" t="inlineStr">
        <is>
          <t>MK-CF-M-023 · MK-PL-M-009</t>
        </is>
      </c>
      <c r="G36" t="inlineStr">
        <is>
          <t>SWEPT FROM THE CODE 2026-08-26</t>
        </is>
      </c>
      <c r="H36" t="inlineStr">
        <is>
          <t>ACTIVE</t>
        </is>
      </c>
      <c r="I36" t="inlineStr">
        <is>
          <t>2026-08-27</t>
        </is>
      </c>
    </row>
    <row r="37">
      <c r="A37" t="inlineStr">
        <is>
          <t>MK-XS-I-036</t>
        </is>
      </c>
      <c r="B37" t="inlineStr">
        <is>
          <t>other guaranteed income</t>
        </is>
      </c>
      <c r="C37" t="inlineStr">
        <is>
          <t>Typed by the person</t>
        </is>
      </c>
      <c r="D37" t="inlineStr">
        <is>
          <t>otherGuaranteed · guaranteed_streams · guaranteedOutside</t>
        </is>
      </c>
      <c r="E37" t="inlineStr">
        <is>
          <t>1. MK-XS-F-031 buildSnapshot
2. MK-PL-F-046 leverDeltas
3. MK-PL-F-055 projectNestEgg
4. MK-PL-F-049 retirementSpendMonthly
5. MK-PL-F-050 simulate
6. MK-PL-F-051 ssStreamOf
7. MK-PL-F-067 willItLastInputs
8. MK-PL-F-052 withSsStream</t>
        </is>
      </c>
      <c r="F37" t="inlineStr">
        <is>
          <t>MK-CF-M-022 · MK-NW-M-015 · MK-PL-M-008 · MK-PL-M-009 · MK-PL-M-011 · MK-PL-M-026 · MK-PL-M-029 · MK-PL-M-033</t>
        </is>
      </c>
      <c r="G37" t="inlineStr">
        <is>
          <t>SWEPT FROM THE CODE 2026-08-26</t>
        </is>
      </c>
      <c r="H37" t="inlineStr">
        <is>
          <t>ACTIVE</t>
        </is>
      </c>
      <c r="I37" t="inlineStr">
        <is>
          <t>2026-08-27</t>
        </is>
      </c>
    </row>
    <row r="38">
      <c r="A38" t="inlineStr">
        <is>
          <t>MK-XS-I-037</t>
        </is>
      </c>
      <c r="B38" t="inlineStr">
        <is>
          <t>required-withdrawal income stream (ri_rmd)</t>
        </is>
      </c>
      <c r="C38" t="inlineStr">
        <is>
          <t>Worked out from balances, not typed</t>
        </is>
      </c>
      <c r="D38" t="inlineStr">
        <is>
          <t>ri_rmd</t>
        </is>
      </c>
      <c r="E38" t="inlineStr">
        <is>
          <t>NO FUNCTION READS IT. The value is captured and stored, and nothing calculates with it. It appears in onboardingProfile.ts outside any function, which is the S21 blind spot.</t>
        </is>
      </c>
      <c r="F38" t="inlineStr">
        <is>
          <t>NONE ON RECORD — the functions above serve no figure that names them. See S21.</t>
        </is>
      </c>
      <c r="G38" t="inlineStr">
        <is>
          <t>SWEPT FROM THE CODE 2026-08-26</t>
        </is>
      </c>
      <c r="H38" t="inlineStr">
        <is>
          <t>ACTIVE</t>
        </is>
      </c>
      <c r="I38" t="inlineStr">
        <is>
          <t>2026-08-27</t>
        </is>
      </c>
    </row>
    <row r="39">
      <c r="A39" t="inlineStr">
        <is>
          <t>MK-XS-I-038</t>
        </is>
      </c>
      <c r="B39" t="inlineStr">
        <is>
          <t>withdrawal income stream (ri_withdrawals)</t>
        </is>
      </c>
      <c r="C39" t="inlineStr">
        <is>
          <t>Worked out from the plan, not typed</t>
        </is>
      </c>
      <c r="D39" t="inlineStr">
        <is>
          <t>ri_withdrawals</t>
        </is>
      </c>
      <c r="E39" t="inlineStr">
        <is>
          <t>NO FUNCTION READS IT. The value is captured and stored, and nothing calculates with it. It appears in onboardingProfile.ts outside any function, which is the S21 blind spot.</t>
        </is>
      </c>
      <c r="F39" t="inlineStr">
        <is>
          <t>NONE ON RECORD — the functions above serve no figure that names them. See S21.</t>
        </is>
      </c>
      <c r="G39" t="inlineStr">
        <is>
          <t>SWEPT FROM THE CODE 2026-08-26</t>
        </is>
      </c>
      <c r="H39" t="inlineStr">
        <is>
          <t>ACTIVE</t>
        </is>
      </c>
      <c r="I39" t="inlineStr">
        <is>
          <t>2026-08-27</t>
        </is>
      </c>
    </row>
    <row r="40">
      <c r="A40" t="inlineStr">
        <is>
          <t>MK-XS-I-039</t>
        </is>
      </c>
      <c r="B40" t="inlineStr">
        <is>
          <t>how often each income arrives</t>
        </is>
      </c>
      <c r="C40" t="inlineStr">
        <is>
          <t>Typed by the person</t>
        </is>
      </c>
      <c r="D40" t="inlineStr">
        <is>
          <t>frequency · payment_frequency · cadence</t>
        </is>
      </c>
      <c r="E40" t="inlineStr">
        <is>
          <t>1. MK-CF-F-044 annualNet
2. MK-CF-F-046 employerMatchAnnual
3. MK-CF-F-079 incomeFromOnboarding
4. MK-CF-F-161 monthlyGrossOfSource</t>
        </is>
      </c>
      <c r="F40" t="inlineStr">
        <is>
          <t>NONE ON RECORD — the functions above serve no figure that names them. See S21.</t>
        </is>
      </c>
      <c r="G40" t="inlineStr">
        <is>
          <t>SWEPT FROM THE CODE 2026-08-26</t>
        </is>
      </c>
      <c r="H40" t="inlineStr">
        <is>
          <t>ACTIVE</t>
        </is>
      </c>
      <c r="I40" t="inlineStr">
        <is>
          <t>2026-08-27</t>
        </is>
      </c>
    </row>
    <row r="41">
      <c r="A41" t="inlineStr">
        <is>
          <t>MK-XS-I-040</t>
        </is>
      </c>
      <c r="B41" t="inlineStr">
        <is>
          <t>whether a stream is already being received</t>
        </is>
      </c>
      <c r="C41" t="inlineStr">
        <is>
          <t>Typed by the person</t>
        </is>
      </c>
      <c r="D41" t="inlineStr">
        <is>
          <t>alreadyReceiving · income_sources · incomeSources</t>
        </is>
      </c>
      <c r="E41" t="inlineStr">
        <is>
          <t>1. MK-CF-F-072 currentRetirementIncomeMonthly
2. MK-CF-F-105 guaranteedRows
3. MK-CF-F-019 upcomingBills</t>
        </is>
      </c>
      <c r="F41" t="inlineStr">
        <is>
          <t>MK-CF-M-011 · MK-CF-M-024 · MK-PL-M-018 · MK-PL-M-032</t>
        </is>
      </c>
      <c r="G41" t="inlineStr">
        <is>
          <t>SWEPT FROM THE CODE 2026-08-26</t>
        </is>
      </c>
      <c r="H41" t="inlineStr">
        <is>
          <t>ACTIVE</t>
        </is>
      </c>
      <c r="I41" t="inlineStr">
        <is>
          <t>2026-08-27</t>
        </is>
      </c>
    </row>
    <row r="42">
      <c r="A42" t="inlineStr">
        <is>
          <t>MK-XS-I-041</t>
        </is>
      </c>
      <c r="B42" t="inlineStr">
        <is>
          <t>the payment the person chose to make on a debt</t>
        </is>
      </c>
      <c r="C42" t="inlineStr">
        <is>
          <t>Typed by the person, and it can exceed the minimum</t>
        </is>
      </c>
      <c r="D42" t="inlineStr">
        <is>
          <t>monthly_payment</t>
        </is>
      </c>
      <c r="E42" t="inlineStr">
        <is>
          <t>MK-CF-F-023 requiredPayment</t>
        </is>
      </c>
      <c r="F42" t="inlineStr">
        <is>
          <t>MK-CF-M-019 · MK-NW-M-011</t>
        </is>
      </c>
      <c r="G42" t="inlineStr">
        <is>
          <t>SWEPT FROM THE CODE 2026-08-26</t>
        </is>
      </c>
      <c r="H42" t="inlineStr">
        <is>
          <t>ACTIVE</t>
        </is>
      </c>
      <c r="I42" t="inlineStr">
        <is>
          <t>2026-08-27</t>
        </is>
      </c>
    </row>
    <row r="43">
      <c r="A43" t="inlineStr">
        <is>
          <t>MK-XS-I-042</t>
        </is>
      </c>
      <c r="B43" t="inlineStr">
        <is>
          <t>how a stream is paid — monthly, yearly or one lump</t>
        </is>
      </c>
      <c r="C43" t="inlineStr">
        <is>
          <t>Typed by the person</t>
        </is>
      </c>
      <c r="D43" t="inlineStr">
        <is>
          <t>payment_type · paymentShape</t>
        </is>
      </c>
      <c r="E43" t="inlineStr">
        <is>
          <t>1. MK-XS-F-004 buildDatedGrid
2. MK-CF-F-150 debtPaymentsCountedAsExpenses
3. MK-CF-F-021 defaultPaymentType
4. MK-CF-F-152 isRadarItem
5. MK-CF-F-159 isRecurringDebt
6. MK-CF-F-025 minimumDebtService
7. MK-CF-F-022 paymentShape
8. MK-CF-F-034 payoffPlan
9. MK-CF-F-149 recurringDebtPayments
10. MK-CF-F-023 requiredPayment</t>
        </is>
      </c>
      <c r="F43" t="inlineStr">
        <is>
          <t>MK-CF-M-019 · MK-NW-M-011</t>
        </is>
      </c>
      <c r="G43" t="inlineStr">
        <is>
          <t>SWEPT FROM THE CODE 2026-08-26</t>
        </is>
      </c>
      <c r="H43" t="inlineStr">
        <is>
          <t>ACTIVE</t>
        </is>
      </c>
      <c r="I43" t="inlineStr">
        <is>
          <t>2026-08-27</t>
        </is>
      </c>
    </row>
    <row r="44">
      <c r="A44" t="inlineStr">
        <is>
          <t>MK-XS-I-043</t>
        </is>
      </c>
      <c r="B44" t="inlineStr">
        <is>
          <t>their own retirement contribution</t>
        </is>
      </c>
      <c r="C44" t="inlineStr">
        <is>
          <t>Typed by the person</t>
        </is>
      </c>
      <c r="D44" t="inlineStr">
        <is>
          <t>c_401k · c_roth · c_invest · c_property · annual_contribution</t>
        </is>
      </c>
      <c r="E44" t="inlineStr">
        <is>
          <t>1. MK-XS-F-031 buildSnapshot
2. MK-XS-F-030 effectiveAnnualContribution
3. MK-CF-F-179 entryFromWage
4. MK-PL-F-043 howTheGapCloses
5. MK-CF-F-092 incomeMonthlyGrid
6. MK-NW-F-041 monthlyContributionsFromOnboarding
7. MK-PL-F-044 planTarget
8. MK-PL-F-055 projectNestEgg
9. MK-CF-F-181 rateInForce
10. MK-PL-F-041 requiredAnnualSaving
11. MK-PL-F-035 retireAgeWithContribution
12. MK-PL-F-049 retirementSpendMonthly
13. MK-PL-F-042 savingToReachTarget
14. MK-PL-F-050 simulate
… and 8 more — the full list is on functions_from_code</t>
        </is>
      </c>
      <c r="F44" t="inlineStr">
        <is>
          <t>MK-CF-M-018 · MK-CF-M-022 · MK-NW-M-015 · MK-PL-M-008 · MK-PL-M-009 · MK-PL-M-011 · MK-PL-M-026 · MK-PL-M-029 · MK-PL-M-033 · MK-XS-M-006</t>
        </is>
      </c>
      <c r="G44" t="inlineStr">
        <is>
          <t>SWEPT FROM THE CODE 2026-08-26</t>
        </is>
      </c>
      <c r="H44" t="inlineStr">
        <is>
          <t>ACTIVE</t>
        </is>
      </c>
      <c r="I44" t="inlineStr">
        <is>
          <t>2026-08-28</t>
        </is>
      </c>
    </row>
    <row r="45">
      <c r="A45" t="inlineStr">
        <is>
          <t>MK-XS-I-044</t>
        </is>
      </c>
      <c r="B45" t="inlineStr">
        <is>
          <t>the person’s own plan overrides</t>
        </is>
      </c>
      <c r="C45" t="inlineStr">
        <is>
          <t>Set by the person on the Plan screen</t>
        </is>
      </c>
      <c r="D45" t="inlineStr">
        <is>
          <t>assumptions · planOverrides</t>
        </is>
      </c>
      <c r="E45" t="inlineStr">
        <is>
          <t>1. MK-PL-F-053 buildRetirementState
2. MK-PL-F-049 retirementSpendMonthly
3. MK-PL-F-068 selectWillItLast
4. MK-PL-F-065 volOf
5. MK-PL-F-067 willItLastInputs</t>
        </is>
      </c>
      <c r="F45" t="inlineStr">
        <is>
          <t>MK-PL-M-008 · MK-PL-M-009 · MK-PL-M-011 · MK-PL-M-029 · MK-PL-M-034 · MK-XS-M-002</t>
        </is>
      </c>
      <c r="G45" t="inlineStr">
        <is>
          <t>SWEPT FROM THE CODE 2026-08-26</t>
        </is>
      </c>
      <c r="H45" t="inlineStr">
        <is>
          <t>ACTIVE</t>
        </is>
      </c>
      <c r="I45" t="inlineStr">
        <is>
          <t>2026-08-27</t>
        </is>
      </c>
    </row>
    <row r="46">
      <c r="A46" t="inlineStr">
        <is>
          <t>MK-XS-I-045</t>
        </is>
      </c>
      <c r="B46" t="inlineStr">
        <is>
          <t>where they will live in retirement</t>
        </is>
      </c>
      <c r="C46" t="inlineStr">
        <is>
          <t>Typed by the person</t>
        </is>
      </c>
      <c r="D46" t="inlineStr">
        <is>
          <t>retLocation</t>
        </is>
      </c>
      <c r="E46" t="inlineStr">
        <is>
          <t>1. MK-XS-F-026 profileFromOnboarding
2. MK-PL-F-049 retirementSpendMonthly</t>
        </is>
      </c>
      <c r="F46" t="inlineStr">
        <is>
          <t>MK-PL-M-009</t>
        </is>
      </c>
      <c r="G46" t="inlineStr">
        <is>
          <t>SWEPT FROM THE CODE 2026-08-26</t>
        </is>
      </c>
      <c r="H46" t="inlineStr">
        <is>
          <t>ACTIVE</t>
        </is>
      </c>
      <c r="I46" t="inlineStr">
        <is>
          <t>2026-08-27</t>
        </is>
      </c>
    </row>
    <row r="47">
      <c r="A47" t="inlineStr">
        <is>
          <t>MK-XS-I-046</t>
        </is>
      </c>
      <c r="B47" t="inlineStr">
        <is>
          <t>how the employer match is expressed — percent or dollars</t>
        </is>
      </c>
      <c r="C47" t="inlineStr">
        <is>
          <t>Typed by the person</t>
        </is>
      </c>
      <c r="D47" t="inlineStr">
        <is>
          <t>employerMatchMode · employerMatchValue</t>
        </is>
      </c>
      <c r="E47" t="inlineStr">
        <is>
          <t>MK-CF-F-178 wageMatchMonthly</t>
        </is>
      </c>
      <c r="F47" t="inlineStr">
        <is>
          <t>NONE ON RECORD — the functions above serve no figure that names them. See S21.</t>
        </is>
      </c>
      <c r="G47" t="inlineStr">
        <is>
          <t>SWEPT FROM THE CODE 2026-08-26</t>
        </is>
      </c>
      <c r="H47" t="inlineStr">
        <is>
          <t>ACTIVE</t>
        </is>
      </c>
      <c r="I47" t="inlineStr">
        <is>
          <t>2026-08-27</t>
        </is>
      </c>
    </row>
    <row r="48">
      <c r="A48" t="inlineStr">
        <is>
          <t>MK-XS-I-047</t>
        </is>
      </c>
      <c r="B48" t="inlineStr">
        <is>
          <t>money to leave behind</t>
        </is>
      </c>
      <c r="C48" t="inlineStr">
        <is>
          <t>Typed by the person</t>
        </is>
      </c>
      <c r="D48" t="inlineStr">
        <is>
          <t>bequest</t>
        </is>
      </c>
      <c r="E48" t="inlineStr">
        <is>
          <t>1. MK-PL-F-048 capitalNeeded
2. MK-PL-F-067 willItLastInputs</t>
        </is>
      </c>
      <c r="F48" t="inlineStr">
        <is>
          <t>MK-PL-M-008 · MK-PL-M-011 · MK-PL-M-029</t>
        </is>
      </c>
      <c r="G48" t="inlineStr">
        <is>
          <t>SWEPT FROM THE CODE 2026-08-26</t>
        </is>
      </c>
      <c r="H48" t="inlineStr">
        <is>
          <t>ACTIVE</t>
        </is>
      </c>
      <c r="I48" t="inlineStr">
        <is>
          <t>2026-08-27</t>
        </is>
      </c>
    </row>
    <row r="49">
      <c r="A49" t="inlineStr">
        <is>
          <t>MK-XS-I-048</t>
        </is>
      </c>
      <c r="B49" t="inlineStr">
        <is>
          <t>the person’s own asset-class answer</t>
        </is>
      </c>
      <c r="C49" t="inlineStr">
        <is>
          <t>Typed by the person, and it outranks the institution</t>
        </is>
      </c>
      <c r="D49" t="inlineStr">
        <is>
          <t>asset_class · class_source · stated</t>
        </is>
      </c>
      <c r="E49" t="inlineStr">
        <is>
          <t>1. MK-NW-F-027 accountClassBreakdown
2. MK-ST-F-027 accountId
3. MK-NW-F-011 assetClassOf
4. MK-ST-F-028 buildDayFromAccounts
5. MK-NW-F-052 buildItemizedAccounts
6. MK-NW-F-028 classPortionLabel
7. MK-XS-F-014 classifyHolding
8. MK-XS-F-102 ingestSync
9. MK-ST-F-018 readMoney
10. MK-NW-F-054 reclassifyAccounts
11. MK-ST-F-022 reconcileAccountTotal
12. MK-ST-F-060 verdict</t>
        </is>
      </c>
      <c r="F49" t="inlineStr">
        <is>
          <t>MK-NW-M-008 · MK-NW-M-020</t>
        </is>
      </c>
      <c r="G49" t="inlineStr">
        <is>
          <t>SWEPT FROM THE CODE 2026-08-26</t>
        </is>
      </c>
      <c r="H49" t="inlineStr">
        <is>
          <t>ACTIVE</t>
        </is>
      </c>
      <c r="I49" t="inlineStr">
        <is>
          <t>2026-08-27</t>
        </is>
      </c>
    </row>
    <row r="50">
      <c r="A50" t="inlineStr">
        <is>
          <t>MK-XS-I-049</t>
        </is>
      </c>
      <c r="B50" t="inlineStr">
        <is>
          <t>bond price — what the bond is worth today</t>
        </is>
      </c>
      <c r="C50" t="inlineStr">
        <is>
          <t>the download, a connection, or typed</t>
        </is>
      </c>
      <c r="D50" t="inlineStr">
        <is>
          <t>b.value · bond.value · BondInfo</t>
        </is>
      </c>
      <c r="E50" t="inlineStr">
        <is>
          <t>1. MK-PF-F-017 allocation
2. MK-NW-F-057 annualCoupon
3. MK-NW-F-060 approxYTM
4. MK-NW-F-056 bondInfo
5. MK-NW-F-064 bondRateSensitivity
6. MK-NW-F-061 bondSummary
7. MK-NW-F-059 currentYield
8. MK-NW-F-069 priceAtYield</t>
        </is>
      </c>
      <c r="F50" t="inlineStr">
        <is>
          <t>MK-NW-M-023 · MK-NW-M-024 · MK-NW-M-026 · MK-NW-M-027 · MK-NW-M-041 · MK-NW-M-042 · MK-NW-M-043 · MK-NW-M-044 · MK-NW-M-045</t>
        </is>
      </c>
      <c r="G50" t="inlineStr">
        <is>
          <t>SWEPT FROM THE CODE 2026-08-26</t>
        </is>
      </c>
      <c r="H50" t="inlineStr">
        <is>
          <t>ACTIVE</t>
        </is>
      </c>
      <c r="I50" t="inlineStr">
        <is>
          <t>2026-08-27</t>
        </is>
      </c>
    </row>
    <row r="51">
      <c r="A51" t="inlineStr">
        <is>
          <t>MK-XS-I-050</t>
        </is>
      </c>
      <c r="B51" t="inlineStr">
        <is>
          <t>the share of an account earmarked for retirement</t>
        </is>
      </c>
      <c r="C51" t="inlineStr">
        <is>
          <t>typed by the person, per account</t>
        </is>
      </c>
      <c r="D51" t="inlineStr">
        <is>
          <t>retirement_pct</t>
        </is>
      </c>
      <c r="E51" t="inlineStr">
        <is>
          <t>MK-NW-F-032 earmarkedAmount</t>
        </is>
      </c>
      <c r="F51" t="inlineStr">
        <is>
          <t>NONE ON RECORD — the functions above serve no figure that names them. See S21.</t>
        </is>
      </c>
      <c r="G51" t="inlineStr">
        <is>
          <t>SWEPT FROM THE CODE 2026-08-26</t>
        </is>
      </c>
      <c r="H51" t="inlineStr">
        <is>
          <t>ACTIVE</t>
        </is>
      </c>
      <c r="I51" t="inlineStr">
        <is>
          <t>2026-08-27</t>
        </is>
      </c>
    </row>
    <row r="52">
      <c r="A52" t="inlineStr">
        <is>
          <t>MK-XS-I-051</t>
        </is>
      </c>
      <c r="B52" t="inlineStr">
        <is>
          <t>what an account actually returned over the last twelve months</t>
        </is>
      </c>
      <c r="C52" t="inlineStr">
        <is>
          <t>typed by the person, per account</t>
        </is>
      </c>
      <c r="D52" t="inlineStr">
        <is>
          <t>actual_ttm</t>
        </is>
      </c>
      <c r="E52" t="inlineStr">
        <is>
          <t>MK-NW-F-004 portfolioActualReturn</t>
        </is>
      </c>
      <c r="F52" t="inlineStr">
        <is>
          <t>NONE ON RECORD — the functions above serve no figure that names them. See S21.</t>
        </is>
      </c>
      <c r="G52" t="inlineStr">
        <is>
          <t>SWEPT FROM THE CODE 2026-08-26</t>
        </is>
      </c>
      <c r="H52" t="inlineStr">
        <is>
          <t>ACTIVE</t>
        </is>
      </c>
      <c r="I52" t="inlineStr">
        <is>
          <t>2026-08-27</t>
        </is>
      </c>
    </row>
    <row r="53">
      <c r="A53" t="inlineStr">
        <is>
          <t>MK-XS-I-052</t>
        </is>
      </c>
      <c r="B53" t="inlineStr">
        <is>
          <t>the day of the month a debt payment is due</t>
        </is>
      </c>
      <c r="C53" t="inlineStr">
        <is>
          <t>typed, or a connection</t>
        </is>
      </c>
      <c r="D53" t="inlineStr">
        <is>
          <t>due_day</t>
        </is>
      </c>
      <c r="E53" t="inlineStr">
        <is>
          <t>MK-XS-F-004 buildDatedGrid</t>
        </is>
      </c>
      <c r="F53" t="inlineStr">
        <is>
          <t>NONE ON RECORD — the functions above serve no figure that names them. See S21.</t>
        </is>
      </c>
      <c r="G53" t="inlineStr">
        <is>
          <t>SWEPT FROM THE CODE 2026-08-26</t>
        </is>
      </c>
      <c r="H53" t="inlineStr">
        <is>
          <t>ACTIVE</t>
        </is>
      </c>
      <c r="I53" t="inlineStr">
        <is>
          <t>2026-08-27</t>
        </is>
      </c>
    </row>
    <row r="54">
      <c r="A54" t="inlineStr">
        <is>
          <t>MK-XS-I-053</t>
        </is>
      </c>
      <c r="B54" t="inlineStr">
        <is>
          <t>the month a debt is first paid</t>
        </is>
      </c>
      <c r="C54" t="inlineStr">
        <is>
          <t>typed by the person</t>
        </is>
      </c>
      <c r="D54" t="inlineStr">
        <is>
          <t>first_payment_date</t>
        </is>
      </c>
      <c r="E54" t="inlineStr">
        <is>
          <t>1. MK-XS-F-004 buildDatedGrid
2. MK-CF-F-034 payoffPlan</t>
        </is>
      </c>
      <c r="F54" t="inlineStr">
        <is>
          <t>NONE ON RECORD — the functions above serve no figure that names them. See S21.</t>
        </is>
      </c>
      <c r="G54" t="inlineStr">
        <is>
          <t>SWEPT FROM THE CODE 2026-08-26</t>
        </is>
      </c>
      <c r="H54" t="inlineStr">
        <is>
          <t>ACTIVE</t>
        </is>
      </c>
      <c r="I54" t="inlineStr">
        <is>
          <t>2026-08-27</t>
        </is>
      </c>
    </row>
    <row r="55">
      <c r="A55" t="inlineStr">
        <is>
          <t>MK-XS-I-054</t>
        </is>
      </c>
      <c r="B55" t="inlineStr">
        <is>
          <t>the date a debt is due to be paid off in full</t>
        </is>
      </c>
      <c r="C55" t="inlineStr">
        <is>
          <t>typed by the person</t>
        </is>
      </c>
      <c r="D55" t="inlineStr">
        <is>
          <t>payoff_date</t>
        </is>
      </c>
      <c r="E55" t="inlineStr">
        <is>
          <t>1. MK-XS-F-004 buildDatedGrid
2. MK-CF-F-034 payoffPlan</t>
        </is>
      </c>
      <c r="F55" t="inlineStr">
        <is>
          <t>NONE ON RECORD — the functions above serve no figure that names them. See S21.</t>
        </is>
      </c>
      <c r="G55" t="inlineStr">
        <is>
          <t>SWEPT FROM THE CODE 2026-08-26</t>
        </is>
      </c>
      <c r="H55" t="inlineStr">
        <is>
          <t>ACTIVE</t>
        </is>
      </c>
      <c r="I55" t="inlineStr">
        <is>
          <t>2026-08-27</t>
        </is>
      </c>
    </row>
    <row r="56">
      <c r="A56" t="inlineStr">
        <is>
          <t>MK-XS-I-055</t>
        </is>
      </c>
      <c r="B56" t="inlineStr">
        <is>
          <t>the wrapper an account sits in — ISA, 401(k), IRA and the rest</t>
        </is>
      </c>
      <c r="C56" t="inlineStr">
        <is>
          <t>typed at setup, or from the connection</t>
        </is>
      </c>
      <c r="D56" t="inlineStr">
        <is>
          <t>wrapper_confirmed · kind</t>
        </is>
      </c>
      <c r="E56" t="inlineStr">
        <is>
          <t>1. MK-NW-F-005 accountAllowsTicker
2. MK-NW-F-025 accountDisplayName
3. MK-CF-F-005 actualMonthFlow
4. MK-CF-F-138 addLot
5. MK-PF-F-017 allocation
6. MK-NW-F-002 alternativesSummary
7. MK-NW-F-011 assetClassOf
8. MK-NW-F-040 assetsFromOnboarding
9. MK-NW-F-036 benchmarkInfo
10. MK-NW-F-034 benchmarkReturn
11. MK-PF-F-013 benchmarkTicker
12. MK-NW-F-037 blendedReturn
13. MK-NW-F-035 blendedVolatility
14. MK-XS-F-004 buildDatedGrid
… and 29 more — the full list is on functions_from_code</t>
        </is>
      </c>
      <c r="F56" t="inlineStr">
        <is>
          <t>MK-CF-M-023 · MK-PF-M-005 · MK-PF-M-006 · MK-PF-M-007 · MK-PL-M-001 · MK-PL-M-002 · MK-PL-M-008 · MK-PL-M-009 · MK-PL-M-011 · MK-PL-M-029</t>
        </is>
      </c>
      <c r="G56" t="inlineStr">
        <is>
          <t>SWEPT FROM THE CODE 2026-08-26</t>
        </is>
      </c>
      <c r="H56" t="inlineStr">
        <is>
          <t>ACTIVE</t>
        </is>
      </c>
      <c r="I56" t="inlineStr">
        <is>
          <t>2026-08-27</t>
        </is>
      </c>
    </row>
    <row r="57">
      <c r="A57" t="inlineStr">
        <is>
          <t>MK-XS-I-056</t>
        </is>
      </c>
      <c r="B57" t="inlineStr">
        <is>
          <t>how a holding was classified, and by whom</t>
        </is>
      </c>
      <c r="C57" t="inlineStr">
        <is>
          <t>the engine, the institution, or the person</t>
        </is>
      </c>
      <c r="D57" t="inlineStr">
        <is>
          <t>class_source · class_flag</t>
        </is>
      </c>
      <c r="E57" t="inlineStr">
        <is>
          <t>MK-XS-F-102 ingestSync</t>
        </is>
      </c>
      <c r="F57" t="inlineStr">
        <is>
          <t>NONE ON RECORD — the functions above serve no figure that names them. See S21.</t>
        </is>
      </c>
      <c r="G57" t="inlineStr">
        <is>
          <t>SWEPT FROM THE CODE 2026-08-26</t>
        </is>
      </c>
      <c r="H57" t="inlineStr">
        <is>
          <t>ACTIVE</t>
        </is>
      </c>
      <c r="I57" t="inlineStr">
        <is>
          <t>2026-08-27</t>
        </is>
      </c>
    </row>
    <row r="58">
      <c r="A58" t="inlineStr">
        <is>
          <t>MK-XS-I-057</t>
        </is>
      </c>
      <c r="B58" t="inlineStr">
        <is>
          <t>the date an account history begins</t>
        </is>
      </c>
      <c r="C58" t="inlineStr">
        <is>
          <t>the institution download</t>
        </is>
      </c>
      <c r="D58" t="inlineStr">
        <is>
          <t>history_from</t>
        </is>
      </c>
      <c r="E58" t="inlineStr">
        <is>
          <t>1. MK-NW-F-046 historyCoverage
2. MK-XS-F-102 ingestSync</t>
        </is>
      </c>
      <c r="F58" t="inlineStr">
        <is>
          <t>NONE ON RECORD — the functions above serve no figure that names them. See S21.</t>
        </is>
      </c>
      <c r="G58" t="inlineStr">
        <is>
          <t>SWEPT FROM THE CODE 2026-08-26</t>
        </is>
      </c>
      <c r="H58" t="inlineStr">
        <is>
          <t>ACTIVE</t>
        </is>
      </c>
      <c r="I58" t="inlineStr">
        <is>
          <t>2026-08-27</t>
        </is>
      </c>
    </row>
    <row r="59">
      <c r="A59" t="inlineStr">
        <is>
          <t>MK-XS-I-058</t>
        </is>
      </c>
      <c r="B59" t="inlineStr">
        <is>
          <t>a break between our figure and the institution's</t>
        </is>
      </c>
      <c r="C59" t="inlineStr">
        <is>
          <t>worked out when a download is read</t>
        </is>
      </c>
      <c r="D59" t="inlineStr">
        <is>
          <t>recon_break</t>
        </is>
      </c>
      <c r="E59" t="inlineStr">
        <is>
          <t>MK-XS-F-102 ingestSync</t>
        </is>
      </c>
      <c r="F59" t="inlineStr">
        <is>
          <t>NONE ON RECORD — the functions above serve no figure that names them. See S21.</t>
        </is>
      </c>
      <c r="G59" t="inlineStr">
        <is>
          <t>SWEPT FROM THE CODE 2026-08-26</t>
        </is>
      </c>
      <c r="H59" t="inlineStr">
        <is>
          <t>ACTIVE</t>
        </is>
      </c>
      <c r="I59" t="inlineStr">
        <is>
          <t>2026-08-27</t>
        </is>
      </c>
    </row>
    <row r="60">
      <c r="A60" t="inlineStr">
        <is>
          <t>MK-XS-I-059</t>
        </is>
      </c>
      <c r="B60" t="inlineStr">
        <is>
          <t>the month a bonus lands</t>
        </is>
      </c>
      <c r="C60" t="inlineStr">
        <is>
          <t>typed by the person</t>
        </is>
      </c>
      <c r="D60" t="inlineStr">
        <is>
          <t>bonusMonth</t>
        </is>
      </c>
      <c r="E60" t="inlineStr">
        <is>
          <t>1. MK-XS-F-004 buildDatedGrid
2. MK-CF-F-020 cashflowYear
3. MK-CF-F-079 incomeFromOnboarding
4. MK-CF-F-092 incomeMonthlyGrid
5. MK-CF-F-088 taxableByCalendarMonth</t>
        </is>
      </c>
      <c r="F60" t="inlineStr">
        <is>
          <t>MK-CF-M-018 · MK-XS-M-006</t>
        </is>
      </c>
      <c r="G60" t="inlineStr">
        <is>
          <t>SWEPT FROM THE CODE 2026-08-26</t>
        </is>
      </c>
      <c r="H60" t="inlineStr">
        <is>
          <t>ACTIVE</t>
        </is>
      </c>
      <c r="I60" t="inlineStr">
        <is>
          <t>2026-08-27</t>
        </is>
      </c>
    </row>
    <row r="61">
      <c r="A61" t="inlineStr">
        <is>
          <t>MK-XS-I-060</t>
        </is>
      </c>
      <c r="B61" t="inlineStr">
        <is>
          <t>how a person is paid — weekly, fortnightly, monthly</t>
        </is>
      </c>
      <c r="C61" t="inlineStr">
        <is>
          <t>typed at setup</t>
        </is>
      </c>
      <c r="D61" t="inlineStr">
        <is>
          <t>salaryMode · SALARY_PERIODS</t>
        </is>
      </c>
      <c r="E61" t="inlineStr">
        <is>
          <t>1. MK-CF-F-059 annualizedEnteredSalary
2. MK-CF-F-186 convertTakeHomeMode
3. MK-CF-F-130 enteredMonthlyRaw
4. MK-CF-F-185 needsTakeHomeConversion</t>
        </is>
      </c>
      <c r="F61" t="inlineStr">
        <is>
          <t>NONE ON RECORD — the functions above serve no figure that names them. See S21.</t>
        </is>
      </c>
      <c r="G61" t="inlineStr">
        <is>
          <t>SWEPT FROM THE CODE 2026-08-26</t>
        </is>
      </c>
      <c r="H61" t="inlineStr">
        <is>
          <t>ACTIVE</t>
        </is>
      </c>
      <c r="I61" t="inlineStr">
        <is>
          <t>2026-08-28</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60" customWidth="1" min="3" max="3"/>
    <col width="44" customWidth="1" min="4" max="4"/>
    <col width="44" customWidth="1" min="5" max="5"/>
    <col width="44" customWidth="1" min="6" max="6"/>
    <col width="26" customWidth="1" min="7" max="7"/>
  </cols>
  <sheetData>
    <row r="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c r="A5" s="3" t="inlineStr">
        <is>
          <t>users/{uid}</t>
        </is>
      </c>
      <c r="B5" s="3" t="inlineStr">
        <is>
          <t>householdId</t>
        </is>
      </c>
      <c r="C5" s="3" t="inlineStr">
        <is>
          <t>Whose document this person reads and writes — their own, or the partner who invited them.</t>
        </is>
      </c>
      <c r="D5" s="3" t="inlineStr">
        <is>
          <t>—</t>
        </is>
      </c>
      <c r="E5" s="3" t="inlineStr">
        <is>
          <t>when an invite is redeemed</t>
        </is>
      </c>
      <c r="F5" s="3" t="inlineStr">
        <is>
          <t>one per person</t>
        </is>
      </c>
      <c r="G5" s="3" t="inlineStr">
        <is>
          <t>No</t>
        </is>
      </c>
    </row>
    <row r="6">
      <c r="A6" s="3" t="inlineStr">
        <is>
          <t>households/{owner}/members/{member}</t>
        </is>
      </c>
      <c r="B6" s="3" t="inlineStr">
        <is>
          <t>code, householdId</t>
        </is>
      </c>
      <c r="C6" s="3" t="inlineStr">
        <is>
          <t>The record that a partner joined a household, bound to a real invite.</t>
        </is>
      </c>
      <c r="D6" s="3" t="inlineStr">
        <is>
          <t>—</t>
        </is>
      </c>
      <c r="E6" s="3" t="inlineStr">
        <is>
          <t>once, when the invite is redeemed</t>
        </is>
      </c>
      <c r="F6" s="3" t="inlineStr">
        <is>
          <t>one per member</t>
        </is>
      </c>
      <c r="G6" s="3" t="inlineStr">
        <is>
          <t>No</t>
        </is>
      </c>
    </row>
    <row r="7">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c r="A13" s="3" t="inlineStr">
        <is>
          <t>inside appStateEnc</t>
        </is>
      </c>
      <c r="B13" s="3" t="inlineStr">
        <is>
          <t>expenses</t>
        </is>
      </c>
      <c r="C13" s="3" t="inlineStr">
        <is>
          <t>Logged spending: date, amount, category, store.</t>
        </is>
      </c>
      <c r="D13" s="3" t="inlineStr">
        <is>
          <t>logged spending</t>
        </is>
      </c>
      <c r="E13" s="3" t="inlineStr">
        <is>
          <t>with every save</t>
        </is>
      </c>
      <c r="F13" s="3" t="inlineStr">
        <is>
          <t>one entry per expense</t>
        </is>
      </c>
      <c r="G13" s="3" t="inlineStr">
        <is>
          <t>inside the encrypted blob</t>
        </is>
      </c>
    </row>
    <row r="14">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c r="A15" s="3" t="inlineStr">
        <is>
          <t>inside appStateEnc</t>
        </is>
      </c>
      <c r="B15" s="3" t="inlineStr">
        <is>
          <t>recurringExpenses</t>
        </is>
      </c>
      <c r="C15" s="3" t="inlineStr">
        <is>
          <t>Bills that repeat, and the day they fall.</t>
        </is>
      </c>
      <c r="D15" s="3" t="inlineStr">
        <is>
          <t>logged spending · the bill calendar</t>
        </is>
      </c>
      <c r="E15" s="3" t="inlineStr">
        <is>
          <t>with every save</t>
        </is>
      </c>
      <c r="F15" s="3" t="inlineStr">
        <is>
          <t>one entry per bill</t>
        </is>
      </c>
      <c r="G15" s="3" t="inlineStr">
        <is>
          <t>inside the encrypted blob</t>
        </is>
      </c>
    </row>
    <row r="16">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c r="A18" s="3" t="inlineStr">
        <is>
          <t>inside appStateEnc</t>
        </is>
      </c>
      <c r="B18" s="3" t="inlineStr">
        <is>
          <t>onboardingProfile</t>
        </is>
      </c>
      <c r="C18" s="3" t="inlineStr">
        <is>
          <t>What the person told us at setup: birth year, retirement age, spending, Social Security, pension, filing status.</t>
        </is>
      </c>
      <c r="D18" s="3" t="inlineStr">
        <is>
          <t>birth year · retirement age · monthly spending · Social Security · pension · filing status</t>
        </is>
      </c>
      <c r="E18" s="3" t="inlineStr">
        <is>
          <t>with every save</t>
        </is>
      </c>
      <c r="F18" s="3" t="inlineStr">
        <is>
          <t>one per person</t>
        </is>
      </c>
      <c r="G18" s="3" t="inlineStr">
        <is>
          <t>inside the encrypted blob</t>
        </is>
      </c>
    </row>
    <row r="19">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c r="A23" s="3" t="inlineStr">
        <is>
          <t>inside appStateEnc</t>
        </is>
      </c>
      <c r="B23" s="3" t="inlineStr">
        <is>
          <t>budgetCategories · monthlyBudgetTarget · allocatedByMonth</t>
        </is>
      </c>
      <c r="C23" s="3" t="inlineStr">
        <is>
          <t>The plan for spending, by category and by month.</t>
        </is>
      </c>
      <c r="D23" s="3" t="inlineStr">
        <is>
          <t>typical monthly essentials · planned spending</t>
        </is>
      </c>
      <c r="E23" s="3" t="inlineStr">
        <is>
          <t>with every save</t>
        </is>
      </c>
      <c r="F23" s="3" t="inlineStr">
        <is>
          <t>one entry per category or month</t>
        </is>
      </c>
      <c r="G23" s="3" t="inlineStr">
        <is>
          <t>inside the encrypted blob</t>
        </is>
      </c>
    </row>
    <row r="24">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c r="A31" s="3" t="inlineStr">
        <is>
          <t>NOT SAVED</t>
        </is>
      </c>
      <c r="B31" s="3" t="inlineStr">
        <is>
          <t>economic figures (inflation, the 10-year yield)</t>
        </is>
      </c>
      <c r="C31" s="3" t="inlineStr">
        <is>
          <t>Fetched from a feed each time; deliberately left out of the sync.</t>
        </is>
      </c>
      <c r="D31" s="3" t="inlineStr">
        <is>
          <t>inflation rate</t>
        </is>
      </c>
      <c r="E31" s="3" t="inlineStr">
        <is>
          <t>never written to the cloud</t>
        </is>
      </c>
      <c r="F31" s="3" t="inlineStr">
        <is>
          <t>—</t>
        </is>
      </c>
      <c r="G31" s="3" t="inlineStr">
        <is>
          <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c r="A1" s="1" t="inlineStr">
        <is>
          <t>Screen name</t>
        </is>
      </c>
      <c r="B1" s="1" t="inlineStr">
        <is>
          <t>Parent screen</t>
        </is>
      </c>
      <c r="C1" s="1" t="inlineStr">
        <is>
          <t>Core or not — my recommendation</t>
        </is>
      </c>
      <c r="D1" s="1" t="inlineStr">
        <is>
          <t>JJ — Decision (Y/N)</t>
        </is>
      </c>
    </row>
    <row r="2">
      <c r="A2" s="3" t="inlineStr">
        <is>
          <t>/account-detail</t>
        </is>
      </c>
      <c r="B2" s="3" t="inlineStr">
        <is>
          <t>Cashflow · Home · Networth · Performance · Plan</t>
        </is>
      </c>
      <c r="C2" s="3" t="inlineStr">
        <is>
          <t>Yes — where a wrong balance is chased</t>
        </is>
      </c>
      <c r="D2" s="3" t="inlineStr"/>
    </row>
    <row r="3">
      <c r="A3" s="3" t="inlineStr">
        <is>
          <t>/add-account</t>
        </is>
      </c>
      <c r="B3" s="3" t="inlineStr">
        <is>
          <t>Cashflow · Home · Networth · Performance · Plan</t>
        </is>
      </c>
      <c r="C3" s="3" t="inlineStr">
        <is>
          <t>Yes</t>
        </is>
      </c>
      <c r="D3" s="3" t="inlineStr"/>
    </row>
    <row r="4">
      <c r="A4" s="3" t="inlineStr">
        <is>
          <t>/analytics</t>
        </is>
      </c>
      <c r="B4" s="3" t="inlineStr">
        <is>
          <t>Networth</t>
        </is>
      </c>
      <c r="C4" s="3" t="inlineStr">
        <is>
          <t>Yes — Net worth</t>
        </is>
      </c>
      <c r="D4" s="3" t="inlineStr"/>
    </row>
    <row r="5">
      <c r="A5" s="3" t="inlineStr">
        <is>
          <t>/auth</t>
        </is>
      </c>
      <c r="B5" s="3" t="inlineStr">
        <is>
          <t>Menu</t>
        </is>
      </c>
      <c r="C5" s="3" t="inlineStr">
        <is>
          <t>Yes — the way in</t>
        </is>
      </c>
      <c r="D5" s="3" t="inlineStr"/>
    </row>
    <row r="6">
      <c r="A6" s="3" t="inlineStr">
        <is>
          <t>/big-costs</t>
        </is>
      </c>
      <c r="B6" s="3" t="inlineStr">
        <is>
          <t>Menu</t>
        </is>
      </c>
      <c r="C6" s="3" t="inlineStr">
        <is>
          <t>Yes — the costs that break a plan</t>
        </is>
      </c>
      <c r="D6" s="3" t="inlineStr"/>
    </row>
    <row r="7">
      <c r="A7" s="3" t="inlineStr">
        <is>
          <t>/bill-calendar</t>
        </is>
      </c>
      <c r="B7" s="3" t="inlineStr">
        <is>
          <t>Cashflow · Home</t>
        </is>
      </c>
      <c r="C7" s="3" t="inlineStr">
        <is>
          <t>Yes</t>
        </is>
      </c>
      <c r="D7" s="3" t="inlineStr"/>
    </row>
    <row r="8">
      <c r="A8" s="3" t="inlineStr">
        <is>
          <t>/bonds</t>
        </is>
      </c>
      <c r="B8" s="3" t="inlineStr">
        <is>
          <t>Cashflow · Home · Networth · Performance · Plan</t>
        </is>
      </c>
      <c r="C8" s="3" t="inlineStr">
        <is>
          <t>Yes — this age group holds them</t>
        </is>
      </c>
      <c r="D8" s="3" t="inlineStr"/>
    </row>
    <row r="9">
      <c r="A9" s="3" t="inlineStr">
        <is>
          <t>/cashflow</t>
        </is>
      </c>
      <c r="B9" s="3" t="inlineStr">
        <is>
          <t>Cashflow</t>
        </is>
      </c>
      <c r="C9" s="3" t="inlineStr">
        <is>
          <t>Yes — Cash flow</t>
        </is>
      </c>
      <c r="D9" s="3" t="inlineStr"/>
    </row>
    <row r="10">
      <c r="A10" s="3" t="inlineStr">
        <is>
          <t>/connect</t>
        </is>
      </c>
      <c r="B10" s="3" t="inlineStr">
        <is>
          <t>Cashflow · Home · Networth · Performance · Plan</t>
        </is>
      </c>
      <c r="C10" s="3" t="inlineStr">
        <is>
          <t>Yes</t>
        </is>
      </c>
      <c r="D10" s="3" t="inlineStr"/>
    </row>
    <row r="11">
      <c r="A11" s="3" t="inlineStr">
        <is>
          <t>/contribution-room</t>
        </is>
      </c>
      <c r="B11" s="3" t="inlineStr">
        <is>
          <t>Menu</t>
        </is>
      </c>
      <c r="C11" s="3" t="inlineStr">
        <is>
          <t>Yes — still relevant while working</t>
        </is>
      </c>
      <c r="D11" s="3" t="inlineStr"/>
    </row>
    <row r="12">
      <c r="A12" s="3" t="inlineStr">
        <is>
          <t>/credit</t>
        </is>
      </c>
      <c r="B12" s="3" t="inlineStr">
        <is>
          <t>Menu</t>
        </is>
      </c>
      <c r="C12" s="3" t="inlineStr">
        <is>
          <t>No — a working-age worry</t>
        </is>
      </c>
      <c r="D12" s="3" t="inlineStr"/>
    </row>
    <row r="13">
      <c r="A13" s="3" t="inlineStr">
        <is>
          <t>/education</t>
        </is>
      </c>
      <c r="B13" s="3" t="inlineStr">
        <is>
          <t>Plan</t>
        </is>
      </c>
      <c r="C13" s="3" t="inlineStr">
        <is>
          <t>No — college costs belong to the younger group</t>
        </is>
      </c>
      <c r="D13" s="3" t="inlineStr"/>
    </row>
    <row r="14">
      <c r="A14" s="3" t="inlineStr">
        <is>
          <t>/estate</t>
        </is>
      </c>
      <c r="B14" s="3" t="inlineStr">
        <is>
          <t>Menu</t>
        </is>
      </c>
      <c r="C14" s="3" t="inlineStr">
        <is>
          <t>Yes — squarely a 55-70 concern</t>
        </is>
      </c>
      <c r="D14" s="3" t="inlineStr"/>
    </row>
    <row r="15">
      <c r="A15" s="3" t="inlineStr">
        <is>
          <t>/expense</t>
        </is>
      </c>
      <c r="B15" s="3" t="inlineStr">
        <is>
          <t>Menu</t>
        </is>
      </c>
      <c r="C15" s="3" t="inlineStr">
        <is>
          <t>Yes</t>
        </is>
      </c>
      <c r="D15" s="3" t="inlineStr"/>
    </row>
    <row r="16">
      <c r="A16" s="3" t="inlineStr">
        <is>
          <t>/first-run</t>
        </is>
      </c>
      <c r="B16" s="3" t="inlineStr">
        <is>
          <t>Menu</t>
        </is>
      </c>
      <c r="C16" s="3" t="inlineStr">
        <is>
          <t>Yes</t>
        </is>
      </c>
      <c r="D16" s="3" t="inlineStr"/>
    </row>
    <row r="17">
      <c r="A17" s="3" t="inlineStr">
        <is>
          <t>/goals</t>
        </is>
      </c>
      <c r="B17" s="3" t="inlineStr">
        <is>
          <t>Menu</t>
        </is>
      </c>
      <c r="C17" s="3" t="inlineStr">
        <is>
          <t>Yes</t>
        </is>
      </c>
      <c r="D17" s="3" t="inlineStr"/>
    </row>
    <row r="18">
      <c r="A18" s="3" t="inlineStr">
        <is>
          <t>/holding-detail</t>
        </is>
      </c>
      <c r="B18" s="3" t="inlineStr">
        <is>
          <t>Cashflow · Home · Networth · Performance · Plan</t>
        </is>
      </c>
      <c r="C18" s="3" t="inlineStr">
        <is>
          <t>Yes — where a wrong gain is chased</t>
        </is>
      </c>
      <c r="D18" s="3" t="inlineStr"/>
    </row>
    <row r="19">
      <c r="A19" s="3" t="inlineStr">
        <is>
          <t>/home</t>
        </is>
      </c>
      <c r="B19" s="3" t="inlineStr">
        <is>
          <t>Home</t>
        </is>
      </c>
      <c r="C19" s="3" t="inlineStr">
        <is>
          <t>Yes — the first screen</t>
        </is>
      </c>
      <c r="D19" s="3" t="inlineStr"/>
    </row>
    <row r="20">
      <c r="A20" s="3" t="inlineStr">
        <is>
          <t>/import-holdings</t>
        </is>
      </c>
      <c r="B20" s="3" t="inlineStr">
        <is>
          <t>Cashflow · Home · Networth · Performance · Plan</t>
        </is>
      </c>
      <c r="C20" s="3" t="inlineStr">
        <is>
          <t>Yes — the way real data gets in</t>
        </is>
      </c>
      <c r="D20" s="3" t="inlineStr"/>
    </row>
    <row r="21">
      <c r="A21" s="3" t="inlineStr">
        <is>
          <t>/income</t>
        </is>
      </c>
      <c r="B21" s="3" t="inlineStr">
        <is>
          <t>Menu</t>
        </is>
      </c>
      <c r="C21" s="3" t="inlineStr">
        <is>
          <t>Yes</t>
        </is>
      </c>
      <c r="D21" s="3" t="inlineStr"/>
    </row>
    <row r="22">
      <c r="A22" s="3" t="inlineStr">
        <is>
          <t>/income-detail</t>
        </is>
      </c>
      <c r="B22" s="3" t="inlineStr">
        <is>
          <t>Menu</t>
        </is>
      </c>
      <c r="C22" s="3" t="inlineStr">
        <is>
          <t>Yes</t>
        </is>
      </c>
      <c r="D22" s="3" t="inlineStr"/>
    </row>
    <row r="23">
      <c r="A23" s="3" t="inlineStr">
        <is>
          <t>/income-manager</t>
        </is>
      </c>
      <c r="B23" s="3" t="inlineStr">
        <is>
          <t>Cashflow · Home</t>
        </is>
      </c>
      <c r="C23" s="3" t="inlineStr">
        <is>
          <t>Yes</t>
        </is>
      </c>
      <c r="D23" s="3" t="inlineStr"/>
    </row>
    <row r="24">
      <c r="A24" s="3" t="inlineStr">
        <is>
          <t>/insights</t>
        </is>
      </c>
      <c r="B24" s="3" t="inlineStr">
        <is>
          <t>Menu</t>
        </is>
      </c>
      <c r="C24" s="3" t="inlineStr">
        <is>
          <t>Yes — what needs you today</t>
        </is>
      </c>
      <c r="D24" s="3" t="inlineStr"/>
    </row>
    <row r="25">
      <c r="A25" s="3" t="inlineStr">
        <is>
          <t>/insurance</t>
        </is>
      </c>
      <c r="B25" s="3" t="inlineStr">
        <is>
          <t>Menu</t>
        </is>
      </c>
      <c r="C25" s="3" t="inlineStr">
        <is>
          <t>Borderline — matters at 55, less at 70</t>
        </is>
      </c>
      <c r="D25" s="3" t="inlineStr"/>
    </row>
    <row r="26">
      <c r="A26" s="3" t="inlineStr">
        <is>
          <t>/invest</t>
        </is>
      </c>
      <c r="B26" s="3" t="inlineStr">
        <is>
          <t>Performance</t>
        </is>
      </c>
      <c r="C26" s="3" t="inlineStr">
        <is>
          <t>Yes — Performance</t>
        </is>
      </c>
      <c r="D26" s="3" t="inlineStr"/>
    </row>
    <row r="27">
      <c r="A27" s="3" t="inlineStr">
        <is>
          <t>/itemize</t>
        </is>
      </c>
      <c r="B27" s="3" t="inlineStr">
        <is>
          <t>Networth</t>
        </is>
      </c>
      <c r="C27" s="3" t="inlineStr">
        <is>
          <t>Yes — splitting one lump into holdings</t>
        </is>
      </c>
      <c r="D27" s="3" t="inlineStr"/>
    </row>
    <row r="28">
      <c r="A28" s="3" t="inlineStr">
        <is>
          <t>/jobsafety</t>
        </is>
      </c>
      <c r="B28" s="3" t="inlineStr">
        <is>
          <t>Menu</t>
        </is>
      </c>
      <c r="C28" s="3" t="inlineStr">
        <is>
          <t>No — a working-age worry</t>
        </is>
      </c>
      <c r="D28" s="3" t="inlineStr"/>
    </row>
    <row r="29">
      <c r="A29" s="3" t="inlineStr">
        <is>
          <t>/look-back</t>
        </is>
      </c>
      <c r="B29" s="3" t="inlineStr">
        <is>
          <t>Cashflow · Home · Networth · Performance · Plan</t>
        </is>
      </c>
      <c r="C29" s="3" t="inlineStr">
        <is>
          <t>Borderline — interesting, not needed to trust a number</t>
        </is>
      </c>
      <c r="D29" s="3" t="inlineStr"/>
    </row>
    <row r="30">
      <c r="A30" s="3" t="inlineStr">
        <is>
          <t>/month-detail</t>
        </is>
      </c>
      <c r="B30" s="3" t="inlineStr">
        <is>
          <t>Cashflow · Home</t>
        </is>
      </c>
      <c r="C30" s="3" t="inlineStr">
        <is>
          <t>Yes</t>
        </is>
      </c>
      <c r="D30" s="3" t="inlineStr"/>
    </row>
    <row r="31">
      <c r="A31" s="3" t="inlineStr">
        <is>
          <t>/monthly-income</t>
        </is>
      </c>
      <c r="B31" s="3" t="inlineStr">
        <is>
          <t>Cashflow · Home · Plan</t>
        </is>
      </c>
      <c r="C31" s="3" t="inlineStr">
        <is>
          <t>Yes</t>
        </is>
      </c>
      <c r="D31" s="3" t="inlineStr"/>
    </row>
    <row r="32">
      <c r="A32" s="3" t="inlineStr">
        <is>
          <t>/multi-goal</t>
        </is>
      </c>
      <c r="B32" s="3" t="inlineStr">
        <is>
          <t>Plan</t>
        </is>
      </c>
      <c r="C32" s="3" t="inlineStr">
        <is>
          <t>Yes</t>
        </is>
      </c>
      <c r="D32" s="3" t="inlineStr"/>
    </row>
    <row r="33">
      <c r="A33" s="3" t="inlineStr">
        <is>
          <t>/onboarding</t>
        </is>
      </c>
      <c r="B33" s="3" t="inlineStr">
        <is>
          <t>Cashflow · Home</t>
        </is>
      </c>
      <c r="C33" s="3" t="inlineStr">
        <is>
          <t>Yes</t>
        </is>
      </c>
      <c r="D33" s="3" t="inlineStr"/>
    </row>
    <row r="34">
      <c r="A34" s="3" t="inlineStr">
        <is>
          <t>/other-investments</t>
        </is>
      </c>
      <c r="B34" s="3" t="inlineStr">
        <is>
          <t>Menu</t>
        </is>
      </c>
      <c r="C34" s="3" t="inlineStr">
        <is>
          <t>Yes — the things with no market price</t>
        </is>
      </c>
      <c r="D34" s="3" t="inlineStr"/>
    </row>
    <row r="35">
      <c r="A35" s="3" t="inlineStr">
        <is>
          <t>/paycheck-months</t>
        </is>
      </c>
      <c r="B35" s="3" t="inlineStr">
        <is>
          <t>Cashflow · Home · Plan</t>
        </is>
      </c>
      <c r="C35" s="3" t="inlineStr">
        <is>
          <t>Yes</t>
        </is>
      </c>
      <c r="D35" s="3" t="inlineStr"/>
    </row>
    <row r="36">
      <c r="A36" s="3" t="inlineStr">
        <is>
          <t>/performance</t>
        </is>
      </c>
      <c r="B36" s="3" t="inlineStr">
        <is>
          <t>Cashflow · Home · Plan</t>
        </is>
      </c>
      <c r="C36" s="3" t="inlineStr">
        <is>
          <t>Yes — a second route to Performance</t>
        </is>
      </c>
      <c r="D36" s="3" t="inlineStr"/>
    </row>
    <row r="37">
      <c r="A37" s="3" t="inlineStr">
        <is>
          <t>/plan</t>
        </is>
      </c>
      <c r="B37" s="3" t="inlineStr">
        <is>
          <t>Plan</t>
        </is>
      </c>
      <c r="C37" s="3" t="inlineStr">
        <is>
          <t>Yes — Plan</t>
        </is>
      </c>
      <c r="D37" s="3" t="inlineStr"/>
    </row>
    <row r="38">
      <c r="A38" s="3" t="inlineStr">
        <is>
          <t>/required-withdrawals</t>
        </is>
      </c>
      <c r="B38" s="3" t="inlineStr">
        <is>
          <t>Plan</t>
        </is>
      </c>
      <c r="C38" s="3" t="inlineStr">
        <is>
          <t>Yes — a 73+ obligation</t>
        </is>
      </c>
      <c r="D38" s="3" t="inlineStr"/>
    </row>
    <row r="39">
      <c r="A39" s="3" t="inlineStr">
        <is>
          <t>/retirement</t>
        </is>
      </c>
      <c r="B39" s="3" t="inlineStr">
        <is>
          <t>Cashflow · Home · Plan</t>
        </is>
      </c>
      <c r="C39" s="3" t="inlineStr">
        <is>
          <t>Yes — the cockpit</t>
        </is>
      </c>
      <c r="D39" s="3" t="inlineStr"/>
    </row>
    <row r="40">
      <c r="A40" s="3" t="inlineStr">
        <is>
          <t>/rewards</t>
        </is>
      </c>
      <c r="B40" s="3" t="inlineStr">
        <is>
          <t>Menu</t>
        </is>
      </c>
      <c r="C40" s="3" t="inlineStr">
        <is>
          <t>No — encouragement, not a number</t>
        </is>
      </c>
      <c r="D40" s="3" t="inlineStr"/>
    </row>
    <row r="41">
      <c r="A41" s="3" t="inlineStr">
        <is>
          <t>/roth</t>
        </is>
      </c>
      <c r="B41" s="3" t="inlineStr">
        <is>
          <t>Plan</t>
        </is>
      </c>
      <c r="C41" s="3" t="inlineStr">
        <is>
          <t>Yes — a 55-70 decision</t>
        </is>
      </c>
      <c r="D41" s="3" t="inlineStr"/>
    </row>
    <row r="42">
      <c r="A42" s="3" t="inlineStr">
        <is>
          <t>/settings</t>
        </is>
      </c>
      <c r="B42" s="3" t="inlineStr">
        <is>
          <t>Menu</t>
        </is>
      </c>
      <c r="C42" s="3" t="inlineStr">
        <is>
          <t>Yes — carries hide-balances and the lock</t>
        </is>
      </c>
      <c r="D42" s="3" t="inlineStr"/>
    </row>
    <row r="43">
      <c r="A43" s="3" t="inlineStr">
        <is>
          <t>/sharpen</t>
        </is>
      </c>
      <c r="B43" s="3" t="inlineStr">
        <is>
          <t>Plan</t>
        </is>
      </c>
      <c r="C43" s="3" t="inlineStr">
        <is>
          <t>Borderline — a way in, not a figure</t>
        </is>
      </c>
      <c r="D43" s="3" t="inlineStr"/>
    </row>
    <row r="44">
      <c r="A44" s="3" t="inlineStr">
        <is>
          <t>/ss-timing</t>
        </is>
      </c>
      <c r="B44" s="3" t="inlineStr">
        <is>
          <t>Plan</t>
        </is>
      </c>
      <c r="C44" s="3" t="inlineStr">
        <is>
          <t>Yes — a 55-70 decision</t>
        </is>
      </c>
      <c r="D44" s="3" t="inlineStr"/>
    </row>
    <row r="45">
      <c r="A45" s="3" t="inlineStr">
        <is>
          <t>/stress-test</t>
        </is>
      </c>
      <c r="B45" s="3" t="inlineStr">
        <is>
          <t>Menu</t>
        </is>
      </c>
      <c r="C45" s="3" t="inlineStr">
        <is>
          <t>Borderline</t>
        </is>
      </c>
      <c r="D45" s="3" t="inlineStr"/>
    </row>
    <row r="46">
      <c r="A46" s="3" t="inlineStr">
        <is>
          <t>/tax-organizer</t>
        </is>
      </c>
      <c r="B46" s="3" t="inlineStr">
        <is>
          <t>Menu</t>
        </is>
      </c>
      <c r="C46" s="3" t="inlineStr">
        <is>
          <t>Yes</t>
        </is>
      </c>
      <c r="D46" s="3" t="inlineStr"/>
    </row>
    <row r="47">
      <c r="A47" s="3" t="inlineStr">
        <is>
          <t>/tips</t>
        </is>
      </c>
      <c r="B47" s="3" t="inlineStr">
        <is>
          <t>Menu</t>
        </is>
      </c>
      <c r="C47" s="3" t="inlineStr">
        <is>
          <t>No — encouragement, not a number</t>
        </is>
      </c>
      <c r="D47" s="3" t="inlineStr"/>
    </row>
    <row r="48">
      <c r="A48" s="3" t="inlineStr">
        <is>
          <t>/what-if</t>
        </is>
      </c>
      <c r="B48" s="3" t="inlineStr">
        <is>
          <t>Cashflow · Home · Performance · Plan</t>
        </is>
      </c>
      <c r="C48" s="3" t="inlineStr">
        <is>
          <t>Yes</t>
        </is>
      </c>
      <c r="D48" s="3" t="inlineStr"/>
    </row>
    <row r="49">
      <c r="A49" s="3" t="inlineStr">
        <is>
          <t>/will-it-last</t>
        </is>
      </c>
      <c r="B49" s="3" t="inlineStr">
        <is>
          <t>Plan</t>
        </is>
      </c>
      <c r="C49" s="3" t="inlineStr">
        <is>
          <t>Yes — the question the whole plan answers</t>
        </is>
      </c>
      <c r="D49" s="3" t="inlineStr"/>
    </row>
    <row r="50">
      <c r="A50" s="3" t="inlineStr">
        <is>
          <t>/worth-a-look</t>
        </is>
      </c>
      <c r="B50" s="3" t="inlineStr">
        <is>
          <t>Menu</t>
        </is>
      </c>
      <c r="C50" s="3" t="inlineStr">
        <is>
          <t>Borderline</t>
        </is>
      </c>
      <c r="D50" s="3"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51"/>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70" customWidth="1" min="5" max="5"/>
  </cols>
  <sheetData>
    <row r="1">
      <c r="A1" s="1" t="inlineStr">
        <is>
          <t>Input ID</t>
        </is>
      </c>
      <c r="B1" s="1" t="inlineStr">
        <is>
          <t>Input</t>
        </is>
      </c>
      <c r="C1" s="1" t="inlineStr">
        <is>
          <t>Engines the inputs tab says use it</t>
        </is>
      </c>
      <c r="D1" s="1" t="inlineStr">
        <is>
          <t>Engines that actually name it in their own input list</t>
        </is>
      </c>
      <c r="E1" s="1" t="inlineStr">
        <is>
          <t>Verdict</t>
        </is>
      </c>
    </row>
    <row r="2">
      <c r="A2" s="3" t="inlineStr">
        <is>
          <t>MK-XS-I-001</t>
        </is>
      </c>
      <c r="B2" s="3" t="inlineStr">
        <is>
          <t>account balance</t>
        </is>
      </c>
      <c r="C2" s="3" t="inlineStr">
        <is>
          <t>NET_WORTH · REQUIRED_WITHDRAWAL · TOTAL_CASH · TOTAL_INVESTMENTS</t>
        </is>
      </c>
      <c r="D2" s="3" t="inlineStr">
        <is>
          <t>ACCOUNT_SHARE_OF_TOTAL · ACCOUNT_SPLIT · ALLOCATION_BY_CLASS · BOND_CURRENT_YIELD · BOND_YIELD_TO_MATURITY · DEBT_PICTURE · HAND_VALUE_AGE · NET_WORTH · PLANNED_SPENDING · POT_AT_RETIREMENT · TOTAL_CASH · TOTAL_INVESTABLE · TOTAL_INVESTMENTS</t>
        </is>
      </c>
      <c r="E2" s="3" t="inlineStr">
        <is>
          <t>PARTLY AGREES — declared but not naming it: REQUIRED_WITHDRAWAL  |  naming it but not declared: ACCOUNT_SHARE_OF_TOTAL, ACCOUNT_SPLIT, ALLOCATION_BY_CLASS, BOND_CURRENT_YIELD, BOND_YIELD_TO_MATURITY, DEBT_PICTURE, HAND_VALUE_AGE, PLANNED_SPENDING, POT_AT_RETIREMENT, TOTAL_INVESTABLE</t>
        </is>
      </c>
    </row>
    <row r="3">
      <c r="A3" s="3" t="inlineStr">
        <is>
          <t>MK-XS-I-002</t>
        </is>
      </c>
      <c r="B3" s="3" t="inlineStr">
        <is>
          <t>account type (taxable, pre-tax, Roth)</t>
        </is>
      </c>
      <c r="C3" s="3" t="inlineStr">
        <is>
          <t>REQUIRED_WITHDRAWAL · TAX_TREATMENT</t>
        </is>
      </c>
      <c r="D3" s="3" t="inlineStr">
        <is>
          <t>—</t>
        </is>
      </c>
      <c r="E3" s="3" t="inlineStr">
        <is>
          <t>DECLARED BUT NEVER NAMED — the inputs tab says these engines use it, but no engine names it in its own input list. Unproved in one direction.</t>
        </is>
      </c>
    </row>
    <row r="4">
      <c r="A4" s="3" t="inlineStr">
        <is>
          <t>MK-XS-I-003</t>
        </is>
      </c>
      <c r="B4" s="3" t="inlineStr">
        <is>
          <t>institution name</t>
        </is>
      </c>
      <c r="C4" s="3" t="inlineStr">
        <is>
          <t>ACCOUNT_SPLIT</t>
        </is>
      </c>
      <c r="D4" s="3" t="inlineStr">
        <is>
          <t>—</t>
        </is>
      </c>
      <c r="E4" s="3" t="inlineStr">
        <is>
          <t>DECLARED BUT NEVER NAMED — the inputs tab says these engines use it, but no engine names it in its own input list. Unproved in one direction.</t>
        </is>
      </c>
    </row>
    <row r="5">
      <c r="A5" s="3" t="inlineStr">
        <is>
          <t>MK-XS-I-004</t>
        </is>
      </c>
      <c r="B5" s="3" t="inlineStr">
        <is>
          <t>holding quantity (shares)</t>
        </is>
      </c>
      <c r="C5" s="3" t="inlineStr">
        <is>
          <t>HOLDING_MARKET_VALUE · HOLDING_SHARES</t>
        </is>
      </c>
      <c r="D5" s="3" t="inlineStr">
        <is>
          <t>ACCOUNT_SPLIT · BOND_COUPON · BOND_FACTS · HOLDING_COST_BASIS · HOLDING_MARKET_VALUE · HOLDING_SHARES · PERFORMANCE_TABLE</t>
        </is>
      </c>
      <c r="E5" s="3" t="inlineStr">
        <is>
          <t>PARTLY AGREES — naming it but not declared: ACCOUNT_SPLIT, BOND_COUPON, BOND_FACTS, HOLDING_COST_BASIS, PERFORMANCE_TABLE</t>
        </is>
      </c>
    </row>
    <row r="6">
      <c r="A6" s="3" t="inlineStr">
        <is>
          <t>MK-XS-I-005</t>
        </is>
      </c>
      <c r="B6" s="3" t="inlineStr">
        <is>
          <t>holding price</t>
        </is>
      </c>
      <c r="C6" s="3" t="inlineStr">
        <is>
          <t>HOLDING_MARKET_VALUE · PRICE_FRESHNESS</t>
        </is>
      </c>
      <c r="D6" s="3" t="inlineStr">
        <is>
          <t>HOLDING_CAP_GAINS · HOLDING_MARKET_VALUE · PERFORMANCE_TABLE</t>
        </is>
      </c>
      <c r="E6" s="3" t="inlineStr">
        <is>
          <t>PARTLY AGREES — declared but not naming it: PRICE_FRESHNESS  |  naming it but not declared: HOLDING_CAP_GAINS, PERFORMANCE_TABLE</t>
        </is>
      </c>
    </row>
    <row r="7">
      <c r="A7" s="3" t="inlineStr">
        <is>
          <t>MK-XS-I-006</t>
        </is>
      </c>
      <c r="B7" s="3" t="inlineStr">
        <is>
          <t>price fetched at</t>
        </is>
      </c>
      <c r="C7" s="3" t="inlineStr">
        <is>
          <t>PRICE_FRESHNESS</t>
        </is>
      </c>
      <c r="D7" s="3" t="inlineStr">
        <is>
          <t>PRICE_FRESHNESS</t>
        </is>
      </c>
      <c r="E7" s="3" t="inlineStr">
        <is>
          <t>AGREES — both directions name the same engines.</t>
        </is>
      </c>
    </row>
    <row r="8">
      <c r="A8" s="3" t="inlineStr">
        <is>
          <t>MK-XS-I-007</t>
        </is>
      </c>
      <c r="B8" s="3" t="inlineStr">
        <is>
          <t>purchase price and date (per lot)</t>
        </is>
      </c>
      <c r="C8" s="3" t="inlineStr">
        <is>
          <t>HOLDING_CAP_GAINS · HOLDING_COST_BASIS</t>
        </is>
      </c>
      <c r="D8" s="3" t="inlineStr">
        <is>
          <t>HOLDING_CAP_GAINS · HOLDING_COST_BASIS · HOLDING_SHARES</t>
        </is>
      </c>
      <c r="E8" s="3" t="inlineStr">
        <is>
          <t>PARTLY AGREES — naming it but not declared: HOLDING_SHARES</t>
        </is>
      </c>
    </row>
    <row r="9">
      <c r="A9" s="3" t="inlineStr">
        <is>
          <t>MK-XS-I-008</t>
        </is>
      </c>
      <c r="B9" s="3" t="inlineStr">
        <is>
          <t>transaction amount</t>
        </is>
      </c>
      <c r="C9" s="3" t="inlineStr">
        <is>
          <t>LEDGER · NW_CHANGE_WALK</t>
        </is>
      </c>
      <c r="D9" s="3" t="inlineStr">
        <is>
          <t>LOOK_BACK · REALISED_GAIN · RETIREMENT_INCOME_NOW · SS_BENEFIT_AT_AGE · SS_CLAIM_FACTOR</t>
        </is>
      </c>
      <c r="E9" s="3" t="inlineStr">
        <is>
          <t>PARTLY AGREES — declared but not naming it: LEDGER, NW_CHANGE_WALK  |  naming it but not declared: LOOK_BACK, REALISED_GAIN, RETIREMENT_INCOME_NOW, SS_BENEFIT_AT_AGE, SS_CLAIM_FACTOR</t>
        </is>
      </c>
    </row>
    <row r="10">
      <c r="A10" s="3" t="inlineStr">
        <is>
          <t>MK-XS-I-009</t>
        </is>
      </c>
      <c r="B10" s="3" t="inlineStr">
        <is>
          <t>transaction date</t>
        </is>
      </c>
      <c r="C10" s="3" t="inlineStr">
        <is>
          <t>LEDGER · NW_CHANGE_WALK</t>
        </is>
      </c>
      <c r="D10" s="3" t="inlineStr">
        <is>
          <t>—</t>
        </is>
      </c>
      <c r="E10" s="3" t="inlineStr">
        <is>
          <t>DECLARED BUT NEVER NAMED — the inputs tab says these engines use it, but no engine names it in its own input list. Unproved in one direction.</t>
        </is>
      </c>
    </row>
    <row r="11">
      <c r="A11" s="3" t="inlineStr">
        <is>
          <t>MK-XS-I-010</t>
        </is>
      </c>
      <c r="B11" s="3" t="inlineStr">
        <is>
          <t>transaction words (the institution's own wording)</t>
        </is>
      </c>
      <c r="C11" s="3" t="inlineStr">
        <is>
          <t>LEDGER · the institution-words table</t>
        </is>
      </c>
      <c r="D11" s="3" t="inlineStr">
        <is>
          <t>—</t>
        </is>
      </c>
      <c r="E11" s="3" t="inlineStr">
        <is>
          <t>DECLARED BUT NEVER NAMED — the inputs tab says these engines use it, but no engine names it in its own input list. Unproved in one direction.</t>
        </is>
      </c>
    </row>
    <row r="12">
      <c r="A12" s="3" t="inlineStr">
        <is>
          <t>MK-XS-I-011</t>
        </is>
      </c>
      <c r="B12" s="3" t="inlineStr">
        <is>
          <t>bond face value</t>
        </is>
      </c>
      <c r="C12" s="3" t="inlineStr">
        <is>
          <t>BOND_FACTS</t>
        </is>
      </c>
      <c r="D12" s="3" t="inlineStr">
        <is>
          <t>BOND_COUPON · BOND_FACTS · BOND_YIELD_TO_MATURITY</t>
        </is>
      </c>
      <c r="E12" s="3" t="inlineStr">
        <is>
          <t>PARTLY AGREES — naming it but not declared: BOND_COUPON, BOND_YIELD_TO_MATURITY</t>
        </is>
      </c>
    </row>
    <row r="13">
      <c r="A13" s="3" t="inlineStr">
        <is>
          <t>MK-XS-I-012</t>
        </is>
      </c>
      <c r="B13" s="3" t="inlineStr">
        <is>
          <t>bond coupon rate</t>
        </is>
      </c>
      <c r="C13" s="3" t="inlineStr">
        <is>
          <t>BOND_COUPON · BOND_CURRENT_YIELD</t>
        </is>
      </c>
      <c r="D13" s="3" t="inlineStr">
        <is>
          <t>BOND_COUPON · BOND_CURRENT_YIELD · BOND_FACTS · BOND_YIELD_TO_MATURITY</t>
        </is>
      </c>
      <c r="E13" s="3" t="inlineStr">
        <is>
          <t>PARTLY AGREES — naming it but not declared: BOND_FACTS, BOND_YIELD_TO_MATURITY</t>
        </is>
      </c>
    </row>
    <row r="14">
      <c r="A14" s="3" t="inlineStr">
        <is>
          <t>MK-XS-I-013</t>
        </is>
      </c>
      <c r="B14" s="3" t="inlineStr">
        <is>
          <t>bond maturity date</t>
        </is>
      </c>
      <c r="C14" s="3" t="inlineStr">
        <is>
          <t>BOND_YEARS_LEFT · BOND_YIELD_TO_MATURITY</t>
        </is>
      </c>
      <c r="D14" s="3" t="inlineStr">
        <is>
          <t>BOND_YEARS_LEFT · BOND_YIELD_TO_MATURITY</t>
        </is>
      </c>
      <c r="E14" s="3" t="inlineStr">
        <is>
          <t>AGREES — both directions name the same engines.</t>
        </is>
      </c>
    </row>
    <row r="15">
      <c r="A15" s="3" t="inlineStr">
        <is>
          <t>MK-XS-I-014</t>
        </is>
      </c>
      <c r="B15" s="3" t="inlineStr">
        <is>
          <t>debt balance</t>
        </is>
      </c>
      <c r="C15" s="3" t="inlineStr">
        <is>
          <t>DEBT_PICTURE</t>
        </is>
      </c>
      <c r="D15" s="3" t="inlineStr">
        <is>
          <t>DEBT_PICTURE · NET_WORTH</t>
        </is>
      </c>
      <c r="E15" s="3" t="inlineStr">
        <is>
          <t>PARTLY AGREES — naming it but not declared: NET_WORTH</t>
        </is>
      </c>
    </row>
    <row r="16">
      <c r="A16" s="3" t="inlineStr">
        <is>
          <t>MK-XS-I-015</t>
        </is>
      </c>
      <c r="B16" s="3" t="inlineStr">
        <is>
          <t>debt interest rate</t>
        </is>
      </c>
      <c r="C16" s="3" t="inlineStr">
        <is>
          <t>DEBT_PAYOFF</t>
        </is>
      </c>
      <c r="D16" s="3" t="inlineStr">
        <is>
          <t>DEBT_PICTURE · NET_WORTH</t>
        </is>
      </c>
      <c r="E16" s="3" t="inlineStr">
        <is>
          <t>PARTLY AGREES — declared but not naming it: DEBT_PAYOFF  |  naming it but not declared: DEBT_PICTURE, NET_WORTH</t>
        </is>
      </c>
    </row>
    <row r="17">
      <c r="A17" s="3" t="inlineStr">
        <is>
          <t>MK-XS-I-016</t>
        </is>
      </c>
      <c r="B17" s="3" t="inlineStr">
        <is>
          <t>debt minimum payment</t>
        </is>
      </c>
      <c r="C17" s="3" t="inlineStr">
        <is>
          <t>DEBT_REQUIRED_PAYMENT</t>
        </is>
      </c>
      <c r="D17" s="3" t="inlineStr">
        <is>
          <t>DEBT_PICTURE · DEBT_REQUIRED_PAYMENT · NET_WORTH · SPENDING_BY_KIND</t>
        </is>
      </c>
      <c r="E17" s="3" t="inlineStr">
        <is>
          <t>PARTLY AGREES — naming it but not declared: DEBT_PICTURE, NET_WORTH, SPENDING_BY_KIND</t>
        </is>
      </c>
    </row>
    <row r="18">
      <c r="A18" s="3" t="inlineStr">
        <is>
          <t>MK-XS-I-017</t>
        </is>
      </c>
      <c r="B18" s="3" t="inlineStr">
        <is>
          <t>birth year</t>
        </is>
      </c>
      <c r="C18" s="3" t="inlineStr">
        <is>
          <t>RMD_START_AGE · SS_BENEFIT_AT_AGE</t>
        </is>
      </c>
      <c r="D18" s="3" t="inlineStr">
        <is>
          <t>SS_BENEFIT_AT_AGE · SS_CLAIM_FACTOR · WHAT_THE_PLAN_STILL_NEEDS · WILL_IT_LAST_INPUTS</t>
        </is>
      </c>
      <c r="E18" s="3" t="inlineStr">
        <is>
          <t>PARTLY AGREES — declared but not naming it: RMD_START_AGE  |  naming it but not declared: SS_CLAIM_FACTOR, WHAT_THE_PLAN_STILL_NEEDS, WILL_IT_LAST_INPUTS</t>
        </is>
      </c>
    </row>
    <row r="19">
      <c r="A19" s="3" t="inlineStr">
        <is>
          <t>MK-XS-I-018</t>
        </is>
      </c>
      <c r="B19" s="3" t="inlineStr">
        <is>
          <t>retirement age</t>
        </is>
      </c>
      <c r="C19" s="3" t="inlineStr">
        <is>
          <t>POT_AT_RETIREMENT · WILL_IT_LAST_RESULT</t>
        </is>
      </c>
      <c r="D19" s="3" t="inlineStr">
        <is>
          <t>SS_BENEFIT_AT_AGE · SS_CLAIM_FACTOR</t>
        </is>
      </c>
      <c r="E19" s="3" t="inlineStr">
        <is>
          <t>PARTLY AGREES — declared but not naming it: POT_AT_RETIREMENT, WILL_IT_LAST_RESULT  |  naming it but not declared: SS_BENEFIT_AT_AGE, SS_CLAIM_FACTOR</t>
        </is>
      </c>
    </row>
    <row r="20">
      <c r="A20" s="3" t="inlineStr">
        <is>
          <t>MK-XS-I-019</t>
        </is>
      </c>
      <c r="B20" s="3" t="inlineStr">
        <is>
          <t>monthly spending in retirement</t>
        </is>
      </c>
      <c r="C20" s="3" t="inlineStr">
        <is>
          <t>WILL_IT_LAST_INPUTS</t>
        </is>
      </c>
      <c r="D20" s="3" t="inlineStr">
        <is>
          <t>—</t>
        </is>
      </c>
      <c r="E20" s="3" t="inlineStr">
        <is>
          <t>DECLARED BUT NEVER NAMED — the inputs tab says these engines use it, but no engine names it in its own input list. Unproved in one direction.</t>
        </is>
      </c>
    </row>
    <row r="21">
      <c r="A21" s="3" t="inlineStr">
        <is>
          <t>MK-XS-I-020</t>
        </is>
      </c>
      <c r="B21" s="3" t="inlineStr">
        <is>
          <t>Social Security monthly amount</t>
        </is>
      </c>
      <c r="C21" s="3" t="inlineStr">
        <is>
          <t>RETIREMENT_INCOME_NOW · SS_BENEFIT_AT_AGE</t>
        </is>
      </c>
      <c r="D21" s="3" t="inlineStr">
        <is>
          <t>RETIREMENT_INCOME · SS_BENEFIT_AT_AGE · SS_CLAIM_FACTOR</t>
        </is>
      </c>
      <c r="E21" s="3" t="inlineStr">
        <is>
          <t>PARTLY AGREES — declared but not naming it: RETIREMENT_INCOME_NOW  |  naming it but not declared: RETIREMENT_INCOME, SS_CLAIM_FACTOR</t>
        </is>
      </c>
    </row>
    <row r="22">
      <c r="A22" s="3" t="inlineStr">
        <is>
          <t>MK-XS-I-021</t>
        </is>
      </c>
      <c r="B22" s="3" t="inlineStr">
        <is>
          <t>Social Security claim age</t>
        </is>
      </c>
      <c r="C22" s="3" t="inlineStr">
        <is>
          <t>SS_CLAIM_FACTOR</t>
        </is>
      </c>
      <c r="D22" s="3" t="inlineStr">
        <is>
          <t>SS_BENEFIT_AT_AGE · SS_CLAIM_FACTOR</t>
        </is>
      </c>
      <c r="E22" s="3" t="inlineStr">
        <is>
          <t>PARTLY AGREES — naming it but not declared: SS_BENEFIT_AT_AGE</t>
        </is>
      </c>
    </row>
    <row r="23">
      <c r="A23" s="3" t="inlineStr">
        <is>
          <t>MK-XS-I-022</t>
        </is>
      </c>
      <c r="B23" s="3" t="inlineStr">
        <is>
          <t>pension monthly amount</t>
        </is>
      </c>
      <c r="C23" s="3" t="inlineStr">
        <is>
          <t>RETIREMENT_INCOME_NOW</t>
        </is>
      </c>
      <c r="D23" s="3" t="inlineStr">
        <is>
          <t>RETIREMENT_INCOME</t>
        </is>
      </c>
      <c r="E23" s="3" t="inlineStr">
        <is>
          <t>PARTLY AGREES — declared but not naming it: RETIREMENT_INCOME_NOW  |  naming it but not declared: RETIREMENT_INCOME</t>
        </is>
      </c>
    </row>
    <row r="24">
      <c r="A24" s="3" t="inlineStr">
        <is>
          <t>MK-XS-I-023</t>
        </is>
      </c>
      <c r="B24" s="3" t="inlineStr">
        <is>
          <t>salary and other income</t>
        </is>
      </c>
      <c r="C24" s="3" t="inlineStr">
        <is>
          <t>TOTAL_INCOME</t>
        </is>
      </c>
      <c r="D24" s="3" t="inlineStr">
        <is>
          <t>RENTAL_INCOME_A_YEAR · TAXABLE_INCOME</t>
        </is>
      </c>
      <c r="E24" s="3" t="inlineStr">
        <is>
          <t>PARTLY AGREES — declared but not naming it: TOTAL_INCOME  |  naming it but not declared: RENTAL_INCOME_A_YEAR, TAXABLE_INCOME</t>
        </is>
      </c>
    </row>
    <row r="25">
      <c r="A25" s="3" t="inlineStr">
        <is>
          <t>MK-XS-I-024</t>
        </is>
      </c>
      <c r="B25" s="3" t="inlineStr">
        <is>
          <t>logged spending</t>
        </is>
      </c>
      <c r="C25" s="3" t="inlineStr">
        <is>
          <t>PLANNED_SPENDING · SPENDING_BY_KIND</t>
        </is>
      </c>
      <c r="D25" s="3" t="inlineStr">
        <is>
          <t>PLANNED_SPENDING · RETIREMENT_SPENDING · TOTAL_CASH · WHAT_THE_PLAN_STILL_NEEDS · WILL_IT_LAST_INPUTS</t>
        </is>
      </c>
      <c r="E25" s="3" t="inlineStr">
        <is>
          <t>PARTLY AGREES — declared but not naming it: SPENDING_BY_KIND  |  naming it but not declared: RETIREMENT_SPENDING, TOTAL_CASH, WHAT_THE_PLAN_STILL_NEEDS, WILL_IT_LAST_INPUTS</t>
        </is>
      </c>
    </row>
    <row r="26">
      <c r="A26" s="3" t="inlineStr">
        <is>
          <t>MK-XS-I-025</t>
        </is>
      </c>
      <c r="B26" s="3" t="inlineStr">
        <is>
          <t>typical monthly essentials</t>
        </is>
      </c>
      <c r="C26" s="3" t="inlineStr">
        <is>
          <t>JOB_SAFETY_RUNWAY · PLANNED_SPENDING</t>
        </is>
      </c>
      <c r="D26" s="3" t="inlineStr">
        <is>
          <t>—</t>
        </is>
      </c>
      <c r="E26" s="3" t="inlineStr">
        <is>
          <t>DECLARED BUT NEVER NAMED — the inputs tab says these engines use it, but no engine names it in its own input list. Unproved in one direction.</t>
        </is>
      </c>
    </row>
    <row r="27">
      <c r="A27" s="3" t="inlineStr">
        <is>
          <t>MK-XS-I-026</t>
        </is>
      </c>
      <c r="B27" s="3" t="inlineStr">
        <is>
          <t>big costs (amount and year)</t>
        </is>
      </c>
      <c r="C27" s="3" t="inlineStr">
        <is>
          <t>BIG_COSTS</t>
        </is>
      </c>
      <c r="D27" s="3" t="inlineStr">
        <is>
          <t>—</t>
        </is>
      </c>
      <c r="E27" s="3" t="inlineStr">
        <is>
          <t>DECLARED BUT NEVER NAMED — the inputs tab says these engines use it, but no engine names it in its own input list. Unproved in one direction.</t>
        </is>
      </c>
    </row>
    <row r="28">
      <c r="A28" s="3" t="inlineStr">
        <is>
          <t>MK-XS-I-027</t>
        </is>
      </c>
      <c r="B28" s="3" t="inlineStr">
        <is>
          <t>goals (target, saved, date)</t>
        </is>
      </c>
      <c r="C28" s="3" t="inlineStr">
        <is>
          <t>GOAL_PROGRESS</t>
        </is>
      </c>
      <c r="D28" s="3" t="inlineStr">
        <is>
          <t>—</t>
        </is>
      </c>
      <c r="E28" s="3" t="inlineStr">
        <is>
          <t>DECLARED BUT NEVER NAMED — the inputs tab says these engines use it, but no engine names it in its own input list. Unproved in one direction.</t>
        </is>
      </c>
    </row>
    <row r="29">
      <c r="A29" s="3" t="inlineStr">
        <is>
          <t>MK-XS-I-028</t>
        </is>
      </c>
      <c r="B29" s="3" t="inlineStr">
        <is>
          <t>assumed return</t>
        </is>
      </c>
      <c r="C29" s="3" t="inlineStr">
        <is>
          <t>POT_AT_RETIREMENT · WILL_IT_LAST_RESULT</t>
        </is>
      </c>
      <c r="D29" s="3" t="inlineStr">
        <is>
          <t>ACCOUNT_SHARE_OF_TOTAL</t>
        </is>
      </c>
      <c r="E29" s="3" t="inlineStr">
        <is>
          <t>PARTLY AGREES — declared but not naming it: POT_AT_RETIREMENT, WILL_IT_LAST_RESULT  |  naming it but not declared: ACCOUNT_SHARE_OF_TOTAL</t>
        </is>
      </c>
    </row>
    <row r="30">
      <c r="A30" s="3" t="inlineStr">
        <is>
          <t>MK-XS-I-029</t>
        </is>
      </c>
      <c r="B30" s="3" t="inlineStr">
        <is>
          <t>inflation rate</t>
        </is>
      </c>
      <c r="C30" s="3" t="inlineStr">
        <is>
          <t>WILL_IT_LAST_INPUTS</t>
        </is>
      </c>
      <c r="D30" s="3" t="inlineStr">
        <is>
          <t>—</t>
        </is>
      </c>
      <c r="E30" s="3" t="inlineStr">
        <is>
          <t>DECLARED BUT NEVER NAMED — the inputs tab says these engines use it, but no engine names it in its own input list. Unproved in one direction.</t>
        </is>
      </c>
    </row>
    <row r="31">
      <c r="A31" s="3" t="inlineStr">
        <is>
          <t>MK-XS-I-030</t>
        </is>
      </c>
      <c r="B31" s="3" t="inlineStr">
        <is>
          <t>tax filing status and age</t>
        </is>
      </c>
      <c r="C31" s="3" t="inlineStr">
        <is>
          <t>TAXABLE_INCOME · TAX_ON_CONVERSION</t>
        </is>
      </c>
      <c r="D31" s="3" t="inlineStr">
        <is>
          <t>PLANNED_SPENDING · TAXABLE_INCOME · TOTAL_CASH</t>
        </is>
      </c>
      <c r="E31" s="3" t="inlineStr">
        <is>
          <t>PARTLY AGREES — declared but not naming it: TAX_ON_CONVERSION  |  naming it but not declared: PLANNED_SPENDING, TOTAL_CASH</t>
        </is>
      </c>
    </row>
    <row r="32">
      <c r="A32" s="3" t="inlineStr">
        <is>
          <t>MK-XS-I-031</t>
        </is>
      </c>
      <c r="B32" s="3" t="inlineStr">
        <is>
          <t>daily and monthly snapshots</t>
        </is>
      </c>
      <c r="C32" s="3" t="inlineStr">
        <is>
          <t>NW_CHANGE_WALK · TREND_SERIES</t>
        </is>
      </c>
      <c r="D32" s="3" t="inlineStr">
        <is>
          <t>NW_CHANGE_PCT · NW_CHANGE_WALK · TREND_SERIES</t>
        </is>
      </c>
      <c r="E32" s="3" t="inlineStr">
        <is>
          <t>PARTLY AGREES — naming it but not declared: NW_CHANGE_PCT</t>
        </is>
      </c>
    </row>
    <row r="33">
      <c r="A33" s="3" t="inlineStr">
        <is>
          <t>MK-XS-I-032</t>
        </is>
      </c>
      <c r="B33" s="3" t="inlineStr">
        <is>
          <t>spending categories the person set up</t>
        </is>
      </c>
      <c r="C33" s="3" t="inlineStr">
        <is>
          <t>PLANNED_SPENDING · SPENDING_BY_KIND</t>
        </is>
      </c>
      <c r="D33" s="3" t="inlineStr">
        <is>
          <t>DEBT_REQUIRED_PAYMENT · PLANNED_SPENDING · SPENDING_BY_KIND · TOTAL_CASH</t>
        </is>
      </c>
      <c r="E33" s="3" t="inlineStr">
        <is>
          <t>PARTLY AGREES — naming it but not declared: DEBT_REQUIRED_PAYMENT, TOTAL_CASH</t>
        </is>
      </c>
    </row>
    <row r="34">
      <c r="A34" s="3" t="inlineStr">
        <is>
          <t>MK-XS-I-033</t>
        </is>
      </c>
      <c r="B34" s="3" t="inlineStr">
        <is>
          <t>the date a hand-typed value was set</t>
        </is>
      </c>
      <c r="C34" s="3" t="inlineStr">
        <is>
          <t>HAND_VALUE_AGE</t>
        </is>
      </c>
      <c r="D34" s="3" t="inlineStr">
        <is>
          <t>HAND_VALUE_AGE</t>
        </is>
      </c>
      <c r="E34" s="3" t="inlineStr">
        <is>
          <t>AGREES — both directions name the same engines.</t>
        </is>
      </c>
    </row>
    <row r="35">
      <c r="A35" s="3" t="inlineStr">
        <is>
          <t>MK-XS-I-034</t>
        </is>
      </c>
      <c r="B35" s="3" t="inlineStr">
        <is>
          <t>option positions — contracts, strike, expiry, put or call</t>
        </is>
      </c>
      <c r="C35" s="3" t="inlineStr">
        <is>
          <t>HOLDING_CAP_GAINS · HOLDING_MARKET_VALUE</t>
        </is>
      </c>
      <c r="D35" s="3" t="inlineStr">
        <is>
          <t>ACCOUNT_SPLIT</t>
        </is>
      </c>
      <c r="E35" s="3" t="inlineStr">
        <is>
          <t>PARTLY AGREES — declared but not naming it: HOLDING_CAP_GAINS, HOLDING_MARKET_VALUE  |  naming it but not declared: ACCOUNT_SPLIT</t>
        </is>
      </c>
    </row>
    <row r="36">
      <c r="A36" s="3" t="inlineStr">
        <is>
          <t>MK-XS-I-035</t>
        </is>
      </c>
      <c r="B36" s="3" t="inlineStr">
        <is>
          <t>annuity income</t>
        </is>
      </c>
      <c r="C36" s="3" t="inlineStr">
        <is>
          <t>RETIREMENT_INCOME · RETIREMENT_INCOME_NOW</t>
        </is>
      </c>
      <c r="D36" s="3" t="inlineStr">
        <is>
          <t>RETIREMENT_INCOME</t>
        </is>
      </c>
      <c r="E36" s="3" t="inlineStr">
        <is>
          <t>PARTLY AGREES — declared but not naming it: RETIREMENT_INCOME_NOW</t>
        </is>
      </c>
    </row>
    <row r="37">
      <c r="A37" s="3" t="inlineStr">
        <is>
          <t>MK-XS-I-036</t>
        </is>
      </c>
      <c r="B37" s="3" t="inlineStr">
        <is>
          <t>other guaranteed income</t>
        </is>
      </c>
      <c r="C37" s="3" t="inlineStr">
        <is>
          <t>RETIREMENT_INCOME</t>
        </is>
      </c>
      <c r="D37" s="3" t="inlineStr">
        <is>
          <t>RETIREMENT_INCOME</t>
        </is>
      </c>
      <c r="E37" s="3" t="inlineStr">
        <is>
          <t>AGREES — both directions name the same engines.</t>
        </is>
      </c>
    </row>
    <row r="38">
      <c r="A38" s="3" t="inlineStr">
        <is>
          <t>MK-XS-I-037</t>
        </is>
      </c>
      <c r="B38" s="3" t="inlineStr">
        <is>
          <t>required-withdrawal income stream (ri_rmd)</t>
        </is>
      </c>
      <c r="C38" s="3" t="inlineStr">
        <is>
          <t>RETIREMENT_INCOME</t>
        </is>
      </c>
      <c r="D38" s="3" t="inlineStr">
        <is>
          <t>RETIREMENT_INCOME</t>
        </is>
      </c>
      <c r="E38" s="3" t="inlineStr">
        <is>
          <t>AGREES — both directions name the same engines.</t>
        </is>
      </c>
    </row>
    <row r="39">
      <c r="A39" s="3" t="inlineStr">
        <is>
          <t>MK-XS-I-038</t>
        </is>
      </c>
      <c r="B39" s="3" t="inlineStr">
        <is>
          <t>withdrawal income stream (ri_withdrawals)</t>
        </is>
      </c>
      <c r="C39" s="3" t="inlineStr">
        <is>
          <t>RETIREMENT_INCOME</t>
        </is>
      </c>
      <c r="D39" s="3" t="inlineStr">
        <is>
          <t>RETIREMENT_INCOME</t>
        </is>
      </c>
      <c r="E39" s="3" t="inlineStr">
        <is>
          <t>AGREES — both directions name the same engines.</t>
        </is>
      </c>
    </row>
    <row r="40">
      <c r="A40" s="3" t="inlineStr">
        <is>
          <t>MK-XS-I-039</t>
        </is>
      </c>
      <c r="B40" s="3" t="inlineStr">
        <is>
          <t>how often each income arrives</t>
        </is>
      </c>
      <c r="C40" s="3" t="inlineStr">
        <is>
          <t>RETIREMENT_INCOME · TOTAL_INCOME</t>
        </is>
      </c>
      <c r="D40" s="3" t="inlineStr">
        <is>
          <t>RETIREMENT_INCOME</t>
        </is>
      </c>
      <c r="E40" s="3" t="inlineStr">
        <is>
          <t>PARTLY AGREES — declared but not naming it: TOTAL_INCOME</t>
        </is>
      </c>
    </row>
    <row r="41">
      <c r="A41" s="3" t="inlineStr">
        <is>
          <t>MK-XS-I-040</t>
        </is>
      </c>
      <c r="B41" s="3" t="inlineStr">
        <is>
          <t>whether a stream is already being received</t>
        </is>
      </c>
      <c r="C41" s="3" t="inlineStr">
        <is>
          <t>RETIREMENT_INCOME_NOW</t>
        </is>
      </c>
      <c r="D41" s="3" t="inlineStr">
        <is>
          <t>RETIREMENT_INCOME_NOW</t>
        </is>
      </c>
      <c r="E41" s="3" t="inlineStr">
        <is>
          <t>AGREES — both directions name the same engines.</t>
        </is>
      </c>
    </row>
    <row r="42">
      <c r="A42" s="3" t="inlineStr">
        <is>
          <t>MK-XS-I-041</t>
        </is>
      </c>
      <c r="B42" s="3" t="inlineStr">
        <is>
          <t>the payment the person chose to make on a debt</t>
        </is>
      </c>
      <c r="C42" s="3" t="inlineStr">
        <is>
          <t>DEBT_PAYOFF · DEBT_REQUIRED_PAYMENT</t>
        </is>
      </c>
      <c r="D42" s="3" t="inlineStr">
        <is>
          <t>DEBT_REQUIRED_PAYMENT · SPENDING_BY_KIND</t>
        </is>
      </c>
      <c r="E42" s="3" t="inlineStr">
        <is>
          <t>PARTLY AGREES — declared but not naming it: DEBT_PAYOFF  |  naming it but not declared: SPENDING_BY_KIND</t>
        </is>
      </c>
    </row>
    <row r="43">
      <c r="A43" s="3" t="inlineStr">
        <is>
          <t>MK-XS-I-042</t>
        </is>
      </c>
      <c r="B43" s="3" t="inlineStr">
        <is>
          <t>how a stream is paid — monthly, yearly or one lump</t>
        </is>
      </c>
      <c r="C43" s="3" t="inlineStr">
        <is>
          <t>RETIREMENT_INCOME</t>
        </is>
      </c>
      <c r="D43" s="3" t="inlineStr">
        <is>
          <t>DEBT_REQUIRED_PAYMENT · SPENDING_BY_KIND</t>
        </is>
      </c>
      <c r="E43" s="3" t="inlineStr">
        <is>
          <t>PARTLY AGREES — declared but not naming it: RETIREMENT_INCOME  |  naming it but not declared: DEBT_REQUIRED_PAYMENT, SPENDING_BY_KIND</t>
        </is>
      </c>
    </row>
    <row r="44">
      <c r="A44" s="3" t="inlineStr">
        <is>
          <t>MK-XS-I-043</t>
        </is>
      </c>
      <c r="B44" s="3" t="inlineStr">
        <is>
          <t>their own retirement contribution</t>
        </is>
      </c>
      <c r="C44" s="3" t="inlineStr">
        <is>
          <t>POT_AT_RETIREMENT · TOTAL_INCOME</t>
        </is>
      </c>
      <c r="D44" s="3" t="inlineStr">
        <is>
          <t>EMPLOYER_MATCH</t>
        </is>
      </c>
      <c r="E44" s="3" t="inlineStr">
        <is>
          <t>PARTLY AGREES — declared but not naming it: POT_AT_RETIREMENT, TOTAL_INCOME  |  naming it but not declared: EMPLOYER_MATCH</t>
        </is>
      </c>
    </row>
    <row r="45">
      <c r="A45" s="3" t="inlineStr">
        <is>
          <t>MK-XS-I-044</t>
        </is>
      </c>
      <c r="B45" s="3" t="inlineStr">
        <is>
          <t>the person’s own plan overrides</t>
        </is>
      </c>
      <c r="C45" s="3" t="inlineStr">
        <is>
          <t>WILL_IT_LAST_INPUTS</t>
        </is>
      </c>
      <c r="D45" s="3" t="inlineStr">
        <is>
          <t>WILL_IT_LAST_INPUTS</t>
        </is>
      </c>
      <c r="E45" s="3" t="inlineStr">
        <is>
          <t>AGREES — both directions name the same engines.</t>
        </is>
      </c>
    </row>
    <row r="46">
      <c r="A46" s="3" t="inlineStr">
        <is>
          <t>MK-XS-I-045</t>
        </is>
      </c>
      <c r="B46" s="3" t="inlineStr">
        <is>
          <t>where they will live in retirement</t>
        </is>
      </c>
      <c r="C46" s="3" t="inlineStr">
        <is>
          <t>RETIREMENT_SPENDING</t>
        </is>
      </c>
      <c r="D46" s="3" t="inlineStr">
        <is>
          <t>RETIREMENT_SPENDING</t>
        </is>
      </c>
      <c r="E46" s="3" t="inlineStr">
        <is>
          <t>AGREES — both directions name the same engines.</t>
        </is>
      </c>
    </row>
    <row r="47">
      <c r="A47" s="3" t="inlineStr">
        <is>
          <t>MK-XS-I-046</t>
        </is>
      </c>
      <c r="B47" s="3" t="inlineStr">
        <is>
          <t>how the employer match is expressed — percent or dollars</t>
        </is>
      </c>
      <c r="C47" s="3" t="inlineStr">
        <is>
          <t>EMPLOYER_MATCH</t>
        </is>
      </c>
      <c r="D47" s="3" t="inlineStr">
        <is>
          <t>EMPLOYER_MATCH</t>
        </is>
      </c>
      <c r="E47" s="3" t="inlineStr">
        <is>
          <t>AGREES — both directions name the same engines.</t>
        </is>
      </c>
    </row>
    <row r="48">
      <c r="A48" s="3" t="inlineStr">
        <is>
          <t>MK-XS-I-047</t>
        </is>
      </c>
      <c r="B48" s="3" t="inlineStr">
        <is>
          <t>money to leave behind</t>
        </is>
      </c>
      <c r="C48" s="3" t="inlineStr">
        <is>
          <t>WILL_IT_LAST_INPUTS · WILL_IT_LAST_RESULT</t>
        </is>
      </c>
      <c r="D48" s="3" t="inlineStr">
        <is>
          <t>WILL_IT_LAST_INPUTS</t>
        </is>
      </c>
      <c r="E48" s="3" t="inlineStr">
        <is>
          <t>PARTLY AGREES — declared but not naming it: WILL_IT_LAST_RESULT</t>
        </is>
      </c>
    </row>
    <row r="49">
      <c r="A49" s="3" t="inlineStr">
        <is>
          <t>MK-XS-I-048</t>
        </is>
      </c>
      <c r="B49" s="3" t="inlineStr">
        <is>
          <t>the person’s own asset-class answer</t>
        </is>
      </c>
      <c r="C49" s="3" t="inlineStr">
        <is>
          <t>ALLOCATION_BY_CLASS · ASSET_CLASS_OF_ACCOUNT</t>
        </is>
      </c>
      <c r="D49" s="3" t="inlineStr">
        <is>
          <t>ALLOCATION_BY_CLASS · PLANNED_SPENDING · TOTAL_CASH · TOTAL_INVESTABLE · TOTAL_INVESTMENTS</t>
        </is>
      </c>
      <c r="E49" s="3" t="inlineStr">
        <is>
          <t>PARTLY AGREES — declared but not naming it: ASSET_CLASS_OF_ACCOUNT  |  naming it but not declared: PLANNED_SPENDING, TOTAL_CASH, TOTAL_INVESTABLE, TOTAL_INVESTMENTS</t>
        </is>
      </c>
    </row>
    <row r="50">
      <c r="A50" s="3" t="n"/>
      <c r="B50" s="3" t="n"/>
      <c r="C50" s="3" t="n"/>
      <c r="D50" s="3" t="n"/>
      <c r="E50" s="3" t="n"/>
    </row>
    <row r="51">
      <c r="A51" s="5" t="inlineStr">
        <is>
          <t>GAPS — inputs an engine names that are on NO row of the inputs tab.</t>
        </is>
      </c>
      <c r="B51" s="3" t="inlineStr">
        <is>
          <t>Each one is either a missing input, or the same input under another name.</t>
        </is>
      </c>
      <c r="C51" s="3" t="inlineStr"/>
      <c r="D51" s="3" t="inlineStr"/>
      <c r="E51" s="3"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37"/>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8" customWidth="1" min="4" max="4"/>
    <col width="40" customWidth="1" min="5" max="5"/>
    <col width="44" customWidth="1" min="6" max="6"/>
  </cols>
  <sheetData>
    <row r="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c r="A2" s="3" t="inlineStr">
        <is>
          <t>MK-CF-E-001</t>
        </is>
      </c>
      <c r="B2" s="3" t="inlineStr">
        <is>
          <t>NOT IN OLD MASTER — the by-month grid, src/domain/cashflow</t>
        </is>
      </c>
      <c r="C2" s="3" t="inlineStr">
        <is>
          <t>NOT DETERMINED — no source line on record</t>
        </is>
      </c>
      <c r="D2" s="3" t="inlineStr">
        <is>
          <t>—</t>
        </is>
      </c>
      <c r="E2" s="3" t="inlineStr">
        <is>
          <t>MK-CF-M-001 · MK-CF-M-002</t>
        </is>
      </c>
      <c r="F2" s="3" t="inlineStr">
        <is>
          <t>Named by 2 figure(s)</t>
        </is>
      </c>
    </row>
    <row r="3">
      <c r="A3" s="3" t="inlineStr">
        <is>
          <t>MK-CF-E-002</t>
        </is>
      </c>
      <c r="B3" s="3" t="inlineStr">
        <is>
          <t>NOT IN OLD MASTER — effectiveRate, src/domain/income</t>
        </is>
      </c>
      <c r="C3" s="3" t="inlineStr">
        <is>
          <t>NOT DETERMINED — no source line on record</t>
        </is>
      </c>
      <c r="D3" s="3" t="inlineStr">
        <is>
          <t>—</t>
        </is>
      </c>
      <c r="E3" s="3" t="inlineStr">
        <is>
          <t>MK-CF-M-029</t>
        </is>
      </c>
      <c r="F3" s="3" t="inlineStr">
        <is>
          <t>Named by 1 figure(s)</t>
        </is>
      </c>
    </row>
    <row r="4">
      <c r="A4" s="3" t="inlineStr">
        <is>
          <t>MK-CF-E-003</t>
        </is>
      </c>
      <c r="B4" s="3" t="inlineStr">
        <is>
          <t>NOT IN OLD MASTER — the equity schedule, src/domain/income</t>
        </is>
      </c>
      <c r="C4" s="3" t="inlineStr">
        <is>
          <t>NOT DETERMINED — no source line on record</t>
        </is>
      </c>
      <c r="D4" s="3" t="inlineStr">
        <is>
          <t>—</t>
        </is>
      </c>
      <c r="E4" s="3" t="inlineStr">
        <is>
          <t>MK-CF-M-009</t>
        </is>
      </c>
      <c r="F4" s="3" t="inlineStr">
        <is>
          <t>Named by 1 figure(s)</t>
        </is>
      </c>
    </row>
    <row r="5">
      <c r="A5" s="3" t="inlineStr">
        <is>
          <t>MK-CF-E-004</t>
        </is>
      </c>
      <c r="B5" s="3" t="inlineStr">
        <is>
          <t>NOT IN OLD MASTER — the received list, src/domain/income</t>
        </is>
      </c>
      <c r="C5" s="3" t="inlineStr">
        <is>
          <t>NOT DETERMINED — no source line on record</t>
        </is>
      </c>
      <c r="D5" s="3" t="inlineStr">
        <is>
          <t>—</t>
        </is>
      </c>
      <c r="E5" s="3" t="inlineStr">
        <is>
          <t>MK-CF-M-012</t>
        </is>
      </c>
      <c r="F5" s="3" t="inlineStr">
        <is>
          <t>Named by 1 figure(s)</t>
        </is>
      </c>
    </row>
    <row r="6">
      <c r="A6" s="3" t="inlineStr">
        <is>
          <t>MK-CF-E-005</t>
        </is>
      </c>
      <c r="B6" s="3" t="inlineStr">
        <is>
          <t>PLANNED_SPENDING</t>
        </is>
      </c>
      <c r="C6" s="3" t="inlineStr">
        <is>
          <t>src/domain/budget/index.ts:45</t>
        </is>
      </c>
      <c r="D6" s="3" t="inlineStr">
        <is>
          <t>What does this person plan to spend each month?</t>
        </is>
      </c>
      <c r="E6" s="3" t="inlineStr">
        <is>
          <t>MK-CF-M-015 · MK-MN-M-007 · MK-MN-M-026</t>
        </is>
      </c>
      <c r="F6" s="3" t="inlineStr">
        <is>
          <t>Named by 3 figure(s)</t>
        </is>
      </c>
    </row>
    <row r="7">
      <c r="A7" s="3" t="inlineStr">
        <is>
          <t>MK-CF-E-006</t>
        </is>
      </c>
      <c r="B7" s="3" t="inlineStr">
        <is>
          <t>NOT IN OLD MASTER — the big-bill radar, src/domain/cashflow</t>
        </is>
      </c>
      <c r="C7" s="3" t="inlineStr">
        <is>
          <t>NOT DETERMINED — no source line on record</t>
        </is>
      </c>
      <c r="D7" s="3" t="inlineStr">
        <is>
          <t>—</t>
        </is>
      </c>
      <c r="E7" s="3" t="inlineStr">
        <is>
          <t>MK-CF-M-016</t>
        </is>
      </c>
      <c r="F7" s="3" t="inlineStr">
        <is>
          <t>Named by 1 figure(s)</t>
        </is>
      </c>
    </row>
    <row r="8">
      <c r="A8" s="3" t="inlineStr">
        <is>
          <t>MK-CF-E-007</t>
        </is>
      </c>
      <c r="B8" s="3" t="inlineStr">
        <is>
          <t>NOT IN OLD MASTER — the unusual-spend check, src/domain/budget</t>
        </is>
      </c>
      <c r="C8" s="3" t="inlineStr">
        <is>
          <t>NOT DETERMINED — no source line on record</t>
        </is>
      </c>
      <c r="D8" s="3" t="inlineStr">
        <is>
          <t>—</t>
        </is>
      </c>
      <c r="E8" s="3" t="inlineStr">
        <is>
          <t>MK-CF-M-017</t>
        </is>
      </c>
      <c r="F8" s="3" t="inlineStr">
        <is>
          <t>Named by 1 figure(s)</t>
        </is>
      </c>
    </row>
    <row r="9">
      <c r="A9" s="3" t="inlineStr">
        <is>
          <t>MK-CF-E-008</t>
        </is>
      </c>
      <c r="B9" s="3" t="inlineStr">
        <is>
          <t>SPENDING_BY_KIND · DEBT_REQUIRED_PAYMENT</t>
        </is>
      </c>
      <c r="C9" s="3" t="inlineStr">
        <is>
          <t>NOT DETERMINED — no source line on record</t>
        </is>
      </c>
      <c r="D9" s="3" t="inlineStr">
        <is>
          <t>—</t>
        </is>
      </c>
      <c r="E9" s="3" t="inlineStr">
        <is>
          <t>MK-CF-M-019</t>
        </is>
      </c>
      <c r="F9" s="3" t="inlineStr">
        <is>
          <t>Named by 1 figure(s)</t>
        </is>
      </c>
    </row>
    <row r="10">
      <c r="A10" s="3" t="inlineStr">
        <is>
          <t>MK-CF-E-009</t>
        </is>
      </c>
      <c r="B10" s="3" t="inlineStr">
        <is>
          <t>NOT IN OLD MASTER — plan commitments, src/domain/planning</t>
        </is>
      </c>
      <c r="C10" s="3" t="inlineStr">
        <is>
          <t>NOT DETERMINED — no source line on record</t>
        </is>
      </c>
      <c r="D10" s="3" t="inlineStr">
        <is>
          <t>—</t>
        </is>
      </c>
      <c r="E10" s="3" t="inlineStr">
        <is>
          <t>MK-CF-M-021</t>
        </is>
      </c>
      <c r="F10" s="3" t="inlineStr">
        <is>
          <t>Named by 1 figure(s)</t>
        </is>
      </c>
    </row>
    <row r="11">
      <c r="A11" s="3" t="inlineStr">
        <is>
          <t>MK-CF-E-010</t>
        </is>
      </c>
      <c r="B11" s="3" t="inlineStr">
        <is>
          <t>the by-month grid</t>
        </is>
      </c>
      <c r="C11" s="3" t="inlineStr">
        <is>
          <t>NOT DETERMINED — no source line on record</t>
        </is>
      </c>
      <c r="D11" s="3" t="inlineStr">
        <is>
          <t>—</t>
        </is>
      </c>
      <c r="E11" s="3" t="inlineStr">
        <is>
          <t>MK-CF-M-025</t>
        </is>
      </c>
      <c r="F11" s="3" t="inlineStr">
        <is>
          <t>Named by 1 figure(s)</t>
        </is>
      </c>
    </row>
    <row r="12">
      <c r="A12" s="3" t="inlineStr">
        <is>
          <t>MK-CF-E-011</t>
        </is>
      </c>
      <c r="B12" s="3" t="inlineStr">
        <is>
          <t>RETIREMENT_PAYCHECK</t>
        </is>
      </c>
      <c r="C12" s="3" t="inlineStr">
        <is>
          <t>NOT DETERMINED — no source line on record</t>
        </is>
      </c>
      <c r="D12" s="3" t="inlineStr">
        <is>
          <t>—</t>
        </is>
      </c>
      <c r="E12" s="3" t="inlineStr">
        <is>
          <t>MK-CF-M-026</t>
        </is>
      </c>
      <c r="F12" s="3" t="inlineStr">
        <is>
          <t>Named by 1 figure(s)</t>
        </is>
      </c>
    </row>
    <row r="13">
      <c r="A13" s="3" t="inlineStr">
        <is>
          <t>MK-CF-E-012</t>
        </is>
      </c>
      <c r="B13" s="3" t="inlineStr">
        <is>
          <t>THE_BILL_CALENDAR</t>
        </is>
      </c>
      <c r="C13" s="3" t="inlineStr">
        <is>
          <t>NOT DETERMINED — no source line on record</t>
        </is>
      </c>
      <c r="D13" s="3" t="inlineStr">
        <is>
          <t>—</t>
        </is>
      </c>
      <c r="E13" s="3" t="inlineStr">
        <is>
          <t>MK-CF-M-028</t>
        </is>
      </c>
      <c r="F13" s="3" t="inlineStr">
        <is>
          <t>Named by 1 figure(s)</t>
        </is>
      </c>
    </row>
    <row r="14">
      <c r="A14" s="3" t="inlineStr">
        <is>
          <t>MK-HM-E-001</t>
        </is>
      </c>
      <c r="B14" s="3" t="inlineStr">
        <is>
          <t>PRICE_FRESHNESS</t>
        </is>
      </c>
      <c r="C14" s="3" t="inlineStr">
        <is>
          <t>src/services/marketData.ts:60</t>
        </is>
      </c>
      <c r="D14" s="3" t="inlineStr">
        <is>
          <t>How old is the price we are showing?</t>
        </is>
      </c>
      <c r="E14" s="3" t="inlineStr">
        <is>
          <t>MK-HM-M-001</t>
        </is>
      </c>
      <c r="F14" s="3" t="inlineStr">
        <is>
          <t>Named by 1 figure(s)</t>
        </is>
      </c>
    </row>
    <row r="15">
      <c r="A15" s="3" t="inlineStr">
        <is>
          <t>MK-HM-E-002</t>
        </is>
      </c>
      <c r="B15" s="3" t="inlineStr">
        <is>
          <t>NOT IN OLD MASTER — milestoneCrossed, src/domain/milestones.ts</t>
        </is>
      </c>
      <c r="C15" s="3" t="inlineStr">
        <is>
          <t>NOT DETERMINED — no source line on record</t>
        </is>
      </c>
      <c r="D15" s="3" t="inlineStr">
        <is>
          <t>—</t>
        </is>
      </c>
      <c r="E15" s="3" t="inlineStr">
        <is>
          <t>MK-HM-M-002</t>
        </is>
      </c>
      <c r="F15" s="3" t="inlineStr">
        <is>
          <t>Named by 1 figure(s)</t>
        </is>
      </c>
    </row>
    <row r="16">
      <c r="A16" s="3" t="inlineStr">
        <is>
          <t>MK-HM-E-003</t>
        </is>
      </c>
      <c r="B16" s="3" t="inlineStr">
        <is>
          <t>NOT IN OLD MASTER — useInsights, src/domain/insights</t>
        </is>
      </c>
      <c r="C16" s="3" t="inlineStr">
        <is>
          <t>NOT DETERMINED — no source line on record</t>
        </is>
      </c>
      <c r="D16" s="3" t="inlineStr">
        <is>
          <t>—</t>
        </is>
      </c>
      <c r="E16" s="3" t="inlineStr">
        <is>
          <t>MK-HM-M-003 · MK-MN-M-015</t>
        </is>
      </c>
      <c r="F16" s="3" t="inlineStr">
        <is>
          <t>Named by 2 figure(s)</t>
        </is>
      </c>
    </row>
    <row r="17">
      <c r="A17" s="3" t="inlineStr">
        <is>
          <t>MK-MN-E-001</t>
        </is>
      </c>
      <c r="B17" s="3" t="inlineStr">
        <is>
          <t>BIG_COSTS</t>
        </is>
      </c>
      <c r="C17" s="3" t="inlineStr">
        <is>
          <t>NOT DETERMINED — no source line on record</t>
        </is>
      </c>
      <c r="D17" s="3" t="inlineStr">
        <is>
          <t>—</t>
        </is>
      </c>
      <c r="E17" s="3" t="inlineStr">
        <is>
          <t>MK-MN-M-001 · MK-MN-M-002</t>
        </is>
      </c>
      <c r="F17" s="3" t="inlineStr">
        <is>
          <t>Named by 2 figure(s)</t>
        </is>
      </c>
    </row>
    <row r="18">
      <c r="A18" s="3" t="inlineStr">
        <is>
          <t>MK-MN-E-002</t>
        </is>
      </c>
      <c r="B18" s="3" t="inlineStr">
        <is>
          <t>CONTRIBUTION_ROOM</t>
        </is>
      </c>
      <c r="C18" s="3" t="inlineStr">
        <is>
          <t>NOT DETERMINED — no source line on record</t>
        </is>
      </c>
      <c r="D18" s="3" t="inlineStr">
        <is>
          <t>—</t>
        </is>
      </c>
      <c r="E18" s="3" t="inlineStr">
        <is>
          <t>MK-MN-M-003 · MK-MN-M-004 · MK-MN-M-029</t>
        </is>
      </c>
      <c r="F18" s="3" t="inlineStr">
        <is>
          <t>Named by 3 figure(s)</t>
        </is>
      </c>
    </row>
    <row r="19">
      <c r="A19" s="3" t="inlineStr">
        <is>
          <t>MK-MN-E-003</t>
        </is>
      </c>
      <c r="B19" s="3" t="inlineStr">
        <is>
          <t>CREDIT_USE</t>
        </is>
      </c>
      <c r="C19" s="3" t="inlineStr">
        <is>
          <t>NOT DETERMINED — no source line on record</t>
        </is>
      </c>
      <c r="D19" s="3" t="inlineStr">
        <is>
          <t>—</t>
        </is>
      </c>
      <c r="E19" s="3" t="inlineStr">
        <is>
          <t>MK-MN-M-006</t>
        </is>
      </c>
      <c r="F19" s="3" t="inlineStr">
        <is>
          <t>Named by 1 figure(s)</t>
        </is>
      </c>
    </row>
    <row r="20">
      <c r="A20" s="3" t="inlineStr">
        <is>
          <t>MK-MN-E-004</t>
        </is>
      </c>
      <c r="B20" s="3" t="inlineStr">
        <is>
          <t>GOAL_CAPACITY</t>
        </is>
      </c>
      <c r="C20" s="3" t="inlineStr">
        <is>
          <t>NOT DETERMINED — no source line on record</t>
        </is>
      </c>
      <c r="D20" s="3" t="inlineStr">
        <is>
          <t>—</t>
        </is>
      </c>
      <c r="E20" s="3" t="inlineStr">
        <is>
          <t>MK-MN-M-008</t>
        </is>
      </c>
      <c r="F20" s="3" t="inlineStr">
        <is>
          <t>Named by 1 figure(s)</t>
        </is>
      </c>
    </row>
    <row r="21">
      <c r="A21" s="3" t="inlineStr">
        <is>
          <t>MK-MN-E-005</t>
        </is>
      </c>
      <c r="B21" s="3" t="inlineStr">
        <is>
          <t>GOAL_PROGRESS</t>
        </is>
      </c>
      <c r="C21" s="3" t="inlineStr">
        <is>
          <t>NOT DETERMINED — no source line on record</t>
        </is>
      </c>
      <c r="D21" s="3" t="inlineStr">
        <is>
          <t>—</t>
        </is>
      </c>
      <c r="E21" s="3" t="inlineStr">
        <is>
          <t>MK-MN-M-009</t>
        </is>
      </c>
      <c r="F21" s="3" t="inlineStr">
        <is>
          <t>Named by 1 figure(s)</t>
        </is>
      </c>
    </row>
    <row r="22">
      <c r="A22" s="3" t="inlineStr">
        <is>
          <t>MK-MN-E-006</t>
        </is>
      </c>
      <c r="B22" s="3" t="inlineStr">
        <is>
          <t>SINKING_FUNDS</t>
        </is>
      </c>
      <c r="C22" s="3" t="inlineStr">
        <is>
          <t>NOT DETERMINED — no source line on record</t>
        </is>
      </c>
      <c r="D22" s="3" t="inlineStr">
        <is>
          <t>—</t>
        </is>
      </c>
      <c r="E22" s="3" t="inlineStr">
        <is>
          <t>MK-MN-M-010</t>
        </is>
      </c>
      <c r="F22" s="3" t="inlineStr">
        <is>
          <t>Named by 1 figure(s)</t>
        </is>
      </c>
    </row>
    <row r="23">
      <c r="A23" s="3" t="inlineStr">
        <is>
          <t>MK-MN-E-007</t>
        </is>
      </c>
      <c r="B23" s="3" t="inlineStr">
        <is>
          <t>EMPLOYER_MATCH</t>
        </is>
      </c>
      <c r="C23" s="3" t="inlineStr">
        <is>
          <t>src/domain/income/onboarding.ts:263</t>
        </is>
      </c>
      <c r="D23" s="3" t="inlineStr">
        <is>
          <t>How much does the employer add each month?</t>
        </is>
      </c>
      <c r="E23" s="3" t="inlineStr">
        <is>
          <t>MK-MN-M-014</t>
        </is>
      </c>
      <c r="F23" s="3" t="inlineStr">
        <is>
          <t>Named by 1 figure(s)</t>
        </is>
      </c>
    </row>
    <row r="24">
      <c r="A24" s="3" t="inlineStr">
        <is>
          <t>MK-MN-E-008</t>
        </is>
      </c>
      <c r="B24" s="3" t="inlineStr">
        <is>
          <t>TOTAL_INVESTABLE · TOTAL_CASH</t>
        </is>
      </c>
      <c r="C24" s="3" t="inlineStr">
        <is>
          <t>NOT DETERMINED — no source line on record</t>
        </is>
      </c>
      <c r="D24" s="3" t="inlineStr">
        <is>
          <t>—</t>
        </is>
      </c>
      <c r="E24" s="3" t="inlineStr">
        <is>
          <t>MK-MN-M-016</t>
        </is>
      </c>
      <c r="F24" s="3" t="inlineStr">
        <is>
          <t>Named by 1 figure(s)</t>
        </is>
      </c>
    </row>
    <row r="25">
      <c r="A25" s="3" t="inlineStr">
        <is>
          <t>MK-MN-E-009</t>
        </is>
      </c>
      <c r="B25" s="3" t="inlineStr">
        <is>
          <t>INSURANCE_NEED</t>
        </is>
      </c>
      <c r="C25" s="3" t="inlineStr">
        <is>
          <t>NOT DETERMINED — no source line on record</t>
        </is>
      </c>
      <c r="D25" s="3" t="inlineStr">
        <is>
          <t>—</t>
        </is>
      </c>
      <c r="E25" s="3" t="inlineStr">
        <is>
          <t>MK-MN-M-017 · MK-MN-M-018 · MK-MN-M-019</t>
        </is>
      </c>
      <c r="F25" s="3" t="inlineStr">
        <is>
          <t>Named by 3 figure(s)</t>
        </is>
      </c>
    </row>
    <row r="26">
      <c r="A26" s="3" t="inlineStr">
        <is>
          <t>MK-MN-E-010</t>
        </is>
      </c>
      <c r="B26" s="3" t="inlineStr">
        <is>
          <t>JOB_SAFETY_RUNWAY</t>
        </is>
      </c>
      <c r="C26" s="3" t="inlineStr">
        <is>
          <t>NOT DETERMINED — no source line on record</t>
        </is>
      </c>
      <c r="D26" s="3" t="inlineStr">
        <is>
          <t>—</t>
        </is>
      </c>
      <c r="E26" s="3" t="inlineStr">
        <is>
          <t>MK-MN-M-020</t>
        </is>
      </c>
      <c r="F26" s="3" t="inlineStr">
        <is>
          <t>Named by 1 figure(s)</t>
        </is>
      </c>
    </row>
    <row r="27">
      <c r="A27" s="3" t="inlineStr">
        <is>
          <t>MK-MN-E-011</t>
        </is>
      </c>
      <c r="B27" s="3" t="inlineStr">
        <is>
          <t>ALTERNATIVES_TOTAL</t>
        </is>
      </c>
      <c r="C27" s="3" t="inlineStr">
        <is>
          <t>NOT DETERMINED — no source line on record</t>
        </is>
      </c>
      <c r="D27" s="3" t="inlineStr">
        <is>
          <t>—</t>
        </is>
      </c>
      <c r="E27" s="3" t="inlineStr">
        <is>
          <t>MK-MN-M-022</t>
        </is>
      </c>
      <c r="F27" s="3" t="inlineStr">
        <is>
          <t>Named by 1 figure(s)</t>
        </is>
      </c>
    </row>
    <row r="28">
      <c r="A28" s="3" t="inlineStr">
        <is>
          <t>MK-MN-E-012</t>
        </is>
      </c>
      <c r="B28" s="3" t="inlineStr">
        <is>
          <t>ALTERNATIVES_GROWTH</t>
        </is>
      </c>
      <c r="C28" s="3" t="inlineStr">
        <is>
          <t>NOT DETERMINED — no source line on record</t>
        </is>
      </c>
      <c r="D28" s="3" t="inlineStr">
        <is>
          <t>—</t>
        </is>
      </c>
      <c r="E28" s="3" t="inlineStr">
        <is>
          <t>MK-MN-M-023</t>
        </is>
      </c>
      <c r="F28" s="3" t="inlineStr">
        <is>
          <t>Named by 1 figure(s)</t>
        </is>
      </c>
    </row>
    <row r="29">
      <c r="A29" s="3" t="inlineStr">
        <is>
          <t>MK-MN-E-013</t>
        </is>
      </c>
      <c r="B29" s="3" t="inlineStr">
        <is>
          <t>STRESS_TEST</t>
        </is>
      </c>
      <c r="C29" s="3" t="inlineStr">
        <is>
          <t>NOT DETERMINED — no source line on record</t>
        </is>
      </c>
      <c r="D29" s="3" t="inlineStr">
        <is>
          <t>—</t>
        </is>
      </c>
      <c r="E29" s="3" t="inlineStr">
        <is>
          <t>MK-MN-M-024 · MK-MN-M-025</t>
        </is>
      </c>
      <c r="F29" s="3" t="inlineStr">
        <is>
          <t>Named by 2 figure(s)</t>
        </is>
      </c>
    </row>
    <row r="30">
      <c r="A30" s="3" t="inlineStr">
        <is>
          <t>MK-MN-E-014</t>
        </is>
      </c>
      <c r="B30" s="3" t="inlineStr">
        <is>
          <t>TAXABLE_INCOME</t>
        </is>
      </c>
      <c r="C30" s="3" t="inlineStr">
        <is>
          <t>src/domain/income/tax.ts:110</t>
        </is>
      </c>
      <c r="D30" s="3" t="inlineStr">
        <is>
          <t>What income is taxed, given how this person files?</t>
        </is>
      </c>
      <c r="E30" s="3" t="inlineStr">
        <is>
          <t>MK-MN-M-027 · MK-MN-M-028</t>
        </is>
      </c>
      <c r="F30" s="3" t="inlineStr">
        <is>
          <t>Named by 2 figure(s)</t>
        </is>
      </c>
    </row>
    <row r="31">
      <c r="A31" s="3" t="inlineStr">
        <is>
          <t>MK-MN-E-015</t>
        </is>
      </c>
      <c r="B31" s="3" t="inlineStr">
        <is>
          <t>NOT IN OLD MASTER — the outflow watch, src/domain/insights</t>
        </is>
      </c>
      <c r="C31" s="3" t="inlineStr">
        <is>
          <t>NOT DETERMINED — no source line on record</t>
        </is>
      </c>
      <c r="D31" s="3" t="inlineStr">
        <is>
          <t>—</t>
        </is>
      </c>
      <c r="E31" s="3" t="inlineStr">
        <is>
          <t>MK-MN-M-030</t>
        </is>
      </c>
      <c r="F31" s="3" t="inlineStr">
        <is>
          <t>Named by 1 figure(s)</t>
        </is>
      </c>
    </row>
    <row r="32">
      <c r="A32" s="3" t="inlineStr">
        <is>
          <t>MK-NW-E-001</t>
        </is>
      </c>
      <c r="B32" s="3" t="inlineStr">
        <is>
          <t>TREND_SERIES</t>
        </is>
      </c>
      <c r="C32" s="3" t="inlineStr">
        <is>
          <t>src/domain/history.ts:43</t>
        </is>
      </c>
      <c r="D32" s="3" t="inlineStr">
        <is>
          <t>What points does the net-worth graph draw?</t>
        </is>
      </c>
      <c r="E32" s="3" t="inlineStr">
        <is>
          <t>MK-NW-M-001 · MK-NW-M-003</t>
        </is>
      </c>
      <c r="F32" s="3" t="inlineStr">
        <is>
          <t>Named by 2 figure(s)</t>
        </is>
      </c>
    </row>
    <row r="33">
      <c r="A33" s="3" t="inlineStr">
        <is>
          <t>MK-NW-E-002</t>
        </is>
      </c>
      <c r="B33" s="3" t="inlineStr">
        <is>
          <t>NW_CHANGE_PCT</t>
        </is>
      </c>
      <c r="C33" s="3" t="inlineStr">
        <is>
          <t>src/domain/history.ts:118</t>
        </is>
      </c>
      <c r="D33" s="3" t="inlineStr">
        <is>
          <t>What is my return on cash and investments since the baseline?</t>
        </is>
      </c>
      <c r="E33" s="3" t="inlineStr">
        <is>
          <t>MK-NW-M-002</t>
        </is>
      </c>
      <c r="F33" s="3" t="inlineStr">
        <is>
          <t>Named by 1 figure(s)</t>
        </is>
      </c>
    </row>
    <row r="34">
      <c r="A34" s="3" t="inlineStr">
        <is>
          <t>MK-NW-E-003</t>
        </is>
      </c>
      <c r="B34" s="3" t="inlineStr">
        <is>
          <t>ACCOUNT_SHARE_OF_TOTAL</t>
        </is>
      </c>
      <c r="C34" s="3" t="inlineStr">
        <is>
          <t>src/domain/assets/index.ts:663</t>
        </is>
      </c>
      <c r="D34" s="3" t="inlineStr">
        <is>
          <t>How much of everything sits in each account, and what return do they blend to?</t>
        </is>
      </c>
      <c r="E34" s="3" t="inlineStr">
        <is>
          <t>MK-NW-M-004</t>
        </is>
      </c>
      <c r="F34" s="3" t="inlineStr">
        <is>
          <t>Named by 1 figure(s)</t>
        </is>
      </c>
    </row>
    <row r="35">
      <c r="A35" s="3" t="inlineStr">
        <is>
          <t>MK-NW-E-004</t>
        </is>
      </c>
      <c r="B35" s="3" t="inlineStr">
        <is>
          <t>TOTAL_CASH</t>
        </is>
      </c>
      <c r="C35" s="3" t="inlineStr">
        <is>
          <t>src/domain/assets/index.ts:271</t>
        </is>
      </c>
      <c r="D35" s="3" t="inlineStr">
        <is>
          <t>How much actual cash do I have?</t>
        </is>
      </c>
      <c r="E35" s="3" t="inlineStr">
        <is>
          <t>MK-NW-M-005</t>
        </is>
      </c>
      <c r="F35" s="3" t="inlineStr">
        <is>
          <t>Named by 1 figure(s)</t>
        </is>
      </c>
    </row>
    <row r="36">
      <c r="A36" s="3" t="inlineStr">
        <is>
          <t>MK-NW-E-005</t>
        </is>
      </c>
      <c r="B36" s="3" t="inlineStr">
        <is>
          <t>ALLOCATION_BY_CLASS</t>
        </is>
      </c>
      <c r="C36" s="3" t="inlineStr">
        <is>
          <t>src/domain/assets/index.ts:502</t>
        </is>
      </c>
      <c r="D36" s="3" t="inlineStr">
        <is>
          <t>How much money sits in each of the seven classes?</t>
        </is>
      </c>
      <c r="E36" s="3" t="inlineStr">
        <is>
          <t>MK-NW-M-007</t>
        </is>
      </c>
      <c r="F36" s="3" t="inlineStr">
        <is>
          <t>Named by 1 figure(s)</t>
        </is>
      </c>
    </row>
    <row r="37">
      <c r="A37" s="3" t="inlineStr">
        <is>
          <t>MK-NW-E-006</t>
        </is>
      </c>
      <c r="B37" s="3" t="inlineStr">
        <is>
          <t>DEBT_PICTURE</t>
        </is>
      </c>
      <c r="C37" s="3" t="inlineStr">
        <is>
          <t>src/domain/debt/index.ts:214</t>
        </is>
      </c>
      <c r="D37" s="3" t="inlineStr">
        <is>
          <t>What is the whole debt picture?</t>
        </is>
      </c>
      <c r="E37" s="3" t="inlineStr">
        <is>
          <t>MK-NW-M-009 · MK-NW-M-010 · MK-NW-M-012</t>
        </is>
      </c>
      <c r="F37" s="3" t="inlineStr">
        <is>
          <t>Named by 3 figure(s)</t>
        </is>
      </c>
    </row>
    <row r="38">
      <c r="A38" s="3" t="inlineStr">
        <is>
          <t>MK-NW-E-007</t>
        </is>
      </c>
      <c r="B38" s="3" t="inlineStr">
        <is>
          <t>DEBT_REQUIRED_PAYMENT</t>
        </is>
      </c>
      <c r="C38" s="3" t="inlineStr">
        <is>
          <t>src/domain/debt/index.ts:44</t>
        </is>
      </c>
      <c r="D38" s="3" t="inlineStr">
        <is>
          <t>What must I pay on this each month?</t>
        </is>
      </c>
      <c r="E38" s="3" t="inlineStr">
        <is>
          <t>MK-NW-M-011</t>
        </is>
      </c>
      <c r="F38" s="3" t="inlineStr">
        <is>
          <t>Named by 1 figure(s)</t>
        </is>
      </c>
    </row>
    <row r="39">
      <c r="A39" s="3" t="inlineStr">
        <is>
          <t>MK-NW-E-008</t>
        </is>
      </c>
      <c r="B39" s="3" t="inlineStr">
        <is>
          <t>TOTAL_CASH · PLANNED_SPENDING</t>
        </is>
      </c>
      <c r="C39" s="3" t="inlineStr">
        <is>
          <t>NOT DETERMINED — no source line on record</t>
        </is>
      </c>
      <c r="D39" s="3" t="inlineStr">
        <is>
          <t>—</t>
        </is>
      </c>
      <c r="E39" s="3" t="inlineStr">
        <is>
          <t>MK-NW-M-014</t>
        </is>
      </c>
      <c r="F39" s="3" t="inlineStr">
        <is>
          <t>Named by 1 figure(s)</t>
        </is>
      </c>
    </row>
    <row r="40">
      <c r="A40" s="3" t="inlineStr">
        <is>
          <t>MK-NW-E-009</t>
        </is>
      </c>
      <c r="B40" s="3" t="inlineStr">
        <is>
          <t>POT_AT_RETIREMENT</t>
        </is>
      </c>
      <c r="C40" s="3" t="inlineStr">
        <is>
          <t>src/domain/retirement/index.ts:324</t>
        </is>
      </c>
      <c r="D40" s="3" t="inlineStr">
        <is>
          <t>What will the pot be worth at retirement, and how big does it need to be?</t>
        </is>
      </c>
      <c r="E40" s="3" t="inlineStr">
        <is>
          <t>MK-CF-M-022 · MK-NW-M-015 · MK-PL-M-026 · MK-PL-M-033</t>
        </is>
      </c>
      <c r="F40" s="3" t="inlineStr">
        <is>
          <t>Named by 4 figure(s)</t>
        </is>
      </c>
    </row>
    <row r="41">
      <c r="A41" s="3" t="inlineStr">
        <is>
          <t>MK-NW-E-010</t>
        </is>
      </c>
      <c r="B41" s="3" t="inlineStr">
        <is>
          <t>NET_WORTH · DEBT_PICTURE</t>
        </is>
      </c>
      <c r="C41" s="3" t="inlineStr">
        <is>
          <t>NOT DETERMINED — no source line on record</t>
        </is>
      </c>
      <c r="D41" s="3" t="inlineStr">
        <is>
          <t>—</t>
        </is>
      </c>
      <c r="E41" s="3" t="inlineStr">
        <is>
          <t>MK-NW-M-017</t>
        </is>
      </c>
      <c r="F41" s="3" t="inlineStr">
        <is>
          <t>Named by 1 figure(s)</t>
        </is>
      </c>
    </row>
    <row r="42">
      <c r="A42" s="3" t="inlineStr">
        <is>
          <t>MK-NW-E-011</t>
        </is>
      </c>
      <c r="B42" s="3" t="inlineStr">
        <is>
          <t>HAND_VALUE_AGE</t>
        </is>
      </c>
      <c r="C42" s="3" t="inlineStr">
        <is>
          <t>src/domain/assets/index.ts:97</t>
        </is>
      </c>
      <c r="D42" s="3" t="inlineStr">
        <is>
          <t>How old is this hand-entered value?</t>
        </is>
      </c>
      <c r="E42" s="3" t="inlineStr">
        <is>
          <t>MK-NW-M-018 · MK-PL-M-016</t>
        </is>
      </c>
      <c r="F42" s="3" t="inlineStr">
        <is>
          <t>Named by 2 figure(s)</t>
        </is>
      </c>
    </row>
    <row r="43">
      <c r="A43" s="3" t="inlineStr">
        <is>
          <t>MK-NW-E-012</t>
        </is>
      </c>
      <c r="B43" s="3" t="inlineStr">
        <is>
          <t>the ledger sum of interest and dividends for the account</t>
        </is>
      </c>
      <c r="C43" s="3" t="inlineStr">
        <is>
          <t>NOT DETERMINED — no source line on record</t>
        </is>
      </c>
      <c r="D43" s="3" t="inlineStr">
        <is>
          <t>—</t>
        </is>
      </c>
      <c r="E43" s="3" t="inlineStr">
        <is>
          <t>MK-NW-M-019</t>
        </is>
      </c>
      <c r="F43" s="3" t="inlineStr">
        <is>
          <t>Named by 1 figure(s)</t>
        </is>
      </c>
    </row>
    <row r="44">
      <c r="A44" s="3" t="inlineStr">
        <is>
          <t>MK-NW-E-013</t>
        </is>
      </c>
      <c r="B44" s="3" t="inlineStr">
        <is>
          <t>the ledger sum for that holding</t>
        </is>
      </c>
      <c r="C44" s="3" t="inlineStr">
        <is>
          <t>NOT DETERMINED — no source line on record</t>
        </is>
      </c>
      <c r="D44" s="3" t="inlineStr">
        <is>
          <t>—</t>
        </is>
      </c>
      <c r="E44" s="3" t="inlineStr">
        <is>
          <t>MK-NW-M-021</t>
        </is>
      </c>
      <c r="F44" s="3" t="inlineStr">
        <is>
          <t>Named by 1 figure(s)</t>
        </is>
      </c>
    </row>
    <row r="45">
      <c r="A45" s="3" t="inlineStr">
        <is>
          <t>MK-NW-E-014</t>
        </is>
      </c>
      <c r="B45" s="3" t="inlineStr">
        <is>
          <t>HISTORY_DEPTH</t>
        </is>
      </c>
      <c r="C45" s="3" t="inlineStr">
        <is>
          <t>src/services/sync/snaptrade.ts:284</t>
        </is>
      </c>
      <c r="D45" s="3" t="inlineStr">
        <is>
          <t>How far back does this source's activity history go?</t>
        </is>
      </c>
      <c r="E45" s="3" t="inlineStr">
        <is>
          <t>MK-NW-M-022</t>
        </is>
      </c>
      <c r="F45" s="3" t="inlineStr">
        <is>
          <t>Named by 1 figure(s)</t>
        </is>
      </c>
    </row>
    <row r="46">
      <c r="A46" s="3" t="inlineStr">
        <is>
          <t>MK-NW-E-015</t>
        </is>
      </c>
      <c r="B46" s="3" t="inlineStr">
        <is>
          <t>BOND_FACTS</t>
        </is>
      </c>
      <c r="C46" s="3" t="inlineStr">
        <is>
          <t>src/domain/bonds/index.ts:16</t>
        </is>
      </c>
      <c r="D46" s="3" t="inlineStr">
        <is>
          <t>What are this holding's bond facts?</t>
        </is>
      </c>
      <c r="E46" s="3" t="inlineStr">
        <is>
          <t>MK-NW-M-023 · MK-NW-M-041 · MK-NW-M-042</t>
        </is>
      </c>
      <c r="F46" s="3" t="inlineStr">
        <is>
          <t>Named by 3 figure(s)</t>
        </is>
      </c>
    </row>
    <row r="47">
      <c r="A47" s="3" t="inlineStr">
        <is>
          <t>MK-NW-E-016</t>
        </is>
      </c>
      <c r="B47" s="3" t="inlineStr">
        <is>
          <t>BOND_COUPON</t>
        </is>
      </c>
      <c r="C47" s="3" t="inlineStr">
        <is>
          <t>src/domain/bonds/index.ts:21</t>
        </is>
      </c>
      <c r="D47" s="3" t="inlineStr">
        <is>
          <t>How much income does this bond pay in a year?</t>
        </is>
      </c>
      <c r="E47" s="3" t="inlineStr">
        <is>
          <t>MK-NW-M-024 · MK-NW-M-043</t>
        </is>
      </c>
      <c r="F47" s="3" t="inlineStr">
        <is>
          <t>Named by 2 figure(s)</t>
        </is>
      </c>
    </row>
    <row r="48">
      <c r="A48" s="3" t="inlineStr">
        <is>
          <t>MK-NW-E-017</t>
        </is>
      </c>
      <c r="B48" s="3" t="inlineStr">
        <is>
          <t>BOND_YEARS_LEFT</t>
        </is>
      </c>
      <c r="C48" s="3" t="inlineStr">
        <is>
          <t>src/domain/bonds/index.ts:24</t>
        </is>
      </c>
      <c r="D48" s="3" t="inlineStr">
        <is>
          <t>How long until this bond pays back?</t>
        </is>
      </c>
      <c r="E48" s="3" t="inlineStr">
        <is>
          <t>MK-NW-M-025</t>
        </is>
      </c>
      <c r="F48" s="3" t="inlineStr">
        <is>
          <t>Named by 1 figure(s)</t>
        </is>
      </c>
    </row>
    <row r="49">
      <c r="A49" s="3" t="inlineStr">
        <is>
          <t>MK-NW-E-018</t>
        </is>
      </c>
      <c r="B49" s="3" t="inlineStr">
        <is>
          <t>BOND_YIELD_TO_MATURITY</t>
        </is>
      </c>
      <c r="C49" s="3" t="inlineStr">
        <is>
          <t>src/domain/bonds/index.ts:33</t>
        </is>
      </c>
      <c r="D49" s="3" t="inlineStr">
        <is>
          <t>What will this bond earn me a year if I hold it to the end?</t>
        </is>
      </c>
      <c r="E49" s="3" t="inlineStr">
        <is>
          <t>MK-NW-M-026</t>
        </is>
      </c>
      <c r="F49" s="3" t="inlineStr">
        <is>
          <t>Named by 1 figure(s)</t>
        </is>
      </c>
    </row>
    <row r="50">
      <c r="A50" s="3" t="inlineStr">
        <is>
          <t>MK-NW-E-019</t>
        </is>
      </c>
      <c r="B50" s="3" t="inlineStr">
        <is>
          <t>BOND_CURRENT_YIELD</t>
        </is>
      </c>
      <c r="C50" s="3" t="inlineStr">
        <is>
          <t>src/domain/bonds/index.ts:29</t>
        </is>
      </c>
      <c r="D50" s="3" t="inlineStr">
        <is>
          <t>What is this bond paying me, measured against what it is worth today?</t>
        </is>
      </c>
      <c r="E50" s="3" t="inlineStr">
        <is>
          <t>MK-NW-M-027 · MK-NW-M-044</t>
        </is>
      </c>
      <c r="F50" s="3" t="inlineStr">
        <is>
          <t>Named by 2 figure(s)</t>
        </is>
      </c>
    </row>
    <row r="51">
      <c r="A51" s="3" t="inlineStr">
        <is>
          <t>MK-NW-E-020</t>
        </is>
      </c>
      <c r="B51" s="3" t="inlineStr">
        <is>
          <t>BOND_RATE_SENSITIVITY</t>
        </is>
      </c>
      <c r="C51" s="3" t="inlineStr">
        <is>
          <t>NOT DETERMINED — no source line on record</t>
        </is>
      </c>
      <c r="D51" s="3" t="inlineStr">
        <is>
          <t>—</t>
        </is>
      </c>
      <c r="E51" s="3" t="inlineStr">
        <is>
          <t>MK-NW-M-028</t>
        </is>
      </c>
      <c r="F51" s="3" t="inlineStr">
        <is>
          <t>Named by 1 figure(s)</t>
        </is>
      </c>
    </row>
    <row r="52">
      <c r="A52" s="3" t="inlineStr">
        <is>
          <t>MK-NW-E-021</t>
        </is>
      </c>
      <c r="B52" s="3" t="inlineStr">
        <is>
          <t>the price feed, with its freshness</t>
        </is>
      </c>
      <c r="C52" s="3" t="inlineStr">
        <is>
          <t>NOT DETERMINED — no source line on record</t>
        </is>
      </c>
      <c r="D52" s="3" t="inlineStr">
        <is>
          <t>—</t>
        </is>
      </c>
      <c r="E52" s="3" t="inlineStr">
        <is>
          <t>MK-NW-M-029</t>
        </is>
      </c>
      <c r="F52" s="3" t="inlineStr">
        <is>
          <t>Named by 1 figure(s)</t>
        </is>
      </c>
    </row>
    <row r="53">
      <c r="A53" s="3" t="inlineStr">
        <is>
          <t>MK-NW-E-022</t>
        </is>
      </c>
      <c r="B53" s="3" t="inlineStr">
        <is>
          <t>HOLDING_MARKET_VALUE</t>
        </is>
      </c>
      <c r="C53" s="3" t="inlineStr">
        <is>
          <t>src/domain/performance/index.ts:47</t>
        </is>
      </c>
      <c r="D53" s="3" t="inlineStr">
        <is>
          <t>What is this holding worth right now?</t>
        </is>
      </c>
      <c r="E53" s="3" t="inlineStr">
        <is>
          <t>MK-NW-M-030 · MK-NW-M-040</t>
        </is>
      </c>
      <c r="F53" s="3" t="inlineStr">
        <is>
          <t>Named by 2 figure(s)</t>
        </is>
      </c>
    </row>
    <row r="54">
      <c r="A54" s="3" t="inlineStr">
        <is>
          <t>MK-NW-E-023</t>
        </is>
      </c>
      <c r="B54" s="3" t="inlineStr">
        <is>
          <t>HOLDING_COST_BASIS</t>
        </is>
      </c>
      <c r="C54" s="3" t="inlineStr">
        <is>
          <t>src/domain/performance/index.ts:40</t>
        </is>
      </c>
      <c r="D54" s="3" t="inlineStr">
        <is>
          <t>What did I pay for this in total?</t>
        </is>
      </c>
      <c r="E54" s="3" t="inlineStr">
        <is>
          <t>MK-NW-M-032 · MK-NW-M-033</t>
        </is>
      </c>
      <c r="F54" s="3" t="inlineStr">
        <is>
          <t>Named by 2 figure(s)</t>
        </is>
      </c>
    </row>
    <row r="55">
      <c r="A55" s="3" t="inlineStr">
        <is>
          <t>MK-NW-E-024</t>
        </is>
      </c>
      <c r="B55" s="3" t="inlineStr">
        <is>
          <t>the ledger sum of dividends over twelve months</t>
        </is>
      </c>
      <c r="C55" s="3" t="inlineStr">
        <is>
          <t>NOT DETERMINED — no source line on record</t>
        </is>
      </c>
      <c r="D55" s="3" t="inlineStr">
        <is>
          <t>—</t>
        </is>
      </c>
      <c r="E55" s="3" t="inlineStr">
        <is>
          <t>MK-NW-M-034</t>
        </is>
      </c>
      <c r="F55" s="3" t="inlineStr">
        <is>
          <t>Named by 1 figure(s)</t>
        </is>
      </c>
    </row>
    <row r="56">
      <c r="A56" s="3" t="inlineStr">
        <is>
          <t>MK-NW-E-025</t>
        </is>
      </c>
      <c r="B56" s="3" t="inlineStr">
        <is>
          <t>REALISED_GAIN</t>
        </is>
      </c>
      <c r="C56" s="3" t="inlineStr">
        <is>
          <t>src/domain/performance/realized.ts:14</t>
        </is>
      </c>
      <c r="D56" s="3" t="inlineStr">
        <is>
          <t>How much profit have I actually taken?</t>
        </is>
      </c>
      <c r="E56" s="3" t="inlineStr">
        <is>
          <t>MK-NW-M-035</t>
        </is>
      </c>
      <c r="F56" s="3" t="inlineStr">
        <is>
          <t>Named by 1 figure(s)</t>
        </is>
      </c>
    </row>
    <row r="57">
      <c r="A57" s="3" t="inlineStr">
        <is>
          <t>MK-NW-E-026</t>
        </is>
      </c>
      <c r="B57" s="3" t="inlineStr">
        <is>
          <t>HOLDING_CAP_GAINS</t>
        </is>
      </c>
      <c r="C57" s="3" t="inlineStr">
        <is>
          <t>src/domain/performance/index.ts:63</t>
        </is>
      </c>
      <c r="D57" s="3" t="inlineStr">
        <is>
          <t>If I sold this today, how much of the gain is long-term and how much short-term?</t>
        </is>
      </c>
      <c r="E57" s="3" t="inlineStr">
        <is>
          <t>MK-NW-M-036 · MK-NW-M-037</t>
        </is>
      </c>
      <c r="F57" s="3" t="inlineStr">
        <is>
          <t>Named by 2 figure(s)</t>
        </is>
      </c>
    </row>
    <row r="58">
      <c r="A58" s="3" t="inlineStr">
        <is>
          <t>MK-NW-E-027</t>
        </is>
      </c>
      <c r="B58" s="3" t="inlineStr">
        <is>
          <t>the account balance being itemised</t>
        </is>
      </c>
      <c r="C58" s="3" t="inlineStr">
        <is>
          <t>NOT DETERMINED — no source line on record</t>
        </is>
      </c>
      <c r="D58" s="3" t="inlineStr">
        <is>
          <t>—</t>
        </is>
      </c>
      <c r="E58" s="3" t="inlineStr">
        <is>
          <t>MK-NW-M-038</t>
        </is>
      </c>
      <c r="F58" s="3" t="inlineStr">
        <is>
          <t>Named by 1 figure(s)</t>
        </is>
      </c>
    </row>
    <row r="59">
      <c r="A59" s="3" t="inlineStr">
        <is>
          <t>MK-NW-E-028</t>
        </is>
      </c>
      <c r="B59" s="3" t="inlineStr">
        <is>
          <t>BOND_FACTS · BOND_COUPON</t>
        </is>
      </c>
      <c r="C59" s="3" t="inlineStr">
        <is>
          <t>NOT DETERMINED — no source line on record</t>
        </is>
      </c>
      <c r="D59" s="3" t="inlineStr">
        <is>
          <t>—</t>
        </is>
      </c>
      <c r="E59" s="3" t="inlineStr">
        <is>
          <t>MK-NW-M-045</t>
        </is>
      </c>
      <c r="F59" s="3" t="inlineStr">
        <is>
          <t>Named by 1 figure(s)</t>
        </is>
      </c>
    </row>
    <row r="60">
      <c r="A60" s="3" t="inlineStr">
        <is>
          <t>MK-PF-E-001</t>
        </is>
      </c>
      <c r="B60" s="3" t="inlineStr">
        <is>
          <t>NW_CHANGE_WALK</t>
        </is>
      </c>
      <c r="C60" s="3" t="inlineStr">
        <is>
          <t>src/domain/history.ts:144</t>
        </is>
      </c>
      <c r="D60" s="3" t="inlineStr">
        <is>
          <t>My net worth changed since last time — what actually caused it?</t>
        </is>
      </c>
      <c r="E60" s="3" t="inlineStr">
        <is>
          <t>MK-PF-M-001 · MK-PF-M-002 · MK-PF-M-003 · MK-PF-M-004</t>
        </is>
      </c>
      <c r="F60" s="3" t="inlineStr">
        <is>
          <t>Named by 4 figure(s)</t>
        </is>
      </c>
    </row>
    <row r="61">
      <c r="A61" s="3" t="inlineStr">
        <is>
          <t>MK-PF-E-002</t>
        </is>
      </c>
      <c r="B61" s="3" t="inlineStr">
        <is>
          <t>PERFORMANCE_TABLE</t>
        </is>
      </c>
      <c r="C61" s="3" t="inlineStr">
        <is>
          <t>src/domain/performance/index.ts:191</t>
        </is>
      </c>
      <c r="D61" s="3" t="inlineStr">
        <is>
          <t>What is the full picture for every holding?</t>
        </is>
      </c>
      <c r="E61" s="3" t="inlineStr">
        <is>
          <t>MK-PF-M-005 · MK-PF-M-006 · MK-PF-M-007</t>
        </is>
      </c>
      <c r="F61" s="3" t="inlineStr">
        <is>
          <t>Named by 3 figure(s)</t>
        </is>
      </c>
    </row>
    <row r="62">
      <c r="A62" s="3" t="inlineStr">
        <is>
          <t>MK-PF-E-003</t>
        </is>
      </c>
      <c r="B62" s="3" t="inlineStr">
        <is>
          <t>BENCHMARK_RETURN_BLENDED</t>
        </is>
      </c>
      <c r="C62" s="3" t="inlineStr">
        <is>
          <t>src/domain/performance/index.ts:293</t>
        </is>
      </c>
      <c r="D62" s="3" t="inlineStr">
        <is>
          <t>What would the matching benchmarks have done over the same period?</t>
        </is>
      </c>
      <c r="E62" s="3" t="inlineStr">
        <is>
          <t>MK-PF-M-008</t>
        </is>
      </c>
      <c r="F62" s="3" t="inlineStr">
        <is>
          <t>Named by 1 figure(s)</t>
        </is>
      </c>
    </row>
    <row r="63">
      <c r="A63" s="3" t="inlineStr">
        <is>
          <t>MK-PF-E-004</t>
        </is>
      </c>
      <c r="B63" s="3" t="inlineStr">
        <is>
          <t>MODIFIED_DIETZ (Calculation Module code/engines/window-return.ts)</t>
        </is>
      </c>
      <c r="C63" s="3" t="inlineStr">
        <is>
          <t>NOT DETERMINED — no source line on record</t>
        </is>
      </c>
      <c r="D63" s="3" t="inlineStr">
        <is>
          <t>—</t>
        </is>
      </c>
      <c r="E63" s="3" t="inlineStr">
        <is>
          <t>MK-PF-M-009</t>
        </is>
      </c>
      <c r="F63" s="3" t="inlineStr">
        <is>
          <t>Named by 1 figure(s)</t>
        </is>
      </c>
    </row>
    <row r="64">
      <c r="A64" s="3" t="inlineStr">
        <is>
          <t>MK-PF-E-005</t>
        </is>
      </c>
      <c r="B64" s="3" t="inlineStr">
        <is>
          <t>LOOK_BACK</t>
        </is>
      </c>
      <c r="C64" s="3" t="inlineStr">
        <is>
          <t>src/domain/performance/lookBack.ts:32</t>
        </is>
      </c>
      <c r="D64" s="3" t="inlineStr">
        <is>
          <t>What if I had moved this money?</t>
        </is>
      </c>
      <c r="E64" s="3" t="inlineStr">
        <is>
          <t>MK-PF-M-010 · MK-PF-M-011 · MK-PF-M-012</t>
        </is>
      </c>
      <c r="F64" s="3" t="inlineStr">
        <is>
          <t>Named by 3 figure(s)</t>
        </is>
      </c>
    </row>
    <row r="65">
      <c r="A65" s="3" t="inlineStr">
        <is>
          <t>MK-PL-E-001</t>
        </is>
      </c>
      <c r="B65" s="3" t="inlineStr">
        <is>
          <t>WHAT_THE_PLAN_STILL_NEEDS</t>
        </is>
      </c>
      <c r="C65" s="3" t="inlineStr">
        <is>
          <t>src/domain/planning/hub.ts:44</t>
        </is>
      </c>
      <c r="D65" s="3" t="inlineStr">
        <is>
          <t>Is there enough to show this person their own odds?</t>
        </is>
      </c>
      <c r="E65" s="3" t="inlineStr">
        <is>
          <t>MK-PL-M-001 · MK-PL-M-002</t>
        </is>
      </c>
      <c r="F65" s="3" t="inlineStr">
        <is>
          <t>Named by 2 figure(s)</t>
        </is>
      </c>
    </row>
    <row r="66">
      <c r="A66" s="3" t="inlineStr">
        <is>
          <t>MK-PL-E-002</t>
        </is>
      </c>
      <c r="B66" s="3" t="inlineStr">
        <is>
          <t>NOT IN OLD MASTER — retirementPaycheckYear, src/domain/paycheck</t>
        </is>
      </c>
      <c r="C66" s="3" t="inlineStr">
        <is>
          <t>NOT DETERMINED — no source line on record</t>
        </is>
      </c>
      <c r="D66" s="3" t="inlineStr">
        <is>
          <t>—</t>
        </is>
      </c>
      <c r="E66" s="3" t="inlineStr">
        <is>
          <t>MK-PL-M-003 · MK-PL-M-004 · MK-PL-M-005</t>
        </is>
      </c>
      <c r="F66" s="3" t="inlineStr">
        <is>
          <t>Named by 3 figure(s)</t>
        </is>
      </c>
    </row>
    <row r="67">
      <c r="A67" s="3" t="inlineStr">
        <is>
          <t>MK-PL-E-003</t>
        </is>
      </c>
      <c r="B67" s="3" t="inlineStr">
        <is>
          <t>NOT IN OLD MASTER — saved scenarios, src/domain/scenarios</t>
        </is>
      </c>
      <c r="C67" s="3" t="inlineStr">
        <is>
          <t>NOT DETERMINED — no source line on record</t>
        </is>
      </c>
      <c r="D67" s="3" t="inlineStr">
        <is>
          <t>—</t>
        </is>
      </c>
      <c r="E67" s="3" t="inlineStr">
        <is>
          <t>MK-PL-M-007</t>
        </is>
      </c>
      <c r="F67" s="3" t="inlineStr">
        <is>
          <t>Named by 1 figure(s)</t>
        </is>
      </c>
    </row>
    <row r="68">
      <c r="A68" s="3" t="inlineStr">
        <is>
          <t>MK-PL-E-004</t>
        </is>
      </c>
      <c r="B68" s="3" t="inlineStr">
        <is>
          <t>GUARANTEED_STREAMS (engines: B1 rebuild)</t>
        </is>
      </c>
      <c r="C68" s="3" t="inlineStr">
        <is>
          <t>NOT DETERMINED — no source line on record</t>
        </is>
      </c>
      <c r="D68" s="3" t="inlineStr">
        <is>
          <t>—</t>
        </is>
      </c>
      <c r="E68" s="3" t="inlineStr">
        <is>
          <t>MK-PL-M-010</t>
        </is>
      </c>
      <c r="F68" s="3" t="inlineStr">
        <is>
          <t>Named by 1 figure(s)</t>
        </is>
      </c>
    </row>
    <row r="69">
      <c r="A69" s="3" t="inlineStr">
        <is>
          <t>MK-PL-E-005</t>
        </is>
      </c>
      <c r="B69" s="3" t="inlineStr">
        <is>
          <t>RMD_START_AGE (Calculation Module code/engines/rmd.ts)</t>
        </is>
      </c>
      <c r="C69" s="3" t="inlineStr">
        <is>
          <t>NOT DETERMINED — no source line on record</t>
        </is>
      </c>
      <c r="D69" s="3" t="inlineStr">
        <is>
          <t>—</t>
        </is>
      </c>
      <c r="E69" s="3" t="inlineStr">
        <is>
          <t>MK-PL-M-012</t>
        </is>
      </c>
      <c r="F69" s="3" t="inlineStr">
        <is>
          <t>Named by 1 figure(s)</t>
        </is>
      </c>
    </row>
    <row r="70">
      <c r="A70" s="3" t="inlineStr">
        <is>
          <t>MK-PL-E-006</t>
        </is>
      </c>
      <c r="B70" s="3" t="inlineStr">
        <is>
          <t>REQUIRED_WITHDRAWAL</t>
        </is>
      </c>
      <c r="C70" s="3" t="inlineStr">
        <is>
          <t>NOT DETERMINED — no source line on record</t>
        </is>
      </c>
      <c r="D70" s="3" t="inlineStr">
        <is>
          <t>—</t>
        </is>
      </c>
      <c r="E70" s="3" t="inlineStr">
        <is>
          <t>MK-PL-M-013 · MK-PL-M-015</t>
        </is>
      </c>
      <c r="F70" s="3" t="inlineStr">
        <is>
          <t>Named by 2 figure(s)</t>
        </is>
      </c>
    </row>
    <row r="71">
      <c r="A71" s="3" t="inlineStr">
        <is>
          <t>MK-PL-E-007</t>
        </is>
      </c>
      <c r="B71" s="3" t="inlineStr">
        <is>
          <t>RETIREMENT_INCOME_NOW</t>
        </is>
      </c>
      <c r="C71" s="3" t="inlineStr">
        <is>
          <t>src/domain/income/onboarding.ts:191</t>
        </is>
      </c>
      <c r="D71" s="3" t="inlineStr">
        <is>
          <t>How much retirement income is arriving TODAY?</t>
        </is>
      </c>
      <c r="E71" s="3" t="inlineStr">
        <is>
          <t>MK-CF-M-011 · MK-CF-M-024 · MK-PL-M-018 · MK-PL-M-032</t>
        </is>
      </c>
      <c r="F71" s="3" t="inlineStr">
        <is>
          <t>Named by 4 figure(s)</t>
        </is>
      </c>
    </row>
    <row r="72">
      <c r="A72" s="3" t="inlineStr">
        <is>
          <t>MK-PL-E-008</t>
        </is>
      </c>
      <c r="B72" s="3" t="inlineStr">
        <is>
          <t>SS_CLAIM_FACTOR · SS_BENEFIT_AT_AGE</t>
        </is>
      </c>
      <c r="C72" s="3" t="inlineStr">
        <is>
          <t>NOT DETERMINED — no source line on record</t>
        </is>
      </c>
      <c r="D72" s="3" t="inlineStr">
        <is>
          <t>—</t>
        </is>
      </c>
      <c r="E72" s="3" t="inlineStr">
        <is>
          <t>MK-PL-M-019</t>
        </is>
      </c>
      <c r="F72" s="3" t="inlineStr">
        <is>
          <t>Named by 1 figure(s)</t>
        </is>
      </c>
    </row>
    <row r="73">
      <c r="A73" s="3" t="inlineStr">
        <is>
          <t>MK-PL-E-009</t>
        </is>
      </c>
      <c r="B73" s="3" t="inlineStr">
        <is>
          <t>SS_LIFETIME_TOTAL</t>
        </is>
      </c>
      <c r="C73" s="3" t="inlineStr">
        <is>
          <t>NOT DETERMINED — no source line on record</t>
        </is>
      </c>
      <c r="D73" s="3" t="inlineStr">
        <is>
          <t>—</t>
        </is>
      </c>
      <c r="E73" s="3" t="inlineStr">
        <is>
          <t>MK-PL-M-020</t>
        </is>
      </c>
      <c r="F73" s="3" t="inlineStr">
        <is>
          <t>Named by 1 figure(s)</t>
        </is>
      </c>
    </row>
    <row r="74">
      <c r="A74" s="3" t="inlineStr">
        <is>
          <t>MK-PL-E-010</t>
        </is>
      </c>
      <c r="B74" s="3" t="inlineStr">
        <is>
          <t>the worked example used until a real statement goes in</t>
        </is>
      </c>
      <c r="C74" s="3" t="inlineStr">
        <is>
          <t>NOT DETERMINED — no source line on record</t>
        </is>
      </c>
      <c r="D74" s="3" t="inlineStr">
        <is>
          <t>—</t>
        </is>
      </c>
      <c r="E74" s="3" t="inlineStr">
        <is>
          <t>MK-PL-M-021</t>
        </is>
      </c>
      <c r="F74" s="3" t="inlineStr">
        <is>
          <t>Named by 1 figure(s)</t>
        </is>
      </c>
    </row>
    <row r="75">
      <c r="A75" s="3" t="inlineStr">
        <is>
          <t>MK-PL-E-011</t>
        </is>
      </c>
      <c r="B75" s="3" t="inlineStr">
        <is>
          <t>the amount the person chose</t>
        </is>
      </c>
      <c r="C75" s="3" t="inlineStr">
        <is>
          <t>On the screen itself — no engine file</t>
        </is>
      </c>
      <c r="D75" s="3" t="inlineStr">
        <is>
          <t>—</t>
        </is>
      </c>
      <c r="E75" s="3" t="inlineStr">
        <is>
          <t>MK-PL-M-022 · MK-PL-M-025 · MK-PL-M-030</t>
        </is>
      </c>
      <c r="F75" s="3" t="inlineStr">
        <is>
          <t>Named by 3 figure(s)</t>
        </is>
      </c>
    </row>
    <row r="76">
      <c r="A76" s="3" t="inlineStr">
        <is>
          <t>MK-PL-E-012</t>
        </is>
      </c>
      <c r="B76" s="3" t="inlineStr">
        <is>
          <t>TAX_ON_CONVERSION</t>
        </is>
      </c>
      <c r="C76" s="3" t="inlineStr">
        <is>
          <t>NOT DETERMINED — no source line on record</t>
        </is>
      </c>
      <c r="D76" s="3" t="inlineStr">
        <is>
          <t>—</t>
        </is>
      </c>
      <c r="E76" s="3" t="inlineStr">
        <is>
          <t>MK-PL-M-023</t>
        </is>
      </c>
      <c r="F76" s="3" t="inlineStr">
        <is>
          <t>Named by 1 figure(s)</t>
        </is>
      </c>
    </row>
    <row r="77">
      <c r="A77" s="3" t="inlineStr">
        <is>
          <t>MK-PL-E-013</t>
        </is>
      </c>
      <c r="B77" s="3" t="inlineStr">
        <is>
          <t>PRE_TAX_BALANCE</t>
        </is>
      </c>
      <c r="C77" s="3" t="inlineStr">
        <is>
          <t>NOT DETERMINED — no source line on record</t>
        </is>
      </c>
      <c r="D77" s="3" t="inlineStr">
        <is>
          <t>—</t>
        </is>
      </c>
      <c r="E77" s="3" t="inlineStr">
        <is>
          <t>MK-PL-M-024</t>
        </is>
      </c>
      <c r="F77" s="3" t="inlineStr">
        <is>
          <t>Named by 1 figure(s)</t>
        </is>
      </c>
    </row>
    <row r="78">
      <c r="A78" s="3" t="inlineStr">
        <is>
          <t>MK-PL-E-014</t>
        </is>
      </c>
      <c r="B78" s="3" t="inlineStr">
        <is>
          <t>the amounts the person chose</t>
        </is>
      </c>
      <c r="C78" s="3" t="inlineStr">
        <is>
          <t>On the screen itself — no engine file</t>
        </is>
      </c>
      <c r="D78" s="3" t="inlineStr">
        <is>
          <t>—</t>
        </is>
      </c>
      <c r="E78" s="3" t="inlineStr">
        <is>
          <t>MK-PL-M-028</t>
        </is>
      </c>
      <c r="F78" s="3" t="inlineStr">
        <is>
          <t>Named by 1 figure(s)</t>
        </is>
      </c>
    </row>
    <row r="79">
      <c r="A79" s="3" t="inlineStr">
        <is>
          <t>MK-PL-E-015</t>
        </is>
      </c>
      <c r="B79" s="3" t="inlineStr">
        <is>
          <t>DEBT_PAYOFF</t>
        </is>
      </c>
      <c r="C79" s="3" t="inlineStr">
        <is>
          <t>NOT DETERMINED — no source line on record</t>
        </is>
      </c>
      <c r="D79" s="3" t="inlineStr">
        <is>
          <t>—</t>
        </is>
      </c>
      <c r="E79" s="3" t="inlineStr">
        <is>
          <t>MK-PL-M-031</t>
        </is>
      </c>
      <c r="F79" s="3" t="inlineStr">
        <is>
          <t>Named by 1 figure(s)</t>
        </is>
      </c>
    </row>
    <row r="80">
      <c r="A80" s="3" t="inlineStr">
        <is>
          <t>MK-PL-E-016</t>
        </is>
      </c>
      <c r="B80" s="3" t="inlineStr">
        <is>
          <t>the age the person chose</t>
        </is>
      </c>
      <c r="C80" s="3" t="inlineStr">
        <is>
          <t>On the screen itself — no engine file</t>
        </is>
      </c>
      <c r="D80" s="3" t="inlineStr">
        <is>
          <t>—</t>
        </is>
      </c>
      <c r="E80" s="3" t="inlineStr">
        <is>
          <t>MK-PL-M-035</t>
        </is>
      </c>
      <c r="F80" s="3" t="inlineStr">
        <is>
          <t>Named by 1 figure(s)</t>
        </is>
      </c>
    </row>
    <row r="81">
      <c r="A81" s="3" t="inlineStr">
        <is>
          <t>MK-PL-E-017</t>
        </is>
      </c>
      <c r="B81" s="3" t="inlineStr">
        <is>
          <t>EDUCATION_COST</t>
        </is>
      </c>
      <c r="C81" s="3" t="inlineStr">
        <is>
          <t>NOT DETERMINED — no source line on record</t>
        </is>
      </c>
      <c r="D81" s="3" t="inlineStr">
        <is>
          <t>—</t>
        </is>
      </c>
      <c r="E81" s="3" t="inlineStr">
        <is>
          <t>MK-PL-M-036 · MK-PL-M-037</t>
        </is>
      </c>
      <c r="F81" s="3" t="inlineStr">
        <is>
          <t>Named by 2 figure(s)</t>
        </is>
      </c>
    </row>
    <row r="82">
      <c r="A82" s="3" t="inlineStr">
        <is>
          <t>MK-XS-E-001</t>
        </is>
      </c>
      <c r="B82" s="3" t="inlineStr">
        <is>
          <t>NET_WORTH</t>
        </is>
      </c>
      <c r="C82" s="3" t="inlineStr">
        <is>
          <t>src/domain/networth/index.ts:12</t>
        </is>
      </c>
      <c r="D82" s="3" t="inlineStr">
        <is>
          <t>What is this household worth?</t>
        </is>
      </c>
      <c r="E82" s="3" t="inlineStr">
        <is>
          <t>MK-NW-M-016 · MK-XS-M-001</t>
        </is>
      </c>
      <c r="F82" s="3" t="inlineStr">
        <is>
          <t>Named by 2 figure(s)</t>
        </is>
      </c>
    </row>
    <row r="83">
      <c r="A83" s="3" t="inlineStr">
        <is>
          <t>MK-XS-E-002</t>
        </is>
      </c>
      <c r="B83" s="3" t="inlineStr">
        <is>
          <t>NEST_EGG</t>
        </is>
      </c>
      <c r="C83" s="3" t="inlineStr">
        <is>
          <t>src/domain/assets/index.ts:548</t>
        </is>
      </c>
      <c r="D83" s="3" t="inlineStr">
        <is>
          <t>What is my retirement pot worth?</t>
        </is>
      </c>
      <c r="E83" s="3" t="inlineStr">
        <is>
          <t>—</t>
        </is>
      </c>
      <c r="F83" s="3" t="inlineStr">
        <is>
          <t>Only as another engine’s dependency — no figure names it directly</t>
        </is>
      </c>
    </row>
    <row r="84">
      <c r="A84" s="3" t="inlineStr">
        <is>
          <t>MK-XS-E-003</t>
        </is>
      </c>
      <c r="B84" s="3" t="inlineStr">
        <is>
          <t>ODDS_DISPLAY</t>
        </is>
      </c>
      <c r="C84" s="3" t="inlineStr">
        <is>
          <t>src/domain/retirement/willItLast.ts:55</t>
        </is>
      </c>
      <c r="D84" s="3" t="inlineStr">
        <is>
          <t>The retirement odds a person actually sees. Answers: 0, 5, 10 … 100 — the exact simulation</t>
        </is>
      </c>
      <c r="E84" s="3" t="inlineStr">
        <is>
          <t>—</t>
        </is>
      </c>
      <c r="F84" s="3" t="inlineStr">
        <is>
          <t>Only as another engine’s dependency — no figure names it directly</t>
        </is>
      </c>
    </row>
    <row r="85">
      <c r="A85" s="3" t="inlineStr">
        <is>
          <t>MK-XS-E-004</t>
        </is>
      </c>
      <c r="B85" s="3" t="inlineStr">
        <is>
          <t>RETIREMENT_SPENDING</t>
        </is>
      </c>
      <c r="C85" s="3" t="inlineStr">
        <is>
          <t>src/domain/retirement/index.ts:49</t>
        </is>
      </c>
      <c r="D85" s="3" t="inlineStr">
        <is>
          <t>What will be spent each month in retirement?</t>
        </is>
      </c>
      <c r="E85" s="3" t="inlineStr">
        <is>
          <t>MK-PL-M-009</t>
        </is>
      </c>
      <c r="F85" s="3" t="inlineStr">
        <is>
          <t>Named by 1 figure(s)</t>
        </is>
      </c>
    </row>
    <row r="86">
      <c r="A86" s="3" t="inlineStr">
        <is>
          <t>MK-XS-E-005</t>
        </is>
      </c>
      <c r="B86" s="3" t="inlineStr">
        <is>
          <t>WILL_IT_LAST</t>
        </is>
      </c>
      <c r="C86" s="3" t="inlineStr">
        <is>
          <t>src/domain/retirement/index.ts:156</t>
        </is>
      </c>
      <c r="D86" s="3" t="inlineStr">
        <is>
          <t>Will my money last?</t>
        </is>
      </c>
      <c r="E86" s="3" t="inlineStr">
        <is>
          <t>—</t>
        </is>
      </c>
      <c r="F86" s="3" t="inlineStr">
        <is>
          <t>Only as another engine’s dependency — no figure names it directly</t>
        </is>
      </c>
    </row>
    <row r="87">
      <c r="A87" s="3" t="inlineStr">
        <is>
          <t>MK-XS-E-006</t>
        </is>
      </c>
      <c r="B87" s="3" t="inlineStr">
        <is>
          <t>WILL_IT_LAST_INPUTS</t>
        </is>
      </c>
      <c r="C87" s="3" t="inlineStr">
        <is>
          <t>src/domain/retirement/willItLast.ts:62</t>
        </is>
      </c>
      <c r="D87" s="3" t="inlineStr">
        <is>
          <t>What goes into working out the odds?</t>
        </is>
      </c>
      <c r="E87" s="3" t="inlineStr">
        <is>
          <t>MK-PL-M-008 · MK-PL-M-011 · MK-PL-M-029</t>
        </is>
      </c>
      <c r="F87" s="3" t="inlineStr">
        <is>
          <t>Named by 3 figure(s)</t>
        </is>
      </c>
    </row>
    <row r="88">
      <c r="A88" s="3" t="inlineStr">
        <is>
          <t>MK-XS-E-007</t>
        </is>
      </c>
      <c r="B88" s="3" t="inlineStr">
        <is>
          <t>WILL_IT_LAST_RESULT</t>
        </is>
      </c>
      <c r="C88" s="3" t="inlineStr">
        <is>
          <t>src/domain/retirement/willItLast.ts:149</t>
        </is>
      </c>
      <c r="D88" s="3" t="inlineStr">
        <is>
          <t>What are the odds, and can we honestly show them?</t>
        </is>
      </c>
      <c r="E88" s="3" t="inlineStr">
        <is>
          <t>MK-PL-M-034 · MK-XS-M-002</t>
        </is>
      </c>
      <c r="F88" s="3" t="inlineStr">
        <is>
          <t>Named by 2 figure(s)</t>
        </is>
      </c>
    </row>
    <row r="89">
      <c r="A89" s="3" t="inlineStr">
        <is>
          <t>MK-XS-E-008</t>
        </is>
      </c>
      <c r="B89" s="3" t="inlineStr">
        <is>
          <t>ASSET_CLASS_OF_ACCOUNT</t>
        </is>
      </c>
      <c r="C89" s="3" t="inlineStr">
        <is>
          <t>src/domain/assets/index.ts:221</t>
        </is>
      </c>
      <c r="D89" s="3" t="inlineStr">
        <is>
          <t>What kind of thing is this account — cash, a bond, shares, or something else?</t>
        </is>
      </c>
      <c r="E89" s="3" t="inlineStr">
        <is>
          <t>—</t>
        </is>
      </c>
      <c r="F89" s="3" t="inlineStr">
        <is>
          <t>Only as another engine’s dependency — no figure names it directly</t>
        </is>
      </c>
    </row>
    <row r="90">
      <c r="A90" s="3" t="inlineStr">
        <is>
          <t>MK-XS-E-009</t>
        </is>
      </c>
      <c r="B90" s="3" t="inlineStr">
        <is>
          <t>TOTAL_INVESTMENTS</t>
        </is>
      </c>
      <c r="C90" s="3" t="inlineStr">
        <is>
          <t>src/domain/assets/index.ts:291</t>
        </is>
      </c>
      <c r="D90" s="3" t="inlineStr">
        <is>
          <t>How much do I have invested?</t>
        </is>
      </c>
      <c r="E90" s="3" t="inlineStr">
        <is>
          <t>MK-XS-M-003</t>
        </is>
      </c>
      <c r="F90" s="3" t="inlineStr">
        <is>
          <t>Named by 1 figure(s)</t>
        </is>
      </c>
    </row>
    <row r="91">
      <c r="A91" s="3" t="inlineStr">
        <is>
          <t>MK-XS-E-010</t>
        </is>
      </c>
      <c r="B91" s="3" t="inlineStr">
        <is>
          <t>VALUE_WEIGHTED_RETURN</t>
        </is>
      </c>
      <c r="C91" s="3" t="inlineStr">
        <is>
          <t>src/domain/performance/index.ts:283</t>
        </is>
      </c>
      <c r="D91" s="3" t="inlineStr">
        <is>
          <t>How did everything I hold do over the chosen period?</t>
        </is>
      </c>
      <c r="E91" s="3" t="inlineStr">
        <is>
          <t>MK-XS-M-004</t>
        </is>
      </c>
      <c r="F91" s="3" t="inlineStr">
        <is>
          <t>Named by 1 figure(s)</t>
        </is>
      </c>
    </row>
    <row r="92">
      <c r="A92" s="3" t="inlineStr">
        <is>
          <t>MK-XS-E-011</t>
        </is>
      </c>
      <c r="B92" s="3" t="inlineStr">
        <is>
          <t>NOT IN OLD MASTER — budgetVsActual, src/domain/budget</t>
        </is>
      </c>
      <c r="C92" s="3" t="inlineStr">
        <is>
          <t>NOT DETERMINED — no source line on record</t>
        </is>
      </c>
      <c r="D92" s="3" t="inlineStr">
        <is>
          <t>—</t>
        </is>
      </c>
      <c r="E92" s="3" t="inlineStr">
        <is>
          <t>MK-CF-M-004 · MK-XS-M-005</t>
        </is>
      </c>
      <c r="F92" s="3" t="inlineStr">
        <is>
          <t>Named by 2 figure(s)</t>
        </is>
      </c>
    </row>
    <row r="93">
      <c r="A93" s="3" t="inlineStr">
        <is>
          <t>MK-XS-E-012</t>
        </is>
      </c>
      <c r="B93" s="3" t="inlineStr">
        <is>
          <t>NOT IN OLD MASTER — incomeMonthlyGrid, src/domain/income</t>
        </is>
      </c>
      <c r="C93" s="3" t="inlineStr">
        <is>
          <t>NOT DETERMINED — no source line on record</t>
        </is>
      </c>
      <c r="D93" s="3" t="inlineStr">
        <is>
          <t>—</t>
        </is>
      </c>
      <c r="E93" s="3" t="inlineStr">
        <is>
          <t>MK-CF-M-018 · MK-XS-M-006</t>
        </is>
      </c>
      <c r="F93" s="3" t="inlineStr">
        <is>
          <t>Named by 2 figure(s)</t>
        </is>
      </c>
    </row>
    <row r="94">
      <c r="A94" s="3" t="inlineStr">
        <is>
          <t>MK-XS-E-013</t>
        </is>
      </c>
      <c r="B94" s="3" t="inlineStr">
        <is>
          <t>FETCH_PRICES</t>
        </is>
      </c>
      <c r="C94" s="3" t="inlineStr">
        <is>
          <t>src/services/marketData.ts:71</t>
        </is>
      </c>
      <c r="D94" s="3" t="inlineStr">
        <is>
          <t>What are these holdings worth?</t>
        </is>
      </c>
      <c r="E94" s="3" t="inlineStr">
        <is>
          <t>—</t>
        </is>
      </c>
      <c r="F94" s="3" t="inlineStr">
        <is>
          <t>Only as another engine’s dependency — no figure names it directly</t>
        </is>
      </c>
    </row>
    <row r="95">
      <c r="A95" s="3" t="inlineStr">
        <is>
          <t>MK-XS-E-014</t>
        </is>
      </c>
      <c r="B95" s="3" t="inlineStr">
        <is>
          <t>SNAPSHOT_READ_ALL</t>
        </is>
      </c>
      <c r="C95" s="3" t="inlineStr">
        <is>
          <t>src/domain/history.ts:107</t>
        </is>
      </c>
      <c r="D95" s="3" t="inlineStr">
        <is>
          <t>What history do we hold?</t>
        </is>
      </c>
      <c r="E95" s="3" t="inlineStr">
        <is>
          <t>—</t>
        </is>
      </c>
      <c r="F95" s="3" t="inlineStr">
        <is>
          <t>Only as another engine’s dependency — no figure names it directly</t>
        </is>
      </c>
    </row>
    <row r="96">
      <c r="A96" s="3" t="inlineStr">
        <is>
          <t>MK-XS-E-015</t>
        </is>
      </c>
      <c r="B96" s="3" t="inlineStr">
        <is>
          <t>ACCOUNT_SPLIT</t>
        </is>
      </c>
      <c r="C96" s="3" t="inlineStr">
        <is>
          <t>src/domain/assets/index.ts:401</t>
        </is>
      </c>
      <c r="D96" s="3" t="inlineStr">
        <is>
          <t>This one brokerage account holds several different things — how much of it is each?</t>
        </is>
      </c>
      <c r="E96" s="3" t="inlineStr">
        <is>
          <t>MK-NW-M-008 · MK-NW-M-020</t>
        </is>
      </c>
      <c r="F96" s="3" t="inlineStr">
        <is>
          <t>Named by 2 figure(s)</t>
        </is>
      </c>
    </row>
    <row r="97">
      <c r="A97" s="3" t="inlineStr">
        <is>
          <t>MK-XS-E-016</t>
        </is>
      </c>
      <c r="B97" s="3" t="inlineStr">
        <is>
          <t>CLASS_FROM_NAME_TEXT</t>
        </is>
      </c>
      <c r="C97" s="3" t="inlineStr">
        <is>
          <t>src/domain/assets/index.ts:193</t>
        </is>
      </c>
      <c r="D97" s="3" t="inlineStr">
        <is>
          <t>Reading the NAME alone, is this cash, a money-market fund, or a CD / T-bill?</t>
        </is>
      </c>
      <c r="E97" s="3" t="inlineStr">
        <is>
          <t>—</t>
        </is>
      </c>
      <c r="F97" s="3" t="inlineStr">
        <is>
          <t>Only as another engine’s dependency — no figure names it directly</t>
        </is>
      </c>
    </row>
    <row r="98">
      <c r="A98" s="3" t="inlineStr">
        <is>
          <t>MK-XS-E-017</t>
        </is>
      </c>
      <c r="B98" s="3" t="inlineStr">
        <is>
          <t>DEBT_MINIMUM_TOTAL</t>
        </is>
      </c>
      <c r="C98" s="3" t="inlineStr">
        <is>
          <t>src/domain/debt/index.ts:55</t>
        </is>
      </c>
      <c r="D98" s="3" t="inlineStr">
        <is>
          <t>What must I pay across all debts to stay current?</t>
        </is>
      </c>
      <c r="E98" s="3" t="inlineStr">
        <is>
          <t>—</t>
        </is>
      </c>
      <c r="F98" s="3" t="inlineStr">
        <is>
          <t>Only as another engine’s dependency — no figure names it directly</t>
        </is>
      </c>
    </row>
    <row r="99">
      <c r="A99" s="3" t="inlineStr">
        <is>
          <t>MK-XS-E-018</t>
        </is>
      </c>
      <c r="B99" s="3" t="inlineStr">
        <is>
          <t>DEBT_PAYMENTS_ACTUAL</t>
        </is>
      </c>
      <c r="C99" s="3" t="inlineStr">
        <is>
          <t>src/domain/debt/index.ts:59</t>
        </is>
      </c>
      <c r="D99" s="3" t="inlineStr">
        <is>
          <t>What is actually going out on debt each month?</t>
        </is>
      </c>
      <c r="E99" s="3" t="inlineStr">
        <is>
          <t>—</t>
        </is>
      </c>
      <c r="F99" s="3" t="inlineStr">
        <is>
          <t>Only as another engine’s dependency — no figure names it directly</t>
        </is>
      </c>
    </row>
    <row r="100">
      <c r="A100" s="3" t="inlineStr">
        <is>
          <t>MK-XS-E-019</t>
        </is>
      </c>
      <c r="B100" s="3" t="inlineStr">
        <is>
          <t>DEBT_SHAPE</t>
        </is>
      </c>
      <c r="C100" s="3" t="inlineStr">
        <is>
          <t>src/domain/debt/index.ts:38</t>
        </is>
      </c>
      <c r="D100" s="3" t="inlineStr">
        <is>
          <t>How is THIS debt repaid?</t>
        </is>
      </c>
      <c r="E100" s="3" t="inlineStr">
        <is>
          <t>—</t>
        </is>
      </c>
      <c r="F100" s="3" t="inlineStr">
        <is>
          <t>Only as another engine’s dependency — no figure names it directly</t>
        </is>
      </c>
    </row>
    <row r="101">
      <c r="A101" s="3" t="inlineStr">
        <is>
          <t>MK-XS-E-020</t>
        </is>
      </c>
      <c r="B101" s="3" t="inlineStr">
        <is>
          <t>READ_A_NUMBER</t>
        </is>
      </c>
      <c r="C101" s="3" t="inlineStr">
        <is>
          <t>src/domain/_shared/num.ts:4</t>
        </is>
      </c>
      <c r="D101" s="3" t="inlineStr">
        <is>
          <t>What number did the person actually type?</t>
        </is>
      </c>
      <c r="E101" s="3" t="inlineStr">
        <is>
          <t>—</t>
        </is>
      </c>
      <c r="F101" s="3" t="inlineStr">
        <is>
          <t>Only as another engine’s dependency — no figure names it directly</t>
        </is>
      </c>
    </row>
    <row r="102">
      <c r="A102" s="3" t="inlineStr">
        <is>
          <t>MK-XS-E-021</t>
        </is>
      </c>
      <c r="B102" s="3" t="inlineStr">
        <is>
          <t>SPENDING_BY_KIND</t>
        </is>
      </c>
      <c r="C102" s="3" t="inlineStr">
        <is>
          <t>src/domain/budget/index.ts:72</t>
        </is>
      </c>
      <c r="D102" s="3" t="inlineStr">
        <is>
          <t>What is spent each month, split by kind?</t>
        </is>
      </c>
      <c r="E102" s="3" t="inlineStr">
        <is>
          <t>MK-CF-M-013 · MK-CF-M-014 · MK-MN-M-021</t>
        </is>
      </c>
      <c r="F102" s="3" t="inlineStr">
        <is>
          <t>Named by 3 figure(s)</t>
        </is>
      </c>
    </row>
    <row r="103">
      <c r="A103" s="3" t="inlineStr">
        <is>
          <t>MK-XS-E-022</t>
        </is>
      </c>
      <c r="B103" s="3" t="inlineStr">
        <is>
          <t>HOLDING_SHARES</t>
        </is>
      </c>
      <c r="C103" s="3" t="inlineStr">
        <is>
          <t>src/domain/performance/index.ts:37</t>
        </is>
      </c>
      <c r="D103" s="3" t="inlineStr">
        <is>
          <t>How many shares of this do I own?</t>
        </is>
      </c>
      <c r="E103" s="3" t="inlineStr">
        <is>
          <t>MK-NW-M-031</t>
        </is>
      </c>
      <c r="F103" s="3" t="inlineStr">
        <is>
          <t>Named by 1 figure(s)</t>
        </is>
      </c>
    </row>
    <row r="104">
      <c r="A104" s="3" t="inlineStr">
        <is>
          <t>MK-XS-E-023</t>
        </is>
      </c>
      <c r="B104" s="3" t="inlineStr">
        <is>
          <t>BENCHMARK_FOR_KIND</t>
        </is>
      </c>
      <c r="C104" s="3" t="inlineStr">
        <is>
          <t>src/domain/performance/index.ts:167</t>
        </is>
      </c>
      <c r="D104" s="3" t="inlineStr">
        <is>
          <t>What should this holding be compared against?</t>
        </is>
      </c>
      <c r="E104" s="3" t="inlineStr">
        <is>
          <t>—</t>
        </is>
      </c>
      <c r="F104" s="3" t="inlineStr">
        <is>
          <t>Only as another engine’s dependency — no figure names it directly</t>
        </is>
      </c>
    </row>
    <row r="105">
      <c r="A105" s="3" t="inlineStr">
        <is>
          <t>MK-XS-E-024</t>
        </is>
      </c>
      <c r="B105" s="3" t="inlineStr">
        <is>
          <t>HOLDING_FIRST_BOUGHT</t>
        </is>
      </c>
      <c r="C105" s="3" t="inlineStr">
        <is>
          <t>src/domain/performance/index.ts:146</t>
        </is>
      </c>
      <c r="D105" s="3" t="inlineStr">
        <is>
          <t>When did I first buy this?</t>
        </is>
      </c>
      <c r="E105" s="3" t="inlineStr">
        <is>
          <t>—</t>
        </is>
      </c>
      <c r="F105" s="3" t="inlineStr">
        <is>
          <t>Only as another engine’s dependency — no figure names it directly</t>
        </is>
      </c>
    </row>
    <row r="106">
      <c r="A106" s="3" t="inlineStr">
        <is>
          <t>MK-XS-E-025</t>
        </is>
      </c>
      <c r="B106" s="3" t="inlineStr">
        <is>
          <t>HOLDING_TOTAL_ROI</t>
        </is>
      </c>
      <c r="C106" s="3" t="inlineStr">
        <is>
          <t>src/domain/performance/index.ts:89</t>
        </is>
      </c>
      <c r="D106" s="3" t="inlineStr">
        <is>
          <t>How much am I up on this in percentage terms, since I bought it?</t>
        </is>
      </c>
      <c r="E106" s="3" t="inlineStr">
        <is>
          <t>—</t>
        </is>
      </c>
      <c r="F106" s="3" t="inlineStr">
        <is>
          <t>Only as another engine’s dependency — no figure names it directly</t>
        </is>
      </c>
    </row>
    <row r="107">
      <c r="A107" s="3" t="inlineStr">
        <is>
          <t>MK-XS-E-026</t>
        </is>
      </c>
      <c r="B107" s="3" t="inlineStr">
        <is>
          <t>HOLDING_UNREALISED_GAIN</t>
        </is>
      </c>
      <c r="C107" s="3" t="inlineStr">
        <is>
          <t>src/domain/performance/index.ts:51</t>
        </is>
      </c>
      <c r="D107" s="3" t="inlineStr">
        <is>
          <t>How much am I up or down on this?</t>
        </is>
      </c>
      <c r="E107" s="3" t="inlineStr">
        <is>
          <t>—</t>
        </is>
      </c>
      <c r="F107" s="3" t="inlineStr">
        <is>
          <t>Only as another engine’s dependency — no figure names it directly</t>
        </is>
      </c>
    </row>
    <row r="108">
      <c r="A108" s="3" t="inlineStr">
        <is>
          <t>MK-XS-E-027</t>
        </is>
      </c>
      <c r="B108" s="3" t="inlineStr">
        <is>
          <t>PERIOD_RETURN</t>
        </is>
      </c>
      <c r="C108" s="3" t="inlineStr">
        <is>
          <t>src/domain/performance/index.ts:122</t>
        </is>
      </c>
      <c r="D108" s="3" t="inlineStr">
        <is>
          <t>What did this holding do over the chosen period?</t>
        </is>
      </c>
      <c r="E108" s="3" t="inlineStr">
        <is>
          <t>—</t>
        </is>
      </c>
      <c r="F108" s="3" t="inlineStr">
        <is>
          <t>Only as another engine’s dependency — no figure names it directly</t>
        </is>
      </c>
    </row>
    <row r="109">
      <c r="A109" s="3" t="inlineStr">
        <is>
          <t>MK-XS-E-028</t>
        </is>
      </c>
      <c r="B109" s="3" t="inlineStr">
        <is>
          <t>PERIOD_START_DATE</t>
        </is>
      </c>
      <c r="C109" s="3" t="inlineStr">
        <is>
          <t>src/domain/performance/index.ts:96</t>
        </is>
      </c>
      <c r="D109" s="3" t="inlineStr">
        <is>
          <t>Which date does the chosen period start from?</t>
        </is>
      </c>
      <c r="E109" s="3" t="inlineStr">
        <is>
          <t>—</t>
        </is>
      </c>
      <c r="F109" s="3" t="inlineStr">
        <is>
          <t>Only as another engine’s dependency — no figure names it directly</t>
        </is>
      </c>
    </row>
    <row r="110">
      <c r="A110" s="3" t="inlineStr">
        <is>
          <t>MK-XS-E-029</t>
        </is>
      </c>
      <c r="B110" s="3" t="inlineStr">
        <is>
          <t>PRICE_LATEST</t>
        </is>
      </c>
      <c r="C110" s="3" t="inlineStr">
        <is>
          <t>src/domain/performance/index.ts:117</t>
        </is>
      </c>
      <c r="D110" s="3" t="inlineStr">
        <is>
          <t>What is the most recent price we hold for this?</t>
        </is>
      </c>
      <c r="E110" s="3" t="inlineStr">
        <is>
          <t>—</t>
        </is>
      </c>
      <c r="F110" s="3" t="inlineStr">
        <is>
          <t>Only as another engine’s dependency — no figure names it directly</t>
        </is>
      </c>
    </row>
    <row r="111">
      <c r="A111" s="3" t="inlineStr">
        <is>
          <t>MK-XS-E-030</t>
        </is>
      </c>
      <c r="B111" s="3" t="inlineStr">
        <is>
          <t>RETURN_SINCE_A_DATE</t>
        </is>
      </c>
      <c r="C111" s="3" t="inlineStr">
        <is>
          <t>src/domain/performance/index.ts:137</t>
        </is>
      </c>
      <c r="D111" s="3" t="inlineStr">
        <is>
          <t>What did this do between a given date and today?</t>
        </is>
      </c>
      <c r="E111" s="3" t="inlineStr">
        <is>
          <t>—</t>
        </is>
      </c>
      <c r="F111" s="3" t="inlineStr">
        <is>
          <t>Only as another engine’s dependency — no figure names it directly</t>
        </is>
      </c>
    </row>
    <row r="112">
      <c r="A112" s="3" t="inlineStr">
        <is>
          <t>MK-XS-E-031</t>
        </is>
      </c>
      <c r="B112" s="3" t="inlineStr">
        <is>
          <t>PRICE_FACTOR_OVER_WINDOW</t>
        </is>
      </c>
      <c r="C112" s="3" t="inlineStr">
        <is>
          <t>src/domain/performance/lookBack.ts:19</t>
        </is>
      </c>
      <c r="D112" s="3" t="inlineStr">
        <is>
          <t>By what multiple did this price move over the last N months?</t>
        </is>
      </c>
      <c r="E112" s="3" t="inlineStr">
        <is>
          <t>—</t>
        </is>
      </c>
      <c r="F112" s="3" t="inlineStr">
        <is>
          <t>Only as another engine’s dependency — no figure names it directly</t>
        </is>
      </c>
    </row>
    <row r="113">
      <c r="A113" s="3" t="inlineStr">
        <is>
          <t>MK-XS-E-032</t>
        </is>
      </c>
      <c r="B113" s="3" t="inlineStr">
        <is>
          <t>EFFECTIVE_TAX_RATE</t>
        </is>
      </c>
      <c r="C113" s="3" t="inlineStr">
        <is>
          <t>src/domain/income/tax.ts:130</t>
        </is>
      </c>
      <c r="D113" s="3" t="inlineStr">
        <is>
          <t>What share of my income actually goes in tax?</t>
        </is>
      </c>
      <c r="E113" s="3" t="inlineStr">
        <is>
          <t>—</t>
        </is>
      </c>
      <c r="F113" s="3" t="inlineStr">
        <is>
          <t>Only as another engine’s dependency — no figure names it directly</t>
        </is>
      </c>
    </row>
    <row r="114">
      <c r="A114" s="3" t="inlineStr">
        <is>
          <t>MK-XS-E-033</t>
        </is>
      </c>
      <c r="B114" s="3" t="inlineStr">
        <is>
          <t>EXPECTED_RETURN_BLENDED</t>
        </is>
      </c>
      <c r="C114" s="3" t="inlineStr">
        <is>
          <t>src/domain/assets/index.ts:638</t>
        </is>
      </c>
      <c r="D114" s="3" t="inlineStr">
        <is>
          <t>What return should I expect on everything I hold together?</t>
        </is>
      </c>
      <c r="E114" s="3" t="inlineStr">
        <is>
          <t>—</t>
        </is>
      </c>
      <c r="F114" s="3" t="inlineStr">
        <is>
          <t>Only as another engine’s dependency — no figure names it directly</t>
        </is>
      </c>
    </row>
    <row r="115">
      <c r="A115" s="3" t="inlineStr">
        <is>
          <t>MK-XS-E-034</t>
        </is>
      </c>
      <c r="B115" s="3" t="inlineStr">
        <is>
          <t>EXPECTED_SWING_BLENDED</t>
        </is>
      </c>
      <c r="C115" s="3" t="inlineStr">
        <is>
          <t>src/domain/assets/index.ts:597</t>
        </is>
      </c>
      <c r="D115" s="3" t="inlineStr">
        <is>
          <t>How much does a year's return typically swing around that average?</t>
        </is>
      </c>
      <c r="E115" s="3" t="inlineStr">
        <is>
          <t>—</t>
        </is>
      </c>
      <c r="F115" s="3" t="inlineStr">
        <is>
          <t>Only as another engine’s dependency — no figure names it directly</t>
        </is>
      </c>
    </row>
    <row r="116">
      <c r="A116" s="3" t="inlineStr">
        <is>
          <t>MK-XS-E-035</t>
        </is>
      </c>
      <c r="B116" s="3" t="inlineStr">
        <is>
          <t>FILING_STATUS</t>
        </is>
      </c>
      <c r="C116" s="3" t="inlineStr">
        <is>
          <t>src/domain/income/onboarding.ts:354</t>
        </is>
      </c>
      <c r="D116" s="3" t="inlineStr">
        <is>
          <t>How does this person file?</t>
        </is>
      </c>
      <c r="E116" s="3" t="inlineStr">
        <is>
          <t>—</t>
        </is>
      </c>
      <c r="F116" s="3" t="inlineStr">
        <is>
          <t>Only as another engine’s dependency — no figure names it directly</t>
        </is>
      </c>
    </row>
    <row r="117">
      <c r="A117" s="3" t="inlineStr">
        <is>
          <t>MK-XS-E-036</t>
        </is>
      </c>
      <c r="B117" s="3" t="inlineStr">
        <is>
          <t>GUARANTEED_OUTSIDE_STREAMS</t>
        </is>
      </c>
      <c r="C117" s="3" t="inlineStr">
        <is>
          <t>src/domain/income/onboarding.ts:227</t>
        </is>
      </c>
      <c r="D117" s="3" t="inlineStr">
        <is>
          <t>The plan's guaranteed-income input as separate streams of OUTSIDE money only. Answers: zer</t>
        </is>
      </c>
      <c r="E117" s="3" t="inlineStr">
        <is>
          <t>—</t>
        </is>
      </c>
      <c r="F117" s="3" t="inlineStr">
        <is>
          <t>Only as another engine’s dependency — no figure names it directly</t>
        </is>
      </c>
    </row>
    <row r="118">
      <c r="A118" s="3" t="inlineStr">
        <is>
          <t>MK-XS-E-037</t>
        </is>
      </c>
      <c r="B118" s="3" t="inlineStr">
        <is>
          <t>MONTHLY_SAVING</t>
        </is>
      </c>
      <c r="C118" s="3" t="inlineStr">
        <is>
          <t>src/domain/assets/index.ts:695</t>
        </is>
      </c>
      <c r="D118" s="3" t="inlineStr">
        <is>
          <t>How much goes in each month?</t>
        </is>
      </c>
      <c r="E118" s="3" t="inlineStr">
        <is>
          <t>—</t>
        </is>
      </c>
      <c r="F118" s="3" t="inlineStr">
        <is>
          <t>Only as another engine’s dependency — no figure names it directly</t>
        </is>
      </c>
    </row>
    <row r="119">
      <c r="A119" s="3" t="inlineStr">
        <is>
          <t>MK-XS-E-038</t>
        </is>
      </c>
      <c r="B119" s="3" t="inlineStr">
        <is>
          <t>REPORTED_RETURN</t>
        </is>
      </c>
      <c r="C119" s="3" t="inlineStr">
        <is>
          <t>src/domain/assets/index.ts:108</t>
        </is>
      </c>
      <c r="D119" s="3" t="inlineStr">
        <is>
          <t>What return did the person say they actually earned over the past year?</t>
        </is>
      </c>
      <c r="E119" s="3" t="inlineStr">
        <is>
          <t>—</t>
        </is>
      </c>
      <c r="F119" s="3" t="inlineStr">
        <is>
          <t>Only as another engine’s dependency — no figure names it directly</t>
        </is>
      </c>
    </row>
    <row r="120">
      <c r="A120" s="3" t="inlineStr">
        <is>
          <t>MK-XS-E-039</t>
        </is>
      </c>
      <c r="B120" s="3" t="inlineStr">
        <is>
          <t>SPLIT_BY_HOW_IT_IS_TAXED</t>
        </is>
      </c>
      <c r="C120" s="3" t="inlineStr">
        <is>
          <t>src/domain/decumulation/index.ts:11</t>
        </is>
      </c>
      <c r="D120" s="3" t="inlineStr">
        <is>
          <t>How is the retirement money split by the tax that will be owed on it?</t>
        </is>
      </c>
      <c r="E120" s="3" t="inlineStr">
        <is>
          <t>—</t>
        </is>
      </c>
      <c r="F120" s="3" t="inlineStr">
        <is>
          <t>Only as another engine’s dependency — no figure names it directly</t>
        </is>
      </c>
    </row>
    <row r="121">
      <c r="A121" s="3" t="inlineStr">
        <is>
          <t>MK-XS-E-040</t>
        </is>
      </c>
      <c r="B121" s="3" t="inlineStr">
        <is>
          <t>SS_BENEFIT_AT_AGE</t>
        </is>
      </c>
      <c r="C121" s="3" t="inlineStr">
        <is>
          <t>src/domain/retirement/ssTiming.ts:54</t>
        </is>
      </c>
      <c r="D121" s="3" t="inlineStr">
        <is>
          <t>The monthly Social Security check at a chosen claim age, in today's dollars. Answers: a wh</t>
        </is>
      </c>
      <c r="E121" s="3" t="inlineStr">
        <is>
          <t>MK-PL-M-017</t>
        </is>
      </c>
      <c r="F121" s="3" t="inlineStr">
        <is>
          <t>Named by 1 figure(s)</t>
        </is>
      </c>
    </row>
    <row r="122">
      <c r="A122" s="3" t="inlineStr">
        <is>
          <t>MK-XS-E-041</t>
        </is>
      </c>
      <c r="B122" s="3" t="inlineStr">
        <is>
          <t>STATE_TAX_RATE</t>
        </is>
      </c>
      <c r="C122" s="3" t="inlineStr">
        <is>
          <t>src/domain/income/onboarding.ts:358</t>
        </is>
      </c>
      <c r="D122" s="3" t="inlineStr">
        <is>
          <t>What state tax rate applies?</t>
        </is>
      </c>
      <c r="E122" s="3" t="inlineStr">
        <is>
          <t>—</t>
        </is>
      </c>
      <c r="F122" s="3" t="inlineStr">
        <is>
          <t>Only as another engine’s dependency — no figure names it directly</t>
        </is>
      </c>
    </row>
    <row r="123">
      <c r="A123" s="3" t="inlineStr">
        <is>
          <t>MK-XS-E-042</t>
        </is>
      </c>
      <c r="B123" s="3" t="inlineStr">
        <is>
          <t>SWING_FROM_RETURN</t>
        </is>
      </c>
      <c r="C123" s="3" t="inlineStr">
        <is>
          <t>src/domain/retirement/willItLast.ts:19</t>
        </is>
      </c>
      <c r="D123" s="3" t="inlineStr">
        <is>
          <t>How much might a year's return swing, judged from the return alone?</t>
        </is>
      </c>
      <c r="E123" s="3" t="inlineStr">
        <is>
          <t>—</t>
        </is>
      </c>
      <c r="F123" s="3" t="inlineStr">
        <is>
          <t>Only as another engine’s dependency — no figure names it directly</t>
        </is>
      </c>
    </row>
    <row r="124">
      <c r="A124" s="3" t="inlineStr">
        <is>
          <t>MK-XS-E-043</t>
        </is>
      </c>
      <c r="B124" s="3" t="inlineStr">
        <is>
          <t>TAX_OVER65_COUNT</t>
        </is>
      </c>
      <c r="C124" s="3" t="inlineStr">
        <is>
          <t>src/domain/income/onboarding.ts:405</t>
        </is>
      </c>
      <c r="D124" s="3" t="inlineStr">
        <is>
          <t xml:space="preserve">How many people on the tax return are 65 or older — the input the over-65 deduction needs </t>
        </is>
      </c>
      <c r="E124" s="3" t="inlineStr">
        <is>
          <t>—</t>
        </is>
      </c>
      <c r="F124" s="3" t="inlineStr">
        <is>
          <t>Only as another engine’s dependency — no figure names it directly</t>
        </is>
      </c>
    </row>
    <row r="125">
      <c r="A125" s="3" t="inlineStr">
        <is>
          <t>MK-XS-E-044</t>
        </is>
      </c>
      <c r="B125" s="3" t="inlineStr">
        <is>
          <t>TOTAL_INCOME</t>
        </is>
      </c>
      <c r="C125" s="3" t="inlineStr">
        <is>
          <t>src/domain/income/onboarding.ts:337</t>
        </is>
      </c>
      <c r="D125" s="3" t="inlineStr">
        <is>
          <t>What is the whole household income for the year, before tax?</t>
        </is>
      </c>
      <c r="E125" s="3" t="inlineStr">
        <is>
          <t>MK-CF-M-006 · MK-CF-M-007 · MK-CF-M-008 · MK-CF-M-027 · MK-MN-M-011 · MK-MN-M-012 · MK-MN-M-013</t>
        </is>
      </c>
      <c r="F125" s="3" t="inlineStr">
        <is>
          <t>Named by 7 figure(s)</t>
        </is>
      </c>
    </row>
    <row r="126">
      <c r="A126" s="3" t="inlineStr">
        <is>
          <t>MK-XS-E-045</t>
        </is>
      </c>
      <c r="B126" s="3" t="inlineStr">
        <is>
          <t>COST_OF_LIVING</t>
        </is>
      </c>
      <c r="C126" s="3" t="inlineStr">
        <is>
          <t>src/domain/retirement/col.ts:53</t>
        </is>
      </c>
      <c r="D126" s="3" t="inlineStr">
        <is>
          <t>How much more or less does life cost where they plan to live?</t>
        </is>
      </c>
      <c r="E126" s="3" t="inlineStr">
        <is>
          <t>—</t>
        </is>
      </c>
      <c r="F126" s="3" t="inlineStr">
        <is>
          <t>Only as another engine’s dependency — no figure names it directly</t>
        </is>
      </c>
    </row>
    <row r="127">
      <c r="A127" s="3" t="inlineStr">
        <is>
          <t>MK-XS-E-046</t>
        </is>
      </c>
      <c r="B127" s="3" t="inlineStr">
        <is>
          <t>SS_CLAIM_FACTOR</t>
        </is>
      </c>
      <c r="C127" s="3" t="inlineStr">
        <is>
          <t>src/domain/retirement/ssTiming.ts:34</t>
        </is>
      </c>
      <c r="D127" s="3" t="inlineStr">
        <is>
          <t>How much of the statement amount a claim age actually pays, anchored at the person's OWN f</t>
        </is>
      </c>
      <c r="E127" s="3" t="inlineStr">
        <is>
          <t>—</t>
        </is>
      </c>
      <c r="F127" s="3" t="inlineStr">
        <is>
          <t>Only as another engine’s dependency — no figure names it directly</t>
        </is>
      </c>
    </row>
    <row r="128">
      <c r="A128" s="3" t="inlineStr">
        <is>
          <t>MK-XS-E-047</t>
        </is>
      </c>
      <c r="B128" s="3" t="inlineStr">
        <is>
          <t>RETIREMENT_INCOME</t>
        </is>
      </c>
      <c r="C128" s="3" t="inlineStr">
        <is>
          <t>src/domain/income/onboarding.ts:213</t>
        </is>
      </c>
      <c r="D128" s="3" t="inlineStr">
        <is>
          <t>How much retirement income arrives monthly?</t>
        </is>
      </c>
      <c r="E128" s="3" t="inlineStr">
        <is>
          <t>MK-CF-M-023</t>
        </is>
      </c>
      <c r="F128" s="3" t="inlineStr">
        <is>
          <t>Named by 1 figure(s)</t>
        </is>
      </c>
    </row>
    <row r="129">
      <c r="A129" s="3" t="inlineStr">
        <is>
          <t>MK-XS-E-048</t>
        </is>
      </c>
      <c r="B129" s="3" t="inlineStr">
        <is>
          <t>SS_FULL_RETIREMENT_AGE</t>
        </is>
      </c>
      <c r="C129" s="3" t="inlineStr">
        <is>
          <t>src/domain/retirement/ssTiming.ts:23</t>
        </is>
      </c>
      <c r="D129" s="3" t="inlineStr">
        <is>
          <t>The person's own Social Security full retirement age. Answers: 66 (born through 1954) · 66</t>
        </is>
      </c>
      <c r="E129" s="3" t="inlineStr">
        <is>
          <t>—</t>
        </is>
      </c>
      <c r="F129" s="3" t="inlineStr">
        <is>
          <t>Only as another engine’s dependency — no figure names it directly</t>
        </is>
      </c>
    </row>
    <row r="130">
      <c r="A130" s="3" t="inlineStr">
        <is>
          <t>MK-XS-E-049</t>
        </is>
      </c>
      <c r="B130" s="3" t="inlineStr">
        <is>
          <t>EQUITY_THIS_YEAR</t>
        </is>
      </c>
      <c r="C130" s="3" t="inlineStr">
        <is>
          <t>src/domain/income/onboarding.ts:114</t>
        </is>
      </c>
      <c r="D130" s="3" t="inlineStr">
        <is>
          <t>How much equity vests this year?</t>
        </is>
      </c>
      <c r="E130" s="3" t="inlineStr">
        <is>
          <t>—</t>
        </is>
      </c>
      <c r="F130" s="3" t="inlineStr">
        <is>
          <t>Only as another engine’s dependency — no figure names it directly</t>
        </is>
      </c>
    </row>
    <row r="131">
      <c r="A131" s="3" t="inlineStr">
        <is>
          <t>MK-XS-E-050</t>
        </is>
      </c>
      <c r="B131" s="3" t="inlineStr">
        <is>
          <t>OTHER_INCOME</t>
        </is>
      </c>
      <c r="C131" s="3" t="inlineStr">
        <is>
          <t>src/domain/income/onboarding.ts:161</t>
        </is>
      </c>
      <c r="D131" s="3" t="inlineStr">
        <is>
          <t>What else comes in?</t>
        </is>
      </c>
      <c r="E131" s="3" t="inlineStr">
        <is>
          <t>—</t>
        </is>
      </c>
      <c r="F131" s="3" t="inlineStr">
        <is>
          <t>Only as another engine’s dependency — no figure names it directly</t>
        </is>
      </c>
    </row>
    <row r="132">
      <c r="A132" s="3" t="inlineStr">
        <is>
          <t>MK-XS-E-051</t>
        </is>
      </c>
      <c r="B132" s="3" t="inlineStr">
        <is>
          <t>RENTAL_INCOME_A_YEAR</t>
        </is>
      </c>
      <c r="C132" s="3" t="inlineStr">
        <is>
          <t>src/domain/income/onboarding.ts:142</t>
        </is>
      </c>
      <c r="D132" s="3" t="inlineStr">
        <is>
          <t>What do the rentals net over a year?</t>
        </is>
      </c>
      <c r="E132" s="3" t="inlineStr">
        <is>
          <t>MK-CF-M-010</t>
        </is>
      </c>
      <c r="F132" s="3" t="inlineStr">
        <is>
          <t>Named by 1 figure(s)</t>
        </is>
      </c>
    </row>
    <row r="133">
      <c r="A133" s="3" t="inlineStr">
        <is>
          <t>MK-XS-E-052</t>
        </is>
      </c>
      <c r="B133" s="3" t="inlineStr">
        <is>
          <t>SALARY_A_YEAR</t>
        </is>
      </c>
      <c r="C133" s="3" t="inlineStr">
        <is>
          <t>src/domain/income/onboarding.ts:331</t>
        </is>
      </c>
      <c r="D133" s="3" t="inlineStr">
        <is>
          <t>What is the salary for the year?</t>
        </is>
      </c>
      <c r="E133" s="3" t="inlineStr">
        <is>
          <t>—</t>
        </is>
      </c>
      <c r="F133" s="3" t="inlineStr">
        <is>
          <t>Only as another engine’s dependency — no figure names it directly</t>
        </is>
      </c>
    </row>
    <row r="134">
      <c r="A134" s="3" t="inlineStr">
        <is>
          <t>MK-XS-E-053</t>
        </is>
      </c>
      <c r="B134" s="3" t="inlineStr">
        <is>
          <t>TIPS_A_YEAR</t>
        </is>
      </c>
      <c r="C134" s="3" t="inlineStr">
        <is>
          <t>src/domain/income/onboarding.ts:204</t>
        </is>
      </c>
      <c r="D134" s="3" t="inlineStr">
        <is>
          <t>What do tips come to over the year?</t>
        </is>
      </c>
      <c r="E134" s="3" t="inlineStr">
        <is>
          <t>—</t>
        </is>
      </c>
      <c r="F134" s="3" t="inlineStr">
        <is>
          <t>Only as another engine’s dependency — no figure names it directly</t>
        </is>
      </c>
    </row>
    <row r="135">
      <c r="A135" s="3" t="inlineStr">
        <is>
          <t>MK-XS-E-054</t>
        </is>
      </c>
      <c r="B135" s="3" t="inlineStr">
        <is>
          <t>RENTALS</t>
        </is>
      </c>
      <c r="C135" s="3" t="inlineStr">
        <is>
          <t>src/domain/income/onboarding.ts:129</t>
        </is>
      </c>
      <c r="D135" s="3" t="inlineStr">
        <is>
          <t>What rental properties are there, and what does each bring in?</t>
        </is>
      </c>
      <c r="E135" s="3" t="inlineStr">
        <is>
          <t>—</t>
        </is>
      </c>
      <c r="F135" s="3" t="inlineStr">
        <is>
          <t>Only as another engine’s dependency — no figure names it directly</t>
        </is>
      </c>
    </row>
    <row r="136">
      <c r="A136" s="3" t="inlineStr">
        <is>
          <t>MK-XS-E-055</t>
        </is>
      </c>
      <c r="B136" s="3" t="inlineStr">
        <is>
          <t>IS_PHYSICAL_ASSET</t>
        </is>
      </c>
      <c r="C136" s="3" t="inlineStr">
        <is>
          <t>src/domain/assets/index.ts:253</t>
        </is>
      </c>
      <c r="D136" s="3" t="inlineStr">
        <is>
          <t>Is this something physical you own rather than money you could spend?</t>
        </is>
      </c>
      <c r="E136" s="3" t="inlineStr">
        <is>
          <t>—</t>
        </is>
      </c>
      <c r="F136" s="3" t="inlineStr">
        <is>
          <t>Only as another engine’s dependency — no figure names it directly</t>
        </is>
      </c>
    </row>
    <row r="137">
      <c r="A137" s="3" t="inlineStr">
        <is>
          <t>MK-XS-E-056</t>
        </is>
      </c>
      <c r="B137" s="3" t="inlineStr">
        <is>
          <t>TAX_DEDUCTION</t>
        </is>
      </c>
      <c r="C137" s="3" t="inlineStr">
        <is>
          <t>src/domain/income/tax.ts:105</t>
        </is>
      </c>
      <c r="D137" s="3" t="inlineStr">
        <is>
          <t>What amount of income is tax-free before the brackets start. Answers: $16,100 single · $32</t>
        </is>
      </c>
      <c r="E137" s="3" t="inlineStr">
        <is>
          <t>—</t>
        </is>
      </c>
      <c r="F137" s="3" t="inlineStr">
        <is>
          <t>Only as another engine’s dependency — no figure names it directly</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V582"/>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60" customWidth="1" min="7" max="7"/>
    <col width="64" customWidth="1" min="8" max="8"/>
    <col width="34" customWidth="1" min="9" max="9"/>
    <col width="42" customWidth="1" min="10" max="10"/>
    <col width="30" customWidth="1" min="11" max="11"/>
    <col width="62" customWidth="1" min="12" max="12"/>
    <col width="54" customWidth="1" min="13" max="13"/>
    <col width="14" customWidth="1" min="14" max="14"/>
    <col width="34" customWidth="1" min="15" max="15"/>
    <col width="12" customWidth="1" min="16" max="16"/>
    <col width="52" customWidth="1" min="17" max="17"/>
    <col width="66" customWidth="1" min="18" max="18"/>
    <col width="26" customWidth="1" min="19" max="19"/>
    <col width="22" customWidth="1" min="20" max="20"/>
    <col width="34" customWidth="1" min="21" max="21"/>
    <col width="20" customWidth="1" min="22" max="22"/>
  </cols>
  <sheetData>
    <row r="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row>
    <row r="2">
      <c r="A2" s="4"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6"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row>
    <row r="3">
      <c r="A3" s="3" t="inlineStr">
        <is>
          <t>MK-CF-F-001</t>
        </is>
      </c>
      <c r="B3" s="3" t="inlineStr">
        <is>
          <t>buildBudgetState</t>
        </is>
      </c>
      <c r="C3" s="3" t="inlineStr">
        <is>
          <t>src/domain/budget/index.ts</t>
        </is>
      </c>
      <c r="D3" s="3" t="n">
        <v>52</v>
      </c>
      <c r="E3" s="3" t="inlineStr">
        <is>
          <t>3 · DEPENDENT</t>
        </is>
      </c>
      <c r="F3" s="3" t="inlineStr">
        <is>
          <t>projected_to_save = net monthly income − monthly spending.</t>
        </is>
      </c>
      <c r="G3" s="6" t="inlineStr">
        <is>
          <t>spend = doc.monthly spending (or 0 when missing or zero)
save = net monthly income − spend</t>
        </is>
      </c>
      <c r="H3" s="3" t="inlineStr">
        <is>
          <t>Spend is doc.monthly spending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spending is missing it counts as zero, so nothing recorded and a real zero look the same.</t>
        </is>
      </c>
      <c r="N3" s="3" t="inlineStr">
        <is>
          <t>Yes</t>
        </is>
      </c>
      <c r="O3" s="3" t="inlineStr">
        <is>
          <t>MK-ST-F-055 round2</t>
        </is>
      </c>
      <c r="P3" s="3" t="n">
        <v>1</v>
      </c>
      <c r="Q3" s="3" t="inlineStr">
        <is>
          <t>MK-ST-F-055 round2</t>
        </is>
      </c>
      <c r="R3" s="3" t="inlineStr">
        <is>
          <t>MK-ST-F-055 round2 → MK-CF-F-001 buildBudgetState</t>
        </is>
      </c>
      <c r="S3" s="3" t="inlineStr">
        <is>
          <t>—</t>
        </is>
      </c>
      <c r="T3" s="3" t="inlineStr">
        <is>
          <t>—</t>
        </is>
      </c>
      <c r="U3" s="3" t="inlineStr">
        <is>
          <t>ACTIVE</t>
        </is>
      </c>
      <c r="V3" s="3" t="inlineStr">
        <is>
          <t>2026-08-27</t>
        </is>
      </c>
    </row>
    <row r="4">
      <c r="A4" s="3" t="inlineStr">
        <is>
          <t>MK-CF-F-002</t>
        </is>
      </c>
      <c r="B4" s="3" t="inlineStr">
        <is>
          <t>plannedMonthlySpend</t>
        </is>
      </c>
      <c r="C4" s="3" t="inlineStr">
        <is>
          <t>src/domain/budget/index.ts</t>
        </is>
      </c>
      <c r="D4" s="3" t="n">
        <v>87</v>
      </c>
      <c r="E4" s="3" t="inlineStr">
        <is>
          <t>2 · DISPLAYED</t>
        </is>
      </c>
      <c r="F4" s="3" t="inlineStr">
        <is>
          <t>The single canonical "planned monthly spend": the itemized buckets OR the stated total, whichever is larger (the stated total can include an uncategorized remainder the buckets don't capture).</t>
        </is>
      </c>
      <c r="G4" s="6" t="inlineStr">
        <is>
          <t>max(spend buckets(op).monthly total, op.monthly spending read as a number (0 when it is not one))</t>
        </is>
      </c>
      <c r="H4" s="3" t="inlineStr">
        <is>
          <t>the larger of spend buckets(op).monthly total and op.monthly spending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MK-ST-F-052 toNum</t>
        </is>
      </c>
      <c r="P4" s="3" t="n">
        <v>47</v>
      </c>
      <c r="Q4" s="3" t="inlineStr">
        <is>
          <t>1. MK-CF-F-092 incomeMonthlyGrid
2. MK-CF-F-004 spendBuckets
3. MK-ST-F-052 toNum
4. MK-CF-F-069 benefitActiveMonths
5. MK-CF-F-072 currentRetirementIncomeMonthly
6. MK-CF-F-065 equityVestWeights
7. MK-CF-F-071 extraIncome
8. MK-ST-F-056 has
9. MK-CF-F-132 map
10. MK-CF-F-087 monthlyTaxRates
11. MK-CF-F-073 otherIncomeMonth
12. MK-CF-F-181 rateInForce
13. MK-CF-F-068 rentalNetAnnual
14. MK-ST-F-055 round2
15. MK-CF-F-066 rsuAnnual
16. MK-CF-F-060 salaryGrossByMonth
17. MK-CF-F-077 scholarshipByCalendarMonth
18. MK-CF-F-088 taxableByCalendarMonth
19. MK-CF-F-003 categoryMonthly
20. MK-CF-F-075 retirementIncomeMonthly
21. MK-CF-F-062 equityRowValue
22. MK-CF-F-070 benefitAnnual
23. MK-CF-F-090 effectiveRate
24. MK-CF-F-085 filingStatusOf
25. MK-CF-F-089 over65CountOf
26. MK-CF-F-098 progressiveMonthlyTax
27. MK-CF-F-086 stateRateOf
28. MK-CF-F-173 earnerWages
29. MK-CF-F-102 effectiveRateOnGrossFor
30. MK-CF-F-180 enteredLandsAnnual
31. MK-CF-F-082 salaryAnnual
32. MK-CF-F-084 taxableAnnual
33. MK-CF-F-067 rentalList
34. MK-CF-F-063 rowVestYear
35. MK-CF-F-176 sumMonthsOverEarners
36. MK-CF-F-177 wageGrossByMonth
37. MK-CF-F-120 pctBaseMonthly
38. MK-CF-F-101 taxOwedFor
39. MK-CF-F-100 taxableIncomeFor
40. MK-CF-F-172 hasWage
41. MK-CF-F-074 tipsAnnual
42. MK-CF-F-130 enteredMonthlyRaw
43. MK-CF-F-166 hasMonthlySalaryTable
44. MK-CF-F-167 salaryCalendarYear
45. MK-CF-F-099 deductionFor
46. MK-CF-F-081 salaryActiveMonths
47. MK-CF-F-165 salaryMonths</t>
        </is>
      </c>
      <c r="R4" s="3" t="inlineStr">
        <is>
          <t>1. MK-CF-F-069 benefitActiveMonths → MK-CF-F-092 incomeMonthlyGrid → MK-CF-F-002 plannedMonthlySpend
2. MK-ST-F-052 toNum → MK-CF-F-075 retirementIncomeMonthly → MK-CF-F-072 currentRetirementIncomeMonthly → MK-CF-F-092 incomeMonthlyGrid → MK-CF-F-002 plannedMonthlySpend
3.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MK-ST-F-052 toNum → MK-CF-F-070 benefitAnnual → MK-CF-F-071 extraIncome → MK-CF-F-092 incomeMonthlyGrid → MK-CF-F-002 plannedMonthlySpend
7. MK-ST-F-055 round2 → MK-CF-F-071 extraIncome → MK-CF-F-092 incomeMonthlyGrid → MK-CF-F-002 plannedMonthlySpend
8. MK-ST-F-052 toNum → MK-CF-F-071 extraIncome → MK-CF-F-092 incomeMonthlyGrid → MK-CF-F-002 plannedMonthlySpend
9. … and 5 more paths</t>
        </is>
      </c>
      <c r="S4" s="3" t="inlineStr">
        <is>
          <t>MK-CF-M-015 · MK-MN-M-007 · MK-MN-M-026</t>
        </is>
      </c>
      <c r="T4" s="3" t="inlineStr">
        <is>
          <t>PLANNED_SPENDING</t>
        </is>
      </c>
      <c r="U4" s="3" t="inlineStr">
        <is>
          <t>ACTIVE</t>
        </is>
      </c>
      <c r="V4" s="3" t="inlineStr">
        <is>
          <t>2026-08-27</t>
        </is>
      </c>
    </row>
    <row r="5">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6"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1. Treats a year as twelve equal months.
2. Turns a monthly figure into a year by multiplying by twelve.</t>
        </is>
      </c>
      <c r="N5" s="3" t="inlineStr">
        <is>
          <t>Yes</t>
        </is>
      </c>
      <c r="O5" s="3" t="inlineStr">
        <is>
          <t>1. MK-CF-F-120 pctBaseMonthly
2. MK-ST-F-052 toNum</t>
        </is>
      </c>
      <c r="P5" s="3" t="n">
        <v>45</v>
      </c>
      <c r="Q5" s="3" t="inlineStr">
        <is>
          <t>1. MK-CF-F-120 pctBaseMonthly
2. MK-ST-F-052 toNum
3. MK-CF-F-092 incomeMonthlyGrid
4. MK-CF-F-069 benefitActiveMonths
5. MK-CF-F-072 currentRetirementIncomeMonthly
6. MK-CF-F-065 equityVestWeights
7. MK-CF-F-071 extraIncome
8. MK-ST-F-056 has
9. MK-CF-F-132 map
10. MK-CF-F-087 monthlyTaxRates
11. MK-CF-F-073 otherIncomeMonth
12. MK-CF-F-181 rateInForce
13. MK-CF-F-068 rentalNetAnnual
14. MK-ST-F-055 round2
15. MK-CF-F-066 rsuAnnual
16. MK-CF-F-060 salaryGrossByMonth
17. MK-CF-F-077 scholarshipByCalendarMonth
18. MK-CF-F-088 taxableByCalendarMonth
19. MK-CF-F-075 retirementIncomeMonthly
20. MK-CF-F-062 equityRowValue
21. MK-CF-F-070 benefitAnnual
22. MK-CF-F-090 effectiveRate
23. MK-CF-F-085 filingStatusOf
24. MK-CF-F-089 over65CountOf
25. MK-CF-F-098 progressiveMonthlyTax
26. MK-CF-F-086 stateRateOf
27. MK-CF-F-173 earnerWages
28. MK-CF-F-102 effectiveRateOnGrossFor
29. MK-CF-F-180 enteredLandsAnnual
30. MK-CF-F-082 salaryAnnual
31. MK-CF-F-084 taxableAnnual
32. MK-CF-F-067 rentalList
33. MK-CF-F-063 rowVestYear
34. MK-CF-F-176 sumMonthsOverEarners
35. MK-CF-F-177 wageGrossByMonth
36. MK-CF-F-101 taxOwedFor
37. MK-CF-F-100 taxableIncomeFor
38. MK-CF-F-172 hasWage
39. MK-CF-F-074 tipsAnnual
40. MK-CF-F-130 enteredMonthlyRaw
41. MK-CF-F-166 hasMonthlySalaryTable
42. MK-CF-F-167 salaryCalendarYear
43. MK-CF-F-099 deductionFor
44. MK-CF-F-081 salaryActiveMonths
45. MK-CF-F-165 salaryMonths</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MK-ST-F-052 toNum → MK-CF-F-062 equityRowValue → MK-CF-F-065 equityVestWeights → MK-CF-F-092 incomeMonthlyGrid → MK-CF-F-120 pctBaseMonthly → MK-CF-F-003 categoryMonthly
4. MK-CF-F-132 map → MK-CF-F-065 equityVestWeights → MK-CF-F-092 incomeMonthlyGrid → MK-CF-F-120 pctBaseMonthly → MK-CF-F-003 categoryMonthly
5. MK-CF-F-069 benefitActiveMonths → MK-CF-F-070 benefitAnnual → MK-CF-F-071 extraIncome → MK-CF-F-092 incomeMonthlyGrid → MK-CF-F-120 pctBaseMonthly → MK-CF-F-003 categoryMonthly
6. MK-ST-F-052 toNum → MK-CF-F-070 benefitAnnual → MK-CF-F-071 extraIncome → MK-CF-F-092 incomeMonthlyGrid → MK-CF-F-120 pctBaseMonthly → MK-CF-F-003 categoryMonthly
7. MK-ST-F-055 round2 → MK-CF-F-071 extraIncome → MK-CF-F-092 incomeMonthlyGrid → MK-CF-F-120 pctBaseMonthly → MK-CF-F-003 categoryMonthly
8. MK-ST-F-052 toNum → MK-CF-F-071 extraIncome → MK-CF-F-092 incomeMonthlyGrid → MK-CF-F-120 pctBaseMonthly → MK-CF-F-003 categoryMonthly
9. … and 5 more paths</t>
        </is>
      </c>
      <c r="S5" s="3" t="inlineStr">
        <is>
          <t>—</t>
        </is>
      </c>
      <c r="T5" s="3" t="inlineStr">
        <is>
          <t>—</t>
        </is>
      </c>
      <c r="U5" s="3" t="inlineStr">
        <is>
          <t>ACTIVE</t>
        </is>
      </c>
      <c r="V5" s="3" t="inlineStr">
        <is>
          <t>2026-08-27</t>
        </is>
      </c>
    </row>
    <row r="6">
      <c r="A6" s="3" t="inlineStr">
        <is>
          <t>MK-CF-F-004</t>
        </is>
      </c>
      <c r="B6" s="3" t="inlineStr">
        <is>
          <t>spendBuckets</t>
        </is>
      </c>
      <c r="C6" s="3" t="inlineStr">
        <is>
          <t>src/domain/budget/index.ts</t>
        </is>
      </c>
      <c r="D6" s="3" t="n">
        <v>221</v>
      </c>
      <c r="E6" s="3" t="inlineStr">
        <is>
          <t>2 · DISPLAYED</t>
        </is>
      </c>
      <c r="F6" s="3" t="inlineStr">
        <is>
          <t>Roll the per-category spending up into the three monthly-normalized buckets.</t>
        </is>
      </c>
      <c r="G6" s="6" t="inlineStr">
        <is>
          <t>a = op (or none when missing)
cats = spend cats   if array.is array(spend cats)
nothing   otherwise
fixed = to num(b fixed), non = to num(b nonmonthly), flex = to num(b flexible)
the answer:
fixed = fixed
non monthly = non
flexible = flex
monthly total = round(fixed + non + flex, 2 dp)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to the cent.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1. "Spending" — on the setup questions, which appear on more than one screen
2. "YOUR GOALS" — on the Goals screen, under "YOUR GOALS"</t>
        </is>
      </c>
      <c r="M6" s="3" t="inlineStr">
        <is>
          <t>None found in this function — anything it assumes comes from the functions it depends on.</t>
        </is>
      </c>
      <c r="N6" s="3" t="inlineStr">
        <is>
          <t>Yes</t>
        </is>
      </c>
      <c r="O6" s="3" t="inlineStr">
        <is>
          <t>1. MK-CF-F-003 categoryMonthly
2. MK-ST-F-055 round2
3. MK-ST-F-052 toNum</t>
        </is>
      </c>
      <c r="P6" s="3" t="n">
        <v>46</v>
      </c>
      <c r="Q6" s="3" t="inlineStr">
        <is>
          <t>1. MK-CF-F-003 categoryMonthly
2. MK-ST-F-055 round2
3. MK-ST-F-052 toNum
4. MK-CF-F-120 pctBaseMonthly
5. MK-CF-F-092 incomeMonthlyGrid
6. MK-CF-F-069 benefitActiveMonths
7. MK-CF-F-072 currentRetirementIncomeMonthly
8. MK-CF-F-065 equityVestWeights
9. MK-CF-F-071 extraIncome
10. MK-ST-F-056 has
11. MK-CF-F-132 map
12. MK-CF-F-087 monthlyTaxRates
13. MK-CF-F-073 otherIncomeMonth
14. MK-CF-F-181 rateInForce
15. MK-CF-F-068 rentalNetAnnual
16. MK-CF-F-066 rsuAnnual
17. MK-CF-F-060 salaryGrossByMonth
18. MK-CF-F-077 scholarshipByCalendarMonth
19. MK-CF-F-088 taxableByCalendarMonth
20. MK-CF-F-075 retirementIncomeMonthly
21. MK-CF-F-062 equityRowValue
22. MK-CF-F-070 benefitAnnual
23. MK-CF-F-090 effectiveRate
24. MK-CF-F-085 filingStatusOf
25. MK-CF-F-089 over65CountOf
26. MK-CF-F-098 progressiveMonthlyTax
27. MK-CF-F-086 stateRateOf
28. MK-CF-F-173 earnerWages
29. MK-CF-F-102 effectiveRateOnGrossFor
30. MK-CF-F-180 enteredLandsAnnual
31. MK-CF-F-082 salaryAnnual
32. MK-CF-F-084 taxableAnnual
33. MK-CF-F-067 rentalList
34. MK-CF-F-063 rowVestYear
35. MK-CF-F-176 sumMonthsOverEarners
36. MK-CF-F-177 wageGrossByMonth
37. MK-CF-F-101 taxOwedFor
38. MK-CF-F-100 taxableIncomeFor
39. MK-CF-F-172 hasWage
40. MK-CF-F-074 tipsAnnual
41. MK-CF-F-130 enteredMonthlyRaw
42. MK-CF-F-166 hasMonthlySalaryTable
43. MK-CF-F-167 salaryCalendarYear
44. MK-CF-F-099 deductionFor
45. MK-CF-F-081 salaryActiveMonths
46. MK-CF-F-165 salaryMonths</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MK-ST-F-055 round2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S6" s="3" t="inlineStr">
        <is>
          <t>MK-CF-M-013 · MK-CF-M-014 · MK-MN-M-021</t>
        </is>
      </c>
      <c r="T6" s="3" t="inlineStr">
        <is>
          <t>SPENDING_BY_KIND</t>
        </is>
      </c>
      <c r="U6" s="3" t="inlineStr">
        <is>
          <t>ACTIVE</t>
        </is>
      </c>
      <c r="V6" s="3" t="inlineStr">
        <is>
          <t>2026-08-27</t>
        </is>
      </c>
    </row>
    <row r="7">
      <c r="A7" s="3" t="inlineStr">
        <is>
          <t>MK-CF-F-005</t>
        </is>
      </c>
      <c r="B7" s="3" t="inlineStr">
        <is>
          <t>actualMonthFlow</t>
        </is>
      </c>
      <c r="C7" s="3" t="inlineStr">
        <is>
          <t>MoneyKeel/functions/cashflow/this-month.ts</t>
        </is>
      </c>
      <c r="D7" s="3" t="n">
        <v>141</v>
      </c>
      <c r="E7" s="3" t="inlineStr">
        <is>
          <t>2 · DISPLAYED</t>
        </is>
      </c>
      <c r="F7" s="3" t="inlineStr">
        <is>
          <t>WHAT HAS ACTUALLY HAPPENED: what landed, less only the debts confirmed paid, less what was really spent.</t>
        </is>
      </c>
      <c r="G7" s="6" t="inlineStr">
        <is>
          <t>logged = expenses (or none when missing) where in month(each, ym)
paid for = debt payments by debt(m)
lines = [{ label: 'in (take − home) received', amount: round2(take home monthly), kind: 'in' }]
paid = round(paid for.get(debt id) (or 0 when missing), 2 dp)
matched = Σ over [...paid for.values()] of (each)
unmatched = round(all debt paid − matched, 2 dp)
spending = logged where category ! = DEBT_CATEGORY
spent = round(Σ over spending of (amount read as a number (0 when it is not one)), 2 dp)
the answer:
lines = lines
surplus = cash(lines.reduce((t, l) =&gt; t + amount, 0))</t>
        </is>
      </c>
      <c r="H7" s="3" t="inlineStr">
        <is>
          <t>Logged is expenses (or none — when missing) where in month(each, ym). Paid for is debt payments by debt(m). Lines is [{ label: 'in (take minus home) received', amount: round2(take home monthly), kind: 'in' }]. Paid is paid for.get(debt id) (or 0 — when missing), to the cent. Matched: the each added up across [...paid for.values()]. Unmatched is all debt paid minus matched, to the cent. Spending is logged where category ! = DEBT_CATEGORY. Spent: the amount read as a number (0 — when it is one is missing added up across spending), to the cent. The answer is lines = lines; surplus = cash(lines.reduce((t, l) =&gt; t plus amount, 0)).</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 Leaves some rows out of the answer — check which.</t>
        </is>
      </c>
      <c r="N7" s="3" t="inlineStr">
        <is>
          <t>Yes</t>
        </is>
      </c>
      <c r="O7" s="3" t="inlineStr">
        <is>
          <t>1. MK-CF-F-155 cash
2. MK-CF-F-157 debtPaymentsByDebt
3. MK-CF-F-148 inMonth
4. MK-CF-F-023 requiredPayment
5. MK-ST-F-055 round2
6. MK-ST-F-052 toNum</t>
        </is>
      </c>
      <c r="P7" s="3" t="n">
        <v>9</v>
      </c>
      <c r="Q7" s="3" t="inlineStr">
        <is>
          <t>1. MK-CF-F-155 cash
2. MK-CF-F-157 debtPaymentsByDebt
3. MK-CF-F-148 inMonth
4. MK-CF-F-023 requiredPayment
5. MK-ST-F-055 round2
6. MK-ST-F-052 toNum
7. MK-CF-F-132 map
8. MK-CF-F-022 paymentShape
9. MK-CF-F-021 defaultPaymentType</t>
        </is>
      </c>
      <c r="R7" s="3" t="inlineStr">
        <is>
          <t>1. MK-ST-F-055 round2 → MK-CF-F-155 cash → MK-CF-F-005 actualMonthFlow
2. MK-CF-F-148 inMonth → MK-CF-F-157 debtPaymentsByDebt → MK-CF-F-005 actualMonthFlow
3. MK-CF-F-132 map → MK-CF-F-157 debtPaymentsByDebt → MK-CF-F-005 actualMonthFlow
4. MK-ST-F-055 round2 → MK-CF-F-157 debtPaymentsByDebt → MK-CF-F-005 actualMonthFlow
5. MK-ST-F-052 toNum → MK-CF-F-157 debtPaymentsByDebt → MK-CF-F-005 actualMonthFlow
6. MK-CF-F-148 inMonth → MK-CF-F-005 actualMonthFlow
7. MK-CF-F-021 defaultPaymentType → MK-CF-F-022 paymentShape → MK-CF-F-023 requiredPayment → MK-CF-F-005 actualMonthFlow
8. MK-ST-F-055 round2 → MK-CF-F-005 actualMonthFlow
9. … and 1 more paths</t>
        </is>
      </c>
      <c r="S7" s="3" t="inlineStr">
        <is>
          <t>—</t>
        </is>
      </c>
      <c r="T7" s="3" t="inlineStr">
        <is>
          <t>—</t>
        </is>
      </c>
      <c r="U7" s="3" t="inlineStr">
        <is>
          <t>ACTIVE</t>
        </is>
      </c>
      <c r="V7" s="3" t="inlineStr">
        <is>
          <t>2026-08-27</t>
        </is>
      </c>
    </row>
    <row r="8">
      <c r="A8" s="3" t="inlineStr">
        <is>
          <t>MK-CF-F-006</t>
        </is>
      </c>
      <c r="B8" s="3" t="inlineStr">
        <is>
          <t>allocatableThisMonth</t>
        </is>
      </c>
      <c r="C8" s="3" t="inlineStr">
        <is>
          <t>src/domain/budget/index.ts</t>
        </is>
      </c>
      <c r="D8" s="3" t="n">
        <v>258</v>
      </c>
      <c r="E8" s="3" t="inlineStr">
        <is>
          <t>2 · DISPLAYED</t>
        </is>
      </c>
      <c r="F8" s="3" t="inlineStr">
        <is>
          <t>What's LEFT of this month's surplus to put to work = surplus − already-allocated this month (never &lt; 0).</t>
        </is>
      </c>
      <c r="G8" s="6"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row>
    <row r="9">
      <c r="A9" s="3" t="inlineStr">
        <is>
          <t>MK-CF-F-007</t>
        </is>
      </c>
      <c r="B9" s="3" t="inlineStr">
        <is>
          <t>nonMonthlyBasis</t>
        </is>
      </c>
      <c r="C9" s="3" t="inlineStr">
        <is>
          <t>src/domain/budget/index.ts</t>
        </is>
      </c>
      <c r="D9" s="3" t="n">
        <v>291</v>
      </c>
      <c r="E9" s="3" t="inlineStr">
        <is>
          <t>2 · DISPLAYED</t>
        </is>
      </c>
      <c r="F9" s="3" t="inlineStr">
        <is>
          <t>Label basis for the non-monthly bucket (e.g.</t>
        </is>
      </c>
      <c r="G9" s="6"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"YOUR GOALS" — on the Goals screen, under "YOUR GOALS"</t>
        </is>
      </c>
      <c r="M9" s="3" t="inlineStr">
        <is>
          <t>1. Rounds the answer to a whole number.
2. Leaves some rows out of the answer — check which.</t>
        </is>
      </c>
      <c r="N9" s="3" t="inlineStr">
        <is>
          <t>Yes</t>
        </is>
      </c>
      <c r="O9" s="3" t="inlineStr">
        <is>
          <t>MK-ST-F-052 toNum</t>
        </is>
      </c>
      <c r="P9" s="3" t="n">
        <v>1</v>
      </c>
      <c r="Q9" s="3" t="inlineStr">
        <is>
          <t>MK-ST-F-052 toNum</t>
        </is>
      </c>
      <c r="R9" s="3" t="inlineStr">
        <is>
          <t>MK-ST-F-052 toNum → MK-CF-F-007 nonMonthlyBasis</t>
        </is>
      </c>
      <c r="S9" s="3" t="inlineStr">
        <is>
          <t>—</t>
        </is>
      </c>
      <c r="T9" s="3" t="inlineStr">
        <is>
          <t>—</t>
        </is>
      </c>
      <c r="U9" s="3" t="inlineStr">
        <is>
          <t>ACTIVE</t>
        </is>
      </c>
      <c r="V9" s="3" t="inlineStr">
        <is>
          <t>2026-08-27</t>
        </is>
      </c>
    </row>
    <row r="10">
      <c r="A10" s="3" t="inlineStr">
        <is>
          <t>MK-CF-F-008</t>
        </is>
      </c>
      <c r="B10" s="3" t="inlineStr">
        <is>
          <t>spendByMonth</t>
        </is>
      </c>
      <c r="C10" s="3" t="inlineStr">
        <is>
          <t>src/domain/budget/index.ts</t>
        </is>
      </c>
      <c r="D10" s="3" t="n">
        <v>340</v>
      </c>
      <c r="E10" s="3" t="inlineStr">
        <is>
          <t>3 · DEPENDENT</t>
        </is>
      </c>
      <c r="F10" s="3" t="inlineStr">
        <is>
          <t>Spending placed in the calendar months it's actually due (Jan→Dec) — NOT averaged.</t>
        </is>
      </c>
      <c r="G10" s="6" t="inlineStr">
        <is>
          <t>a = op (or none when missing)
out = 12 slots, each 0
cats = spend cats   if array.is array(spend cats)
nothing   otherwise
net monthly = pct base monthly(op)
amt = to num(amount); if (amt ≤ 0) continue
pct = unit = 'pct'
flat = spend buckets(op).monthly total
uncategorized = max(0, to num(monthly spending) − spend buckets(op).monthly total)
the answer = for each of out: round2</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spending, never below zero minus spend buckets(op).monthly total). The answer is for each of out: round2.</t>
        </is>
      </c>
      <c r="I10" s="3" t="inlineStr">
        <is>
          <t>PARTLY READ — some of the code is still showing through; needs a hand pass</t>
        </is>
      </c>
      <c r="J10" s="3" t="inlineStr">
        <is>
          <t>op: OnboardingProfile | null</t>
        </is>
      </c>
      <c r="K10" s="3" t="inlineStr">
        <is>
          <t>number[]</t>
        </is>
      </c>
      <c r="L10" s="3" t="inlineStr">
        <is>
          <t>—</t>
        </is>
      </c>
      <c r="M10" s="3" t="inlineStr">
        <is>
          <t>1. Uses a built-in i of 0.
2. Treats a year as twelve equal months.
3. Turns a monthly figure into a year by multiplying by twelve.</t>
        </is>
      </c>
      <c r="N10" s="3" t="inlineStr">
        <is>
          <t>Yes</t>
        </is>
      </c>
      <c r="O10" s="3" t="inlineStr">
        <is>
          <t>1. MK-CF-F-132 map
2. MK-CF-F-120 pctBaseMonthly
3. MK-CF-F-004 spendBuckets
4. MK-ST-F-052 toNum</t>
        </is>
      </c>
      <c r="P10" s="3" t="n">
        <v>47</v>
      </c>
      <c r="Q10" s="3" t="inlineStr">
        <is>
          <t>1. MK-CF-F-132 map
2. MK-CF-F-120 pctBaseMonthly
3. MK-CF-F-004 spendBuckets
4. MK-ST-F-052 toNum
5. MK-CF-F-092 incomeMonthlyGrid
6. MK-CF-F-003 categoryMonthly
7. MK-ST-F-055 round2
8. MK-CF-F-069 benefitActiveMonths
9. MK-CF-F-072 currentRetirementIncomeMonthly
10. MK-CF-F-065 equityVestWeights
11. MK-CF-F-071 extraIncome
12. MK-ST-F-056 has
13. MK-CF-F-087 monthlyTaxRates
14. MK-CF-F-073 otherIncomeMonth
15. MK-CF-F-181 rateInForce
16. MK-CF-F-068 rentalNetAnnual
17. MK-CF-F-066 rsuAnnual
18. MK-CF-F-060 salaryGrossByMonth
19. MK-CF-F-077 scholarshipByCalendarMonth
20. MK-CF-F-088 taxableByCalendarMonth
21. MK-CF-F-075 retirementIncomeMonthly
22. MK-CF-F-062 equityRowValue
23. MK-CF-F-070 benefitAnnual
24. MK-CF-F-090 effectiveRate
25. MK-CF-F-085 filingStatusOf
26. MK-CF-F-089 over65CountOf
27. MK-CF-F-098 progressiveMonthlyTax
28. MK-CF-F-086 stateRateOf
29. MK-CF-F-173 earnerWages
30. MK-CF-F-102 effectiveRateOnGrossFor
31. MK-CF-F-180 enteredLandsAnnual
32. MK-CF-F-082 salaryAnnual
33. MK-CF-F-084 taxableAnnual
34. MK-CF-F-067 rentalList
35. MK-CF-F-063 rowVestYear
36. MK-CF-F-176 sumMonthsOverEarners
37. MK-CF-F-177 wageGrossByMonth
38. MK-CF-F-101 taxOwedFor
39. MK-CF-F-100 taxableIncomeFor
40. MK-CF-F-172 hasWage
41. MK-CF-F-074 tipsAnnual
42. MK-CF-F-130 enteredMonthlyRaw
43. MK-CF-F-166 hasMonthlySalaryTable
44. MK-CF-F-167 salaryCalendarYear
45. MK-CF-F-099 deductionFor
46. MK-CF-F-081 salaryActiveMonths
47. MK-CF-F-165 salaryMonths</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MK-ST-F-052 toNum → MK-CF-F-062 equityRowValue → MK-CF-F-065 equityVestWeights → MK-CF-F-092 incomeMonthlyGrid → MK-CF-F-120 pctBaseMonthly → MK-CF-F-008 spendByMonth
5. MK-CF-F-132 map → MK-CF-F-065 equityVestWeights → MK-CF-F-092 incomeMonthlyGrid → MK-CF-F-120 pctBaseMonthly → MK-CF-F-008 spendByMonth
6. MK-CF-F-069 benefitActiveMonths → MK-CF-F-070 benefitAnnual → MK-CF-F-071 extraIncome → MK-CF-F-092 incomeMonthlyGrid → MK-CF-F-120 pctBaseMonthly → MK-CF-F-008 spendByMonth
7. MK-ST-F-052 toNum → MK-CF-F-070 benefitAnnual → MK-CF-F-071 extraIncome → MK-CF-F-092 incomeMonthlyGrid → MK-CF-F-120 pctBaseMonthly → MK-CF-F-008 spendByMonth
8. MK-ST-F-055 round2 → MK-CF-F-071 extraIncome → MK-CF-F-092 incomeMonthlyGrid → MK-CF-F-120 pctBaseMonthly → MK-CF-F-008 spendByMonth
9. … and 5 more paths</t>
        </is>
      </c>
      <c r="S10" s="3" t="inlineStr">
        <is>
          <t>—</t>
        </is>
      </c>
      <c r="T10" s="3" t="inlineStr">
        <is>
          <t>—</t>
        </is>
      </c>
      <c r="U10" s="3" t="inlineStr">
        <is>
          <t>ACTIVE</t>
        </is>
      </c>
      <c r="V10" s="3" t="inlineStr">
        <is>
          <t>2026-08-27</t>
        </is>
      </c>
    </row>
    <row r="11">
      <c r="A11" s="3" t="inlineStr">
        <is>
          <t>MK-CF-F-009</t>
        </is>
      </c>
      <c r="B11" s="3" t="inlineStr">
        <is>
          <t>monthlyEssentials</t>
        </is>
      </c>
      <c r="C11" s="3" t="inlineStr">
        <is>
          <t>src/domain/budget/index.ts</t>
        </is>
      </c>
      <c r="D11" s="3" t="n">
        <v>401</v>
      </c>
      <c r="E11" s="3" t="inlineStr">
        <is>
          <t>2 · DISPLAYED</t>
        </is>
      </c>
      <c r="F11" s="3" t="inlineStr">
        <is>
          <t>Monthly money you MUST keep paying — the recurring (non-monthly excluded) Critical + Important bills.</t>
        </is>
      </c>
      <c r="G11" s="6" t="inlineStr">
        <is>
          <t>a = op (or none when missing)
cats = spend cats   if array.is array(spend cats)
nothing   otherwise
planned monthly spend(op)   when cats is missing
net monthly = pct base monthly(op)
ess = 0
amt = to num(amount); if (amt ≤ 0) continue
uncategorized = max(0, to num(monthly spending) − spend buckets(op).monthly total)
the answer = round(ess + uncategorized, 2 dp)</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spending, never below zero minus spend buckets(op).monthly total). The answer is ess plus uncategorized, to the cent.</t>
        </is>
      </c>
      <c r="I11" s="3" t="inlineStr">
        <is>
          <t>PARTLY READ — some of the code is still showing through; needs a hand pass</t>
        </is>
      </c>
      <c r="J11" s="3" t="inlineStr">
        <is>
          <t>op: OnboardingProfile | null</t>
        </is>
      </c>
      <c r="K11" s="3" t="inlineStr">
        <is>
          <t>number</t>
        </is>
      </c>
      <c r="L11" s="3" t="inlineStr">
        <is>
          <t>"If you lost your income" — on the Stress test screen</t>
        </is>
      </c>
      <c r="M11" s="3" t="inlineStr">
        <is>
          <t>· Uses a built-in ess of 0.</t>
        </is>
      </c>
      <c r="N11" s="3" t="inlineStr">
        <is>
          <t>Yes</t>
        </is>
      </c>
      <c r="O11" s="3" t="inlineStr">
        <is>
          <t>1. MK-CF-F-120 pctBaseMonthly
2. MK-CF-F-002 plannedMonthlySpend
3. MK-ST-F-055 round2
4. MK-CF-F-004 spendBuckets
5. MK-ST-F-052 toNum</t>
        </is>
      </c>
      <c r="P11" s="3" t="n">
        <v>48</v>
      </c>
      <c r="Q11" s="3" t="inlineStr">
        <is>
          <t>1. MK-CF-F-120 pctBaseMonthly
2. MK-CF-F-002 plannedMonthlySpend
3. MK-ST-F-055 round2
4. MK-CF-F-004 spendBuckets
5. MK-ST-F-052 toNum
6. MK-CF-F-092 incomeMonthlyGrid
7. MK-CF-F-003 categoryMonthly
8. MK-CF-F-069 benefitActiveMonths
9. MK-CF-F-072 currentRetirementIncomeMonthly
10. MK-CF-F-065 equityVestWeights
11. MK-CF-F-071 extraIncome
12. MK-ST-F-056 has
13. MK-CF-F-132 map
14. MK-CF-F-087 monthlyTaxRates
15. MK-CF-F-073 otherIncomeMonth
16. MK-CF-F-181 rateInForce
17. MK-CF-F-068 rentalNetAnnual
18. MK-CF-F-066 rsuAnnual
19. MK-CF-F-060 salaryGrossByMonth
20. MK-CF-F-077 scholarshipByCalendarMonth
21. MK-CF-F-088 taxableByCalendarMonth
22. MK-CF-F-075 retirementIncomeMonthly
23. MK-CF-F-062 equityRowValue
24. MK-CF-F-070 benefitAnnual
25. MK-CF-F-090 effectiveRate
26. MK-CF-F-085 filingStatusOf
27. MK-CF-F-089 over65CountOf
28. MK-CF-F-098 progressiveMonthlyTax
29. MK-CF-F-086 stateRateOf
30. MK-CF-F-173 earnerWages
31. MK-CF-F-102 effectiveRateOnGrossFor
32. MK-CF-F-180 enteredLandsAnnual
33. MK-CF-F-082 salaryAnnual
34. MK-CF-F-084 taxableAnnual
35. MK-CF-F-067 rentalList
36. MK-CF-F-063 rowVestYear
37. MK-CF-F-176 sumMonthsOverEarners
38. MK-CF-F-177 wageGrossByMonth
39. MK-CF-F-101 taxOwedFor
40. MK-CF-F-100 taxableIncomeFor
41. MK-CF-F-172 hasWage
42. MK-CF-F-074 tipsAnnual
43. MK-CF-F-130 enteredMonthlyRaw
44. MK-CF-F-166 hasMonthlySalaryTable
45. MK-CF-F-167 salaryCalendarYear
46. MK-CF-F-099 deductionFor
47. MK-CF-F-081 salaryActiveMonths
48. MK-CF-F-165 salaryMonths</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MK-ST-F-052 toNum → MK-CF-F-062 equityRowValue → MK-CF-F-065 equityVestWeights → MK-CF-F-092 incomeMonthlyGrid → MK-CF-F-120 pctBaseMonthly → MK-CF-F-009 monthlyEssentials
4. MK-CF-F-132 map → MK-CF-F-065 equityVestWeights → MK-CF-F-092 incomeMonthlyGrid → MK-CF-F-120 pctBaseMonthly → MK-CF-F-009 monthlyEssentials
5. MK-CF-F-069 benefitActiveMonths → MK-CF-F-070 benefitAnnual → MK-CF-F-071 extraIncome → MK-CF-F-092 incomeMonthlyGrid → MK-CF-F-120 pctBaseMonthly → MK-CF-F-009 monthlyEssentials
6. MK-ST-F-052 toNum → MK-CF-F-070 benefitAnnual → MK-CF-F-071 extraIncome → MK-CF-F-092 incomeMonthlyGrid → MK-CF-F-120 pctBaseMonthly → MK-CF-F-009 monthlyEssentials
7. MK-ST-F-055 round2 → MK-CF-F-071 extraIncome → MK-CF-F-092 incomeMonthlyGrid → MK-CF-F-120 pctBaseMonthly → MK-CF-F-009 monthlyEssentials
8. MK-ST-F-052 toNum → MK-CF-F-071 extraIncome → MK-CF-F-092 incomeMonthlyGrid → MK-CF-F-120 pctBaseMonthly → MK-CF-F-009 monthlyEssentials
9. … and 5 more paths</t>
        </is>
      </c>
      <c r="S11" s="3" t="inlineStr">
        <is>
          <t>—</t>
        </is>
      </c>
      <c r="T11" s="3" t="inlineStr">
        <is>
          <t>—</t>
        </is>
      </c>
      <c r="U11" s="3" t="inlineStr">
        <is>
          <t>ACTIVE</t>
        </is>
      </c>
      <c r="V11" s="3" t="inlineStr">
        <is>
          <t>2026-08-27</t>
        </is>
      </c>
    </row>
    <row r="12">
      <c r="A12" s="3" t="inlineStr">
        <is>
          <t>MK-CF-F-010</t>
        </is>
      </c>
      <c r="B12" s="3" t="inlineStr">
        <is>
          <t>emergencyTest</t>
        </is>
      </c>
      <c r="C12" s="3" t="inlineStr">
        <is>
          <t>src/domain/budget/index.ts</t>
        </is>
      </c>
      <c r="D12" s="3" t="n">
        <v>449</v>
      </c>
      <c r="E12" s="3" t="inlineStr">
        <is>
          <t>2 · DISPLAYED</t>
        </is>
      </c>
      <c r="F12" s="3" t="inlineStr">
        <is>
          <t>"What if a $X emergency hit right now?" — can your cash absorb it, and how long would you last.</t>
        </is>
      </c>
      <c r="G12" s="6" t="inlineStr">
        <is>
          <t>ess = monthly essentials(op)
cash after = round(cash − shock, 2 dp)
recommended fund = round(ess × 3, 2 dp)</t>
        </is>
      </c>
      <c r="H12" s="3" t="inlineStr">
        <is>
          <t>Ess is monthly essentials(op). Cash after is cash minus shock, to the cent. Recommended fund is ess times 3, to the cent.</t>
        </is>
      </c>
      <c r="I12" s="3" t="inlineStr">
        <is>
          <t>READ FROM THE CODE — rendered from the expressions the function runs</t>
        </is>
      </c>
      <c r="J12" s="3" t="inlineStr">
        <is>
          <t>1. op: OnboardingProfile | null
2. cash: number
3. shock: number</t>
        </is>
      </c>
      <c r="K12" s="3" t="inlineStr">
        <is>
          <t>ShockResult</t>
        </is>
      </c>
      <c r="L12" s="3" t="inlineStr">
        <is>
          <t>1. "If you lost your income" — on the Stress test screen
2. "Your emergency fund" — on the Stress test screen</t>
        </is>
      </c>
      <c r="M12" s="3" t="inlineStr">
        <is>
          <t>None found in this function — anything it assumes comes from the functions it depends on.</t>
        </is>
      </c>
      <c r="N12" s="3" t="inlineStr">
        <is>
          <t>Yes</t>
        </is>
      </c>
      <c r="O12" s="3" t="inlineStr">
        <is>
          <t>1. MK-CF-F-009 monthlyEssentials
2. MK-ST-F-055 round2</t>
        </is>
      </c>
      <c r="P12" s="3" t="n">
        <v>49</v>
      </c>
      <c r="Q12" s="3" t="inlineStr">
        <is>
          <t>1. MK-CF-F-009 monthlyEssentials
2. MK-ST-F-055 round2
3. MK-CF-F-120 pctBaseMonthly
4. MK-CF-F-002 plannedMonthlySpend
5. MK-CF-F-004 spendBuckets
6. MK-ST-F-052 toNum
7. MK-CF-F-092 incomeMonthlyGrid
8. MK-CF-F-003 categoryMonthly
9. MK-CF-F-069 benefitActiveMonths
10. MK-CF-F-072 currentRetirementIncomeMonthly
11. MK-CF-F-065 equityVestWeights
12. MK-CF-F-071 extraIncome
13. MK-ST-F-056 has
14. MK-CF-F-132 map
15. MK-CF-F-087 monthlyTaxRates
16. MK-CF-F-073 otherIncomeMonth
17. MK-CF-F-181 rateInForce
18. MK-CF-F-068 rentalNetAnnual
19. MK-CF-F-066 rsuAnnual
20. MK-CF-F-060 salaryGrossByMonth
21. MK-CF-F-077 scholarshipByCalendarMonth
22. MK-CF-F-088 taxableByCalendarMonth
23. MK-CF-F-075 retirementIncomeMonthly
24. MK-CF-F-062 equityRowValue
25. MK-CF-F-070 benefitAnnual
26. MK-CF-F-090 effectiveRate
27. MK-CF-F-085 filingStatusOf
28. MK-CF-F-089 over65CountOf
29. MK-CF-F-098 progressiveMonthlyTax
30. MK-CF-F-086 stateRateOf
31. MK-CF-F-173 earnerWages
32. MK-CF-F-102 effectiveRateOnGrossFor
33. MK-CF-F-180 enteredLandsAnnual
34. MK-CF-F-082 salaryAnnual
35. MK-CF-F-084 taxableAnnual
36. MK-CF-F-067 rentalList
37. MK-CF-F-063 rowVestYear
38. MK-CF-F-176 sumMonthsOverEarners
39. MK-CF-F-177 wageGrossByMonth
40. MK-CF-F-101 taxOwedFor
41. MK-CF-F-100 taxableIncomeFor
42. MK-CF-F-172 hasWage
43. MK-CF-F-074 tipsAnnual
44. MK-CF-F-130 enteredMonthlyRaw
45. MK-CF-F-166 hasMonthlySalaryTable
46. MK-CF-F-167 salaryCalendarYear
47. MK-CF-F-099 deductionFor
48. MK-CF-F-081 salaryActiveMonths
49. MK-CF-F-165 salaryMonths</t>
        </is>
      </c>
      <c r="R12" s="3" t="inlineStr">
        <is>
          <t>1. MK-CF-F-069 benefitActiveMonths → MK-CF-F-092 incomeMonthlyGrid → MK-CF-F-120 pctBaseMonthly → MK-CF-F-009 monthlyEssentials → MK-CF-F-010 emergencyTest
2. MK-CF-F-075 retirementIncomeMonthly → MK-CF-F-072 currentRetirementIncomeMonthly → MK-CF-F-092 incomeMonthlyGrid → MK-CF-F-120 pctBaseMonthly → MK-CF-F-009 monthlyEssentials → MK-CF-F-010 emergencyTest
3. MK-CF-F-062 equityRowValue → MK-CF-F-065 equityVestWeights → MK-CF-F-092 incomeMonthlyGrid → MK-CF-F-120 pctBaseMonthly → MK-CF-F-009 monthlyEssentials → MK-CF-F-010 emergencyTest
4. MK-CF-F-132 map → MK-CF-F-065 equityVestWeights → MK-CF-F-092 incomeMonthlyGrid → MK-CF-F-120 pctBaseMonthly → MK-CF-F-009 monthlyEssentials → MK-CF-F-010 emergencyTest
5. MK-CF-F-070 benefitAnnual → MK-CF-F-071 extraIncome → MK-CF-F-092 incomeMonthlyGrid → MK-CF-F-120 pctBaseMonthly → MK-CF-F-009 monthlyEssentials → MK-CF-F-010 emergencyTest
6. MK-ST-F-055 round2 → MK-CF-F-071 extraIncome → MK-CF-F-092 incomeMonthlyGrid → MK-CF-F-120 pctBaseMonthly → MK-CF-F-009 monthlyEssentials → MK-CF-F-010 emergencyTest
7. MK-ST-F-052 toNum → MK-CF-F-071 extraIncome → MK-CF-F-092 incomeMonthlyGrid → MK-CF-F-120 pctBaseMonthly → MK-CF-F-009 monthlyEssentials → MK-CF-F-010 emergencyTest
8. MK-ST-F-056 has → MK-CF-F-092 incomeMonthlyGrid → MK-CF-F-120 pctBaseMonthly → MK-CF-F-009 monthlyEssentials → MK-CF-F-010 emergencyTest
9. … and 5 more paths</t>
        </is>
      </c>
      <c r="S12" s="3" t="inlineStr">
        <is>
          <t>—</t>
        </is>
      </c>
      <c r="T12" s="3" t="inlineStr">
        <is>
          <t>—</t>
        </is>
      </c>
      <c r="U12" s="3" t="inlineStr">
        <is>
          <t>ACTIVE</t>
        </is>
      </c>
      <c r="V12" s="3" t="inlineStr">
        <is>
          <t>2026-08-27</t>
        </is>
      </c>
    </row>
    <row r="13">
      <c r="A13" s="3" t="inlineStr">
        <is>
          <t>MK-CF-F-011</t>
        </is>
      </c>
      <c r="B13" s="3" t="inlineStr">
        <is>
          <t>savingsByMonth</t>
        </is>
      </c>
      <c r="C13" s="3" t="inlineStr">
        <is>
          <t>src/domain/budget/index.ts</t>
        </is>
      </c>
      <c r="D13" s="3" t="n">
        <v>493</v>
      </c>
      <c r="E13" s="3" t="inlineStr">
        <is>
          <t>2 · DISPLAYED</t>
        </is>
      </c>
      <c r="F13" s="3" t="inlineStr">
        <is>
          <t>Discretionary amount free to save each month = take-home that month (after tax &amp; 401k) minus the spending due that month.</t>
        </is>
      </c>
      <c r="G13" s="6" t="inlineStr">
        <is>
          <t>avail = income monthly grid(op, 'available')
spend = spend by month(op)
the answer:
for each of avail: label = label
amount = round(amount − spend[i], 2 dp)</t>
        </is>
      </c>
      <c r="H13" s="3" t="inlineStr">
        <is>
          <t>Avail is income monthly grid(op, 'available'). Spend is spend by month(op). The answer is for each of avail: label = label; amount = amount minus spend[i], to the cent.</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MK-ST-F-055 round2
4. MK-CF-F-008 spendByMonth</t>
        </is>
      </c>
      <c r="P13" s="3" t="n">
        <v>48</v>
      </c>
      <c r="Q13" s="3" t="inlineStr">
        <is>
          <t>1. MK-CF-F-092 incomeMonthlyGrid
2. MK-CF-F-132 map
3. MK-ST-F-055 round2
4. MK-CF-F-008 spendByMonth
5. MK-CF-F-069 benefitActiveMonths
6. MK-CF-F-072 currentRetirementIncomeMonthly
7. MK-CF-F-065 equityVestWeights
8. MK-CF-F-071 extraIncome
9. MK-ST-F-056 has
10. MK-CF-F-087 monthlyTaxRates
11. MK-CF-F-073 otherIncomeMonth
12. MK-CF-F-181 rateInForce
13. MK-CF-F-068 rentalNetAnnual
14. MK-CF-F-066 rsuAnnual
15. MK-CF-F-060 salaryGrossByMonth
16. MK-CF-F-077 scholarshipByCalendarMonth
17. MK-CF-F-088 taxableByCalendarMonth
18. MK-ST-F-052 toNum
19. MK-CF-F-120 pctBaseMonthly
20. MK-CF-F-004 spendBuckets
21. MK-CF-F-075 retirementIncomeMonthly
22. MK-CF-F-062 equityRowValue
23. MK-CF-F-070 benefitAnnual
24. MK-CF-F-090 effectiveRate
25. MK-CF-F-085 filingStatusOf
26. MK-CF-F-089 over65CountOf
27. MK-CF-F-098 progressiveMonthlyTax
28. MK-CF-F-086 stateRateOf
29. MK-CF-F-173 earnerWages
30. MK-CF-F-102 effectiveRateOnGrossFor
31. MK-CF-F-180 enteredLandsAnnual
32. MK-CF-F-082 salaryAnnual
33. MK-CF-F-084 taxableAnnual
34. MK-CF-F-067 rentalList
35. MK-CF-F-063 rowVestYear
36. MK-CF-F-176 sumMonthsOverEarners
37. MK-CF-F-177 wageGrossByMonth
38. MK-CF-F-003 categoryMonthly
39. MK-CF-F-101 taxOwedFor
40. MK-CF-F-100 taxableIncomeFor
41. MK-CF-F-172 hasWage
42. MK-CF-F-074 tipsAnnual
43. MK-CF-F-130 enteredMonthlyRaw
44. MK-CF-F-166 hasMonthlySalaryTable
45. MK-CF-F-167 salaryCalendarYear
46. MK-CF-F-099 deductionFor
47. MK-CF-F-081 salaryActiveMonths
48. MK-CF-F-165 salaryMonths</t>
        </is>
      </c>
      <c r="R13" s="3" t="inlineStr">
        <is>
          <t>1. MK-CF-F-069 benefitActiveMonths → MK-CF-F-092 incomeMonthlyGrid → MK-CF-F-011 savingsByMonth
2. MK-ST-F-052 toNum → MK-CF-F-075 retirementIncomeMonthly → MK-CF-F-072 currentRetirementIncomeMonthly → MK-CF-F-092 incomeMonthlyGrid → MK-CF-F-011 savingsByMonth
3. MK-ST-F-052 toNum → MK-CF-F-062 equityRowValue → MK-CF-F-065 equityVestWeights → MK-CF-F-092 incomeMonthlyGrid → MK-CF-F-011 savingsByMonth
4. MK-CF-F-132 map → MK-CF-F-065 equityVestWeights → MK-CF-F-092 incomeMonthlyGrid → MK-CF-F-011 savingsByMonth
5. MK-CF-F-069 benefitActiveMonths → MK-CF-F-070 benefitAnnual → MK-CF-F-071 extraIncome → MK-CF-F-092 incomeMonthlyGrid → MK-CF-F-011 savingsByMonth
6. MK-ST-F-052 toNum → MK-CF-F-070 benefitAnnual → MK-CF-F-071 extraIncome → MK-CF-F-092 incomeMonthlyGrid → MK-CF-F-011 savingsByMonth
7. MK-ST-F-055 round2 → MK-CF-F-071 extraIncome → MK-CF-F-092 incomeMonthlyGrid → MK-CF-F-011 savingsByMonth
8. MK-ST-F-052 toNum → MK-CF-F-071 extraIncome → MK-CF-F-092 incomeMonthlyGrid → MK-CF-F-011 savingsByMonth
9. … and 5 more paths</t>
        </is>
      </c>
      <c r="S13" s="3" t="inlineStr">
        <is>
          <t>—</t>
        </is>
      </c>
      <c r="T13" s="3" t="inlineStr">
        <is>
          <t>—</t>
        </is>
      </c>
      <c r="U13" s="3" t="inlineStr">
        <is>
          <t>ACTIVE</t>
        </is>
      </c>
      <c r="V13" s="3" t="inlineStr">
        <is>
          <t>2026-08-27</t>
        </is>
      </c>
    </row>
    <row r="14">
      <c r="A14" s="3" t="inlineStr">
        <is>
          <t>MK-CF-F-012</t>
        </is>
      </c>
      <c r="B14" s="3" t="inlineStr">
        <is>
          <t>annualCashflow</t>
        </is>
      </c>
      <c r="C14" s="3" t="inlineStr">
        <is>
          <t>src/domain/budget/index.ts</t>
        </is>
      </c>
      <c r="D14" s="3" t="n">
        <v>523</v>
      </c>
      <c r="E14" s="3" t="inlineStr">
        <is>
          <t>2 · DISPLAYED</t>
        </is>
      </c>
      <c r="F14" s="3" t="inlineStr">
        <is>
          <t>ONE annual cash-flow roll-up, derived entirely from the per-month income grid + spendByMonth — the SAME bases the savings-plan and budget already use.</t>
        </is>
      </c>
      <c r="G14" s="6" t="inlineStr">
        <is>
          <t>sum = Σ over (rows: { amount: number }[]) =&gt; rows of (amount)
gross yr = round(sum(income monthly grid(op, 'gross')), 2 dp)
net yr = round(sum(income monthly grid(op, 'net')), 2 dp)
available yr = round(sum(income monthly grid(op, 'available')), 2 dp)
spend yr = round(Σ over spend by month(op) of (each), 2 dp)</t>
        </is>
      </c>
      <c r="H14" s="3" t="inlineStr">
        <is>
          <t>Sum: the amount added up across (rows: { amount: number }[]) =&gt; rows. Gross yr is sum(income monthly grid(op, 'gross')), to the cent. Net yr is sum(income monthly grid(op, 'net')), to the cent. Available yr is sum(income monthly grid(op, 'available')), to the cent. Spend yr: the each added up across spend by month(op), to the cent.</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MK-ST-F-055 round2
3. MK-CF-F-008 spendByMonth</t>
        </is>
      </c>
      <c r="P14" s="3" t="n">
        <v>48</v>
      </c>
      <c r="Q14" s="3" t="inlineStr">
        <is>
          <t>1. MK-CF-F-092 incomeMonthlyGrid
2. MK-ST-F-055 round2
3. MK-CF-F-008 spendByMonth
4. MK-CF-F-069 benefitActiveMonths
5. MK-CF-F-072 currentRetirementIncomeMonthly
6. MK-CF-F-065 equityVestWeights
7. MK-CF-F-071 extraIncome
8. MK-ST-F-056 has
9. MK-CF-F-132 map
10. MK-CF-F-087 monthlyTaxRates
11. MK-CF-F-073 otherIncomeMonth
12. MK-CF-F-181 rateInForce
13. MK-CF-F-068 rentalNetAnnual
14. MK-CF-F-066 rsuAnnual
15. MK-CF-F-060 salaryGrossByMonth
16. MK-CF-F-077 scholarshipByCalendarMonth
17. MK-CF-F-088 taxableByCalendarMonth
18. MK-ST-F-052 toNum
19. MK-CF-F-120 pctBaseMonthly
20. MK-CF-F-004 spendBuckets
21. MK-CF-F-075 retirementIncomeMonthly
22. MK-CF-F-062 equityRowValue
23. MK-CF-F-070 benefitAnnual
24. MK-CF-F-090 effectiveRate
25. MK-CF-F-085 filingStatusOf
26. MK-CF-F-089 over65CountOf
27. MK-CF-F-098 progressiveMonthlyTax
28. MK-CF-F-086 stateRateOf
29. MK-CF-F-173 earnerWages
30. MK-CF-F-102 effectiveRateOnGrossFor
31. MK-CF-F-180 enteredLandsAnnual
32. MK-CF-F-082 salaryAnnual
33. MK-CF-F-084 taxableAnnual
34. MK-CF-F-067 rentalList
35. MK-CF-F-063 rowVestYear
36. MK-CF-F-176 sumMonthsOverEarners
37. MK-CF-F-177 wageGrossByMonth
38. MK-CF-F-003 categoryMonthly
39. MK-CF-F-101 taxOwedFor
40. MK-CF-F-100 taxableIncomeFor
41. MK-CF-F-172 hasWage
42. MK-CF-F-074 tipsAnnual
43. MK-CF-F-130 enteredMonthlyRaw
44. MK-CF-F-166 hasMonthlySalaryTable
45. MK-CF-F-167 salaryCalendarYear
46. MK-CF-F-099 deductionFor
47. MK-CF-F-081 salaryActiveMonths
48. MK-CF-F-165 salaryMonths</t>
        </is>
      </c>
      <c r="R14" s="3" t="inlineStr">
        <is>
          <t>1. MK-CF-F-069 benefitActiveMonths → MK-CF-F-092 incomeMonthlyGrid → MK-CF-F-012 annualCashflow
2. MK-ST-F-052 toNum → MK-CF-F-075 retirementIncomeMonthly → MK-CF-F-072 currentRetirementIncomeMonthly → MK-CF-F-092 incomeMonthlyGrid → MK-CF-F-012 annualCashflow
3. MK-ST-F-052 toNum → MK-CF-F-062 equityRowValue → MK-CF-F-065 equityVestWeights → MK-CF-F-092 incomeMonthlyGrid → MK-CF-F-012 annualCashflow
4. MK-CF-F-132 map → MK-CF-F-065 equityVestWeights → MK-CF-F-092 incomeMonthlyGrid → MK-CF-F-012 annualCashflow
5. MK-CF-F-069 benefitActiveMonths → MK-CF-F-070 benefitAnnual → MK-CF-F-071 extraIncome → MK-CF-F-092 incomeMonthlyGrid → MK-CF-F-012 annualCashflow
6. MK-ST-F-052 toNum → MK-CF-F-070 benefitAnnual → MK-CF-F-071 extraIncome → MK-CF-F-092 incomeMonthlyGrid → MK-CF-F-012 annualCashflow
7. MK-ST-F-055 round2 → MK-CF-F-071 extraIncome → MK-CF-F-092 incomeMonthlyGrid → MK-CF-F-012 annualCashflow
8. MK-ST-F-052 toNum → MK-CF-F-071 extraIncome → MK-CF-F-092 incomeMonthlyGrid → MK-CF-F-012 annualCashflow
9. … and 5 more paths</t>
        </is>
      </c>
      <c r="S14" s="3" t="inlineStr">
        <is>
          <t>—</t>
        </is>
      </c>
      <c r="T14" s="3" t="inlineStr">
        <is>
          <t>—</t>
        </is>
      </c>
      <c r="U14" s="3" t="inlineStr">
        <is>
          <t>ACTIVE</t>
        </is>
      </c>
      <c r="V14" s="3" t="inlineStr">
        <is>
          <t>2026-08-27</t>
        </is>
      </c>
    </row>
    <row r="15">
      <c r="A15" s="3" t="inlineStr">
        <is>
          <t>MK-CF-F-013</t>
        </is>
      </c>
      <c r="B15" s="3" t="inlineStr">
        <is>
          <t>budgetFromOnboarding</t>
        </is>
      </c>
      <c r="C15" s="3" t="inlineStr">
        <is>
          <t>src/domain/budget/index.ts</t>
        </is>
      </c>
      <c r="D15" s="3" t="n">
        <v>561</v>
      </c>
      <c r="E15" s="3" t="inlineStr">
        <is>
          <t>3 · DEPENDENT</t>
        </is>
      </c>
      <c r="F15" s="3" t="inlineStr">
        <is>
          <t>NOT DETERMINED — the code carries no note saying what this is for, and it has no row in the old inventory. Needs reading.</t>
        </is>
      </c>
      <c r="G15" s="6"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t>
        </is>
      </c>
      <c r="P15" s="3" t="n">
        <v>48</v>
      </c>
      <c r="Q15" s="3" t="inlineStr">
        <is>
          <t>1. MK-CF-F-002 plannedMonthlySpend
2. MK-CF-F-004 spendBuckets
3. MK-CF-F-092 incomeMonthlyGrid
4. MK-ST-F-052 toNum
5. MK-CF-F-003 categoryMonthly
6. MK-ST-F-055 round2
7. MK-CF-F-069 benefitActiveMonths
8. MK-CF-F-072 currentRetirementIncomeMonthly
9. MK-CF-F-065 equityVestWeights
10. MK-CF-F-071 extraIncome
11. MK-ST-F-056 has
12. MK-CF-F-132 map
13. MK-CF-F-087 monthlyTaxRates
14. MK-CF-F-073 otherIncomeMonth
15. MK-CF-F-181 rateInForce
16. MK-CF-F-068 rentalNetAnnual
17. MK-CF-F-066 rsuAnnual
18. MK-CF-F-060 salaryGrossByMonth
19. MK-CF-F-077 scholarshipByCalendarMonth
20. MK-CF-F-088 taxableByCalendarMonth
21. MK-CF-F-120 pctBaseMonthly
22. MK-CF-F-075 retirementIncomeMonthly
23. MK-CF-F-062 equityRowValue
24. MK-CF-F-070 benefitAnnual
25. MK-CF-F-090 effectiveRate
26. MK-CF-F-085 filingStatusOf
27. MK-CF-F-089 over65CountOf
28. MK-CF-F-098 progressiveMonthlyTax
29. MK-CF-F-086 stateRateOf
30. MK-CF-F-173 earnerWages
31. MK-CF-F-102 effectiveRateOnGrossFor
32. MK-CF-F-180 enteredLandsAnnual
33. MK-CF-F-082 salaryAnnual
34. MK-CF-F-084 taxableAnnual
35. MK-CF-F-067 rentalList
36. MK-CF-F-063 rowVestYear
37. MK-CF-F-176 sumMonthsOverEarners
38. MK-CF-F-177 wageGrossByMonth
39. MK-CF-F-101 taxOwedFor
40. MK-CF-F-100 taxableIncomeFor
41. MK-CF-F-172 hasWage
42. MK-CF-F-074 tipsAnnual
43. MK-CF-F-130 enteredMonthlyRaw
44. MK-CF-F-166 hasMonthlySalaryTable
45. MK-CF-F-167 salaryCalendarYear
46. MK-CF-F-099 deductionFor
47. MK-CF-F-081 salaryActiveMonths
48. MK-CF-F-165 salaryMonths</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MK-ST-F-052 toNum → MK-CF-F-062 equityRowValue → MK-CF-F-065 equityVestWeights → MK-CF-F-092 incomeMonthlyGrid → MK-CF-F-002 plannedMonthlySpend → MK-CF-F-013 budgetFromOnboarding
4. MK-CF-F-132 map → MK-CF-F-065 equityVestWeights → MK-CF-F-092 incomeMonthlyGrid → MK-CF-F-002 plannedMonthlySpend → MK-CF-F-013 budgetFromOnboarding
5. MK-CF-F-069 benefitActiveMonths → MK-CF-F-070 benefitAnnual → MK-CF-F-071 extraIncome → MK-CF-F-092 incomeMonthlyGrid → MK-CF-F-002 plannedMonthlySpend → MK-CF-F-013 budgetFromOnboarding
6. MK-ST-F-052 toNum → MK-CF-F-070 benefitAnnual → MK-CF-F-071 extraIncome → MK-CF-F-092 incomeMonthlyGrid → MK-CF-F-002 plannedMonthlySpend → MK-CF-F-013 budgetFromOnboarding
7. MK-ST-F-055 round2 → MK-CF-F-071 extraIncome → MK-CF-F-092 incomeMonthlyGrid → MK-CF-F-002 plannedMonthlySpend → MK-CF-F-013 budgetFromOnboarding
8. MK-ST-F-052 toNum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row>
    <row r="16">
      <c r="A16" s="3" t="inlineStr">
        <is>
          <t>MK-CF-F-014</t>
        </is>
      </c>
      <c r="B16" s="3" t="inlineStr">
        <is>
          <t>budgetVsActual</t>
        </is>
      </c>
      <c r="C16" s="3" t="inlineStr">
        <is>
          <t>src/domain/budget/index.ts</t>
        </is>
      </c>
      <c r="D16" s="3" t="n">
        <v>616</v>
      </c>
      <c r="E16" s="3" t="inlineStr">
        <is>
          <t>2 · DISPLAYED</t>
        </is>
      </c>
      <c r="F16" s="3" t="inlineStr">
        <is>
          <t>Month-to-date actual spending vs the planned budget, bucketed.</t>
        </is>
      </c>
      <c r="G16" s="6" t="inlineStr">
        <is>
          <t>ym = `${now.get full year()}-${string(now.get month() + 1).pad start(2, '0')}`
planned = spend buckets(op)
spent = fixed = 0
nonmonthly = 0
flexible = 0
spent total = round(spent.fixed + spent.nonmonthly + spent.flexible, 2 dp)
the answer:
month = ym
planned total = planned.monthly total
spent total = spent total
remaining = round(planned.monthly total − spent total, 2 dp)
buckets = buckets</t>
        </is>
      </c>
      <c r="H16" s="3" t="inlineStr">
        <is>
          <t>Ym is `${now.get full year()}-${string(now.get month() plus 1).pad start(2, '0')}`. Planned is spend buckets(op). Spent is fixed = 0; nonmonthly = 0; flexible = 0. Spent total is spent.fixed plus spent.nonmonthly plus spent.flexible, to the cent. The answer is month = ym; planned total = planned.monthly total; spent total = spent total; remaining = planned.monthly total minus spent total, to the cent;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1. "No regular bills recorded." — on the Month detail screen, under "REGULAR BILLS"
2. "Spent so far" — on the Home screen, under "THIS MONTH"</t>
        </is>
      </c>
      <c r="M16" s="3" t="inlineStr">
        <is>
          <t>1. Uses today's date from the device clock, so the answer changes by itself overnight.
2. Leaves some rows out of the answer — check which.</t>
        </is>
      </c>
      <c r="N16" s="3" t="inlineStr">
        <is>
          <t>Yes</t>
        </is>
      </c>
      <c r="O16" s="3" t="inlineStr">
        <is>
          <t>1. MK-CF-F-132 map
2. MK-ST-F-055 round2
3. MK-CF-F-004 spendBuckets
4. MK-ST-F-052 toNum</t>
        </is>
      </c>
      <c r="P16" s="3" t="n">
        <v>47</v>
      </c>
      <c r="Q16" s="3" t="inlineStr">
        <is>
          <t>1. MK-CF-F-132 map
2. MK-ST-F-055 round2
3. MK-CF-F-004 spendBuckets
4. MK-ST-F-052 toNum
5. MK-CF-F-003 categoryMonthly
6. MK-CF-F-120 pctBaseMonthly
7. MK-CF-F-092 incomeMonthlyGrid
8. MK-CF-F-069 benefitActiveMonths
9. MK-CF-F-072 currentRetirementIncomeMonthly
10. MK-CF-F-065 equityVestWeights
11. MK-CF-F-071 extraIncome
12. MK-ST-F-056 has
13. MK-CF-F-087 monthlyTaxRates
14. MK-CF-F-073 otherIncomeMonth
15. MK-CF-F-181 rateInForce
16. MK-CF-F-068 rentalNetAnnual
17. MK-CF-F-066 rsuAnnual
18. MK-CF-F-060 salaryGrossByMonth
19. MK-CF-F-077 scholarshipByCalendarMonth
20. MK-CF-F-088 taxableByCalendarMonth
21. MK-CF-F-075 retirementIncomeMonthly
22. MK-CF-F-062 equityRowValue
23. MK-CF-F-070 benefitAnnual
24. MK-CF-F-090 effectiveRate
25. MK-CF-F-085 filingStatusOf
26. MK-CF-F-089 over65CountOf
27. MK-CF-F-098 progressiveMonthlyTax
28. MK-CF-F-086 stateRateOf
29. MK-CF-F-173 earnerWages
30. MK-CF-F-102 effectiveRateOnGrossFor
31. MK-CF-F-180 enteredLandsAnnual
32. MK-CF-F-082 salaryAnnual
33. MK-CF-F-084 taxableAnnual
34. MK-CF-F-067 rentalList
35. MK-CF-F-063 rowVestYear
36. MK-CF-F-176 sumMonthsOverEarners
37. MK-CF-F-177 wageGrossByMonth
38. MK-CF-F-101 taxOwedFor
39. MK-CF-F-100 taxableIncomeFor
40. MK-CF-F-172 hasWage
41. MK-CF-F-074 tipsAnnual
42. MK-CF-F-130 enteredMonthlyRaw
43. MK-CF-F-166 hasMonthlySalaryTable
44. MK-CF-F-167 salaryCalendarYear
45. MK-CF-F-099 deductionFor
46. MK-CF-F-081 salaryActiveMonths
47. MK-CF-F-165 salaryMonths</t>
        </is>
      </c>
      <c r="R16" s="3" t="inlineStr">
        <is>
          <t>1. MK-CF-F-132 map → MK-CF-F-014 budgetVsActual
2. MK-ST-F-055 round2 → MK-CF-F-014 budgetVsActual
3. MK-CF-F-069 benefitActiveMonths → MK-CF-F-092 incomeMonthlyGrid → MK-CF-F-120 pctBaseMonthly → MK-CF-F-003 categoryMonthly → MK-CF-F-004 spendBuckets → MK-CF-F-014 budgetVsActual
4. MK-CF-F-072 currentRetirementIncomeMonthly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MK-CF-F-132 map → MK-CF-F-092 incomeMonthlyGrid → MK-CF-F-120 pctBaseMonthly → MK-CF-F-003 categoryMonthly → MK-CF-F-004 spendBuckets → MK-CF-F-014 budgetVsActual
9. … and 5 more paths</t>
        </is>
      </c>
      <c r="S16" s="3" t="inlineStr">
        <is>
          <t>—</t>
        </is>
      </c>
      <c r="T16" s="3" t="inlineStr">
        <is>
          <t>—</t>
        </is>
      </c>
      <c r="U16" s="3" t="inlineStr">
        <is>
          <t>ACTIVE</t>
        </is>
      </c>
      <c r="V16" s="3" t="inlineStr">
        <is>
          <t>2026-08-27</t>
        </is>
      </c>
    </row>
    <row r="17">
      <c r="A17" s="3" t="inlineStr">
        <is>
          <t>MK-CF-F-015</t>
        </is>
      </c>
      <c r="B17" s="3" t="inlineStr">
        <is>
          <t>loadBudget</t>
        </is>
      </c>
      <c r="C17" s="3" t="inlineStr">
        <is>
          <t>src/domain/budget/index.ts</t>
        </is>
      </c>
      <c r="D17" s="3" t="n">
        <v>654</v>
      </c>
      <c r="E17" s="3" t="inlineStr">
        <is>
          <t>3 · DEPENDENT (feeds an action only)</t>
        </is>
      </c>
      <c r="F17" s="3" t="inlineStr">
        <is>
          <t>NOT DETERMINED — the code carries no note saying what this is for, and it has no row in the old inventory. Needs reading.</t>
        </is>
      </c>
      <c r="G17" s="6"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t>
        </is>
      </c>
      <c r="P17" s="3" t="n">
        <v>0</v>
      </c>
      <c r="Q17" s="3" t="inlineStr">
        <is>
          <t>None — no dependent function stands behind it</t>
        </is>
      </c>
      <c r="R17" s="3" t="inlineStr">
        <is>
          <t>No dependent function — it reads its inputs and answers</t>
        </is>
      </c>
      <c r="S17" s="3" t="inlineStr">
        <is>
          <t>—</t>
        </is>
      </c>
      <c r="T17" s="3" t="inlineStr">
        <is>
          <t>—</t>
        </is>
      </c>
      <c r="U17" s="3" t="inlineStr">
        <is>
          <t>ACTIVE</t>
        </is>
      </c>
      <c r="V17" s="3" t="inlineStr">
        <is>
          <t>2026-08-27</t>
        </is>
      </c>
    </row>
    <row r="18">
      <c r="A18" s="3" t="inlineStr">
        <is>
          <t>MK-CF-F-016</t>
        </is>
      </c>
      <c r="B18" s="3" t="inlineStr">
        <is>
          <t>saveBudget</t>
        </is>
      </c>
      <c r="C18" s="3" t="inlineStr">
        <is>
          <t>src/domain/budget/index.ts</t>
        </is>
      </c>
      <c r="D18" s="3" t="n">
        <v>670</v>
      </c>
      <c r="E18" s="3" t="inlineStr">
        <is>
          <t>1 · ACTION</t>
        </is>
      </c>
      <c r="F18" s="3" t="inlineStr">
        <is>
          <t>NOT DETERMINED — the code carries no note saying what this is for, and it has no row in the old inventory. Needs reading.</t>
        </is>
      </c>
      <c r="G18" s="6"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1</v>
      </c>
      <c r="Q18" s="3" t="inlineStr">
        <is>
          <t>MK-ST-F-042 setUserDoc</t>
        </is>
      </c>
      <c r="R18" s="3" t="inlineStr">
        <is>
          <t>MK-ST-F-042 setUserDoc → MK-CF-F-016 saveBudget</t>
        </is>
      </c>
      <c r="S18" s="3" t="inlineStr">
        <is>
          <t>—</t>
        </is>
      </c>
      <c r="T18" s="3" t="inlineStr">
        <is>
          <t>—</t>
        </is>
      </c>
      <c r="U18" s="3" t="inlineStr">
        <is>
          <t>ACTIVE</t>
        </is>
      </c>
      <c r="V18" s="3" t="inlineStr">
        <is>
          <t>2026-08-27</t>
        </is>
      </c>
    </row>
    <row r="19">
      <c r="A19" s="3" t="inlineStr">
        <is>
          <t>MK-CF-F-017</t>
        </is>
      </c>
      <c r="B19" s="3" t="inlineStr">
        <is>
          <t>publishSurplus</t>
        </is>
      </c>
      <c r="C19" s="3" t="inlineStr">
        <is>
          <t>src/domain/budget/index.ts</t>
        </is>
      </c>
      <c r="D19" s="3" t="n">
        <v>687</v>
      </c>
      <c r="E19" s="3" t="inlineStr">
        <is>
          <t>1 · ACTION</t>
        </is>
      </c>
      <c r="F19" s="3" t="inlineStr">
        <is>
          <t>Publish the authoritative surplus for Goals/Retirement to consume.</t>
        </is>
      </c>
      <c r="G19" s="6"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MK-ST-F-040 emit</t>
        </is>
      </c>
      <c r="P19" s="3" t="n">
        <v>1</v>
      </c>
      <c r="Q19" s="3" t="inlineStr">
        <is>
          <t>MK-ST-F-040 emit</t>
        </is>
      </c>
      <c r="R19" s="3" t="inlineStr">
        <is>
          <t>MK-ST-F-040 emit → MK-CF-F-017 publishSurplus</t>
        </is>
      </c>
      <c r="S19" s="3" t="inlineStr">
        <is>
          <t>—</t>
        </is>
      </c>
      <c r="T19" s="3" t="inlineStr">
        <is>
          <t>—</t>
        </is>
      </c>
      <c r="U19" s="3" t="inlineStr">
        <is>
          <t>ACTIVE</t>
        </is>
      </c>
      <c r="V19" s="3" t="inlineStr">
        <is>
          <t>2026-08-27</t>
        </is>
      </c>
    </row>
    <row r="20">
      <c r="A20" s="3" t="inlineStr">
        <is>
          <t>MK-CF-F-018</t>
        </is>
      </c>
      <c r="B20" s="3" t="inlineStr">
        <is>
          <t>equityByMonth</t>
        </is>
      </c>
      <c r="C20" s="3" t="inlineStr">
        <is>
          <t>src/domain/cashflow/index.ts</t>
        </is>
      </c>
      <c r="D20" s="3" t="n">
        <v>70</v>
      </c>
      <c r="E20" s="3" t="inlineStr">
        <is>
          <t>3 · DEPENDENT</t>
        </is>
      </c>
      <c r="F20" s="3" t="inlineStr">
        <is>
          <t>Level annual equity spread across the months it vests (0 for most students).</t>
        </is>
      </c>
      <c r="G20" s="6"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the answer = out</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t>
        </is>
      </c>
      <c r="I20" s="3" t="inlineStr">
        <is>
          <t>PARTLY READ — some of the code is still showing through; needs a hand pass</t>
        </is>
      </c>
      <c r="J20" s="3" t="inlineStr">
        <is>
          <t>op: Record&lt;string, any&gt;</t>
        </is>
      </c>
      <c r="K20" s="3" t="inlineStr">
        <is>
          <t>number[]</t>
        </is>
      </c>
      <c r="L20" s="3" t="inlineStr">
        <is>
          <t>—</t>
        </is>
      </c>
      <c r="M20" s="3" t="inlineStr">
        <is>
          <t>1. Uses a built-in total of 0.
2. Uses a built-in i of 0.
3. Uses a built-in d a y m s of 86400000.</t>
        </is>
      </c>
      <c r="N20" s="3" t="inlineStr">
        <is>
          <t>Yes</t>
        </is>
      </c>
      <c r="O20" s="3" t="inlineStr">
        <is>
          <t>1. MK-CF-F-062 equityRowValue
2. MK-CF-F-066 rsuAnnual
3. MK-CF-F-121 zero12</t>
        </is>
      </c>
      <c r="P20" s="3" t="n">
        <v>6</v>
      </c>
      <c r="Q20" s="3" t="inlineStr">
        <is>
          <t>1. MK-CF-F-062 equityRowValue
2. MK-CF-F-066 rsuAnnual
3. MK-CF-F-121 zero12
4. MK-ST-F-052 toNum
5. MK-CF-F-132 map
6. MK-CF-F-063 rowVestYear</t>
        </is>
      </c>
      <c r="R20" s="3" t="inlineStr">
        <is>
          <t>1. MK-ST-F-052 toNum → MK-CF-F-062 equityRowValue → MK-CF-F-018 equityByMonth
2. MK-ST-F-052 toNum → MK-CF-F-062 equityRowValue → MK-CF-F-066 rsuAnnual → MK-CF-F-018 equityByMonth
3. MK-CF-F-132 map → MK-CF-F-066 rsuAnnual → MK-CF-F-018 equityByMonth
4. MK-CF-F-063 rowVestYear → MK-CF-F-066 rsuAnnual → MK-CF-F-018 equityByMonth
5. MK-ST-F-052 toNum → MK-CF-F-066 rsuAnnual → MK-CF-F-018 equityByMonth
6. MK-CF-F-121 zero12 → MK-CF-F-018 equityByMonth</t>
        </is>
      </c>
      <c r="S20" s="3" t="inlineStr">
        <is>
          <t>—</t>
        </is>
      </c>
      <c r="T20" s="3" t="inlineStr">
        <is>
          <t>—</t>
        </is>
      </c>
      <c r="U20" s="3" t="inlineStr">
        <is>
          <t>ACTIVE</t>
        </is>
      </c>
      <c r="V20" s="3" t="inlineStr">
        <is>
          <t>2026-08-27</t>
        </is>
      </c>
    </row>
    <row r="21">
      <c r="A21" s="3" t="inlineStr">
        <is>
          <t>MK-CF-F-019</t>
        </is>
      </c>
      <c r="B21" s="3" t="inlineStr">
        <is>
          <t>upcomingBills</t>
        </is>
      </c>
      <c r="C21" s="3" t="inlineStr">
        <is>
          <t>src/domain/cashflow/index.ts</t>
        </is>
      </c>
      <c r="D21" s="3" t="n">
        <v>237</v>
      </c>
      <c r="E21" s="3" t="inlineStr">
        <is>
          <t>2 · DISPLAYED</t>
        </is>
      </c>
      <c r="F21" s="3" t="inlineStr">
        <is>
          <t>NOT DETERMINED — the code carries no note saying what this is for, and it has no row in the old inventory. Needs reading.</t>
        </is>
      </c>
      <c r="G21" s="6" t="inlineStr">
        <is>
          <t>a = op (or none when missing)
buffer = opts.buffer days (or 2, lead = opts.ask lead days (or 10, horizon = opts.horizon days (or 365 when missing) when missing) when missing)
rate = effective rate(op)
b = spend buckets(op)
uncategorized = max(0, to num(monthly spending)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spending,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Only the first steps are shown; the rest of the body needs reading by hand.</t>
        </is>
      </c>
      <c r="I21" s="3" t="inlineStr">
        <is>
          <t>PARTLY READ — some of the code is still showing through; needs a hand pass</t>
        </is>
      </c>
      <c r="J21" s="3" t="inlineStr">
        <is>
          <t>Nothing is handed to it</t>
        </is>
      </c>
      <c r="K21" s="3" t="inlineStr">
        <is>
          <t>NOT DECLARED — the code does not say what it gives back</t>
        </is>
      </c>
      <c r="L21" s="3" t="inlineStr">
        <is>
          <t>1. "Bill calendar" — on the Bill calendar screen
2. "If you can't pay everything, pay these first" — on the Bill calendar screen</t>
        </is>
      </c>
      <c r="M21" s="3" t="inlineStr">
        <is>
          <t>1. If buffer days is missing it uses 2.
2. If ask lead days is missing it uses 10.
3. If horizon days is missing it uses 365.
4. Treats a year as twelve equal months.
5. Turns a monthly figure into a year by multiplying by twelve.
6. Treats a year as 365 days.
7. Uses today's date from the device clock, so the answer changes by itself overnight.
8. Leaves some rows out of the answer — check which.</t>
        </is>
      </c>
      <c r="N21" s="3" t="inlineStr">
        <is>
          <t>Yes</t>
        </is>
      </c>
      <c r="O21" s="3" t="inlineStr">
        <is>
          <t>1. MK-CF-F-122 addDays
2. MK-CF-F-070 benefitAnnual
3. MK-CF-F-072 currentRetirementIncomeMonthly
4. MK-CF-F-160 daysBetweenDates
5. MK-CF-F-090 effectiveRate
6. MK-CF-F-061 grossSalaryMonthly
7. MK-CF-F-132 map
8. MK-CF-F-124 nextOccurrence
9. MK-CF-F-068 rentalNetAnnual
10. MK-ST-F-055 round2
11. MK-CF-F-004 spendBuckets
12. MK-CF-F-084 taxableAnnual
13. MK-ST-F-052 toNum
14. MK-CF-F-083 totalGrossAnnual</t>
        </is>
      </c>
      <c r="P21" s="3" t="n">
        <v>52</v>
      </c>
      <c r="Q21" s="3" t="inlineStr">
        <is>
          <t>1. MK-CF-F-122 addDays
2. MK-CF-F-070 benefitAnnual
3. MK-CF-F-072 currentRetirementIncomeMonthly
4. MK-CF-F-160 daysBetweenDates
5. MK-CF-F-090 effectiveRate
6. MK-CF-F-061 grossSalaryMonthly
7. MK-CF-F-132 map
8. MK-CF-F-124 nextOccurrence
9. MK-CF-F-068 rentalNetAnnual
10. MK-ST-F-055 round2
11. MK-CF-F-004 spendBuckets
12. MK-CF-F-084 taxableAnnual
13. MK-ST-F-052 toNum
14. MK-CF-F-083 totalGrossAnnual
15. MK-CF-F-069 benefitActiveMonths
16. MK-CF-F-075 retirementIncomeMonthly
17. MK-CF-F-181 rateInForce
18. MK-CF-F-060 salaryGrossByMonth
19. MK-CF-F-067 rentalList
20. MK-CF-F-003 categoryMonthly
21. MK-CF-F-071 extraIncome
22. MK-CF-F-066 rsuAnnual
23. MK-CF-F-082 salaryAnnual
24. MK-CF-F-074 tipsAnnual
25. MK-CF-F-173 earnerWages
26. MK-CF-F-102 effectiveRateOnGrossFor
27. MK-CF-F-180 enteredLandsAnnual
28. MK-CF-F-085 filingStatusOf
29. MK-CF-F-089 over65CountOf
30. MK-CF-F-086 stateRateOf
31. MK-CF-F-176 sumMonthsOverEarners
32. MK-CF-F-177 wageGrossByMonth
33. MK-CF-F-120 pctBaseMonthly
34. MK-CF-F-062 equityRowValue
35. MK-CF-F-063 rowVestYear
36. MK-CF-F-081 salaryActiveMonths
37. MK-CF-F-172 hasWage
38. MK-CF-F-101 taxOwedFor
39. MK-CF-F-130 enteredMonthlyRaw
40. MK-CF-F-166 hasMonthlySalaryTable
41. MK-CF-F-167 salaryCalendarYear
42. MK-CF-F-092 incomeMonthlyGrid
43. MK-CF-F-100 taxableIncomeFor
44. MK-CF-F-165 salaryMonths
45. MK-CF-F-065 equityVestWeights
46. MK-ST-F-056 has
47. MK-CF-F-087 monthlyTaxRates
48. MK-CF-F-073 otherIncomeMonth
49. MK-CF-F-077 scholarshipByCalendarMonth
50. MK-CF-F-088 taxableByCalendarMonth
51. MK-CF-F-099 deductionFor
52. MK-CF-F-098 progressiveMonthlyTax</t>
        </is>
      </c>
      <c r="R21" s="3" t="inlineStr">
        <is>
          <t>1. MK-CF-F-122 addDays → MK-CF-F-019 upcomingBills
2. MK-CF-F-069 benefitActiveMonths → MK-CF-F-070 benefitAnnual → MK-CF-F-019 upcomingBills
3. MK-ST-F-052 toNum → MK-CF-F-070 benefitAnnual → MK-CF-F-019 upcomingBills
4. MK-ST-F-052 toNum → MK-CF-F-075 retirementIncomeMonthly → MK-CF-F-072 currentRetirementIncomeMonthly → MK-CF-F-019 upcomingBills
5. MK-CF-F-160 daysBetweenDates → MK-CF-F-019 upcomingBills
6. MK-CF-F-172 hasWage → MK-CF-F-173 earnerWages → MK-CF-F-181 rateInForce → MK-CF-F-090 effectiveRate → MK-CF-F-019 upcomingBills
7. MK-CF-F-100 taxableIncomeFor → MK-CF-F-101 taxOwedFor → MK-CF-F-102 effectiveRateOnGrossFor → MK-CF-F-181 rateInForce → MK-CF-F-090 effectiveRate → MK-CF-F-019 upcomingBills
8. MK-CF-F-172 hasWage → MK-CF-F-173 earnerWages → MK-CF-F-180 enteredLandsAnnual → MK-CF-F-181 rateInForce → MK-CF-F-090 effectiveRate → MK-CF-F-019 upcomingBills
9. … and 5 more paths</t>
        </is>
      </c>
      <c r="S21" s="3" t="inlineStr">
        <is>
          <t>—</t>
        </is>
      </c>
      <c r="T21" s="3" t="inlineStr">
        <is>
          <t>—</t>
        </is>
      </c>
      <c r="U21" s="3" t="inlineStr">
        <is>
          <t>ACTIVE</t>
        </is>
      </c>
      <c r="V21" s="3" t="inlineStr">
        <is>
          <t>2026-08-27</t>
        </is>
      </c>
    </row>
    <row r="22">
      <c r="A22" s="3" t="inlineStr">
        <is>
          <t>MK-CF-F-020</t>
        </is>
      </c>
      <c r="B22" s="3" t="inlineStr">
        <is>
          <t>cashflowYear</t>
        </is>
      </c>
      <c r="C22" s="3" t="inlineStr">
        <is>
          <t>src/domain/cashflow/index.ts</t>
        </is>
      </c>
      <c r="D22" s="3" t="n">
        <v>358</v>
      </c>
      <c r="E22" s="3" t="inlineStr">
        <is>
          <t>3 · DEPENDENT (feeds an action only)</t>
        </is>
      </c>
      <c r="F22" s="3" t="inlineStr">
        <is>
          <t>Build the 12-month cash-flow picture.</t>
        </is>
      </c>
      <c r="G22" s="6"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Uses a built-in s of 0.
3. Treats a year as twelve equal months.
4. Turns a monthly figure into a year by multiplying by twelve.
5. Uses today's date from the device clock, so the answer changes by itself overnight.
6. Leaves some rows out of the answer — check which.</t>
        </is>
      </c>
      <c r="N22" s="3" t="inlineStr">
        <is>
          <t>No</t>
        </is>
      </c>
      <c r="O22" s="3" t="inlineStr">
        <is>
          <t>1. MK-CF-F-069 benefitActiveMonths
2. MK-CF-F-072 currentRetirementIncomeMonthly
3. MK-CF-F-090 effectiveRate
4. MK-CF-F-018 equityByMonth
5. MK-ST-F-056 has
6. MK-CF-F-132 map
7. MK-CF-F-073 otherIncomeMonth
8. MK-CF-F-068 rentalNetAnnual
9. MK-ST-F-055 round2
10. MK-CF-F-060 salaryGrossByMonth
11. MK-CF-F-008 spendByMonth
12. MK-ST-F-052 toNum
13. MK-CF-F-121 zero12</t>
        </is>
      </c>
      <c r="P22" s="3" t="n">
        <v>50</v>
      </c>
      <c r="Q22" s="3" t="inlineStr">
        <is>
          <t>1. MK-CF-F-069 benefitActiveMonths
2. MK-CF-F-072 currentRetirementIncomeMonthly
3. MK-CF-F-090 effectiveRate
4. MK-CF-F-018 equityByMonth
5. MK-ST-F-056 has
6. MK-CF-F-132 map
7. MK-CF-F-073 otherIncomeMonth
8. MK-CF-F-068 rentalNetAnnual
9. MK-ST-F-055 round2
10. MK-CF-F-060 salaryGrossByMonth
11. MK-CF-F-008 spendByMonth
12. MK-ST-F-052 toNum
13. MK-CF-F-121 zero12
14. MK-CF-F-075 retirementIncomeMonthly
15. MK-CF-F-181 rateInForce
16. MK-CF-F-062 equityRowValue
17. MK-CF-F-066 rsuAnnual
18. MK-CF-F-067 rentalList
19. MK-CF-F-176 sumMonthsOverEarners
20. MK-CF-F-177 wageGrossByMonth
21. MK-CF-F-120 pctBaseMonthly
22. MK-CF-F-004 spendBuckets
23. MK-CF-F-173 earnerWages
24. MK-CF-F-102 effectiveRateOnGrossFor
25. MK-CF-F-180 enteredLandsAnnual
26. MK-CF-F-085 filingStatusOf
27. MK-CF-F-089 over65CountOf
28. MK-CF-F-082 salaryAnnual
29. MK-CF-F-086 stateRateOf
30. MK-CF-F-084 taxableAnnual
31. MK-CF-F-063 rowVestYear
32. MK-CF-F-130 enteredMonthlyRaw
33. MK-CF-F-166 hasMonthlySalaryTable
34. MK-CF-F-167 salaryCalendarYear
35. MK-CF-F-092 incomeMonthlyGrid
36. MK-CF-F-003 categoryMonthly
37. MK-CF-F-172 hasWage
38. MK-CF-F-101 taxOwedFor
39. MK-CF-F-071 extraIncome
40. MK-CF-F-074 tipsAnnual
41. MK-CF-F-165 salaryMonths
42. MK-CF-F-065 equityVestWeights
43. MK-CF-F-087 monthlyTaxRates
44. MK-CF-F-077 scholarshipByCalendarMonth
45. MK-CF-F-088 taxableByCalendarMonth
46. MK-CF-F-100 taxableIncomeFor
47. MK-CF-F-070 benefitAnnual
48. MK-CF-F-081 salaryActiveMonths
49. MK-CF-F-098 progressiveMonthlyTax
50. MK-CF-F-099 deductionFor</t>
        </is>
      </c>
      <c r="R22" s="3" t="inlineStr">
        <is>
          <t>1. MK-CF-F-069 benefitActiveMonths → MK-CF-F-020 cashflowYear
2. MK-ST-F-052 toNum → MK-CF-F-075 retirementIncomeMonthly → MK-CF-F-072 currentRetirementIncomeMonthly → MK-CF-F-020 cashflowYear
3. MK-CF-F-172 hasWage → MK-CF-F-173 earnerWages → MK-CF-F-181 rateInForce → MK-CF-F-090 effectiveRate → MK-CF-F-020 cashflowYear
4. MK-CF-F-100 taxableIncomeFor → MK-CF-F-101 taxOwedFor → MK-CF-F-102 effectiveRateOnGrossFor → MK-CF-F-181 rateInForce → MK-CF-F-090 effectiveRate → MK-CF-F-020 cashflowYear
5. MK-CF-F-172 hasWage → MK-CF-F-173 earnerWages → MK-CF-F-180 enteredLandsAnnual → MK-CF-F-181 rateInForce → MK-CF-F-090 effectiveRate → MK-CF-F-020 cashflowYear
6. MK-ST-F-055 round2 → MK-CF-F-180 enteredLandsAnnual → MK-CF-F-181 rateInForce → MK-CF-F-090 effectiveRate → MK-CF-F-020 cashflowYear
7. MK-ST-F-052 toNum → MK-CF-F-180 enteredLandsAnnual → MK-CF-F-181 rateInForce → MK-CF-F-090 effectiveRate → MK-CF-F-020 cashflowYear
8. MK-CF-F-085 filingStatusOf → MK-CF-F-181 rateInForce → MK-CF-F-090 effectiveRate → MK-CF-F-020 cashflowYear
9. … and 5 more paths</t>
        </is>
      </c>
      <c r="S22" s="3" t="inlineStr">
        <is>
          <t>—</t>
        </is>
      </c>
      <c r="T22" s="3" t="inlineStr">
        <is>
          <t>—</t>
        </is>
      </c>
      <c r="U22" s="3" t="inlineStr">
        <is>
          <t>ACTIVE</t>
        </is>
      </c>
      <c r="V22" s="3" t="inlineStr">
        <is>
          <t>2026-08-27</t>
        </is>
      </c>
    </row>
    <row r="23">
      <c r="A23" s="3" t="inlineStr">
        <is>
          <t>MK-CF-F-021</t>
        </is>
      </c>
      <c r="B23" s="3" t="inlineStr">
        <is>
          <t>defaultPaymentType</t>
        </is>
      </c>
      <c r="C23" s="3" t="inlineStr">
        <is>
          <t>src/domain/debt/index.ts</t>
        </is>
      </c>
      <c r="D23" s="3" t="n">
        <v>64</v>
      </c>
      <c r="E23" s="3" t="inlineStr">
        <is>
          <t>2 · DISPLAYED</t>
        </is>
      </c>
      <c r="F23" s="3" t="inlineStr">
        <is>
          <t>B47 finding 11 — a debt's repayment SHAPE.</t>
        </is>
      </c>
      <c r="G23" s="6"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row>
    <row r="24">
      <c r="A24" s="3" t="inlineStr">
        <is>
          <t>MK-CF-F-022</t>
        </is>
      </c>
      <c r="B24" s="3" t="inlineStr">
        <is>
          <t>paymentShape</t>
        </is>
      </c>
      <c r="C24" s="3" t="inlineStr">
        <is>
          <t>src/domain/debt/index.ts</t>
        </is>
      </c>
      <c r="D24" s="3" t="n">
        <v>98</v>
      </c>
      <c r="E24" s="3" t="inlineStr">
        <is>
          <t>2 · DISPLAYED</t>
        </is>
      </c>
      <c r="F24" s="3" t="inlineStr">
        <is>
          <t>How is THIS debt repaid?</t>
        </is>
      </c>
      <c r="G24" s="6"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row>
    <row r="25">
      <c r="A25" s="3" t="inlineStr">
        <is>
          <t>MK-CF-F-023</t>
        </is>
      </c>
      <c r="B25" s="3" t="inlineStr">
        <is>
          <t>requiredPayment</t>
        </is>
      </c>
      <c r="C25" s="3" t="inlineStr">
        <is>
          <t>src/domain/debt/index.ts</t>
        </is>
      </c>
      <c r="D25" s="3" t="n">
        <v>138</v>
      </c>
      <c r="E25" s="3" t="inlineStr">
        <is>
          <t>2 · DISPLAYED</t>
        </is>
      </c>
      <c r="F25" s="3" t="inlineStr">
        <is>
          <t>The payment reserved/required each month for a debt (planned payment, else the minimum).</t>
        </is>
      </c>
      <c r="G25" s="6"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MK-NW-M-011</t>
        </is>
      </c>
      <c r="T25" s="3" t="inlineStr">
        <is>
          <t>DEBT_REQUIRED_PAYMENT</t>
        </is>
      </c>
      <c r="U25" s="3" t="inlineStr">
        <is>
          <t>ACTIVE</t>
        </is>
      </c>
      <c r="V25" s="3" t="inlineStr">
        <is>
          <t>2026-08-27</t>
        </is>
      </c>
    </row>
    <row r="26">
      <c r="A26" s="3" t="inlineStr">
        <is>
          <t>MK-CF-F-024</t>
        </is>
      </c>
      <c r="B26" s="3" t="inlineStr">
        <is>
          <t>totalDebtMonthly</t>
        </is>
      </c>
      <c r="C26" s="3" t="inlineStr">
        <is>
          <t>src/domain/debt/index.ts</t>
        </is>
      </c>
      <c r="D26" s="3" t="n">
        <v>164</v>
      </c>
      <c r="E26" s="3" t="inlineStr">
        <is>
          <t>2 · DISPLAYED</t>
        </is>
      </c>
      <c r="F26" s="3" t="inlineStr">
        <is>
          <t>Total monthly debt obligation across all debts (override-aware).</t>
        </is>
      </c>
      <c r="G26" s="6"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MK-CF-F-023 requiredPayment</t>
        </is>
      </c>
      <c r="P26" s="3" t="n">
        <v>3</v>
      </c>
      <c r="Q26" s="3" t="inlineStr">
        <is>
          <t>1. MK-CF-F-023 requiredPayment
2. MK-CF-F-022 paymentShape
3. MK-CF-F-021 defaultPaymentType</t>
        </is>
      </c>
      <c r="R26" s="3" t="inlineStr">
        <is>
          <t>MK-CF-F-021 defaultPaymentType → MK-CF-F-022 paymentShape → MK-CF-F-023 requiredPayment → MK-CF-F-024 totalDebtMonthly</t>
        </is>
      </c>
      <c r="S26" s="3" t="inlineStr">
        <is>
          <t>—</t>
        </is>
      </c>
      <c r="T26" s="3" t="inlineStr">
        <is>
          <t>DEBT_ACTUAL_TOTAL</t>
        </is>
      </c>
      <c r="U26" s="3" t="inlineStr">
        <is>
          <t>ACTIVE</t>
        </is>
      </c>
      <c r="V26" s="3" t="inlineStr">
        <is>
          <t>2026-08-27</t>
        </is>
      </c>
    </row>
    <row r="27">
      <c r="A27" s="3" t="inlineStr">
        <is>
          <t>MK-CF-F-025</t>
        </is>
      </c>
      <c r="B27" s="3" t="inlineStr">
        <is>
          <t>minimumDebtService</t>
        </is>
      </c>
      <c r="C27" s="3" t="inlineStr">
        <is>
          <t>src/domain/debt/index.ts</t>
        </is>
      </c>
      <c r="D27" s="3" t="n">
        <v>195</v>
      </c>
      <c r="E27" s="3" t="inlineStr">
        <is>
          <t>2 · DISPLAYED</t>
        </is>
      </c>
      <c r="F27" s="3" t="inlineStr">
        <is>
          <t>Term #9 — TWO clearly-named monthly-debt numbers (they're different concepts, not a bug to pick one): Σ MINIMUM required payments — the contractual obligation.</t>
        </is>
      </c>
      <c r="G27" s="6" t="inlineStr">
        <is>
          <t>round(Σ over debts (or none when missing) of (0   if payment shape(each) = 'due_in_full'
minimum monthly payment (or 0 when missing or zero)   otherwise), 2 dp)</t>
        </is>
      </c>
      <c r="H27" s="3" t="inlineStr">
        <is>
          <t>the 0 — when payment shape(each added up across debts (or none when missing, to a whole number = 'due_in_full'; minimum monthly payment (or 0 — when missing or zero) — otherwise), 2 dp).</t>
        </is>
      </c>
      <c r="I27" s="3" t="inlineStr">
        <is>
          <t>READ FROM THE CODE — rendered from the expressions the function runs</t>
        </is>
      </c>
      <c r="J27" s="3" t="inlineStr">
        <is>
          <t>debts: Debt[]</t>
        </is>
      </c>
      <c r="K27" s="3" t="inlineStr">
        <is>
          <t>number</t>
        </is>
      </c>
      <c r="L27" s="3" t="inlineStr">
        <is>
          <t>"Total debt" — on the budget screen</t>
        </is>
      </c>
      <c r="M27" s="3" t="inlineStr">
        <is>
          <t>· If minimum monthly payment is missing it counts as zero, so nothing recorded and a real zero look the same.</t>
        </is>
      </c>
      <c r="N27" s="3" t="inlineStr">
        <is>
          <t>Yes</t>
        </is>
      </c>
      <c r="O27" s="3" t="inlineStr">
        <is>
          <t>1. MK-CF-F-022 paymentShape
2. MK-ST-F-055 round2</t>
        </is>
      </c>
      <c r="P27" s="3" t="n">
        <v>3</v>
      </c>
      <c r="Q27" s="3" t="inlineStr">
        <is>
          <t>1. MK-CF-F-022 paymentShape
2. MK-ST-F-055 round2
3. MK-CF-F-021 defaultPaymentType</t>
        </is>
      </c>
      <c r="R27" s="3" t="inlineStr">
        <is>
          <t>1. MK-CF-F-021 defaultPaymentType → MK-CF-F-022 paymentShape → MK-CF-F-025 minimumDebtService
2. MK-ST-F-055 round2 → MK-CF-F-025 minimumDebtService</t>
        </is>
      </c>
      <c r="S27" s="3" t="inlineStr">
        <is>
          <t>—</t>
        </is>
      </c>
      <c r="T27" s="3" t="inlineStr">
        <is>
          <t>DEBT_MINIMUM_TOTAL</t>
        </is>
      </c>
      <c r="U27" s="3" t="inlineStr">
        <is>
          <t>ACTIVE</t>
        </is>
      </c>
      <c r="V27" s="3" t="inlineStr">
        <is>
          <t>2026-08-27</t>
        </is>
      </c>
    </row>
    <row r="28">
      <c r="A28" s="3" t="inlineStr">
        <is>
          <t>MK-CF-F-026</t>
        </is>
      </c>
      <c r="B28" s="3" t="inlineStr">
        <is>
          <t>actualDebtPayment</t>
        </is>
      </c>
      <c r="C28" s="3" t="inlineStr">
        <is>
          <t>src/domain/debt/index.ts</t>
        </is>
      </c>
      <c r="D28" s="3" t="n">
        <v>219</v>
      </c>
      <c r="E28" s="3" t="inlineStr">
        <is>
          <t>2 · DISPLAYED</t>
        </is>
      </c>
      <c r="F28" s="3" t="inlineStr">
        <is>
          <t>Σ ACTUAL payments (override ≥ minimum) — what actually leaves your account.</t>
        </is>
      </c>
      <c r="G28" s="6" t="inlineStr">
        <is>
          <t>round(total debt monthly(debts ?? []), 2 dp)</t>
        </is>
      </c>
      <c r="H28" s="3" t="inlineStr">
        <is>
          <t>total debt monthly(debts ?? []), to the cent.</t>
        </is>
      </c>
      <c r="I28" s="3" t="inlineStr">
        <is>
          <t>PARTLY READ — some of the code is still showing through; needs a hand pass</t>
        </is>
      </c>
      <c r="J28" s="3" t="inlineStr">
        <is>
          <t>debts: Debt[]</t>
        </is>
      </c>
      <c r="K28" s="3" t="inlineStr">
        <is>
          <t>number</t>
        </is>
      </c>
      <c r="L28" s="3" t="inlineStr">
        <is>
          <t>"In (take-home)" — on the Cash flow screen, under "THIS MONTH"</t>
        </is>
      </c>
      <c r="M28" s="3" t="inlineStr">
        <is>
          <t>None found in this function — anything it assumes comes from the functions it depends on.</t>
        </is>
      </c>
      <c r="N28" s="3" t="inlineStr">
        <is>
          <t>Yes</t>
        </is>
      </c>
      <c r="O28" s="3" t="inlineStr">
        <is>
          <t>1. MK-ST-F-055 round2
2. MK-CF-F-024 totalDebtMonthly</t>
        </is>
      </c>
      <c r="P28" s="3" t="n">
        <v>5</v>
      </c>
      <c r="Q28" s="3" t="inlineStr">
        <is>
          <t>1. MK-ST-F-055 round2
2. MK-CF-F-024 totalDebtMonthly
3. MK-CF-F-023 requiredPayment
4. MK-CF-F-022 paymentShape
5. MK-CF-F-021 defaultPaymentType</t>
        </is>
      </c>
      <c r="R28" s="3" t="inlineStr">
        <is>
          <t>1. MK-ST-F-055 round2 → MK-CF-F-026 actualDebtPayment
2. MK-CF-F-021 defaultPaymentType → MK-CF-F-022 paymentShape → MK-CF-F-023 requiredPayment → MK-CF-F-024 totalDebtMonthly → MK-CF-F-026 actualDebtPayment</t>
        </is>
      </c>
      <c r="S28" s="3" t="inlineStr">
        <is>
          <t>—</t>
        </is>
      </c>
      <c r="T28" s="3" t="inlineStr">
        <is>
          <t>DEBT_PAYMENTS_ACTUAL</t>
        </is>
      </c>
      <c r="U28" s="3" t="inlineStr">
        <is>
          <t>ACTIVE</t>
        </is>
      </c>
      <c r="V28" s="3" t="inlineStr">
        <is>
          <t>2026-08-27</t>
        </is>
      </c>
    </row>
    <row r="29">
      <c r="A29" s="3" t="inlineStr">
        <is>
          <t>MK-CF-F-027</t>
        </is>
      </c>
      <c r="B29" s="3" t="inlineStr">
        <is>
          <t>totalDebtBalance</t>
        </is>
      </c>
      <c r="C29" s="3" t="inlineStr">
        <is>
          <t>src/domain/debt/index.ts</t>
        </is>
      </c>
      <c r="D29" s="3" t="n">
        <v>243</v>
      </c>
      <c r="E29" s="3" t="inlineStr">
        <is>
          <t>2 · DISPLAYED</t>
        </is>
      </c>
      <c r="F29" s="3" t="inlineStr">
        <is>
          <t>Σ outstanding debt BALANCE — what you still owe (not a monthly payment).</t>
        </is>
      </c>
      <c r="G29" s="6" t="inlineStr">
        <is>
          <t>round(Σ over debts (or none when missing) of (remaining balance (or 0 when missing or zero)), 2 dp)</t>
        </is>
      </c>
      <c r="H29" s="3" t="inlineStr">
        <is>
          <t>the remaining balance (or 0 — when missing or zero added up across debts (or none — when missing)), to the cent.</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MK-ST-F-055 round2</t>
        </is>
      </c>
      <c r="P29" s="3" t="n">
        <v>1</v>
      </c>
      <c r="Q29" s="3" t="inlineStr">
        <is>
          <t>MK-ST-F-055 round2</t>
        </is>
      </c>
      <c r="R29" s="3" t="inlineStr">
        <is>
          <t>MK-ST-F-055 round2 → MK-CF-F-027 totalDebtBalance</t>
        </is>
      </c>
      <c r="S29" s="3" t="inlineStr">
        <is>
          <t>—</t>
        </is>
      </c>
      <c r="T29" s="3" t="inlineStr">
        <is>
          <t>—</t>
        </is>
      </c>
      <c r="U29" s="3" t="inlineStr">
        <is>
          <t>ACTIVE</t>
        </is>
      </c>
      <c r="V29" s="3" t="inlineStr">
        <is>
          <t>2026-08-27</t>
        </is>
      </c>
    </row>
    <row r="30">
      <c r="A30" s="3" t="inlineStr">
        <is>
          <t>MK-CF-F-028</t>
        </is>
      </c>
      <c r="B30" s="3" t="inlineStr">
        <is>
          <t>loanPayment</t>
        </is>
      </c>
      <c r="C30" s="3" t="inlineStr">
        <is>
          <t>src/domain/debt/index.ts</t>
        </is>
      </c>
      <c r="D30" s="3" t="n">
        <v>285</v>
      </c>
      <c r="E30" s="3" t="inlineStr">
        <is>
          <t>2 · DISPLAYED</t>
        </is>
      </c>
      <c r="F30" s="3" t="inlineStr">
        <is>
          <t>UNIT LANDMINE (P0): `aprPct` is a PERCENT (7 = 7%), unlike Debt.interest_rate_apr which is a DECIMAL (0.07).</t>
        </is>
      </c>
      <c r="G30" s="6"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round(monthly, 2 dp)
total interest = round(total paid − principal, 2 dp)
total paid = round(total paid, 2 dp)</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 the cent; total interest = total paid minus principal, to the cent; total paid = total paid, to the cent.</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Treats a year as twelve equal months.
2. Turns a monthly figure into a year by multiplying by twelve.
3. Rounds the answer to a whole number.</t>
        </is>
      </c>
      <c r="N30" s="3" t="inlineStr">
        <is>
          <t>Yes</t>
        </is>
      </c>
      <c r="O30" s="3" t="inlineStr">
        <is>
          <t>MK-ST-F-055 round2</t>
        </is>
      </c>
      <c r="P30" s="3" t="n">
        <v>1</v>
      </c>
      <c r="Q30" s="3" t="inlineStr">
        <is>
          <t>MK-ST-F-055 round2</t>
        </is>
      </c>
      <c r="R30" s="3" t="inlineStr">
        <is>
          <t>MK-ST-F-055 round2 → MK-CF-F-028 loanPayment</t>
        </is>
      </c>
      <c r="S30" s="3" t="inlineStr">
        <is>
          <t>—</t>
        </is>
      </c>
      <c r="T30" s="3" t="inlineStr">
        <is>
          <t>—</t>
        </is>
      </c>
      <c r="U30" s="3" t="inlineStr">
        <is>
          <t>ACTIVE</t>
        </is>
      </c>
      <c r="V30" s="3" t="inlineStr">
        <is>
          <t>2026-08-27</t>
        </is>
      </c>
    </row>
    <row r="31">
      <c r="A31" s="3" t="inlineStr">
        <is>
          <t>MK-CF-F-029</t>
        </is>
      </c>
      <c r="B31" s="3" t="inlineStr">
        <is>
          <t>monthsToClear</t>
        </is>
      </c>
      <c r="C31" s="3" t="inlineStr">
        <is>
          <t>src/domain/debt/index.ts</t>
        </is>
      </c>
      <c r="D31" s="3" t="n">
        <v>326</v>
      </c>
      <c r="E31" s="3" t="inlineStr">
        <is>
          <t>2 · DISPLAYED</t>
        </is>
      </c>
      <c r="F31" s="3" t="inlineStr">
        <is>
          <t>── B47 finding 11: the installment two-way math — enter the payment OR the end date, the app computes the other.</t>
        </is>
      </c>
      <c r="G31" s="6"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 — on a card used on more than one screen (DebtEditorSheet)</t>
        </is>
      </c>
      <c r="M31" s="3" t="inlineStr">
        <is>
          <t>· Treats a year as twelve equal months.</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row>
    <row r="32">
      <c r="A32" s="3" t="inlineStr">
        <is>
          <t>MK-CF-F-030</t>
        </is>
      </c>
      <c r="B32" s="3" t="inlineStr">
        <is>
          <t>paymentToClearBy</t>
        </is>
      </c>
      <c r="C32" s="3" t="inlineStr">
        <is>
          <t>src/domain/debt/index.ts</t>
        </is>
      </c>
      <c r="D32" s="3" t="n">
        <v>359</v>
      </c>
      <c r="E32" s="3" t="inlineStr">
        <is>
          <t>2 · DISPLAYED</t>
        </is>
      </c>
      <c r="F32" s="3" t="inlineStr">
        <is>
          <t>Monthly payment that clears `principal` in `months` at decimal APR (amortization).</t>
        </is>
      </c>
      <c r="G32" s="6"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1. Treats a year as twelve equal months.
2. Multiplies by 100 — a percentage, or an option contract treated as 100 shares. Worth checking which.</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row>
    <row r="33">
      <c r="A33" s="3" t="inlineStr">
        <is>
          <t>MK-CF-F-031</t>
        </is>
      </c>
      <c r="B33" s="3" t="inlineStr">
        <is>
          <t>creditUtilization</t>
        </is>
      </c>
      <c r="C33" s="3" t="inlineStr">
        <is>
          <t>src/domain/debt/index.ts</t>
        </is>
      </c>
      <c r="D33" s="3" t="n">
        <v>394</v>
      </c>
      <c r="E33" s="3" t="inlineStr">
        <is>
          <t>2 · DISPLAYED</t>
        </is>
      </c>
      <c r="F33" s="3" t="inlineStr">
        <is>
          <t>NOT DETERMINED — the code carries no note saying what this is for, and it has no row in the old inventory. Needs reading.</t>
        </is>
      </c>
      <c r="G33" s="6"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"Total credit limit" — on the Credit screen</t>
        </is>
      </c>
      <c r="M33" s="3" t="inlineStr">
        <is>
          <t>· Rounds the answer to a whole number.</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2026-08-27</t>
        </is>
      </c>
    </row>
    <row r="34">
      <c r="A34" s="3" t="inlineStr">
        <is>
          <t>MK-CF-F-032</t>
        </is>
      </c>
      <c r="B34" s="3" t="inlineStr">
        <is>
          <t>creditScoreBand</t>
        </is>
      </c>
      <c r="C34" s="3" t="inlineStr">
        <is>
          <t>src/domain/debt/index.ts</t>
        </is>
      </c>
      <c r="D34" s="3" t="n">
        <v>423</v>
      </c>
      <c r="E34" s="3" t="inlineStr">
        <is>
          <t>2 · DISPLAYED</t>
        </is>
      </c>
      <c r="F34" s="3" t="inlineStr">
        <is>
          <t>NOT DETERMINED — the code carries no note saying what this is for, and it has no row in the old inventory. Needs reading.</t>
        </is>
      </c>
      <c r="G34" s="6"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row>
    <row r="35">
      <c r="A35" s="3" t="inlineStr">
        <is>
          <t>MK-CF-F-033</t>
        </is>
      </c>
      <c r="B35" s="3" t="inlineStr">
        <is>
          <t>debtToIncome</t>
        </is>
      </c>
      <c r="C35" s="3" t="inlineStr">
        <is>
          <t>src/domain/debt/index.ts</t>
        </is>
      </c>
      <c r="D35" s="3" t="n">
        <v>463</v>
      </c>
      <c r="E35" s="3" t="inlineStr">
        <is>
          <t>2 · DISPLAYED</t>
        </is>
      </c>
      <c r="F35" s="3" t="inlineStr">
        <is>
          <t>NOT DETERMINED — the code carries no note saying what this is for, and it has no row in the old inventory. Needs reading.</t>
        </is>
      </c>
      <c r="G35" s="6" t="inlineStr">
        <is>
          <t>ratio = monthly debt ÷ gross monthly   if gross monthly &gt; 0
0   otherwise
guideline = 0.36   if homeowner
0.20   otherwise
status = 'good'   if ratio ≤ guideline
'caution'   if ratio ≤ guideline × 1.4
'high'   otherwise   otherwise
the answer:
ratio = round(ratio, 3 dp)
monthly debt = round(monthly debt, 2 dp)
gross monthly = round(gross monthly, 2 dp)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to the cent; gross monthly = gross monthly, to the cent;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a whole number.</t>
        </is>
      </c>
      <c r="N35" s="3" t="inlineStr">
        <is>
          <t>Yes</t>
        </is>
      </c>
      <c r="O35" s="3" t="inlineStr">
        <is>
          <t>MK-ST-F-055 round2</t>
        </is>
      </c>
      <c r="P35" s="3" t="n">
        <v>1</v>
      </c>
      <c r="Q35" s="3" t="inlineStr">
        <is>
          <t>MK-ST-F-055 round2</t>
        </is>
      </c>
      <c r="R35" s="3" t="inlineStr">
        <is>
          <t>MK-ST-F-055 round2 → MK-CF-F-033 debtToIncome</t>
        </is>
      </c>
      <c r="S35" s="3" t="inlineStr">
        <is>
          <t>—</t>
        </is>
      </c>
      <c r="T35" s="3" t="inlineStr">
        <is>
          <t>—</t>
        </is>
      </c>
      <c r="U35" s="3" t="inlineStr">
        <is>
          <t>ACTIVE</t>
        </is>
      </c>
      <c r="V35" s="3" t="inlineStr">
        <is>
          <t>2026-08-27</t>
        </is>
      </c>
    </row>
    <row r="36">
      <c r="A36" s="3" t="inlineStr">
        <is>
          <t>MK-CF-F-034</t>
        </is>
      </c>
      <c r="B36" s="3" t="inlineStr">
        <is>
          <t>payoffPlan</t>
        </is>
      </c>
      <c r="C36" s="3" t="inlineStr">
        <is>
          <t>src/domain/debt/index.ts</t>
        </is>
      </c>
      <c r="D36" s="3" t="n">
        <v>517</v>
      </c>
      <c r="E36" s="3" t="inlineStr">
        <is>
          <t>2 · DISPLAYED</t>
        </is>
      </c>
      <c r="F36" s="3" t="inlineStr">
        <is>
          <t>Simulate paying off debts with a constant monthly budget (sum of minimums + extra), rolling each cleared debt's freed-up payment into the next per the chosen method.</t>
        </is>
      </c>
      <c r="G36" s="6"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2. "Extra / month (beyond minimums)" — on the Goals screen, under "DEBT PAYOFF PLAN"
3. "Extra / month" — on the budget screen
4. "Income (take-home)" — on the budget screen
5. "Payoff plan" — on the budget screen
6. "Tap “Set limits” to plan what you'll spend, by category." — on the budget screen</t>
        </is>
      </c>
      <c r="M36" s="3" t="inlineStr">
        <is>
          <t>1. Uses a built-in month of 0.
2. Treats a year as twelve equal months.
3. Turns a monthly figure into a year by multiplying by twelve.
4. Uses today's date from the device clock, so the answer changes by itself overnight.
5. Leaves some rows out of the answer — check which.</t>
        </is>
      </c>
      <c r="N36" s="3" t="inlineStr">
        <is>
          <t>Yes</t>
        </is>
      </c>
      <c r="O36" s="3" t="inlineStr">
        <is>
          <t>1. MK-CF-F-132 map
2. MK-CF-F-022 paymentShape
3. MK-ST-F-055 round2</t>
        </is>
      </c>
      <c r="P36" s="3" t="n">
        <v>4</v>
      </c>
      <c r="Q36" s="3" t="inlineStr">
        <is>
          <t>1. MK-CF-F-132 map
2. MK-CF-F-022 paymentShape
3. MK-ST-F-055 round2
4. MK-CF-F-021 defaultPaymentType</t>
        </is>
      </c>
      <c r="R36" s="3" t="inlineStr">
        <is>
          <t>1. MK-CF-F-132 map → MK-CF-F-034 payoffPlan
2. MK-CF-F-021 defaultPaymentType → MK-CF-F-022 paymentShape → MK-CF-F-034 payoffPlan
3. MK-ST-F-055 round2 → MK-CF-F-034 payoffPlan</t>
        </is>
      </c>
      <c r="S36" s="3" t="inlineStr">
        <is>
          <t>—</t>
        </is>
      </c>
      <c r="T36" s="3" t="inlineStr">
        <is>
          <t>—</t>
        </is>
      </c>
      <c r="U36" s="3" t="inlineStr">
        <is>
          <t>ACTIVE</t>
        </is>
      </c>
      <c r="V36" s="3" t="inlineStr">
        <is>
          <t>2026-08-27</t>
        </is>
      </c>
    </row>
    <row r="37">
      <c r="A37" s="3" t="inlineStr">
        <is>
          <t>MK-CF-F-035</t>
        </is>
      </c>
      <c r="B37" s="3" t="inlineStr">
        <is>
          <t>debtKind</t>
        </is>
      </c>
      <c r="C37" s="3" t="inlineStr">
        <is>
          <t>src/domain/debt/index.ts</t>
        </is>
      </c>
      <c r="D37" s="3" t="n">
        <v>592</v>
      </c>
      <c r="E37" s="3" t="inlineStr">
        <is>
          <t>2 · DISPLAYED</t>
        </is>
      </c>
      <c r="F37" s="3" t="inlineStr">
        <is>
          <t>What do we know about this kind of debt?</t>
        </is>
      </c>
      <c r="G37" s="6"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row>
    <row r="38">
      <c r="A38" s="3" t="inlineStr">
        <is>
          <t>MK-CF-F-036</t>
        </is>
      </c>
      <c r="B38" s="3" t="inlineStr">
        <is>
          <t>buildDebtState</t>
        </is>
      </c>
      <c r="C38" s="3" t="inlineStr">
        <is>
          <t>src/domain/debt/index.ts</t>
        </is>
      </c>
      <c r="D38" s="3" t="n">
        <v>635</v>
      </c>
      <c r="E38" s="3" t="inlineStr">
        <is>
          <t>2 · DISPLAYED</t>
        </is>
      </c>
      <c r="F38" s="3" t="inlineStr">
        <is>
          <t>What is the whole debt picture?</t>
        </is>
      </c>
      <c r="G38" s="6"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1. "Monthly debt payments" — on the Net worth screen, under "💳  DEBTS"
2. "Net worth so far" — on the Net worth screen, under "EMERGENCY CUSHION"
3. "WHAT YOU OWE" — on the Net worth screen, under "WHAT YOU OWE"</t>
        </is>
      </c>
      <c r="M38" s="3" t="inlineStr">
        <is>
          <t>· Leaves some rows out of the answer — check which.</t>
        </is>
      </c>
      <c r="N38" s="3" t="inlineStr">
        <is>
          <t>Yes</t>
        </is>
      </c>
      <c r="O38" s="3" t="inlineStr">
        <is>
          <t>1. MK-CF-F-026 actualDebtPayment
2. MK-CF-F-025 minimumDebtService
3. MK-ST-F-055 round2</t>
        </is>
      </c>
      <c r="P38" s="3" t="n">
        <v>7</v>
      </c>
      <c r="Q38" s="3" t="inlineStr">
        <is>
          <t>1. MK-CF-F-026 actualDebtPayment
2. MK-CF-F-025 minimumDebtService
3. MK-ST-F-055 round2
4. MK-CF-F-024 totalDebtMonthly
5. MK-CF-F-022 paymentShape
6. MK-CF-F-023 requiredPayment
7. MK-CF-F-021 defaultPaymentType</t>
        </is>
      </c>
      <c r="R38" s="3" t="inlineStr">
        <is>
          <t>1. MK-ST-F-055 round2 → MK-CF-F-026 actualDebtPayment → MK-CF-F-036 buildDebtState
2. MK-CF-F-021 defaultPaymentType → MK-CF-F-022 paymentShape → MK-CF-F-023 requiredPayment → MK-CF-F-024 totalDebtMonthly → MK-CF-F-026 actualDebtPayment → MK-CF-F-036 buildDebtState
3. MK-CF-F-021 defaultPaymentType → MK-CF-F-022 paymentShape → MK-CF-F-025 minimumDebtService → MK-CF-F-036 buildDebtState
4. MK-ST-F-055 round2 → MK-CF-F-025 minimumDebtService → MK-CF-F-036 buildDebtState
5. MK-ST-F-055 round2 → MK-CF-F-036 buildDebtState</t>
        </is>
      </c>
      <c r="S38" s="3" t="inlineStr">
        <is>
          <t>MK-NW-M-009 · MK-NW-M-010 · MK-NW-M-012</t>
        </is>
      </c>
      <c r="T38" s="3" t="inlineStr">
        <is>
          <t>DEBT_PICTURE</t>
        </is>
      </c>
      <c r="U38" s="3" t="inlineStr">
        <is>
          <t>ACTIVE</t>
        </is>
      </c>
      <c r="V38" s="3" t="inlineStr">
        <is>
          <t>2026-08-27</t>
        </is>
      </c>
    </row>
    <row r="39">
      <c r="A39" s="3" t="inlineStr">
        <is>
          <t>MK-CF-F-037</t>
        </is>
      </c>
      <c r="B39" s="3" t="inlineStr">
        <is>
          <t>inferDebtType</t>
        </is>
      </c>
      <c r="C39" s="3" t="inlineStr">
        <is>
          <t>src/domain/debt/index.ts</t>
        </is>
      </c>
      <c r="D39" s="3" t="n">
        <v>676</v>
      </c>
      <c r="E39" s="3" t="inlineStr">
        <is>
          <t>3 · DEPENDENT</t>
        </is>
      </c>
      <c r="F39" s="3" t="inlineStr">
        <is>
          <t>B-30: infer the debt type from its name so a "Mortgage" is treated as a mortgage (homeowner DTI guideline), not lumped into OTHER (renter guideline).</t>
        </is>
      </c>
      <c r="G39" s="6"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row>
    <row r="40">
      <c r="A40" s="3" t="inlineStr">
        <is>
          <t>MK-CF-F-038</t>
        </is>
      </c>
      <c r="B40" s="3" t="inlineStr">
        <is>
          <t>debtsFromOnboarding</t>
        </is>
      </c>
      <c r="C40" s="3" t="inlineStr">
        <is>
          <t>src/domain/debt/index.ts</t>
        </is>
      </c>
      <c r="D40" s="3" t="n">
        <v>715</v>
      </c>
      <c r="E40" s="3" t="inlineStr">
        <is>
          <t>3 · DEPENDENT</t>
        </is>
      </c>
      <c r="F40" s="3" t="inlineStr">
        <is>
          <t>What debts should exist from the setup answers?</t>
        </is>
      </c>
      <c r="G40" s="6"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t>
        </is>
      </c>
      <c r="P40" s="3" t="n">
        <v>3</v>
      </c>
      <c r="Q40" s="3" t="inlineStr">
        <is>
          <t>1. MK-CF-F-037 inferDebtType
2. MK-ST-F-043 newEntityId
3. MK-ST-F-052 toNum</t>
        </is>
      </c>
      <c r="R40" s="3" t="inlineStr">
        <is>
          <t>1. MK-CF-F-037 inferDebtType → MK-CF-F-038 debtsFromOnboarding
2. MK-ST-F-043 newEntityId → MK-CF-F-038 debtsFromOnboarding
3. MK-ST-F-052 toNum → MK-CF-F-038 debtsFromOnboarding</t>
        </is>
      </c>
      <c r="S40" s="3" t="inlineStr">
        <is>
          <t>—</t>
        </is>
      </c>
      <c r="T40" s="3" t="inlineStr">
        <is>
          <t>DEBTS_FROM_SETUP</t>
        </is>
      </c>
      <c r="U40" s="3" t="inlineStr">
        <is>
          <t>ACTIVE</t>
        </is>
      </c>
      <c r="V40" s="3" t="inlineStr">
        <is>
          <t>2026-08-27</t>
        </is>
      </c>
    </row>
    <row r="41">
      <c r="A41" s="3" t="inlineStr">
        <is>
          <t>MK-CF-F-039</t>
        </is>
      </c>
      <c r="B41" s="3" t="inlineStr">
        <is>
          <t>loadDebt</t>
        </is>
      </c>
      <c r="C41" s="3" t="inlineStr">
        <is>
          <t>src/domain/debt/index.ts</t>
        </is>
      </c>
      <c r="D41" s="3" t="n">
        <v>750</v>
      </c>
      <c r="E41" s="3" t="inlineStr">
        <is>
          <t>3 · DEPENDENT (feeds an action only)</t>
        </is>
      </c>
      <c r="F41" s="3" t="inlineStr">
        <is>
          <t>NOT DETERMINED — the code carries no note saying what this is for, and it has no row in the old inventory. Needs reading.</t>
        </is>
      </c>
      <c r="G41" s="6"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t>
        </is>
      </c>
      <c r="P41" s="3" t="n">
        <v>0</v>
      </c>
      <c r="Q41" s="3" t="inlineStr">
        <is>
          <t>None — no dependent function stands behind it</t>
        </is>
      </c>
      <c r="R41" s="3" t="inlineStr">
        <is>
          <t>No dependent function — it reads its inputs and answers</t>
        </is>
      </c>
      <c r="S41" s="3" t="inlineStr">
        <is>
          <t>—</t>
        </is>
      </c>
      <c r="T41" s="3" t="inlineStr">
        <is>
          <t>—</t>
        </is>
      </c>
      <c r="U41" s="3" t="inlineStr">
        <is>
          <t>ACTIVE</t>
        </is>
      </c>
      <c r="V41" s="3" t="inlineStr">
        <is>
          <t>2026-08-27</t>
        </is>
      </c>
    </row>
    <row r="42">
      <c r="A42" s="3" t="inlineStr">
        <is>
          <t>MK-CF-F-040</t>
        </is>
      </c>
      <c r="B42" s="3" t="inlineStr">
        <is>
          <t>saveDebt</t>
        </is>
      </c>
      <c r="C42" s="3" t="inlineStr">
        <is>
          <t>src/domain/debt/index.ts</t>
        </is>
      </c>
      <c r="D42" s="3" t="n">
        <v>766</v>
      </c>
      <c r="E42" s="3" t="inlineStr">
        <is>
          <t>1 · ACTION</t>
        </is>
      </c>
      <c r="F42" s="3" t="inlineStr">
        <is>
          <t>NOT DETERMINED — the code carries no note saying what this is for, and it has no row in the old inventory. Needs reading.</t>
        </is>
      </c>
      <c r="G42" s="6"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2</v>
      </c>
      <c r="Q42" s="3" t="inlineStr">
        <is>
          <t>1. MK-ST-F-040 emit
2. MK-ST-F-042 setUserDoc</t>
        </is>
      </c>
      <c r="R42" s="3" t="inlineStr">
        <is>
          <t>1. MK-ST-F-040 emit → MK-CF-F-040 saveDebt
2. MK-ST-F-042 setUserDoc → MK-CF-F-040 saveDebt</t>
        </is>
      </c>
      <c r="S42" s="3" t="inlineStr">
        <is>
          <t>—</t>
        </is>
      </c>
      <c r="T42" s="3" t="inlineStr">
        <is>
          <t>—</t>
        </is>
      </c>
      <c r="U42" s="3" t="inlineStr">
        <is>
          <t>ACTIVE</t>
        </is>
      </c>
      <c r="V42" s="3" t="inlineStr">
        <is>
          <t>2026-08-27</t>
        </is>
      </c>
    </row>
    <row r="43">
      <c r="A43" s="3" t="inlineStr">
        <is>
          <t>MK-CF-F-041</t>
        </is>
      </c>
      <c r="B43" s="3" t="inlineStr">
        <is>
          <t>getDebtState</t>
        </is>
      </c>
      <c r="C43" s="3" t="inlineStr">
        <is>
          <t>src/domain/debt/index.ts</t>
        </is>
      </c>
      <c r="D43" s="3" t="n">
        <v>783</v>
      </c>
      <c r="E43" s="3" t="inlineStr">
        <is>
          <t>3 · DEPENDENT (feeds an action only)</t>
        </is>
      </c>
      <c r="F43" s="3" t="inlineStr">
        <is>
          <t>NOT DETERMINED — the code carries no note saying what this is for, and it has no row in the old inventory. Needs reading.</t>
        </is>
      </c>
      <c r="G43" s="6"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t>
        </is>
      </c>
      <c r="P43" s="3" t="n">
        <v>9</v>
      </c>
      <c r="Q43" s="3" t="inlineStr">
        <is>
          <t>1. MK-CF-F-036 buildDebtState
2. MK-CF-F-039 loadDebt
3. MK-CF-F-026 actualDebtPayment
4. MK-CF-F-025 minimumDebtService
5. MK-ST-F-055 round2
6. MK-CF-F-024 totalDebtMonthly
7. MK-CF-F-022 paymentShape
8. MK-CF-F-023 requiredPayment
9. MK-CF-F-021 defaultPaymentType</t>
        </is>
      </c>
      <c r="R43" s="3" t="inlineStr">
        <is>
          <t>1. MK-ST-F-055 round2 → MK-CF-F-026 actualDebtPayment → MK-CF-F-036 buildDebtState → MK-CF-F-041 getDebtState
2. MK-CF-F-022 paymentShape → MK-CF-F-023 requiredPayment → MK-CF-F-024 totalDebtMonthly → MK-CF-F-026 actualDebtPayment → MK-CF-F-036 buildDebtState → MK-CF-F-041 getDebtState
3. MK-CF-F-021 defaultPaymentType → MK-CF-F-022 paymentShape → MK-CF-F-025 minimumDebtService → MK-CF-F-036 buildDebtState → MK-CF-F-041 getDebtState
4. MK-ST-F-055 round2 → MK-CF-F-025 minimumDebtService → MK-CF-F-036 buildDebtState → MK-CF-F-041 getDebtState
5. MK-ST-F-055 round2 → MK-CF-F-036 buildDebtState → MK-CF-F-041 getDebtState
6. MK-CF-F-039 loadDebt → MK-CF-F-041 getDebtState</t>
        </is>
      </c>
      <c r="S43" s="3" t="inlineStr">
        <is>
          <t>—</t>
        </is>
      </c>
      <c r="T43" s="3" t="inlineStr">
        <is>
          <t>—</t>
        </is>
      </c>
      <c r="U43" s="3" t="inlineStr">
        <is>
          <t>ACTIVE</t>
        </is>
      </c>
      <c r="V43" s="3" t="inlineStr">
        <is>
          <t>2026-08-27</t>
        </is>
      </c>
    </row>
    <row r="44">
      <c r="A44" s="3" t="inlineStr">
        <is>
          <t>MK-CF-F-042</t>
        </is>
      </c>
      <c r="B44" s="3" t="inlineStr">
        <is>
          <t>mortgageOddsEffect</t>
        </is>
      </c>
      <c r="C44" s="3" t="inlineStr">
        <is>
          <t>src/domain/debt/mortgageOdds.ts</t>
        </is>
      </c>
      <c r="D44" s="3" t="n">
        <v>63</v>
      </c>
      <c r="E44" s="3" t="inlineStr">
        <is>
          <t>2 · DISPLAYED</t>
        </is>
      </c>
      <c r="F44" s="3" t="inlineStr">
        <is>
          <t>Run the plan twice and report both results.</t>
        </is>
      </c>
      <c r="G44" s="6"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1. Treats a year as twelve equal months.
2. Turns a monthly figure into a year by multiplying by twelve.</t>
        </is>
      </c>
      <c r="N44" s="3" t="inlineStr">
        <is>
          <t>Yes</t>
        </is>
      </c>
      <c r="O44" s="3" t="inlineStr">
        <is>
          <t>1. MK-CF-F-029 monthsToClear
2. MK-PL-F-050 simulate</t>
        </is>
      </c>
      <c r="P44" s="3" t="n">
        <v>10</v>
      </c>
      <c r="Q44" s="3" t="inlineStr">
        <is>
          <t>1. MK-CF-F-029 monthsToClear
2. MK-PL-F-050 simulate
3. MK-CF-F-132 map
4. MK-PL-F-074 median
5. MK-PL-F-072 mulberry32
6. MK-PL-F-073 normal
7. MK-PL-F-075 pctOfSorted
8. MK-ST-F-025 rmdStartAgeFromAge
9. MK-ST-F-055 round2
10. MK-ST-F-024 rmdStartAge</t>
        </is>
      </c>
      <c r="R44" s="3" t="inlineStr">
        <is>
          <t>1. MK-CF-F-029 monthsToClear → MK-CF-F-042 mortgageOddsEffect
2. MK-CF-F-132 map → MK-PL-F-050 simulate → MK-CF-F-042 mortgageOddsEffect
3. MK-PL-F-074 median → MK-PL-F-050 simulate → MK-CF-F-042 mortgageOddsEffect
4. MK-PL-F-072 mulberry32 → MK-PL-F-050 simulate → MK-CF-F-042 mortgageOddsEffect
5. MK-PL-F-073 normal → MK-PL-F-050 simulate → MK-CF-F-042 mortgageOddsEffect
6. MK-PL-F-075 pctOfSorted → MK-PL-F-050 simulate → MK-CF-F-042 mortgageOddsEffect
7. MK-ST-F-024 rmdStartAge → MK-ST-F-025 rmdStartAgeFromAge → MK-PL-F-050 simulate → MK-CF-F-042 mortgageOddsEffect
8. MK-ST-F-055 round2 → MK-PL-F-050 simulate → MK-CF-F-042 mortgageOddsEffect</t>
        </is>
      </c>
      <c r="S44" s="3" t="inlineStr">
        <is>
          <t>—</t>
        </is>
      </c>
      <c r="T44" s="3" t="inlineStr">
        <is>
          <t>—</t>
        </is>
      </c>
      <c r="U44" s="3" t="inlineStr">
        <is>
          <t>ACTIVE</t>
        </is>
      </c>
      <c r="V44" s="3" t="inlineStr">
        <is>
          <t>2026-08-27</t>
        </is>
      </c>
    </row>
    <row r="45">
      <c r="A45" s="3" t="inlineStr">
        <is>
          <t>MK-CF-F-043</t>
        </is>
      </c>
      <c r="B45" s="3" t="inlineStr">
        <is>
          <t>compareMortgageToTreasury</t>
        </is>
      </c>
      <c r="C45" s="3" t="inlineStr">
        <is>
          <t>src/domain/debt/mortgageVsTreasury.ts</t>
        </is>
      </c>
      <c r="D45" s="3" t="n">
        <v>153</v>
      </c>
      <c r="E45" s="3" t="inlineStr">
        <is>
          <t>2 · DISPLAYED</t>
        </is>
      </c>
      <c r="F45" s="3" t="inlineStr">
        <is>
          <t>Compare paying `extraMonthly` into the mortgage against putting the same money into Treasuries.</t>
        </is>
      </c>
      <c r="G45" s="6"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Multiplies by 100 — a percentage, or an option contract treated as 100 shares. Worth checking which.
3. Rounds the answer to a whole number.
4.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row>
    <row r="46">
      <c r="A46" s="3" t="inlineStr">
        <is>
          <t>MK-CF-F-044</t>
        </is>
      </c>
      <c r="B46" s="3" t="inlineStr">
        <is>
          <t>annualNet</t>
        </is>
      </c>
      <c r="C46" s="3" t="inlineStr">
        <is>
          <t>src/domain/income/calc.ts</t>
        </is>
      </c>
      <c r="D46" s="3" t="n">
        <v>58</v>
      </c>
      <c r="E46" s="3" t="inlineStr">
        <is>
          <t>3 · DEPENDENT</t>
        </is>
      </c>
      <c r="F46" s="3" t="inlineStr">
        <is>
          <t>Annual NET contribution of a source: jobs use gross; rentals net out operating expenses.</t>
        </is>
      </c>
      <c r="G46" s="6"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MK-CF-F-127 isRental</t>
        </is>
      </c>
      <c r="P46" s="3" t="n">
        <v>1</v>
      </c>
      <c r="Q46" s="3" t="inlineStr">
        <is>
          <t>MK-CF-F-127 isRental</t>
        </is>
      </c>
      <c r="R46" s="3" t="inlineStr">
        <is>
          <t>MK-CF-F-127 isRental → MK-CF-F-044 annualNet</t>
        </is>
      </c>
      <c r="S46" s="3" t="inlineStr">
        <is>
          <t>—</t>
        </is>
      </c>
      <c r="T46" s="3" t="inlineStr">
        <is>
          <t>—</t>
        </is>
      </c>
      <c r="U46" s="3" t="inlineStr">
        <is>
          <t>ACTIVE</t>
        </is>
      </c>
      <c r="V46" s="3" t="inlineStr">
        <is>
          <t>2026-08-27</t>
        </is>
      </c>
    </row>
    <row r="47">
      <c r="A47" s="3" t="inlineStr">
        <is>
          <t>MK-CF-F-045</t>
        </is>
      </c>
      <c r="B47" s="3" t="inlineStr">
        <is>
          <t>grossAnnualBaseline</t>
        </is>
      </c>
      <c r="C47" s="3" t="inlineStr">
        <is>
          <t>src/domain/income/calc.ts</t>
        </is>
      </c>
      <c r="D47" s="3" t="n">
        <v>83</v>
      </c>
      <c r="E47" s="3" t="inlineStr">
        <is>
          <t>3 · DEPENDENT</t>
        </is>
      </c>
      <c r="F47" s="3" t="inlineStr">
        <is>
          <t>Gross annual baseline = jobs (gross) + rentals (gross − expenses), all annualized.</t>
        </is>
      </c>
      <c r="G47" s="6"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2</v>
      </c>
      <c r="Q47" s="3" t="inlineStr">
        <is>
          <t>1. MK-CF-F-044 annualNet
2. MK-CF-F-127 isRental</t>
        </is>
      </c>
      <c r="R47" s="3" t="inlineStr">
        <is>
          <t>MK-CF-F-127 isRental → MK-CF-F-044 annualNet → MK-CF-F-045 grossAnnualBaseline</t>
        </is>
      </c>
      <c r="S47" s="3" t="inlineStr">
        <is>
          <t>—</t>
        </is>
      </c>
      <c r="T47" s="3" t="inlineStr">
        <is>
          <t>—</t>
        </is>
      </c>
      <c r="U47" s="3" t="inlineStr">
        <is>
          <t>ACTIVE</t>
        </is>
      </c>
      <c r="V47" s="3" t="inlineStr">
        <is>
          <t>2026-08-27</t>
        </is>
      </c>
    </row>
    <row r="48">
      <c r="A48" s="3" t="inlineStr">
        <is>
          <t>MK-CF-F-046</t>
        </is>
      </c>
      <c r="B48" s="3" t="inlineStr">
        <is>
          <t>employerMatchAnnual</t>
        </is>
      </c>
      <c r="C48" s="3" t="inlineStr">
        <is>
          <t>src/domain/income/calc.ts</t>
        </is>
      </c>
      <c r="D48" s="3" t="n">
        <v>110</v>
      </c>
      <c r="E48" s="3" t="inlineStr">
        <is>
          <t>3 · DEPENDENT</t>
        </is>
      </c>
      <c r="F48" s="3" t="inlineStr">
        <is>
          <t>NOT DETERMINED — the code carries no note saying what this is for, and it has no row in the old inventory. Needs reading.</t>
        </is>
      </c>
      <c r="G48" s="6"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t>
        </is>
      </c>
      <c r="P48" s="3" t="n">
        <v>0</v>
      </c>
      <c r="Q48" s="3" t="inlineStr">
        <is>
          <t>None — no dependent function stands behind it</t>
        </is>
      </c>
      <c r="R48" s="3" t="inlineStr">
        <is>
          <t>No dependent function — it reads its inputs and answers</t>
        </is>
      </c>
      <c r="S48" s="3" t="inlineStr">
        <is>
          <t>—</t>
        </is>
      </c>
      <c r="T48" s="3" t="inlineStr">
        <is>
          <t>—</t>
        </is>
      </c>
      <c r="U48" s="3" t="inlineStr">
        <is>
          <t>ACTIVE</t>
        </is>
      </c>
      <c r="V48" s="3" t="inlineStr">
        <is>
          <t>2026-08-27</t>
        </is>
      </c>
    </row>
    <row r="49">
      <c r="A49" s="3" t="inlineStr">
        <is>
          <t>MK-CF-F-048</t>
        </is>
      </c>
      <c r="B49" s="3" t="inlineStr">
        <is>
          <t>effectiveTaxRate</t>
        </is>
      </c>
      <c r="C49" s="3" t="inlineStr">
        <is>
          <t>src/domain/income/calc.ts</t>
        </is>
      </c>
      <c r="D49" s="3" t="n">
        <v>145</v>
      </c>
      <c r="E49" s="3" t="inlineStr">
        <is>
          <t>3 · DEPENDENT</t>
        </is>
      </c>
      <c r="F49" s="3" t="inlineStr">
        <is>
          <t>NOT DETERMINED — the code carries no note saying what this is for, and it has no row in the old inventory. Needs reading.</t>
        </is>
      </c>
      <c r="G49" s="6"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4</v>
      </c>
      <c r="Q49" s="3" t="inlineStr">
        <is>
          <t>1. MK-CF-F-102 effectiveRateOnGrossFor
2. MK-CF-F-101 taxOwedFor
3. MK-CF-F-100 taxableIncomeFor
4. MK-CF-F-099 deductionFor</t>
        </is>
      </c>
      <c r="R49" s="3" t="inlineStr">
        <is>
          <t>MK-CF-F-099 deductionFor → MK-CF-F-100 taxableIncomeFor → MK-CF-F-101 taxOwedFor → MK-CF-F-102 effectiveRateOnGrossFor → MK-CF-F-048 effectiveTaxRate</t>
        </is>
      </c>
      <c r="S49" s="3" t="inlineStr">
        <is>
          <t>—</t>
        </is>
      </c>
      <c r="T49" s="3" t="inlineStr">
        <is>
          <t>—</t>
        </is>
      </c>
      <c r="U49" s="3" t="inlineStr">
        <is>
          <t>ACTIVE</t>
        </is>
      </c>
      <c r="V49" s="3" t="inlineStr">
        <is>
          <t>2026-08-27</t>
        </is>
      </c>
    </row>
    <row r="50">
      <c r="A50" s="3" t="inlineStr">
        <is>
          <t>MK-CF-F-049</t>
        </is>
      </c>
      <c r="B50" s="3" t="inlineStr">
        <is>
          <t>buildIncomeState</t>
        </is>
      </c>
      <c r="C50" s="3" t="inlineStr">
        <is>
          <t>src/domain/income/calc.ts</t>
        </is>
      </c>
      <c r="D50" s="3" t="n">
        <v>234</v>
      </c>
      <c r="E50" s="3" t="inlineStr">
        <is>
          <t>2 · DISPLAYED</t>
        </is>
      </c>
      <c r="F50" s="3" t="inlineStr">
        <is>
          <t>NOT DETERMINED — the code carries no note saying what this is for, and it has no row in the old inventory. Needs reading.</t>
        </is>
      </c>
      <c r="G50" s="6"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1. Uses a built-in i of 0.
2. Treats a year as twelve equal months.</t>
        </is>
      </c>
      <c r="N50" s="3" t="inlineStr">
        <is>
          <t>Yes</t>
        </is>
      </c>
      <c r="O50" s="3" t="inlineStr">
        <is>
          <t>1. MK-CF-F-048 effectiveTaxRate
2. MK-CF-F-046 employerMatchAnnual
3. MK-CF-F-045 grossAnnualBaseline
4. MK-CF-F-132 map
5. MK-CF-F-161 monthlyGrossOfSource
6. MK-CF-F-098 progressiveMonthlyTax
7. MK-ST-F-055 round2
8. MK-CF-F-129 round4</t>
        </is>
      </c>
      <c r="P50" s="3" t="n">
        <v>14</v>
      </c>
      <c r="Q50" s="3" t="inlineStr">
        <is>
          <t>1. MK-CF-F-048 effectiveTaxRate
2. MK-CF-F-046 employerMatchAnnual
3. MK-CF-F-045 grossAnnualBaseline
4. MK-CF-F-132 map
5. MK-CF-F-161 monthlyGrossOfSource
6. MK-CF-F-098 progressiveMonthlyTax
7. MK-ST-F-055 round2
8. MK-CF-F-129 round4
9. MK-CF-F-102 effectiveRateOnGrossFor
10. MK-CF-F-044 annualNet
11. MK-CF-F-127 isRental
12. MK-CF-F-101 taxOwedFor
13. MK-CF-F-100 taxableIncomeFor
14. MK-CF-F-099 deductionFor</t>
        </is>
      </c>
      <c r="R50" s="3" t="inlineStr">
        <is>
          <t>1. MK-CF-F-099 deductionFor → MK-CF-F-100 taxableIncomeFor → MK-CF-F-101 taxOwedFor → MK-CF-F-102 effectiveRateOnGrossFor → MK-CF-F-048 effectiveTaxRate → MK-CF-F-049 buildIncomeState
2. MK-CF-F-046 employerMatchAnnual → MK-CF-F-049 buildIncomeState
3. MK-CF-F-127 isRental → MK-CF-F-044 annualNet → MK-CF-F-045 grossAnnualBaseline → MK-CF-F-049 buildIncomeState
4. MK-CF-F-132 map → MK-CF-F-049 buildIncomeState
5. MK-CF-F-127 isRental → MK-CF-F-161 monthlyGrossOfSource → MK-CF-F-049 buildIncomeState
6. MK-CF-F-132 map → MK-CF-F-098 progressiveMonthlyTax → MK-CF-F-049 buildIncomeState
7. MK-CF-F-099 deductionFor → MK-CF-F-100 taxableIncomeFor → MK-CF-F-101 taxOwedFor → MK-CF-F-098 progressiveMonthlyTax → MK-CF-F-049 buildIncomeState
8. MK-CF-F-099 deductionFor → MK-CF-F-100 taxableIncomeFor → MK-CF-F-098 progressiveMonthlyTax → MK-CF-F-049 buildIncomeState
9. … and 2 more paths</t>
        </is>
      </c>
      <c r="S50" s="3" t="inlineStr">
        <is>
          <t>—</t>
        </is>
      </c>
      <c r="T50" s="3" t="inlineStr">
        <is>
          <t>—</t>
        </is>
      </c>
      <c r="U50" s="3" t="inlineStr">
        <is>
          <t>ACTIVE</t>
        </is>
      </c>
      <c r="V50" s="3" t="inlineStr">
        <is>
          <t>2026-08-27</t>
        </is>
      </c>
    </row>
    <row r="51">
      <c r="A51" s="3" t="inlineStr">
        <is>
          <t>MK-CF-F-050</t>
        </is>
      </c>
      <c r="B51" s="3" t="inlineStr">
        <is>
          <t>loadIncome</t>
        </is>
      </c>
      <c r="C51" s="3" t="inlineStr">
        <is>
          <t>src/domain/income/index.ts</t>
        </is>
      </c>
      <c r="D51" s="3" t="n">
        <v>37</v>
      </c>
      <c r="E51" s="3" t="inlineStr">
        <is>
          <t>3 · DEPENDENT (feeds an action only)</t>
        </is>
      </c>
      <c r="F51" s="3" t="inlineStr">
        <is>
          <t>NOT DETERMINED — the code carries no note saying what this is for, and it has no row in the old inventory. Needs reading.</t>
        </is>
      </c>
      <c r="G51" s="6"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t>
        </is>
      </c>
      <c r="P51" s="3" t="n">
        <v>0</v>
      </c>
      <c r="Q51" s="3" t="inlineStr">
        <is>
          <t>None — no dependent function stands behind it</t>
        </is>
      </c>
      <c r="R51" s="3" t="inlineStr">
        <is>
          <t>No dependent function — it reads its inputs and answers</t>
        </is>
      </c>
      <c r="S51" s="3" t="inlineStr">
        <is>
          <t>—</t>
        </is>
      </c>
      <c r="T51" s="3" t="inlineStr">
        <is>
          <t>—</t>
        </is>
      </c>
      <c r="U51" s="3" t="inlineStr">
        <is>
          <t>ACTIVE</t>
        </is>
      </c>
      <c r="V51" s="3" t="inlineStr">
        <is>
          <t>2026-08-27</t>
        </is>
      </c>
    </row>
    <row r="52">
      <c r="A52" s="3" t="inlineStr">
        <is>
          <t>MK-CF-F-051</t>
        </is>
      </c>
      <c r="B52" s="3" t="inlineStr">
        <is>
          <t>saveIncome</t>
        </is>
      </c>
      <c r="C52" s="3" t="inlineStr">
        <is>
          <t>src/domain/income/index.ts</t>
        </is>
      </c>
      <c r="D52" s="3" t="n">
        <v>56</v>
      </c>
      <c r="E52" s="3" t="inlineStr">
        <is>
          <t>1 · ACTION</t>
        </is>
      </c>
      <c r="F52" s="3" t="inlineStr">
        <is>
          <t>NOT DETERMINED — the code carries no note saying what this is for, and it has no row in the old inventory. Needs reading.</t>
        </is>
      </c>
      <c r="G52" s="6"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2</v>
      </c>
      <c r="Q52" s="3" t="inlineStr">
        <is>
          <t>1. MK-ST-F-040 emit
2. MK-ST-F-042 setUserDoc</t>
        </is>
      </c>
      <c r="R52" s="3" t="inlineStr">
        <is>
          <t>1. MK-ST-F-040 emit → MK-CF-F-051 saveIncome
2. MK-ST-F-042 setUserDoc → MK-CF-F-051 saveIncome</t>
        </is>
      </c>
      <c r="S52" s="3" t="inlineStr">
        <is>
          <t>—</t>
        </is>
      </c>
      <c r="T52" s="3" t="inlineStr">
        <is>
          <t>—</t>
        </is>
      </c>
      <c r="U52" s="3" t="inlineStr">
        <is>
          <t>ACTIVE</t>
        </is>
      </c>
      <c r="V52" s="3" t="inlineStr">
        <is>
          <t>2026-08-27</t>
        </is>
      </c>
    </row>
    <row r="53">
      <c r="A53" s="3" t="inlineStr">
        <is>
          <t>MK-CF-F-052</t>
        </is>
      </c>
      <c r="B53" s="3" t="inlineStr">
        <is>
          <t>getIncomeState</t>
        </is>
      </c>
      <c r="C53" s="3" t="inlineStr">
        <is>
          <t>src/domain/income/index.ts</t>
        </is>
      </c>
      <c r="D53" s="3" t="n">
        <v>79</v>
      </c>
      <c r="E53" s="3" t="inlineStr">
        <is>
          <t>3 · DEPENDENT (feeds an action only)</t>
        </is>
      </c>
      <c r="F53" s="3" t="inlineStr">
        <is>
          <t>The public read-model (spec IncomeState): totals, effective rate, monthly grid.</t>
        </is>
      </c>
      <c r="G53" s="6"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t>
        </is>
      </c>
      <c r="P53" s="3" t="n">
        <v>16</v>
      </c>
      <c r="Q53" s="3" t="inlineStr">
        <is>
          <t>1. MK-CF-F-049 buildIncomeState
2. MK-CF-F-050 loadIncome
3. MK-CF-F-048 effectiveTaxRate
4. MK-CF-F-046 employerMatchAnnual
5. MK-CF-F-045 grossAnnualBaseline
6. MK-CF-F-132 map
7. MK-CF-F-161 monthlyGrossOfSource
8. MK-CF-F-098 progressiveMonthlyTax
9. MK-ST-F-055 round2
10. MK-CF-F-129 round4
11. MK-CF-F-102 effectiveRateOnGrossFor
12. MK-CF-F-044 annualNet
13. MK-CF-F-127 isRental
14. MK-CF-F-101 taxOwedFor
15. MK-CF-F-100 taxableIncomeFor
16. MK-CF-F-099 deductionFor</t>
        </is>
      </c>
      <c r="R53" s="3" t="inlineStr">
        <is>
          <t>1. MK-CF-F-100 taxableIncomeFor → MK-CF-F-101 taxOwedFor → MK-CF-F-102 effectiveRateOnGrossFor → MK-CF-F-048 effectiveTaxRate → MK-CF-F-049 buildIncomeState → MK-CF-F-052 getIncomeState
2. MK-CF-F-046 employerMatchAnnual → MK-CF-F-049 buildIncomeState → MK-CF-F-052 getIncomeState
3. MK-CF-F-127 isRental → MK-CF-F-044 annualNet → MK-CF-F-045 grossAnnualBaseline → MK-CF-F-049 buildIncomeState → MK-CF-F-052 getIncomeState
4. MK-CF-F-132 map → MK-CF-F-049 buildIncomeState → MK-CF-F-052 getIncomeState
5. MK-CF-F-127 isRental → MK-CF-F-161 monthlyGrossOfSource → MK-CF-F-049 buildIncomeState → MK-CF-F-052 getIncomeState
6. MK-CF-F-132 map → MK-CF-F-098 progressiveMonthlyTax → MK-CF-F-049 buildIncomeState → MK-CF-F-052 getIncomeState
7. MK-CF-F-099 deductionFor → MK-CF-F-100 taxableIncomeFor → MK-CF-F-101 taxOwedFor → MK-CF-F-098 progressiveMonthlyTax → MK-CF-F-049 buildIncomeState → MK-CF-F-052 getIncomeState
8. MK-CF-F-099 deductionFor → MK-CF-F-100 taxableIncomeFor → MK-CF-F-098 progressiveMonthlyTax → MK-CF-F-049 buildIncomeState → MK-CF-F-052 getIncomeState
9. … and 3 more paths</t>
        </is>
      </c>
      <c r="S53" s="3" t="inlineStr">
        <is>
          <t>—</t>
        </is>
      </c>
      <c r="T53" s="3" t="inlineStr">
        <is>
          <t>—</t>
        </is>
      </c>
      <c r="U53" s="3" t="inlineStr">
        <is>
          <t>ACTIVE</t>
        </is>
      </c>
      <c r="V53" s="3" t="inlineStr">
        <is>
          <t>2026-08-27</t>
        </is>
      </c>
    </row>
    <row r="54">
      <c r="A54" s="3" t="inlineStr">
        <is>
          <t>MK-CF-F-053</t>
        </is>
      </c>
      <c r="B54" s="3" t="inlineStr">
        <is>
          <t>annual401kLimit</t>
        </is>
      </c>
      <c r="C54" s="3" t="inlineStr">
        <is>
          <t>src/domain/income/limits.ts</t>
        </is>
      </c>
      <c r="D54" s="3" t="n">
        <v>37</v>
      </c>
      <c r="E54" s="3" t="inlineStr">
        <is>
          <t>2 · DISPLAYED</t>
        </is>
      </c>
      <c r="F54" s="3" t="inlineStr">
        <is>
          <t>Annual employee 401(k) limit for the user's age (adds the 50+ catch-up).</t>
        </is>
      </c>
      <c r="G54" s="6"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None found in this function — anything it assumes comes from the functions it depends on.</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row>
    <row r="55">
      <c r="A55" s="3" t="inlineStr">
        <is>
          <t>MK-CF-F-054</t>
        </is>
      </c>
      <c r="B55" s="3" t="inlineStr">
        <is>
          <t>annualIraLimit</t>
        </is>
      </c>
      <c r="C55" s="3" t="inlineStr">
        <is>
          <t>src/domain/income/limits.ts</t>
        </is>
      </c>
      <c r="D55" s="3" t="n">
        <v>59</v>
      </c>
      <c r="E55" s="3" t="inlineStr">
        <is>
          <t>2 · DISPLAYED</t>
        </is>
      </c>
      <c r="F55" s="3" t="inlineStr">
        <is>
          <t>NOT DETERMINED — the code carries no note saying what this is for, and it has no row in the old inventory. Needs reading.</t>
        </is>
      </c>
      <c r="G55" s="6"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None found in this function — anything it assumes comes from the functions it depends on.</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row>
    <row r="56">
      <c r="A56" s="3" t="inlineStr">
        <is>
          <t>MK-CF-F-055</t>
        </is>
      </c>
      <c r="B56" s="3" t="inlineStr">
        <is>
          <t>annualHsaLimit</t>
        </is>
      </c>
      <c r="C56" s="3" t="inlineStr">
        <is>
          <t>src/domain/income/limits.ts</t>
        </is>
      </c>
      <c r="D56" s="3" t="n">
        <v>77</v>
      </c>
      <c r="E56" s="3" t="inlineStr">
        <is>
          <t>2 · DISPLAYED</t>
        </is>
      </c>
      <c r="F56" s="3" t="inlineStr">
        <is>
          <t>NOT DETERMINED — the code carries no note saying what this is for, and it has no row in the old inventory. Needs reading.</t>
        </is>
      </c>
      <c r="G56" s="6" t="inlineStr">
        <is>
          <t>(family ? IRS_LIMITS.hsa family : IRS_LIMITS.hsa self) + (age ≠ nothing and age ≥ 55 ? IRS_LIMITS.hsa catch up 55 : 0)</t>
        </is>
      </c>
      <c r="H56" s="3" t="inlineStr">
        <is>
          <t>(family ? IRS_LIMITS.hsa family : IRS_LIMITS.hsa self) plus (age is not no answer and age is at least 55 ? IRS_LIMITS.hsa catch up 55 : 0).</t>
        </is>
      </c>
      <c r="I56" s="3" t="inlineStr">
        <is>
          <t>READ FROM THE CODE — rendered from the expressions the function runs</t>
        </is>
      </c>
      <c r="J56" s="3" t="inlineStr">
        <is>
          <t>1. age: number | null
2. family = false</t>
        </is>
      </c>
      <c r="K56" s="3" t="inlineStr">
        <is>
          <t>number</t>
        </is>
      </c>
      <c r="L56" s="3" t="inlineStr">
        <is>
          <t>NOT FOUND — a screen calls it, but the words printed beside its answer could not be traced automatically. Needs reading.</t>
        </is>
      </c>
      <c r="M56" s="3" t="inlineStr">
        <is>
          <t>None found in this function — anything it assumes comes from the functions it depends on.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2026-08-27</t>
        </is>
      </c>
    </row>
    <row r="57">
      <c r="A57" s="3" t="inlineStr">
        <is>
          <t>MK-CF-F-056</t>
        </is>
      </c>
      <c r="B57" s="3" t="inlineStr">
        <is>
          <t>k401Headroom</t>
        </is>
      </c>
      <c r="C57" s="3" t="inlineStr">
        <is>
          <t>src/domain/income/limits.ts</t>
        </is>
      </c>
      <c r="D57" s="3" t="n">
        <v>107</v>
      </c>
      <c r="E57" s="3" t="inlineStr">
        <is>
          <t>2 · DISPLAYED</t>
        </is>
      </c>
      <c r="F57" s="3" t="inlineStr">
        <is>
          <t>How much more you can still put into your 401(k) this year (incl.</t>
        </is>
      </c>
      <c r="G57" s="6" t="inlineStr">
        <is>
          <t>limit = annual401k limit(age)
used = max(0, annual401k contribution)
the answer:
limit = limit
used = min(used, limit)
remaining = max(0, round(limit − used))
catch up = age ≠ nothing and age ≥ 50</t>
        </is>
      </c>
      <c r="H57" s="3" t="inlineStr">
        <is>
          <t>Limit is annual401k limit(age). Used is annual401k contribution, never below zero. The answer is limit = limit; used = the smaller of used and limit; remaining = limit minus used, to a whole number,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Rounds the answer to a whole number.</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2026-08-27</t>
        </is>
      </c>
    </row>
    <row r="58">
      <c r="A58" s="3" t="inlineStr">
        <is>
          <t>MK-CF-F-057</t>
        </is>
      </c>
      <c r="B58" s="3" t="inlineStr">
        <is>
          <t>rothVsTraditional</t>
        </is>
      </c>
      <c r="C58" s="3" t="inlineStr">
        <is>
          <t>src/domain/income/limits.ts</t>
        </is>
      </c>
      <c r="D58" s="3" t="n">
        <v>134</v>
      </c>
      <c r="E58" s="3" t="inlineStr">
        <is>
          <t>2 · DISPLAYED</t>
        </is>
      </c>
      <c r="F58" s="3" t="inlineStr">
        <is>
          <t>Roth vs Traditional lean from current vs expected-retirement marginal rate (decimals).</t>
        </is>
      </c>
      <c r="G58" s="6" t="inlineStr">
        <is>
          <t>lean = 'roth'
why = "You're in a low bracket now — pay the tax now (roth) and withdraw tax − free later."   when marginal now ≤ 0.12
lean = 'traditional'
why = 'high bracket now, likely lower in retirement — deduct now (traditional), pay tax later.'   when marginal now ≥ 0.24 and marginal retire &lt; marginal now
lean = 'either'
why = 'your brackets are similar — splitting roth and traditional hedges your future tax rate.'</t>
        </is>
      </c>
      <c r="H58" s="3" t="inlineStr">
        <is>
          <t>When marginal now is at most 0.12, it answers lean = 'roth'; why = "You're in a low bracket now — pay the tax now (roth) and withdraw tax minus free later.". When marginal now is at least 0.24 and marginal retire &lt; marginal now, it answers lean = 'traditional'; why = 'high bracket now, likely lower in retirement — deduct now (traditional), pay tax later.'. lean = 'either'; why = 'your brackets are similar — splitting roth and traditional hedges your future tax rate.'.</t>
        </is>
      </c>
      <c r="I58" s="3" t="inlineStr">
        <is>
          <t>READ FROM THE CODE — rendered from the expressions the function runs</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2026-08-27</t>
        </is>
      </c>
    </row>
    <row r="59">
      <c r="A59" s="3" t="inlineStr">
        <is>
          <t>MK-CF-F-058</t>
        </is>
      </c>
      <c r="B59" s="3" t="inlineStr">
        <is>
          <t>rothConversionWindow</t>
        </is>
      </c>
      <c r="C59" s="3" t="inlineStr">
        <is>
          <t>src/domain/income/limits.ts</t>
        </is>
      </c>
      <c r="D59" s="3" t="n">
        <v>158</v>
      </c>
      <c r="E59" s="3" t="inlineStr">
        <is>
          <t>2 · DISPLAYED</t>
        </is>
      </c>
      <c r="F59" s="3" t="inlineStr">
        <is>
          <t>Are you in the low-income "Roth conversion window" (retired, before RMDs/SS push income up)?</t>
        </is>
      </c>
      <c r="G59" s="6"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row>
    <row r="60">
      <c r="A60" s="3" t="inlineStr">
        <is>
          <t>MK-CF-F-059</t>
        </is>
      </c>
      <c r="B60" s="3" t="inlineStr">
        <is>
          <t>annualizedEnteredSalary</t>
        </is>
      </c>
      <c r="C60" s="3" t="inlineStr">
        <is>
          <t>src/domain/income/onboarding.ts</t>
        </is>
      </c>
      <c r="D60" s="3" t="n">
        <v>43</v>
      </c>
      <c r="E60" s="3" t="inlineStr">
        <is>
          <t>3 · DEPENDENT (feeds an action only)</t>
        </is>
      </c>
      <c r="F60" s="3" t="inlineStr">
        <is>
          <t>Annual amount of what the user ENTERED (not grossed up) — for display.</t>
        </is>
      </c>
      <c r="G60" s="6"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1</v>
      </c>
      <c r="Q60" s="3" t="inlineStr">
        <is>
          <t>MK-ST-F-052 toNum</t>
        </is>
      </c>
      <c r="R60" s="3" t="inlineStr">
        <is>
          <t>MK-ST-F-052 toNum → MK-CF-F-059 annualizedEnteredSalary</t>
        </is>
      </c>
      <c r="S60" s="3" t="inlineStr">
        <is>
          <t>—</t>
        </is>
      </c>
      <c r="T60" s="3" t="inlineStr">
        <is>
          <t>—</t>
        </is>
      </c>
      <c r="U60" s="3" t="inlineStr">
        <is>
          <t>ACTIVE</t>
        </is>
      </c>
      <c r="V60" s="3" t="inlineStr">
        <is>
          <t>2026-08-27</t>
        </is>
      </c>
    </row>
    <row r="61">
      <c r="A61" s="3" t="inlineStr">
        <is>
          <t>MK-CF-F-060</t>
        </is>
      </c>
      <c r="B61" s="3" t="inlineStr">
        <is>
          <t>salaryGrossByMonth</t>
        </is>
      </c>
      <c r="C61" s="3" t="inlineStr">
        <is>
          <t>src/domain/income/onboarding.ts</t>
        </is>
      </c>
      <c r="D61" s="3" t="n">
        <v>128</v>
      </c>
      <c r="E61" s="3" t="inlineStr">
        <is>
          <t>3 · DEPENDENT</t>
        </is>
      </c>
      <c r="F61" s="3" t="inlineStr">
        <is>
          <t>Per-month GROSS base salary, Jan→Dec.</t>
        </is>
      </c>
      <c r="G61" s="6"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11</v>
      </c>
      <c r="Q61" s="3" t="inlineStr">
        <is>
          <t>1. MK-CF-F-176 sumMonthsOverEarners
2. MK-CF-F-177 wageGrossByMonth
3. MK-CF-F-173 earnerWages
4. MK-CF-F-132 map
5. MK-CF-F-130 enteredMonthlyRaw
6. MK-CF-F-166 hasMonthlySalaryTable
7. MK-ST-F-055 round2
8. MK-CF-F-167 salaryCalendarYear
9. MK-CF-F-172 hasWage
10. MK-ST-F-052 toNum
11. MK-CF-F-165 salaryMonths</t>
        </is>
      </c>
      <c r="R61" s="3" t="inlineStr">
        <is>
          <t>1. MK-CF-F-172 hasWage → MK-CF-F-173 earnerWages → MK-CF-F-176 sumMonthsOverEarners → MK-CF-F-060 salaryGrossByMonth
2. MK-CF-F-132 map → MK-CF-F-176 sumMonthsOverEarners → MK-CF-F-060 salaryGrossByMonth
3. MK-ST-F-052 toNum → MK-CF-F-130 enteredMonthlyRaw → MK-CF-F-177 wageGrossByMonth → MK-CF-F-060 salaryGrossByMonth
4. MK-ST-F-052 toNum → MK-CF-F-165 salaryMonths → MK-CF-F-166 hasMonthlySalaryTable → MK-CF-F-177 wageGrossByMonth → MK-CF-F-060 salaryGrossByMonth
5. MK-CF-F-132 map → MK-CF-F-177 wageGrossByMonth → MK-CF-F-060 salaryGrossByMonth
6. MK-ST-F-055 round2 → MK-CF-F-177 wageGrossByMonth → MK-CF-F-060 salaryGrossByMonth
7.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row>
    <row r="62">
      <c r="A62" s="3" t="inlineStr">
        <is>
          <t>MK-CF-F-061</t>
        </is>
      </c>
      <c r="B62" s="3" t="inlineStr">
        <is>
          <t>grossSalaryMonthly</t>
        </is>
      </c>
      <c r="C62" s="3" t="inlineStr">
        <is>
          <t>src/domain/income/onboarding.ts</t>
        </is>
      </c>
      <c r="D62" s="3" t="n">
        <v>212</v>
      </c>
      <c r="E62" s="3" t="inlineStr">
        <is>
          <t>3 · DEPENDENT</t>
        </is>
      </c>
      <c r="F62" s="3" t="inlineStr">
        <is>
          <t>A representative full-month GROSS salary (the highest month — undiluted by $0 gap months).</t>
        </is>
      </c>
      <c r="G62" s="6"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12</v>
      </c>
      <c r="Q62" s="3" t="inlineStr">
        <is>
          <t>1. MK-CF-F-060 salaryGrossByMonth
2. MK-CF-F-176 sumMonthsOverEarners
3. MK-CF-F-177 wageGrossByMonth
4. MK-CF-F-173 earnerWages
5. MK-CF-F-132 map
6. MK-CF-F-130 enteredMonthlyRaw
7. MK-CF-F-166 hasMonthlySalaryTable
8. MK-ST-F-055 round2
9. MK-CF-F-167 salaryCalendarYear
10. MK-CF-F-172 hasWage
11. MK-ST-F-052 toNum
12. MK-CF-F-165 salaryMonths</t>
        </is>
      </c>
      <c r="R62" s="3" t="inlineStr">
        <is>
          <t>1. MK-CF-F-172 hasWage → MK-CF-F-173 earnerWages → MK-CF-F-176 sumMonthsOverEarners → MK-CF-F-060 salaryGrossByMonth → MK-CF-F-061 grossSalaryMonthly
2. MK-CF-F-132 map → MK-CF-F-176 sumMonthsOverEarners → MK-CF-F-060 salaryGrossByMonth → MK-CF-F-061 grossSalaryMonthly
3.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MK-ST-F-055 round2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row>
    <row r="63">
      <c r="A63" s="3" t="inlineStr">
        <is>
          <t>MK-CF-F-062</t>
        </is>
      </c>
      <c r="B63" s="3" t="inlineStr">
        <is>
          <t>equityRowValue</t>
        </is>
      </c>
      <c r="C63" s="3" t="inlineStr">
        <is>
          <t>src/domain/income/onboarding.ts</t>
        </is>
      </c>
      <c r="D63" s="3" t="n">
        <v>251</v>
      </c>
      <c r="E63" s="3" t="inlineStr">
        <is>
          <t>3 · DEPENDENT</t>
        </is>
      </c>
      <c r="F63" s="3" t="inlineStr">
        <is>
          <t>Value of one vesting-schedule row.</t>
        </is>
      </c>
      <c r="G63" s="6"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1</v>
      </c>
      <c r="Q63" s="3" t="inlineStr">
        <is>
          <t>MK-ST-F-052 toNum</t>
        </is>
      </c>
      <c r="R63" s="3" t="inlineStr">
        <is>
          <t>MK-ST-F-052 toNum → MK-CF-F-062 equityRowValue</t>
        </is>
      </c>
      <c r="S63" s="3" t="inlineStr">
        <is>
          <t>—</t>
        </is>
      </c>
      <c r="T63" s="3" t="inlineStr">
        <is>
          <t>EQUITY_ROW_VALUE</t>
        </is>
      </c>
      <c r="U63" s="3" t="inlineStr">
        <is>
          <t>ACTIVE</t>
        </is>
      </c>
      <c r="V63" s="3" t="inlineStr">
        <is>
          <t>2026-08-27</t>
        </is>
      </c>
    </row>
    <row r="64">
      <c r="A64" s="3" t="inlineStr">
        <is>
          <t>MK-CF-F-063</t>
        </is>
      </c>
      <c r="B64" s="3" t="inlineStr">
        <is>
          <t>rowVestYear</t>
        </is>
      </c>
      <c r="C64" s="3" t="inlineStr">
        <is>
          <t>src/domain/income/onboarding.ts</t>
        </is>
      </c>
      <c r="D64" s="3" t="n">
        <v>290</v>
      </c>
      <c r="E64" s="3" t="inlineStr">
        <is>
          <t>3 · DEPENDENT</t>
        </is>
      </c>
      <c r="F64" s="3" t="inlineStr">
        <is>
          <t>Calendar year a row vests (first 4 digits of its date; this year if blank).</t>
        </is>
      </c>
      <c r="G64" s="6"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row>
    <row r="65">
      <c r="A65" s="3" t="inlineStr">
        <is>
          <t>MK-CF-F-064</t>
        </is>
      </c>
      <c r="B65" s="3" t="inlineStr">
        <is>
          <t>equityCashFlow</t>
        </is>
      </c>
      <c r="C65" s="3" t="inlineStr">
        <is>
          <t>src/domain/income/onboarding.ts</t>
        </is>
      </c>
      <c r="D65" s="3" t="n">
        <v>317</v>
      </c>
      <c r="E65" s="3" t="inlineStr">
        <is>
          <t>2 · DISPLAYED</t>
        </is>
      </c>
      <c r="F65" s="3" t="inlineStr">
        <is>
          <t>Per-calendar-year vesting cash flow across all schedule rows — drives the chart &amp; table.</t>
        </is>
      </c>
      <c r="G65" s="6"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4</v>
      </c>
      <c r="Q65" s="3" t="inlineStr">
        <is>
          <t>1. MK-CF-F-062 equityRowValue
2. MK-CF-F-132 map
3. MK-CF-F-063 rowVestYear
4. MK-ST-F-052 toNum</t>
        </is>
      </c>
      <c r="R65" s="3" t="inlineStr">
        <is>
          <t>1.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row>
    <row r="66">
      <c r="A66" s="3" t="inlineStr">
        <is>
          <t>MK-CF-F-065</t>
        </is>
      </c>
      <c r="B66" s="3" t="inlineStr">
        <is>
          <t>equityVestWeights</t>
        </is>
      </c>
      <c r="C66" s="3" t="inlineStr">
        <is>
          <t>src/domain/income/onboarding.ts</t>
        </is>
      </c>
      <c r="D66" s="3" t="n">
        <v>374</v>
      </c>
      <c r="E66" s="3" t="inlineStr">
        <is>
          <t>3 · DEPENDENT</t>
        </is>
      </c>
      <c r="F66" s="3" t="inlineStr">
        <is>
          <t>Vest-month weights (Jan→Dec, summing to 1) from the equity grant rows — THE one placement rule.</t>
        </is>
      </c>
      <c r="G66" s="6"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3</v>
      </c>
      <c r="Q66" s="3" t="inlineStr">
        <is>
          <t>1. MK-CF-F-062 equityRowValue
2. MK-CF-F-132 map
3. MK-ST-F-052 toNum</t>
        </is>
      </c>
      <c r="R66" s="3" t="inlineStr">
        <is>
          <t>1. MK-ST-F-052 toNum → MK-CF-F-062 equityRowValue → MK-CF-F-065 equityVestWeights
2. MK-CF-F-132 map → MK-CF-F-065 equityVestWeights</t>
        </is>
      </c>
      <c r="S66" s="3" t="inlineStr">
        <is>
          <t>—</t>
        </is>
      </c>
      <c r="T66" s="3" t="inlineStr">
        <is>
          <t>—</t>
        </is>
      </c>
      <c r="U66" s="3" t="inlineStr">
        <is>
          <t>ACTIVE</t>
        </is>
      </c>
      <c r="V66" s="3" t="inlineStr">
        <is>
          <t>2026-08-27</t>
        </is>
      </c>
    </row>
    <row r="67">
      <c r="A67" s="3" t="inlineStr">
        <is>
          <t>MK-CF-F-066</t>
        </is>
      </c>
      <c r="B67" s="3" t="inlineStr">
        <is>
          <t>rsuAnnual</t>
        </is>
      </c>
      <c r="C67" s="3" t="inlineStr">
        <is>
          <t>src/domain/income/onboarding.ts</t>
        </is>
      </c>
      <c r="D67" s="3" t="n">
        <v>433</v>
      </c>
      <c r="E67" s="3" t="inlineStr">
        <is>
          <t>2 · DISPLAYED</t>
        </is>
      </c>
      <c r="F67" s="3" t="inlineStr">
        <is>
          <t>Annual equity-comp run-rate: total scheduled value spread over the years it vests across (a level annual figure for the income estimate).</t>
        </is>
      </c>
      <c r="G67" s="6"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 Leaves some rows out of the answer — check which.</t>
        </is>
      </c>
      <c r="N67" s="3" t="inlineStr">
        <is>
          <t>Yes</t>
        </is>
      </c>
      <c r="O67" s="3" t="inlineStr">
        <is>
          <t>1. MK-CF-F-062 equityRowValue
2. MK-CF-F-132 map
3. MK-CF-F-063 rowVestYear
4. MK-ST-F-052 toNum</t>
        </is>
      </c>
      <c r="P67" s="3" t="n">
        <v>4</v>
      </c>
      <c r="Q67" s="3" t="inlineStr">
        <is>
          <t>1. MK-CF-F-062 equityRowValue
2. MK-CF-F-132 map
3. MK-CF-F-063 rowVestYear
4. MK-ST-F-052 toNum</t>
        </is>
      </c>
      <c r="R67" s="3" t="inlineStr">
        <is>
          <t>1. MK-ST-F-052 toNum → MK-CF-F-062 equityRowValue → MK-CF-F-066 rsuAnnual
2. MK-CF-F-132 map → MK-CF-F-066 rsuAnnual
3. MK-CF-F-063 rowVestYear → MK-CF-F-066 rsuAnnual
4. MK-ST-F-052 toNum → MK-CF-F-066 rsuAnnual</t>
        </is>
      </c>
      <c r="S67" s="3" t="inlineStr">
        <is>
          <t>—</t>
        </is>
      </c>
      <c r="T67" s="3" t="inlineStr">
        <is>
          <t>EQUITY_THIS_YEAR</t>
        </is>
      </c>
      <c r="U67" s="3" t="inlineStr">
        <is>
          <t>ACTIVE</t>
        </is>
      </c>
      <c r="V67" s="3" t="inlineStr">
        <is>
          <t>2026-08-27</t>
        </is>
      </c>
    </row>
    <row r="68">
      <c r="A68" s="3" t="inlineStr">
        <is>
          <t>MK-CF-F-067</t>
        </is>
      </c>
      <c r="B68" s="3" t="inlineStr">
        <is>
          <t>rentalList</t>
        </is>
      </c>
      <c r="C68" s="3" t="inlineStr">
        <is>
          <t>src/domain/income/onboarding.ts</t>
        </is>
      </c>
      <c r="D68" s="3" t="n">
        <v>482</v>
      </c>
      <c r="E68" s="3" t="inlineStr">
        <is>
          <t>3 · DEPENDENT</t>
        </is>
      </c>
      <c r="F68" s="3" t="inlineStr">
        <is>
          <t>Normalized list of rental properties.</t>
        </is>
      </c>
      <c r="G68" s="6"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 Leaves some rows out of the answer — check which.</t>
        </is>
      </c>
      <c r="N68" s="3" t="inlineStr">
        <is>
          <t>Yes</t>
        </is>
      </c>
      <c r="O68" s="3" t="inlineStr">
        <is>
          <t>1. MK-CF-F-132 map
2. MK-ST-F-052 toNum</t>
        </is>
      </c>
      <c r="P68" s="3" t="n">
        <v>2</v>
      </c>
      <c r="Q68" s="3" t="inlineStr">
        <is>
          <t>1. MK-CF-F-132 map
2. MK-ST-F-052 toNum</t>
        </is>
      </c>
      <c r="R68" s="3" t="inlineStr">
        <is>
          <t>1. MK-CF-F-132 map → MK-CF-F-067 rentalList
2. MK-ST-F-052 toNum → MK-CF-F-067 rentalList</t>
        </is>
      </c>
      <c r="S68" s="3" t="inlineStr">
        <is>
          <t>—</t>
        </is>
      </c>
      <c r="T68" s="3" t="inlineStr">
        <is>
          <t>RENTALS</t>
        </is>
      </c>
      <c r="U68" s="3" t="inlineStr">
        <is>
          <t>ACTIVE</t>
        </is>
      </c>
      <c r="V68" s="3" t="inlineStr">
        <is>
          <t>2026-08-27</t>
        </is>
      </c>
    </row>
    <row r="69">
      <c r="A69" s="3" t="inlineStr">
        <is>
          <t>MK-CF-F-068</t>
        </is>
      </c>
      <c r="B69" s="3" t="inlineStr">
        <is>
          <t>rentalNetAnnual</t>
        </is>
      </c>
      <c r="C69" s="3" t="inlineStr">
        <is>
          <t>src/domain/income/onboarding.ts</t>
        </is>
      </c>
      <c r="D69" s="3" t="n">
        <v>530</v>
      </c>
      <c r="E69" s="3" t="inlineStr">
        <is>
          <t>2 · DISPLAYED</t>
        </is>
      </c>
      <c r="F69" s="3" t="inlineStr">
        <is>
          <t>Total net rental income per year, across all properties (income − operating expenses).</t>
        </is>
      </c>
      <c r="G69" s="6"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MK-CF-F-067 rentalList</t>
        </is>
      </c>
      <c r="P69" s="3" t="n">
        <v>3</v>
      </c>
      <c r="Q69" s="3" t="inlineStr">
        <is>
          <t>1. MK-CF-F-067 rentalList
2. MK-CF-F-132 map
3. MK-ST-F-052 toNum</t>
        </is>
      </c>
      <c r="R69" s="3" t="inlineStr">
        <is>
          <t>1. MK-CF-F-132 map → MK-CF-F-067 rentalList → MK-CF-F-068 rentalNetAnnual
2. MK-ST-F-052 toNum → MK-CF-F-067 rentalList → MK-CF-F-068 rentalNetAnnual</t>
        </is>
      </c>
      <c r="S69" s="3" t="inlineStr">
        <is>
          <t>MK-CF-M-010</t>
        </is>
      </c>
      <c r="T69" s="3" t="inlineStr">
        <is>
          <t>RENTAL_INCOME_A_YEAR</t>
        </is>
      </c>
      <c r="U69" s="3" t="inlineStr">
        <is>
          <t>ACTIVE</t>
        </is>
      </c>
      <c r="V69" s="3" t="inlineStr">
        <is>
          <t>2026-08-27</t>
        </is>
      </c>
    </row>
    <row r="70">
      <c r="A70" s="3" t="inlineStr">
        <is>
          <t>MK-CF-F-069</t>
        </is>
      </c>
      <c r="B70" s="3" t="inlineStr">
        <is>
          <t>benefitActiveMonths</t>
        </is>
      </c>
      <c r="C70" s="3" t="inlineStr">
        <is>
          <t>src/domain/income/onboarding.ts</t>
        </is>
      </c>
      <c r="D70" s="3" t="n">
        <v>570</v>
      </c>
      <c r="E70" s="3" t="inlineStr">
        <is>
          <t>3 · DEPENDENT</t>
        </is>
      </c>
      <c r="F70" s="3" t="inlineStr">
        <is>
          <t>Calendar months (1-12) benefits are received — e.g.</t>
        </is>
      </c>
      <c r="G70" s="6"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 Leaves some rows out of the answer — check which.</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row>
    <row r="71">
      <c r="A71" s="3" t="inlineStr">
        <is>
          <t>MK-CF-F-070</t>
        </is>
      </c>
      <c r="B71" s="3" t="inlineStr">
        <is>
          <t>benefitAnnual</t>
        </is>
      </c>
      <c r="C71" s="3" t="inlineStr">
        <is>
          <t>src/domain/income/onboarding.ts</t>
        </is>
      </c>
      <c r="D71" s="3" t="n">
        <v>604</v>
      </c>
      <c r="E71" s="3" t="inlineStr">
        <is>
          <t>2 · DISPLAYED</t>
        </is>
      </c>
      <c r="F71" s="3" t="inlineStr">
        <is>
          <t>Annual benefits = monthly amount × the months it's actually received.</t>
        </is>
      </c>
      <c r="G71" s="6"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2</v>
      </c>
      <c r="Q71" s="3" t="inlineStr">
        <is>
          <t>1. MK-CF-F-069 benefitActiveMonths
2. MK-ST-F-052 toNum</t>
        </is>
      </c>
      <c r="R71" s="3" t="inlineStr">
        <is>
          <t>1. MK-CF-F-069 benefitActiveMonths → MK-CF-F-070 benefitAnnual
2. MK-ST-F-052 toNum → MK-CF-F-070 benefitAnnual</t>
        </is>
      </c>
      <c r="S71" s="3" t="inlineStr">
        <is>
          <t>—</t>
        </is>
      </c>
      <c r="T71" s="3" t="inlineStr">
        <is>
          <t>—</t>
        </is>
      </c>
      <c r="U71" s="3" t="inlineStr">
        <is>
          <t>ACTIVE</t>
        </is>
      </c>
      <c r="V71" s="3" t="inlineStr">
        <is>
          <t>2026-08-27</t>
        </is>
      </c>
    </row>
    <row r="72">
      <c r="A72" s="3" t="inlineStr">
        <is>
          <t>MK-CF-F-071</t>
        </is>
      </c>
      <c r="B72" s="3" t="inlineStr">
        <is>
          <t>extraIncome</t>
        </is>
      </c>
      <c r="C72" s="3" t="inlineStr">
        <is>
          <t>src/domain/income/onboarding.ts</t>
        </is>
      </c>
      <c r="D72" s="3" t="n">
        <v>660</v>
      </c>
      <c r="E72" s="3" t="inlineStr">
        <is>
          <t>2 · DISPLAYED</t>
        </is>
      </c>
      <c r="F72" s="3" t="inlineStr">
        <is>
          <t>Extra income sources beyond salary/rental/equity (self-employment, investment, benefits, support, scholarship, other), split into taxable vs non-taxable steady monthly amounts + a one-time Jan amount.</t>
        </is>
      </c>
      <c r="G72" s="6"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 Treats a year as twelve equal months.</t>
        </is>
      </c>
      <c r="N72" s="3" t="inlineStr">
        <is>
          <t>Yes</t>
        </is>
      </c>
      <c r="O72" s="3" t="inlineStr">
        <is>
          <t>1. MK-CF-F-070 benefitAnnual
2. MK-ST-F-055 round2
3. MK-ST-F-052 toNum</t>
        </is>
      </c>
      <c r="P72" s="3" t="n">
        <v>4</v>
      </c>
      <c r="Q72" s="3" t="inlineStr">
        <is>
          <t>1. MK-CF-F-070 benefitAnnual
2. MK-ST-F-055 round2
3. MK-ST-F-052 toNum
4. MK-CF-F-069 benefitActiveMonths</t>
        </is>
      </c>
      <c r="R72" s="3" t="inlineStr">
        <is>
          <t>1. MK-CF-F-069 benefitActiveMonths → MK-CF-F-070 benefitAnnual → MK-CF-F-071 extraIncome
2. MK-ST-F-052 toNum → MK-CF-F-070 benefitAnnual → MK-CF-F-071 extraIncome
3. MK-ST-F-055 round2 → MK-CF-F-071 extraIncome
4. MK-ST-F-052 toNum → MK-CF-F-071 extraIncome</t>
        </is>
      </c>
      <c r="S72" s="3" t="inlineStr">
        <is>
          <t>—</t>
        </is>
      </c>
      <c r="T72" s="3" t="inlineStr">
        <is>
          <t>OTHER_INCOME</t>
        </is>
      </c>
      <c r="U72" s="3" t="inlineStr">
        <is>
          <t>ACTIVE</t>
        </is>
      </c>
      <c r="V72" s="3" t="inlineStr">
        <is>
          <t>2026-08-28</t>
        </is>
      </c>
    </row>
    <row r="73">
      <c r="A73" s="3" t="inlineStr">
        <is>
          <t>MK-CF-F-072</t>
        </is>
      </c>
      <c r="B73" s="3" t="inlineStr">
        <is>
          <t>currentRetirementIncomeMonthly</t>
        </is>
      </c>
      <c r="C73" s="3" t="inlineStr">
        <is>
          <t>src/domain/income/onboarding.ts</t>
        </is>
      </c>
      <c r="D73" s="3" t="n">
        <v>733</v>
      </c>
      <c r="E73" s="3" t="inlineStr">
        <is>
          <t>2 · DISPLAYED</t>
        </is>
      </c>
      <c r="F73" s="3" t="inlineStr">
        <is>
          <t>Retirement income (ri_*) counts as CURRENT income only when the user actually receives it now — i.e.</t>
        </is>
      </c>
      <c r="G73" s="6"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2</v>
      </c>
      <c r="Q73" s="3" t="inlineStr">
        <is>
          <t>1. MK-CF-F-075 retirementIncomeMonthly
2. MK-ST-F-052 toNum</t>
        </is>
      </c>
      <c r="R73" s="3" t="inlineStr">
        <is>
          <t>MK-ST-F-052 toNum → MK-CF-F-075 retirementIncomeMonthly → MK-CF-F-072 currentRetirementIncomeMonthly</t>
        </is>
      </c>
      <c r="S73" s="3" t="inlineStr">
        <is>
          <t>MK-CF-M-011 · MK-CF-M-024 · MK-PL-M-018 · MK-PL-M-032</t>
        </is>
      </c>
      <c r="T73" s="3" t="inlineStr">
        <is>
          <t>RETIREMENT_INCOME_NOW</t>
        </is>
      </c>
      <c r="U73" s="3" t="inlineStr">
        <is>
          <t>ACTIVE</t>
        </is>
      </c>
      <c r="V73" s="3" t="inlineStr">
        <is>
          <t>2026-08-27</t>
        </is>
      </c>
    </row>
    <row r="74">
      <c r="A74" s="3" t="inlineStr">
        <is>
          <t>MK-CF-F-073</t>
        </is>
      </c>
      <c r="B74" s="3" t="inlineStr">
        <is>
          <t>otherIncomeMonth</t>
        </is>
      </c>
      <c r="C74" s="3" t="inlineStr">
        <is>
          <t>src/domain/income/onboarding.ts</t>
        </is>
      </c>
      <c r="D74" s="3" t="n">
        <v>768</v>
      </c>
      <c r="E74" s="3" t="inlineStr">
        <is>
          <t>3 · DEPENDENT</t>
        </is>
      </c>
      <c r="F74" s="3" t="inlineStr">
        <is>
          <t>Calendar month (1-12) a one-time "other income" lands in (default January).</t>
        </is>
      </c>
      <c r="G74" s="6"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1</v>
      </c>
      <c r="Q74" s="3" t="inlineStr">
        <is>
          <t>MK-ST-F-052 toNum</t>
        </is>
      </c>
      <c r="R74" s="3" t="inlineStr">
        <is>
          <t>MK-ST-F-052 toNum → MK-CF-F-073 otherIncomeMonth</t>
        </is>
      </c>
      <c r="S74" s="3" t="inlineStr">
        <is>
          <t>—</t>
        </is>
      </c>
      <c r="T74" s="3" t="inlineStr">
        <is>
          <t>—</t>
        </is>
      </c>
      <c r="U74" s="3" t="inlineStr">
        <is>
          <t>ACTIVE</t>
        </is>
      </c>
      <c r="V74" s="3" t="inlineStr">
        <is>
          <t>2026-08-27</t>
        </is>
      </c>
    </row>
    <row r="75">
      <c r="A75" s="3" t="inlineStr">
        <is>
          <t>MK-CF-F-074</t>
        </is>
      </c>
      <c r="B75" s="3" t="inlineStr">
        <is>
          <t>tipsAnnual</t>
        </is>
      </c>
      <c r="C75" s="3" t="inlineStr">
        <is>
          <t>src/domain/income/onboarding.ts</t>
        </is>
      </c>
      <c r="D75" s="3" t="n">
        <v>806</v>
      </c>
      <c r="E75" s="3" t="inlineStr">
        <is>
          <t>3 · DEPENDENT</t>
        </is>
      </c>
      <c r="F75" s="3" t="inlineStr">
        <is>
          <t>Tips are part of employment income — they only count in the months the job is active, and the annual figure is prorated like salary (a temp job that ends stops the tips too).</t>
        </is>
      </c>
      <c r="G75" s="6"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13</v>
      </c>
      <c r="Q75" s="3" t="inlineStr">
        <is>
          <t>1. MK-CF-F-081 salaryActiveMonths
2. MK-ST-F-052 toNum
3. MK-CF-F-060 salaryGrossByMonth
4. MK-CF-F-176 sumMonthsOverEarners
5. MK-CF-F-177 wageGrossByMonth
6. MK-CF-F-173 earnerWages
7. MK-CF-F-132 map
8. MK-CF-F-130 enteredMonthlyRaw
9. MK-CF-F-166 hasMonthlySalaryTable
10. MK-ST-F-055 round2
11. MK-CF-F-167 salaryCalendarYear
12. MK-CF-F-172 hasWage
13. MK-CF-F-165 salaryMonths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MK-ST-F-055 round2 → MK-CF-F-177 wageGrossByMonth → MK-CF-F-060 salaryGrossByMonth → MK-CF-F-081 salaryActiveMonths → MK-CF-F-074 tipsAnnual
7. MK-CF-F-165 salaryMonths → MK-CF-F-167 salaryCalendarYear → MK-CF-F-177 wageGrossByMonth → MK-CF-F-060 salaryGrossByMonth → MK-CF-F-081 salaryActiveMonths → MK-CF-F-074 tipsAnnual
8. MK-ST-F-052 toNum → MK-CF-F-074 tipsAnnual</t>
        </is>
      </c>
      <c r="S75" s="3" t="inlineStr">
        <is>
          <t>—</t>
        </is>
      </c>
      <c r="T75" s="3" t="inlineStr">
        <is>
          <t>TIPS_A_YEAR</t>
        </is>
      </c>
      <c r="U75" s="3" t="inlineStr">
        <is>
          <t>ACTIVE</t>
        </is>
      </c>
      <c r="V75" s="3" t="inlineStr">
        <is>
          <t>2026-08-27</t>
        </is>
      </c>
    </row>
    <row r="76">
      <c r="A76" s="3" t="inlineStr">
        <is>
          <t>MK-CF-F-075</t>
        </is>
      </c>
      <c r="B76" s="3" t="inlineStr">
        <is>
          <t>retirementIncomeMonthly</t>
        </is>
      </c>
      <c r="C76" s="3" t="inlineStr">
        <is>
          <t>src/domain/income/onboarding.ts</t>
        </is>
      </c>
      <c r="D76" s="3" t="n">
        <v>845</v>
      </c>
      <c r="E76" s="3" t="inlineStr">
        <is>
          <t>2 · DISPLAYED</t>
        </is>
      </c>
      <c r="F76" s="3" t="inlineStr">
        <is>
          <t>Retirement income (Social Security, pension, withdrawals, RMDs, annuities) per month — taxable.</t>
        </is>
      </c>
      <c r="G76" s="6"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NOT FOUND — a screen calls it, but the words printed beside its answer could not be traced automatically. Needs reading.</t>
        </is>
      </c>
      <c r="M76" s="3" t="inlineStr">
        <is>
          <t>None found in this function — anything it assumes comes from the functions it depends on.</t>
        </is>
      </c>
      <c r="N76" s="3" t="inlineStr">
        <is>
          <t>Yes</t>
        </is>
      </c>
      <c r="O76" s="3" t="inlineStr">
        <is>
          <t>MK-ST-F-052 toNum</t>
        </is>
      </c>
      <c r="P76" s="3" t="n">
        <v>1</v>
      </c>
      <c r="Q76" s="3" t="inlineStr">
        <is>
          <t>MK-ST-F-052 toNum</t>
        </is>
      </c>
      <c r="R76" s="3" t="inlineStr">
        <is>
          <t>MK-ST-F-052 toNum → MK-CF-F-075 retirementIncomeMonthly</t>
        </is>
      </c>
      <c r="S76" s="3" t="inlineStr">
        <is>
          <t>MK-CF-M-023</t>
        </is>
      </c>
      <c r="T76" s="3" t="inlineStr">
        <is>
          <t>RETIREMENT_INCOME</t>
        </is>
      </c>
      <c r="U76" s="3" t="inlineStr">
        <is>
          <t>ACTIVE</t>
        </is>
      </c>
      <c r="V76" s="3" t="inlineStr">
        <is>
          <t>2026-08-27</t>
        </is>
      </c>
    </row>
    <row r="77">
      <c r="A77" s="3" t="inlineStr">
        <is>
          <t>MK-CF-F-076</t>
        </is>
      </c>
      <c r="B77" s="3" t="inlineStr">
        <is>
          <t>guaranteedOutsideStreams</t>
        </is>
      </c>
      <c r="C77" s="3" t="inlineStr">
        <is>
          <t>src/domain/income/onboarding.ts</t>
        </is>
      </c>
      <c r="D77" s="3" t="n">
        <v>887</v>
      </c>
      <c r="E77" s="3" t="inlineStr">
        <is>
          <t>2 · DISPLAYED</t>
        </is>
      </c>
      <c r="F77" s="3" t="inlineStr">
        <is>
          <t>The plan's guaranteed-income input as separate streams of OUTSIDE money only. Answers: zer</t>
        </is>
      </c>
      <c r="G77" s="6"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 Leaves some rows out of the answer — check which.</t>
        </is>
      </c>
      <c r="N77" s="3" t="inlineStr">
        <is>
          <t>Yes</t>
        </is>
      </c>
      <c r="O77" s="3" t="inlineStr">
        <is>
          <t>MK-ST-F-052 toNum</t>
        </is>
      </c>
      <c r="P77" s="3" t="n">
        <v>1</v>
      </c>
      <c r="Q77" s="3" t="inlineStr">
        <is>
          <t>MK-ST-F-052 toNum</t>
        </is>
      </c>
      <c r="R77" s="3" t="inlineStr">
        <is>
          <t>MK-ST-F-052 toNum → MK-CF-F-076 guaranteedOutsideStreams</t>
        </is>
      </c>
      <c r="S77" s="3" t="inlineStr">
        <is>
          <t>—</t>
        </is>
      </c>
      <c r="T77" s="3" t="inlineStr">
        <is>
          <t>GUARANTEED_OUTSIDE_STREAMS</t>
        </is>
      </c>
      <c r="U77" s="3" t="inlineStr">
        <is>
          <t>ACTIVE</t>
        </is>
      </c>
      <c r="V77" s="3" t="inlineStr">
        <is>
          <t>2026-08-27</t>
        </is>
      </c>
    </row>
    <row r="78">
      <c r="A78" s="3" t="inlineStr">
        <is>
          <t>MK-CF-F-077</t>
        </is>
      </c>
      <c r="B78" s="3" t="inlineStr">
        <is>
          <t>scholarshipByCalendarMonth</t>
        </is>
      </c>
      <c r="C78" s="3" t="inlineStr">
        <is>
          <t>src/domain/income/onboarding.ts</t>
        </is>
      </c>
      <c r="D78" s="3" t="n">
        <v>941</v>
      </c>
      <c r="E78" s="3" t="inlineStr">
        <is>
          <t>3 · DEPENDENT</t>
        </is>
      </c>
      <c r="F78" s="3" t="inlineStr">
        <is>
          <t>Scholarships/grants placed in the calendar months they actually land (Jan→Dec) — NOT averaged.</t>
        </is>
      </c>
      <c r="G78" s="6"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1. Uses a built-in i of 0.
2. Treats a year as twelve equal months.</t>
        </is>
      </c>
      <c r="N78" s="3" t="inlineStr">
        <is>
          <t>Yes</t>
        </is>
      </c>
      <c r="O78" s="3" t="inlineStr">
        <is>
          <t>MK-ST-F-052 toNum</t>
        </is>
      </c>
      <c r="P78" s="3" t="n">
        <v>1</v>
      </c>
      <c r="Q78" s="3" t="inlineStr">
        <is>
          <t>MK-ST-F-052 toNum</t>
        </is>
      </c>
      <c r="R78" s="3" t="inlineStr">
        <is>
          <t>MK-ST-F-052 toNum → MK-CF-F-077 scholarshipByCalendarMonth</t>
        </is>
      </c>
      <c r="S78" s="3" t="inlineStr">
        <is>
          <t>—</t>
        </is>
      </c>
      <c r="T78" s="3" t="inlineStr">
        <is>
          <t>—</t>
        </is>
      </c>
      <c r="U78" s="3" t="inlineStr">
        <is>
          <t>ACTIVE</t>
        </is>
      </c>
      <c r="V78" s="3" t="inlineStr">
        <is>
          <t>2026-08-27</t>
        </is>
      </c>
    </row>
    <row r="79">
      <c r="A79" s="3" t="inlineStr">
        <is>
          <t>MK-CF-F-078</t>
        </is>
      </c>
      <c r="B79" s="3" t="inlineStr">
        <is>
          <t>employerMatchMonthly</t>
        </is>
      </c>
      <c r="C79" s="3" t="inlineStr">
        <is>
          <t>src/domain/income/onboarding.ts</t>
        </is>
      </c>
      <c r="D79" s="3" t="n">
        <v>983</v>
      </c>
      <c r="E79" s="3" t="inlineStr">
        <is>
          <t>2 · DISPLAYED</t>
        </is>
      </c>
      <c r="F79" s="3" t="inlineStr">
        <is>
          <t>Employer match resolved to $/month.</t>
        </is>
      </c>
      <c r="G79" s="6"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MK-CF-F-175 sumOverEarners</t>
        </is>
      </c>
      <c r="P79" s="3" t="n">
        <v>3</v>
      </c>
      <c r="Q79" s="3" t="inlineStr">
        <is>
          <t>1. MK-CF-F-175 sumOverEarners
2. MK-CF-F-173 earnerWages
3. MK-CF-F-172 hasWage</t>
        </is>
      </c>
      <c r="R79" s="3" t="inlineStr">
        <is>
          <t>MK-CF-F-172 hasWage → MK-CF-F-173 earnerWages → MK-CF-F-175 sumOverEarners → MK-CF-F-078 employerMatchMonthly</t>
        </is>
      </c>
      <c r="S79" s="3" t="inlineStr">
        <is>
          <t>MK-MN-M-014</t>
        </is>
      </c>
      <c r="T79" s="3" t="inlineStr">
        <is>
          <t>EMPLOYER_MATCH</t>
        </is>
      </c>
      <c r="U79" s="3" t="inlineStr">
        <is>
          <t>ACTIVE</t>
        </is>
      </c>
      <c r="V79" s="3" t="inlineStr">
        <is>
          <t>2026-08-27</t>
        </is>
      </c>
    </row>
    <row r="80">
      <c r="A80" s="3" t="inlineStr">
        <is>
          <t>MK-CF-F-079</t>
        </is>
      </c>
      <c r="B80" s="3" t="inlineStr">
        <is>
          <t>incomeFromOnboarding</t>
        </is>
      </c>
      <c r="C80" s="3" t="inlineStr">
        <is>
          <t>src/domain/income/onboarding.ts</t>
        </is>
      </c>
      <c r="D80" s="3" t="n">
        <v>1050</v>
      </c>
      <c r="E80" s="3" t="inlineStr">
        <is>
          <t>2 · DISPLAYED</t>
        </is>
      </c>
      <c r="F80" s="3" t="inlineStr">
        <is>
          <t>NOT DETERMINED — the code carries no note saying what this is for, and it has no row in the old inventory. Needs reading.</t>
        </is>
      </c>
      <c r="G80" s="6"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1. Treats a year as twelve equal months.
2. Leaves some rows out of the answer — check which.</t>
        </is>
      </c>
      <c r="N80" s="3" t="inlineStr">
        <is>
          <t>Yes</t>
        </is>
      </c>
      <c r="O80" s="3" t="inlineStr">
        <is>
          <t>1. MK-CF-F-070 benefitAnnual
2. MK-CF-F-072 currentRetirementIncomeMonthly
3. MK-CF-F-078 employerMatchMonthly
4. MK-CF-F-065 equityVestWeights
5. MK-CF-F-132 map
6. MK-ST-F-043 newEntityId
7. MK-CF-F-067 rentalList
8. MK-CF-F-066 rsuAnnual
9. MK-CF-F-082 salaryAnnual
10. MK-CF-F-074 tipsAnnual
11. MK-ST-F-052 toNum</t>
        </is>
      </c>
      <c r="P80" s="3" t="n">
        <v>27</v>
      </c>
      <c r="Q80" s="3" t="inlineStr">
        <is>
          <t>1. MK-CF-F-070 benefitAnnual
2. MK-CF-F-072 currentRetirementIncomeMonthly
3. MK-CF-F-078 employerMatchMonthly
4. MK-CF-F-065 equityVestWeights
5. MK-CF-F-132 map
6. MK-ST-F-043 newEntityId
7. MK-CF-F-067 rentalList
8. MK-CF-F-066 rsuAnnual
9. MK-CF-F-082 salaryAnnual
10. MK-CF-F-074 tipsAnnual
11. MK-ST-F-052 toNum
12. MK-CF-F-069 benefitActiveMonths
13. MK-CF-F-075 retirementIncomeMonthly
14. MK-CF-F-175 sumOverEarners
15. MK-CF-F-062 equityRowValue
16. MK-CF-F-063 rowVestYear
17. MK-CF-F-060 salaryGrossByMonth
18. MK-CF-F-081 salaryActiveMonths
19. MK-CF-F-173 earnerWages
20. MK-CF-F-176 sumMonthsOverEarners
21. MK-CF-F-177 wageGrossByMonth
22. MK-CF-F-172 hasWage
23. MK-CF-F-130 enteredMonthlyRaw
24. MK-CF-F-166 hasMonthlySalaryTable
25. MK-ST-F-055 round2
26. MK-CF-F-167 salaryCalendarYear
27. MK-CF-F-165 salaryMonths</t>
        </is>
      </c>
      <c r="R80" s="3" t="inlineStr">
        <is>
          <t>1. MK-CF-F-069 benefitActiveMonths → MK-CF-F-070 benefitAnnual → MK-CF-F-079 incomeFromOnboarding
2. MK-ST-F-052 toNum → MK-CF-F-070 benefitAnnual → MK-CF-F-079 incomeFromOnboarding
3. MK-ST-F-052 toNum → MK-CF-F-075 retirementIncomeMonthly → MK-CF-F-072 currentRetirementIncomeMonthly → MK-CF-F-079 incomeFromOnboarding
4. MK-CF-F-172 hasWage → MK-CF-F-173 earnerWages → MK-CF-F-175 sumOverEarners → MK-CF-F-078 employerMatchMonthly → MK-CF-F-079 incomeFromOnboarding
5. MK-ST-F-052 toNum → MK-CF-F-062 equityRowValue → MK-CF-F-065 equityVestWeights → MK-CF-F-079 incomeFromOnboarding
6. MK-CF-F-132 map → MK-CF-F-065 equityVestWeights → MK-CF-F-079 incomeFromOnboarding
7. MK-CF-F-132 map → MK-CF-F-079 incomeFromOnboarding
8. MK-ST-F-043 newEntityId → MK-CF-F-079 incomeFromOnboarding
9. … and 5 more paths</t>
        </is>
      </c>
      <c r="S80" s="3" t="inlineStr">
        <is>
          <t>—</t>
        </is>
      </c>
      <c r="T80" s="3" t="inlineStr">
        <is>
          <t>—</t>
        </is>
      </c>
      <c r="U80" s="3" t="inlineStr">
        <is>
          <t>ACTIVE</t>
        </is>
      </c>
      <c r="V80" s="3" t="inlineStr">
        <is>
          <t>2026-08-27</t>
        </is>
      </c>
    </row>
    <row r="81">
      <c r="A81" s="3" t="inlineStr">
        <is>
          <t>MK-CF-F-080</t>
        </is>
      </c>
      <c r="B81" s="3" t="inlineStr">
        <is>
          <t>jobActiveMonth</t>
        </is>
      </c>
      <c r="C81" s="3" t="inlineStr">
        <is>
          <t>src/domain/income/onboarding.ts</t>
        </is>
      </c>
      <c r="D81" s="3" t="n">
        <v>1122</v>
      </c>
      <c r="E81" s="3" t="inlineStr">
        <is>
          <t>3 · DEPENDENT (feeds an action only)</t>
        </is>
      </c>
      <c r="F81" s="3" t="inlineStr">
        <is>
          <t>Is base salary present in calendar month i (0-11)?</t>
        </is>
      </c>
      <c r="G81" s="6"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12</v>
      </c>
      <c r="Q81" s="3" t="inlineStr">
        <is>
          <t>1. MK-CF-F-060 salaryGrossByMonth
2. MK-CF-F-176 sumMonthsOverEarners
3. MK-CF-F-177 wageGrossByMonth
4. MK-CF-F-173 earnerWages
5. MK-CF-F-132 map
6. MK-CF-F-130 enteredMonthlyRaw
7. MK-CF-F-166 hasMonthlySalaryTable
8. MK-ST-F-055 round2
9. MK-CF-F-167 salaryCalendarYear
10. MK-CF-F-172 hasWage
11. MK-ST-F-052 toNum
12. MK-CF-F-165 salaryMonths</t>
        </is>
      </c>
      <c r="R81" s="3" t="inlineStr">
        <is>
          <t>1. MK-CF-F-172 hasWage → MK-CF-F-173 earnerWages → MK-CF-F-176 sumMonthsOverEarners → MK-CF-F-060 salaryGrossByMonth → MK-CF-F-080 jobActiveMonth
2. MK-CF-F-132 map → MK-CF-F-176 sumMonthsOverEarners → MK-CF-F-060 salaryGrossByMonth → MK-CF-F-080 jobActiveMonth
3.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MK-ST-F-055 round2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row>
    <row r="82">
      <c r="A82" s="3" t="inlineStr">
        <is>
          <t>MK-CF-F-081</t>
        </is>
      </c>
      <c r="B82" s="3" t="inlineStr">
        <is>
          <t>salaryActiveMonths</t>
        </is>
      </c>
      <c r="C82" s="3" t="inlineStr">
        <is>
          <t>src/domain/income/onboarding.ts</t>
        </is>
      </c>
      <c r="D82" s="3" t="n">
        <v>1157</v>
      </c>
      <c r="E82" s="3" t="inlineStr">
        <is>
          <t>3 · DEPENDENT</t>
        </is>
      </c>
      <c r="F82" s="3" t="inlineStr">
        <is>
          <t>How many months of the year you draw a salary.</t>
        </is>
      </c>
      <c r="G82" s="6"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1. Uses today's date from the device clock, so the answer changes by itself overnight.
2. Leaves some rows out of the answer — check which.</t>
        </is>
      </c>
      <c r="N82" s="3" t="inlineStr">
        <is>
          <t>Yes</t>
        </is>
      </c>
      <c r="O82" s="3" t="inlineStr">
        <is>
          <t>MK-CF-F-060 salaryGrossByMonth</t>
        </is>
      </c>
      <c r="P82" s="3" t="n">
        <v>12</v>
      </c>
      <c r="Q82" s="3" t="inlineStr">
        <is>
          <t>1. MK-CF-F-060 salaryGrossByMonth
2. MK-CF-F-176 sumMonthsOverEarners
3. MK-CF-F-177 wageGrossByMonth
4. MK-CF-F-173 earnerWages
5. MK-CF-F-132 map
6. MK-CF-F-130 enteredMonthlyRaw
7. MK-CF-F-166 hasMonthlySalaryTable
8. MK-ST-F-055 round2
9. MK-CF-F-167 salaryCalendarYear
10. MK-CF-F-172 hasWage
11. MK-ST-F-052 toNum
12. MK-CF-F-165 salaryMonths</t>
        </is>
      </c>
      <c r="R82" s="3" t="inlineStr">
        <is>
          <t>1. MK-CF-F-172 hasWage → MK-CF-F-173 earnerWages → MK-CF-F-176 sumMonthsOverEarners → MK-CF-F-060 salaryGrossByMonth → MK-CF-F-081 salaryActiveMonths
2. MK-CF-F-132 map → MK-CF-F-176 sumMonthsOverEarners → MK-CF-F-060 salaryGrossByMonth → MK-CF-F-081 salaryActiveMonths
3.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MK-ST-F-055 round2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row>
    <row r="83">
      <c r="A83" s="3" t="inlineStr">
        <is>
          <t>MK-CF-F-082</t>
        </is>
      </c>
      <c r="B83" s="3" t="inlineStr">
        <is>
          <t>salaryAnnual</t>
        </is>
      </c>
      <c r="C83" s="3" t="inlineStr">
        <is>
          <t>src/domain/income/onboarding.ts</t>
        </is>
      </c>
      <c r="D83" s="3" t="n">
        <v>1194</v>
      </c>
      <c r="E83" s="3" t="inlineStr">
        <is>
          <t>2 · DISPLAYED</t>
        </is>
      </c>
      <c r="F83" s="3" t="inlineStr">
        <is>
          <t>Salary income for the year = sum of the per-month gross salary.</t>
        </is>
      </c>
      <c r="G83" s="6"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12</v>
      </c>
      <c r="Q83" s="3" t="inlineStr">
        <is>
          <t>1. MK-CF-F-060 salaryGrossByMonth
2. MK-CF-F-176 sumMonthsOverEarners
3. MK-CF-F-177 wageGrossByMonth
4. MK-CF-F-173 earnerWages
5. MK-CF-F-132 map
6. MK-CF-F-130 enteredMonthlyRaw
7. MK-CF-F-166 hasMonthlySalaryTable
8. MK-ST-F-055 round2
9. MK-CF-F-167 salaryCalendarYear
10. MK-CF-F-172 hasWage
11. MK-ST-F-052 toNum
12. MK-CF-F-165 salaryMonths</t>
        </is>
      </c>
      <c r="R83" s="3" t="inlineStr">
        <is>
          <t>1. MK-CF-F-172 hasWage → MK-CF-F-173 earnerWages → MK-CF-F-176 sumMonthsOverEarners → MK-CF-F-060 salaryGrossByMonth → MK-CF-F-082 salaryAnnual
2. MK-CF-F-132 map → MK-CF-F-176 sumMonthsOverEarners → MK-CF-F-060 salaryGrossByMonth → MK-CF-F-082 salaryAnnual
3.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MK-ST-F-055 round2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row>
    <row r="84">
      <c r="A84" s="3" t="inlineStr">
        <is>
          <t>MK-CF-F-083</t>
        </is>
      </c>
      <c r="B84" s="3" t="inlineStr">
        <is>
          <t>totalGrossAnnual</t>
        </is>
      </c>
      <c r="C84" s="3" t="inlineStr">
        <is>
          <t>src/domain/income/onboarding.ts</t>
        </is>
      </c>
      <c r="D84" s="3" t="n">
        <v>1227</v>
      </c>
      <c r="E84" s="3" t="inlineStr">
        <is>
          <t>2 · DISPLAYED</t>
        </is>
      </c>
      <c r="F84" s="3" t="inlineStr">
        <is>
          <t>Total annual income across every inflow (salary for months worked + bonus + signing + equity + net rental + self-employment/investment/benefits/support/scholarship/other).</t>
        </is>
      </c>
      <c r="G84" s="6"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 mo" — on the setup questions, which appear on more than one screen
3. "Pay off over (years)" — on the setup questions, which appear on more than one screen
4. "STUDENT LOAN OUTLOOK" — on the Goals screen, under "STUDENT LOAN OUTLOOK"
5. "Total income / yr"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25</v>
      </c>
      <c r="Q84" s="3" t="inlineStr">
        <is>
          <t>1. MK-CF-F-072 currentRetirementIncomeMonthly
2. MK-CF-F-071 extraIncome
3. MK-CF-F-068 rentalNetAnnual
4. MK-CF-F-066 rsuAnnual
5. MK-CF-F-082 salaryAnnual
6. MK-CF-F-074 tipsAnnual
7. MK-ST-F-052 toNum
8. MK-CF-F-075 retirementIncomeMonthly
9. MK-CF-F-070 benefitAnnual
10. MK-ST-F-055 round2
11. MK-CF-F-067 rentalList
12. MK-CF-F-062 equityRowValue
13. MK-CF-F-132 map
14. MK-CF-F-063 rowVestYear
15. MK-CF-F-060 salaryGrossByMonth
16. MK-CF-F-081 salaryActiveMonths
17. MK-CF-F-069 benefitActiveMonths
18. MK-CF-F-176 sumMonthsOverEarners
19. MK-CF-F-177 wageGrossByMonth
20. MK-CF-F-173 earnerWages
21. MK-CF-F-130 enteredMonthlyRaw
22. MK-CF-F-166 hasMonthlySalaryTable
23. MK-CF-F-167 salaryCalendarYear
24. MK-CF-F-172 hasWage
25. MK-CF-F-165 salaryMonths</t>
        </is>
      </c>
      <c r="R84" s="3" t="inlineStr">
        <is>
          <t>1. MK-ST-F-052 toNum → MK-CF-F-075 retirementIncomeMonthly → MK-CF-F-072 currentRetirementIncomeMonthly → MK-CF-F-083 totalGrossAnnual
2. MK-CF-F-069 benefitActiveMonths → MK-CF-F-070 benefitAnnual → MK-CF-F-071 extraIncome → MK-CF-F-083 totalGrossAnnual
3. MK-ST-F-052 toNum → MK-CF-F-070 benefitAnnual → MK-CF-F-071 extraIncome → MK-CF-F-083 totalGrossAnnual
4. MK-ST-F-055 round2 → MK-CF-F-071 extraIncome → MK-CF-F-083 totalGrossAnnual
5. MK-ST-F-052 toNum → MK-CF-F-071 extraIncome → MK-CF-F-083 totalGrossAnnual
6. MK-CF-F-132 map → MK-CF-F-067 rentalList → MK-CF-F-068 rentalNetAnnual → MK-CF-F-083 totalGrossAnnual
7. MK-ST-F-052 toNum → MK-CF-F-067 rentalList → MK-CF-F-068 rentalNetAnnual → MK-CF-F-083 totalGrossAnnual
8. MK-ST-F-052 toNum → MK-CF-F-062 equityRowValue → MK-CF-F-066 rsuAnnual → MK-CF-F-083 totalGrossAnnual
9. … and 5 more paths</t>
        </is>
      </c>
      <c r="S84" s="3" t="inlineStr">
        <is>
          <t>MK-CF-M-006 · MK-CF-M-007 · MK-CF-M-008 · MK-CF-M-027 · MK-MN-M-011 · MK-MN-M-012 · MK-MN-M-013</t>
        </is>
      </c>
      <c r="T84" s="3" t="inlineStr">
        <is>
          <t>TOTAL_INCOME</t>
        </is>
      </c>
      <c r="U84" s="3" t="inlineStr">
        <is>
          <t>ACTIVE</t>
        </is>
      </c>
      <c r="V84" s="3" t="inlineStr">
        <is>
          <t>2026-08-27</t>
        </is>
      </c>
    </row>
    <row r="85">
      <c r="A85" s="3" t="inlineStr">
        <is>
          <t>MK-CF-F-084</t>
        </is>
      </c>
      <c r="B85" s="3" t="inlineStr">
        <is>
          <t>taxableAnnual</t>
        </is>
      </c>
      <c r="C85" s="3" t="inlineStr">
        <is>
          <t>src/domain/income/onboarding.ts</t>
        </is>
      </c>
      <c r="D85" s="3" t="n">
        <v>1269</v>
      </c>
      <c r="E85" s="3" t="inlineStr">
        <is>
          <t>2 · DISPLAYED</t>
        </is>
      </c>
      <c r="F85" s="3" t="inlineStr">
        <is>
          <t>Taxable annual income (excludes non-taxable benefits/support/scholarships) — the base for tax estimates.</t>
        </is>
      </c>
      <c r="G85" s="6"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spending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25</v>
      </c>
      <c r="Q85" s="3" t="inlineStr">
        <is>
          <t>1. MK-CF-F-072 currentRetirementIncomeMonthly
2. MK-CF-F-071 extraIncome
3. MK-CF-F-068 rentalNetAnnual
4. MK-CF-F-066 rsuAnnual
5. MK-CF-F-082 salaryAnnual
6. MK-CF-F-074 tipsAnnual
7. MK-ST-F-052 toNum
8. MK-CF-F-075 retirementIncomeMonthly
9. MK-CF-F-070 benefitAnnual
10. MK-ST-F-055 round2
11. MK-CF-F-067 rentalList
12. MK-CF-F-062 equityRowValue
13. MK-CF-F-132 map
14. MK-CF-F-063 rowVestYear
15. MK-CF-F-060 salaryGrossByMonth
16. MK-CF-F-081 salaryActiveMonths
17. MK-CF-F-069 benefitActiveMonths
18. MK-CF-F-176 sumMonthsOverEarners
19. MK-CF-F-177 wageGrossByMonth
20. MK-CF-F-173 earnerWages
21. MK-CF-F-130 enteredMonthlyRaw
22. MK-CF-F-166 hasMonthlySalaryTable
23. MK-CF-F-167 salaryCalendarYear
24. MK-CF-F-172 hasWage
25. MK-CF-F-165 salaryMonths</t>
        </is>
      </c>
      <c r="R85" s="3" t="inlineStr">
        <is>
          <t>1. MK-ST-F-052 toNum → MK-CF-F-075 retirementIncomeMonthly → MK-CF-F-072 currentRetirementIncomeMonthly → MK-CF-F-084 taxableAnnual
2. MK-CF-F-069 benefitActiveMonths → MK-CF-F-070 benefitAnnual → MK-CF-F-071 extraIncome → MK-CF-F-084 taxableAnnual
3. MK-ST-F-052 toNum → MK-CF-F-070 benefitAnnual → MK-CF-F-071 extraIncome → MK-CF-F-084 taxableAnnual
4. MK-ST-F-055 round2 → MK-CF-F-071 extraIncome → MK-CF-F-084 taxableAnnual
5. MK-ST-F-052 toNum → MK-CF-F-071 extraIncome → MK-CF-F-084 taxableAnnual
6. MK-CF-F-132 map → MK-CF-F-067 rentalList → MK-CF-F-068 rentalNetAnnual → MK-CF-F-084 taxableAnnual
7. MK-ST-F-052 toNum → MK-CF-F-067 rentalList → MK-CF-F-068 rentalNetAnnual → MK-CF-F-084 taxableAnnual
8. MK-ST-F-052 toNum → MK-CF-F-062 equityRowValue → MK-CF-F-066 rsuAnnual → MK-CF-F-084 taxableAnnual
9. … and 5 more paths</t>
        </is>
      </c>
      <c r="S85" s="3" t="inlineStr">
        <is>
          <t>—</t>
        </is>
      </c>
      <c r="T85" s="3" t="inlineStr">
        <is>
          <t>—</t>
        </is>
      </c>
      <c r="U85" s="3" t="inlineStr">
        <is>
          <t>ACTIVE</t>
        </is>
      </c>
      <c r="V85" s="3" t="inlineStr">
        <is>
          <t>2026-08-27</t>
        </is>
      </c>
    </row>
    <row r="86">
      <c r="A86" s="3" t="inlineStr">
        <is>
          <t>MK-CF-F-085</t>
        </is>
      </c>
      <c r="B86" s="3" t="inlineStr">
        <is>
          <t>filingStatusOf</t>
        </is>
      </c>
      <c r="C86" s="3" t="inlineStr">
        <is>
          <t>src/domain/income/onboarding.ts</t>
        </is>
      </c>
      <c r="D86" s="3" t="n">
        <v>1313</v>
      </c>
      <c r="E86" s="3" t="inlineStr">
        <is>
          <t>2 · DISPLAYED</t>
        </is>
      </c>
      <c r="F86" s="3" t="inlineStr">
        <is>
          <t>Effective tax rate in use: the user's manual rate, else the IRS-schedule estimate on taxable income.</t>
        </is>
      </c>
      <c r="G86" s="6" t="inlineStr">
        <is>
          <t>a = op (or none when missing)
who = who earns
the answer:
'married'   if has partner = 'yes' (or who = 'both' (or who = 'partner' when missing or zero) when missing or zero)
'single'   otherwise
v = filing status</t>
        </is>
      </c>
      <c r="H86" s="3" t="inlineStr">
        <is>
          <t>A is op (or none — when missing). Who is who earns. The answer is 'married' — when has partner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2026-09-02</t>
        </is>
      </c>
    </row>
    <row r="87">
      <c r="A87" s="3" t="inlineStr">
        <is>
          <t>MK-CF-F-086</t>
        </is>
      </c>
      <c r="B87" s="3" t="inlineStr">
        <is>
          <t>stateRateOf</t>
        </is>
      </c>
      <c r="C87" s="3" t="inlineStr">
        <is>
          <t>src/domain/income/onboarding.ts</t>
        </is>
      </c>
      <c r="D87" s="3" t="n">
        <v>1359</v>
      </c>
      <c r="E87" s="3" t="inlineStr">
        <is>
          <t>2 · DISPLAYED</t>
        </is>
      </c>
      <c r="F87" s="3" t="inlineStr">
        <is>
          <t>What state tax rate applies?</t>
        </is>
      </c>
      <c r="G87" s="6"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1</v>
      </c>
      <c r="Q87" s="3" t="inlineStr">
        <is>
          <t>MK-ST-F-052 toNum</t>
        </is>
      </c>
      <c r="R87" s="3" t="inlineStr">
        <is>
          <t>MK-ST-F-052 toNum → MK-CF-F-086 stateRateOf</t>
        </is>
      </c>
      <c r="S87" s="3" t="inlineStr">
        <is>
          <t>—</t>
        </is>
      </c>
      <c r="T87" s="3" t="inlineStr">
        <is>
          <t>STATE_TAX_RATE</t>
        </is>
      </c>
      <c r="U87" s="3" t="inlineStr">
        <is>
          <t>ACTIVE</t>
        </is>
      </c>
      <c r="V87" s="3" t="inlineStr">
        <is>
          <t>2026-08-27</t>
        </is>
      </c>
    </row>
    <row r="88">
      <c r="A88" s="3" t="inlineStr">
        <is>
          <t>MK-CF-F-087</t>
        </is>
      </c>
      <c r="B88" s="3" t="inlineStr">
        <is>
          <t>monthlyTaxRates</t>
        </is>
      </c>
      <c r="C88" s="3" t="inlineStr">
        <is>
          <t>src/domain/income/onboarding.ts</t>
        </is>
      </c>
      <c r="D88" s="3" t="n">
        <v>1407</v>
      </c>
      <c r="E88" s="3" t="inlineStr">
        <is>
          <t>2 · DISPLAYED</t>
        </is>
      </c>
      <c r="F88" s="3" t="inlineStr">
        <is>
          <t>PRD F2#11 — the ONE per-calendar-month effective tax-rate vector (Jan→Dec).</t>
        </is>
      </c>
      <c r="G88" s="6" t="inlineStr">
        <is>
          <t>a = op (or none when missing)
flat = effective rate(op)
12 slots, each flat   when rate in force(op).mine
taxable = taxable by calendar month(op, now)
total = Σ over taxable of (each)
12 slots, each flat   when total ≤ 0
tax = progressive monthly tax(taxable, filing status of(op), state rate of(op), over65 count of(op))
the answer:
for each of taxable: min(0.6, max(0, tax[i] ÷ each))   if each &gt; 0
flat   otherwise</t>
        </is>
      </c>
      <c r="H88" s="3" t="inlineStr">
        <is>
          <t>A is op (or none — when missing). Flat is effective rate(op). When rate in force(op).mine, it answers 12 slots, each flat. Taxable is taxable by calendar month(op, now). Total: the each added up across taxable. When total is at most 0, it answers 12 slots, each flat. Tax is progressive monthly tax(taxable, filing status of(op), state rate of(op), over65 count of(op)). The answer is for each of taxable: the smaller of 0.6 and tax[i] divided by each, never below zero — when each &gt; 0; flat — otherwise.</t>
        </is>
      </c>
      <c r="I88" s="3" t="inlineStr">
        <is>
          <t>PARTLY READ — some of the code is still showing through; needs a hand pass</t>
        </is>
      </c>
      <c r="J88" s="3" t="inlineStr">
        <is>
          <t>1. op: OnboardingProfile | null
2. now: Date = new Date()</t>
        </is>
      </c>
      <c r="K88" s="3" t="inlineStr">
        <is>
          <t>number[]</t>
        </is>
      </c>
      <c r="L88" s="3" t="inlineStr">
        <is>
          <t>NOT FOUND — a screen calls it, but the words printed beside its answer could not be traced automatically. Needs reading.</t>
        </is>
      </c>
      <c r="M88" s="3" t="inlineStr">
        <is>
          <t>· Uses today's date from the device clock, so the answer changes by itself overnight.</t>
        </is>
      </c>
      <c r="N88" s="3" t="inlineStr">
        <is>
          <t>Yes</t>
        </is>
      </c>
      <c r="O88" s="3" t="inlineStr">
        <is>
          <t>1. MK-CF-F-090 effectiveRate
2. MK-CF-F-085 filingStatusOf
3. MK-CF-F-132 map
4. MK-CF-F-089 over65CountOf
5. MK-CF-F-098 progressiveMonthlyTax
6. MK-CF-F-181 rateInForce
7. MK-CF-F-086 stateRateOf
8. MK-CF-F-088 taxableByCalendarMonth</t>
        </is>
      </c>
      <c r="P88" s="3" t="n">
        <v>40</v>
      </c>
      <c r="Q88" s="3" t="inlineStr">
        <is>
          <t>1. MK-CF-F-090 effectiveRate
2. MK-CF-F-085 filingStatusOf
3. MK-CF-F-132 map
4. MK-CF-F-089 over65CountOf
5. MK-CF-F-098 progressiveMonthlyTax
6. MK-CF-F-181 rateInForce
7. MK-CF-F-086 stateRateOf
8. MK-CF-F-088 taxableByCalendarMonth
9. MK-ST-F-052 toNum
10. MK-CF-F-101 taxOwedFor
11. MK-CF-F-100 taxableIncomeFor
12. MK-CF-F-173 earnerWages
13. MK-CF-F-102 effectiveRateOnGrossFor
14. MK-CF-F-180 enteredLandsAnnual
15. MK-CF-F-082 salaryAnnual
16. MK-CF-F-084 taxableAnnual
17. MK-CF-F-072 currentRetirementIncomeMonthly
18. MK-CF-F-065 equityVestWeights
19. MK-CF-F-071 extraIncome
20. MK-CF-F-073 otherIncomeMonth
21. MK-CF-F-068 rentalNetAnnual
22. MK-CF-F-066 rsuAnnual
23. MK-CF-F-060 salaryGrossByMonth
24. MK-CF-F-099 deductionFor
25. MK-CF-F-172 hasWage
26. MK-ST-F-055 round2
27. MK-CF-F-074 tipsAnnual
28. MK-CF-F-075 retirementIncomeMonthly
29. MK-CF-F-062 equityRowValue
30. MK-CF-F-070 benefitAnnual
31. MK-CF-F-067 rentalList
32. MK-CF-F-063 rowVestYear
33. MK-CF-F-176 sumMonthsOverEarners
34. MK-CF-F-177 wageGrossByMonth
35. MK-CF-F-081 salaryActiveMonths
36. MK-CF-F-069 benefitActiveMonths
37. MK-CF-F-130 enteredMonthlyRaw
38. MK-CF-F-166 hasMonthlySalaryTable
39. MK-CF-F-167 salaryCalendarYear
40. MK-CF-F-165 salaryMonths</t>
        </is>
      </c>
      <c r="R88" s="3" t="inlineStr">
        <is>
          <t>1. MK-CF-F-172 hasWage → MK-CF-F-173 earnerWages → MK-CF-F-181 rateInForce → MK-CF-F-090 effectiveRate → MK-CF-F-087 monthlyTaxRates
2. MK-CF-F-100 taxableIncomeFor → MK-CF-F-101 taxOwedFor → MK-CF-F-102 effectiveRateOnGrossFor → MK-CF-F-181 rateInForce → MK-CF-F-090 effectiveRate → MK-CF-F-087 monthlyTaxRates
3. MK-CF-F-172 hasWage → MK-CF-F-173 earnerWages → MK-CF-F-180 enteredLandsAnnual → MK-CF-F-181 rateInForce → MK-CF-F-090 effectiveRate → MK-CF-F-087 monthlyTaxRates
4. MK-ST-F-055 round2 → MK-CF-F-180 enteredLandsAnnual → MK-CF-F-181 rateInForce → MK-CF-F-090 effectiveRate → MK-CF-F-087 monthlyTaxRates
5. MK-ST-F-052 toNum → MK-CF-F-180 enteredLandsAnnual → MK-CF-F-181 rateInForce → MK-CF-F-090 effectiveRate → MK-CF-F-087 monthlyTaxRates
6. MK-CF-F-085 filingStatusOf → MK-CF-F-181 rateInForce → MK-CF-F-090 effectiveRate → MK-CF-F-087 monthlyTaxRates
7. MK-ST-F-052 toNum → MK-CF-F-089 over65CountOf → MK-CF-F-181 rateInForce → MK-CF-F-090 effectiveRate → MK-CF-F-087 monthlyTaxRates
8. MK-CF-F-176 sumMonthsOverEarners → MK-CF-F-060 salaryGrossByMonth → MK-CF-F-082 salaryAnnual → MK-CF-F-181 rateInForce → MK-CF-F-090 effectiveRate → MK-CF-F-087 monthlyTaxRates
9. … and 5 more paths</t>
        </is>
      </c>
      <c r="S88" s="3" t="inlineStr">
        <is>
          <t>—</t>
        </is>
      </c>
      <c r="T88" s="3" t="inlineStr">
        <is>
          <t>—</t>
        </is>
      </c>
      <c r="U88" s="3" t="inlineStr">
        <is>
          <t>ACTIVE</t>
        </is>
      </c>
      <c r="V88" s="3" t="inlineStr">
        <is>
          <t>2026-08-28</t>
        </is>
      </c>
    </row>
    <row r="89">
      <c r="A89" s="3" t="inlineStr">
        <is>
          <t>MK-CF-F-088</t>
        </is>
      </c>
      <c r="B89" s="3" t="inlineStr">
        <is>
          <t>taxableByCalendarMonth</t>
        </is>
      </c>
      <c r="C89" s="3" t="inlineStr">
        <is>
          <t>src/domain/income/onboarding.ts</t>
        </is>
      </c>
      <c r="D89" s="3" t="n">
        <v>1472</v>
      </c>
      <c r="E89" s="3" t="inlineStr">
        <is>
          <t>3 · DEPENDENT</t>
        </is>
      </c>
      <c r="F89" s="3" t="inlineStr">
        <is>
          <t>The calendar-year TAXABLE profile (Jan→Dec) — the same placement rules incomeMonthlyGrid uses, extracted so the rate vector and the grid can never drift apart.</t>
        </is>
      </c>
      <c r="G89" s="6"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Treats a year as twelve equal months.
2. Uses today's date from the device clock, so the answer changes by itself overnight.</t>
        </is>
      </c>
      <c r="N89" s="3" t="inlineStr">
        <is>
          <t>Yes</t>
        </is>
      </c>
      <c r="O89" s="3" t="inlineStr">
        <is>
          <t>1. MK-CF-F-072 currentRetirementIncomeMonthly
2. MK-CF-F-065 equityVestWeights
3. MK-CF-F-071 extraIncome
4. MK-CF-F-132 map
5. MK-CF-F-073 otherIncomeMonth
6. MK-CF-F-068 rentalNetAnnual
7. MK-CF-F-066 rsuAnnual
8. MK-CF-F-060 salaryGrossByMonth
9. MK-ST-F-052 toNum</t>
        </is>
      </c>
      <c r="P89" s="3" t="n">
        <v>24</v>
      </c>
      <c r="Q89" s="3" t="inlineStr">
        <is>
          <t>1. MK-CF-F-072 currentRetirementIncomeMonthly
2. MK-CF-F-065 equityVestWeights
3. MK-CF-F-071 extraIncome
4. MK-CF-F-132 map
5. MK-CF-F-073 otherIncomeMonth
6. MK-CF-F-068 rentalNetAnnual
7. MK-CF-F-066 rsuAnnual
8. MK-CF-F-060 salaryGrossByMonth
9. MK-ST-F-052 toNum
10. MK-CF-F-075 retirementIncomeMonthly
11. MK-CF-F-062 equityRowValue
12. MK-CF-F-070 benefitAnnual
13. MK-ST-F-055 round2
14. MK-CF-F-067 rentalList
15. MK-CF-F-063 rowVestYear
16. MK-CF-F-176 sumMonthsOverEarners
17. MK-CF-F-177 wageGrossByMonth
18. MK-CF-F-069 benefitActiveMonths
19. MK-CF-F-173 earnerWages
20. MK-CF-F-130 enteredMonthlyRaw
21. MK-CF-F-166 hasMonthlySalaryTable
22. MK-CF-F-167 salaryCalendarYear
23. MK-CF-F-172 hasWage
24. MK-CF-F-165 salaryMonths</t>
        </is>
      </c>
      <c r="R89" s="3" t="inlineStr">
        <is>
          <t>1. MK-ST-F-052 toNum → MK-CF-F-075 retirementIncomeMonthly → MK-CF-F-072 currentRetirementIncomeMonthly → MK-CF-F-088 taxableByCalendarMonth
2.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MK-ST-F-052 toNum → MK-CF-F-070 benefitAnnual → MK-CF-F-071 extraIncome → MK-CF-F-088 taxableByCalendarMonth
6. MK-ST-F-055 round2 → MK-CF-F-071 extraIncome → MK-CF-F-088 taxableByCalendarMonth
7. MK-ST-F-052 toNum → MK-CF-F-071 extraIncome → MK-CF-F-088 taxableByCalendarMonth
8. MK-CF-F-132 map → MK-CF-F-088 taxableByCalendarMonth
9. … and 5 more paths</t>
        </is>
      </c>
      <c r="S89" s="3" t="inlineStr">
        <is>
          <t>—</t>
        </is>
      </c>
      <c r="T89" s="3" t="inlineStr">
        <is>
          <t>—</t>
        </is>
      </c>
      <c r="U89" s="3" t="inlineStr">
        <is>
          <t>ACTIVE</t>
        </is>
      </c>
      <c r="V89" s="3" t="inlineStr">
        <is>
          <t>2026-08-27</t>
        </is>
      </c>
    </row>
    <row r="90">
      <c r="A90" s="3" t="inlineStr">
        <is>
          <t>MK-CF-F-089</t>
        </is>
      </c>
      <c r="B90" s="3" t="inlineStr">
        <is>
          <t>over65CountOf</t>
        </is>
      </c>
      <c r="C90" s="3" t="inlineStr">
        <is>
          <t>src/domain/income/onboarding.ts</t>
        </is>
      </c>
      <c r="D90" s="3" t="n">
        <v>1544</v>
      </c>
      <c r="E90" s="3" t="inlineStr">
        <is>
          <t>2 · DISPLAYED</t>
        </is>
      </c>
      <c r="F90" s="3" t="inlineStr">
        <is>
          <t>E8 (founder brief 2026-08-20): how many people on the return are 65+.</t>
        </is>
      </c>
      <c r="G90" s="6"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1</v>
      </c>
      <c r="Q90" s="3" t="inlineStr">
        <is>
          <t>MK-ST-F-052 toNum</t>
        </is>
      </c>
      <c r="R90" s="3" t="inlineStr">
        <is>
          <t>MK-ST-F-052 toNum → MK-CF-F-089 over65CountOf</t>
        </is>
      </c>
      <c r="S90" s="3" t="inlineStr">
        <is>
          <t>—</t>
        </is>
      </c>
      <c r="T90" s="3" t="inlineStr">
        <is>
          <t>TAX_OVER65_COUNT</t>
        </is>
      </c>
      <c r="U90" s="3" t="inlineStr">
        <is>
          <t>ACTIVE</t>
        </is>
      </c>
      <c r="V90" s="3" t="inlineStr">
        <is>
          <t>2026-08-28</t>
        </is>
      </c>
    </row>
    <row r="91">
      <c r="A91" s="3" t="inlineStr">
        <is>
          <t>MK-CF-F-090</t>
        </is>
      </c>
      <c r="B91" s="3" t="inlineStr">
        <is>
          <t>effectiveRate</t>
        </is>
      </c>
      <c r="C91" s="3" t="inlineStr">
        <is>
          <t>src/domain/income/onboarding.ts</t>
        </is>
      </c>
      <c r="D91" s="3" t="n">
        <v>1587</v>
      </c>
      <c r="E91" s="3" t="inlineStr">
        <is>
          <t>3 · DEPENDENT</t>
        </is>
      </c>
      <c r="F91" s="3" t="inlineStr">
        <is>
          <t>NOT DETERMINED — the code carries no note saying what this is for, and it has no row in the old inventory. Needs reading.</t>
        </is>
      </c>
      <c r="G91" s="6"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35</v>
      </c>
      <c r="Q91" s="3" t="inlineStr">
        <is>
          <t>1. MK-CF-F-181 rateInForce
2. MK-CF-F-173 earnerWages
3. MK-CF-F-102 effectiveRateOnGrossFor
4. MK-CF-F-180 enteredLandsAnnual
5. MK-CF-F-085 filingStatusOf
6. MK-CF-F-089 over65CountOf
7. MK-CF-F-082 salaryAnnual
8. MK-CF-F-086 stateRateOf
9. MK-CF-F-084 taxableAnnual
10. MK-ST-F-052 toNum
11. MK-CF-F-172 hasWage
12. MK-CF-F-101 taxOwedFor
13. MK-ST-F-055 round2
14. MK-CF-F-060 salaryGrossByMonth
15. MK-CF-F-072 currentRetirementIncomeMonthly
16. MK-CF-F-071 extraIncome
17. MK-CF-F-068 rentalNetAnnual
18. MK-CF-F-066 rsuAnnual
19. MK-CF-F-074 tipsAnnual
20. MK-CF-F-100 taxableIncomeFor
21. MK-CF-F-176 sumMonthsOverEarners
22. MK-CF-F-177 wageGrossByMonth
23. MK-CF-F-075 retirementIncomeMonthly
24. MK-CF-F-070 benefitAnnual
25. MK-CF-F-067 rentalList
26. MK-CF-F-062 equityRowValue
27. MK-CF-F-132 map
28. MK-CF-F-063 rowVestYear
29. MK-CF-F-081 salaryActiveMonths
30. MK-CF-F-099 deductionFor
31. MK-CF-F-130 enteredMonthlyRaw
32. MK-CF-F-166 hasMonthlySalaryTable
33. MK-CF-F-167 salaryCalendarYear
34. MK-CF-F-069 benefitActiveMonths
35. MK-CF-F-165 salaryMonths</t>
        </is>
      </c>
      <c r="R91" s="3" t="inlineStr">
        <is>
          <t>1. MK-CF-F-172 hasWage → MK-CF-F-173 earnerWages → MK-CF-F-181 rateInForce → MK-CF-F-090 effectiveRate
2. MK-CF-F-099 deductionFor → MK-CF-F-100 taxableIncomeFor → MK-CF-F-101 taxOwedFor → MK-CF-F-102 effectiveRateOnGrossFor → MK-CF-F-181 rateInForce → MK-CF-F-090 effectiveRate
3. MK-CF-F-172 hasWage → MK-CF-F-173 earnerWages → MK-CF-F-180 enteredLandsAnnual → MK-CF-F-181 rateInForce → MK-CF-F-090 effectiveRate
4. MK-ST-F-055 round2 → MK-CF-F-180 enteredLandsAnnual → MK-CF-F-181 rateInForce → MK-CF-F-090 effectiveRate
5. MK-ST-F-052 toNum → MK-CF-F-180 enteredLandsAnnual → MK-CF-F-181 rateInForce → MK-CF-F-090 effectiveRate
6. MK-CF-F-085 filingStatusOf → MK-CF-F-181 rateInForce → MK-CF-F-090 effectiveRate
7. MK-ST-F-052 toNum → MK-CF-F-089 over65CountOf → MK-CF-F-181 rateInForce → MK-CF-F-090 effectiveRate
8. MK-CF-F-173 earnerWages → MK-CF-F-176 sumMonthsOverEarners → MK-CF-F-060 salaryGrossByMonth → MK-CF-F-082 salaryAnnual → MK-CF-F-181 rateInForce → MK-CF-F-090 effectiveRate
9. … and 4 more paths</t>
        </is>
      </c>
      <c r="S91" s="3" t="inlineStr">
        <is>
          <t>—</t>
        </is>
      </c>
      <c r="T91" s="3" t="inlineStr">
        <is>
          <t>—</t>
        </is>
      </c>
      <c r="U91" s="3" t="inlineStr">
        <is>
          <t>ACTIVE</t>
        </is>
      </c>
      <c r="V91" s="3" t="inlineStr">
        <is>
          <t>2026-08-28</t>
        </is>
      </c>
    </row>
    <row r="92">
      <c r="A92" s="3" t="inlineStr">
        <is>
          <t>MK-CF-F-091</t>
        </is>
      </c>
      <c r="B92" s="3" t="inlineStr">
        <is>
          <t>userCapGainsRates</t>
        </is>
      </c>
      <c r="C92" s="3" t="inlineStr">
        <is>
          <t>src/domain/income/onboarding.ts</t>
        </is>
      </c>
      <c r="D92" s="3" t="n">
        <v>1621</v>
      </c>
      <c r="E92" s="3" t="inlineStr">
        <is>
          <t>3 · DEPENDENT (feeds an action only)</t>
        </is>
      </c>
      <c r="F92" s="3" t="inlineStr">
        <is>
          <t>PRD F3#17 — the user's OWN capital-gains rates (long: 0/15/20 ladder by filing status; short: their marginal bracket), each plus the flat state rate.</t>
        </is>
      </c>
      <c r="G92" s="6"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34</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MK-CF-F-075 retirementIncomeMonthly
18. MK-CF-F-070 benefitAnnual
19. MK-ST-F-055 round2
20. MK-CF-F-067 rentalList
21. MK-CF-F-062 equityRowValue
22. MK-CF-F-132 map
23. MK-CF-F-063 rowVestYear
24. MK-CF-F-060 salaryGrossByMonth
25. MK-CF-F-081 salaryActiveMonths
26. MK-CF-F-069 benefitActiveMonths
27. MK-CF-F-176 sumMonthsOverEarners
28. MK-CF-F-177 wageGrossByMonth
29. MK-CF-F-173 earnerWages
30. MK-CF-F-130 enteredMonthlyRaw
31. MK-CF-F-166 hasMonthlySalaryTable
32. MK-CF-F-167 salaryCalendarYear
33. MK-CF-F-172 hasWage
34. MK-CF-F-165 salaryMonths</t>
        </is>
      </c>
      <c r="R92" s="3" t="inlineStr">
        <is>
          <t>1. MK-CF-F-085 filingStatusOf → MK-CF-F-091 userCapGainsRates
2. MK-CF-F-099 deductionFor → MK-CF-F-100 taxableIncomeFor → MK-CF-F-104 ltcgRateFor → MK-CF-F-091 userCapGainsRates
3. MK-CF-F-099 deductionFor → MK-CF-F-100 taxableIncomeFor → MK-CF-F-103 marginalBracketFor → MK-CF-F-091 userCapGainsRates
4. MK-ST-F-039 on → MK-CF-F-091 userCapGainsRates
5. MK-ST-F-052 toNum → MK-CF-F-089 over65CountOf → MK-CF-F-091 userCapGainsRates
6. MK-ST-F-052 toNum → MK-CF-F-086 stateRateOf → MK-CF-F-091 userCapGainsRates
7.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row>
    <row r="93">
      <c r="A93" s="3" t="inlineStr">
        <is>
          <t>MK-CF-F-092</t>
        </is>
      </c>
      <c r="B93" s="3" t="inlineStr">
        <is>
          <t>incomeMonthlyGrid</t>
        </is>
      </c>
      <c r="C93" s="3" t="inlineStr">
        <is>
          <t>src/domain/income/onboarding.ts</t>
        </is>
      </c>
      <c r="D93" s="3" t="n">
        <v>1682</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6"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c401k m = c 401k read as a number (0 when it is not one)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C401k m is c 401k read as a number (0 — when it is one is missing).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Treats a year as twelve equal months.
2. Uses today's date from the device clock, so the answer changes by itself overnight.</t>
        </is>
      </c>
      <c r="N93" s="3" t="inlineStr">
        <is>
          <t>Yes</t>
        </is>
      </c>
      <c r="O93" s="3" t="inlineStr">
        <is>
          <t>1. MK-CF-F-069 benefitActiveMonths
2. MK-CF-F-072 currentRetirementIncomeMonthly
3. MK-CF-F-065 equityVestWeights
4. MK-CF-F-071 extraIncome
5. MK-ST-F-056 has
6. MK-CF-F-132 map
7. MK-CF-F-087 monthlyTaxRates
8. MK-CF-F-073 otherIncomeMonth
9. MK-CF-F-181 rateInForce
10. MK-CF-F-068 rentalNetAnnual
11. MK-ST-F-055 round2
12. MK-CF-F-066 rsuAnnual
13. MK-CF-F-060 salaryGrossByMonth
14. MK-CF-F-077 scholarshipByCalendarMonth
15. MK-CF-F-088 taxableByCalendarMonth
16. MK-ST-F-052 toNum</t>
        </is>
      </c>
      <c r="P93" s="3" t="n">
        <v>43</v>
      </c>
      <c r="Q93" s="3" t="inlineStr">
        <is>
          <t>1. MK-CF-F-069 benefitActiveMonths
2. MK-CF-F-072 currentRetirementIncomeMonthly
3. MK-CF-F-065 equityVestWeights
4. MK-CF-F-071 extraIncome
5. MK-ST-F-056 has
6. MK-CF-F-132 map
7. MK-CF-F-087 monthlyTaxRates
8. MK-CF-F-073 otherIncomeMonth
9. MK-CF-F-181 rateInForce
10. MK-CF-F-068 rentalNetAnnual
11. MK-ST-F-055 round2
12. MK-CF-F-066 rsuAnnual
13. MK-CF-F-060 salaryGrossByMonth
14. MK-CF-F-077 scholarshipByCalendarMonth
15. MK-CF-F-088 taxableByCalendarMonth
16. MK-ST-F-052 toNum
17. MK-CF-F-075 retirementIncomeMonthly
18. MK-CF-F-062 equityRowValue
19. MK-CF-F-070 benefitAnnual
20. MK-CF-F-090 effectiveRate
21. MK-CF-F-085 filingStatusOf
22. MK-CF-F-089 over65CountOf
23. MK-CF-F-098 progressiveMonthlyTax
24. MK-CF-F-086 stateRateOf
25. MK-CF-F-173 earnerWages
26. MK-CF-F-102 effectiveRateOnGrossFor
27. MK-CF-F-180 enteredLandsAnnual
28. MK-CF-F-082 salaryAnnual
29. MK-CF-F-084 taxableAnnual
30. MK-CF-F-067 rentalList
31. MK-CF-F-063 rowVestYear
32. MK-CF-F-176 sumMonthsOverEarners
33. MK-CF-F-177 wageGrossByMonth
34. MK-CF-F-101 taxOwedFor
35. MK-CF-F-100 taxableIncomeFor
36. MK-CF-F-172 hasWage
37. MK-CF-F-074 tipsAnnual
38. MK-CF-F-130 enteredMonthlyRaw
39. MK-CF-F-166 hasMonthlySalaryTable
40. MK-CF-F-167 salaryCalendarYear
41. MK-CF-F-099 deductionFor
42. MK-CF-F-081 salaryActiveMonths
43. MK-CF-F-165 salaryMonths</t>
        </is>
      </c>
      <c r="R93" s="3" t="inlineStr">
        <is>
          <t>1. MK-CF-F-069 benefitActiveMonths → MK-CF-F-092 incomeMonthlyGrid
2. MK-ST-F-052 toNum → MK-CF-F-075 retirementIncomeMonthly → MK-CF-F-072 currentRetirementIncomeMonthly → MK-CF-F-092 incomeMonthlyGrid
3. MK-ST-F-052 toNum → MK-CF-F-062 equityRowValue → MK-CF-F-065 equityVestWeights → MK-CF-F-092 incomeMonthlyGrid
4. MK-CF-F-132 map → MK-CF-F-065 equityVestWeights → MK-CF-F-092 incomeMonthlyGrid
5. MK-CF-F-069 benefitActiveMonths → MK-CF-F-070 benefitAnnual → MK-CF-F-071 extraIncome → MK-CF-F-092 incomeMonthlyGrid
6. MK-ST-F-052 toNum → MK-CF-F-070 benefitAnnual → MK-CF-F-071 extraIncome → MK-CF-F-092 incomeMonthlyGrid
7. MK-ST-F-055 round2 → MK-CF-F-071 extraIncome → MK-CF-F-092 incomeMonthlyGrid
8. MK-ST-F-052 toNum → MK-CF-F-071 extraIncome → MK-CF-F-092 incomeMonthlyGrid
9. … and 5 more paths</t>
        </is>
      </c>
      <c r="S93" s="3" t="inlineStr">
        <is>
          <t>—</t>
        </is>
      </c>
      <c r="T93" s="3" t="inlineStr">
        <is>
          <t>—</t>
        </is>
      </c>
      <c r="U93" s="3" t="inlineStr">
        <is>
          <t>ACTIVE</t>
        </is>
      </c>
      <c r="V93" s="3" t="inlineStr">
        <is>
          <t>2026-08-27</t>
        </is>
      </c>
    </row>
    <row r="94">
      <c r="A94" s="3" t="inlineStr">
        <is>
          <t>MK-CF-F-097</t>
        </is>
      </c>
      <c r="B94" s="3" t="inlineStr">
        <is>
          <t>grossFromNet</t>
        </is>
      </c>
      <c r="C94" s="3" t="inlineStr">
        <is>
          <t>src/domain/income/tax.ts</t>
        </is>
      </c>
      <c r="D94" s="3" t="n">
        <v>47</v>
      </c>
      <c r="E94" s="3" t="inlineStr">
        <is>
          <t>3 · DEPENDENT (feeds an action only)</t>
        </is>
      </c>
      <c r="F94" s="3" t="inlineStr">
        <is>
          <t>Invert the schedule: the gross income whose take-home equals `net` (bisection).</t>
        </is>
      </c>
      <c r="G94" s="6" t="inlineStr">
        <is>
          <t>0   when net ≤ 0
lo = net, hi = net × 3
mid = (lo + hi) ÷ 2
the answer = round((lo + hi) ÷ 2)</t>
        </is>
      </c>
      <c r="H94" s="3" t="inlineStr">
        <is>
          <t>When net is at most 0, it answers 0. Lo is net, hi = net times 3. Mid is (lo plus hi) divided by 2. The answer is (lo plus hi, to a whole number divided by 2).</t>
        </is>
      </c>
      <c r="I94" s="3" t="inlineStr">
        <is>
          <t>READ FROM THE CODE — rendered from the expressions the function runs</t>
        </is>
      </c>
      <c r="J94" s="3" t="inlineStr">
        <is>
          <t>1. net: number
2. status: FilingStatus = 'single'
3. over65 = 0</t>
        </is>
      </c>
      <c r="K94" s="3" t="inlineStr">
        <is>
          <t>number</t>
        </is>
      </c>
      <c r="L94" s="3" t="inlineStr">
        <is>
          <t>—</t>
        </is>
      </c>
      <c r="M94" s="3" t="inlineStr">
        <is>
          <t>1. Uses a built-in i of 0.
2. Rounds the answer to a whole number.</t>
        </is>
      </c>
      <c r="N94" s="3" t="inlineStr">
        <is>
          <t>No</t>
        </is>
      </c>
      <c r="O94" s="3" t="inlineStr">
        <is>
          <t>MK-CF-F-101 taxOwedFor</t>
        </is>
      </c>
      <c r="P94" s="3" t="n">
        <v>3</v>
      </c>
      <c r="Q94" s="3" t="inlineStr">
        <is>
          <t>1. MK-CF-F-101 taxOwedFor
2. MK-CF-F-100 taxableIncomeFor
3. MK-CF-F-099 deductionFor</t>
        </is>
      </c>
      <c r="R94" s="3" t="inlineStr">
        <is>
          <t>MK-CF-F-099 deductionFor → MK-CF-F-100 taxableIncomeFor → MK-CF-F-101 taxOwedFor → MK-CF-F-097 grossFromNet</t>
        </is>
      </c>
      <c r="S94" s="3" t="inlineStr">
        <is>
          <t>—</t>
        </is>
      </c>
      <c r="T94" s="3" t="inlineStr">
        <is>
          <t>GROSS_FROM_TAKE_HOME</t>
        </is>
      </c>
      <c r="U94" s="3" t="inlineStr">
        <is>
          <t>ACTIVE</t>
        </is>
      </c>
      <c r="V94" s="3" t="inlineStr">
        <is>
          <t>2026-08-28</t>
        </is>
      </c>
    </row>
    <row r="95">
      <c r="A95" s="3" t="inlineStr">
        <is>
          <t>MK-CF-F-098</t>
        </is>
      </c>
      <c r="B95" s="3" t="inlineStr">
        <is>
          <t>progressiveMonthlyTax</t>
        </is>
      </c>
      <c r="C95" s="3" t="inlineStr">
        <is>
          <t>src/domain/income/tax.ts</t>
        </is>
      </c>
      <c r="D95" s="3" t="n">
        <v>94</v>
      </c>
      <c r="E95" s="3" t="inlineStr">
        <is>
          <t>3 · DEPENDENT</t>
        </is>
      </c>
      <c r="F95" s="3" t="inlineStr">
        <is>
          <t>PRD F2#11 — progressive PER-MONTH tax: brackets fill as the year's taxable income accumulates month by month (Jan→Dec), so tax_m = taxOwedFor(cumulative through m) − taxOwedFor(cumulative through m−1).</t>
        </is>
      </c>
      <c r="G95" s="6"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None found in this function — anything it assumes comes from the functions it depends on.</t>
        </is>
      </c>
      <c r="N95" s="3" t="inlineStr">
        <is>
          <t>Yes</t>
        </is>
      </c>
      <c r="O95" s="3" t="inlineStr">
        <is>
          <t>1. MK-CF-F-132 map
2. MK-CF-F-101 taxOwedFor
3. MK-CF-F-100 taxableIncomeFor</t>
        </is>
      </c>
      <c r="P95" s="3" t="n">
        <v>4</v>
      </c>
      <c r="Q95" s="3" t="inlineStr">
        <is>
          <t>1. MK-CF-F-132 map
2. MK-CF-F-101 taxOwedFor
3. MK-CF-F-100 taxableIncomeFor
4. MK-CF-F-099 deductionFor</t>
        </is>
      </c>
      <c r="R95" s="3" t="inlineStr">
        <is>
          <t>1. MK-CF-F-132 map → MK-CF-F-098 progressiveMonthlyTax
2. MK-CF-F-099 deductionFor → MK-CF-F-100 taxableIncomeFor → MK-CF-F-101 taxOwedFor → MK-CF-F-098 progressiveMonthlyTax
3. MK-CF-F-099 deductionFor → MK-CF-F-100 taxableIncomeFor → MK-CF-F-098 progressiveMonthlyTax</t>
        </is>
      </c>
      <c r="S95" s="3" t="inlineStr">
        <is>
          <t>—</t>
        </is>
      </c>
      <c r="T95" s="3" t="inlineStr">
        <is>
          <t>—</t>
        </is>
      </c>
      <c r="U95" s="3" t="inlineStr">
        <is>
          <t>ACTIVE</t>
        </is>
      </c>
      <c r="V95" s="3" t="inlineStr">
        <is>
          <t>2026-08-27</t>
        </is>
      </c>
    </row>
    <row r="96">
      <c r="A96" s="3" t="inlineStr">
        <is>
          <t>MK-CF-F-099</t>
        </is>
      </c>
      <c r="B96" s="3" t="inlineStr">
        <is>
          <t>deductionFor</t>
        </is>
      </c>
      <c r="C96" s="3" t="inlineStr">
        <is>
          <t>src/domain/income/tax.ts</t>
        </is>
      </c>
      <c r="D96" s="3" t="n">
        <v>181</v>
      </c>
      <c r="E96" s="3" t="inlineStr">
        <is>
          <t>3 · DEPENDENT</t>
        </is>
      </c>
      <c r="F96" s="3" t="inlineStr">
        <is>
          <t>The standard deduction with the age-65 additions (E8).</t>
        </is>
      </c>
      <c r="G96" s="6" t="inlineStr">
        <is>
          <t>t = TAX_TABLES[status]
the answer = deduction + min(2, max(0, over65)) × over65 add</t>
        </is>
      </c>
      <c r="H96" s="3" t="inlineStr">
        <is>
          <t>T is TAX_TABLES[status]. The answer is deduction plus the smaller of 2 and over65, never below zero times over65 add.</t>
        </is>
      </c>
      <c r="I96" s="3" t="inlineStr">
        <is>
          <t>READ FROM THE CODE — rendered from the expressions the function runs</t>
        </is>
      </c>
      <c r="J96" s="3" t="inlineStr">
        <is>
          <t>1. status: FilingStatus = 'single'
2. over65 = 0</t>
        </is>
      </c>
      <c r="K96" s="3" t="inlineStr">
        <is>
          <t>number</t>
        </is>
      </c>
      <c r="L96" s="3" t="inlineStr">
        <is>
          <t>—</t>
        </is>
      </c>
      <c r="M96" s="3" t="inlineStr">
        <is>
          <t>None found in this function — anything it assumes comes from the functions it depends on.</t>
        </is>
      </c>
      <c r="N96" s="3" t="inlineStr">
        <is>
          <t>Yes</t>
        </is>
      </c>
      <c r="O96" s="3" t="inlineStr">
        <is>
          <t>—</t>
        </is>
      </c>
      <c r="P96" s="3" t="n">
        <v>0</v>
      </c>
      <c r="Q96" s="3" t="inlineStr">
        <is>
          <t>None — no dependent function stands behind it</t>
        </is>
      </c>
      <c r="R96" s="3" t="inlineStr">
        <is>
          <t>No dependent function — it reads its inputs and answers</t>
        </is>
      </c>
      <c r="S96" s="3" t="inlineStr">
        <is>
          <t>—</t>
        </is>
      </c>
      <c r="T96" s="3" t="inlineStr">
        <is>
          <t>TAX_DEDUCTION</t>
        </is>
      </c>
      <c r="U96" s="3" t="inlineStr">
        <is>
          <t>ACTIVE</t>
        </is>
      </c>
      <c r="V96" s="3" t="inlineStr">
        <is>
          <t>2026-08-27</t>
        </is>
      </c>
    </row>
    <row r="97">
      <c r="A97" s="3" t="inlineStr">
        <is>
          <t>MK-CF-F-100</t>
        </is>
      </c>
      <c r="B97" s="3" t="inlineStr">
        <is>
          <t>taxableIncomeFor</t>
        </is>
      </c>
      <c r="C97" s="3" t="inlineStr">
        <is>
          <t>src/domain/income/tax.ts</t>
        </is>
      </c>
      <c r="D97" s="3" t="n">
        <v>215</v>
      </c>
      <c r="E97" s="3" t="inlineStr">
        <is>
          <t>3 · DEPENDENT</t>
        </is>
      </c>
      <c r="F97" s="3" t="inlineStr">
        <is>
          <t>What income is taxed, given how this person files?</t>
        </is>
      </c>
      <c r="G97" s="6" t="inlineStr">
        <is>
          <t>max(0, gross − deduction for(status, over65))</t>
        </is>
      </c>
      <c r="H97" s="3" t="inlineStr">
        <is>
          <t>gross minus deduction for(status, over65, never below zero).</t>
        </is>
      </c>
      <c r="I97" s="3" t="inlineStr">
        <is>
          <t>READ FROM THE CODE — rendered from the expressions the function runs</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1</v>
      </c>
      <c r="Q97" s="3" t="inlineStr">
        <is>
          <t>MK-CF-F-099 deductionFor</t>
        </is>
      </c>
      <c r="R97" s="3" t="inlineStr">
        <is>
          <t>MK-CF-F-099 deductionFor → MK-CF-F-100 taxableIncomeFor</t>
        </is>
      </c>
      <c r="S97" s="3" t="inlineStr">
        <is>
          <t>MK-MN-M-027 · MK-MN-M-028</t>
        </is>
      </c>
      <c r="T97" s="3" t="inlineStr">
        <is>
          <t>TAXABLE_INCOME</t>
        </is>
      </c>
      <c r="U97" s="3" t="inlineStr">
        <is>
          <t>ACTIVE</t>
        </is>
      </c>
      <c r="V97" s="3" t="inlineStr">
        <is>
          <t>2026-08-27</t>
        </is>
      </c>
    </row>
    <row r="98">
      <c r="A98" s="3" t="inlineStr">
        <is>
          <t>MK-CF-F-101</t>
        </is>
      </c>
      <c r="B98" s="3" t="inlineStr">
        <is>
          <t>taxOwedFor</t>
        </is>
      </c>
      <c r="C98" s="3" t="inlineStr">
        <is>
          <t>src/domain/income/tax.ts</t>
        </is>
      </c>
      <c r="D98" s="3" t="n">
        <v>254</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6" t="inlineStr">
        <is>
          <t>ti = taxable income for(gross, status, over65)
tax = 0, lower = 0
the answer = tax + ti × min(0.15, max(0, state rate))</t>
        </is>
      </c>
      <c r="H98" s="3" t="inlineStr">
        <is>
          <t>Ti is taxable income for(gross, status, over65). Tax is 0, lower = 0. The answer is tax plus ti times the smaller of 0.15 and state rate, never below zero.</t>
        </is>
      </c>
      <c r="I98" s="3" t="inlineStr">
        <is>
          <t>READ FROM THE CODE — rendered from the expressions the function runs</t>
        </is>
      </c>
      <c r="J98" s="3" t="inlineStr">
        <is>
          <t>1. gross: number
2. status: FilingStatus = 'single'
3. stateRate = 0
4. over65 = 0</t>
        </is>
      </c>
      <c r="K98" s="3" t="inlineStr">
        <is>
          <t>number</t>
        </is>
      </c>
      <c r="L98" s="3" t="inlineStr">
        <is>
          <t>"Taxed as single" — on the filing status screen</t>
        </is>
      </c>
      <c r="M98" s="3" t="inlineStr">
        <is>
          <t>None found in this function — anything it assumes comes from the functions it depends on.</t>
        </is>
      </c>
      <c r="N98" s="3" t="inlineStr">
        <is>
          <t>Yes</t>
        </is>
      </c>
      <c r="O98" s="3" t="inlineStr">
        <is>
          <t>MK-CF-F-100 taxableIncomeFor</t>
        </is>
      </c>
      <c r="P98" s="3" t="n">
        <v>2</v>
      </c>
      <c r="Q98" s="3" t="inlineStr">
        <is>
          <t>1. MK-CF-F-100 taxableIncomeFor
2. MK-CF-F-099 deductionFor</t>
        </is>
      </c>
      <c r="R98" s="3" t="inlineStr">
        <is>
          <t>MK-CF-F-099 deductionFor → MK-CF-F-100 taxableIncomeFor → MK-CF-F-101 taxOwedFor</t>
        </is>
      </c>
      <c r="S98" s="3" t="inlineStr">
        <is>
          <t>—</t>
        </is>
      </c>
      <c r="T98" s="3" t="inlineStr">
        <is>
          <t>TAX_OWED</t>
        </is>
      </c>
      <c r="U98" s="3" t="inlineStr">
        <is>
          <t>ACTIVE</t>
        </is>
      </c>
      <c r="V98" s="3" t="inlineStr">
        <is>
          <t>2026-08-28</t>
        </is>
      </c>
    </row>
    <row r="99">
      <c r="A99" s="3" t="inlineStr">
        <is>
          <t>MK-CF-F-102</t>
        </is>
      </c>
      <c r="B99" s="3" t="inlineStr">
        <is>
          <t>effectiveRateOnGrossFor</t>
        </is>
      </c>
      <c r="C99" s="3" t="inlineStr">
        <is>
          <t>src/domain/income/tax.ts</t>
        </is>
      </c>
      <c r="D99" s="3" t="n">
        <v>297</v>
      </c>
      <c r="E99" s="3" t="inlineStr">
        <is>
          <t>2 · DISPLAYED</t>
        </is>
      </c>
      <c r="F99" s="3" t="inlineStr">
        <is>
          <t>What share of my income actually goes in tax?</t>
        </is>
      </c>
      <c r="G99" s="6"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3</v>
      </c>
      <c r="Q99" s="3" t="inlineStr">
        <is>
          <t>1. MK-CF-F-101 taxOwedFor
2. MK-CF-F-100 taxableIncomeFor
3. MK-CF-F-099 deductionFor</t>
        </is>
      </c>
      <c r="R99" s="3" t="inlineStr">
        <is>
          <t>MK-CF-F-099 deductionFor → MK-CF-F-100 taxableIncomeFor → MK-CF-F-101 taxOwedFor → MK-CF-F-102 effectiveRateOnGrossFor</t>
        </is>
      </c>
      <c r="S99" s="3" t="inlineStr">
        <is>
          <t>—</t>
        </is>
      </c>
      <c r="T99" s="3" t="inlineStr">
        <is>
          <t>EFFECTIVE_TAX_RATE</t>
        </is>
      </c>
      <c r="U99" s="3" t="inlineStr">
        <is>
          <t>ACTIVE</t>
        </is>
      </c>
      <c r="V99" s="3" t="inlineStr">
        <is>
          <t>2026-08-27</t>
        </is>
      </c>
    </row>
    <row r="100">
      <c r="A100" s="3" t="inlineStr">
        <is>
          <t>MK-CF-F-103</t>
        </is>
      </c>
      <c r="B100" s="3" t="inlineStr">
        <is>
          <t>marginalBracketFor</t>
        </is>
      </c>
      <c r="C100" s="3" t="inlineStr">
        <is>
          <t>src/domain/income/tax.ts</t>
        </is>
      </c>
      <c r="D100" s="3" t="n">
        <v>323</v>
      </c>
      <c r="E100" s="3" t="inlineStr">
        <is>
          <t>2 · DISPLAYED</t>
        </is>
      </c>
      <c r="F100" s="3" t="inlineStr">
        <is>
          <t>NOT DETERMINED — the code carries no note saying what this is for, and it has no row in the old inventory. Needs reading.</t>
        </is>
      </c>
      <c r="G100" s="6" t="inlineStr">
        <is>
          <t>ti = taxable income for(gross, status, over65)
the answer = 0.37</t>
        </is>
      </c>
      <c r="H100" s="3" t="inlineStr">
        <is>
          <t>Ti is taxable income for(gross, status, over65). The answer is 0.37.</t>
        </is>
      </c>
      <c r="I100" s="3" t="inlineStr">
        <is>
          <t>READ FROM THE CODE — rendered from the expressions the function runs</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2</v>
      </c>
      <c r="Q100" s="3" t="inlineStr">
        <is>
          <t>1. MK-CF-F-100 taxableIncomeFor
2. MK-CF-F-099 deductionFor</t>
        </is>
      </c>
      <c r="R100" s="3" t="inlineStr">
        <is>
          <t>MK-CF-F-099 deductionFor → MK-CF-F-100 taxableIncomeFor → MK-CF-F-103 marginalBracketFor</t>
        </is>
      </c>
      <c r="S100" s="3" t="inlineStr">
        <is>
          <t>—</t>
        </is>
      </c>
      <c r="T100" s="3" t="inlineStr">
        <is>
          <t>—</t>
        </is>
      </c>
      <c r="U100" s="3" t="inlineStr">
        <is>
          <t>ACTIVE</t>
        </is>
      </c>
      <c r="V100" s="3" t="inlineStr">
        <is>
          <t>2026-08-27</t>
        </is>
      </c>
    </row>
    <row r="101">
      <c r="A101" s="3" t="inlineStr">
        <is>
          <t>MK-CF-F-104</t>
        </is>
      </c>
      <c r="B101" s="3" t="inlineStr">
        <is>
          <t>ltcgRateFor</t>
        </is>
      </c>
      <c r="C101" s="3" t="inlineStr">
        <is>
          <t>src/domain/income/tax.ts</t>
        </is>
      </c>
      <c r="D101" s="3" t="n">
        <v>361</v>
      </c>
      <c r="E101" s="3" t="inlineStr">
        <is>
          <t>3 · DEPENDENT (feeds an action only)</t>
        </is>
      </c>
      <c r="F101" s="3" t="inlineStr">
        <is>
          <t>The user's own long-term capital-gains rate, from their income + filing status (federal).</t>
        </is>
      </c>
      <c r="G101" s="6"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t>
        </is>
      </c>
      <c r="M101" s="3" t="inlineStr">
        <is>
          <t>None found in this function — anything it assumes comes from the functions it depends on.</t>
        </is>
      </c>
      <c r="N101" s="3" t="inlineStr">
        <is>
          <t>No</t>
        </is>
      </c>
      <c r="O101" s="3" t="inlineStr">
        <is>
          <t>MK-CF-F-100 taxableIncomeFor</t>
        </is>
      </c>
      <c r="P101" s="3" t="n">
        <v>2</v>
      </c>
      <c r="Q101" s="3" t="inlineStr">
        <is>
          <t>1. MK-CF-F-100 taxableIncomeFor
2. MK-CF-F-099 deductionFor</t>
        </is>
      </c>
      <c r="R101" s="3" t="inlineStr">
        <is>
          <t>MK-CF-F-099 deductionFor → MK-CF-F-100 taxableIncomeFor → MK-CF-F-104 ltcgRateFor</t>
        </is>
      </c>
      <c r="S101" s="3" t="inlineStr">
        <is>
          <t>—</t>
        </is>
      </c>
      <c r="T101" s="3" t="inlineStr">
        <is>
          <t>—</t>
        </is>
      </c>
      <c r="U101" s="3" t="inlineStr">
        <is>
          <t>ACTIVE</t>
        </is>
      </c>
      <c r="V101" s="3" t="inlineStr">
        <is>
          <t>2026-08-27</t>
        </is>
      </c>
    </row>
    <row r="102">
      <c r="A102" s="3" t="inlineStr">
        <is>
          <t>MK-CF-F-105</t>
        </is>
      </c>
      <c r="B102" s="3" t="inlineStr">
        <is>
          <t>guaranteedRows</t>
        </is>
      </c>
      <c r="C102" s="3" t="inlineStr">
        <is>
          <t>src/domain/paycheck/index.ts</t>
        </is>
      </c>
      <c r="D102" s="3" t="n">
        <v>110</v>
      </c>
      <c r="E102" s="3" t="inlineStr">
        <is>
          <t>3 · DEPENDENT</t>
        </is>
      </c>
      <c r="F102" s="3" t="inlineStr">
        <is>
          <t>The dated guaranteed-income rows for the next 12 months (the F2 grid seam).</t>
        </is>
      </c>
      <c r="G102" s="6"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1. Uses a built-in q of 0.
2. Uses a built-in s of 0.
3. Treats a year as twelve equal months.
4. Uses today's date from the device clock, so the answer changes by itself overnight.</t>
        </is>
      </c>
      <c r="N102" s="3" t="inlineStr">
        <is>
          <t>Yes</t>
        </is>
      </c>
      <c r="O102" s="3" t="inlineStr">
        <is>
          <t>MK-ST-F-052 toNum</t>
        </is>
      </c>
      <c r="P102" s="3" t="n">
        <v>1</v>
      </c>
      <c r="Q102" s="3" t="inlineStr">
        <is>
          <t>MK-ST-F-052 toNum</t>
        </is>
      </c>
      <c r="R102" s="3" t="inlineStr">
        <is>
          <t>MK-ST-F-052 toNum → MK-CF-F-105 guaranteedRows</t>
        </is>
      </c>
      <c r="S102" s="3" t="inlineStr">
        <is>
          <t>—</t>
        </is>
      </c>
      <c r="T102" s="3" t="inlineStr">
        <is>
          <t>—</t>
        </is>
      </c>
      <c r="U102" s="3" t="inlineStr">
        <is>
          <t>ACTIVE</t>
        </is>
      </c>
      <c r="V102" s="3" t="inlineStr">
        <is>
          <t>2026-08-27</t>
        </is>
      </c>
    </row>
    <row r="103">
      <c r="A103" s="3" t="inlineStr">
        <is>
          <t>MK-CF-F-106</t>
        </is>
      </c>
      <c r="B103" s="3" t="inlineStr">
        <is>
          <t>solveSafeDraw</t>
        </is>
      </c>
      <c r="C103" s="3" t="inlineStr">
        <is>
          <t>src/domain/paycheck/index.ts</t>
        </is>
      </c>
      <c r="D103" s="3" t="n">
        <v>167</v>
      </c>
      <c r="E103" s="3" t="inlineStr">
        <is>
          <t>3 · DEPENDENT</t>
        </is>
      </c>
      <c r="F103" s="3" t="inlineStr">
        <is>
          <t>Largest level monthly draw that keeps chance-of-success ≥ the floor.</t>
        </is>
      </c>
      <c r="G103" s="6" t="inlineStr">
        <is>
          <t>0   when nest egg ≤ 0
years = max(1, sim.horizon age − sim.current age)
lo = 0, hi = max(100, (nest egg ÷ years ÷ 12) × 2)
round(hi, 2 dp)   when chance at(hi) ≥ chance floor
mid = (lo + hi) ÷ 2
the answer = round(round down(lo ÷ 5) × 5, 2 dp)</t>
        </is>
      </c>
      <c r="H103" s="3" t="inlineStr">
        <is>
          <t>When nest egg is at most 0, it answers 0. Years: the larger of 1 and sim.horizon age minus sim.current age. Lo is 0, hi = the larger of 100 and (nest egg divided by years divided by 12 times 2). When chance at(hi) is at least chance floor, it answers hi, to the cent. Mid is (lo plus hi) divided by 2. The answer is lo divided by 5, rounded down times 5, to the cent.</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300.
2. If seed is missing it uses 42.
3. Uses a built-in i of 0.
4. Treats a year as twelve equal months.</t>
        </is>
      </c>
      <c r="N103" s="3" t="inlineStr">
        <is>
          <t>Yes</t>
        </is>
      </c>
      <c r="O103" s="3" t="inlineStr">
        <is>
          <t>1. MK-ST-F-055 round2
2. MK-PL-F-050 simulate</t>
        </is>
      </c>
      <c r="P103" s="3" t="n">
        <v>9</v>
      </c>
      <c r="Q103" s="3" t="inlineStr">
        <is>
          <t>1. MK-ST-F-055 round2
2. MK-PL-F-050 simulate
3. MK-CF-F-132 map
4. MK-PL-F-074 median
5. MK-PL-F-072 mulberry32
6. MK-PL-F-073 normal
7. MK-PL-F-075 pctOfSorted
8. MK-ST-F-025 rmdStartAgeFromAge
9. MK-ST-F-024 rmdStartAge</t>
        </is>
      </c>
      <c r="R103" s="3" t="inlineStr">
        <is>
          <t>1. MK-ST-F-055 round2 → MK-CF-F-106 solveSafeDraw
2. MK-CF-F-132 map → MK-PL-F-050 simulate → MK-CF-F-106 solveSafeDraw
3. MK-PL-F-074 median → MK-PL-F-050 simulate → MK-CF-F-106 solveSafeDraw
4. MK-PL-F-072 mulberry32 → MK-PL-F-050 simulate → MK-CF-F-106 solveSafeDraw
5. MK-PL-F-073 normal → MK-PL-F-050 simulate → MK-CF-F-106 solveSafeDraw
6. MK-PL-F-075 pctOfSorted → MK-PL-F-050 simulate → MK-CF-F-106 solveSafeDraw
7. MK-ST-F-024 rmdStartAge → MK-ST-F-025 rmdStartAgeFromAge → MK-PL-F-050 simulate → MK-CF-F-106 solveSafeDraw
8. MK-ST-F-055 round2 → MK-PL-F-050 simulate → MK-CF-F-106 solveSafeDraw</t>
        </is>
      </c>
      <c r="S103" s="3" t="inlineStr">
        <is>
          <t>—</t>
        </is>
      </c>
      <c r="T103" s="3" t="inlineStr">
        <is>
          <t>—</t>
        </is>
      </c>
      <c r="U103" s="3" t="inlineStr">
        <is>
          <t>ACTIVE</t>
        </is>
      </c>
      <c r="V103" s="3" t="inlineStr">
        <is>
          <t>2026-08-27</t>
        </is>
      </c>
    </row>
    <row r="104">
      <c r="A104" s="3" t="inlineStr">
        <is>
          <t>MK-CF-F-107</t>
        </is>
      </c>
      <c r="B104" s="3" t="inlineStr">
        <is>
          <t>buildPaycheckYear</t>
        </is>
      </c>
      <c r="C104" s="3" t="inlineStr">
        <is>
          <t>src/domain/paycheck/index.ts</t>
        </is>
      </c>
      <c r="D104" s="3" t="n">
        <v>225</v>
      </c>
      <c r="E104" s="3" t="inlineStr">
        <is>
          <t>2 · DISPLAYED</t>
        </is>
      </c>
      <c r="F104" s="3" t="inlineStr">
        <is>
          <t>Build the month-by-month paycheck.</t>
        </is>
      </c>
      <c r="G104" s="6" t="inlineStr">
        <is>
          <t>now = opts.now (or new date() when missing)
rows = guaranteed rows(op, now)
nest egg = round(opts.nest egg (or retirement earmarked value(opts.accounts ?? []) when missing), 2 dp)
guaranteed annual = Σ over rows of (amount)
safe draw = solve safe draw(nest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to the cent. Guaranteed annual: the amount added up across rows. Safe draw is solve safe draw(nest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NOT FOUND — a screen calls it, but the words printed beside its answer could not be traced automatically. Needs reading.</t>
        </is>
      </c>
      <c r="M104" s="3" t="inlineStr">
        <is>
          <t>1. If chance floor is missing it uses 80.
2. Treats a year as twelve equal months.
3. Turns a monthly figure into a year by multiplying by twelve.
4. Uses today's date from the device clock, so the answer changes by itself overnight.
5. Leaves some rows out of the answer — check which.</t>
        </is>
      </c>
      <c r="N104" s="3" t="inlineStr">
        <is>
          <t>Yes</t>
        </is>
      </c>
      <c r="O104" s="3" t="inlineStr">
        <is>
          <t>1. MK-XS-F-004 buildDatedGrid
2. MK-CF-F-105 guaranteedRows
3. MK-CF-F-132 map
4. MK-NW-F-033 retirementEarmarkedValue
5. MK-ST-F-055 round2
6. MK-CF-F-106 solveSafeDraw</t>
        </is>
      </c>
      <c r="P104" s="3" t="n">
        <v>76</v>
      </c>
      <c r="Q104" s="3" t="inlineStr">
        <is>
          <t>1. MK-XS-F-004 buildDatedGrid
2. MK-CF-F-105 guaranteedRows
3. MK-CF-F-132 map
4. MK-NW-F-033 retirementEarmarkedValue
5. MK-ST-F-055 round2
6. MK-CF-F-106 solveSafeDraw
7. MK-CF-F-069 benefitActiveMonths
8. MK-CF-F-072 currentRetirementIncomeMonthly
9. MK-CF-F-018 equityByMonth
10. MK-ST-F-056 has
11. MK-ST-F-053 money
12. MK-CF-F-087 monthlyTaxRates
13. MK-CF-F-073 otherIncomeMonth
14. MK-CF-F-022 paymentShape
15. MK-CF-F-068 rentalNetAnnual
16. MK-CF-F-023 requiredPayment
17. MK-CF-F-060 salaryGrossByMonth
18. MK-CF-F-008 spendByMonth
19. MK-ST-F-052 toNum
20. MK-NW-F-032 earmarkedAmount
21. MK-NW-F-031 primaryCarIdOf
22. MK-PL-F-050 simulate
23. MK-CF-F-075 retirementIncomeMonthly
24. MK-CF-F-062 equityRowValue
25. MK-CF-F-066 rsuAnnual
26. MK-CF-F-121 zero12
27. MK-ST-F-049 formatMoney
28. MK-CF-F-090 effectiveRate
29. MK-CF-F-085 filingStatusOf
30. MK-CF-F-089 over65CountOf
31. MK-CF-F-098 progressiveMonthlyTax
32. MK-CF-F-181 rateInForce
33. MK-CF-F-086 stateRateOf
34. MK-CF-F-088 taxableByCalendarMonth
35. MK-CF-F-021 defaultPaymentType
36. MK-CF-F-067 rentalList
37. MK-CF-F-176 sumMonthsOverEarners
38. MK-CF-F-177 wageGrossByMonth
39. MK-CF-F-120 pctBaseMonthly
40. MK-CF-F-004 spendBuckets
41. MK-NW-F-030 earmarkDefault
42. MK-NW-F-011 assetClassOf
43. MK-PL-F-074 median
44. MK-PL-F-072 mulberry32
45. MK-PL-F-073 normal
46. MK-PL-F-075 pctOfSorted
47. MK-ST-F-025 rmdStartAgeFromAge
48. MK-CF-F-063 rowVestYear
49. MK-ST-F-048 currencySymbol
50. MK-CF-F-101 taxOwedFor
51. MK-CF-F-100 taxableIncomeFor
52. MK-CF-F-173 earnerWages
53. MK-CF-F-102 effectiveRateOnGrossFor
54. MK-CF-F-180 enteredLandsAnnual
55. MK-CF-F-082 salaryAnnual
56. MK-CF-F-084 taxableAnnual
57. MK-CF-F-065 equityVestWeights
58. MK-CF-F-071 extraIncome
59. MK-CF-F-130 enteredMonthlyRaw
60. MK-CF-F-166 hasMonthlySalaryTable
61. MK-CF-F-167 salaryCalendarYear
62. MK-CF-F-092 incomeMonthlyGrid
63. MK-CF-F-003 categoryMonthly
64. MK-NW-F-013 realEstateUseOf
65. MK-NW-F-008 incomeBearingClassOf
66. MK-ST-F-024 rmdStartAge
67. MK-ST-F-047 activeCurrency
68. MK-CF-F-099 deductionFor
69. MK-CF-F-172 hasWage
70. MK-CF-F-074 tipsAnnual
71. MK-CF-F-070 benefitAnnual
72. MK-CF-F-165 salaryMonths
73. MK-CF-F-077 scholarshipByCalendarMonth
74. MK-CF-F-155 cash
75. MK-ST-F-010 nameEvidence
76. MK-CF-F-081 salaryActiveMonths</t>
        </is>
      </c>
      <c r="R104" s="3" t="inlineStr">
        <is>
          <t>1. MK-CF-F-069 benefitActiveMonths → MK-XS-F-004 buildDatedGrid → MK-CF-F-107 buildPaycheckYear
2. MK-ST-F-052 toNum → MK-CF-F-075 retirementIncomeMonthly → MK-CF-F-072 currentRetirementIncomeMonthly → MK-XS-F-004 buildDatedGrid → MK-CF-F-107 buildPaycheckYear
3.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MK-ST-F-052 toNum → MK-CF-F-066 rsuAnnual → MK-CF-F-018 equityByMonth → MK-XS-F-004 buildDatedGrid → MK-CF-F-107 buildPaycheckYear
8. MK-CF-F-121 zero12 → MK-CF-F-018 equityByMonth → MK-XS-F-004 buildDatedGrid → MK-CF-F-107 buildPaycheckYear
9. … and 5 more paths</t>
        </is>
      </c>
      <c r="S104" s="3" t="inlineStr">
        <is>
          <t>—</t>
        </is>
      </c>
      <c r="T104" s="3" t="inlineStr">
        <is>
          <t>—</t>
        </is>
      </c>
      <c r="U104" s="3" t="inlineStr">
        <is>
          <t>ACTIVE</t>
        </is>
      </c>
      <c r="V104" s="3" t="inlineStr">
        <is>
          <t>2026-08-27</t>
        </is>
      </c>
    </row>
    <row r="105">
      <c r="A105" s="3" t="inlineStr">
        <is>
          <t>MK-CF-F-108</t>
        </is>
      </c>
      <c r="B105" s="3" t="inlineStr">
        <is>
          <t>isMoneyOut</t>
        </is>
      </c>
      <c r="C105" s="3" t="inlineStr">
        <is>
          <t>src/domain/transactions/flags.ts</t>
        </is>
      </c>
      <c r="D105" s="3" t="n">
        <v>50</v>
      </c>
      <c r="E105" s="3" t="inlineStr">
        <is>
          <t>3 · DEPENDENT (feeds an action only)</t>
        </is>
      </c>
      <c r="F105" s="3" t="inlineStr">
        <is>
          <t>Money leaves the account: withdrawals, fees, and transfers with no recognized counter-account.</t>
        </is>
      </c>
      <c r="G105" s="6"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No</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2026-08-27</t>
        </is>
      </c>
    </row>
    <row r="106">
      <c r="A106" s="3" t="inlineStr">
        <is>
          <t>MK-CF-F-109</t>
        </is>
      </c>
      <c r="B106" s="3" t="inlineStr">
        <is>
          <t>reviewTransactions</t>
        </is>
      </c>
      <c r="C106" s="3" t="inlineStr">
        <is>
          <t>src/domain/transactions/flags.ts</t>
        </is>
      </c>
      <c r="D106" s="3" t="n">
        <v>165</v>
      </c>
      <c r="E106" s="3" t="inlineStr">
        <is>
          <t>3 · DEPENDENT (feeds an action only)</t>
        </is>
      </c>
      <c r="F106" s="3" t="inlineStr">
        <is>
          <t>Review new transactions against an account's history.</t>
        </is>
      </c>
      <c r="G106" s="6"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
3. Leaves some rows out of the answer — check which.</t>
        </is>
      </c>
      <c r="N106" s="3" t="inlineStr">
        <is>
          <t>No</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2026-08-27</t>
        </is>
      </c>
    </row>
    <row r="107">
      <c r="A107" s="3" t="inlineStr">
        <is>
          <t>MK-CF-F-110</t>
        </is>
      </c>
      <c r="B107" s="3" t="inlineStr">
        <is>
          <t>flagComparisonText</t>
        </is>
      </c>
      <c r="C107" s="3" t="inlineStr">
        <is>
          <t>src/domain/transactions/flags.ts</t>
        </is>
      </c>
      <c r="D107" s="3" t="n">
        <v>288</v>
      </c>
      <c r="E107" s="3" t="inlineStr">
        <is>
          <t>2 · DISPLAYED</t>
        </is>
      </c>
      <c r="F107" s="3" t="inlineStr">
        <is>
          <t>The plain-English comparison sentence for the detail view — fixed, human-reviewed templates.</t>
        </is>
      </c>
      <c r="G107" s="6"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"WHY WE'RE SHOWING THIS" — on the Worth a look screen</t>
        </is>
      </c>
      <c r="M107" s="3" t="inlineStr">
        <is>
          <t>· Rounds the answer to a whole number.</t>
        </is>
      </c>
      <c r="N107" s="3" t="inlineStr">
        <is>
          <t>Yes</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2026-08-27</t>
        </is>
      </c>
    </row>
    <row r="108">
      <c r="A108" s="3" t="inlineStr">
        <is>
          <t>MK-CF-F-111</t>
        </is>
      </c>
      <c r="B108" s="3" t="inlineStr">
        <is>
          <t>applyTransaction</t>
        </is>
      </c>
      <c r="C108" s="3" t="inlineStr">
        <is>
          <t>src/domain/transactions/index.ts</t>
        </is>
      </c>
      <c r="D108" s="3" t="n">
        <v>388</v>
      </c>
      <c r="E108" s="3" t="inlineStr">
        <is>
          <t>3 · DEPENDENT (feeds an action only)</t>
        </is>
      </c>
      <c r="F108" s="3" t="inlineStr">
        <is>
          <t>Apply one transaction to the accounts (pure).</t>
        </is>
      </c>
      <c r="G108" s="6"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
5. Leaves some rows out of the answer — check which.</t>
        </is>
      </c>
      <c r="N108" s="3" t="inlineStr">
        <is>
          <t>No</t>
        </is>
      </c>
      <c r="O108" s="3" t="inlineStr">
        <is>
          <t>1. MK-CF-F-138 addLot
2. MK-CF-F-136 bumpCash
3. MK-CF-F-137 findPos
4. MK-CF-F-132 map
5. MK-CF-F-139 removeShares
6. MK-ST-F-055 round2
7. MK-PF-F-001 totalShares</t>
        </is>
      </c>
      <c r="P108" s="3" t="n">
        <v>9</v>
      </c>
      <c r="Q108" s="3" t="inlineStr">
        <is>
          <t>1. MK-CF-F-138 addLot
2. MK-CF-F-136 bumpCash
3. MK-CF-F-137 findPos
4. MK-CF-F-132 map
5. MK-CF-F-139 removeShares
6. MK-ST-F-055 round2
7. MK-PF-F-001 totalShares
8. MK-ST-F-043 newEntityId
9. MK-CF-F-134 usesSleeve</t>
        </is>
      </c>
      <c r="R108" s="3" t="inlineStr">
        <is>
          <t>1. MK-CF-F-137 findPos → MK-CF-F-138 addLot → MK-CF-F-111 applyTransaction
2. MK-CF-F-132 map → MK-CF-F-138 addLot → MK-CF-F-111 applyTransaction
3. MK-ST-F-043 newEntityId → MK-CF-F-138 addLot → MK-CF-F-111 applyTransaction
4. MK-ST-F-055 round2 → MK-CF-F-136 bumpCash → MK-CF-F-111 applyTransaction
5. MK-CF-F-134 usesSleeve → MK-CF-F-136 bumpCash → MK-CF-F-111 applyTransaction
6. MK-CF-F-137 findPos → MK-CF-F-111 applyTransaction
7. MK-CF-F-132 map → MK-CF-F-111 applyTransaction
8. MK-CF-F-137 findPos → MK-CF-F-139 removeShares → MK-CF-F-111 applyTransaction
9. … and 4 more paths</t>
        </is>
      </c>
      <c r="S108" s="3" t="inlineStr">
        <is>
          <t>—</t>
        </is>
      </c>
      <c r="T108" s="3" t="inlineStr">
        <is>
          <t>—</t>
        </is>
      </c>
      <c r="U108" s="3" t="inlineStr">
        <is>
          <t>ACTIVE</t>
        </is>
      </c>
      <c r="V108" s="3" t="inlineStr">
        <is>
          <t>2026-08-27</t>
        </is>
      </c>
    </row>
    <row r="109">
      <c r="A109" s="3" t="inlineStr">
        <is>
          <t>MK-CF-F-112</t>
        </is>
      </c>
      <c r="B109" s="3" t="inlineStr">
        <is>
          <t>makeTransaction</t>
        </is>
      </c>
      <c r="C109" s="3" t="inlineStr">
        <is>
          <t>src/domain/transactions/index.ts</t>
        </is>
      </c>
      <c r="D109" s="3" t="n">
        <v>464</v>
      </c>
      <c r="E109" s="3" t="inlineStr">
        <is>
          <t>3 · DEPENDENT (feeds an action only)</t>
        </is>
      </c>
      <c r="F109" s="3" t="inlineStr">
        <is>
          <t>Build a full transaction (id + created_at) from a partial.</t>
        </is>
      </c>
      <c r="G109" s="6"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No</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2026-08-27</t>
        </is>
      </c>
    </row>
    <row r="110">
      <c r="A110" s="3" t="inlineStr">
        <is>
          <t>MK-CF-F-113</t>
        </is>
      </c>
      <c r="B110" s="3" t="inlineStr">
        <is>
          <t>affectedAccountIds</t>
        </is>
      </c>
      <c r="C110" s="3" t="inlineStr">
        <is>
          <t>src/domain/transactions/index.ts</t>
        </is>
      </c>
      <c r="D110" s="3" t="n">
        <v>494</v>
      </c>
      <c r="E110" s="3" t="inlineStr">
        <is>
          <t>3 · DEPENDENT (feeds an action only)</t>
        </is>
      </c>
      <c r="F110" s="3" t="inlineStr">
        <is>
          <t>The account ids a transaction can touch.</t>
        </is>
      </c>
      <c r="G110" s="6"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No</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2026-08-27</t>
        </is>
      </c>
    </row>
    <row r="111">
      <c r="A111" s="3" t="inlineStr">
        <is>
          <t>MK-CF-F-114</t>
        </is>
      </c>
      <c r="B111" s="3" t="inlineStr">
        <is>
          <t>undoSnapshot</t>
        </is>
      </c>
      <c r="C111" s="3" t="inlineStr">
        <is>
          <t>src/domain/transactions/index.ts</t>
        </is>
      </c>
      <c r="D111" s="3" t="n">
        <v>518</v>
      </c>
      <c r="E111" s="3" t="inlineStr">
        <is>
          <t>3 · DEPENDENT (feeds an action only)</t>
        </is>
      </c>
      <c r="F111" s="3" t="inlineStr">
        <is>
          <t>Deep copies of the affected accounts, taken BEFORE applyTransaction.</t>
        </is>
      </c>
      <c r="G111" s="6"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 Leaves some rows out of the answer — check which.</t>
        </is>
      </c>
      <c r="N111" s="3" t="inlineStr">
        <is>
          <t>No</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2026-08-27</t>
        </is>
      </c>
    </row>
    <row r="112">
      <c r="A112" s="3" t="inlineStr">
        <is>
          <t>MK-CF-F-115</t>
        </is>
      </c>
      <c r="B112" s="3" t="inlineStr">
        <is>
          <t>restoreUndo</t>
        </is>
      </c>
      <c r="C112" s="3" t="inlineStr">
        <is>
          <t>src/domain/transactions/index.ts</t>
        </is>
      </c>
      <c r="D112" s="3" t="n">
        <v>542</v>
      </c>
      <c r="E112" s="3" t="inlineStr">
        <is>
          <t>3 · DEPENDENT (feeds an action only)</t>
        </is>
      </c>
      <c r="F112" s="3" t="inlineStr">
        <is>
          <t>Restore the affected accounts to the transaction's pre-apply copies (pure).</t>
        </is>
      </c>
      <c r="G112" s="6"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No</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2026-08-27</t>
        </is>
      </c>
    </row>
    <row r="113">
      <c r="A113" s="3" t="inlineStr">
        <is>
          <t>MK-CF-F-116</t>
        </is>
      </c>
      <c r="B113" s="3" t="inlineStr">
        <is>
          <t>inverseOf</t>
        </is>
      </c>
      <c r="C113" s="3" t="inlineStr">
        <is>
          <t>src/domain/transactions/index.ts</t>
        </is>
      </c>
      <c r="D113" s="3" t="n">
        <v>572</v>
      </c>
      <c r="E113" s="3" t="inlineStr">
        <is>
          <t>3 · DEPENDENT (feeds an action only)</t>
        </is>
      </c>
      <c r="F113" s="3" t="inlineStr">
        <is>
          <t>Legacy fallback for rows recorded before undo_prev: a synthetic opposite transaction.</t>
        </is>
      </c>
      <c r="G113" s="6"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No</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2026-08-27</t>
        </is>
      </c>
    </row>
    <row r="114">
      <c r="A114" s="3" t="inlineStr">
        <is>
          <t>MK-CF-F-117</t>
        </is>
      </c>
      <c r="B114" s="3" t="inlineStr">
        <is>
          <t>txnLabel</t>
        </is>
      </c>
      <c r="C114" s="3" t="inlineStr">
        <is>
          <t>src/domain/transactions/index.ts</t>
        </is>
      </c>
      <c r="D114" s="3" t="n">
        <v>612</v>
      </c>
      <c r="E114" s="3" t="inlineStr">
        <is>
          <t>2 · DISPLAYED</t>
        </is>
      </c>
      <c r="F114" s="3" t="inlineStr">
        <is>
          <t>What do we call this kind of row on screen?</t>
        </is>
      </c>
      <c r="G114" s="6" t="inlineStr">
        <is>
          <t>NOT READ YET — the body is not a shape this can render faithfully, so nothing is claimed rather than something being guessed. It needs reading by hand.</t>
        </is>
      </c>
      <c r="H114" s="3" t="inlineStr">
        <is>
          <t>NOT READ YET — the body is not a shape this can render faithfully, so nothing is claimed rather than something being guessed. It needs reading by hand.</t>
        </is>
      </c>
      <c r="I114" s="3" t="inlineStr">
        <is>
          <t>NOT READ — nothing is claimed rather than something guessed</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2026-08-27</t>
        </is>
      </c>
    </row>
    <row r="115">
      <c r="A115" s="3" t="inlineStr">
        <is>
          <t>MK-CF-F-118</t>
        </is>
      </c>
      <c r="B115" s="3" t="inlineStr">
        <is>
          <t>cashEffect</t>
        </is>
      </c>
      <c r="C115" s="3" t="inlineStr">
        <is>
          <t>src/domain/transactions/index.ts</t>
        </is>
      </c>
      <c r="D115" s="3" t="n">
        <v>637</v>
      </c>
      <c r="E115" s="3" t="inlineStr">
        <is>
          <t>2 · DISPLAYED</t>
        </is>
      </c>
      <c r="F115" s="3" t="inlineStr">
        <is>
          <t>Signed cash effect on the primary account (for display).</t>
        </is>
      </c>
      <c r="G115" s="6" t="inlineStr">
        <is>
          <t>NOT READ YET — the body is not a shape this can render faithfully, so nothing is claimed rather than something being guessed. It needs reading by hand.</t>
        </is>
      </c>
      <c r="H115" s="3" t="inlineStr">
        <is>
          <t>NOT READ YET — the body is not a shape this can render faithfully, so nothing is claimed rather than something being guessed. It needs reading by hand.</t>
        </is>
      </c>
      <c r="I115" s="3" t="inlineStr">
        <is>
          <t>NOT READ — nothing is claimed rather than something guessed</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2026-08-27</t>
        </is>
      </c>
    </row>
    <row r="116">
      <c r="A116" s="3" t="inlineStr">
        <is>
          <t>MK-CF-F-119</t>
        </is>
      </c>
      <c r="B116" s="3" t="inlineStr">
        <is>
          <t>investmentIncomeAnnual</t>
        </is>
      </c>
      <c r="C116" s="3" t="inlineStr">
        <is>
          <t>src/domain/transactions/index.ts</t>
        </is>
      </c>
      <c r="D116" s="3" t="n">
        <v>673</v>
      </c>
      <c r="E116" s="3" t="inlineStr">
        <is>
          <t>3 · DEPENDENT (feeds an action only)</t>
        </is>
      </c>
      <c r="F116" s="3" t="inlineStr">
        <is>
          <t>Investment income (cash dividends/interest/coupons, not reinvested) over the trailing window — feeds the Income module.</t>
        </is>
      </c>
      <c r="G116" s="6"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
3. Leaves some rows out of the answer — check which.</t>
        </is>
      </c>
      <c r="N116" s="3" t="inlineStr">
        <is>
          <t>No</t>
        </is>
      </c>
      <c r="O116" s="3" t="inlineStr">
        <is>
          <t>MK-ST-F-055 round2</t>
        </is>
      </c>
      <c r="P116" s="3" t="n">
        <v>1</v>
      </c>
      <c r="Q116" s="3" t="inlineStr">
        <is>
          <t>MK-ST-F-055 round2</t>
        </is>
      </c>
      <c r="R116" s="3" t="inlineStr">
        <is>
          <t>MK-ST-F-055 round2 → MK-CF-F-119 investmentIncomeAnnual</t>
        </is>
      </c>
      <c r="S116" s="3" t="inlineStr">
        <is>
          <t>—</t>
        </is>
      </c>
      <c r="T116" s="3" t="inlineStr">
        <is>
          <t>—</t>
        </is>
      </c>
      <c r="U116" s="3" t="inlineStr">
        <is>
          <t>ACTIVE</t>
        </is>
      </c>
      <c r="V116" s="3" t="inlineStr">
        <is>
          <t>2026-08-28</t>
        </is>
      </c>
    </row>
    <row r="117">
      <c r="A117" s="3" t="inlineStr">
        <is>
          <t>MK-CF-F-120</t>
        </is>
      </c>
      <c r="B117" s="3" t="inlineStr">
        <is>
          <t>pctBaseMonthly</t>
        </is>
      </c>
      <c r="C117" s="3" t="inlineStr">
        <is>
          <t>src/domain/budget/index.ts</t>
        </is>
      </c>
      <c r="D117" s="3" t="n">
        <v>127</v>
      </c>
      <c r="E117" s="3" t="inlineStr">
        <is>
          <t>3 · DEPENDENT</t>
        </is>
      </c>
      <c r="F117" s="3" t="inlineStr">
        <is>
          <t>A-1: the %-of-income base = true take-home (after tax AND 401k) — the SAME base the spending-plan screen uses (modules.tsx SpendingEditor → takeHomeMonthly).</t>
        </is>
      </c>
      <c r="G117" s="6"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 Treats a year as twelve equal months.</t>
        </is>
      </c>
      <c r="N117" s="3" t="inlineStr">
        <is>
          <t>Yes</t>
        </is>
      </c>
      <c r="O117" s="3" t="inlineStr">
        <is>
          <t>MK-CF-F-092 incomeMonthlyGrid</t>
        </is>
      </c>
      <c r="P117" s="3" t="n">
        <v>44</v>
      </c>
      <c r="Q117" s="3" t="inlineStr">
        <is>
          <t>1. MK-CF-F-092 incomeMonthlyGrid
2. MK-CF-F-069 benefitActiveMonths
3. MK-CF-F-072 currentRetirementIncomeMonthly
4. MK-CF-F-065 equityVestWeights
5. MK-CF-F-071 extraIncome
6. MK-ST-F-056 has
7. MK-CF-F-132 map
8. MK-CF-F-087 monthlyTaxRates
9. MK-CF-F-073 otherIncomeMonth
10. MK-CF-F-181 rateInForce
11. MK-CF-F-068 rentalNetAnnual
12. MK-ST-F-055 round2
13. MK-CF-F-066 rsuAnnual
14. MK-CF-F-060 salaryGrossByMonth
15. MK-CF-F-077 scholarshipByCalendarMonth
16. MK-CF-F-088 taxableByCalendarMonth
17. MK-ST-F-052 toNum
18. MK-CF-F-075 retirementIncomeMonthly
19. MK-CF-F-062 equityRowValue
20. MK-CF-F-070 benefitAnnual
21. MK-CF-F-090 effectiveRate
22. MK-CF-F-085 filingStatusOf
23. MK-CF-F-089 over65CountOf
24. MK-CF-F-098 progressiveMonthlyTax
25. MK-CF-F-086 stateRateOf
26. MK-CF-F-173 earnerWages
27. MK-CF-F-102 effectiveRateOnGrossFor
28. MK-CF-F-180 enteredLandsAnnual
29. MK-CF-F-082 salaryAnnual
30. MK-CF-F-084 taxableAnnual
31. MK-CF-F-067 rentalList
32. MK-CF-F-063 rowVestYear
33. MK-CF-F-176 sumMonthsOverEarners
34. MK-CF-F-177 wageGrossByMonth
35. MK-CF-F-101 taxOwedFor
36. MK-CF-F-100 taxableIncomeFor
37. MK-CF-F-172 hasWage
38. MK-CF-F-074 tipsAnnual
39. MK-CF-F-130 enteredMonthlyRaw
40. MK-CF-F-166 hasMonthlySalaryTable
41. MK-CF-F-167 salaryCalendarYear
42. MK-CF-F-099 deductionFor
43. MK-CF-F-081 salaryActiveMonths
44. MK-CF-F-165 salaryMonths</t>
        </is>
      </c>
      <c r="R117" s="3" t="inlineStr">
        <is>
          <t>1. MK-CF-F-069 benefitActiveMonths → MK-CF-F-092 incomeMonthlyGrid → MK-CF-F-120 pctBaseMonthly
2. MK-ST-F-052 toNum → MK-CF-F-075 retirementIncomeMonthly → MK-CF-F-072 currentRetirementIncomeMonthly → MK-CF-F-092 incomeMonthlyGrid → MK-CF-F-120 pctBaseMonthly
3. MK-ST-F-052 toNum → MK-CF-F-062 equityRowValue → MK-CF-F-065 equityVestWeights → MK-CF-F-092 incomeMonthlyGrid → MK-CF-F-120 pctBaseMonthly
4. MK-CF-F-132 map → MK-CF-F-065 equityVestWeights → MK-CF-F-092 incomeMonthlyGrid → MK-CF-F-120 pctBaseMonthly
5. MK-CF-F-069 benefitActiveMonths → MK-CF-F-070 benefitAnnual → MK-CF-F-071 extraIncome → MK-CF-F-092 incomeMonthlyGrid → MK-CF-F-120 pctBaseMonthly
6. MK-ST-F-052 toNum → MK-CF-F-070 benefitAnnual → MK-CF-F-071 extraIncome → MK-CF-F-092 incomeMonthlyGrid → MK-CF-F-120 pctBaseMonthly
7. MK-ST-F-055 round2 → MK-CF-F-071 extraIncome → MK-CF-F-092 incomeMonthlyGrid → MK-CF-F-120 pctBaseMonthly
8. MK-ST-F-052 toNum → MK-CF-F-071 extraIncome → MK-CF-F-092 incomeMonthlyGrid → MK-CF-F-120 pctBaseMonthly
9. … and 4 more paths</t>
        </is>
      </c>
      <c r="S117" s="3" t="inlineStr">
        <is>
          <t>—</t>
        </is>
      </c>
      <c r="T117" s="3" t="inlineStr">
        <is>
          <t>—</t>
        </is>
      </c>
      <c r="U117" s="3" t="inlineStr">
        <is>
          <t>ACTIVE</t>
        </is>
      </c>
      <c r="V117" s="3" t="inlineStr">
        <is>
          <t>2026-08-27</t>
        </is>
      </c>
    </row>
    <row r="118">
      <c r="A118" s="3" t="inlineStr">
        <is>
          <t>MK-CF-F-121</t>
        </is>
      </c>
      <c r="B118" s="3" t="inlineStr">
        <is>
          <t>zero12</t>
        </is>
      </c>
      <c r="C118" s="3" t="inlineStr">
        <is>
          <t>src/domain/cashflow/index.ts</t>
        </is>
      </c>
      <c r="D118" s="3" t="n">
        <v>34</v>
      </c>
      <c r="E118" s="3" t="inlineStr">
        <is>
          <t>3 · DEPENDENT</t>
        </is>
      </c>
      <c r="F118" s="3" t="inlineStr">
        <is>
          <t>NOT DETERMINED — the code carries no note saying what this is for, and it has no row in the old inventory. Needs reading.</t>
        </is>
      </c>
      <c r="G118" s="6" t="inlineStr">
        <is>
          <t>NOT READ YET — the body is not a shape this can render faithfully, so nothing is claimed rather than something being guessed. It needs reading by hand.</t>
        </is>
      </c>
      <c r="H118" s="3" t="inlineStr">
        <is>
          <t>NOT READ YET — the body is not a shape this can render faithfully, so nothing is claimed rather than something being guessed. It needs reading by hand.</t>
        </is>
      </c>
      <c r="I118" s="3" t="inlineStr">
        <is>
          <t>NOT READ — nothing is claimed rather than something guessed</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2026-08-27</t>
        </is>
      </c>
    </row>
    <row r="119">
      <c r="A119" s="3" t="inlineStr">
        <is>
          <t>MK-CF-F-122</t>
        </is>
      </c>
      <c r="B119" s="3" t="inlineStr">
        <is>
          <t>addDays</t>
        </is>
      </c>
      <c r="C119" s="3" t="inlineStr">
        <is>
          <t>src/domain/cashflow/index.ts</t>
        </is>
      </c>
      <c r="D119" s="3" t="n">
        <v>132</v>
      </c>
      <c r="E119" s="3" t="inlineStr">
        <is>
          <t>2 · DISPLAYED</t>
        </is>
      </c>
      <c r="F119" s="3" t="inlineStr">
        <is>
          <t>NOT DETERMINED — the code carries no note saying what this is for, and it has no row in the old inventory. Needs reading.</t>
        </is>
      </c>
      <c r="G119" s="6" t="inlineStr">
        <is>
          <t>NOT READ YET — the body is not a shape this can render faithfully, so nothing is claimed rather than something being guessed. It needs reading by hand.</t>
        </is>
      </c>
      <c r="H119" s="3" t="inlineStr">
        <is>
          <t>NOT READ YET — the body is not a shape this can render faithfully, so nothing is claimed rather than something being guessed. It needs reading by hand.</t>
        </is>
      </c>
      <c r="I119" s="3" t="inlineStr">
        <is>
          <t>NOT READ — nothing is claimed rather than something guessed</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2026-08-27</t>
        </is>
      </c>
    </row>
    <row r="120">
      <c r="A120" s="3" t="inlineStr">
        <is>
          <t>MK-CF-F-124</t>
        </is>
      </c>
      <c r="B120" s="3" t="inlineStr">
        <is>
          <t>nextOccurrence</t>
        </is>
      </c>
      <c r="C120" s="3" t="inlineStr">
        <is>
          <t>src/domain/cashflow/index.ts</t>
        </is>
      </c>
      <c r="D120" s="3" t="n">
        <v>175</v>
      </c>
      <c r="E120" s="3" t="inlineStr">
        <is>
          <t>3 · DEPENDENT</t>
        </is>
      </c>
      <c r="F120" s="3" t="inlineStr">
        <is>
          <t>The next time (month, day) occurs on/after `now`, unless an explicit year is given.</t>
        </is>
      </c>
      <c r="G120" s="6"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row>
    <row r="12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6"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row>
    <row r="122">
      <c r="A122" s="3" t="inlineStr">
        <is>
          <t>MK-CF-F-126</t>
        </is>
      </c>
      <c r="B122" s="3" t="inlineStr">
        <is>
          <t>futureValue</t>
        </is>
      </c>
      <c r="C122" s="3" t="inlineStr">
        <is>
          <t>src/domain/debt/mortgageVsTreasury.ts</t>
        </is>
      </c>
      <c r="D122" s="3" t="n">
        <v>108</v>
      </c>
      <c r="E122" s="3" t="inlineStr">
        <is>
          <t>3 · DEPENDENT</t>
        </is>
      </c>
      <c r="F122" s="3" t="inlineStr">
        <is>
          <t>Future value of a monthly contribution earning `rate`, contributed at the end of each month.</t>
        </is>
      </c>
      <c r="G122" s="6"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 Treats a year as twelve equal months.</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row>
    <row r="123">
      <c r="A123" s="3" t="inlineStr">
        <is>
          <t>MK-CF-F-127</t>
        </is>
      </c>
      <c r="B123" s="3" t="inlineStr">
        <is>
          <t>isRental</t>
        </is>
      </c>
      <c r="C123" s="3" t="inlineStr">
        <is>
          <t>src/domain/income/calc.ts</t>
        </is>
      </c>
      <c r="D123" s="3" t="n">
        <v>29</v>
      </c>
      <c r="E123" s="3" t="inlineStr">
        <is>
          <t>1 · ACTION</t>
        </is>
      </c>
      <c r="F123" s="3" t="inlineStr">
        <is>
          <t>NOT DETERMINED — the code carries no note saying what this is for, and it has no row in the old inventory. Needs reading.</t>
        </is>
      </c>
      <c r="G123" s="6"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row>
    <row r="124">
      <c r="A124" s="3" t="inlineStr">
        <is>
          <t>MK-CF-F-128</t>
        </is>
      </c>
      <c r="B124" s="3" t="inlineStr">
        <is>
          <t>grossByMonth</t>
        </is>
      </c>
      <c r="C124" s="3" t="inlineStr">
        <is>
          <t>MoneyKeel/functions/cashflow/base-pay.ts</t>
        </is>
      </c>
      <c r="D124" s="3" t="n">
        <v>163</v>
      </c>
      <c r="E124" s="3" t="inlineStr">
        <is>
          <t>3 · DEPENDENT</t>
        </is>
      </c>
      <c r="F124" s="3" t="inlineStr">
        <is>
          <t>GROSS pay for each month the table covers, or twelve identical months when pay is steady.</t>
        </is>
      </c>
      <c r="G124" s="6"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5</v>
      </c>
      <c r="Q124" s="3" t="inlineStr">
        <is>
          <t>1. MK-CF-F-142 monthsOf
2. MK-CF-F-141 perMonth
3. MK-CF-F-132 map
4. MK-ST-F-052 toNum
5. MK-CF-F-140 periodsAYear</t>
        </is>
      </c>
      <c r="R124" s="3" t="inlineStr">
        <is>
          <t>1. MK-CF-F-132 map → MK-CF-F-142 monthsOf → MK-CF-F-128 grossByMonth
2. MK-ST-F-052 toNum → MK-CF-F-142 monthsOf → MK-CF-F-128 grossByMonth
3. MK-CF-F-140 periodsAYear → MK-CF-F-141 perMonth → MK-CF-F-128 grossByMonth
4. MK-ST-F-052 toNum → MK-CF-F-141 perMonth → MK-CF-F-128 grossByMonth</t>
        </is>
      </c>
      <c r="S124" s="3" t="inlineStr">
        <is>
          <t>—</t>
        </is>
      </c>
      <c r="T124" s="3" t="inlineStr">
        <is>
          <t>—</t>
        </is>
      </c>
      <c r="U124" s="3" t="inlineStr">
        <is>
          <t>ACTIVE</t>
        </is>
      </c>
      <c r="V124" s="3" t="inlineStr">
        <is>
          <t>2026-08-28</t>
        </is>
      </c>
    </row>
    <row r="125">
      <c r="A125" s="3" t="inlineStr">
        <is>
          <t>MK-CF-F-129</t>
        </is>
      </c>
      <c r="B125" s="3" t="inlineStr">
        <is>
          <t>round4</t>
        </is>
      </c>
      <c r="C125" s="3" t="inlineStr">
        <is>
          <t>src/domain/income/calc.ts</t>
        </is>
      </c>
      <c r="D125" s="3" t="n">
        <v>284</v>
      </c>
      <c r="E125" s="3" t="inlineStr">
        <is>
          <t>1 · ACTION</t>
        </is>
      </c>
      <c r="F125" s="3" t="inlineStr">
        <is>
          <t>NOT DETERMINED — the code carries no note saying what this is for, and it has no row in the old inventory. Needs reading.</t>
        </is>
      </c>
      <c r="G125" s="6" t="inlineStr">
        <is>
          <t>round(n × 10000) ÷ 10000</t>
        </is>
      </c>
      <c r="H125" s="3" t="inlineStr">
        <is>
          <t>n times 10000, to a whole number divided by 10000</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 Rounds the answer to a whole number.</t>
        </is>
      </c>
      <c r="N125" s="3" t="inlineStr">
        <is>
          <t>Yes</t>
        </is>
      </c>
      <c r="O125" s="3" t="inlineStr">
        <is>
          <t>—</t>
        </is>
      </c>
      <c r="P125" s="3" t="n">
        <v>0</v>
      </c>
      <c r="Q125" s="3" t="inlineStr">
        <is>
          <t>None — no dependent function stands behind it</t>
        </is>
      </c>
      <c r="R125" s="3" t="inlineStr">
        <is>
          <t>No dependent function — it reads its inputs and answers</t>
        </is>
      </c>
      <c r="S125" s="3" t="inlineStr">
        <is>
          <t>—</t>
        </is>
      </c>
      <c r="T125" s="3" t="inlineStr">
        <is>
          <t>—</t>
        </is>
      </c>
      <c r="U125" s="3" t="inlineStr">
        <is>
          <t>ACTIVE</t>
        </is>
      </c>
      <c r="V125" s="3" t="inlineStr">
        <is>
          <t>2026-08-27</t>
        </is>
      </c>
    </row>
    <row r="126">
      <c r="A126" s="3" t="inlineStr">
        <is>
          <t>MK-CF-F-130</t>
        </is>
      </c>
      <c r="B126" s="3" t="inlineStr">
        <is>
          <t>enteredMonthlyRaw</t>
        </is>
      </c>
      <c r="C126" s="3" t="inlineStr">
        <is>
          <t>src/domain/income/onboarding.ts</t>
        </is>
      </c>
      <c r="D126" s="3" t="n">
        <v>86</v>
      </c>
      <c r="E126" s="3" t="inlineStr">
        <is>
          <t>3 · DEPENDENT</t>
        </is>
      </c>
      <c r="F126" s="3" t="inlineStr">
        <is>
          <t>A single entered base amount expressed per month, before tax gross-up (hourly/weekly/… → monthly).</t>
        </is>
      </c>
      <c r="G126" s="6"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1. If salary freq] is missing it uses 12.
2. Treats a year as twelve equal months.</t>
        </is>
      </c>
      <c r="N126" s="3" t="inlineStr">
        <is>
          <t>Yes</t>
        </is>
      </c>
      <c r="O126" s="3" t="inlineStr">
        <is>
          <t>MK-ST-F-052 toNum</t>
        </is>
      </c>
      <c r="P126" s="3" t="n">
        <v>1</v>
      </c>
      <c r="Q126" s="3" t="inlineStr">
        <is>
          <t>MK-ST-F-052 toNum</t>
        </is>
      </c>
      <c r="R126" s="3" t="inlineStr">
        <is>
          <t>MK-ST-F-052 toNum → MK-CF-F-130 enteredMonthlyRaw</t>
        </is>
      </c>
      <c r="S126" s="3" t="inlineStr">
        <is>
          <t>—</t>
        </is>
      </c>
      <c r="T126" s="3" t="inlineStr">
        <is>
          <t>—</t>
        </is>
      </c>
      <c r="U126" s="3" t="inlineStr">
        <is>
          <t>ACTIVE</t>
        </is>
      </c>
      <c r="V126" s="3" t="inlineStr">
        <is>
          <t>2026-08-27</t>
        </is>
      </c>
    </row>
    <row r="127">
      <c r="A127" s="3" t="inlineStr">
        <is>
          <t>MK-CF-F-131</t>
        </is>
      </c>
      <c r="B127" s="3" t="inlineStr">
        <is>
          <t>normPayee</t>
        </is>
      </c>
      <c r="C127" s="3" t="inlineStr">
        <is>
          <t>src/domain/transactions/flags.ts</t>
        </is>
      </c>
      <c r="D127" s="3" t="n">
        <v>74</v>
      </c>
      <c r="E127" s="3" t="inlineStr">
        <is>
          <t>1 · ACTION</t>
        </is>
      </c>
      <c r="F127" s="3" t="inlineStr">
        <is>
          <t>NOT DETERMINED — the code carries no note saying what this is for, and it has no row in the old inventory. Needs reading.</t>
        </is>
      </c>
      <c r="G127" s="6"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No</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row>
    <row r="128">
      <c r="A128" s="3" t="inlineStr">
        <is>
          <t>MK-CF-F-132</t>
        </is>
      </c>
      <c r="B128" s="3" t="inlineStr">
        <is>
          <t>map</t>
        </is>
      </c>
      <c r="C128" s="3" t="inlineStr">
        <is>
          <t>src/domain/transactions/index.ts</t>
        </is>
      </c>
      <c r="D128" s="3" t="n">
        <v>115</v>
      </c>
      <c r="E128" s="3" t="inlineStr">
        <is>
          <t>1 · ACTION</t>
        </is>
      </c>
      <c r="F128" s="3" t="inlineStr">
        <is>
          <t>NOT DETERMINED — the code carries no note saying what this is for, and it has no row in the old inventory. Needs reading.</t>
        </is>
      </c>
      <c r="G128" s="6"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 share of what they put in, or a flat amount." — on the base pay screen
2. "ACCOUNTS (year-end)" — on the Tax organiser screen, under "ACCOUNTS (year-end)"
3. "AVG YIELD" — on the Bonds screen, under "BONDS &amp; CDS"
4. "Account name" — on the Import holdings screen, under "REVIEW YOUR HOLDINGS"
5. "Add a goal ›" — on the Goals together screen, under "TRY THESE TOGETHER"
6. "Add your income ›" — on the income summary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row>
    <row r="129">
      <c r="A129" s="3" t="inlineStr">
        <is>
          <t>MK-CF-F-133</t>
        </is>
      </c>
      <c r="B129" s="3" t="inlineStr">
        <is>
          <t>cashOf</t>
        </is>
      </c>
      <c r="C129" s="3" t="inlineStr">
        <is>
          <t>src/domain/transactions/index.ts</t>
        </is>
      </c>
      <c r="D129" s="3" t="n">
        <v>136</v>
      </c>
      <c r="E129" s="3" t="inlineStr">
        <is>
          <t>1 · ACTION</t>
        </is>
      </c>
      <c r="F129" s="3" t="inlineStr">
        <is>
          <t>NOT DETERMINED — the code carries no note saying what this is for, and it has no row in the old inventory. Needs reading.</t>
        </is>
      </c>
      <c r="G129" s="6"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row>
    <row r="130">
      <c r="A130" s="3" t="inlineStr">
        <is>
          <t>MK-CF-F-134</t>
        </is>
      </c>
      <c r="B130" s="3" t="inlineStr">
        <is>
          <t>usesSleeve</t>
        </is>
      </c>
      <c r="C130" s="3" t="inlineStr">
        <is>
          <t>src/domain/transactions/index.ts</t>
        </is>
      </c>
      <c r="D130" s="3" t="n">
        <v>164</v>
      </c>
      <c r="E130" s="3" t="inlineStr">
        <is>
          <t>1 · ACTION</t>
        </is>
      </c>
      <c r="F130" s="3" t="inlineStr">
        <is>
          <t>Where an account's spendable cash lives: investment accounts use the cash_balance SLEEVE; cash accounts (checking/savings) and property hold their money in `balance`.</t>
        </is>
      </c>
      <c r="G130" s="6"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row>
    <row r="131">
      <c r="A131" s="3" t="inlineStr">
        <is>
          <t>MK-CF-F-135</t>
        </is>
      </c>
      <c r="B131" s="3" t="inlineStr">
        <is>
          <t>availableCash</t>
        </is>
      </c>
      <c r="C131" s="3" t="inlineStr">
        <is>
          <t>src/domain/transactions/index.ts</t>
        </is>
      </c>
      <c r="D131" s="3" t="n">
        <v>187</v>
      </c>
      <c r="E131" s="3" t="inlineStr">
        <is>
          <t>1 · ACTION</t>
        </is>
      </c>
      <c r="F131" s="3" t="inlineStr">
        <is>
          <t>NOT DETERMINED — the code carries no note saying what this is for, and it has no row in the old inventory. Needs reading.</t>
        </is>
      </c>
      <c r="G131" s="6"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row>
    <row r="132">
      <c r="A132" s="3" t="inlineStr">
        <is>
          <t>MK-CF-F-136</t>
        </is>
      </c>
      <c r="B132" s="3" t="inlineStr">
        <is>
          <t>bumpCash</t>
        </is>
      </c>
      <c r="C132" s="3" t="inlineStr">
        <is>
          <t>src/domain/transactions/index.ts</t>
        </is>
      </c>
      <c r="D132" s="3" t="n">
        <v>218</v>
      </c>
      <c r="E132" s="3" t="inlineStr">
        <is>
          <t>3 · DEPENDENT (feeds an action only)</t>
        </is>
      </c>
      <c r="F132" s="3" t="inlineStr">
        <is>
          <t>NOT DETERMINED — the code carries no note saying what this is for, and it has no row in the old inventory. Needs reading.</t>
        </is>
      </c>
      <c r="G132" s="6" t="inlineStr">
        <is>
          <t>...a = ...a
cash balance = round((cash balance or 0) + delta, 2 dp)   when uses sleeve(a)
itemised = (positions.length ?? 0) &gt; 0 and tax bucket ! = 'CASH' and tax bucket ! = 'PROPERTY'
the answer:
...a = ...a
balance = round((balance or 0) + delta, 2 dp)</t>
        </is>
      </c>
      <c r="H132" s="3" t="inlineStr">
        <is>
          <t>When uses sleeve(a), it answers ...a = ...a; cash balance = (cash balance or 0) plus delta, to the cent. Itemised is (positions.length ?? 0) &gt; 0 and tax bucket ! = 'CASH' and tax bucket ! = 'PROPERTY'. The answer is ...a = ...a; balance = (balance or 0) plus delta, to the cent.</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No</t>
        </is>
      </c>
      <c r="O132" s="3" t="inlineStr">
        <is>
          <t>1. MK-ST-F-055 round2
2. MK-CF-F-134 usesSleeve</t>
        </is>
      </c>
      <c r="P132" s="3" t="n">
        <v>2</v>
      </c>
      <c r="Q132" s="3" t="inlineStr">
        <is>
          <t>1. MK-ST-F-055 round2
2. MK-CF-F-134 usesSleeve</t>
        </is>
      </c>
      <c r="R132" s="3" t="inlineStr">
        <is>
          <t>1. MK-ST-F-055 round2 → MK-CF-F-136 bumpCash
2. MK-CF-F-134 usesSleeve → MK-CF-F-136 bumpCash</t>
        </is>
      </c>
      <c r="S132" s="3" t="inlineStr">
        <is>
          <t>—</t>
        </is>
      </c>
      <c r="T132" s="3" t="inlineStr">
        <is>
          <t>—</t>
        </is>
      </c>
      <c r="U132" s="3" t="inlineStr">
        <is>
          <t>ACTIVE</t>
        </is>
      </c>
      <c r="V132" s="3" t="inlineStr">
        <is>
          <t>2026-08-27</t>
        </is>
      </c>
    </row>
    <row r="133">
      <c r="A133" s="3" t="inlineStr">
        <is>
          <t>MK-CF-F-137</t>
        </is>
      </c>
      <c r="B133" s="3" t="inlineStr">
        <is>
          <t>findPos</t>
        </is>
      </c>
      <c r="C133" s="3" t="inlineStr">
        <is>
          <t>src/domain/transactions/index.ts</t>
        </is>
      </c>
      <c r="D133" s="3" t="n">
        <v>259</v>
      </c>
      <c r="E133" s="3" t="inlineStr">
        <is>
          <t>1 · ACTION</t>
        </is>
      </c>
      <c r="F133" s="3" t="inlineStr">
        <is>
          <t>NOT DETERMINED — the code carries no note saying what this is for, and it has no row in the old inventory. Needs reading.</t>
        </is>
      </c>
      <c r="G133" s="6" t="inlineStr">
        <is>
          <t>NOT READ YET — the body is not a shape this can render faithfully, so nothing is claimed rather than something being guessed. It needs reading by hand.</t>
        </is>
      </c>
      <c r="H133" s="3" t="inlineStr">
        <is>
          <t>NOT READ YET — the body is not a shape this can render faithfully, so nothing is claimed rather than something being guessed. It needs reading by hand.</t>
        </is>
      </c>
      <c r="I133" s="3" t="inlineStr">
        <is>
          <t>NOT READ — nothing is claimed rather than something guessed</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No</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2026-08-27</t>
        </is>
      </c>
    </row>
    <row r="134">
      <c r="A134" s="3" t="inlineStr">
        <is>
          <t>MK-CF-F-138</t>
        </is>
      </c>
      <c r="B134" s="3" t="inlineStr">
        <is>
          <t>addLot</t>
        </is>
      </c>
      <c r="C134" s="3" t="inlineStr">
        <is>
          <t>src/domain/transactions/index.ts</t>
        </is>
      </c>
      <c r="D134" s="3" t="n">
        <v>298</v>
      </c>
      <c r="E134" s="3" t="inlineStr">
        <is>
          <t>3 · DEPENDENT (feeds an action only)</t>
        </is>
      </c>
      <c r="F134" s="3" t="inlineStr">
        <is>
          <t>Add shares to a position (creating it if needed) at a cost basis — used by BUY and reinvested dividends.</t>
        </is>
      </c>
      <c r="G134" s="6"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No</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2026-08-27</t>
        </is>
      </c>
    </row>
    <row r="135">
      <c r="A135" s="3" t="inlineStr">
        <is>
          <t>MK-CF-F-139</t>
        </is>
      </c>
      <c r="B135" s="3" t="inlineStr">
        <is>
          <t>removeShares</t>
        </is>
      </c>
      <c r="C135" s="3" t="inlineStr">
        <is>
          <t>src/domain/transactions/index.ts</t>
        </is>
      </c>
      <c r="D135" s="3" t="n">
        <v>337</v>
      </c>
      <c r="E135" s="3" t="inlineStr">
        <is>
          <t>3 · DEPENDENT (feeds an action only)</t>
        </is>
      </c>
      <c r="F135" s="3" t="inlineStr">
        <is>
          <t>Remove `shares` from a position FIFO (oldest lots first); returns updated account.</t>
        </is>
      </c>
      <c r="G135" s="6" t="inlineStr">
        <is>
          <t>pos = find pos(a, t)
a   when pos is missing
remaining = shares
lots = for each of pos.lots: { ...each }
take = min(shares, remaining)
kept = lots where shares &gt; 1e − 9
the answer = { ...a, positions }</t>
        </is>
      </c>
      <c r="H135" s="3" t="inlineStr">
        <is>
          <t>Pos is find pos(a, t). When pos is missing, it answers a. Remaining is shares. Lots is for each of pos.lots: { ...each }. Take: the smaller of shares and remaining. Kept is lots where shares &gt; 1e minus 9. The answer is { ...a, positions }.</t>
        </is>
      </c>
      <c r="I135" s="3" t="inlineStr">
        <is>
          <t>READ FROM THE CODE — rendered from the expressions the function runs</t>
        </is>
      </c>
      <c r="J135" s="3" t="inlineStr">
        <is>
          <t>1. a: AssetAccount
2. t: Transaction
3. shares: number</t>
        </is>
      </c>
      <c r="K135" s="3" t="inlineStr">
        <is>
          <t>AssetAccount</t>
        </is>
      </c>
      <c r="L135" s="3" t="inlineStr">
        <is>
          <t>—</t>
        </is>
      </c>
      <c r="M135" s="3" t="inlineStr">
        <is>
          <t>· Leaves some rows out of the answer — check which.</t>
        </is>
      </c>
      <c r="N135" s="3" t="inlineStr">
        <is>
          <t>No</t>
        </is>
      </c>
      <c r="O135" s="3" t="inlineStr">
        <is>
          <t>1. MK-CF-F-137 findPos
2. MK-CF-F-132 map
3. MK-ST-F-055 round2</t>
        </is>
      </c>
      <c r="P135" s="3" t="n">
        <v>3</v>
      </c>
      <c r="Q135" s="3" t="inlineStr">
        <is>
          <t>1. MK-CF-F-137 findPos
2. MK-CF-F-132 map
3. MK-ST-F-055 round2</t>
        </is>
      </c>
      <c r="R135" s="3" t="inlineStr">
        <is>
          <t>1. MK-CF-F-137 findPos → MK-CF-F-139 removeShares
2. MK-CF-F-132 map → MK-CF-F-139 removeShares
3. MK-ST-F-055 round2 → MK-CF-F-139 removeShares</t>
        </is>
      </c>
      <c r="S135" s="3" t="inlineStr">
        <is>
          <t>—</t>
        </is>
      </c>
      <c r="T135" s="3" t="inlineStr">
        <is>
          <t>—</t>
        </is>
      </c>
      <c r="U135" s="3" t="inlineStr">
        <is>
          <t>ACTIVE</t>
        </is>
      </c>
      <c r="V135" s="3" t="inlineStr">
        <is>
          <t>2026-08-27</t>
        </is>
      </c>
    </row>
    <row r="136">
      <c r="A136" s="3" t="inlineStr">
        <is>
          <t>MK-CF-F-140</t>
        </is>
      </c>
      <c r="B136" s="3" t="inlineStr">
        <is>
          <t>periodsAYear</t>
        </is>
      </c>
      <c r="C136" s="3" t="inlineStr">
        <is>
          <t>MoneyKeel/functions/cashflow/base-pay.ts</t>
        </is>
      </c>
      <c r="D136" s="3" t="n">
        <v>73</v>
      </c>
      <c r="E136" s="3" t="inlineStr">
        <is>
          <t>1 · ACTION</t>
        </is>
      </c>
      <c r="F136" s="3" t="inlineStr">
        <is>
          <t>NOT DETERMINED — the code carries no note saying what this is for, and it has no row in the old inventory. Needs reading.</t>
        </is>
      </c>
      <c r="G136" s="6"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row>
    <row r="137">
      <c r="A137" s="3" t="inlineStr">
        <is>
          <t>MK-CF-F-141</t>
        </is>
      </c>
      <c r="B137" s="3" t="inlineStr">
        <is>
          <t>perMonth</t>
        </is>
      </c>
      <c r="C137" s="3" t="inlineStr">
        <is>
          <t>MoneyKeel/functions/cashflow/base-pay.ts</t>
        </is>
      </c>
      <c r="D137" s="3" t="n">
        <v>103</v>
      </c>
      <c r="E137" s="3" t="inlineStr">
        <is>
          <t>3 · DEPENDENT</t>
        </is>
      </c>
      <c r="F137" s="3" t="inlineStr">
        <is>
          <t>One period of pay expressed as a month.</t>
        </is>
      </c>
      <c r="G137" s="6"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 Treats a year as twelve equal months.</t>
        </is>
      </c>
      <c r="N137" s="3" t="inlineStr">
        <is>
          <t>Yes</t>
        </is>
      </c>
      <c r="O137" s="3" t="inlineStr">
        <is>
          <t>1. MK-CF-F-140 periodsAYear
2. MK-ST-F-052 toNum</t>
        </is>
      </c>
      <c r="P137" s="3" t="n">
        <v>2</v>
      </c>
      <c r="Q137" s="3" t="inlineStr">
        <is>
          <t>1. MK-CF-F-140 periodsAYear
2. MK-ST-F-052 toNum</t>
        </is>
      </c>
      <c r="R137" s="3" t="inlineStr">
        <is>
          <t>1. MK-CF-F-140 periodsAYear → MK-CF-F-141 perMonth
2. MK-ST-F-052 toNum → MK-CF-F-141 perMonth</t>
        </is>
      </c>
      <c r="S137" s="3" t="inlineStr">
        <is>
          <t>—</t>
        </is>
      </c>
      <c r="T137" s="3" t="inlineStr">
        <is>
          <t>—</t>
        </is>
      </c>
      <c r="U137" s="3" t="inlineStr">
        <is>
          <t>ACTIVE</t>
        </is>
      </c>
      <c r="V137" s="3" t="inlineStr">
        <is>
          <t>2026-08-28</t>
        </is>
      </c>
    </row>
    <row r="138">
      <c r="A138" s="3" t="inlineStr">
        <is>
          <t>MK-CF-F-142</t>
        </is>
      </c>
      <c r="B138" s="3" t="inlineStr">
        <is>
          <t>monthsOf</t>
        </is>
      </c>
      <c r="C138" s="3" t="inlineStr">
        <is>
          <t>MoneyKeel/functions/cashflow/base-pay.ts</t>
        </is>
      </c>
      <c r="D138" s="3" t="n">
        <v>133</v>
      </c>
      <c r="E138" s="3" t="inlineStr">
        <is>
          <t>3 · DEPENDENT</t>
        </is>
      </c>
      <c r="F138" s="3" t="inlineStr">
        <is>
          <t>The months the person filled in, in order.</t>
        </is>
      </c>
      <c r="G138" s="6"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MK-CF-F-132 map
2. MK-ST-F-052 toNum</t>
        </is>
      </c>
      <c r="P138" s="3" t="n">
        <v>2</v>
      </c>
      <c r="Q138" s="3" t="inlineStr">
        <is>
          <t>1. MK-CF-F-132 map
2. MK-ST-F-052 toNum</t>
        </is>
      </c>
      <c r="R138" s="3" t="inlineStr">
        <is>
          <t>1. MK-CF-F-132 map → MK-CF-F-142 monthsOf
2. MK-ST-F-052 toNum → MK-CF-F-142 monthsOf</t>
        </is>
      </c>
      <c r="S138" s="3" t="inlineStr">
        <is>
          <t>—</t>
        </is>
      </c>
      <c r="T138" s="3" t="inlineStr">
        <is>
          <t>—</t>
        </is>
      </c>
      <c r="U138" s="3" t="inlineStr">
        <is>
          <t>ACTIVE</t>
        </is>
      </c>
      <c r="V138" s="3" t="inlineStr">
        <is>
          <t>2026-08-28</t>
        </is>
      </c>
    </row>
    <row r="139">
      <c r="A139" s="3" t="inlineStr">
        <is>
          <t>MK-CF-F-143</t>
        </is>
      </c>
      <c r="B139" s="3" t="inlineStr">
        <is>
          <t>annualisedGross</t>
        </is>
      </c>
      <c r="C139" s="3" t="inlineStr">
        <is>
          <t>MoneyKeel/functions/cashflow/base-pay.ts</t>
        </is>
      </c>
      <c r="D139" s="3" t="n">
        <v>205</v>
      </c>
      <c r="E139" s="3" t="inlineStr">
        <is>
          <t>3 · DEPENDENT</t>
        </is>
      </c>
      <c r="F139" s="3" t="inlineStr">
        <is>
          <t>GROSS PAY ANNUALISED — the figure a tax bracket is read from.</t>
        </is>
      </c>
      <c r="G139" s="6" t="inlineStr">
        <is>
          <t>months = gross by month(e)
0   when count of months is missing
avg = count of months.reduce((t, [, v]) =&gt; t + v, 0) ÷ months
the answer = round(avg × 12, 2 dp)</t>
        </is>
      </c>
      <c r="H139" s="3" t="inlineStr">
        <is>
          <t>Months is gross by month(e). When how many months is missing there are, it answers 0. Avg: how many months.reduce((t, [, v]) =&gt; t plus v, 0) divided by months there are. The answer is avg times 12, to the cent.</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1. MK-CF-F-128 grossByMonth
2. MK-ST-F-055 round2</t>
        </is>
      </c>
      <c r="P139" s="3" t="n">
        <v>7</v>
      </c>
      <c r="Q139" s="3" t="inlineStr">
        <is>
          <t>1. MK-CF-F-128 grossByMonth
2. MK-ST-F-055 round2
3. MK-CF-F-142 monthsOf
4. MK-CF-F-141 perMonth
5. MK-CF-F-132 map
6. MK-ST-F-052 toNum
7. MK-CF-F-140 periodsAYear</t>
        </is>
      </c>
      <c r="R139" s="3" t="inlineStr">
        <is>
          <t>1. MK-CF-F-132 map → MK-CF-F-142 monthsOf → MK-CF-F-128 grossByMonth → MK-CF-F-143 annualisedGross
2. MK-ST-F-052 toNum → MK-CF-F-142 monthsOf → MK-CF-F-128 grossByMonth → MK-CF-F-143 annualisedGross
3. MK-CF-F-140 periodsAYear → MK-CF-F-141 perMonth → MK-CF-F-128 grossByMonth → MK-CF-F-143 annualisedGross
4. MK-ST-F-052 toNum → MK-CF-F-141 perMonth → MK-CF-F-128 grossByMonth → MK-CF-F-143 annualisedGross
5. MK-ST-F-055 round2 → MK-CF-F-143 annualisedGross</t>
        </is>
      </c>
      <c r="S139" s="3" t="inlineStr">
        <is>
          <t>—</t>
        </is>
      </c>
      <c r="T139" s="3" t="inlineStr">
        <is>
          <t>—</t>
        </is>
      </c>
      <c r="U139" s="3" t="inlineStr">
        <is>
          <t>ACTIVE</t>
        </is>
      </c>
      <c r="V139" s="3" t="inlineStr">
        <is>
          <t>2026-08-28</t>
        </is>
      </c>
    </row>
    <row r="140">
      <c r="A140" s="3" t="inlineStr">
        <is>
          <t>MK-CF-F-144</t>
        </is>
      </c>
      <c r="B140" s="3" t="inlineStr">
        <is>
          <t>takeHomeAsEntered</t>
        </is>
      </c>
      <c r="C140" s="3" t="inlineStr">
        <is>
          <t>MoneyKeel/functions/cashflow/base-pay.ts</t>
        </is>
      </c>
      <c r="D140" s="3" t="n">
        <v>257</v>
      </c>
      <c r="E140" s="3" t="inlineStr">
        <is>
          <t>3 · DEPENDENT</t>
        </is>
      </c>
      <c r="F140" s="3" t="inlineStr">
        <is>
          <t>NOT DETERMINED — the code carries no note saying what this is for, and it has no row in the old inventory. Needs reading.</t>
        </is>
      </c>
      <c r="G140" s="6" t="inlineStr">
        <is>
          <t>months = months of(lands by month)
entered = lands typical
gross = annualised gross(e)
k401 = round(to num(monthly401k) × 12, 2 dp)
taxable = max(0, gross − k401)
monthly = round((gross − k401 − tax owed for(taxable, filing status ?? 'single', 0, over65 ?? 0)) ÷ 12, 2 dp)</t>
        </is>
      </c>
      <c r="H140" s="3" t="inlineStr">
        <is>
          <t>Months is months of(lands by month). Entered is lands typical. Gross is annualised gross(e). K401 is to num(monthly401k) times 12, to the cent. Taxable is gross minus k401, never below zero. Monthly is (gross minus k401 minus tax owed for(taxable, filing status ?? 'single', 0, over65 ?? 0)) divided by 12, to the cent.</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Treats a year as twelve equal months.
3. Turns a monthly figure into a year by multiplying by twelve.
4. Multiplies by 100 — a percentage, or an option contract treated as 100 shares. Worth checking which.
5. Rounds the answer to a whole number.</t>
        </is>
      </c>
      <c r="N140" s="3" t="inlineStr">
        <is>
          <t>Yes</t>
        </is>
      </c>
      <c r="O140" s="3" t="inlineStr">
        <is>
          <t>1. MK-CF-F-143 annualisedGross
2. MK-CF-F-142 monthsOf
3. MK-CF-F-141 perMonth
4. MK-ST-F-055 round2
5. MK-CF-F-101 taxOwedFor
6. MK-ST-F-052 toNum</t>
        </is>
      </c>
      <c r="P140" s="3" t="n">
        <v>11</v>
      </c>
      <c r="Q140" s="3" t="inlineStr">
        <is>
          <t>1. MK-CF-F-143 annualisedGross
2. MK-CF-F-142 monthsOf
3. MK-CF-F-141 perMonth
4. MK-ST-F-055 round2
5. MK-CF-F-101 taxOwedFor
6. MK-ST-F-052 toNum
7. MK-CF-F-128 grossByMonth
8. MK-CF-F-132 map
9. MK-CF-F-140 periodsAYear
10. MK-CF-F-100 taxableIncomeFor
11. MK-CF-F-099 deductionFor</t>
        </is>
      </c>
      <c r="R140" s="3" t="inlineStr">
        <is>
          <t>1. MK-CF-F-132 map → MK-CF-F-142 monthsOf → MK-CF-F-128 grossByMonth → MK-CF-F-143 annualisedGross → MK-CF-F-144 takeHomeAsEntered
2. MK-ST-F-052 toNum → MK-CF-F-142 monthsOf → MK-CF-F-128 grossByMonth → MK-CF-F-143 annualisedGross → MK-CF-F-144 takeHomeAsEntered
3. MK-CF-F-140 periodsAYear → MK-CF-F-141 perMonth → MK-CF-F-128 grossByMonth → MK-CF-F-143 annualisedGross → MK-CF-F-144 takeHomeAsEntered
4. MK-ST-F-052 toNum → MK-CF-F-141 perMonth → MK-CF-F-128 grossByMonth → MK-CF-F-143 annualisedGross → MK-CF-F-144 takeHomeAsEntered
5. MK-ST-F-055 round2 → MK-CF-F-143 annualisedGross → MK-CF-F-144 takeHomeAsEntered
6. MK-CF-F-132 map → MK-CF-F-142 monthsOf → MK-CF-F-144 takeHomeAsEntered
7. MK-ST-F-052 toNum → MK-CF-F-142 monthsOf → MK-CF-F-144 takeHomeAsEntered
8. MK-CF-F-140 periodsAYear → MK-CF-F-141 perMonth → MK-CF-F-144 takeHomeAsEntered
9. … and 4 more paths</t>
        </is>
      </c>
      <c r="S140" s="3" t="inlineStr">
        <is>
          <t>—</t>
        </is>
      </c>
      <c r="T140" s="3" t="inlineStr">
        <is>
          <t>—</t>
        </is>
      </c>
      <c r="U140" s="3" t="inlineStr">
        <is>
          <t>ACTIVE</t>
        </is>
      </c>
      <c r="V140" s="3" t="inlineStr">
        <is>
          <t>2026-08-28</t>
        </is>
      </c>
    </row>
    <row r="141">
      <c r="A141" s="3" t="inlineStr">
        <is>
          <t>MK-CF-F-145</t>
        </is>
      </c>
      <c r="B141" s="3" t="inlineStr">
        <is>
          <t>deductionsFromPay</t>
        </is>
      </c>
      <c r="C141" s="3" t="inlineStr">
        <is>
          <t>MoneyKeel/functions/cashflow/base-pay.ts</t>
        </is>
      </c>
      <c r="D141" s="3" t="n">
        <v>327</v>
      </c>
      <c r="E141" s="3" t="inlineStr">
        <is>
          <t>3 · DEPENDENT</t>
        </is>
      </c>
      <c r="F141" s="3" t="inlineStr">
        <is>
          <t>EVERYTHING ELSE TAKEN OUT — gross, less the 401(k), less the take-home.</t>
        </is>
      </c>
      <c r="G141" s="6" t="inlineStr">
        <is>
          <t>t = take home as entered(e)
nothing   when estimated
the answer = round(annualised gross(e) − round2(to num(monthly401k) × 12) − round2(monthly × 12), 2 dp)</t>
        </is>
      </c>
      <c r="H141" s="3" t="inlineStr">
        <is>
          <t>T is take home as entered(e). When estimated, it answers no answer. The answer is annualised gross(e) minus round2(to num(monthly401k) times 12) minus round2(monthly times 12), to the cent.</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MK-ST-F-055 round2
3. MK-CF-F-144 takeHomeAsEntered
4. MK-ST-F-052 toNum</t>
        </is>
      </c>
      <c r="P141" s="3" t="n">
        <v>12</v>
      </c>
      <c r="Q141" s="3" t="inlineStr">
        <is>
          <t>1. MK-CF-F-143 annualisedGross
2. MK-ST-F-055 round2
3. MK-CF-F-144 takeHomeAsEntered
4. MK-ST-F-052 toNum
5. MK-CF-F-128 grossByMonth
6. MK-CF-F-142 monthsOf
7. MK-CF-F-141 perMonth
8. MK-CF-F-101 taxOwedFor
9. MK-CF-F-132 map
10. MK-CF-F-140 periodsAYear
11. MK-CF-F-100 taxableIncomeFor
12. MK-CF-F-099 deductionFor</t>
        </is>
      </c>
      <c r="R141" s="3" t="inlineStr">
        <is>
          <t>1. MK-CF-F-132 map → MK-CF-F-142 monthsOf → MK-CF-F-128 grossByMonth → MK-CF-F-143 annualisedGross → MK-CF-F-145 deductionsFromPay
2. MK-ST-F-052 toNum → MK-CF-F-142 monthsOf → MK-CF-F-128 grossByMonth → MK-CF-F-143 annualisedGross → MK-CF-F-145 deductionsFromPay
3. MK-CF-F-140 periodsAYear → MK-CF-F-141 perMonth → MK-CF-F-128 grossByMonth → MK-CF-F-143 annualisedGross → MK-CF-F-145 deductionsFromPay
4. MK-ST-F-052 toNum → MK-CF-F-141 perMonth → MK-CF-F-128 grossByMonth → MK-CF-F-143 annualisedGross → MK-CF-F-145 deductionsFromPay
5. MK-ST-F-055 round2 → MK-CF-F-143 annualisedGross → MK-CF-F-145 deductionsFromPay
6. MK-ST-F-055 round2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2026-08-28</t>
        </is>
      </c>
    </row>
    <row r="142">
      <c r="A142" s="3" t="inlineStr">
        <is>
          <t>MK-CF-F-146</t>
        </is>
      </c>
      <c r="B142" s="3" t="inlineStr">
        <is>
          <t>payFiguresAgree</t>
        </is>
      </c>
      <c r="C142" s="3" t="inlineStr">
        <is>
          <t>MoneyKeel/functions/cashflow/base-pay.ts</t>
        </is>
      </c>
      <c r="D142" s="3" t="n">
        <v>387</v>
      </c>
      <c r="E142" s="3" t="inlineStr">
        <is>
          <t>3 · DEPENDENT</t>
        </is>
      </c>
      <c r="F142" s="3" t="inlineStr">
        <is>
          <t>NOT DETERMINED — the code carries no note saying what this is for, and it has no row in the old inventory. Needs reading.</t>
        </is>
      </c>
      <c r="G142" s="6" t="inlineStr">
        <is>
          <t>t = take home as entered(e)
ok = true
warn = false
say = ''   when estimated
k401 = round(monthly401k read as a number (0 when it is not one), 2 dp)
gm = gross by month(e)
lands = a lookup of lm
landed = lands.get(key) as number   if lands.has(key)
round(per month(lands typical, e), 2 dp)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to the cent. Gm is gross by month(e). Lands is a lookup of lm. Landed is lands.get(key) as number — when lands.has(key); per month(lands typical, e), to the cent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1. Multiplies by 100 — a percentage, or an option contract treated as 100 shares. Worth checking which.
2. Rounds the answer to a whole number.</t>
        </is>
      </c>
      <c r="N142" s="3" t="inlineStr">
        <is>
          <t>Yes</t>
        </is>
      </c>
      <c r="O142" s="3" t="inlineStr">
        <is>
          <t>1. MK-CF-F-128 grossByMonth
2. MK-ST-F-056 has
3. MK-CF-F-132 map
4. MK-ST-F-053 money
5. MK-CF-F-142 monthsOf
6. MK-CF-F-141 perMonth
7. MK-ST-F-055 round2
8. MK-CF-F-144 takeHomeAsEntered
9. MK-ST-F-052 toNum</t>
        </is>
      </c>
      <c r="P142" s="3" t="n">
        <v>17</v>
      </c>
      <c r="Q142" s="3" t="inlineStr">
        <is>
          <t>1. MK-CF-F-128 grossByMonth
2. MK-ST-F-056 has
3. MK-CF-F-132 map
4. MK-ST-F-053 money
5. MK-CF-F-142 monthsOf
6. MK-CF-F-141 perMonth
7. MK-ST-F-055 round2
8. MK-CF-F-144 takeHomeAsEntered
9. MK-ST-F-052 toNum
10. MK-ST-F-049 formatMoney
11. MK-CF-F-140 periodsAYear
12. MK-CF-F-143 annualisedGross
13. MK-CF-F-101 taxOwedFor
14. MK-ST-F-048 currencySymbol
15. MK-CF-F-100 taxableIncomeFor
16. MK-ST-F-047 activeCurrency
17. MK-CF-F-099 deductionFor</t>
        </is>
      </c>
      <c r="R142" s="3" t="inlineStr">
        <is>
          <t>1. MK-CF-F-132 map → MK-CF-F-142 monthsOf → MK-CF-F-128 grossByMonth → MK-CF-F-146 payFiguresAgree
2. MK-ST-F-052 toNum → MK-CF-F-142 monthsOf → MK-CF-F-128 grossByMonth → MK-CF-F-146 payFiguresAgree
3. MK-CF-F-140 periodsAYear → MK-CF-F-141 perMonth → MK-CF-F-128 grossByMonth → MK-CF-F-146 payFiguresAgree
4. MK-ST-F-052 toNum → MK-CF-F-141 perMonth → MK-CF-F-128 grossByMonth → MK-CF-F-146 payFiguresAgree
5. MK-ST-F-056 has → MK-CF-F-146 payFiguresAgree
6. MK-CF-F-132 map → MK-CF-F-146 payFiguresAgree
7. MK-ST-F-047 activeCurrency → MK-ST-F-048 currencySymbol → MK-ST-F-049 formatMoney → MK-ST-F-053 money → MK-CF-F-146 payFiguresAgree
8. MK-CF-F-132 map → MK-CF-F-142 monthsOf → MK-CF-F-146 payFiguresAgree
9. … and 5 more paths</t>
        </is>
      </c>
      <c r="S142" s="3" t="inlineStr">
        <is>
          <t>—</t>
        </is>
      </c>
      <c r="T142" s="3" t="inlineStr">
        <is>
          <t>—</t>
        </is>
      </c>
      <c r="U142" s="3" t="inlineStr">
        <is>
          <t>ACTIVE</t>
        </is>
      </c>
      <c r="V142" s="3" t="inlineStr">
        <is>
          <t>2026-08-28</t>
        </is>
      </c>
    </row>
    <row r="143">
      <c r="A143" s="3" t="inlineStr">
        <is>
          <t>MK-CF-F-148</t>
        </is>
      </c>
      <c r="B143" s="3" t="inlineStr">
        <is>
          <t>inMonth</t>
        </is>
      </c>
      <c r="C143" s="3" t="inlineStr">
        <is>
          <t>MoneyKeel/functions/cashflow/logged-expenses.ts</t>
        </is>
      </c>
      <c r="D143" s="3" t="n">
        <v>41</v>
      </c>
      <c r="E143" s="3" t="inlineStr">
        <is>
          <t>1 · ACTION</t>
        </is>
      </c>
      <c r="F143" s="3" t="inlineStr">
        <is>
          <t>Does this logged expense fall in the month `ym` ("2026-08")?</t>
        </is>
      </c>
      <c r="G143" s="6" t="inlineStr">
        <is>
          <t>NOT READ YET — the body is not a shape this can render faithfully, so nothing is claimed rather than something being guessed. It needs reading by hand.</t>
        </is>
      </c>
      <c r="H143" s="3" t="inlineStr">
        <is>
          <t>NOT READ YET — the body is not a shape this can render faithfully, so nothing is claimed rather than something being guessed. It needs reading by hand.</t>
        </is>
      </c>
      <c r="I143" s="3" t="inlineStr">
        <is>
          <t>NOT READ — nothing is claimed rather than something guessed</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t>
        </is>
      </c>
      <c r="P143" s="3" t="n">
        <v>0</v>
      </c>
      <c r="Q143" s="3" t="inlineStr">
        <is>
          <t>None — no dependent function stands behind it</t>
        </is>
      </c>
      <c r="R143" s="3" t="inlineStr">
        <is>
          <t>No dependent function — it reads its inputs and answers</t>
        </is>
      </c>
      <c r="S143" s="3" t="inlineStr">
        <is>
          <t>—</t>
        </is>
      </c>
      <c r="T143" s="3" t="inlineStr">
        <is>
          <t>—</t>
        </is>
      </c>
      <c r="U143" s="3" t="inlineStr">
        <is>
          <t>ACTIVE</t>
        </is>
      </c>
      <c r="V143" s="3" t="inlineStr">
        <is>
          <t>2026-08-27</t>
        </is>
      </c>
    </row>
    <row r="144">
      <c r="A144" s="3" t="inlineStr">
        <is>
          <t>MK-CF-F-149</t>
        </is>
      </c>
      <c r="B144" s="3" t="inlineStr">
        <is>
          <t>recurringDebtPayments</t>
        </is>
      </c>
      <c r="C144" s="3" t="inlineStr">
        <is>
          <t>MoneyKeel/functions/cashflow/spending.ts</t>
        </is>
      </c>
      <c r="D144" s="3" t="n">
        <v>54</v>
      </c>
      <c r="E144" s="3" t="inlineStr">
        <is>
          <t>3 · DEPENDENT</t>
        </is>
      </c>
      <c r="F144" s="3" t="inlineStr">
        <is>
          <t>RECURRING DEBT PAYMENTS — the installment debts, one row each.</t>
        </is>
      </c>
      <c r="G144" s="6" t="inlineStr">
        <is>
          <t>NOT READ YET — the body is not a shape this can render faithfully, so nothing is claimed rather than something being guessed. It needs reading by hand.</t>
        </is>
      </c>
      <c r="H144" s="3" t="inlineStr">
        <is>
          <t>NOT READ YET — the body is not a shape this can render faithfully, so nothing is claimed rather than something being guessed. It needs reading by hand.</t>
        </is>
      </c>
      <c r="I144" s="3" t="inlineStr">
        <is>
          <t>NOT READ — nothing is claimed rather than something guessed</t>
        </is>
      </c>
      <c r="J144" s="3" t="inlineStr">
        <is>
          <t>s: SpendingInput</t>
        </is>
      </c>
      <c r="K144" s="3" t="inlineStr">
        <is>
          <t>NOT DECLARED — the code does not say what it gives back</t>
        </is>
      </c>
      <c r="L144" s="3" t="inlineStr">
        <is>
          <t>—</t>
        </is>
      </c>
      <c r="M144" s="3" t="inlineStr">
        <is>
          <t>· Leaves some rows out of the answer — check which.</t>
        </is>
      </c>
      <c r="N144" s="3" t="inlineStr">
        <is>
          <t>Yes</t>
        </is>
      </c>
      <c r="O144" s="3" t="inlineStr">
        <is>
          <t>1. MK-CF-F-132 map
2. MK-CF-F-022 paymentShape
3. MK-CF-F-023 requiredPayment
4. MK-ST-F-055 round2</t>
        </is>
      </c>
      <c r="P144" s="3" t="n">
        <v>5</v>
      </c>
      <c r="Q144" s="3" t="inlineStr">
        <is>
          <t>1. MK-CF-F-132 map
2. MK-CF-F-022 paymentShape
3. MK-CF-F-023 requiredPayment
4. MK-ST-F-055 round2
5.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
4. MK-ST-F-055 round2 → MK-CF-F-149 recurringDebtPayments</t>
        </is>
      </c>
      <c r="S144" s="3" t="inlineStr">
        <is>
          <t>—</t>
        </is>
      </c>
      <c r="T144" s="3" t="inlineStr">
        <is>
          <t>—</t>
        </is>
      </c>
      <c r="U144" s="3" t="inlineStr">
        <is>
          <t>ACTIVE</t>
        </is>
      </c>
      <c r="V144" s="3" t="inlineStr">
        <is>
          <t>2026-08-27</t>
        </is>
      </c>
    </row>
    <row r="145">
      <c r="A145" s="3" t="inlineStr">
        <is>
          <t>MK-CF-F-150</t>
        </is>
      </c>
      <c r="B145" s="3" t="inlineStr">
        <is>
          <t>debtPaymentsCountedAsExpenses</t>
        </is>
      </c>
      <c r="C145" s="3" t="inlineStr">
        <is>
          <t>MoneyKeel/functions/cashflow/spending.ts</t>
        </is>
      </c>
      <c r="D145" s="3" t="n">
        <v>92</v>
      </c>
      <c r="E145" s="3" t="inlineStr">
        <is>
          <t>3 · DEPENDENT</t>
        </is>
      </c>
      <c r="F145" s="3" t="inlineStr">
        <is>
          <t>DEBT PAYMENTS THAT ARE COUNTED AS EXPENSES — revolving and due-in-full.</t>
        </is>
      </c>
      <c r="G145" s="6"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1. Uses a built-in s h o w f i r s t of 5.
2. Leaves some rows out of the answer — check which.</t>
        </is>
      </c>
      <c r="N145" s="3" t="inlineStr">
        <is>
          <t>Yes</t>
        </is>
      </c>
      <c r="O145" s="3" t="inlineStr">
        <is>
          <t>1. MK-ST-F-056 has
2. MK-CF-F-148 inMonth
3. MK-CF-F-022 paymentShape
4. MK-ST-F-055 round2
5. MK-ST-F-052 toNum</t>
        </is>
      </c>
      <c r="P145" s="3" t="n">
        <v>6</v>
      </c>
      <c r="Q145" s="3" t="inlineStr">
        <is>
          <t>1. MK-ST-F-056 has
2. MK-CF-F-148 inMonth
3. MK-CF-F-022 paymentShape
4. MK-ST-F-055 round2
5. MK-ST-F-052 toNum
6. MK-CF-F-021 defaultPaymentType</t>
        </is>
      </c>
      <c r="R145" s="3" t="inlineStr">
        <is>
          <t>1. MK-ST-F-056 has → MK-CF-F-150 debtPaymentsCountedAsExpenses
2. MK-CF-F-148 inMonth → MK-CF-F-150 debtPaymentsCountedAsExpenses
3. MK-CF-F-021 defaultPaymentType → MK-CF-F-022 paymentShape → MK-CF-F-150 debtPaymentsCountedAsExpenses
4. MK-ST-F-055 round2 → MK-CF-F-150 debtPaymentsCountedAsExpenses
5. MK-ST-F-052 toNum → MK-CF-F-150 debtPaymentsCountedAsExpenses</t>
        </is>
      </c>
      <c r="S145" s="3" t="inlineStr">
        <is>
          <t>—</t>
        </is>
      </c>
      <c r="T145" s="3" t="inlineStr">
        <is>
          <t>—</t>
        </is>
      </c>
      <c r="U145" s="3" t="inlineStr">
        <is>
          <t>ACTIVE</t>
        </is>
      </c>
      <c r="V145" s="3" t="inlineStr">
        <is>
          <t>2026-08-27</t>
        </is>
      </c>
    </row>
    <row r="146">
      <c r="A146" s="3" t="inlineStr">
        <is>
          <t>MK-CF-F-151</t>
        </is>
      </c>
      <c r="B146" s="3" t="inlineStr">
        <is>
          <t>actualSpending</t>
        </is>
      </c>
      <c r="C146" s="3" t="inlineStr">
        <is>
          <t>MoneyKeel/functions/cashflow/spending.ts</t>
        </is>
      </c>
      <c r="D146" s="3" t="n">
        <v>138</v>
      </c>
      <c r="E146" s="3" t="inlineStr">
        <is>
          <t>3 · DEPENDENT</t>
        </is>
      </c>
      <c r="F146" s="3" t="inlineStr">
        <is>
          <t>NOT DETERMINED — the code carries no note saying what this is for, and it has no row in the old inventory. Needs reading.</t>
        </is>
      </c>
      <c r="G146" s="6" t="inlineStr">
        <is>
          <t>shown = the first SHOW_FIRST of items
total = round(Σ over items of (amount read as a number (0 when it is not one)), 2 dp)
shown total = round(Σ over shown of (amount read as a number (0 when it is not one)), 2 dp)</t>
        </is>
      </c>
      <c r="H146" s="3" t="inlineStr">
        <is>
          <t>Shown: the first SHOW_FIRST of items. Total: the amount read as a number (0 — when it is one is missing added up across items), to the cent. Shown total: the amount read as a number (0 — when it is one is missing added up across shown), to the cent.</t>
        </is>
      </c>
      <c r="I146" s="3" t="inlineStr">
        <is>
          <t>READ FROM THE CODE — rendered from the expressions the function runs</t>
        </is>
      </c>
      <c r="J146" s="3" t="inlineStr">
        <is>
          <t>s: SpendingInput</t>
        </is>
      </c>
      <c r="K146" s="3" t="inlineStr">
        <is>
          <t>SpentList</t>
        </is>
      </c>
      <c r="L146" s="3" t="inlineStr">
        <is>
          <t>—</t>
        </is>
      </c>
      <c r="M146" s="3" t="inlineStr">
        <is>
          <t>· Leaves some rows out of the answer — check which.</t>
        </is>
      </c>
      <c r="N146" s="3" t="inlineStr">
        <is>
          <t>Yes</t>
        </is>
      </c>
      <c r="O146" s="3" t="inlineStr">
        <is>
          <t>1. MK-CF-F-148 inMonth
2. MK-ST-F-055 round2
3. MK-ST-F-052 toNum</t>
        </is>
      </c>
      <c r="P146" s="3" t="n">
        <v>3</v>
      </c>
      <c r="Q146" s="3" t="inlineStr">
        <is>
          <t>1. MK-CF-F-148 inMonth
2. MK-ST-F-055 round2
3. MK-ST-F-052 toNum</t>
        </is>
      </c>
      <c r="R146" s="3" t="inlineStr">
        <is>
          <t>1. MK-CF-F-148 inMonth → MK-CF-F-151 actualSpending
2. MK-ST-F-055 round2 → MK-CF-F-151 actualSpending
3. MK-ST-F-052 toNum → MK-CF-F-151 actualSpending</t>
        </is>
      </c>
      <c r="S146" s="3" t="inlineStr">
        <is>
          <t>—</t>
        </is>
      </c>
      <c r="T146" s="3" t="inlineStr">
        <is>
          <t>—</t>
        </is>
      </c>
      <c r="U146" s="3" t="inlineStr">
        <is>
          <t>ACTIVE</t>
        </is>
      </c>
      <c r="V146" s="3" t="inlineStr">
        <is>
          <t>2026-08-27</t>
        </is>
      </c>
    </row>
    <row r="147">
      <c r="A147" s="3" t="inlineStr">
        <is>
          <t>MK-CF-F-152</t>
        </is>
      </c>
      <c r="B147" s="3" t="inlineStr">
        <is>
          <t>isRadarItem</t>
        </is>
      </c>
      <c r="C147" s="3" t="inlineStr">
        <is>
          <t>MoneyKeel/functions/cashflow/spending.ts</t>
        </is>
      </c>
      <c r="D147" s="3" t="n">
        <v>180</v>
      </c>
      <c r="E147" s="3" t="inlineStr">
        <is>
          <t>3 · DEPENDENT</t>
        </is>
      </c>
      <c r="F147" s="3" t="inlineStr">
        <is>
          <t>NOT DETERMINED — the code carries no note saying what this is for, and it has no row in the old inventory. Needs reading.</t>
        </is>
      </c>
      <c r="G147" s="6"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2026-08-27</t>
        </is>
      </c>
    </row>
    <row r="148">
      <c r="A148" s="3" t="inlineStr">
        <is>
          <t>MK-CF-F-153</t>
        </is>
      </c>
      <c r="B148" s="3" t="inlineStr">
        <is>
          <t>radar</t>
        </is>
      </c>
      <c r="C148" s="3" t="inlineStr">
        <is>
          <t>MoneyKeel/functions/cashflow/spending.ts</t>
        </is>
      </c>
      <c r="D148" s="3" t="n">
        <v>213</v>
      </c>
      <c r="E148" s="3" t="inlineStr">
        <is>
          <t>3 · DEPENDENT</t>
        </is>
      </c>
      <c r="F148" s="3" t="inlineStr">
        <is>
          <t>NOT DETERMINED — the code carries no note saying what this is for, and it has no row in the old inventory. Needs reading.</t>
        </is>
      </c>
      <c r="G148" s="6" t="inlineStr">
        <is>
          <t>out = []
reason = is radar item(d)
amount = round(paid   if paid &gt; 0
required payment(d)   otherwise, 2 dp)
counted = !purchases captured.has(string(debt id))
the answer = out</t>
        </is>
      </c>
      <c r="H148" s="3" t="inlineStr">
        <is>
          <t>Out is []. Reason is is radar item(d). Amount is round(paid — when paid &gt; 0; required payment(d) — otherwise, 2 dp). Counted is !purchases captured.has(string(debt id)). The answer is out.</t>
        </is>
      </c>
      <c r="I148" s="3" t="inlineStr">
        <is>
          <t>PARTLY READ — some of the code is still showing through; needs a hand pass</t>
        </is>
      </c>
      <c r="J148" s="3" t="inlineStr">
        <is>
          <t>1. s: SpendingInput
2. purchasesCaptured: Set&lt;string&gt; = new Set()</t>
        </is>
      </c>
      <c r="K148" s="3" t="inlineStr">
        <is>
          <t>RadarItem[]</t>
        </is>
      </c>
      <c r="L148" s="3" t="inlineStr">
        <is>
          <t>—</t>
        </is>
      </c>
      <c r="M148" s="3" t="inlineStr">
        <is>
          <t>· Leaves some rows out of the answer — check which.</t>
        </is>
      </c>
      <c r="N148" s="3" t="inlineStr">
        <is>
          <t>Yes</t>
        </is>
      </c>
      <c r="O148" s="3" t="inlineStr">
        <is>
          <t>1. MK-ST-F-056 has
2. MK-CF-F-148 inMonth
3. MK-CF-F-152 isRadarItem
4. MK-CF-F-023 requiredPayment
5. MK-ST-F-055 round2
6. MK-ST-F-052 toNum</t>
        </is>
      </c>
      <c r="P148" s="3" t="n">
        <v>8</v>
      </c>
      <c r="Q148" s="3" t="inlineStr">
        <is>
          <t>1. MK-ST-F-056 has
2. MK-CF-F-148 inMonth
3. MK-CF-F-152 isRadarItem
4. MK-CF-F-023 requiredPayment
5. MK-ST-F-055 round2
6. MK-ST-F-052 toNum
7. MK-CF-F-022 paymentShape
8. MK-CF-F-021 defaultPaymentType</t>
        </is>
      </c>
      <c r="R148" s="3" t="inlineStr">
        <is>
          <t>1. MK-ST-F-056 has → MK-CF-F-153 radar
2. MK-CF-F-148 inMonth → MK-CF-F-153 radar
3. MK-CF-F-021 defaultPaymentType → MK-CF-F-022 paymentShape → MK-CF-F-152 isRadarItem → MK-CF-F-153 radar
4. MK-CF-F-021 defaultPaymentType → MK-CF-F-022 paymentShape → MK-CF-F-023 requiredPayment → MK-CF-F-153 radar
5. MK-ST-F-055 round2 → MK-CF-F-153 radar
6. MK-ST-F-052 toNum → MK-CF-F-153 radar</t>
        </is>
      </c>
      <c r="S148" s="3" t="inlineStr">
        <is>
          <t>—</t>
        </is>
      </c>
      <c r="T148" s="3" t="inlineStr">
        <is>
          <t>—</t>
        </is>
      </c>
      <c r="U148" s="3" t="inlineStr">
        <is>
          <t>ACTIVE</t>
        </is>
      </c>
      <c r="V148" s="3" t="inlineStr">
        <is>
          <t>2026-08-27</t>
        </is>
      </c>
    </row>
    <row r="149">
      <c r="A149" s="3" t="inlineStr">
        <is>
          <t>MK-CF-F-155</t>
        </is>
      </c>
      <c r="B149" s="3" t="inlineStr">
        <is>
          <t>cash</t>
        </is>
      </c>
      <c r="C149" s="3" t="inlineStr">
        <is>
          <t>MoneyKeel/functions/cashflow/this-month.ts</t>
        </is>
      </c>
      <c r="D149" s="3" t="n">
        <v>62</v>
      </c>
      <c r="E149" s="3" t="inlineStr">
        <is>
          <t>1 · ACTION</t>
        </is>
      </c>
      <c r="F149" s="3" t="inlineStr">
        <is>
          <t>Negating zero in JavaScript gives NEGATIVE zero, which formats as "−$0" — and a person looking at "−$0" beside an unpaid car loan reasonably wonders what it means.</t>
        </is>
      </c>
      <c r="G149" s="6" t="inlineStr">
        <is>
          <t>0   if n = 0
round(n, 2 dp)   otherwise</t>
        </is>
      </c>
      <c r="H149" s="3" t="inlineStr">
        <is>
          <t>0 — when n = 0; n, to the cent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MK-ST-F-055 round2</t>
        </is>
      </c>
      <c r="P149" s="3" t="n">
        <v>1</v>
      </c>
      <c r="Q149" s="3" t="inlineStr">
        <is>
          <t>MK-ST-F-055 round2</t>
        </is>
      </c>
      <c r="R149" s="3" t="inlineStr">
        <is>
          <t>MK-ST-F-055 round2 → MK-CF-F-155 cash</t>
        </is>
      </c>
      <c r="S149" s="3" t="inlineStr">
        <is>
          <t>—</t>
        </is>
      </c>
      <c r="T149" s="3" t="inlineStr">
        <is>
          <t>—</t>
        </is>
      </c>
      <c r="U149" s="3" t="inlineStr">
        <is>
          <t>ACTIVE</t>
        </is>
      </c>
      <c r="V149" s="3" t="inlineStr">
        <is>
          <t>2026-08-27</t>
        </is>
      </c>
    </row>
    <row r="150">
      <c r="A150" s="3" t="inlineStr">
        <is>
          <t>MK-CF-F-156</t>
        </is>
      </c>
      <c r="B150" s="3" t="inlineStr">
        <is>
          <t>plannedMonthFlow</t>
        </is>
      </c>
      <c r="C150" s="3" t="inlineStr">
        <is>
          <t>MoneyKeel/functions/cashflow/this-month.ts</t>
        </is>
      </c>
      <c r="D150" s="3" t="n">
        <v>92</v>
      </c>
      <c r="E150" s="3" t="inlineStr">
        <is>
          <t>3 · DEPENDENT (feeds an action only)</t>
        </is>
      </c>
      <c r="F150" s="3" t="inlineStr">
        <is>
          <t>THE PLAN for this month: the take-home, less each debt, less planned spending.</t>
        </is>
      </c>
      <c r="G150" s="6" t="inlineStr">
        <is>
          <t>lines = [{ label: 'in (take − home)', amount: round2(take home monthly), kind: 'in' }]
due = round(required payment(d), 2 dp)
the answer:
lines = lines
surplus = cash(lines.reduce((t, l) =&gt; t + amount, 0))</t>
        </is>
      </c>
      <c r="H150" s="3" t="inlineStr">
        <is>
          <t>Lines is [{ label: 'in (take minus home)', amount: round2(take home monthly), kind: 'in' }]. Due is required payment(d), to the cent. The answer is lines = lines; surplus = cash(lines.reduce((t, l) =&gt; t plus amount, 0)).</t>
        </is>
      </c>
      <c r="I150" s="3" t="inlineStr">
        <is>
          <t>PARTLY READ — some of the code is still showing through; needs a hand pass</t>
        </is>
      </c>
      <c r="J150" s="3" t="inlineStr">
        <is>
          <t>m: MonthInput</t>
        </is>
      </c>
      <c r="K150" s="3" t="inlineStr">
        <is>
          <t>MonthBlock</t>
        </is>
      </c>
      <c r="L150" s="3" t="inlineStr">
        <is>
          <t>—</t>
        </is>
      </c>
      <c r="M150" s="3" t="inlineStr">
        <is>
          <t>None found in this function — anything it assumes comes from the functions it depends on.</t>
        </is>
      </c>
      <c r="N150" s="3" t="inlineStr">
        <is>
          <t>No</t>
        </is>
      </c>
      <c r="O150" s="3" t="inlineStr">
        <is>
          <t>1. MK-CF-F-155 cash
2. MK-CF-F-023 requiredPayment
3. MK-ST-F-055 round2</t>
        </is>
      </c>
      <c r="P150" s="3" t="n">
        <v>5</v>
      </c>
      <c r="Q150" s="3" t="inlineStr">
        <is>
          <t>1. MK-CF-F-155 cash
2. MK-CF-F-023 requiredPayment
3. MK-ST-F-055 round2
4. MK-CF-F-022 paymentShape
5. MK-CF-F-021 defaultPaymentType</t>
        </is>
      </c>
      <c r="R150" s="3" t="inlineStr">
        <is>
          <t>1. MK-ST-F-055 round2 → MK-CF-F-155 cash → MK-CF-F-156 plannedMonthFlow
2. MK-CF-F-021 defaultPaymentType → MK-CF-F-022 paymentShape → MK-CF-F-023 requiredPayment → MK-CF-F-156 plannedMonthFlow
3. MK-ST-F-055 round2 → MK-CF-F-156 plannedMonthFlow</t>
        </is>
      </c>
      <c r="S150" s="3" t="inlineStr">
        <is>
          <t>—</t>
        </is>
      </c>
      <c r="T150" s="3" t="inlineStr">
        <is>
          <t>—</t>
        </is>
      </c>
      <c r="U150" s="3" t="inlineStr">
        <is>
          <t>ACTIVE</t>
        </is>
      </c>
      <c r="V150" s="3" t="inlineStr">
        <is>
          <t>2026-08-27</t>
        </is>
      </c>
    </row>
    <row r="151">
      <c r="A151" s="3" t="inlineStr">
        <is>
          <t>MK-CF-F-157</t>
        </is>
      </c>
      <c r="B151" s="3" t="inlineStr">
        <is>
          <t>debtPaymentsByDebt</t>
        </is>
      </c>
      <c r="C151" s="3" t="inlineStr">
        <is>
          <t>MoneyKeel/functions/cashflow/this-month.ts</t>
        </is>
      </c>
      <c r="D151" s="3" t="n">
        <v>197</v>
      </c>
      <c r="E151" s="3" t="inlineStr">
        <is>
          <t>3 · DEPENDENT</t>
        </is>
      </c>
      <c r="F151" s="3" t="inlineStr">
        <is>
          <t>WHICH DEBTS HAVE ACTUALLY BEEN PAID this month, and how much each.</t>
        </is>
      </c>
      <c r="G151" s="6"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MK-CF-F-148 inMonth
2. MK-CF-F-132 map
3. MK-ST-F-055 round2
4. MK-ST-F-052 toNum</t>
        </is>
      </c>
      <c r="P151" s="3" t="n">
        <v>4</v>
      </c>
      <c r="Q151" s="3" t="inlineStr">
        <is>
          <t>1. MK-CF-F-148 inMonth
2. MK-CF-F-132 map
3. MK-ST-F-055 round2
4. MK-ST-F-052 toNum</t>
        </is>
      </c>
      <c r="R151" s="3" t="inlineStr">
        <is>
          <t>1. MK-CF-F-148 inMonth → MK-CF-F-157 debtPaymentsByDebt
2. MK-CF-F-132 map → MK-CF-F-157 debtPaymentsByDebt
3. MK-ST-F-055 round2 → MK-CF-F-157 debtPaymentsByDebt
4. MK-ST-F-052 toNum → MK-CF-F-157 debtPaymentsByDebt</t>
        </is>
      </c>
      <c r="S151" s="3" t="inlineStr">
        <is>
          <t>—</t>
        </is>
      </c>
      <c r="T151" s="3" t="inlineStr">
        <is>
          <t>—</t>
        </is>
      </c>
      <c r="U151" s="3" t="inlineStr">
        <is>
          <t>ACTIVE</t>
        </is>
      </c>
      <c r="V151" s="3" t="inlineStr">
        <is>
          <t>2026-08-27</t>
        </is>
      </c>
    </row>
    <row r="152">
      <c r="A152" s="3" t="inlineStr">
        <is>
          <t>MK-CF-F-159</t>
        </is>
      </c>
      <c r="B152" s="3" t="inlineStr">
        <is>
          <t>isRecurringDebt</t>
        </is>
      </c>
      <c r="C152" s="3" t="inlineStr">
        <is>
          <t>MoneyKeel/functions/cashflow/this-month.ts</t>
        </is>
      </c>
      <c r="D152" s="3" t="n">
        <v>254</v>
      </c>
      <c r="E152" s="3" t="inlineStr">
        <is>
          <t>1 · ACTION</t>
        </is>
      </c>
      <c r="F152" s="3" t="inlineStr">
        <is>
          <t>Is this debt one that repeats unchanged every month?</t>
        </is>
      </c>
      <c r="G152" s="6"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row>
    <row r="153">
      <c r="A153" s="3" t="inlineStr">
        <is>
          <t>MK-CF-F-160</t>
        </is>
      </c>
      <c r="B153" s="3" t="inlineStr">
        <is>
          <t>daysBetweenDates</t>
        </is>
      </c>
      <c r="C153" s="3" t="inlineStr">
        <is>
          <t>src/domain/cashflow/index.ts</t>
        </is>
      </c>
      <c r="D153" s="3" t="n">
        <v>113</v>
      </c>
      <c r="E153" s="3" t="inlineStr">
        <is>
          <t>3 · DEPENDENT</t>
        </is>
      </c>
      <c r="F153" s="3" t="inlineStr">
        <is>
          <t>NOT DETERMINED — the code carries no note saying what this is for, and it has no row in the old inventory. Needs reading.</t>
        </is>
      </c>
      <c r="G153" s="6" t="inlineStr">
        <is>
          <t>NOT READ YET — the body is not a shape this can render faithfully, so nothing is claimed rather than something being guessed. It needs reading by hand.</t>
        </is>
      </c>
      <c r="H153" s="3" t="inlineStr">
        <is>
          <t>NOT READ YET — the body is not a shape this can render faithfully, so nothing is claimed rather than something being guessed. It needs reading by hand.</t>
        </is>
      </c>
      <c r="I153" s="3" t="inlineStr">
        <is>
          <t>NOT READ — nothing is claimed rather than something guessed</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2026-08-27</t>
        </is>
      </c>
    </row>
    <row r="154">
      <c r="A154" s="3" t="inlineStr">
        <is>
          <t>MK-CF-F-161</t>
        </is>
      </c>
      <c r="B154" s="3" t="inlineStr">
        <is>
          <t>monthlyGrossOfSource</t>
        </is>
      </c>
      <c r="C154" s="3" t="inlineStr">
        <is>
          <t>src/domain/income/calc.ts</t>
        </is>
      </c>
      <c r="D154" s="3" t="n">
        <v>188</v>
      </c>
      <c r="E154" s="3" t="inlineStr">
        <is>
          <t>3 · DEPENDENT</t>
        </is>
      </c>
      <c r="F154" s="3" t="inlineStr">
        <is>
          <t>── monthly cash-flow grid ─────────────────────────────────────────────────── Gross dollars a source delivers in each of the 12 months (lumpy items land on specific months; even cadences spread evenly).</t>
        </is>
      </c>
      <c r="G154" s="6"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Uses a built-in i of 0.
5. Treats a year as twelve equal months.</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row>
    <row r="155">
      <c r="A155" s="3" t="inlineStr">
        <is>
          <t>MK-CF-F-162</t>
        </is>
      </c>
      <c r="B155" s="3" t="inlineStr">
        <is>
          <t>daysApart</t>
        </is>
      </c>
      <c r="C155" s="3" t="inlineStr">
        <is>
          <t>src/domain/transactions/flags.ts</t>
        </is>
      </c>
      <c r="D155" s="3" t="n">
        <v>103</v>
      </c>
      <c r="E155" s="3" t="inlineStr">
        <is>
          <t>1 · ACTION</t>
        </is>
      </c>
      <c r="F155" s="3" t="inlineStr">
        <is>
          <t>NOT DETERMINED — the code carries no note saying what this is for, and it has no row in the old inventory. Needs reading.</t>
        </is>
      </c>
      <c r="G155" s="6"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No</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row>
    <row r="156">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6"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row>
    <row r="157">
      <c r="A157" s="3" t="inlineStr">
        <is>
          <t>MK-CF-F-164</t>
        </is>
      </c>
      <c r="B157" s="3" t="inlineStr">
        <is>
          <t>monthWindow</t>
        </is>
      </c>
      <c r="C157" s="3" t="inlineStr">
        <is>
          <t>src/domain/income/salary-months.ts</t>
        </is>
      </c>
      <c r="D157" s="3" t="n">
        <v>67</v>
      </c>
      <c r="E157" s="3" t="inlineStr">
        <is>
          <t>2 · DISPLAYED</t>
        </is>
      </c>
      <c r="F157" s="3" t="inlineStr">
        <is>
          <t>`count` month keys starting `back` months before `from` — the shape the base-pay table needs.</t>
        </is>
      </c>
      <c r="G157" s="6"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 Uses a built-in i of 0.</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row>
    <row r="158">
      <c r="A158" s="3" t="inlineStr">
        <is>
          <t>MK-CF-F-165</t>
        </is>
      </c>
      <c r="B158" s="3" t="inlineStr">
        <is>
          <t>salaryMonths</t>
        </is>
      </c>
      <c r="C158" s="3" t="inlineStr">
        <is>
          <t>src/domain/income/salary-months.ts</t>
        </is>
      </c>
      <c r="D158" s="3" t="n">
        <v>117</v>
      </c>
      <c r="E158" s="3" t="inlineStr">
        <is>
          <t>2 · DISPLAYED</t>
        </is>
      </c>
      <c r="F158" s="3" t="inlineStr">
        <is>
          <t>THE canonical table: month key → amount, whatever shape it was stored in.</t>
        </is>
      </c>
      <c r="G158" s="6" t="inlineStr">
        <is>
          <t>raw = (op ?? ({} as any)).salary by month
out = {}
the answer = out
y = now.get full year()
out = {}</t>
        </is>
      </c>
      <c r="H158" s="3" t="inlineStr">
        <is>
          <t>Raw is (op ?? ({} as any)).salary by month. Out is {}. The answer is out. Y is now.get full year(). Out is {}.</t>
        </is>
      </c>
      <c r="I158" s="3" t="inlineStr">
        <is>
          <t>PARTLY READ — some of the code is still showing through; needs a hand pass</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1</v>
      </c>
      <c r="Q158" s="3" t="inlineStr">
        <is>
          <t>MK-ST-F-052 toNum</t>
        </is>
      </c>
      <c r="R158" s="3" t="inlineStr">
        <is>
          <t>MK-ST-F-052 toNum → MK-CF-F-165 salaryMonths</t>
        </is>
      </c>
      <c r="S158" s="3" t="inlineStr">
        <is>
          <t>—</t>
        </is>
      </c>
      <c r="T158" s="3" t="inlineStr">
        <is>
          <t>—</t>
        </is>
      </c>
      <c r="U158" s="3" t="inlineStr">
        <is>
          <t>ACTIVE</t>
        </is>
      </c>
      <c r="V158" s="3" t="inlineStr">
        <is>
          <t>2026-08-27</t>
        </is>
      </c>
    </row>
    <row r="159">
      <c r="A159" s="3" t="inlineStr">
        <is>
          <t>MK-CF-F-166</t>
        </is>
      </c>
      <c r="B159" s="3" t="inlineStr">
        <is>
          <t>hasMonthlySalaryTable</t>
        </is>
      </c>
      <c r="C159" s="3" t="inlineStr">
        <is>
          <t>src/domain/income/salary-months.ts</t>
        </is>
      </c>
      <c r="D159" s="3" t="n">
        <v>162</v>
      </c>
      <c r="E159" s="3" t="inlineStr">
        <is>
          <t>2 · DISPLAYED</t>
        </is>
      </c>
      <c r="F159" s="3" t="inlineStr">
        <is>
          <t>Did they tell us their pay varies month to month?</t>
        </is>
      </c>
      <c r="G159" s="6"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2</v>
      </c>
      <c r="Q159" s="3" t="inlineStr">
        <is>
          <t>1. MK-CF-F-165 salaryMonths
2. MK-ST-F-052 toNum</t>
        </is>
      </c>
      <c r="R159" s="3" t="inlineStr">
        <is>
          <t>MK-ST-F-052 toNum → MK-CF-F-165 salaryMonths → MK-CF-F-166 hasMonthlySalaryTable</t>
        </is>
      </c>
      <c r="S159" s="3" t="inlineStr">
        <is>
          <t>—</t>
        </is>
      </c>
      <c r="T159" s="3" t="inlineStr">
        <is>
          <t>—</t>
        </is>
      </c>
      <c r="U159" s="3" t="inlineStr">
        <is>
          <t>ACTIVE</t>
        </is>
      </c>
      <c r="V159" s="3" t="inlineStr">
        <is>
          <t>2026-08-27</t>
        </is>
      </c>
    </row>
    <row r="160">
      <c r="A160" s="3" t="inlineStr">
        <is>
          <t>MK-CF-F-167</t>
        </is>
      </c>
      <c r="B160" s="3" t="inlineStr">
        <is>
          <t>salaryCalendarYear</t>
        </is>
      </c>
      <c r="C160" s="3" t="inlineStr">
        <is>
          <t>src/domain/income/salary-months.ts</t>
        </is>
      </c>
      <c r="D160" s="3" t="n">
        <v>202</v>
      </c>
      <c r="E160" s="3" t="inlineStr">
        <is>
          <t>3 · DEPENDENT</t>
        </is>
      </c>
      <c r="F160" s="3" t="inlineStr">
        <is>
          <t>One calendar year as twelve numbers, January first — the shape every existing caller expects.</t>
        </is>
      </c>
      <c r="G160" s="6"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2</v>
      </c>
      <c r="Q160" s="3" t="inlineStr">
        <is>
          <t>1. MK-CF-F-165 salaryMonths
2. MK-ST-F-052 toNum</t>
        </is>
      </c>
      <c r="R160" s="3" t="inlineStr">
        <is>
          <t>MK-ST-F-052 toNum → MK-CF-F-165 salaryMonths → MK-CF-F-167 salaryCalendarYear</t>
        </is>
      </c>
      <c r="S160" s="3" t="inlineStr">
        <is>
          <t>—</t>
        </is>
      </c>
      <c r="T160" s="3" t="inlineStr">
        <is>
          <t>—</t>
        </is>
      </c>
      <c r="U160" s="3" t="inlineStr">
        <is>
          <t>ACTIVE</t>
        </is>
      </c>
      <c r="V160" s="3" t="inlineStr">
        <is>
          <t>2026-08-28</t>
        </is>
      </c>
    </row>
    <row r="161">
      <c r="A161" s="3" t="inlineStr">
        <is>
          <t>MK-CF-F-168</t>
        </is>
      </c>
      <c r="B161" s="3" t="inlineStr">
        <is>
          <t>salaryWindow</t>
        </is>
      </c>
      <c r="C161" s="3" t="inlineStr">
        <is>
          <t>src/domain/income/salary-months.ts</t>
        </is>
      </c>
      <c r="D161" s="3" t="n">
        <v>232</v>
      </c>
      <c r="E161" s="3" t="inlineStr">
        <is>
          <t>3 · DEPENDENT (feeds an action only)</t>
        </is>
      </c>
      <c r="F161" s="3" t="inlineStr">
        <is>
          <t>The table as the base-pay screen shows it: [month key, amount] for a window of months.</t>
        </is>
      </c>
      <c r="G161" s="6"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3</v>
      </c>
      <c r="Q161" s="3" t="inlineStr">
        <is>
          <t>1. MK-CF-F-132 map
2. MK-CF-F-165 salaryMonths
3. MK-ST-F-052 toNum</t>
        </is>
      </c>
      <c r="R161" s="3" t="inlineStr">
        <is>
          <t>1. MK-CF-F-132 map → MK-CF-F-168 salaryWindow
2. MK-ST-F-052 toNum → MK-CF-F-165 salaryMonths → MK-CF-F-168 salaryWindow</t>
        </is>
      </c>
      <c r="S161" s="3" t="inlineStr">
        <is>
          <t>—</t>
        </is>
      </c>
      <c r="T161" s="3" t="inlineStr">
        <is>
          <t>—</t>
        </is>
      </c>
      <c r="U161" s="3" t="inlineStr">
        <is>
          <t>ACTIVE</t>
        </is>
      </c>
      <c r="V161" s="3" t="inlineStr">
        <is>
          <t>2026-08-27</t>
        </is>
      </c>
    </row>
    <row r="162">
      <c r="A162" s="3" t="inlineStr">
        <is>
          <t>MK-CF-F-169</t>
        </is>
      </c>
      <c r="B162" s="3" t="inlineStr">
        <is>
          <t>withSalaryMonth</t>
        </is>
      </c>
      <c r="C162" s="3" t="inlineStr">
        <is>
          <t>src/domain/income/salary-months.ts</t>
        </is>
      </c>
      <c r="D162" s="3" t="n">
        <v>259</v>
      </c>
      <c r="E162" s="3" t="inlineStr">
        <is>
          <t>3 · DEPENDENT (feeds an action only)</t>
        </is>
      </c>
      <c r="F162" s="3" t="inlineStr">
        <is>
          <t>Write one month without disturbing the others.</t>
        </is>
      </c>
      <c r="G162" s="6"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2</v>
      </c>
      <c r="Q162" s="3" t="inlineStr">
        <is>
          <t>1. MK-CF-F-165 salaryMonths
2. MK-ST-F-052 toNum</t>
        </is>
      </c>
      <c r="R162" s="3" t="inlineStr">
        <is>
          <t>1. MK-ST-F-052 toNum → MK-CF-F-165 salaryMonths → MK-CF-F-169 withSalaryMonth
2. MK-ST-F-052 toNum → MK-CF-F-169 withSalaryMonth</t>
        </is>
      </c>
      <c r="S162" s="3" t="inlineStr">
        <is>
          <t>—</t>
        </is>
      </c>
      <c r="T162" s="3" t="inlineStr">
        <is>
          <t>—</t>
        </is>
      </c>
      <c r="U162" s="3" t="inlineStr">
        <is>
          <t>ACTIVE</t>
        </is>
      </c>
      <c r="V162" s="3" t="inlineStr">
        <is>
          <t>2026-08-27</t>
        </is>
      </c>
    </row>
    <row r="163">
      <c r="A163" s="3" t="inlineStr">
        <is>
          <t>MK-CF-F-170</t>
        </is>
      </c>
      <c r="B163" s="3" t="inlineStr">
        <is>
          <t>salaryYearFromCells</t>
        </is>
      </c>
      <c r="C163" s="3" t="inlineStr">
        <is>
          <t>src/domain/income/salary-months.ts</t>
        </is>
      </c>
      <c r="D163" s="3" t="n">
        <v>282</v>
      </c>
      <c r="E163" s="3" t="inlineStr">
        <is>
          <t>3 · DEPENDENT (feeds an action only)</t>
        </is>
      </c>
      <c r="F163" s="3" t="inlineStr">
        <is>
          <t>A whole calendar year written at once — what today's twelve-cell grids save.</t>
        </is>
      </c>
      <c r="G163" s="6"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1</v>
      </c>
      <c r="Q163" s="3" t="inlineStr">
        <is>
          <t>MK-ST-F-052 toNum</t>
        </is>
      </c>
      <c r="R163" s="3" t="inlineStr">
        <is>
          <t>MK-ST-F-052 toNum → MK-CF-F-170 salaryYearFromCells</t>
        </is>
      </c>
      <c r="S163" s="3" t="inlineStr">
        <is>
          <t>—</t>
        </is>
      </c>
      <c r="T163" s="3" t="inlineStr">
        <is>
          <t>—</t>
        </is>
      </c>
      <c r="U163" s="3" t="inlineStr">
        <is>
          <t>ACTIVE</t>
        </is>
      </c>
      <c r="V163" s="3" t="inlineStr">
        <is>
          <t>2026-08-28</t>
        </is>
      </c>
    </row>
    <row r="164">
      <c r="A164" s="3" t="inlineStr">
        <is>
          <t>MK-CF-F-171</t>
        </is>
      </c>
      <c r="B164" s="3" t="inlineStr">
        <is>
          <t>earnerPay</t>
        </is>
      </c>
      <c r="C164" s="3" t="inlineStr">
        <is>
          <t>MoneyKeel/functions/cashflow/base-pay.ts</t>
        </is>
      </c>
      <c r="D164" s="3" t="n">
        <v>471</v>
      </c>
      <c r="E164" s="3" t="inlineStr">
        <is>
          <t>3 · DEPENDENT</t>
        </is>
      </c>
      <c r="F164" s="3" t="inlineStr">
        <is>
          <t>NOT DETERMINED — the code carries no note saying what this is for, and it has no row in the old inventory. Needs reading.</t>
        </is>
      </c>
      <c r="G164" s="6"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MK-CF-F-146 payFiguresAgree
5. MK-ST-F-055 round2
6. MK-CF-F-144 takeHomeAsEntered
7. MK-ST-F-052 toNum</t>
        </is>
      </c>
      <c r="P164" s="3" t="n">
        <v>19</v>
      </c>
      <c r="Q164" s="3" t="inlineStr">
        <is>
          <t>1. MK-CF-F-143 annualisedGross
2. MK-CF-F-145 deductionsFromPay
3. MK-CF-F-128 grossByMonth
4. MK-CF-F-146 payFiguresAgree
5. MK-ST-F-055 round2
6. MK-CF-F-144 takeHomeAsEntered
7. MK-ST-F-052 toNum
8. MK-CF-F-142 monthsOf
9. MK-CF-F-141 perMonth
10. MK-ST-F-056 has
11. MK-CF-F-132 map
12. MK-ST-F-053 money
13. MK-CF-F-101 taxOwedFor
14. MK-CF-F-140 periodsAYear
15. MK-ST-F-049 formatMoney
16. MK-CF-F-100 taxableIncomeFor
17. MK-ST-F-048 currencySymbol
18. MK-CF-F-099 deductionFor
19. MK-ST-F-047 activeCurrency</t>
        </is>
      </c>
      <c r="R164" s="3" t="inlineStr">
        <is>
          <t>1. MK-CF-F-132 map → MK-CF-F-142 monthsOf → MK-CF-F-128 grossByMonth → MK-CF-F-143 annualisedGross → MK-CF-F-171 earnerPay
2. MK-ST-F-052 toNum → MK-CF-F-142 monthsOf → MK-CF-F-128 grossByMonth → MK-CF-F-143 annualisedGross → MK-CF-F-171 earnerPay
3. MK-CF-F-140 periodsAYear → MK-CF-F-141 perMonth → MK-CF-F-128 grossByMonth → MK-CF-F-143 annualisedGross → MK-CF-F-171 earnerPay
4. MK-ST-F-052 toNum → MK-CF-F-141 perMonth → MK-CF-F-128 grossByMonth → MK-CF-F-143 annualisedGross → MK-CF-F-171 earnerPay
5. MK-ST-F-055 round2 → MK-CF-F-143 annualisedGross → MK-CF-F-171 earnerPay
6. MK-CF-F-132 map → MK-CF-F-142 monthsOf → MK-CF-F-128 grossByMonth → MK-CF-F-143 annualisedGross → MK-CF-F-145 deductionsFromPay → MK-CF-F-171 earnerPay
7. MK-ST-F-052 toNum → MK-CF-F-142 monthsOf → MK-CF-F-128 grossByMonth → MK-CF-F-143 annualisedGross → MK-CF-F-145 deductionsFromPay → MK-CF-F-171 earnerPay
8. MK-CF-F-140 periodsAYear → MK-CF-F-141 perMonth → MK-CF-F-128 grossByMonth → MK-CF-F-143 annualisedGross → MK-CF-F-145 deductionsFromPay → MK-CF-F-171 earnerPay
9. … and 5 more paths</t>
        </is>
      </c>
      <c r="S164" s="3" t="inlineStr">
        <is>
          <t>—</t>
        </is>
      </c>
      <c r="T164" s="3" t="inlineStr">
        <is>
          <t>—</t>
        </is>
      </c>
      <c r="U164" s="3" t="inlineStr">
        <is>
          <t>ACTIVE</t>
        </is>
      </c>
      <c r="V164" s="3" t="inlineStr">
        <is>
          <t>2026-08-28</t>
        </is>
      </c>
    </row>
    <row r="165">
      <c r="A165" s="3" t="inlineStr">
        <is>
          <t>MK-CF-F-172</t>
        </is>
      </c>
      <c r="B165" s="3" t="inlineStr">
        <is>
          <t>hasWage</t>
        </is>
      </c>
      <c r="C165" s="3" t="inlineStr">
        <is>
          <t>src/domain/income/earners.ts</t>
        </is>
      </c>
      <c r="D165" s="3" t="n">
        <v>61</v>
      </c>
      <c r="E165" s="3" t="inlineStr">
        <is>
          <t>1 · ACTION</t>
        </is>
      </c>
      <c r="F165" s="3" t="inlineStr">
        <is>
          <t>NOT DETERMINED — the code carries no note saying what this is for, and it has no row in the old inventory. Needs reading.</t>
        </is>
      </c>
      <c r="G165" s="6" t="inlineStr">
        <is>
          <t>NOT READ YET — the body is not a shape this can render faithfully, so nothing is claimed rather than something being guessed. It needs reading by hand.</t>
        </is>
      </c>
      <c r="H165" s="3" t="inlineStr">
        <is>
          <t>NOT READ YET — the body is not a shape this can render faithfully, so nothing is claimed rather than something being guessed. It needs reading by hand.</t>
        </is>
      </c>
      <c r="I165" s="3" t="inlineStr">
        <is>
          <t>NOT READ — nothing is claimed rather than something guessed</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t>
        </is>
      </c>
      <c r="P165" s="3" t="n">
        <v>0</v>
      </c>
      <c r="Q165" s="3" t="inlineStr">
        <is>
          <t>None — no dependent function stands behind it</t>
        </is>
      </c>
      <c r="R165" s="3" t="inlineStr">
        <is>
          <t>No dependent function — it reads its inputs and answers</t>
        </is>
      </c>
      <c r="S165" s="3" t="inlineStr">
        <is>
          <t>—</t>
        </is>
      </c>
      <c r="T165" s="3" t="inlineStr">
        <is>
          <t>—</t>
        </is>
      </c>
      <c r="U165" s="3" t="inlineStr">
        <is>
          <t>ACTIVE</t>
        </is>
      </c>
      <c r="V165" s="3" t="inlineStr">
        <is>
          <t>2026-08-27</t>
        </is>
      </c>
    </row>
    <row r="166">
      <c r="A166" s="3" t="inlineStr">
        <is>
          <t>MK-CF-F-173</t>
        </is>
      </c>
      <c r="B166" s="3" t="inlineStr">
        <is>
          <t>earnerWages</t>
        </is>
      </c>
      <c r="C166" s="3" t="inlineStr">
        <is>
          <t>src/domain/income/earners.ts</t>
        </is>
      </c>
      <c r="D166" s="3" t="n">
        <v>103</v>
      </c>
      <c r="E166" s="3" t="inlineStr">
        <is>
          <t>2 · DISPLAYED</t>
        </is>
      </c>
      <c r="F166" s="3" t="inlineStr">
        <is>
          <t>The wages this household actually has, in the order the screen shows them.</t>
        </is>
      </c>
      <c r="G166" s="6" t="inlineStr">
        <is>
          <t>a = op (or none when missing)
own = a
partner = partner wage (or nothing when missing)
who = who earns (or 'you' when missing)
out = [own]
the answer = out
[partner as earner wage]   when who = 'partner' and has wage(partner)</t>
        </is>
      </c>
      <c r="H166" s="3" t="inlineStr">
        <is>
          <t>A is op (or none — when missing). Own is a. Partner is partner wage (or no answer — when missing). Who is who earns (or 'you' — when missing). Out is [own]. The answer is out. When who = 'partner' and has wage(partner), it answers [partner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1</v>
      </c>
      <c r="Q166" s="3" t="inlineStr">
        <is>
          <t>MK-CF-F-172 hasWage</t>
        </is>
      </c>
      <c r="R166" s="3" t="inlineStr">
        <is>
          <t>MK-CF-F-172 hasWage → MK-CF-F-173 earnerWages</t>
        </is>
      </c>
      <c r="S166" s="3" t="inlineStr">
        <is>
          <t>—</t>
        </is>
      </c>
      <c r="T166" s="3" t="inlineStr">
        <is>
          <t>—</t>
        </is>
      </c>
      <c r="U166" s="3" t="inlineStr">
        <is>
          <t>ACTIVE</t>
        </is>
      </c>
      <c r="V166" s="3" t="inlineStr">
        <is>
          <t>2026-08-27</t>
        </is>
      </c>
    </row>
    <row r="167">
      <c r="A167" s="3" t="inlineStr">
        <is>
          <t>MK-CF-F-174</t>
        </is>
      </c>
      <c r="B167" s="3" t="inlineStr">
        <is>
          <t>hasTwoEarners</t>
        </is>
      </c>
      <c r="C167" s="3" t="inlineStr">
        <is>
          <t>src/domain/income/earners.ts</t>
        </is>
      </c>
      <c r="D167" s="3" t="n">
        <v>135</v>
      </c>
      <c r="E167" s="3" t="inlineStr">
        <is>
          <t>3 · DEPENDENT (feeds an action only)</t>
        </is>
      </c>
      <c r="F167" s="3" t="inlineStr">
        <is>
          <t>Does this household have a second wage on record?</t>
        </is>
      </c>
      <c r="G167" s="6"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2</v>
      </c>
      <c r="Q167" s="3" t="inlineStr">
        <is>
          <t>1. MK-CF-F-173 earnerWages
2. MK-CF-F-172 hasWage</t>
        </is>
      </c>
      <c r="R167" s="3" t="inlineStr">
        <is>
          <t>MK-CF-F-172 hasWage → MK-CF-F-173 earnerWages → MK-CF-F-174 hasTwoEarners</t>
        </is>
      </c>
      <c r="S167" s="3" t="inlineStr">
        <is>
          <t>—</t>
        </is>
      </c>
      <c r="T167" s="3" t="inlineStr">
        <is>
          <t>—</t>
        </is>
      </c>
      <c r="U167" s="3" t="inlineStr">
        <is>
          <t>ACTIVE</t>
        </is>
      </c>
      <c r="V167" s="3" t="inlineStr">
        <is>
          <t>2026-08-27</t>
        </is>
      </c>
    </row>
    <row r="168">
      <c r="A168" s="3" t="inlineStr">
        <is>
          <t>MK-CF-F-175</t>
        </is>
      </c>
      <c r="B168" s="3" t="inlineStr">
        <is>
          <t>sumOverEarners</t>
        </is>
      </c>
      <c r="C168" s="3" t="inlineStr">
        <is>
          <t>src/domain/income/earners.ts</t>
        </is>
      </c>
      <c r="D168" s="3" t="n">
        <v>161</v>
      </c>
      <c r="E168" s="3" t="inlineStr">
        <is>
          <t>3 · DEPENDENT</t>
        </is>
      </c>
      <c r="F168" s="3" t="inlineStr">
        <is>
          <t>Add up one number per earner.</t>
        </is>
      </c>
      <c r="G168" s="6"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2</v>
      </c>
      <c r="Q168" s="3" t="inlineStr">
        <is>
          <t>1. MK-CF-F-173 earnerWages
2. MK-CF-F-172 hasWage</t>
        </is>
      </c>
      <c r="R168" s="3" t="inlineStr">
        <is>
          <t>MK-CF-F-172 hasWage → MK-CF-F-173 earnerWages → MK-CF-F-175 sumOverEarners</t>
        </is>
      </c>
      <c r="S168" s="3" t="inlineStr">
        <is>
          <t>—</t>
        </is>
      </c>
      <c r="T168" s="3" t="inlineStr">
        <is>
          <t>—</t>
        </is>
      </c>
      <c r="U168" s="3" t="inlineStr">
        <is>
          <t>ACTIVE</t>
        </is>
      </c>
      <c r="V168" s="3" t="inlineStr">
        <is>
          <t>2026-08-27</t>
        </is>
      </c>
    </row>
    <row r="169">
      <c r="A169" s="3" t="inlineStr">
        <is>
          <t>MK-CF-F-176</t>
        </is>
      </c>
      <c r="B169" s="3" t="inlineStr">
        <is>
          <t>sumMonthsOverEarners</t>
        </is>
      </c>
      <c r="C169" s="3" t="inlineStr">
        <is>
          <t>src/domain/income/earners.ts</t>
        </is>
      </c>
      <c r="D169" s="3" t="n">
        <v>197</v>
      </c>
      <c r="E169" s="3" t="inlineStr">
        <is>
          <t>3 · DEPENDENT</t>
        </is>
      </c>
      <c r="F169" s="3" t="inlineStr">
        <is>
          <t>Add up twelve numbers per earner, month by month.</t>
        </is>
      </c>
      <c r="G169" s="6"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3</v>
      </c>
      <c r="Q169" s="3" t="inlineStr">
        <is>
          <t>1. MK-CF-F-173 earnerWages
2. MK-CF-F-132 map
3. MK-CF-F-172 hasWage</t>
        </is>
      </c>
      <c r="R169" s="3" t="inlineStr">
        <is>
          <t>1. MK-CF-F-172 hasWage → MK-CF-F-173 earnerWages → MK-CF-F-176 sumMonthsOverEarners
2. MK-CF-F-132 map → MK-CF-F-176 sumMonthsOverEarners</t>
        </is>
      </c>
      <c r="S169" s="3" t="inlineStr">
        <is>
          <t>—</t>
        </is>
      </c>
      <c r="T169" s="3" t="inlineStr">
        <is>
          <t>—</t>
        </is>
      </c>
      <c r="U169" s="3" t="inlineStr">
        <is>
          <t>ACTIVE</t>
        </is>
      </c>
      <c r="V169" s="3" t="inlineStr">
        <is>
          <t>2026-08-27</t>
        </is>
      </c>
    </row>
    <row r="170">
      <c r="A170" s="3" t="inlineStr">
        <is>
          <t>MK-CF-F-177</t>
        </is>
      </c>
      <c r="B170" s="3" t="inlineStr">
        <is>
          <t>wageGrossByMonth</t>
        </is>
      </c>
      <c r="C170" s="3" t="inlineStr">
        <is>
          <t>src/domain/income/onboarding.ts</t>
        </is>
      </c>
      <c r="D170" s="3" t="n">
        <v>170</v>
      </c>
      <c r="E170" s="3" t="inlineStr">
        <is>
          <t>2 · DISPLAYED</t>
        </is>
      </c>
      <c r="F170" s="3" t="inlineStr">
        <is>
          <t>ONE person's wage, month by month, January first.</t>
        </is>
      </c>
      <c r="G170" s="6" t="inlineStr">
        <is>
          <t>a = w (or none when missing)
has = has monthly salary table(a as any)
typical = entered monthly raw(a)
the answer = for each of raw: round(each, 2 dp)</t>
        </is>
      </c>
      <c r="H170" s="3" t="inlineStr">
        <is>
          <t>A is w (or none — when missing). Has is has monthly salary table(a as any). Typical is entered monthly raw(a). The answer is for each of raw: each, to the cent.</t>
        </is>
      </c>
      <c r="I170" s="3" t="inlineStr">
        <is>
          <t>READ FROM THE CODE — rendered from the expressions the function runs</t>
        </is>
      </c>
      <c r="J170" s="3" t="inlineStr">
        <is>
          <t>w: Record&lt;string, any&gt; | null</t>
        </is>
      </c>
      <c r="K170" s="3" t="inlineStr">
        <is>
          <t>number[]</t>
        </is>
      </c>
      <c r="L170" s="3" t="inlineStr">
        <is>
          <t>NOT FOUND — a screen calls it, but the words printed beside its answer could not be traced automatically. Needs reading.</t>
        </is>
      </c>
      <c r="M170" s="3" t="inlineStr">
        <is>
          <t>· Uses today's date from the device clock, so the answer changes by itself overnight.</t>
        </is>
      </c>
      <c r="N170" s="3" t="inlineStr">
        <is>
          <t>Yes</t>
        </is>
      </c>
      <c r="O170" s="3" t="inlineStr">
        <is>
          <t>1. MK-CF-F-130 enteredMonthlyRaw
2. MK-CF-F-166 hasMonthlySalaryTable
3. MK-CF-F-132 map
4. MK-ST-F-055 round2
5. MK-CF-F-167 salaryCalendarYear</t>
        </is>
      </c>
      <c r="P170" s="3" t="n">
        <v>7</v>
      </c>
      <c r="Q170" s="3" t="inlineStr">
        <is>
          <t>1. MK-CF-F-130 enteredMonthlyRaw
2. MK-CF-F-166 hasMonthlySalaryTable
3. MK-CF-F-132 map
4. MK-ST-F-055 round2
5. MK-CF-F-167 salaryCalendarYear
6. MK-ST-F-052 toNum
7. MK-CF-F-165 salaryMonths</t>
        </is>
      </c>
      <c r="R170" s="3" t="inlineStr">
        <is>
          <t>1. MK-ST-F-052 toNum → MK-CF-F-130 enteredMonthlyRaw → MK-CF-F-177 wageGrossByMonth
2. MK-ST-F-052 toNum → MK-CF-F-165 salaryMonths → MK-CF-F-166 hasMonthlySalaryTable → MK-CF-F-177 wageGrossByMonth
3. MK-CF-F-132 map → MK-CF-F-177 wageGrossByMonth
4. MK-ST-F-055 round2 → MK-CF-F-177 wageGrossByMonth
5. MK-ST-F-052 toNum → MK-CF-F-165 salaryMonths → MK-CF-F-167 salaryCalendarYear → MK-CF-F-177 wageGrossByMonth</t>
        </is>
      </c>
      <c r="S170" s="3" t="inlineStr">
        <is>
          <t>—</t>
        </is>
      </c>
      <c r="T170" s="3" t="inlineStr">
        <is>
          <t>—</t>
        </is>
      </c>
      <c r="U170" s="3" t="inlineStr">
        <is>
          <t>ACTIVE</t>
        </is>
      </c>
      <c r="V170" s="3" t="inlineStr">
        <is>
          <t>2026-08-28</t>
        </is>
      </c>
    </row>
    <row r="171">
      <c r="A171" s="3" t="inlineStr">
        <is>
          <t>MK-CF-F-178</t>
        </is>
      </c>
      <c r="B171" s="3" t="inlineStr">
        <is>
          <t>wageMatchMonthly</t>
        </is>
      </c>
      <c r="C171" s="3" t="inlineStr">
        <is>
          <t>src/domain/income/onboarding.ts</t>
        </is>
      </c>
      <c r="D171" s="3" t="n">
        <v>1011</v>
      </c>
      <c r="E171" s="3" t="inlineStr">
        <is>
          <t>3 · DEPENDENT (feeds an action only)</t>
        </is>
      </c>
      <c r="F171" s="3" t="inlineStr">
        <is>
          <t>ONE person's employer match: a share of their own contribution, or a flat amount.</t>
        </is>
      </c>
      <c r="G171" s="6"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1</v>
      </c>
      <c r="Q171" s="3" t="inlineStr">
        <is>
          <t>MK-ST-F-052 toNum</t>
        </is>
      </c>
      <c r="R171" s="3" t="inlineStr">
        <is>
          <t>MK-ST-F-052 toNum → MK-CF-F-178 wageMatchMonthly</t>
        </is>
      </c>
      <c r="S171" s="3" t="inlineStr">
        <is>
          <t>—</t>
        </is>
      </c>
      <c r="T171" s="3" t="inlineStr">
        <is>
          <t>—</t>
        </is>
      </c>
      <c r="U171" s="3" t="inlineStr">
        <is>
          <t>ACTIVE</t>
        </is>
      </c>
      <c r="V171" s="3" t="inlineStr">
        <is>
          <t>2026-08-27</t>
        </is>
      </c>
    </row>
    <row r="172">
      <c r="A172" s="3" t="inlineStr">
        <is>
          <t>MK-CF-F-179</t>
        </is>
      </c>
      <c r="B172" s="3" t="inlineStr">
        <is>
          <t>entryFromWage</t>
        </is>
      </c>
      <c r="C172" s="3" t="inlineStr">
        <is>
          <t>MoneyKeel/functions/cashflow/base-pay.ts</t>
        </is>
      </c>
      <c r="D172" s="3" t="n">
        <v>710</v>
      </c>
      <c r="E172" s="3" t="inlineStr">
        <is>
          <t>2 · DISPLAYED</t>
        </is>
      </c>
      <c r="F172" s="3" t="inlineStr">
        <is>
          <t>WHAT IS STORED → WHAT THIS FILE READS.</t>
        </is>
      </c>
      <c r="G172" s="6"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2</v>
      </c>
      <c r="Q172" s="3" t="inlineStr">
        <is>
          <t>1. MK-CF-F-165 salaryMonths
2. MK-ST-F-052 toNum</t>
        </is>
      </c>
      <c r="R172" s="3" t="inlineStr">
        <is>
          <t>MK-ST-F-052 toNum → MK-CF-F-165 salaryMonths → MK-CF-F-179 entryFromWage</t>
        </is>
      </c>
      <c r="S172" s="3" t="inlineStr">
        <is>
          <t>—</t>
        </is>
      </c>
      <c r="T172" s="3" t="inlineStr">
        <is>
          <t>—</t>
        </is>
      </c>
      <c r="U172" s="3" t="inlineStr">
        <is>
          <t>ACTIVE</t>
        </is>
      </c>
      <c r="V172" s="3" t="inlineStr">
        <is>
          <t>2026-08-28</t>
        </is>
      </c>
    </row>
    <row r="173">
      <c r="A173" s="3" t="inlineStr">
        <is>
          <t>MK-CF-F-180</t>
        </is>
      </c>
      <c r="B173" s="3" t="inlineStr">
        <is>
          <t>enteredLandsAnnual</t>
        </is>
      </c>
      <c r="C173" s="3" t="inlineStr">
        <is>
          <t>src/domain/income/tax-rate.ts</t>
        </is>
      </c>
      <c r="D173" s="3" t="n">
        <v>79</v>
      </c>
      <c r="E173" s="3" t="inlineStr">
        <is>
          <t>3 · DEPENDENT</t>
        </is>
      </c>
      <c r="F173" s="3" t="inlineStr">
        <is>
          <t>Every earner’s entered take-home, a year — or null when any of them did not say.</t>
        </is>
      </c>
      <c r="G173" s="6" t="inlineStr">
        <is>
          <t>wages = earner wages(op)
nothing   when count of wages is missing
total = 0
v = (w as any).lands typical read as a number (0 when it is not one)
nothing   when not (v &gt; 0)
the answer = round(total, 2 dp)</t>
        </is>
      </c>
      <c r="H173" s="3" t="inlineStr">
        <is>
          <t>Wages is earner wages(op). When how many wages is missing there are, it answers no answer. Total is 0. V is (w as any).lands typical read as a number (0 — when it is one is missing). When not (v &gt; 0), it answers no answer. The answer is total, to the cent.</t>
        </is>
      </c>
      <c r="I173" s="3" t="inlineStr">
        <is>
          <t>PARTLY READ — some of the code is still showing through; needs a hand pass</t>
        </is>
      </c>
      <c r="J173" s="3" t="inlineStr">
        <is>
          <t>op: OnboardingProfile | null</t>
        </is>
      </c>
      <c r="K173" s="3" t="inlineStr">
        <is>
          <t>number | null</t>
        </is>
      </c>
      <c r="L173" s="3" t="inlineStr">
        <is>
          <t>—</t>
        </is>
      </c>
      <c r="M173" s="3" t="inlineStr">
        <is>
          <t>· Uses a built-in total of 0.</t>
        </is>
      </c>
      <c r="N173" s="3" t="inlineStr">
        <is>
          <t>Yes</t>
        </is>
      </c>
      <c r="O173" s="3" t="inlineStr">
        <is>
          <t>1. MK-CF-F-173 earnerWages
2. MK-ST-F-055 round2
3. MK-ST-F-052 toNum</t>
        </is>
      </c>
      <c r="P173" s="3" t="n">
        <v>4</v>
      </c>
      <c r="Q173" s="3" t="inlineStr">
        <is>
          <t>1. MK-CF-F-173 earnerWages
2. MK-ST-F-055 round2
3. MK-ST-F-052 toNum
4. MK-CF-F-172 hasWage</t>
        </is>
      </c>
      <c r="R173" s="3" t="inlineStr">
        <is>
          <t>1. MK-CF-F-172 hasWage → MK-CF-F-173 earnerWages → MK-CF-F-180 enteredLandsAnnual
2. MK-ST-F-055 round2 → MK-CF-F-180 enteredLandsAnnual
3. MK-ST-F-052 toNum → MK-CF-F-180 enteredLandsAnnual</t>
        </is>
      </c>
      <c r="S173" s="3" t="inlineStr">
        <is>
          <t>—</t>
        </is>
      </c>
      <c r="T173" s="3" t="inlineStr">
        <is>
          <t>—</t>
        </is>
      </c>
      <c r="U173" s="3" t="inlineStr">
        <is>
          <t>ACTIVE</t>
        </is>
      </c>
      <c r="V173" s="3" t="inlineStr">
        <is>
          <t>2026-08-28</t>
        </is>
      </c>
    </row>
    <row r="174">
      <c r="A174" s="3" t="inlineStr">
        <is>
          <t>MK-CF-F-181</t>
        </is>
      </c>
      <c r="B174" s="3" t="inlineStr">
        <is>
          <t>rateInForce</t>
        </is>
      </c>
      <c r="C174" s="3" t="inlineStr">
        <is>
          <t>src/domain/income/tax-rate.ts</t>
        </is>
      </c>
      <c r="D174" s="3" t="n">
        <v>135</v>
      </c>
      <c r="E174" s="3" t="inlineStr">
        <is>
          <t>3 · DEPENDENT</t>
        </is>
      </c>
      <c r="F174" s="3" t="inlineStr">
        <is>
          <t>THE ONE ANSWER every screen reads.</t>
        </is>
      </c>
      <c r="G174" s="6" t="inlineStr">
        <is>
          <t>a = op (or none when missing)
rate = min(max(to num(manual tax rate) ÷ 100, 0), 1)
gross = salary annual(op)
lands = entered lands annual(op)
k401 = Σ over earner wages(op) of (to num((each as any).c 401k) × 12)
out = max(0, gross − k401 − lands)
rate = min(max(out ÷ gross, 0), 1)
rate = effective rate on gross for(taxable annual(op), filing status of(op), state rate of(op), over65 count of(op))</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Rate is effective rate on gross for(taxable annual(op), filing status of(op), state rate of(op), over65 count of(op)).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Multiplies by 100 — a percentage, or an option contract treated as 100 shares. Worth checking which.
3. Rounds the answer to a whole number.</t>
        </is>
      </c>
      <c r="N174" s="3" t="inlineStr">
        <is>
          <t>Yes</t>
        </is>
      </c>
      <c r="O174" s="3" t="inlineStr">
        <is>
          <t>1. MK-CF-F-173 earnerWages
2. MK-CF-F-102 effectiveRateOnGrossFor
3. MK-CF-F-180 enteredLandsAnnual
4. MK-CF-F-085 filingStatusOf
5. MK-CF-F-089 over65CountOf
6. MK-CF-F-082 salaryAnnual
7. MK-CF-F-086 stateRateOf
8. MK-CF-F-084 taxableAnnual
9. MK-ST-F-052 toNum</t>
        </is>
      </c>
      <c r="P174" s="3" t="n">
        <v>34</v>
      </c>
      <c r="Q174" s="3" t="inlineStr">
        <is>
          <t>1. MK-CF-F-173 earnerWages
2. MK-CF-F-102 effectiveRateOnGrossFor
3. MK-CF-F-180 enteredLandsAnnual
4. MK-CF-F-085 filingStatusOf
5. MK-CF-F-089 over65CountOf
6. MK-CF-F-082 salaryAnnual
7. MK-CF-F-086 stateRateOf
8. MK-CF-F-084 taxableAnnual
9. MK-ST-F-052 toNum
10. MK-CF-F-172 hasWage
11. MK-CF-F-101 taxOwedFor
12. MK-ST-F-055 round2
13. MK-CF-F-060 salaryGrossByMonth
14. MK-CF-F-072 currentRetirementIncomeMonthly
15. MK-CF-F-071 extraIncome
16. MK-CF-F-068 rentalNetAnnual
17. MK-CF-F-066 rsuAnnual
18. MK-CF-F-074 tipsAnnual
19. MK-CF-F-100 taxableIncomeFor
20. MK-CF-F-176 sumMonthsOverEarners
21. MK-CF-F-177 wageGrossByMonth
22. MK-CF-F-075 retirementIncomeMonthly
23. MK-CF-F-070 benefitAnnual
24. MK-CF-F-067 rentalList
25. MK-CF-F-062 equityRowValue
26. MK-CF-F-132 map
27. MK-CF-F-063 rowVestYear
28. MK-CF-F-081 salaryActiveMonths
29. MK-CF-F-099 deductionFor
30. MK-CF-F-130 enteredMonthlyRaw
31. MK-CF-F-166 hasMonthlySalaryTable
32. MK-CF-F-167 salaryCalendarYear
33. MK-CF-F-069 benefitActiveMonths
34. MK-CF-F-165 salaryMonths</t>
        </is>
      </c>
      <c r="R174" s="3" t="inlineStr">
        <is>
          <t>1. MK-CF-F-172 hasWage → MK-CF-F-173 earnerWages → MK-CF-F-181 rateInForce
2. MK-CF-F-099 deductionFor → MK-CF-F-100 taxableIncomeFor → MK-CF-F-101 taxOwedFor → MK-CF-F-102 effectiveRateOnGrossFor → MK-CF-F-181 rateInForce
3. MK-CF-F-172 hasWage → MK-CF-F-173 earnerWages → MK-CF-F-180 enteredLandsAnnual → MK-CF-F-181 rateInForce
4. MK-ST-F-055 round2 → MK-CF-F-180 enteredLandsAnnual → MK-CF-F-181 rateInForce
5. MK-ST-F-052 toNum → MK-CF-F-180 enteredLandsAnnual → MK-CF-F-181 rateInForce
6. MK-CF-F-085 filingStatusOf → MK-CF-F-181 rateInForce
7. MK-ST-F-052 toNum → MK-CF-F-089 over65CountOf → MK-CF-F-181 rateInForce
8. MK-CF-F-172 hasWage → MK-CF-F-173 earnerWages → MK-CF-F-176 sumMonthsOverEarners → MK-CF-F-060 salaryGrossByMonth → MK-CF-F-082 salaryAnnual → MK-CF-F-181 rateInForce
9. … and 5 more paths</t>
        </is>
      </c>
      <c r="S174" s="3" t="inlineStr">
        <is>
          <t>—</t>
        </is>
      </c>
      <c r="T174" s="3" t="inlineStr">
        <is>
          <t>—</t>
        </is>
      </c>
      <c r="U174" s="3" t="inlineStr">
        <is>
          <t>ACTIVE</t>
        </is>
      </c>
      <c r="V174" s="3" t="inlineStr">
        <is>
          <t>2026-08-28</t>
        </is>
      </c>
    </row>
    <row r="175">
      <c r="A175" s="3" t="inlineStr">
        <is>
          <t>MK-CF-F-182</t>
        </is>
      </c>
      <c r="B175" s="3" t="inlineStr">
        <is>
          <t>asPercent</t>
        </is>
      </c>
      <c r="C175" s="3" t="inlineStr">
        <is>
          <t>src/domain/income/from-accounts.ts</t>
        </is>
      </c>
      <c r="D175" s="3" t="n">
        <v>60</v>
      </c>
      <c r="E175" s="3" t="inlineStr">
        <is>
          <t>1 · ACTION</t>
        </is>
      </c>
      <c r="F175" s="3" t="inlineStr">
        <is>
          <t>A rate as the person would say it: 3.8%, not 0.038.</t>
        </is>
      </c>
      <c r="G175" s="6" t="inlineStr">
        <is>
          <t>NOT READ YET — the body is not a shape this can render faithfully, so nothing is claimed rather than something being guessed. It needs reading by hand.</t>
        </is>
      </c>
      <c r="H175" s="3" t="inlineStr">
        <is>
          <t>NOT READ YET — the body is not a shape this can render faithfully, so nothing is claimed rather than something being guessed. It needs reading by hand.</t>
        </is>
      </c>
      <c r="I175" s="3" t="inlineStr">
        <is>
          <t>NOT READ — nothing is claimed rather than something guessed</t>
        </is>
      </c>
      <c r="J175" s="3" t="inlineStr">
        <is>
          <t>r: number</t>
        </is>
      </c>
      <c r="K175" s="3" t="inlineStr">
        <is>
          <t>NOT DECLARED — the code does not say what it gives back</t>
        </is>
      </c>
      <c r="L175" s="3" t="inlineStr">
        <is>
          <t>—</t>
        </is>
      </c>
      <c r="M175" s="3" t="inlineStr">
        <is>
          <t>· Multiplies by 100 — a percentage, or an option contract treated as 100 shares. Worth checking which.</t>
        </is>
      </c>
      <c r="N175" s="3" t="inlineStr">
        <is>
          <t>Yes</t>
        </is>
      </c>
      <c r="O175" s="3" t="inlineStr">
        <is>
          <t>MK-ST-F-055 round2</t>
        </is>
      </c>
      <c r="P175" s="3" t="n">
        <v>1</v>
      </c>
      <c r="Q175" s="3" t="inlineStr">
        <is>
          <t>MK-ST-F-055 round2</t>
        </is>
      </c>
      <c r="R175" s="3" t="inlineStr">
        <is>
          <t>MK-ST-F-055 round2 → MK-CF-F-182 asPercent</t>
        </is>
      </c>
      <c r="S175" s="3" t="inlineStr">
        <is>
          <t>—</t>
        </is>
      </c>
      <c r="T175" s="3" t="inlineStr">
        <is>
          <t>—</t>
        </is>
      </c>
      <c r="U175" s="3" t="inlineStr">
        <is>
          <t>ACTIVE</t>
        </is>
      </c>
      <c r="V175" s="3" t="inlineStr">
        <is>
          <t>2026-08-28</t>
        </is>
      </c>
    </row>
    <row r="176">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6"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1. MK-ST-F-065 isoLocalDate
2. MK-ST-F-055 round2</t>
        </is>
      </c>
      <c r="P176" s="3" t="n">
        <v>2</v>
      </c>
      <c r="Q176" s="3" t="inlineStr">
        <is>
          <t>1. MK-ST-F-065 isoLocalDate
2. MK-ST-F-055 round2</t>
        </is>
      </c>
      <c r="R176" s="3" t="inlineStr">
        <is>
          <t>1. MK-ST-F-065 isoLocalDate → MK-CF-F-183 paidOutByAccount
2. MK-ST-F-055 round2 → MK-CF-F-183 paidOutByAccount</t>
        </is>
      </c>
      <c r="S176" s="3" t="inlineStr">
        <is>
          <t>—</t>
        </is>
      </c>
      <c r="T176" s="3" t="inlineStr">
        <is>
          <t>—</t>
        </is>
      </c>
      <c r="U176" s="3" t="inlineStr">
        <is>
          <t>ACTIVE</t>
        </is>
      </c>
      <c r="V176" s="3" t="inlineStr">
        <is>
          <t>2026-08-28</t>
        </is>
      </c>
    </row>
    <row r="177">
      <c r="A177" s="3" t="inlineStr">
        <is>
          <t>MK-CF-F-184</t>
        </is>
      </c>
      <c r="B177" s="3" t="inlineStr">
        <is>
          <t>incomeFromAccounts</t>
        </is>
      </c>
      <c r="C177" s="3" t="inlineStr">
        <is>
          <t>src/domain/income/from-accounts.ts</t>
        </is>
      </c>
      <c r="D177" s="3" t="n">
        <v>146</v>
      </c>
      <c r="E177" s="3" t="inlineStr">
        <is>
          <t>2 · DISPLAYED</t>
        </is>
      </c>
      <c r="F177" s="3" t="inlineStr">
        <is>
          <t>One line per account that pays something, and the total.</t>
        </is>
      </c>
      <c r="G177" s="6"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"Dividends, interest &amp; coupons" — on the Income manager screen, under "INVESTMENT INCOME"</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
5. MK-ST-F-055 round2</t>
        </is>
      </c>
      <c r="P177" s="3" t="n">
        <v>14</v>
      </c>
      <c r="Q177" s="3" t="inlineStr">
        <is>
          <t>1. MK-CF-F-182 asPercent
2. MK-NW-F-011 assetClassOf
3. MK-ST-F-053 money
4. MK-CF-F-183 paidOutByAccount
5. MK-ST-F-055 round2
6. MK-NW-F-008 incomeBearingClassOf
7. MK-ST-F-049 formatMoney
8. MK-ST-F-065 isoLocalDate
9. MK-CF-F-155 cash
10. MK-ST-F-010 nameEvidence
11. MK-ST-F-048 currencySymbol
12. MK-ST-F-056 has
13. MK-CF-F-132 map
14. MK-ST-F-047 activeCurrency</t>
        </is>
      </c>
      <c r="R177" s="3" t="inlineStr">
        <is>
          <t>1. MK-ST-F-055 round2 → MK-CF-F-182 asPercent → MK-CF-F-184 incomeFromAccounts
2. MK-ST-F-055 round2 → MK-CF-F-155 cash → MK-NW-F-008 incomeBearingClassOf → MK-NW-F-011 assetClassOf → MK-CF-F-184 incomeFromAccounts
3. MK-ST-F-056 has → MK-ST-F-010 nameEvidence → MK-NW-F-008 incomeBearingClassOf → MK-NW-F-011 assetClassOf → MK-CF-F-184 incomeFromAccounts
4. MK-CF-F-132 map → MK-ST-F-010 nameEvidence → MK-NW-F-008 incomeBearingClassOf → MK-NW-F-011 assetClassOf → MK-CF-F-184 incomeFromAccounts
5. MK-ST-F-047 activeCurrency → MK-ST-F-048 currencySymbol → MK-ST-F-049 formatMoney → MK-ST-F-053 money → MK-CF-F-184 incomeFromAccounts
6. MK-ST-F-065 isoLocalDate → MK-CF-F-183 paidOutByAccount → MK-CF-F-184 incomeFromAccounts
7. MK-ST-F-055 round2 → MK-CF-F-183 paidOutByAccount → MK-CF-F-184 incomeFromAccounts
8. MK-ST-F-055 round2 → MK-CF-F-184 incomeFromAccounts</t>
        </is>
      </c>
      <c r="S177" s="3" t="inlineStr">
        <is>
          <t>—</t>
        </is>
      </c>
      <c r="T177" s="3" t="inlineStr">
        <is>
          <t>—</t>
        </is>
      </c>
      <c r="U177" s="3" t="inlineStr">
        <is>
          <t>ACTIVE</t>
        </is>
      </c>
      <c r="V177" s="3" t="inlineStr">
        <is>
          <t>2026-08-28</t>
        </is>
      </c>
    </row>
    <row r="178">
      <c r="A178" s="3" t="inlineStr">
        <is>
          <t>MK-CF-F-185</t>
        </is>
      </c>
      <c r="B178" s="3" t="inlineStr">
        <is>
          <t>needsTakeHomeConversion</t>
        </is>
      </c>
      <c r="C178" s="3" t="inlineStr">
        <is>
          <t>src/domain/income/take-home-mode-migration.ts</t>
        </is>
      </c>
      <c r="D178" s="3" t="n">
        <v>44</v>
      </c>
      <c r="E178" s="3" t="inlineStr">
        <is>
          <t>3 · DEPENDENT (feeds an action only)</t>
        </is>
      </c>
      <c r="F178" s="3" t="inlineStr">
        <is>
          <t>True when this profile still holds a pre-2026-08-28 take-home entry.</t>
        </is>
      </c>
      <c r="G178" s="6"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No</t>
        </is>
      </c>
      <c r="O178" s="3" t="inlineStr">
        <is>
          <t>MK-ST-F-052 toNum</t>
        </is>
      </c>
      <c r="P178" s="3" t="n">
        <v>1</v>
      </c>
      <c r="Q178" s="3" t="inlineStr">
        <is>
          <t>MK-ST-F-052 toNum</t>
        </is>
      </c>
      <c r="R178" s="3" t="inlineStr">
        <is>
          <t>MK-ST-F-052 toNum → MK-CF-F-185 needsTakeHomeConversion</t>
        </is>
      </c>
      <c r="S178" s="3" t="inlineStr">
        <is>
          <t>—</t>
        </is>
      </c>
      <c r="T178" s="3" t="inlineStr">
        <is>
          <t>—</t>
        </is>
      </c>
      <c r="U178" s="3" t="inlineStr">
        <is>
          <t>ACTIVE</t>
        </is>
      </c>
      <c r="V178" s="3" t="inlineStr">
        <is>
          <t>2026-08-28</t>
        </is>
      </c>
    </row>
    <row r="179">
      <c r="A179" s="3" t="inlineStr">
        <is>
          <t>MK-CF-F-186</t>
        </is>
      </c>
      <c r="B179" s="3" t="inlineStr">
        <is>
          <t>convertTakeHomeMode</t>
        </is>
      </c>
      <c r="C179" s="3" t="inlineStr">
        <is>
          <t>src/domain/income/take-home-mode-migration.ts</t>
        </is>
      </c>
      <c r="D179" s="3" t="n">
        <v>69</v>
      </c>
      <c r="E179" s="3" t="inlineStr">
        <is>
          <t>USED NOWHERE FOUND</t>
        </is>
      </c>
      <c r="F179" s="3" t="inlineStr">
        <is>
          <t>Convert it. What they typed becomes what LANDS; the gross is worked back once and stored.</t>
        </is>
      </c>
      <c r="G179" s="6"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None found in this function — anything it assumes comes from the functions it depends on.</t>
        </is>
      </c>
      <c r="N179" s="3" t="inlineStr">
        <is>
          <t>No</t>
        </is>
      </c>
      <c r="O179" s="3" t="inlineStr">
        <is>
          <t>1. MK-CF-F-085 filingStatusOf
2. MK-CF-F-097 grossFromNet
3. MK-CF-F-185 needsTakeHomeConversion
4. MK-CF-F-089 over65CountOf
5. MK-ST-F-055 round2
6. MK-ST-F-052 toNum</t>
        </is>
      </c>
      <c r="P179" s="3" t="n">
        <v>9</v>
      </c>
      <c r="Q179" s="3" t="inlineStr">
        <is>
          <t>1. MK-CF-F-085 filingStatusOf
2. MK-CF-F-097 grossFromNet
3. MK-CF-F-185 needsTakeHomeConversion
4. MK-CF-F-089 over65CountOf
5. MK-ST-F-055 round2
6. MK-ST-F-052 toNum
7. MK-CF-F-101 taxOwedFor
8. MK-CF-F-100 taxableIncomeFor
9. MK-CF-F-099 deductionFor</t>
        </is>
      </c>
      <c r="R179" s="3" t="inlineStr">
        <is>
          <t>1. MK-CF-F-085 filingStatusOf → MK-CF-F-186 convertTakeHomeMode
2. MK-CF-F-099 deductionFor → MK-CF-F-100 taxableIncomeFor → MK-CF-F-101 taxOwedFor → MK-CF-F-097 grossFromNet → MK-CF-F-186 convertTakeHomeMode
3. MK-ST-F-052 toNum → MK-CF-F-185 needsTakeHomeConversion → MK-CF-F-186 convertTakeHomeMode
4. MK-ST-F-052 toNum → MK-CF-F-089 over65CountOf → MK-CF-F-186 convertTakeHomeMode
5. MK-ST-F-055 round2 → MK-CF-F-186 convertTakeHomeMode
6. MK-ST-F-052 toNum → MK-CF-F-186 convertTakeHomeMode</t>
        </is>
      </c>
      <c r="S179" s="3" t="inlineStr">
        <is>
          <t>—</t>
        </is>
      </c>
      <c r="T179" s="3" t="inlineStr">
        <is>
          <t>—</t>
        </is>
      </c>
      <c r="U179" s="3" t="inlineStr">
        <is>
          <t>ACTIVE</t>
        </is>
      </c>
      <c r="V179" s="3" t="inlineStr">
        <is>
          <t>2026-08-28</t>
        </is>
      </c>
    </row>
    <row r="180">
      <c r="A180" s="3" t="inlineStr">
        <is>
          <t>MK-CF-O-001</t>
        </is>
      </c>
      <c r="B180" s="3" t="inlineStr">
        <is>
          <t>basePay</t>
        </is>
      </c>
      <c r="C180" s="3" t="inlineStr">
        <is>
          <t>MoneyKeel/functions/cashflow/base-pay.ts</t>
        </is>
      </c>
      <c r="D180" s="3" t="n">
        <v>585</v>
      </c>
      <c r="E180" s="3" t="inlineStr">
        <is>
          <t>2 · DISPLAYED</t>
        </is>
      </c>
      <c r="F180" s="3" t="inlineStr">
        <is>
          <t>NOT DETERMINED — the code carries no note saying what this is for, and it has no row in the old inventory. Needs reading.</t>
        </is>
      </c>
      <c r="G180" s="6" t="inlineStr">
        <is>
          <t>profile = profile
status = filing status (or 'single' when missing)
over65 = over65 (or 0 when missing)
pre rate = rate in force(profile ?? nothing)
gross annual = round(Σ over earners of (pay.gross annualised), 2 dp)
lands in bank = round(Σ over earners of (pay.lands in bank), 2 dp)
first wage = earners[0].pay.gross annualised (or 0 when missing)
band on one wage = marginal bracket for(first wage, status, over65)
band on every wage = marginal bracket for(gross annual, status, over65)
band note = nothing
wrong = round((gross annual × band on one wage) ÷ 12, 2 dp)
… the first steps only — the rest of the body needs reading by hand.</t>
        </is>
      </c>
      <c r="H180" s="3" t="inlineStr">
        <is>
          <t>Profile is profile. Status is filing status (or 'single' — when missing). Over65 is over65 (or 0 — when missing). Pre rate is rate in force(profile ?? no answer). Gross annual: the pay.gross annualised added up across earners, to the cent. Lands in bank: the pay.lands in bank added up across earners, to the cent. First wage is earners[0].pay.gross annualised (or 0 — when missing). Band on one wage is marginal bracket for(first wage, status, over65). Band on every wage is marginal bracket for(gross annual, status, over65). Band note is no answer. Wrong is (gross annual times band on one wage) divided by 12, to the cent. Only the first steps are shown; the rest of the body needs reading by hand.</t>
        </is>
      </c>
      <c r="I180" s="3" t="inlineStr">
        <is>
          <t>PARTLY READ — some of the code is still showing through; needs a hand pass</t>
        </is>
      </c>
      <c r="J180" s="3" t="inlineStr">
        <is>
          <t>h: HouseholdPayInput</t>
        </is>
      </c>
      <c r="K180" s="3" t="inlineStr">
        <is>
          <t>BasePay</t>
        </is>
      </c>
      <c r="L180" s="3" t="inlineStr">
        <is>
          <t>1. "Calculated federal tax" — on the base pay screen
2. "Each person’s pay" — on the base pay screen
3. "Everything else taken out" — on the base pay screen
4. "Federal income tax only." — on the base pay screen
5. "Federal tax bracket" — on the base pay screen
6. "Gross a year" — on the base pay screen</t>
        </is>
      </c>
      <c r="M180" s="3" t="inlineStr">
        <is>
          <t>1. If over65 is missing it uses 0.
2. If gross annualised is missing it uses 0.
3. Uses a built-in f i c a s h a r e of 7.65%.
4. Treats a year as twelve equal months.
5. Multiplies by 100 — a percentage, or an option contract treated as 100 shares. Worth checking which.
6. Rounds the answer to a whole number.
7. Leaves some rows out of the answer — check which.</t>
        </is>
      </c>
      <c r="N180" s="3" t="inlineStr">
        <is>
          <t>Yes</t>
        </is>
      </c>
      <c r="O180" s="3" t="inlineStr">
        <is>
          <t>1. MK-CF-F-171 earnerPay
2. MK-CF-F-132 map
3. MK-CF-F-103 marginalBracketFor
4. MK-ST-F-053 money
5. MK-HM-F-006 money0
6. MK-CF-F-181 rateInForce
7. MK-ST-F-055 round2</t>
        </is>
      </c>
      <c r="P180" s="3" t="n">
        <v>53</v>
      </c>
      <c r="Q180" s="3" t="inlineStr">
        <is>
          <t>1. MK-CF-F-171 earnerPay
2. MK-CF-F-132 map
3. MK-CF-F-103 marginalBracketFor
4. MK-ST-F-053 money
5. MK-HM-F-006 money0
6. MK-CF-F-181 rateInForce
7. MK-ST-F-055 round2
8. MK-CF-F-143 annualisedGross
9. MK-CF-F-145 deductionsFromPay
10. MK-CF-F-128 grossByMonth
11. MK-CF-F-146 payFiguresAgree
12. MK-CF-F-144 takeHomeAsEntered
13. MK-ST-F-052 toNum
14. MK-CF-F-100 taxableIncomeFor
15. MK-ST-F-049 formatMoney
16. MK-CF-F-155 cash
17. MK-HM-F-005 pctTxt
18. MK-CF-F-173 earnerWages
19. MK-CF-F-102 effectiveRateOnGrossFor
20. MK-CF-F-180 enteredLandsAnnual
21. MK-CF-F-085 filingStatusOf
22. MK-CF-F-089 over65CountOf
23. MK-CF-F-082 salaryAnnual
24. MK-CF-F-086 stateRateOf
25. MK-CF-F-084 taxableAnnual
26. MK-CF-F-142 monthsOf
27. MK-CF-F-141 perMonth
28. MK-ST-F-056 has
29. MK-CF-F-101 taxOwedFor
30. MK-CF-F-099 deductionFor
31. MK-ST-F-048 currencySymbol
32. MK-CF-F-172 hasWage
33. MK-CF-F-060 salaryGrossByMonth
34. MK-CF-F-072 currentRetirementIncomeMonthly
35. MK-CF-F-071 extraIncome
36. MK-CF-F-068 rentalNetAnnual
37. MK-CF-F-066 rsuAnnual
38. MK-CF-F-074 tipsAnnual
39. MK-CF-F-140 periodsAYear
40. MK-ST-F-047 activeCurrency
41. MK-CF-F-176 sumMonthsOverEarners
42. MK-CF-F-177 wageGrossByMonth
43. MK-CF-F-075 retirementIncomeMonthly
44. MK-CF-F-070 benefitAnnual
45. MK-CF-F-067 rentalList
46. MK-CF-F-062 equityRowValue
47. MK-CF-F-063 rowVestYear
48. MK-CF-F-081 salaryActiveMonths
49. MK-CF-F-130 enteredMonthlyRaw
50. MK-CF-F-166 hasMonthlySalaryTable
51. MK-CF-F-167 salaryCalendarYear
52. MK-CF-F-069 benefitActiveMonths
53. MK-CF-F-165 salaryMonths</t>
        </is>
      </c>
      <c r="R180" s="3" t="inlineStr">
        <is>
          <t>1. MK-CF-F-132 map → MK-CF-F-142 monthsOf → MK-CF-F-128 grossByMonth → MK-CF-F-143 annualisedGross → MK-CF-F-171 earnerPay → MK-CF-O-001 basePay
2. MK-ST-F-052 toNum → MK-CF-F-142 monthsOf → MK-CF-F-128 grossByMonth → MK-CF-F-143 annualisedGross → MK-CF-F-171 earnerPay → MK-CF-O-001 basePay
3. MK-CF-F-140 periodsAYear → MK-CF-F-141 perMonth → MK-CF-F-128 grossByMonth → MK-CF-F-143 annualisedGross → MK-CF-F-171 earnerPay → MK-CF-O-001 basePay
4. MK-ST-F-052 toNum → MK-CF-F-141 perMonth → MK-CF-F-128 grossByMonth → MK-CF-F-143 annualisedGross → MK-CF-F-171 earnerPay → MK-CF-O-001 basePay
5. MK-ST-F-055 round2 → MK-CF-F-143 annualisedGross → MK-CF-F-171 earnerPay → MK-CF-O-001 basePay
6. MK-CF-F-142 monthsOf → MK-CF-F-128 grossByMonth → MK-CF-F-143 annualisedGross → MK-CF-F-145 deductionsFromPay → MK-CF-F-171 earnerPay → MK-CF-O-001 basePay
7. MK-CF-F-141 perMonth → MK-CF-F-128 grossByMonth → MK-CF-F-143 annualisedGross → MK-CF-F-145 deductionsFromPay → MK-CF-F-171 earnerPay → MK-CF-O-001 basePay
8. MK-ST-F-055 round2 → MK-CF-F-143 annualisedGross → MK-CF-F-145 deductionsFromPay → MK-CF-F-171 earnerPay → MK-CF-O-001 basePay
9. … and 5 more paths</t>
        </is>
      </c>
      <c r="S180" s="3" t="inlineStr">
        <is>
          <t>—</t>
        </is>
      </c>
      <c r="T180" s="3" t="inlineStr">
        <is>
          <t>—</t>
        </is>
      </c>
      <c r="U180" s="3" t="inlineStr">
        <is>
          <t>ACTIVE</t>
        </is>
      </c>
      <c r="V180" s="3" t="inlineStr">
        <is>
          <t>2026-09-02</t>
        </is>
      </c>
    </row>
    <row r="181">
      <c r="A181" s="3" t="inlineStr">
        <is>
          <t>MK-CF-O-002</t>
        </is>
      </c>
      <c r="B181" s="3" t="inlineStr">
        <is>
          <t>spending</t>
        </is>
      </c>
      <c r="C181" s="3" t="inlineStr">
        <is>
          <t>MoneyKeel/functions/cashflow/spending.ts</t>
        </is>
      </c>
      <c r="D181" s="3" t="n">
        <v>268</v>
      </c>
      <c r="E181" s="3" t="inlineStr">
        <is>
          <t>2 · DISPLAYED</t>
        </is>
      </c>
      <c r="F181" s="3" t="inlineStr">
        <is>
          <t>NOT DETERMINED — the code carries no note saying what this is for, and it has no row in the old inventory. Needs reading.</t>
        </is>
      </c>
      <c r="G181" s="6" t="inlineStr">
        <is>
          <t>rec = recurring debt payments(s)
act = actual spending(s)
debt exp = debt payments counted as expenses(s, purchases captured)</t>
        </is>
      </c>
      <c r="H181" s="3" t="inlineStr">
        <is>
          <t>Rec is recurring debt payments(s). Act is actual spending(s). Debt exp is debt payments counted as expenses(s, purchases captured).</t>
        </is>
      </c>
      <c r="I181" s="3" t="inlineStr">
        <is>
          <t>READ FROM THE CODE — rendered from the expressions the function runs</t>
        </is>
      </c>
      <c r="J181" s="3" t="inlineStr">
        <is>
          <t>1. s: SpendingInput
2. purchasesCaptured: Set&lt;string&gt; = new Set()</t>
        </is>
      </c>
      <c r="K181" s="3" t="inlineStr">
        <is>
          <t>Spending</t>
        </is>
      </c>
      <c r="L181" s="3" t="inlineStr">
        <is>
          <t>NOT FOUND — a screen calls it, but the words printed beside its answer could not be traced automatically. Needs reading.</t>
        </is>
      </c>
      <c r="M181" s="3" t="inlineStr">
        <is>
          <t>None found in this function — anything it assumes comes from the functions it depends on.</t>
        </is>
      </c>
      <c r="N181" s="3" t="inlineStr">
        <is>
          <t>Yes</t>
        </is>
      </c>
      <c r="O181" s="3" t="inlineStr">
        <is>
          <t>1. MK-CF-F-151 actualSpending
2. MK-CF-F-150 debtPaymentsCountedAsExpenses
3. MK-CF-F-153 radar
4. MK-CF-F-149 recurringDebtPayments
5. MK-ST-F-055 round2</t>
        </is>
      </c>
      <c r="P181" s="3" t="n">
        <v>13</v>
      </c>
      <c r="Q181" s="3" t="inlineStr">
        <is>
          <t>1. MK-CF-F-151 actualSpending
2. MK-CF-F-150 debtPaymentsCountedAsExpenses
3. MK-CF-F-153 radar
4. MK-CF-F-149 recurringDebtPayments
5. MK-ST-F-055 round2
6. MK-CF-F-148 inMonth
7. MK-ST-F-052 toNum
8. MK-ST-F-056 has
9. MK-CF-F-022 paymentShape
10. MK-CF-F-152 isRadarItem
11. MK-CF-F-023 requiredPayment
12. MK-CF-F-132 map
13. MK-CF-F-021 defaultPaymentType</t>
        </is>
      </c>
      <c r="R181" s="3" t="inlineStr">
        <is>
          <t>1. MK-CF-F-148 inMonth → MK-CF-F-151 actualSpending → MK-CF-O-002 spending
2. MK-ST-F-055 round2 → MK-CF-F-151 actualSpending → MK-CF-O-002 spending
3. MK-ST-F-052 toNum → MK-CF-F-151 actualSpending → MK-CF-O-002 spending
4. MK-ST-F-056 has → MK-CF-F-150 debtPaymentsCountedAsExpenses → MK-CF-O-002 spending
5. MK-CF-F-148 inMonth → MK-CF-F-150 debtPaymentsCountedAsExpenses → MK-CF-O-002 spending
6. MK-CF-F-021 defaultPaymentType → MK-CF-F-022 paymentShape → MK-CF-F-150 debtPaymentsCountedAsExpenses → MK-CF-O-002 spending
7. MK-ST-F-055 round2 → MK-CF-F-150 debtPaymentsCountedAsExpenses → MK-CF-O-002 spending
8. MK-ST-F-052 toNum → MK-CF-F-150 debtPaymentsCountedAsExpenses → MK-CF-O-002 spending
9. … and 5 more paths</t>
        </is>
      </c>
      <c r="S181" s="3" t="inlineStr">
        <is>
          <t>—</t>
        </is>
      </c>
      <c r="T181" s="3" t="inlineStr">
        <is>
          <t>—</t>
        </is>
      </c>
      <c r="U181" s="3" t="inlineStr">
        <is>
          <t>ACTIVE</t>
        </is>
      </c>
      <c r="V181" s="3" t="inlineStr">
        <is>
          <t>2026-08-27</t>
        </is>
      </c>
    </row>
    <row r="182">
      <c r="A182" s="3" t="inlineStr">
        <is>
          <t>MK-CF-O-003</t>
        </is>
      </c>
      <c r="B182" s="3" t="inlineStr">
        <is>
          <t>thisMonth</t>
        </is>
      </c>
      <c r="C182" s="3" t="inlineStr">
        <is>
          <t>MoneyKeel/functions/cashflow/this-month.ts</t>
        </is>
      </c>
      <c r="D182" s="3" t="n">
        <v>232</v>
      </c>
      <c r="E182" s="3" t="inlineStr">
        <is>
          <t>3 · DEPENDENT (feeds an action only)</t>
        </is>
      </c>
      <c r="F182" s="3" t="inlineStr">
        <is>
          <t>NOT DETERMINED — the code carries no note saying what this is for, and it has no row in the old inventory. Needs reading.</t>
        </is>
      </c>
      <c r="G182" s="6" t="inlineStr">
        <is>
          <t>planned = planned month flow(m)
actual = actual month flow(m)</t>
        </is>
      </c>
      <c r="H182" s="3" t="inlineStr">
        <is>
          <t>planned = planned month flow(m); actual = actual month flow(m).</t>
        </is>
      </c>
      <c r="I182" s="3" t="inlineStr">
        <is>
          <t>READ FROM THE CODE — rendered from the expressions the function runs</t>
        </is>
      </c>
      <c r="J182" s="3" t="inlineStr">
        <is>
          <t>m: MonthInput</t>
        </is>
      </c>
      <c r="K182" s="3" t="inlineStr">
        <is>
          <t>ThisMonth</t>
        </is>
      </c>
      <c r="L182" s="3" t="inlineStr">
        <is>
          <t>—</t>
        </is>
      </c>
      <c r="M182" s="3" t="inlineStr">
        <is>
          <t>None found in this function — anything it assumes comes from the functions it depends on.</t>
        </is>
      </c>
      <c r="N182" s="3" t="inlineStr">
        <is>
          <t>No</t>
        </is>
      </c>
      <c r="O182" s="3" t="inlineStr">
        <is>
          <t>1. MK-CF-F-005 actualMonthFlow
2. MK-CF-F-156 plannedMonthFlow</t>
        </is>
      </c>
      <c r="P182" s="3" t="n">
        <v>11</v>
      </c>
      <c r="Q182" s="3" t="inlineStr">
        <is>
          <t>1. MK-CF-F-005 actualMonthFlow
2. MK-CF-F-156 plannedMonthFlow
3. MK-CF-F-155 cash
4. MK-CF-F-157 debtPaymentsByDebt
5. MK-CF-F-148 inMonth
6. MK-CF-F-023 requiredPayment
7. MK-ST-F-055 round2
8. MK-ST-F-052 toNum
9. MK-CF-F-132 map
10. MK-CF-F-022 paymentShape
11. MK-CF-F-021 defaultPaymentType</t>
        </is>
      </c>
      <c r="R182" s="3" t="inlineStr">
        <is>
          <t>1. MK-ST-F-055 round2 → MK-CF-F-155 cash → MK-CF-F-005 actualMonthFlow → MK-CF-O-003 thisMonth
2. MK-CF-F-148 inMonth → MK-CF-F-157 debtPaymentsByDebt → MK-CF-F-005 actualMonthFlow → MK-CF-O-003 thisMonth
3. MK-CF-F-132 map → MK-CF-F-157 debtPaymentsByDebt → MK-CF-F-005 actualMonthFlow → MK-CF-O-003 thisMonth
4. MK-ST-F-055 round2 → MK-CF-F-157 debtPaymentsByDebt → MK-CF-F-005 actualMonthFlow → MK-CF-O-003 thisMonth
5. MK-ST-F-052 toNum → MK-CF-F-157 debtPaymentsByDebt → MK-CF-F-005 actualMonthFlow → MK-CF-O-003 thisMonth
6. MK-CF-F-148 inMonth → MK-CF-F-005 actualMonthFlow → MK-CF-O-003 thisMonth
7. MK-CF-F-021 defaultPaymentType → MK-CF-F-022 paymentShape → MK-CF-F-023 requiredPayment → MK-CF-F-005 actualMonthFlow → MK-CF-O-003 thisMonth
8. MK-ST-F-055 round2 → MK-CF-F-005 actualMonthFlow → MK-CF-O-003 thisMonth
9. … and 4 more paths</t>
        </is>
      </c>
      <c r="S182" s="3" t="inlineStr">
        <is>
          <t>—</t>
        </is>
      </c>
      <c r="T182" s="3" t="inlineStr">
        <is>
          <t>—</t>
        </is>
      </c>
      <c r="U182" s="3" t="inlineStr">
        <is>
          <t>ACTIVE</t>
        </is>
      </c>
      <c r="V182" s="3" t="inlineStr">
        <is>
          <t>2026-08-27</t>
        </is>
      </c>
    </row>
    <row r="183">
      <c r="A183" s="3" t="inlineStr">
        <is>
          <t>MK-CF-O-004</t>
        </is>
      </c>
      <c r="B183" s="3" t="inlineStr">
        <is>
          <t>incomeSummary</t>
        </is>
      </c>
      <c r="C183" s="3" t="inlineStr">
        <is>
          <t>MoneyKeel/functions/cashflow/income-summary.ts</t>
        </is>
      </c>
      <c r="D183" s="3" t="n">
        <v>75</v>
      </c>
      <c r="E183" s="3" t="inlineStr">
        <is>
          <t>2 · DISPLAYED</t>
        </is>
      </c>
      <c r="F183" s="3" t="inlineStr">
        <is>
          <t>── ORCHESTRATOR ──────────────────────────────────────────────────────────────────────────── WHAT IS THIS HOUSEHOLD'S INCOME?</t>
        </is>
      </c>
      <c r="G183" s="6" t="inlineStr">
        <is>
          <t>a = op (or none when missing)
wages = earner wages(op as any)
rent = round(rental net annual(op as any) ÷ 12, 2 dp)
grid = income monthly grid(op as any, 'available')
months = for each of grid: amount
usual = round(months.slice().sort((x, y) =&gt; x − y)[math.floor(months.length ÷ 2)], 2 dp)   if count of months
0   otherwise
biggest = months.reduce((best, v, i) =&gt; (v &gt; months[best] ? i : best), 0)
taxed lines = []
rent annual = round(rental net annual(op as any), 2 dp)
inv = round(inv annual read as a number (0 when it is not one), 2 dp)
bonus = round(bonus annual read as a number (0 when it is not one), 2 dp)
… the first steps only — the rest of the body needs reading by hand.</t>
        </is>
      </c>
      <c r="H183" s="3" t="inlineStr">
        <is>
          <t>A is op (or none — when missing). Wages is earner wages(op as any). Rent is rental net annual(op as any) divided by 12, to the cent. Grid is income monthly grid(op as any, 'available'). Months is for each of grid: amount. Usual is months.slice().sort((x, y) =&gt; x minus y)[math.floor(months.length divided by 2)], to the cent — when how many months there are; 0 — otherwise. Biggest is months.reduce((best, v, i) =&gt; (v &gt; months[best] ? i : best), 0). Taxed lines is []. Rent annual is rental net annual(op as any), to the cent. Inv is inv annual read as a number (0 — when it is one is missing), to the cent. Bonus is bonus annual read as a number (0 — when it is one is missing), to the cent. Only the first steps are shown; the rest of the body needs reading by hand.</t>
        </is>
      </c>
      <c r="I183" s="3" t="inlineStr">
        <is>
          <t>PARTLY READ — some of the code is still showing through; needs a hand pass</t>
        </is>
      </c>
      <c r="J183" s="3" t="inlineStr">
        <is>
          <t>op: Record&lt;string, any&gt; | null</t>
        </is>
      </c>
      <c r="K183" s="3" t="inlineStr">
        <is>
          <t>IncomeSummary</t>
        </is>
      </c>
      <c r="L183" s="3" t="inlineStr">
        <is>
          <t>1. "Add your income ›" — on the income summary screen
2. "Federal tax bracket" — on the income summary screen
3. "Take-home each month" — on the income summary screen
4. "We will calculate this once you have told us about a wage." — on the income summary screen
5. "What it is taxed on" — on the income summary screen</t>
        </is>
      </c>
      <c r="M183" s="3" t="inlineStr">
        <is>
          <t>1. Treats a year as twelve equal months.
2. Leaves some rows out of the answer — check which.</t>
        </is>
      </c>
      <c r="N183" s="3" t="inlineStr">
        <is>
          <t>Yes</t>
        </is>
      </c>
      <c r="O183" s="3" t="inlineStr">
        <is>
          <t>1. MK-CF-O-001 basePay
2. MK-CF-F-173 earnerWages
3. MK-CF-F-179 entryFromWage
4. MK-CF-F-071 extraIncome
5. MK-CF-F-085 filingStatusOf
6. MK-CF-F-092 incomeMonthlyGrid
7. MK-CF-F-132 map
8. MK-CF-F-103 marginalBracketFor
9. MK-CF-F-089 over65CountOf
10. MK-CF-F-181 rateInForce
11. MK-CF-F-068 rentalNetAnnual
12. MK-ST-F-055 round2
13. MK-CF-F-082 salaryAnnual
14. MK-CF-F-084 taxableAnnual
15. MK-ST-F-052 toNum</t>
        </is>
      </c>
      <c r="P183" s="3" t="n">
        <v>63</v>
      </c>
      <c r="Q183" s="3" t="inlineStr">
        <is>
          <t>1. MK-CF-O-001 basePay
2. MK-CF-F-173 earnerWages
3. MK-CF-F-179 entryFromWage
4. MK-CF-F-071 extraIncome
5. MK-CF-F-085 filingStatusOf
6. MK-CF-F-092 incomeMonthlyGrid
7. MK-CF-F-132 map
8. MK-CF-F-103 marginalBracketFor
9. MK-CF-F-089 over65CountOf
10. MK-CF-F-181 rateInForce
11. MK-CF-F-068 rentalNetAnnual
12. MK-ST-F-055 round2
13. MK-CF-F-082 salaryAnnual
14. MK-CF-F-084 taxableAnnual
15. MK-ST-F-052 toNum
16. MK-CF-F-171 earnerPay
17. MK-ST-F-053 money
18. MK-HM-F-006 money0
19. MK-CF-F-172 hasWage
20. MK-CF-F-165 salaryMonths
21. MK-CF-F-070 benefitAnnual
22. MK-CF-F-069 benefitActiveMonths
23. MK-CF-F-072 currentRetirementIncomeMonthly
24. MK-CF-F-065 equityVestWeights
25. MK-ST-F-056 has
26. MK-CF-F-087 monthlyTaxRates
27. MK-CF-F-073 otherIncomeMonth
28. MK-CF-F-066 rsuAnnual
29. MK-CF-F-060 salaryGrossByMonth
30. MK-CF-F-077 scholarshipByCalendarMonth
31. MK-CF-F-088 taxableByCalendarMonth
32. MK-CF-F-100 taxableIncomeFor
33. MK-CF-F-102 effectiveRateOnGrossFor
34. MK-CF-F-180 enteredLandsAnnual
35. MK-CF-F-086 stateRateOf
36. MK-CF-F-067 rentalList
37. MK-CF-F-074 tipsAnnual
38. MK-CF-F-143 annualisedGross
39. MK-CF-F-145 deductionsFromPay
40. MK-CF-F-128 grossByMonth
41. MK-CF-F-146 payFiguresAgree
42. MK-CF-F-144 takeHomeAsEntered
43. MK-ST-F-049 formatMoney
44. MK-CF-F-155 cash
45. MK-HM-F-005 pctTxt
46. MK-CF-F-075 retirementIncomeMonthly
47. MK-CF-F-062 equityRowValue
48. MK-CF-F-090 effectiveRate
49. MK-CF-F-098 progressiveMonthlyTax
50. MK-CF-F-063 rowVestYear
51. MK-CF-F-176 sumMonthsOverEarners
52. MK-CF-F-177 wageGrossByMonth
53. MK-CF-F-099 deductionFor
54. MK-CF-F-101 taxOwedFor
55. MK-CF-F-081 salaryActiveMonths
56. MK-CF-F-142 monthsOf
57. MK-CF-F-141 perMonth
58. MK-ST-F-048 currencySymbol
59. MK-CF-F-130 enteredMonthlyRaw
60. MK-CF-F-166 hasMonthlySalaryTable
61. MK-CF-F-167 salaryCalendarYear
62. MK-CF-F-140 periodsAYear
63. MK-ST-F-047 activeCurrency</t>
        </is>
      </c>
      <c r="R183" s="3" t="inlineStr">
        <is>
          <t>1. MK-CF-F-142 monthsOf → MK-CF-F-128 grossByMonth → MK-CF-F-143 annualisedGross → MK-CF-F-171 earnerPay → MK-CF-O-001 basePay → MK-CF-O-004 incomeSummary
2. MK-CF-F-141 perMonth → MK-CF-F-128 grossByMonth → MK-CF-F-143 annualisedGross → MK-CF-F-171 earnerPay → MK-CF-O-001 basePay → MK-CF-O-004 incomeSummary
3. MK-ST-F-055 round2 → MK-CF-F-143 annualisedGross → MK-CF-F-171 earnerPay → MK-CF-O-001 basePay → MK-CF-O-004 incomeSummary
4. MK-CF-F-128 grossByMonth → MK-CF-F-143 annualisedGross → MK-CF-F-145 deductionsFromPay → MK-CF-F-171 earnerPay → MK-CF-O-001 basePay → MK-CF-O-004 incomeSummary
5. MK-ST-F-055 round2 → MK-CF-F-143 annualisedGross → MK-CF-F-145 deductionsFromPay → MK-CF-F-171 earnerPay → MK-CF-O-001 basePay → MK-CF-O-004 incomeSummary
6. MK-ST-F-055 round2 → MK-CF-F-145 deductionsFromPay → MK-CF-F-171 earnerPay → MK-CF-O-001 basePay → MK-CF-O-004 incomeSummary
7. MK-CF-F-143 annualisedGross → MK-CF-F-144 takeHomeAsEntered → MK-CF-F-145 deductionsFromPay → MK-CF-F-171 earnerPay → MK-CF-O-001 basePay → MK-CF-O-004 incomeSummary
8. MK-CF-F-142 monthsOf → MK-CF-F-144 takeHomeAsEntered → MK-CF-F-145 deductionsFromPay → MK-CF-F-171 earnerPay → MK-CF-O-001 basePay → MK-CF-O-004 incomeSummary
9. … and 5 more paths</t>
        </is>
      </c>
      <c r="S183" s="3" t="inlineStr">
        <is>
          <t>—</t>
        </is>
      </c>
      <c r="T183" s="3" t="inlineStr">
        <is>
          <t>—</t>
        </is>
      </c>
      <c r="U183" s="3" t="inlineStr">
        <is>
          <t>ACTIVE</t>
        </is>
      </c>
      <c r="V183" s="3" t="inlineStr">
        <is>
          <t>2026-08-28</t>
        </is>
      </c>
    </row>
    <row r="184">
      <c r="A184" s="3" t="inlineStr">
        <is>
          <t>MK-HM-F-001</t>
        </is>
      </c>
      <c r="B184" s="3" t="inlineStr">
        <is>
          <t>buildInsights</t>
        </is>
      </c>
      <c r="C184" s="3" t="inlineStr">
        <is>
          <t>src/domain/insights/index.ts</t>
        </is>
      </c>
      <c r="D184" s="3" t="n">
        <v>168</v>
      </c>
      <c r="E184" s="3" t="inlineStr">
        <is>
          <t>2 · DISPLAYED</t>
        </is>
      </c>
      <c r="F184" s="3" t="inlineStr">
        <is>
          <t>Ranked insights (highest priority first).</t>
        </is>
      </c>
      <c r="G184" s="6" t="inlineStr">
        <is>
          <t>the first limit of out   if limit ≠ nothing
out   otherwise</t>
        </is>
      </c>
      <c r="H184" s="3" t="inlineStr">
        <is>
          <t>the first limit of out — when limit is not no answer; out — otherwise.</t>
        </is>
      </c>
      <c r="I184" s="3" t="inlineStr">
        <is>
          <t>READ FROM THE CODE — rendered from the expressions the function runs</t>
        </is>
      </c>
      <c r="J184" s="3" t="inlineStr">
        <is>
          <t>1. input: InsightInput
2. limit?: number</t>
        </is>
      </c>
      <c r="K184" s="3" t="inlineStr">
        <is>
          <t>Insight[]</t>
        </is>
      </c>
      <c r="L184" s="3" t="inlineStr">
        <is>
          <t>NOT FOUND — a screen calls it, but the words printed beside its answer could not be traced automatically. Needs reading.</t>
        </is>
      </c>
      <c r="M184" s="3" t="inlineStr">
        <is>
          <t>· Leaves some rows out of the answer — check which.</t>
        </is>
      </c>
      <c r="N184" s="3" t="inlineStr">
        <is>
          <t>Yes</t>
        </is>
      </c>
      <c r="O184" s="3" t="inlineStr">
        <is>
          <t>MK-CF-F-132 map</t>
        </is>
      </c>
      <c r="P184" s="3" t="n">
        <v>1</v>
      </c>
      <c r="Q184" s="3" t="inlineStr">
        <is>
          <t>MK-CF-F-132 map</t>
        </is>
      </c>
      <c r="R184" s="3" t="inlineStr">
        <is>
          <t>MK-CF-F-132 map → MK-HM-F-001 buildInsights</t>
        </is>
      </c>
      <c r="S184" s="3" t="inlineStr">
        <is>
          <t>—</t>
        </is>
      </c>
      <c r="T184" s="3" t="inlineStr">
        <is>
          <t>—</t>
        </is>
      </c>
      <c r="U184" s="3" t="inlineStr">
        <is>
          <t>ACTIVE</t>
        </is>
      </c>
      <c r="V184" s="3" t="inlineStr">
        <is>
          <t>2026-08-27</t>
        </is>
      </c>
    </row>
    <row r="185">
      <c r="A185" s="3" t="inlineStr">
        <is>
          <t>MK-HM-F-002</t>
        </is>
      </c>
      <c r="B185" s="3" t="inlineStr">
        <is>
          <t>milestoneLabel</t>
        </is>
      </c>
      <c r="C185" s="3" t="inlineStr">
        <is>
          <t>src/domain/milestones.ts</t>
        </is>
      </c>
      <c r="D185" s="3" t="n">
        <v>34</v>
      </c>
      <c r="E185" s="3" t="inlineStr">
        <is>
          <t>2 · DISPLAYED</t>
        </is>
      </c>
      <c r="F185" s="3" t="inlineStr">
        <is>
          <t>'$500k' / '$1M' — the label the celebration line uses.</t>
        </is>
      </c>
      <c r="G185" s="6" t="inlineStr">
        <is>
          <t>m = threshold ÷ 1000000
the answer = `$${number.is integer(m) ? m : to fixed(1)}M`</t>
        </is>
      </c>
      <c r="H185" s="3" t="inlineStr">
        <is>
          <t>M is threshold divided by 1000000. The answer is `$${number.is integer(m) ? m : to fixed(1)}M`.</t>
        </is>
      </c>
      <c r="I185" s="3" t="inlineStr">
        <is>
          <t>PARTLY READ — some of the code is still showing through; needs a hand pass</t>
        </is>
      </c>
      <c r="J185" s="3" t="inlineStr">
        <is>
          <t>threshold: number</t>
        </is>
      </c>
      <c r="K185" s="3" t="inlineStr">
        <is>
          <t>string</t>
        </is>
      </c>
      <c r="L185" s="3" t="inlineStr">
        <is>
          <t>NOT FOUND — a screen calls it, but the words printed beside its answer could not be traced automatically. Needs reading.</t>
        </is>
      </c>
      <c r="M185" s="3" t="inlineStr">
        <is>
          <t>1. Rounds the answer to a whole number.
2. Shows 1 decimal place.</t>
        </is>
      </c>
      <c r="N185" s="3" t="inlineStr">
        <is>
          <t>Yes</t>
        </is>
      </c>
      <c r="O185" s="3" t="inlineStr">
        <is>
          <t>—</t>
        </is>
      </c>
      <c r="P185" s="3" t="n">
        <v>0</v>
      </c>
      <c r="Q185" s="3" t="inlineStr">
        <is>
          <t>None — no dependent function stands behind it</t>
        </is>
      </c>
      <c r="R185" s="3" t="inlineStr">
        <is>
          <t>No dependent function — it reads its inputs and answers</t>
        </is>
      </c>
      <c r="S185" s="3" t="inlineStr">
        <is>
          <t>—</t>
        </is>
      </c>
      <c r="T185" s="3" t="inlineStr">
        <is>
          <t>—</t>
        </is>
      </c>
      <c r="U185" s="3" t="inlineStr">
        <is>
          <t>ACTIVE</t>
        </is>
      </c>
      <c r="V185" s="3" t="inlineStr">
        <is>
          <t>2026-08-27</t>
        </is>
      </c>
    </row>
    <row r="186">
      <c r="A186" s="3" t="inlineStr">
        <is>
          <t>MK-HM-F-003</t>
        </is>
      </c>
      <c r="B186" s="3" t="inlineStr">
        <is>
          <t>milestoneFloor</t>
        </is>
      </c>
      <c r="C186" s="3" t="inlineStr">
        <is>
          <t>src/domain/milestones.ts</t>
        </is>
      </c>
      <c r="D186" s="3" t="n">
        <v>65</v>
      </c>
      <c r="E186" s="3" t="inlineStr">
        <is>
          <t>2 · DISPLAYED</t>
        </is>
      </c>
      <c r="F186" s="3" t="inlineStr">
        <is>
          <t>The highest ladder rung at or below `netWorth` (0 when below the first rung).</t>
        </is>
      </c>
      <c r="G186" s="6" t="inlineStr">
        <is>
          <t>floor = 0
the answer = floor</t>
        </is>
      </c>
      <c r="H186" s="3" t="inlineStr">
        <is>
          <t>Floor is 0. The answer is floor.</t>
        </is>
      </c>
      <c r="I186" s="3" t="inlineStr">
        <is>
          <t>READ FROM THE CODE — rendered from the expressions the function runs</t>
        </is>
      </c>
      <c r="J186" s="3" t="inlineStr">
        <is>
          <t>netWorth: number</t>
        </is>
      </c>
      <c r="K186" s="3" t="inlineStr">
        <is>
          <t>number</t>
        </is>
      </c>
      <c r="L186" s="3" t="inlineStr">
        <is>
          <t>NOT FOUND — a screen calls it, but the words printed beside its answer could not be traced automatically. Needs reading.</t>
        </is>
      </c>
      <c r="M186" s="3" t="inlineStr">
        <is>
          <t>· Uses a built-in floor of 0.</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2026-08-27</t>
        </is>
      </c>
    </row>
    <row r="187">
      <c r="A187" s="3" t="inlineStr">
        <is>
          <t>MK-HM-F-004</t>
        </is>
      </c>
      <c r="B187" s="3" t="inlineStr">
        <is>
          <t>milestoneCrossed</t>
        </is>
      </c>
      <c r="C187" s="3" t="inlineStr">
        <is>
          <t>src/domain/milestones.ts</t>
        </is>
      </c>
      <c r="D187" s="3" t="n">
        <v>95</v>
      </c>
      <c r="E187" s="3" t="inlineStr">
        <is>
          <t>2 · DISPLAYED</t>
        </is>
      </c>
      <c r="F187" s="3" t="inlineStr">
        <is>
          <t>The one decision rule.</t>
        </is>
      </c>
      <c r="G187" s="6" t="inlineStr">
        <is>
          <t>nothing   when high seen = nothing
floor = milestone floor(net worth)
the answer:
floor   if floor &gt; high seen
nothing   otherwise</t>
        </is>
      </c>
      <c r="H187" s="3" t="inlineStr">
        <is>
          <t>When high seen is missing, it answers no answer. Floor is milestone floor(net worth). The answer is floor — when floor &gt; high seen; no answer — otherwise.</t>
        </is>
      </c>
      <c r="I187" s="3" t="inlineStr">
        <is>
          <t>READ FROM THE CODE — rendered from the expressions the function runs</t>
        </is>
      </c>
      <c r="J187" s="3" t="inlineStr">
        <is>
          <t>1. netWorth: number
2. highSeen: number | null</t>
        </is>
      </c>
      <c r="K187" s="3" t="inlineStr">
        <is>
          <t>number | null</t>
        </is>
      </c>
      <c r="L187" s="3" t="inlineStr">
        <is>
          <t>NOT FOUND — a screen calls it, but the words printed beside its answer could not be traced automatically. Needs reading.</t>
        </is>
      </c>
      <c r="M187" s="3" t="inlineStr">
        <is>
          <t>None found in this function — anything it assumes comes from the functions it depends on.</t>
        </is>
      </c>
      <c r="N187" s="3" t="inlineStr">
        <is>
          <t>Yes</t>
        </is>
      </c>
      <c r="O187" s="3" t="inlineStr">
        <is>
          <t>MK-HM-F-003 milestoneFloor</t>
        </is>
      </c>
      <c r="P187" s="3" t="n">
        <v>1</v>
      </c>
      <c r="Q187" s="3" t="inlineStr">
        <is>
          <t>MK-HM-F-003 milestoneFloor</t>
        </is>
      </c>
      <c r="R187" s="3" t="inlineStr">
        <is>
          <t>MK-HM-F-003 milestoneFloor → MK-HM-F-004 milestoneCrossed</t>
        </is>
      </c>
      <c r="S187" s="3" t="inlineStr">
        <is>
          <t>—</t>
        </is>
      </c>
      <c r="T187" s="3" t="inlineStr">
        <is>
          <t>—</t>
        </is>
      </c>
      <c r="U187" s="3" t="inlineStr">
        <is>
          <t>ACTIVE</t>
        </is>
      </c>
      <c r="V187" s="3" t="inlineStr">
        <is>
          <t>2026-08-27</t>
        </is>
      </c>
    </row>
    <row r="188">
      <c r="A188" s="3" t="inlineStr">
        <is>
          <t>MK-HM-F-005</t>
        </is>
      </c>
      <c r="B188" s="3" t="inlineStr">
        <is>
          <t>pctTxt</t>
        </is>
      </c>
      <c r="C188" s="3" t="inlineStr">
        <is>
          <t>src/domain/insights/index.ts</t>
        </is>
      </c>
      <c r="D188" s="3" t="n">
        <v>62</v>
      </c>
      <c r="E188" s="3" t="inlineStr">
        <is>
          <t>1 · ACTION</t>
        </is>
      </c>
      <c r="F188" s="3" t="inlineStr">
        <is>
          <t>NOT DETERMINED — the code carries no note saying what this is for, and it has no row in the old inventory. Needs reading.</t>
        </is>
      </c>
      <c r="G188" s="6" t="inlineStr">
        <is>
          <t>NOT READ YET — the body is not a shape this can render faithfully, so nothing is claimed rather than something being guessed. It needs reading by hand.</t>
        </is>
      </c>
      <c r="H188" s="3" t="inlineStr">
        <is>
          <t>NOT READ YET — the body is not a shape this can render faithfully, so nothing is claimed rather than something being guessed. It needs reading by hand.</t>
        </is>
      </c>
      <c r="I188" s="3" t="inlineStr">
        <is>
          <t>NOT READ — nothing is claimed rather than something guessed</t>
        </is>
      </c>
      <c r="J188" s="3" t="inlineStr">
        <is>
          <t>d: number</t>
        </is>
      </c>
      <c r="K188" s="3" t="inlineStr">
        <is>
          <t>NOT DECLARED — the code does not say what it gives back</t>
        </is>
      </c>
      <c r="L188" s="3" t="inlineStr">
        <is>
          <t>—</t>
        </is>
      </c>
      <c r="M188" s="3" t="inlineStr">
        <is>
          <t>1. Multiplies by 100 — a percentage, or an option contract treated as 100 shares. Worth checking which.
2. Rounds the answer to a whole number.</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t>
        </is>
      </c>
      <c r="T188" s="3" t="inlineStr">
        <is>
          <t>—</t>
        </is>
      </c>
      <c r="U188" s="3" t="inlineStr">
        <is>
          <t>ACTIVE</t>
        </is>
      </c>
      <c r="V188" s="3" t="inlineStr">
        <is>
          <t>2026-08-27</t>
        </is>
      </c>
    </row>
    <row r="189">
      <c r="A189" s="3" t="inlineStr">
        <is>
          <t>MK-HM-F-006</t>
        </is>
      </c>
      <c r="B189" s="3" t="inlineStr">
        <is>
          <t>money0</t>
        </is>
      </c>
      <c r="C189" s="3" t="inlineStr">
        <is>
          <t>src/domain/insights/index.ts</t>
        </is>
      </c>
      <c r="D189" s="3" t="n">
        <v>87</v>
      </c>
      <c r="E189" s="3" t="inlineStr">
        <is>
          <t>3 · DEPENDENT</t>
        </is>
      </c>
      <c r="F189" s="3" t="inlineStr">
        <is>
          <t>NOT DETERMINED — the code carries no note saying what this is for, and it has no row in the old inventory. Needs reading.</t>
        </is>
      </c>
      <c r="G189" s="6" t="inlineStr">
        <is>
          <t>NOT READ YET — the body is not a shape this can render faithfully, so nothing is claimed rather than something being guessed. It needs reading by hand.</t>
        </is>
      </c>
      <c r="H189" s="3" t="inlineStr">
        <is>
          <t>NOT READ YET — the body is not a shape this can render faithfully, so nothing is claimed rather than something being guessed. It needs reading by hand.</t>
        </is>
      </c>
      <c r="I189" s="3" t="inlineStr">
        <is>
          <t>NOT READ — nothing is claimed rather than something guessed</t>
        </is>
      </c>
      <c r="J189" s="3" t="inlineStr">
        <is>
          <t>n: number</t>
        </is>
      </c>
      <c r="K189" s="3" t="inlineStr">
        <is>
          <t>NOT DECLARED — the code does not say what it gives back</t>
        </is>
      </c>
      <c r="L189" s="3" t="inlineStr">
        <is>
          <t>—</t>
        </is>
      </c>
      <c r="M189" s="3" t="inlineStr">
        <is>
          <t>1. Multiplies by 100 — a percentage, or an option contract treated as 100 shares. Worth checking which.
2. Rounds the answer to a whole number.
3. Shows 1 decimal place.</t>
        </is>
      </c>
      <c r="N189" s="3" t="inlineStr">
        <is>
          <t>Yes</t>
        </is>
      </c>
      <c r="O189" s="3" t="inlineStr">
        <is>
          <t>1. MK-CF-F-155 cash
2. MK-HM-F-005 pctTxt</t>
        </is>
      </c>
      <c r="P189" s="3" t="n">
        <v>3</v>
      </c>
      <c r="Q189" s="3" t="inlineStr">
        <is>
          <t>1. MK-CF-F-155 cash
2. MK-HM-F-005 pctTxt
3. MK-ST-F-055 round2</t>
        </is>
      </c>
      <c r="R189" s="3" t="inlineStr">
        <is>
          <t>1. MK-ST-F-055 round2 → MK-CF-F-155 cash → MK-HM-F-006 money0
2. MK-HM-F-005 pctTxt → MK-HM-F-006 money0</t>
        </is>
      </c>
      <c r="S189" s="3" t="inlineStr">
        <is>
          <t>—</t>
        </is>
      </c>
      <c r="T189" s="3" t="inlineStr">
        <is>
          <t>—</t>
        </is>
      </c>
      <c r="U189" s="3" t="inlineStr">
        <is>
          <t>ACTIVE</t>
        </is>
      </c>
      <c r="V189" s="3" t="inlineStr">
        <is>
          <t>2026-09-02</t>
        </is>
      </c>
    </row>
    <row r="190">
      <c r="A190" s="3" t="inlineStr">
        <is>
          <t>MK-NW-F-001</t>
        </is>
      </c>
      <c r="B190" s="3" t="inlineStr">
        <is>
          <t>isAlternative</t>
        </is>
      </c>
      <c r="C190" s="3" t="inlineStr">
        <is>
          <t>src/domain/alternatives/index.ts</t>
        </is>
      </c>
      <c r="D190" s="3" t="n">
        <v>33</v>
      </c>
      <c r="E190" s="3" t="inlineStr">
        <is>
          <t>2 · DISPLAYED</t>
        </is>
      </c>
      <c r="F190" s="3" t="inlineStr">
        <is>
          <t>Is this account an "other investment" — an alternative held at a manual value (not a bond, not cash/property)?</t>
        </is>
      </c>
      <c r="G190" s="6" t="inlineStr">
        <is>
          <t>ALT_KINDS.includes((kind ?? '') as alt kind) and !maturity date and tax bucket ! = 'PROPERTY'</t>
        </is>
      </c>
      <c r="H190" s="3" t="inlineStr">
        <is>
          <t>ALT_KINDS.includes((kind ?? '') as alt kind) and !maturity date and tax bucket ! = 'PROPERTY'.</t>
        </is>
      </c>
      <c r="I190" s="3" t="inlineStr">
        <is>
          <t>PARTLY READ — some of the code is still showing through; needs a hand pass</t>
        </is>
      </c>
      <c r="J190" s="3" t="inlineStr">
        <is>
          <t>a: AssetAccount</t>
        </is>
      </c>
      <c r="K190" s="3" t="inlineStr">
        <is>
          <t>boolean</t>
        </is>
      </c>
      <c r="L190" s="3" t="inlineStr">
        <is>
          <t>NOT FOUND — a screen calls it, but the words printed beside its answer could not be traced automatically. Needs reading.</t>
        </is>
      </c>
      <c r="M190" s="3" t="inlineStr">
        <is>
          <t>None found in this function — anything it assumes comes from the functions it depends on.</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IS_ALTERNATIVE</t>
        </is>
      </c>
      <c r="U190" s="3" t="inlineStr">
        <is>
          <t>ACTIVE</t>
        </is>
      </c>
      <c r="V190" s="3" t="inlineStr">
        <is>
          <t>2026-08-27</t>
        </is>
      </c>
    </row>
    <row r="191">
      <c r="A191" s="3" t="inlineStr">
        <is>
          <t>MK-NW-F-002</t>
        </is>
      </c>
      <c r="B191" s="3" t="inlineStr">
        <is>
          <t>alternativesSummary</t>
        </is>
      </c>
      <c r="C191" s="3" t="inlineStr">
        <is>
          <t>src/domain/alternatives/index.ts</t>
        </is>
      </c>
      <c r="D191" s="3" t="n">
        <v>62</v>
      </c>
      <c r="E191" s="3" t="inlineStr">
        <is>
          <t>2 · DISPLAYED</t>
        </is>
      </c>
      <c r="F191" s="3" t="inlineStr">
        <is>
          <t>NOT DETERMINED — the code carries no note saying what this is for, and it has no row in the old inventory. Needs reading.</t>
        </is>
      </c>
      <c r="G191" s="6" t="inlineStr">
        <is>
          <t>alts = accounts (or none when missing) where is alternative
total = Σ over alts of (balance (or 0 when missing or zero))
weighted = Σ over total &gt; 0 ? alts of ((balance or 0) × benchmark return(kind))÷ total : 0</t>
        </is>
      </c>
      <c r="H191" s="3" t="inlineStr">
        <is>
          <t>Alts is accounts (or none — when missing) where is alternative. Total: the balance (or 0 — when missing or zero) added up across alts. Weighted: the (balance or 0 added up across total &gt; 0 ? alts times benchmark return(kind))÷ total : 0.</t>
        </is>
      </c>
      <c r="I191" s="3" t="inlineStr">
        <is>
          <t>READ FROM THE CODE — rendered from the expressions the function runs</t>
        </is>
      </c>
      <c r="J191" s="3" t="inlineStr">
        <is>
          <t>accounts: AssetAccount[]</t>
        </is>
      </c>
      <c r="K191" s="3" t="inlineStr">
        <is>
          <t>AltSummary</t>
        </is>
      </c>
      <c r="L191" s="3" t="inlineStr">
        <is>
          <t>1. "EST. GROWTH / YR" — on the Other investments screen, under "ALTERNATIVES"
2. "EXP. RETURN" — on the Other investments screen, under "ALTERNATIVES"</t>
        </is>
      </c>
      <c r="M191" s="3" t="inlineStr">
        <is>
          <t>1. If balance is missing it counts as zero, so nothing recorded and a real zero look the same.
2. Rounds the answer to a whole number.
3. Leaves some rows out of the answer — check which.</t>
        </is>
      </c>
      <c r="N191" s="3" t="inlineStr">
        <is>
          <t>Yes</t>
        </is>
      </c>
      <c r="O191" s="3" t="inlineStr">
        <is>
          <t>1. MK-NW-F-034 benchmarkReturn
2. MK-ST-F-055 round2</t>
        </is>
      </c>
      <c r="P191" s="3" t="n">
        <v>9</v>
      </c>
      <c r="Q191" s="3" t="inlineStr">
        <is>
          <t>1. MK-NW-F-034 benchmarkReturn
2. MK-ST-F-055 round2
3. MK-NW-F-007 assetKind
4. MK-NW-F-011 assetClassOf
5. MK-NW-F-008 incomeBearingClassOf
6. MK-CF-F-155 cash
7. MK-ST-F-010 nameEvidence
8. MK-ST-F-056 has
9. MK-CF-F-132 map</t>
        </is>
      </c>
      <c r="R191" s="3" t="inlineStr">
        <is>
          <t>1. MK-CF-F-155 cash → MK-NW-F-008 incomeBearingClassOf → MK-NW-F-011 assetClassOf → MK-NW-F-007 assetKind → MK-NW-F-034 benchmarkReturn → MK-NW-F-002 alternativesSummary
2. MK-ST-F-010 nameEvidence → MK-NW-F-008 incomeBearingClassOf → MK-NW-F-011 assetClassOf → MK-NW-F-007 assetKind → MK-NW-F-034 benchmarkReturn → MK-NW-F-002 alternativesSummary
3. MK-ST-F-055 round2 → MK-NW-F-002 alternativesSummary</t>
        </is>
      </c>
      <c r="S191" s="3" t="inlineStr">
        <is>
          <t>—</t>
        </is>
      </c>
      <c r="T191" s="3" t="inlineStr">
        <is>
          <t>—</t>
        </is>
      </c>
      <c r="U191" s="3" t="inlineStr">
        <is>
          <t>ACTIVE</t>
        </is>
      </c>
      <c r="V191" s="3" t="inlineStr">
        <is>
          <t>2026-08-27</t>
        </is>
      </c>
    </row>
    <row r="192">
      <c r="A192" s="3" t="inlineStr">
        <is>
          <t>MK-NW-F-003</t>
        </is>
      </c>
      <c r="B192" s="3" t="inlineStr">
        <is>
          <t>valueFreshness</t>
        </is>
      </c>
      <c r="C192" s="3" t="inlineStr">
        <is>
          <t>src/domain/assets/index.ts</t>
        </is>
      </c>
      <c r="D192" s="3" t="n">
        <v>125</v>
      </c>
      <c r="E192" s="3" t="inlineStr">
        <is>
          <t>2 · DISPLAYED</t>
        </is>
      </c>
      <c r="F192" s="3" t="inlineStr">
        <is>
          <t>Manual-value freshness (FCC): how old a hand-entered value is, and whether it needs a nudge.</t>
        </is>
      </c>
      <c r="G192" s="6" t="inlineStr">
        <is>
          <t>nothing   when derive balance
nothing   when value as of is missing
m = value as of.match( ÷ ^(\d{4}) − (\d{2}) ÷ )
nothing   when m is missing
months old = max(0, (now.get full year() - +m[1]) × 12 + (now.get month() + 1 - +m[2]))
the answer:
as of = value as of
months old = months old
stale = months old ≥ 6</t>
        </is>
      </c>
      <c r="H192" s="3" t="inlineStr">
        <is>
          <t>When derive balance, it answers no answer. When value as of is missing, it answers no answer. M is value as of.match( divided by ^(\d{4}) minus (\d{2}) divided by ). When m is missing, it answers no answer. Months old is (now.get full year(, never below zero - +m[1]) times 12 plus (now.get month() plus 1 - +m[2])). The answer is as of = value as of; months old = months old; stale = months old is at least 6.</t>
        </is>
      </c>
      <c r="I192" s="3" t="inlineStr">
        <is>
          <t>PARTLY READ — some of the code is still showing through; needs a hand pass</t>
        </is>
      </c>
      <c r="J192" s="3" t="inlineStr">
        <is>
          <t>1. a: AssetAccount
2. now: Date = new Date()</t>
        </is>
      </c>
      <c r="K192" s="3" t="inlineStr">
        <is>
          <t>NOT DECLARED — the code does not say what it gives back</t>
        </is>
      </c>
      <c r="L192" s="3" t="inlineStr">
        <is>
          <t>NOT FOUND — a screen calls it, but the words printed beside its answer could not be traced automatically. Needs reading.</t>
        </is>
      </c>
      <c r="M192" s="3" t="inlineStr">
        <is>
          <t>1. Turns a monthly figure into a year by multiplying by twelve.
2. Uses today's date from the device clock, so the answer changes by itself overnight.</t>
        </is>
      </c>
      <c r="N192" s="3" t="inlineStr">
        <is>
          <t>Yes</t>
        </is>
      </c>
      <c r="O192" s="3" t="inlineStr">
        <is>
          <t>—</t>
        </is>
      </c>
      <c r="P192" s="3" t="n">
        <v>0</v>
      </c>
      <c r="Q192" s="3" t="inlineStr">
        <is>
          <t>None — no dependent function stands behind it</t>
        </is>
      </c>
      <c r="R192" s="3" t="inlineStr">
        <is>
          <t>No dependent function — it reads its inputs and answers</t>
        </is>
      </c>
      <c r="S192" s="3" t="inlineStr">
        <is>
          <t>MK-NW-M-018 · MK-PL-M-016</t>
        </is>
      </c>
      <c r="T192" s="3" t="inlineStr">
        <is>
          <t>HAND_VALUE_AGE</t>
        </is>
      </c>
      <c r="U192" s="3" t="inlineStr">
        <is>
          <t>ACTIVE</t>
        </is>
      </c>
      <c r="V192" s="3" t="inlineStr">
        <is>
          <t>2026-08-27</t>
        </is>
      </c>
    </row>
    <row r="193">
      <c r="A193" s="3" t="inlineStr">
        <is>
          <t>MK-NW-F-004</t>
        </is>
      </c>
      <c r="B193" s="3" t="inlineStr">
        <is>
          <t>portfolioActualReturn</t>
        </is>
      </c>
      <c r="C193" s="3" t="inlineStr">
        <is>
          <t>src/domain/assets/index.ts</t>
        </is>
      </c>
      <c r="D193" s="3" t="n">
        <v>164</v>
      </c>
      <c r="E193" s="3" t="inlineStr">
        <is>
          <t>2 · DISPLAYED</t>
        </is>
      </c>
      <c r="F193" s="3" t="inlineStr">
        <is>
          <t>Value-weighted ACTUAL trailing-12mo return across holdings that have one reported.</t>
        </is>
      </c>
      <c r="G193" s="6" t="inlineStr">
        <is>
          <t>items = accounts (or none when missing) where tax bucket ! = 'PROPERTY' and actual ttm ≠ nothing and earmarked amount(each) &gt; 0
total = Σ over items of (earmarked amount(each))
nothing   when total ≤ 0
weighted = Σ over items of ((actual ttm as number) × earmarked amount(each))
the answer = round(weighted ÷ total, 4 dp)</t>
        </is>
      </c>
      <c r="H193" s="3" t="inlineStr">
        <is>
          <t>Items is accounts (or none — when missing) where tax bucket ! = 'PROPERTY' and actual ttm is not no answer and earmarked amount(each) &gt; 0. Total: the earmarked amount(each) added up across items. When total is at most 0, it answers no answer. Weighted: the (actual ttm as number) times earmarked amount(each) added up across items. The answer is weighted divided by total, to 4 decimal places.</t>
        </is>
      </c>
      <c r="I193" s="3" t="inlineStr">
        <is>
          <t>READ FROM THE CODE — rendered from the expressions the function runs</t>
        </is>
      </c>
      <c r="J193" s="3" t="inlineStr">
        <is>
          <t>accounts: AssetAccount[]</t>
        </is>
      </c>
      <c r="K193" s="3" t="inlineStr">
        <is>
          <t>number | null</t>
        </is>
      </c>
      <c r="L193" s="3" t="inlineStr">
        <is>
          <t>"Expected return" — on the Retirement cockpit screen, under "scRetired ?"</t>
        </is>
      </c>
      <c r="M193" s="3" t="inlineStr">
        <is>
          <t>1. Rounds the answer to a whole number.
2. Leaves some rows out of the answer — check which.</t>
        </is>
      </c>
      <c r="N193" s="3" t="inlineStr">
        <is>
          <t>Yes</t>
        </is>
      </c>
      <c r="O193" s="3" t="inlineStr">
        <is>
          <t>MK-NW-F-032 earmarkedAmount</t>
        </is>
      </c>
      <c r="P193" s="3" t="n">
        <v>10</v>
      </c>
      <c r="Q193" s="3" t="inlineStr">
        <is>
          <t>1. MK-NW-F-032 earmarkedAmount
2. MK-NW-F-030 earmarkDefault
3. MK-ST-F-055 round2
4. MK-NW-F-011 assetClassOf
5. MK-NW-F-013 realEstateUseOf
6. MK-NW-F-008 incomeBearingClassOf
7. MK-CF-F-155 cash
8. MK-ST-F-010 nameEvidence
9. MK-ST-F-056 has
10. MK-CF-F-132 map</t>
        </is>
      </c>
      <c r="R193" s="3" t="inlineStr">
        <is>
          <t>1. MK-CF-F-155 cash → MK-NW-F-008 incomeBearingClassOf → MK-NW-F-011 assetClassOf → MK-NW-F-030 earmarkDefault → MK-NW-F-032 earmarkedAmount → MK-NW-F-004 portfolioActualReturn
2. MK-ST-F-010 nameEvidence → MK-NW-F-008 incomeBearingClassOf → MK-NW-F-011 assetClassOf → MK-NW-F-030 earmarkDefault → MK-NW-F-032 earmarkedAmount → MK-NW-F-004 portfolioActualReturn
3. MK-NW-F-013 realEstateUseOf → MK-NW-F-030 earmarkDefault → MK-NW-F-032 earmarkedAmount → MK-NW-F-004 portfolioActualReturn
4. MK-ST-F-055 round2 → MK-NW-F-032 earmarkedAmount → MK-NW-F-004 portfolioActualReturn</t>
        </is>
      </c>
      <c r="S193" s="3" t="inlineStr">
        <is>
          <t>—</t>
        </is>
      </c>
      <c r="T193" s="3" t="inlineStr">
        <is>
          <t>REPORTED_RETURN</t>
        </is>
      </c>
      <c r="U193" s="3" t="inlineStr">
        <is>
          <t>ACTIVE</t>
        </is>
      </c>
      <c r="V193" s="3" t="inlineStr">
        <is>
          <t>2026-08-27</t>
        </is>
      </c>
    </row>
    <row r="194">
      <c r="A194" s="3" t="inlineStr">
        <is>
          <t>MK-NW-F-005</t>
        </is>
      </c>
      <c r="B194" s="3" t="inlineStr">
        <is>
          <t>accountAllowsTicker</t>
        </is>
      </c>
      <c r="C194" s="3" t="inlineStr">
        <is>
          <t>src/domain/assets/index.ts</t>
        </is>
      </c>
      <c r="D194" s="3" t="n">
        <v>196</v>
      </c>
      <c r="E194" s="3" t="inlineStr">
        <is>
          <t>2 · DISPLAYED</t>
        </is>
      </c>
      <c r="F194" s="3" t="inlineStr">
        <is>
          <t>Can this account hold individual ticker securities?</t>
        </is>
      </c>
      <c r="G194" s="6" t="inlineStr">
        <is>
          <t>false   when tax bucket = 'PROPERTY' (or tax bucket = 'CASH' when missing or zero)
false   when kind = 'college_529'
false   when kind = 'checking' (or kind = 'savings' when missing or zero)
cls = asset class of(a)
false   when cls = 'bonds' (or cls = 'alternatives' when missing or zero)
the answer = true</t>
        </is>
      </c>
      <c r="H194" s="3" t="inlineStr">
        <is>
          <t>When tax bucket = 'PROPERTY' (or tax bucket = 'CASH' — when missing or zero), it answers false. When kind = 'college_529', it answers false. When kind = 'checking' (or kind = 'savings' — when missing or zero), it answers false. Cls is asset class of(a). When cls = 'bonds' (or cls = 'alternatives' — when missing or zero), it answers false. The answer is true.</t>
        </is>
      </c>
      <c r="I194" s="3" t="inlineStr">
        <is>
          <t>READ FROM THE CODE — rendered from the expressions the function runs</t>
        </is>
      </c>
      <c r="J194" s="3" t="inlineStr">
        <is>
          <t>a: AssetAccount</t>
        </is>
      </c>
      <c r="K194" s="3" t="inlineStr">
        <is>
          <t>boolean</t>
        </is>
      </c>
      <c r="L194" s="3" t="inlineStr">
        <is>
          <t>NOT FOUND — a screen calls it, but the words printed beside its answer could not be traced automatically. Needs reading.</t>
        </is>
      </c>
      <c r="M194" s="3" t="inlineStr">
        <is>
          <t>None found in this function — anything it assumes comes from the functions it depends on.</t>
        </is>
      </c>
      <c r="N194" s="3" t="inlineStr">
        <is>
          <t>Yes</t>
        </is>
      </c>
      <c r="O194" s="3" t="inlineStr">
        <is>
          <t>MK-NW-F-011 assetClassOf</t>
        </is>
      </c>
      <c r="P194" s="3" t="n">
        <v>7</v>
      </c>
      <c r="Q194" s="3" t="inlineStr">
        <is>
          <t>1. MK-NW-F-011 assetClassOf
2. MK-NW-F-008 incomeBearingClassOf
3. MK-CF-F-155 cash
4. MK-ST-F-010 nameEvidence
5. MK-ST-F-055 round2
6. MK-ST-F-056 has
7. MK-CF-F-132 map</t>
        </is>
      </c>
      <c r="R194" s="3" t="inlineStr">
        <is>
          <t>1. MK-ST-F-055 round2 → MK-CF-F-155 cash → MK-NW-F-008 incomeBearingClassOf → MK-NW-F-011 assetClassOf → MK-NW-F-005 accountAllowsTicker
2. MK-ST-F-056 has → MK-ST-F-010 nameEvidence → MK-NW-F-008 incomeBearingClassOf → MK-NW-F-011 assetClassOf → MK-NW-F-005 accountAllowsTicker
3. MK-CF-F-132 map → MK-ST-F-010 nameEvidence → MK-NW-F-008 incomeBearingClassOf → MK-NW-F-011 assetClassOf → MK-NW-F-005 accountAllowsTicker</t>
        </is>
      </c>
      <c r="S194" s="3" t="inlineStr">
        <is>
          <t>—</t>
        </is>
      </c>
      <c r="T194" s="3" t="inlineStr">
        <is>
          <t>CAN_HOLD_TICKERS</t>
        </is>
      </c>
      <c r="U194" s="3" t="inlineStr">
        <is>
          <t>ACTIVE</t>
        </is>
      </c>
      <c r="V194" s="3" t="inlineStr">
        <is>
          <t>2026-08-27</t>
        </is>
      </c>
    </row>
    <row r="195">
      <c r="A195" s="3" t="inlineStr">
        <is>
          <t>MK-NW-F-006</t>
        </is>
      </c>
      <c r="B195" s="3" t="inlineStr">
        <is>
          <t>isCashKind</t>
        </is>
      </c>
      <c r="C195" s="3" t="inlineStr">
        <is>
          <t>src/domain/assets/index.ts</t>
        </is>
      </c>
      <c r="D195" s="3" t="n">
        <v>260</v>
      </c>
      <c r="E195" s="3" t="inlineStr">
        <is>
          <t>1 · ACTION</t>
        </is>
      </c>
      <c r="F195" s="3" t="inlineStr">
        <is>
          <t>Does this account type sit under the Cash heading on screen?</t>
        </is>
      </c>
      <c r="G195" s="6" t="inlineStr">
        <is>
          <t>asset kind(kind).bucket = 'CASH'</t>
        </is>
      </c>
      <c r="H195" s="3" t="inlineStr">
        <is>
          <t>asset kind(kind).bucket = 'CASH'</t>
        </is>
      </c>
      <c r="I195" s="3" t="inlineStr">
        <is>
          <t>PARTLY READ — some of the code is still showing through; needs a hand pass</t>
        </is>
      </c>
      <c r="J195" s="3" t="inlineStr">
        <is>
          <t>kind?: string</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MK-NW-F-007 assetKind</t>
        </is>
      </c>
      <c r="P195" s="3" t="n">
        <v>8</v>
      </c>
      <c r="Q195" s="3" t="inlineStr">
        <is>
          <t>1. MK-NW-F-007 assetKind
2. MK-NW-F-011 assetClassOf
3. MK-NW-F-008 incomeBearingClassOf
4. MK-CF-F-155 cash
5. MK-ST-F-010 nameEvidence
6. MK-ST-F-055 round2
7. MK-ST-F-056 has
8. MK-CF-F-132 map</t>
        </is>
      </c>
      <c r="R195" s="3" t="inlineStr">
        <is>
          <t>1. MK-ST-F-055 round2 → MK-CF-F-155 cash → MK-NW-F-008 incomeBearingClassOf → MK-NW-F-011 assetClassOf → MK-NW-F-007 assetKind → MK-NW-F-006 isCashKind
2. MK-ST-F-056 has → MK-ST-F-010 nameEvidence → MK-NW-F-008 incomeBearingClassOf → MK-NW-F-011 assetClassOf → MK-NW-F-007 assetKind → MK-NW-F-006 isCashKind
3. MK-CF-F-132 map → MK-ST-F-010 nameEvidence → MK-NW-F-008 incomeBearingClassOf → MK-NW-F-011 assetClassOf → MK-NW-F-007 assetKind → MK-NW-F-006 isCashKind</t>
        </is>
      </c>
      <c r="S195" s="3" t="inlineStr">
        <is>
          <t>—</t>
        </is>
      </c>
      <c r="T195" s="3" t="inlineStr">
        <is>
          <t>KIND_IS_CASH</t>
        </is>
      </c>
      <c r="U195" s="3" t="inlineStr">
        <is>
          <t>ACTIVE</t>
        </is>
      </c>
      <c r="V195" s="3" t="inlineStr">
        <is>
          <t>2026-08-27</t>
        </is>
      </c>
    </row>
    <row r="196">
      <c r="A196" s="3" t="inlineStr">
        <is>
          <t>MK-NW-F-007</t>
        </is>
      </c>
      <c r="B196" s="3" t="inlineStr">
        <is>
          <t>assetKind</t>
        </is>
      </c>
      <c r="C196" s="3" t="inlineStr">
        <is>
          <t>src/domain/assets/index.ts</t>
        </is>
      </c>
      <c r="D196" s="3" t="n">
        <v>283</v>
      </c>
      <c r="E196" s="3" t="inlineStr">
        <is>
          <t>2 · DISPLAYED</t>
        </is>
      </c>
      <c r="F196" s="3" t="inlineStr">
        <is>
          <t>What do we know about this kind of account?</t>
        </is>
      </c>
      <c r="G196" s="6" t="inlineStr">
        <is>
          <t>id = id); }</t>
        </is>
      </c>
      <c r="H196" s="3" t="inlineStr">
        <is>
          <t>id = id); }</t>
        </is>
      </c>
      <c r="I196" s="3" t="inlineStr">
        <is>
          <t>READ FROM THE CODE — rendered from the expressions the function runs</t>
        </is>
      </c>
      <c r="J196" s="3" t="inlineStr">
        <is>
          <t>id?: string</t>
        </is>
      </c>
      <c r="K196" s="3" t="inlineStr">
        <is>
          <t>NOT DECLARED — the code does not say what it gives back</t>
        </is>
      </c>
      <c r="L196" s="3" t="inlineStr">
        <is>
          <t>1. "ACCOUNTS / INVESTING" — on a card used on more than one screen (MoneySheets)
2. "EST. GROWTH / YR" — on the Other investments screen, under "ALTERNATIVES"
3. "Type" — on the Account detail screen
4. "Type" — on the Other investments screen</t>
        </is>
      </c>
      <c r="M196" s="3" t="inlineStr">
        <is>
          <t>None found in this function — anything it assumes comes from the functions it depends on.</t>
        </is>
      </c>
      <c r="N196" s="3" t="inlineStr">
        <is>
          <t>Yes</t>
        </is>
      </c>
      <c r="O196" s="3" t="inlineStr">
        <is>
          <t>MK-NW-F-011 assetClassOf</t>
        </is>
      </c>
      <c r="P196" s="3" t="n">
        <v>7</v>
      </c>
      <c r="Q196" s="3" t="inlineStr">
        <is>
          <t>1. MK-NW-F-011 assetClassOf
2. MK-NW-F-008 incomeBearingClassOf
3. MK-CF-F-155 cash
4. MK-ST-F-010 nameEvidence
5. MK-ST-F-055 round2
6. MK-ST-F-056 has
7. MK-CF-F-132 map</t>
        </is>
      </c>
      <c r="R196" s="3" t="inlineStr">
        <is>
          <t>1. MK-ST-F-055 round2 → MK-CF-F-155 cash → MK-NW-F-008 incomeBearingClassOf → MK-NW-F-011 assetClassOf → MK-NW-F-007 assetKind
2. MK-ST-F-056 has → MK-ST-F-010 nameEvidence → MK-NW-F-008 incomeBearingClassOf → MK-NW-F-011 assetClassOf → MK-NW-F-007 assetKind
3. MK-CF-F-132 map → MK-ST-F-010 nameEvidence → MK-NW-F-008 incomeBearingClassOf → MK-NW-F-011 assetClassOf → MK-NW-F-007 assetKind</t>
        </is>
      </c>
      <c r="S196" s="3" t="inlineStr">
        <is>
          <t>—</t>
        </is>
      </c>
      <c r="T196" s="3" t="inlineStr">
        <is>
          <t>ACCOUNT_TYPE_FACTS</t>
        </is>
      </c>
      <c r="U196" s="3" t="inlineStr">
        <is>
          <t>ACTIVE</t>
        </is>
      </c>
      <c r="V196" s="3" t="inlineStr">
        <is>
          <t>2026-08-27</t>
        </is>
      </c>
    </row>
    <row r="197">
      <c r="A197" s="3" t="inlineStr">
        <is>
          <t>MK-NW-F-008</t>
        </is>
      </c>
      <c r="B197" s="3" t="inlineStr">
        <is>
          <t>incomeBearingClassOf</t>
        </is>
      </c>
      <c r="C197" s="3" t="inlineStr">
        <is>
          <t>src/domain/assets/index.ts</t>
        </is>
      </c>
      <c r="D197" s="3" t="n">
        <v>337</v>
      </c>
      <c r="E197" s="3" t="inlineStr">
        <is>
          <t>3 · DEPENDENT</t>
        </is>
      </c>
      <c r="F197" s="3" t="inlineStr">
        <is>
          <t>FOUNDER RULE 2026-08-04 (supersedes the money-market=cash rule and the 12-month CD split): CASH means cash only — a sweep/settlement balance.</t>
        </is>
      </c>
      <c r="G197" s="6" t="inlineStr">
        <is>
          <t>name evidence(label)</t>
        </is>
      </c>
      <c r="H197" s="3" t="inlineStr">
        <is>
          <t>name evidence(label).</t>
        </is>
      </c>
      <c r="I197" s="3" t="inlineStr">
        <is>
          <t>READ FROM THE CODE — rendered from the expressions the function runs</t>
        </is>
      </c>
      <c r="J197" s="3" t="inlineStr">
        <is>
          <t>label?: string</t>
        </is>
      </c>
      <c r="K197" s="3" t="inlineStr">
        <is>
          <t>AssetClass | null</t>
        </is>
      </c>
      <c r="L197" s="3" t="inlineStr">
        <is>
          <t>—</t>
        </is>
      </c>
      <c r="M197" s="3" t="inlineStr">
        <is>
          <t>None found in this function — anything it assumes comes from the functions it depends on.</t>
        </is>
      </c>
      <c r="N197" s="3" t="inlineStr">
        <is>
          <t>Yes</t>
        </is>
      </c>
      <c r="O197" s="3" t="inlineStr">
        <is>
          <t>1. MK-CF-F-155 cash
2. MK-ST-F-010 nameEvidence</t>
        </is>
      </c>
      <c r="P197" s="3" t="n">
        <v>5</v>
      </c>
      <c r="Q197" s="3" t="inlineStr">
        <is>
          <t>1. MK-CF-F-155 cash
2. MK-ST-F-010 nameEvidence
3. MK-ST-F-055 round2
4. MK-ST-F-056 has
5. MK-CF-F-132 map</t>
        </is>
      </c>
      <c r="R197" s="3" t="inlineStr">
        <is>
          <t>1. MK-ST-F-055 round2 → MK-CF-F-155 cash → MK-NW-F-008 incomeBearingClassOf
2. MK-ST-F-056 has → MK-ST-F-010 nameEvidence → MK-NW-F-008 incomeBearingClassOf
3. MK-CF-F-132 map → MK-ST-F-010 nameEvidence → MK-NW-F-008 incomeBearingClassOf</t>
        </is>
      </c>
      <c r="S197" s="3" t="inlineStr">
        <is>
          <t>—</t>
        </is>
      </c>
      <c r="T197" s="3" t="inlineStr">
        <is>
          <t>CLASS_FROM_NAME_TEXT</t>
        </is>
      </c>
      <c r="U197" s="3" t="inlineStr">
        <is>
          <t>ACTIVE</t>
        </is>
      </c>
      <c r="V197" s="3" t="inlineStr">
        <is>
          <t>2026-08-27</t>
        </is>
      </c>
    </row>
    <row r="198">
      <c r="A198" s="3" t="inlineStr">
        <is>
          <t>MK-NW-F-009</t>
        </is>
      </c>
      <c r="B198" s="3" t="inlineStr">
        <is>
          <t>maturityClass</t>
        </is>
      </c>
      <c r="C198" s="3" t="inlineStr">
        <is>
          <t>src/domain/assets/index.ts</t>
        </is>
      </c>
      <c r="D198" s="3" t="n">
        <v>363</v>
      </c>
      <c r="E198" s="3" t="inlineStr">
        <is>
          <t>2 · DISPLAYED</t>
        </is>
      </c>
      <c r="F198" s="3" t="inlineStr">
        <is>
          <t>FOUNDER RULE 2026-08-04 (supersedes build-34 #8's 12-month split): ANY maturity-dated instrument is a BOND — it pays interest, so it must sit in the measured bucket regardless of how soon it matures.</t>
        </is>
      </c>
      <c r="G198" s="6" t="inlineStr">
        <is>
          <t>'bonds'   if maturity date and string(maturity date).trim()
'cash'   otherwise</t>
        </is>
      </c>
      <c r="H198" s="3" t="inlineStr">
        <is>
          <t>'bonds' — when maturity date and string(maturity date).trim(); 'cash' — otherwise.</t>
        </is>
      </c>
      <c r="I198" s="3" t="inlineStr">
        <is>
          <t>PARTLY READ — some of the code is still showing through; needs a hand pass</t>
        </is>
      </c>
      <c r="J198" s="3" t="inlineStr">
        <is>
          <t>maturityDate?: string | null</t>
        </is>
      </c>
      <c r="K198" s="3" t="inlineStr">
        <is>
          <t>'cash' | 'bonds'</t>
        </is>
      </c>
      <c r="L198" s="3" t="inlineStr">
        <is>
          <t>NOT FOUND — a screen calls it, but the words printed beside its answer could not be traced automatically. Needs reading.</t>
        </is>
      </c>
      <c r="M198" s="3" t="inlineStr">
        <is>
          <t>None found in this function — anything it assumes comes from the functions it depends on.</t>
        </is>
      </c>
      <c r="N198" s="3" t="inlineStr">
        <is>
          <t>Yes</t>
        </is>
      </c>
      <c r="O198" s="3" t="inlineStr">
        <is>
          <t>—</t>
        </is>
      </c>
      <c r="P198" s="3" t="n">
        <v>0</v>
      </c>
      <c r="Q198" s="3" t="inlineStr">
        <is>
          <t>None — no dependent function stands behind it</t>
        </is>
      </c>
      <c r="R198" s="3" t="inlineStr">
        <is>
          <t>No dependent function — it reads its inputs and answers</t>
        </is>
      </c>
      <c r="S198" s="3" t="inlineStr">
        <is>
          <t>—</t>
        </is>
      </c>
      <c r="T198" s="3" t="inlineStr">
        <is>
          <t>MATURITY_MEANS_BOND</t>
        </is>
      </c>
      <c r="U198" s="3" t="inlineStr">
        <is>
          <t>ACTIVE</t>
        </is>
      </c>
      <c r="V198" s="3" t="inlineStr">
        <is>
          <t>2026-08-27</t>
        </is>
      </c>
    </row>
    <row r="199">
      <c r="A199" s="3" t="inlineStr">
        <is>
          <t>MK-NW-F-010</t>
        </is>
      </c>
      <c r="B199" s="3" t="inlineStr">
        <is>
          <t>wrapperAccount</t>
        </is>
      </c>
      <c r="C199" s="3" t="inlineStr">
        <is>
          <t>src/domain/assets/index.ts</t>
        </is>
      </c>
      <c r="D199" s="3" t="n">
        <v>388</v>
      </c>
      <c r="E199" s="3" t="inlineStr">
        <is>
          <t>2 · DISPLAYED</t>
        </is>
      </c>
      <c r="F199" s="3" t="inlineStr">
        <is>
          <t>The person picked how this account is taxed — what does that make it?</t>
        </is>
      </c>
      <c r="G199" s="6" t="inlineStr">
        <is>
          <t>NOT READ YET — the body is not a shape this can render faithfully, so nothing is claimed rather than something being guessed. It needs reading by hand.</t>
        </is>
      </c>
      <c r="H199" s="3" t="inlineStr">
        <is>
          <t>NOT READ YET — the body is not a shape this can render faithfully, so nothing is claimed rather than something being guessed. It needs reading by hand.</t>
        </is>
      </c>
      <c r="I199" s="3" t="inlineStr">
        <is>
          <t>NOT READ — nothing is claimed rather than something guessed</t>
        </is>
      </c>
      <c r="J199" s="3" t="inlineStr">
        <is>
          <t>w?: AddWrapper | null</t>
        </is>
      </c>
      <c r="K199" s="3" t="inlineStr">
        <is>
          <t>NOT DECLARED — the code does not say what it gives back</t>
        </is>
      </c>
      <c r="L199" s="3" t="inlineStr">
        <is>
          <t>NOT FOUND — a screen calls it, but the words printed beside its answer could not be traced automatically. Needs reading.</t>
        </is>
      </c>
      <c r="M199" s="3" t="inlineStr">
        <is>
          <t>None found in this function — anything it assumes comes from the functions it depends on.</t>
        </is>
      </c>
      <c r="N199" s="3" t="inlineStr">
        <is>
          <t>Yes</t>
        </is>
      </c>
      <c r="O199" s="3" t="inlineStr">
        <is>
          <t>—</t>
        </is>
      </c>
      <c r="P199" s="3" t="n">
        <v>0</v>
      </c>
      <c r="Q199" s="3" t="inlineStr">
        <is>
          <t>None — no dependent function stands behind it</t>
        </is>
      </c>
      <c r="R199" s="3" t="inlineStr">
        <is>
          <t>No dependent function — it reads its inputs and answers</t>
        </is>
      </c>
      <c r="S199" s="3" t="inlineStr">
        <is>
          <t>—</t>
        </is>
      </c>
      <c r="T199" s="3" t="inlineStr">
        <is>
          <t>TAX_TYPE_TO_ACCOUNT</t>
        </is>
      </c>
      <c r="U199" s="3" t="inlineStr">
        <is>
          <t>ACTIVE</t>
        </is>
      </c>
      <c r="V199" s="3" t="inlineStr">
        <is>
          <t>2026-08-27</t>
        </is>
      </c>
    </row>
    <row r="200">
      <c r="A200" s="3" t="inlineStr">
        <is>
          <t>MK-NW-F-011</t>
        </is>
      </c>
      <c r="B200" s="3" t="inlineStr">
        <is>
          <t>assetClassOf</t>
        </is>
      </c>
      <c r="C200" s="3" t="inlineStr">
        <is>
          <t>src/domain/assets/index.ts</t>
        </is>
      </c>
      <c r="D200" s="3" t="n">
        <v>449</v>
      </c>
      <c r="E200" s="3" t="inlineStr">
        <is>
          <t>2 · DISPLAYED</t>
        </is>
      </c>
      <c r="F200" s="3" t="inlineStr">
        <is>
          <t>WHAT the account is (asset class).</t>
        </is>
      </c>
      <c r="G200" s="6" t="inlineStr">
        <is>
          <t>asset class   when asset class
by label = income bearing class of(label)
by label   when by label
'bonds'   when maturity date
by kind = KIND_TO_CLASS[kind]   if kind
undefined   otherwise
by kind   when by kind
'stocks_etf'   when count of positions and positions
'cash'   when tax bucket = 'CASH'
'real_estate'   when tax bucket = 'PROPERTY'
the answer = 'mixed'</t>
        </is>
      </c>
      <c r="H200" s="3" t="inlineStr">
        <is>
          <t>When asset class, it answers asset class. By label is income bearing class of(label). When by label, it answers by label. When maturity date, it answers 'bonds'. By kind is KIND_TO_CLASS[kind] — when kind; undefined — otherwise. When by kind, it answers by kind. When how many positions and positions there are, it answers 'stocks_etf'. When tax bucket = 'CASH', it answers 'cash'. When tax bucket = 'PROPERTY', it answers 'real_estate'. The answer is 'mixed'.</t>
        </is>
      </c>
      <c r="I200" s="3" t="inlineStr">
        <is>
          <t>PARTLY READ — some of the code is still showing through; needs a hand pass</t>
        </is>
      </c>
      <c r="J200" s="3" t="inlineStr">
        <is>
          <t>a: AssetAccount</t>
        </is>
      </c>
      <c r="K200" s="3" t="inlineStr">
        <is>
          <t>AssetClass</t>
        </is>
      </c>
      <c r="L200" s="3" t="inlineStr">
        <is>
          <t>"Bonds &amp; alternatives — recorded on their own pages" — on the Performance screen</t>
        </is>
      </c>
      <c r="M200" s="3" t="inlineStr">
        <is>
          <t>None found in this function — anything it assumes comes from the functions it depends on.</t>
        </is>
      </c>
      <c r="N200" s="3" t="inlineStr">
        <is>
          <t>Yes</t>
        </is>
      </c>
      <c r="O200" s="3" t="inlineStr">
        <is>
          <t>MK-NW-F-008 incomeBearingClassOf</t>
        </is>
      </c>
      <c r="P200" s="3" t="n">
        <v>6</v>
      </c>
      <c r="Q200" s="3" t="inlineStr">
        <is>
          <t>1. MK-NW-F-008 incomeBearingClassOf
2. MK-CF-F-155 cash
3. MK-ST-F-010 nameEvidence
4. MK-ST-F-055 round2
5. MK-ST-F-056 has
6. MK-CF-F-132 map</t>
        </is>
      </c>
      <c r="R200" s="3" t="inlineStr">
        <is>
          <t>1. MK-ST-F-055 round2 → MK-CF-F-155 cash → MK-NW-F-008 incomeBearingClassOf → MK-NW-F-011 assetClassOf
2. MK-ST-F-056 has → MK-ST-F-010 nameEvidence → MK-NW-F-008 incomeBearingClassOf → MK-NW-F-011 assetClassOf
3. MK-CF-F-132 map → MK-ST-F-010 nameEvidence → MK-NW-F-008 incomeBearingClassOf → MK-NW-F-011 assetClassOf</t>
        </is>
      </c>
      <c r="S200" s="3" t="inlineStr">
        <is>
          <t>—</t>
        </is>
      </c>
      <c r="T200" s="3" t="inlineStr">
        <is>
          <t>ASSET_CLASS_OF_ACCOUNT</t>
        </is>
      </c>
      <c r="U200" s="3" t="inlineStr">
        <is>
          <t>ACTIVE</t>
        </is>
      </c>
      <c r="V200" s="3" t="inlineStr">
        <is>
          <t>2026-08-27</t>
        </is>
      </c>
    </row>
    <row r="201">
      <c r="A201" s="3" t="inlineStr">
        <is>
          <t>MK-NW-F-012</t>
        </is>
      </c>
      <c r="B201" s="3" t="inlineStr">
        <is>
          <t>taxTreatmentOf</t>
        </is>
      </c>
      <c r="C201" s="3" t="inlineStr">
        <is>
          <t>src/domain/assets/index.ts</t>
        </is>
      </c>
      <c r="D201" s="3" t="n">
        <v>489</v>
      </c>
      <c r="E201" s="3" t="inlineStr">
        <is>
          <t>2 · DISPLAYED</t>
        </is>
      </c>
      <c r="F201" s="3" t="inlineStr">
        <is>
          <t>HOW the account is taxed (wrapper).</t>
        </is>
      </c>
      <c r="G201" s="6" t="inlineStr">
        <is>
          <t>tax treatment   when tax treatment
'tax_deferred'   when tax bucket = 'PRE_TAX'
'tax_free'   when tax bucket = 'ROTH'
'taxable'</t>
        </is>
      </c>
      <c r="H201" s="3" t="inlineStr">
        <is>
          <t>When tax treatment, it answers tax treatment. When tax bucket = 'PRE_TAX', it answers 'tax_deferred'. When tax bucket = 'ROTH', it answers 'tax_free'. 'taxable'.</t>
        </is>
      </c>
      <c r="I201" s="3" t="inlineStr">
        <is>
          <t>READ FROM THE CODE — rendered from the expressions the function runs</t>
        </is>
      </c>
      <c r="J201" s="3" t="inlineStr">
        <is>
          <t>a: AssetAccount</t>
        </is>
      </c>
      <c r="K201" s="3" t="inlineStr">
        <is>
          <t>TaxTreatment</t>
        </is>
      </c>
      <c r="L201" s="3" t="inlineStr">
        <is>
          <t>1. "Income" — on the Account detail screen, under "THE HOLDINGS
2. $"</t>
        </is>
      </c>
      <c r="M201" s="3" t="inlineStr">
        <is>
          <t>None found in this function — anything it assumes comes from the functions it depends on.</t>
        </is>
      </c>
      <c r="N201" s="3" t="inlineStr">
        <is>
          <t>Yes</t>
        </is>
      </c>
      <c r="O201" s="3" t="inlineStr">
        <is>
          <t>—</t>
        </is>
      </c>
      <c r="P201" s="3" t="n">
        <v>0</v>
      </c>
      <c r="Q201" s="3" t="inlineStr">
        <is>
          <t>None — no dependent function stands behind it</t>
        </is>
      </c>
      <c r="R201" s="3" t="inlineStr">
        <is>
          <t>No dependent function — it reads its inputs and answers</t>
        </is>
      </c>
      <c r="S201" s="3" t="inlineStr">
        <is>
          <t>—</t>
        </is>
      </c>
      <c r="T201" s="3" t="inlineStr">
        <is>
          <t>TAX_TREATMENT</t>
        </is>
      </c>
      <c r="U201" s="3" t="inlineStr">
        <is>
          <t>ACTIVE</t>
        </is>
      </c>
      <c r="V201" s="3" t="inlineStr">
        <is>
          <t>2026-08-27</t>
        </is>
      </c>
    </row>
    <row r="202">
      <c r="A202" s="3" t="inlineStr">
        <is>
          <t>MK-NW-F-013</t>
        </is>
      </c>
      <c r="B202" s="3" t="inlineStr">
        <is>
          <t>realEstateUseOf</t>
        </is>
      </c>
      <c r="C202" s="3" t="inlineStr">
        <is>
          <t>src/domain/assets/index.ts</t>
        </is>
      </c>
      <c r="D202" s="3" t="n">
        <v>523</v>
      </c>
      <c r="E202" s="3" t="inlineStr">
        <is>
          <t>3 · DEPENDENT</t>
        </is>
      </c>
      <c r="F202" s="3" t="inlineStr">
        <is>
          <t>Real-estate use (primary/rental/secondary/land); only meaningful when assetClassOf === 'real_estate'.</t>
        </is>
      </c>
      <c r="G202" s="6" t="inlineStr">
        <is>
          <t>re use (or 'primary' when missing)</t>
        </is>
      </c>
      <c r="H202" s="3" t="inlineStr">
        <is>
          <t>re use (or 'primary' — when missing).</t>
        </is>
      </c>
      <c r="I202" s="3" t="inlineStr">
        <is>
          <t>READ FROM THE CODE — rendered from the expressions the function runs</t>
        </is>
      </c>
      <c r="J202" s="3" t="inlineStr">
        <is>
          <t>a: AssetAccount</t>
        </is>
      </c>
      <c r="K202" s="3" t="inlineStr">
        <is>
          <t>RealEstateUse</t>
        </is>
      </c>
      <c r="L202" s="3" t="inlineStr">
        <is>
          <t>—</t>
        </is>
      </c>
      <c r="M202" s="3" t="inlineStr">
        <is>
          <t>None found in this function — anything it assumes comes from the functions it depends on.</t>
        </is>
      </c>
      <c r="N202" s="3" t="inlineStr">
        <is>
          <t>Yes</t>
        </is>
      </c>
      <c r="O202" s="3" t="inlineStr">
        <is>
          <t>—</t>
        </is>
      </c>
      <c r="P202" s="3" t="n">
        <v>0</v>
      </c>
      <c r="Q202" s="3" t="inlineStr">
        <is>
          <t>None — no dependent function stands behind it</t>
        </is>
      </c>
      <c r="R202" s="3" t="inlineStr">
        <is>
          <t>No dependent function — it reads its inputs and answers</t>
        </is>
      </c>
      <c r="S202" s="3" t="inlineStr">
        <is>
          <t>—</t>
        </is>
      </c>
      <c r="T202" s="3" t="inlineStr">
        <is>
          <t>HOW_A_HOME_IS_USED</t>
        </is>
      </c>
      <c r="U202" s="3" t="inlineStr">
        <is>
          <t>ACTIVE</t>
        </is>
      </c>
      <c r="V202" s="3" t="inlineStr">
        <is>
          <t>2026-08-27</t>
        </is>
      </c>
    </row>
    <row r="203">
      <c r="A203" s="3" t="inlineStr">
        <is>
          <t>MK-NW-F-014</t>
        </is>
      </c>
      <c r="B203" s="3" t="inlineStr">
        <is>
          <t>isRealAsset</t>
        </is>
      </c>
      <c r="C203" s="3" t="inlineStr">
        <is>
          <t>src/domain/assets/index.ts</t>
        </is>
      </c>
      <c r="D203" s="3" t="n">
        <v>548</v>
      </c>
      <c r="E203" s="3" t="inlineStr">
        <is>
          <t>3 · DEPENDENT</t>
        </is>
      </c>
      <c r="F203" s="3" t="inlineStr">
        <is>
          <t>True when the asset is a real/physical asset (real estate or personal property) — excluded from investable assets and the nest egg (Term #4/#7).</t>
        </is>
      </c>
      <c r="G203" s="6" t="inlineStr">
        <is>
          <t>c = asset class of(a)
the answer = c = 'real_estate' (or c = 'personal_property' when missing or zero)</t>
        </is>
      </c>
      <c r="H203" s="3" t="inlineStr">
        <is>
          <t>C is asset class of(a). The answer is c = 'real_estate' (or c = 'personal_property' — when missing or zero).</t>
        </is>
      </c>
      <c r="I203" s="3" t="inlineStr">
        <is>
          <t>READ FROM THE CODE — rendered from the expressions the function runs</t>
        </is>
      </c>
      <c r="J203" s="3" t="inlineStr">
        <is>
          <t>a: AssetAccount</t>
        </is>
      </c>
      <c r="K203" s="3" t="inlineStr">
        <is>
          <t>boolean</t>
        </is>
      </c>
      <c r="L203" s="3" t="inlineStr">
        <is>
          <t>—</t>
        </is>
      </c>
      <c r="M203" s="3" t="inlineStr">
        <is>
          <t>None found in this function — anything it assumes comes from the functions it depends on.</t>
        </is>
      </c>
      <c r="N203" s="3" t="inlineStr">
        <is>
          <t>Yes</t>
        </is>
      </c>
      <c r="O203" s="3" t="inlineStr">
        <is>
          <t>MK-NW-F-011 assetClassOf</t>
        </is>
      </c>
      <c r="P203" s="3" t="n">
        <v>7</v>
      </c>
      <c r="Q203" s="3" t="inlineStr">
        <is>
          <t>1. MK-NW-F-011 assetClassOf
2. MK-NW-F-008 incomeBearingClassOf
3. MK-CF-F-155 cash
4. MK-ST-F-010 nameEvidence
5. MK-ST-F-055 round2
6. MK-ST-F-056 has
7. MK-CF-F-132 map</t>
        </is>
      </c>
      <c r="R203" s="3" t="inlineStr">
        <is>
          <t>1. MK-ST-F-055 round2 → MK-CF-F-155 cash → MK-NW-F-008 incomeBearingClassOf → MK-NW-F-011 assetClassOf → MK-NW-F-014 isRealAsset
2. MK-ST-F-056 has → MK-ST-F-010 nameEvidence → MK-NW-F-008 incomeBearingClassOf → MK-NW-F-011 assetClassOf → MK-NW-F-014 isRealAsset
3. MK-CF-F-132 map → MK-ST-F-010 nameEvidence → MK-NW-F-008 incomeBearingClassOf → MK-NW-F-011 assetClassOf → MK-NW-F-014 isRealAsset</t>
        </is>
      </c>
      <c r="S203" s="3" t="inlineStr">
        <is>
          <t>—</t>
        </is>
      </c>
      <c r="T203" s="3" t="inlineStr">
        <is>
          <t>IS_PHYSICAL_ASSET</t>
        </is>
      </c>
      <c r="U203" s="3" t="inlineStr">
        <is>
          <t>ACTIVE</t>
        </is>
      </c>
      <c r="V203" s="3" t="inlineStr">
        <is>
          <t>2026-08-27</t>
        </is>
      </c>
    </row>
    <row r="204">
      <c r="A204" s="3" t="inlineStr">
        <is>
          <t>MK-NW-F-015</t>
        </is>
      </c>
      <c r="B204" s="3" t="inlineStr">
        <is>
          <t>totalAssets</t>
        </is>
      </c>
      <c r="C204" s="3" t="inlineStr">
        <is>
          <t>src/domain/assets/index.ts</t>
        </is>
      </c>
      <c r="D204" s="3" t="n">
        <v>608</v>
      </c>
      <c r="E204" s="3" t="inlineStr">
        <is>
          <t>3 · DEPENDENT</t>
        </is>
      </c>
      <c r="F204" s="3" t="inlineStr">
        <is>
          <t>NOT DETERMINED — the code carries no note saying what this is for, and it has no row in the old inventory. Needs reading.</t>
        </is>
      </c>
      <c r="G204" s="6" t="inlineStr">
        <is>
          <t>round(Σ over accounts (or none when missing) of (balance (or 0 when missing or zero)), 2 dp)</t>
        </is>
      </c>
      <c r="H204" s="3" t="inlineStr">
        <is>
          <t>the balance (or 0 — when missing or zero added up across accounts (or none — when missing)), to the cent.</t>
        </is>
      </c>
      <c r="I204" s="3" t="inlineStr">
        <is>
          <t>READ FROM THE CODE — rendered from the expressions the function runs</t>
        </is>
      </c>
      <c r="J204" s="3" t="inlineStr">
        <is>
          <t>accounts: AssetAccount[]</t>
        </is>
      </c>
      <c r="K204" s="3" t="inlineStr">
        <is>
          <t>number</t>
        </is>
      </c>
      <c r="L204" s="3" t="inlineStr">
        <is>
          <t>—</t>
        </is>
      </c>
      <c r="M204" s="3" t="inlineStr">
        <is>
          <t>· If balance is missing it counts as zero, so nothing recorded and a real zero look the same.</t>
        </is>
      </c>
      <c r="N204" s="3" t="inlineStr">
        <is>
          <t>Yes</t>
        </is>
      </c>
      <c r="O204" s="3" t="inlineStr">
        <is>
          <t>MK-ST-F-055 round2</t>
        </is>
      </c>
      <c r="P204" s="3" t="n">
        <v>1</v>
      </c>
      <c r="Q204" s="3" t="inlineStr">
        <is>
          <t>MK-ST-F-055 round2</t>
        </is>
      </c>
      <c r="R204" s="3" t="inlineStr">
        <is>
          <t>MK-ST-F-055 round2 → MK-NW-F-015 totalAssets</t>
        </is>
      </c>
      <c r="S204" s="3" t="inlineStr">
        <is>
          <t>—</t>
        </is>
      </c>
      <c r="T204" s="3" t="inlineStr">
        <is>
          <t>—</t>
        </is>
      </c>
      <c r="U204" s="3" t="inlineStr">
        <is>
          <t>ACTIVE</t>
        </is>
      </c>
      <c r="V204" s="3" t="inlineStr">
        <is>
          <t>2026-08-27</t>
        </is>
      </c>
    </row>
    <row r="205">
      <c r="A205" s="3" t="inlineStr">
        <is>
          <t>MK-NW-F-016</t>
        </is>
      </c>
      <c r="B205" s="3" t="inlineStr">
        <is>
          <t>cashTotal</t>
        </is>
      </c>
      <c r="C205" s="3" t="inlineStr">
        <is>
          <t>src/domain/assets/index.ts</t>
        </is>
      </c>
      <c r="D205" s="3" t="n">
        <v>635</v>
      </c>
      <c r="E205" s="3" t="inlineStr">
        <is>
          <t>2 · DISPLAYED</t>
        </is>
      </c>
      <c r="F205" s="3" t="inlineStr">
        <is>
          <t>Cash &amp; cash equivalents (Term #3) — THE cash number, and the same one the Net Worth CASH group shows.</t>
        </is>
      </c>
      <c r="G205" s="6" t="inlineStr">
        <is>
          <t>b = account class breakdown(a)
the answer = t + (b ? cash : asset class of(a) = 'cash' ? (balance or 0) : 0)</t>
        </is>
      </c>
      <c r="H205" s="3" t="inlineStr">
        <is>
          <t>B is account class breakdown(a). The answer is t plus (b ? cash : asset class of(a) = 'cash' ? (balance or 0) : 0).</t>
        </is>
      </c>
      <c r="I205" s="3" t="inlineStr">
        <is>
          <t>READ FROM THE CODE — rendered from the expressions the function runs</t>
        </is>
      </c>
      <c r="J205" s="3" t="inlineStr">
        <is>
          <t>accounts: AssetAccount[]</t>
        </is>
      </c>
      <c r="K205" s="3" t="inlineStr">
        <is>
          <t>number</t>
        </is>
      </c>
      <c r="L205" s="3" t="inlineStr">
        <is>
          <t>1. "Cash on hand now" — on the Bill calendar screen
2. "EMERGENCY CUSHION" — on the Net worth screen, under "EMERGENCY CUSHION"</t>
        </is>
      </c>
      <c r="M205" s="3" t="inlineStr">
        <is>
          <t>· If balance is missing it counts as zero, so nothing recorded and a real zero look the same.</t>
        </is>
      </c>
      <c r="N205" s="3" t="inlineStr">
        <is>
          <t>Yes</t>
        </is>
      </c>
      <c r="O205" s="3" t="inlineStr">
        <is>
          <t>1. MK-NW-F-027 accountClassBreakdown
2. MK-NW-F-011 assetClassOf
3. MK-ST-F-055 round2</t>
        </is>
      </c>
      <c r="P205" s="3" t="n">
        <v>8</v>
      </c>
      <c r="Q205" s="3" t="inlineStr">
        <is>
          <t>1. MK-NW-F-027 accountClassBreakdown
2. MK-NW-F-011 assetClassOf
3. MK-ST-F-055 round2
4. MK-NW-F-008 incomeBearingClassOf
5. MK-CF-F-155 cash
6. MK-ST-F-010 nameEvidence
7. MK-ST-F-056 has
8. MK-CF-F-132 map</t>
        </is>
      </c>
      <c r="R205" s="3" t="inlineStr">
        <is>
          <t>1. MK-ST-F-055 round2 → MK-CF-F-155 cash → MK-NW-F-008 incomeBearingClassOf → MK-NW-F-011 assetClassOf → MK-NW-F-027 accountClassBreakdown → MK-NW-F-016 cashTotal
2. MK-ST-F-056 has → MK-ST-F-010 nameEvidence → MK-NW-F-008 incomeBearingClassOf → MK-NW-F-011 assetClassOf → MK-NW-F-027 accountClassBreakdown → MK-NW-F-016 cashTotal
3. MK-CF-F-132 map → MK-ST-F-010 nameEvidence → MK-NW-F-008 incomeBearingClassOf → MK-NW-F-011 assetClassOf → MK-NW-F-027 accountClassBreakdown → MK-NW-F-016 cashTotal
4. MK-ST-F-055 round2 → MK-CF-F-155 cash → MK-NW-F-008 incomeBearingClassOf → MK-NW-F-027 accountClassBreakdown → MK-NW-F-016 cashTotal
5. MK-ST-F-056 has → MK-ST-F-010 nameEvidence → MK-NW-F-008 incomeBearingClassOf → MK-NW-F-027 accountClassBreakdown → MK-NW-F-016 cashTotal
6. MK-CF-F-132 map → MK-ST-F-010 nameEvidence → MK-NW-F-008 incomeBearingClassOf → MK-NW-F-027 accountClassBreakdown → MK-NW-F-016 cashTotal
7. MK-ST-F-055 round2 → MK-NW-F-027 accountClassBreakdown → MK-NW-F-016 cashTotal
8. MK-ST-F-055 round2 → MK-CF-F-155 cash → MK-NW-F-008 incomeBearingClassOf → MK-NW-F-011 assetClassOf → MK-NW-F-016 cashTotal
9. … and 3 more paths</t>
        </is>
      </c>
      <c r="S205" s="3" t="inlineStr">
        <is>
          <t>MK-NW-M-005</t>
        </is>
      </c>
      <c r="T205" s="3" t="inlineStr">
        <is>
          <t>TOTAL_CASH</t>
        </is>
      </c>
      <c r="U205" s="3" t="inlineStr">
        <is>
          <t>ACTIVE</t>
        </is>
      </c>
      <c r="V205" s="3" t="inlineStr">
        <is>
          <t>2026-08-27</t>
        </is>
      </c>
    </row>
    <row r="206">
      <c r="A206" s="3" t="inlineStr">
        <is>
          <t>MK-NW-F-017</t>
        </is>
      </c>
      <c r="B206" s="3" t="inlineStr">
        <is>
          <t>equitiesTotal</t>
        </is>
      </c>
      <c r="C206" s="3" t="inlineStr">
        <is>
          <t>src/domain/assets/index.ts</t>
        </is>
      </c>
      <c r="D206" s="3" t="n">
        <v>656</v>
      </c>
      <c r="E206" s="3" t="inlineStr">
        <is>
          <t>3 · DEPENDENT (feeds an action only)</t>
        </is>
      </c>
      <c r="F206" s="3" t="inlineStr">
        <is>
          <t>NOT DETERMINED — the code carries no note saying what this is for, and it has no row in the old inventory. Needs reading.</t>
        </is>
      </c>
      <c r="G206" s="6" t="inlineStr">
        <is>
          <t>sum where(accounts, (a) =&gt; asset class of(a) = 'stocks_etf')</t>
        </is>
      </c>
      <c r="H206" s="3" t="inlineStr">
        <is>
          <t>sum where(accounts, (a) =&gt; asset class of(a) = 'stocks_etf').</t>
        </is>
      </c>
      <c r="I206" s="3" t="inlineStr">
        <is>
          <t>PARTLY READ — some of the code is still showing through; needs a hand pass</t>
        </is>
      </c>
      <c r="J206" s="3" t="inlineStr">
        <is>
          <t>accounts: AssetAccount[]</t>
        </is>
      </c>
      <c r="K206" s="3" t="inlineStr">
        <is>
          <t>number</t>
        </is>
      </c>
      <c r="L206" s="3" t="inlineStr">
        <is>
          <t>—</t>
        </is>
      </c>
      <c r="M206" s="3" t="inlineStr">
        <is>
          <t>None found in this function — anything it assumes comes from the functions it depends on.</t>
        </is>
      </c>
      <c r="N206" s="3" t="inlineStr">
        <is>
          <t>No</t>
        </is>
      </c>
      <c r="O206" s="3" t="inlineStr">
        <is>
          <t>1. MK-NW-F-011 assetClassOf
2. MK-NW-F-066 sumWhere</t>
        </is>
      </c>
      <c r="P206" s="3" t="n">
        <v>8</v>
      </c>
      <c r="Q206" s="3" t="inlineStr">
        <is>
          <t>1. MK-NW-F-011 assetClassOf
2. MK-NW-F-066 sumWhere
3. MK-NW-F-008 incomeBearingClassOf
4. MK-ST-F-055 round2
5. MK-CF-F-155 cash
6. MK-ST-F-010 nameEvidence
7. MK-ST-F-056 has
8. MK-CF-F-132 map</t>
        </is>
      </c>
      <c r="R206" s="3" t="inlineStr">
        <is>
          <t>1. MK-ST-F-055 round2 → MK-CF-F-155 cash → MK-NW-F-008 incomeBearingClassOf → MK-NW-F-011 assetClassOf → MK-NW-F-017 equitiesTotal
2. MK-ST-F-056 has → MK-ST-F-010 nameEvidence → MK-NW-F-008 incomeBearingClassOf → MK-NW-F-011 assetClassOf → MK-NW-F-017 equitiesTotal
3. MK-CF-F-132 map → MK-ST-F-010 nameEvidence → MK-NW-F-008 incomeBearingClassOf → MK-NW-F-011 assetClassOf → MK-NW-F-017 equitiesTotal
4. MK-ST-F-055 round2 → MK-NW-F-066 sumWhere → MK-NW-F-017 equitiesTotal</t>
        </is>
      </c>
      <c r="S206" s="3" t="inlineStr">
        <is>
          <t>—</t>
        </is>
      </c>
      <c r="T206" s="3" t="inlineStr">
        <is>
          <t>—</t>
        </is>
      </c>
      <c r="U206" s="3" t="inlineStr">
        <is>
          <t>ACTIVE</t>
        </is>
      </c>
      <c r="V206" s="3" t="inlineStr">
        <is>
          <t>2026-08-27</t>
        </is>
      </c>
    </row>
    <row r="207">
      <c r="A207" s="3" t="inlineStr">
        <is>
          <t>MK-NW-F-018</t>
        </is>
      </c>
      <c r="B207" s="3" t="inlineStr">
        <is>
          <t>fixedIncomeTotal</t>
        </is>
      </c>
      <c r="C207" s="3" t="inlineStr">
        <is>
          <t>src/domain/assets/index.ts</t>
        </is>
      </c>
      <c r="D207" s="3" t="n">
        <v>674</v>
      </c>
      <c r="E207" s="3" t="inlineStr">
        <is>
          <t>3 · DEPENDENT (feeds an action only)</t>
        </is>
      </c>
      <c r="F207" s="3" t="inlineStr">
        <is>
          <t>NOT DETERMINED — the code carries no note saying what this is for, and it has no row in the old inventory. Needs reading.</t>
        </is>
      </c>
      <c r="G207" s="6" t="inlineStr">
        <is>
          <t>sum where(accounts, (a) =&gt; asset class of(a) = 'bonds')</t>
        </is>
      </c>
      <c r="H207" s="3" t="inlineStr">
        <is>
          <t>sum where(accounts, (a) =&gt; asset class of(a) = 'bonds').</t>
        </is>
      </c>
      <c r="I207" s="3" t="inlineStr">
        <is>
          <t>PARTLY READ — some of the code is still showing through; needs a hand pass</t>
        </is>
      </c>
      <c r="J207" s="3" t="inlineStr">
        <is>
          <t>accounts: AssetAccount[]</t>
        </is>
      </c>
      <c r="K207" s="3" t="inlineStr">
        <is>
          <t>number</t>
        </is>
      </c>
      <c r="L207" s="3" t="inlineStr">
        <is>
          <t>—</t>
        </is>
      </c>
      <c r="M207" s="3" t="inlineStr">
        <is>
          <t>None found in this function — anything it assumes comes from the functions it depends on.</t>
        </is>
      </c>
      <c r="N207" s="3" t="inlineStr">
        <is>
          <t>No</t>
        </is>
      </c>
      <c r="O207" s="3" t="inlineStr">
        <is>
          <t>1. MK-NW-F-011 assetClassOf
2. MK-NW-F-066 sumWhere</t>
        </is>
      </c>
      <c r="P207" s="3" t="n">
        <v>8</v>
      </c>
      <c r="Q207" s="3" t="inlineStr">
        <is>
          <t>1. MK-NW-F-011 assetClassOf
2. MK-NW-F-066 sumWhere
3. MK-NW-F-008 incomeBearingClassOf
4. MK-ST-F-055 round2
5. MK-CF-F-155 cash
6. MK-ST-F-010 nameEvidence
7. MK-ST-F-056 has
8. MK-CF-F-132 map</t>
        </is>
      </c>
      <c r="R207" s="3" t="inlineStr">
        <is>
          <t>1. MK-ST-F-055 round2 → MK-CF-F-155 cash → MK-NW-F-008 incomeBearingClassOf → MK-NW-F-011 assetClassOf → MK-NW-F-018 fixedIncomeTotal
2. MK-ST-F-056 has → MK-ST-F-010 nameEvidence → MK-NW-F-008 incomeBearingClassOf → MK-NW-F-011 assetClassOf → MK-NW-F-018 fixedIncomeTotal
3. MK-CF-F-132 map → MK-ST-F-010 nameEvidence → MK-NW-F-008 incomeBearingClassOf → MK-NW-F-011 assetClassOf → MK-NW-F-018 fixedIncomeTotal
4. MK-ST-F-055 round2 → MK-NW-F-066 sumWhere → MK-NW-F-018 fixedIncomeTotal</t>
        </is>
      </c>
      <c r="S207" s="3" t="inlineStr">
        <is>
          <t>—</t>
        </is>
      </c>
      <c r="T207" s="3" t="inlineStr">
        <is>
          <t>—</t>
        </is>
      </c>
      <c r="U207" s="3" t="inlineStr">
        <is>
          <t>ACTIVE</t>
        </is>
      </c>
      <c r="V207" s="3" t="inlineStr">
        <is>
          <t>2026-08-27</t>
        </is>
      </c>
    </row>
    <row r="208">
      <c r="A208" s="3" t="inlineStr">
        <is>
          <t>MK-NW-F-019</t>
        </is>
      </c>
      <c r="B208" s="3" t="inlineStr">
        <is>
          <t>alternativesTotal</t>
        </is>
      </c>
      <c r="C208" s="3" t="inlineStr">
        <is>
          <t>src/domain/assets/index.ts</t>
        </is>
      </c>
      <c r="D208" s="3" t="n">
        <v>692</v>
      </c>
      <c r="E208" s="3" t="inlineStr">
        <is>
          <t>3 · DEPENDENT (feeds an action only)</t>
        </is>
      </c>
      <c r="F208" s="3" t="inlineStr">
        <is>
          <t>NOT DETERMINED — the code carries no note saying what this is for, and it has no row in the old inventory. Needs reading.</t>
        </is>
      </c>
      <c r="G208" s="6" t="inlineStr">
        <is>
          <t>sum where(accounts, (a) =&gt; asset class of(a) = 'alternatives')</t>
        </is>
      </c>
      <c r="H208" s="3" t="inlineStr">
        <is>
          <t>sum where(accounts, (a) =&gt; asset class of(a) = 'alternatives').</t>
        </is>
      </c>
      <c r="I208" s="3" t="inlineStr">
        <is>
          <t>PARTLY READ — some of the code is still showing through; needs a hand pass</t>
        </is>
      </c>
      <c r="J208" s="3" t="inlineStr">
        <is>
          <t>accounts: AssetAccount[]</t>
        </is>
      </c>
      <c r="K208" s="3" t="inlineStr">
        <is>
          <t>number</t>
        </is>
      </c>
      <c r="L208" s="3" t="inlineStr">
        <is>
          <t>—</t>
        </is>
      </c>
      <c r="M208" s="3" t="inlineStr">
        <is>
          <t>None found in this function — anything it assumes comes from the functions it depends on.</t>
        </is>
      </c>
      <c r="N208" s="3" t="inlineStr">
        <is>
          <t>No</t>
        </is>
      </c>
      <c r="O208" s="3" t="inlineStr">
        <is>
          <t>1. MK-NW-F-011 assetClassOf
2. MK-NW-F-066 sumWhere</t>
        </is>
      </c>
      <c r="P208" s="3" t="n">
        <v>8</v>
      </c>
      <c r="Q208" s="3" t="inlineStr">
        <is>
          <t>1. MK-NW-F-011 assetClassOf
2. MK-NW-F-066 sumWhere
3. MK-NW-F-008 incomeBearingClassOf
4. MK-ST-F-055 round2
5. MK-CF-F-155 cash
6. MK-ST-F-010 nameEvidence
7. MK-ST-F-056 has
8. MK-CF-F-132 map</t>
        </is>
      </c>
      <c r="R208" s="3" t="inlineStr">
        <is>
          <t>1. MK-ST-F-055 round2 → MK-CF-F-155 cash → MK-NW-F-008 incomeBearingClassOf → MK-NW-F-011 assetClassOf → MK-NW-F-019 alternativesTotal
2. MK-ST-F-056 has → MK-ST-F-010 nameEvidence → MK-NW-F-008 incomeBearingClassOf → MK-NW-F-011 assetClassOf → MK-NW-F-019 alternativesTotal
3. MK-CF-F-132 map → MK-ST-F-010 nameEvidence → MK-NW-F-008 incomeBearingClassOf → MK-NW-F-011 assetClassOf → MK-NW-F-019 alternativesTotal
4. MK-ST-F-055 round2 → MK-NW-F-066 sumWhere → MK-NW-F-019 alternativesTotal</t>
        </is>
      </c>
      <c r="S208" s="3" t="inlineStr">
        <is>
          <t>—</t>
        </is>
      </c>
      <c r="T208" s="3" t="inlineStr">
        <is>
          <t>—</t>
        </is>
      </c>
      <c r="U208" s="3" t="inlineStr">
        <is>
          <t>ACTIVE</t>
        </is>
      </c>
      <c r="V208" s="3" t="inlineStr">
        <is>
          <t>2026-08-27</t>
        </is>
      </c>
    </row>
    <row r="209">
      <c r="A209" s="3" t="inlineStr">
        <is>
          <t>MK-NW-F-020</t>
        </is>
      </c>
      <c r="B209" s="3" t="inlineStr">
        <is>
          <t>realEstateTotal</t>
        </is>
      </c>
      <c r="C209" s="3" t="inlineStr">
        <is>
          <t>src/domain/assets/index.ts</t>
        </is>
      </c>
      <c r="D209" s="3" t="n">
        <v>710</v>
      </c>
      <c r="E209" s="3" t="inlineStr">
        <is>
          <t>3 · DEPENDENT (feeds an action only)</t>
        </is>
      </c>
      <c r="F209" s="3" t="inlineStr">
        <is>
          <t>NOT DETERMINED — the code carries no note saying what this is for, and it has no row in the old inventory. Needs reading.</t>
        </is>
      </c>
      <c r="G209" s="6" t="inlineStr">
        <is>
          <t>sum where(accounts, (a) =&gt; asset class of(a) = 'real_estate')</t>
        </is>
      </c>
      <c r="H209" s="3" t="inlineStr">
        <is>
          <t>sum where(accounts, (a) =&gt; asset class of(a) = 'real_estate').</t>
        </is>
      </c>
      <c r="I209" s="3" t="inlineStr">
        <is>
          <t>PARTLY READ — some of the code is still showing through; needs a hand pass</t>
        </is>
      </c>
      <c r="J209" s="3" t="inlineStr">
        <is>
          <t>accounts: AssetAccount[]</t>
        </is>
      </c>
      <c r="K209" s="3" t="inlineStr">
        <is>
          <t>number</t>
        </is>
      </c>
      <c r="L209" s="3" t="inlineStr">
        <is>
          <t>—</t>
        </is>
      </c>
      <c r="M209" s="3" t="inlineStr">
        <is>
          <t>None found in this function — anything it assumes comes from the functions it depends on.</t>
        </is>
      </c>
      <c r="N209" s="3" t="inlineStr">
        <is>
          <t>No</t>
        </is>
      </c>
      <c r="O209" s="3" t="inlineStr">
        <is>
          <t>1. MK-NW-F-011 assetClassOf
2. MK-NW-F-066 sumWhere</t>
        </is>
      </c>
      <c r="P209" s="3" t="n">
        <v>8</v>
      </c>
      <c r="Q209" s="3" t="inlineStr">
        <is>
          <t>1. MK-NW-F-011 assetClassOf
2. MK-NW-F-066 sumWhere
3. MK-NW-F-008 incomeBearingClassOf
4. MK-ST-F-055 round2
5. MK-CF-F-155 cash
6. MK-ST-F-010 nameEvidence
7. MK-ST-F-056 has
8. MK-CF-F-132 map</t>
        </is>
      </c>
      <c r="R209" s="3" t="inlineStr">
        <is>
          <t>1. MK-ST-F-055 round2 → MK-CF-F-155 cash → MK-NW-F-008 incomeBearingClassOf → MK-NW-F-011 assetClassOf → MK-NW-F-020 realEstateTotal
2. MK-ST-F-056 has → MK-ST-F-010 nameEvidence → MK-NW-F-008 incomeBearingClassOf → MK-NW-F-011 assetClassOf → MK-NW-F-020 realEstateTotal
3. MK-CF-F-132 map → MK-ST-F-010 nameEvidence → MK-NW-F-008 incomeBearingClassOf → MK-NW-F-011 assetClassOf → MK-NW-F-020 realEstateTotal
4. MK-ST-F-055 round2 → MK-NW-F-066 sumWhere → MK-NW-F-020 realEstateTotal</t>
        </is>
      </c>
      <c r="S209" s="3" t="inlineStr">
        <is>
          <t>—</t>
        </is>
      </c>
      <c r="T209" s="3" t="inlineStr">
        <is>
          <t>—</t>
        </is>
      </c>
      <c r="U209" s="3" t="inlineStr">
        <is>
          <t>ACTIVE</t>
        </is>
      </c>
      <c r="V209" s="3" t="inlineStr">
        <is>
          <t>2026-08-27</t>
        </is>
      </c>
    </row>
    <row r="210">
      <c r="A210" s="3" t="inlineStr">
        <is>
          <t>MK-NW-F-021</t>
        </is>
      </c>
      <c r="B210" s="3" t="inlineStr">
        <is>
          <t>investmentsTotal</t>
        </is>
      </c>
      <c r="C210" s="3" t="inlineStr">
        <is>
          <t>src/domain/assets/index.ts</t>
        </is>
      </c>
      <c r="D210" s="3" t="n">
        <v>730</v>
      </c>
      <c r="E210" s="3" t="inlineStr">
        <is>
          <t>2 · DISPLAYED</t>
        </is>
      </c>
      <c r="F210" s="3" t="inlineStr">
        <is>
          <t>Investments / holdings (allocation view, Term #4) = equities + fixed income + alternatives, ACROSS all wrappers (so a 401(k)'s stocks count).</t>
        </is>
      </c>
      <c r="G210" s="6" t="inlineStr">
        <is>
          <t>sum where(accounts, (a) =&gt; { const c = asset class of(a); return c = 'stocks_etf' or c = 'bonds' or c = 'alternatives' or c = 'mixed'; })</t>
        </is>
      </c>
      <c r="H210" s="3" t="inlineStr">
        <is>
          <t>sum where(accounts, (a) =&gt; { const c = asset class of(a); return c = 'stocks_etf' or c = 'bonds' or c = 'alternatives' or c = 'mixed'; }).</t>
        </is>
      </c>
      <c r="I210" s="3" t="inlineStr">
        <is>
          <t>PARTLY READ — some of the code is still showing through; needs a hand pass</t>
        </is>
      </c>
      <c r="J210" s="3" t="inlineStr">
        <is>
          <t>accounts: AssetAccount[]</t>
        </is>
      </c>
      <c r="K210" s="3" t="inlineStr">
        <is>
          <t>number</t>
        </is>
      </c>
      <c r="L210" s="3" t="inlineStr">
        <is>
          <t>1. "YOUR INVESTMENTS" — on the Home screen, under "WHAT YOU"
2. "YOUR INVESTMENTS" — on the Performance screen, under "acct?.institution?.trim() || acct?.label ||"</t>
        </is>
      </c>
      <c r="M210" s="3" t="inlineStr">
        <is>
          <t>None found in this function — anything it assumes comes from the functions it depends on.</t>
        </is>
      </c>
      <c r="N210" s="3" t="inlineStr">
        <is>
          <t>Yes</t>
        </is>
      </c>
      <c r="O210" s="3" t="inlineStr">
        <is>
          <t>1. MK-NW-F-011 assetClassOf
2. MK-NW-F-066 sumWhere</t>
        </is>
      </c>
      <c r="P210" s="3" t="n">
        <v>8</v>
      </c>
      <c r="Q210" s="3" t="inlineStr">
        <is>
          <t>1. MK-NW-F-011 assetClassOf
2. MK-NW-F-066 sumWhere
3. MK-NW-F-008 incomeBearingClassOf
4. MK-ST-F-055 round2
5. MK-CF-F-155 cash
6. MK-ST-F-010 nameEvidence
7. MK-ST-F-056 has
8. MK-CF-F-132 map</t>
        </is>
      </c>
      <c r="R210" s="3" t="inlineStr">
        <is>
          <t>1. MK-ST-F-055 round2 → MK-CF-F-155 cash → MK-NW-F-008 incomeBearingClassOf → MK-NW-F-011 assetClassOf → MK-NW-F-021 investmentsTotal
2. MK-ST-F-056 has → MK-ST-F-010 nameEvidence → MK-NW-F-008 incomeBearingClassOf → MK-NW-F-011 assetClassOf → MK-NW-F-021 investmentsTotal
3. MK-CF-F-132 map → MK-ST-F-010 nameEvidence → MK-NW-F-008 incomeBearingClassOf → MK-NW-F-011 assetClassOf → MK-NW-F-021 investmentsTotal
4. MK-ST-F-055 round2 → MK-NW-F-066 sumWhere → MK-NW-F-021 investmentsTotal</t>
        </is>
      </c>
      <c r="S210" s="3" t="inlineStr">
        <is>
          <t>MK-XS-M-003</t>
        </is>
      </c>
      <c r="T210" s="3" t="inlineStr">
        <is>
          <t>TOTAL_INVESTMENTS</t>
        </is>
      </c>
      <c r="U210" s="3" t="inlineStr">
        <is>
          <t>ACTIVE</t>
        </is>
      </c>
      <c r="V210" s="3" t="inlineStr">
        <is>
          <t>2026-08-27</t>
        </is>
      </c>
    </row>
    <row r="211">
      <c r="A211" s="3" t="inlineStr">
        <is>
          <t>MK-NW-F-022</t>
        </is>
      </c>
      <c r="B211" s="3" t="inlineStr">
        <is>
          <t>investableAssets</t>
        </is>
      </c>
      <c r="C211" s="3" t="inlineStr">
        <is>
          <t>src/domain/assets/index.ts</t>
        </is>
      </c>
      <c r="D211" s="3" t="n">
        <v>750</v>
      </c>
      <c r="E211" s="3" t="inlineStr">
        <is>
          <t>2 · DISPLAYED</t>
        </is>
      </c>
      <c r="F211" s="3" t="inlineStr">
        <is>
          <t>Investable assets (Term #4) = all financial assets (cash + investments + retirement balances), EXCLUDING real estate + personal property.</t>
        </is>
      </c>
      <c r="G211" s="6" t="inlineStr">
        <is>
          <t>sum where(accounts, (a) =&gt; !is real asset(a))</t>
        </is>
      </c>
      <c r="H211" s="3" t="inlineStr">
        <is>
          <t>sum where(accounts, (a) =&gt; !is real asset(a)).</t>
        </is>
      </c>
      <c r="I211" s="3" t="inlineStr">
        <is>
          <t>PARTLY READ — some of the code is still showing through; needs a hand pass</t>
        </is>
      </c>
      <c r="J211" s="3" t="inlineStr">
        <is>
          <t>accounts: AssetAccount[]</t>
        </is>
      </c>
      <c r="K211" s="3" t="inlineStr">
        <is>
          <t>number</t>
        </is>
      </c>
      <c r="L211" s="3" t="inlineStr">
        <is>
          <t>NOT FOUND — a screen calls it, but the words printed beside its answer could not be traced automatically. Needs reading.</t>
        </is>
      </c>
      <c r="M211" s="3" t="inlineStr">
        <is>
          <t>None found in this function — anything it assumes comes from the functions it depends on.</t>
        </is>
      </c>
      <c r="N211" s="3" t="inlineStr">
        <is>
          <t>Yes</t>
        </is>
      </c>
      <c r="O211" s="3" t="inlineStr">
        <is>
          <t>1. MK-NW-F-014 isRealAsset
2. MK-NW-F-066 sumWhere
3. MK-NW-F-015 totalAssets</t>
        </is>
      </c>
      <c r="P211" s="3" t="n">
        <v>10</v>
      </c>
      <c r="Q211" s="3" t="inlineStr">
        <is>
          <t>1. MK-NW-F-014 isRealAsset
2. MK-NW-F-066 sumWhere
3. MK-NW-F-015 totalAssets
4. MK-NW-F-011 assetClassOf
5. MK-ST-F-055 round2
6. MK-NW-F-008 incomeBearingClassOf
7. MK-CF-F-155 cash
8. MK-ST-F-010 nameEvidence
9. MK-ST-F-056 has
10. MK-CF-F-132 map</t>
        </is>
      </c>
      <c r="R211" s="3" t="inlineStr">
        <is>
          <t>1. MK-ST-F-055 round2 → MK-CF-F-155 cash → MK-NW-F-008 incomeBearingClassOf → MK-NW-F-011 assetClassOf → MK-NW-F-014 isRealAsset → MK-NW-F-022 investableAssets
2. MK-ST-F-056 has → MK-ST-F-010 nameEvidence → MK-NW-F-008 incomeBearingClassOf → MK-NW-F-011 assetClassOf → MK-NW-F-014 isRealAsset → MK-NW-F-022 investableAssets
3. MK-CF-F-132 map → MK-ST-F-010 nameEvidence → MK-NW-F-008 incomeBearingClassOf → MK-NW-F-011 assetClassOf → MK-NW-F-014 isRealAsset → MK-NW-F-022 investableAssets
4. MK-ST-F-055 round2 → MK-NW-F-066 sumWhere → MK-NW-F-022 investableAssets
5. MK-ST-F-055 round2 → MK-NW-F-015 totalAssets → MK-NW-F-022 investableAssets</t>
        </is>
      </c>
      <c r="S211" s="3" t="inlineStr">
        <is>
          <t>—</t>
        </is>
      </c>
      <c r="T211" s="3" t="inlineStr">
        <is>
          <t>TOTAL_INVESTABLE</t>
        </is>
      </c>
      <c r="U211" s="3" t="inlineStr">
        <is>
          <t>ACTIVE</t>
        </is>
      </c>
      <c r="V211" s="3" t="inlineStr">
        <is>
          <t>2026-08-27</t>
        </is>
      </c>
    </row>
    <row r="212">
      <c r="A212" s="3" t="inlineStr">
        <is>
          <t>MK-NW-F-023</t>
        </is>
      </c>
      <c r="B212" s="3" t="inlineStr">
        <is>
          <t>wrapperWord</t>
        </is>
      </c>
      <c r="C212" s="3" t="inlineStr">
        <is>
          <t>src/domain/assets/index.ts</t>
        </is>
      </c>
      <c r="D212" s="3" t="n">
        <v>790</v>
      </c>
      <c r="E212" s="3" t="inlineStr">
        <is>
          <t>1 · ACTION</t>
        </is>
      </c>
      <c r="F212" s="3" t="inlineStr">
        <is>
          <t>NOT DETERMINED — the code carries no note saying what this is for, and it has no row in the old inventory. Needs reading.</t>
        </is>
      </c>
      <c r="G212" s="6" t="inlineStr">
        <is>
          <t>KIND_TO_WRAPPER[kind] (or '' when missing)   if kind
''   otherwise</t>
        </is>
      </c>
      <c r="H212" s="3" t="inlineStr">
        <is>
          <t>KIND_TO_WRAPPER[kind] (or '' when missing) — when kind; '' — otherwise</t>
        </is>
      </c>
      <c r="I212" s="3" t="inlineStr">
        <is>
          <t>READ FROM THE CODE — rendered from the expressions the function runs</t>
        </is>
      </c>
      <c r="J212" s="3" t="inlineStr">
        <is>
          <t>kind?: string</t>
        </is>
      </c>
      <c r="K212" s="3" t="inlineStr">
        <is>
          <t>string</t>
        </is>
      </c>
      <c r="L212" s="3" t="inlineStr">
        <is>
          <t>—</t>
        </is>
      </c>
      <c r="M212" s="3" t="inlineStr">
        <is>
          <t>None found in this function — anything it assumes comes from the functions it depends on.</t>
        </is>
      </c>
      <c r="N212" s="3" t="inlineStr">
        <is>
          <t>Yes</t>
        </is>
      </c>
      <c r="O212" s="3" t="inlineStr">
        <is>
          <t>—</t>
        </is>
      </c>
      <c r="P212" s="3" t="n">
        <v>0</v>
      </c>
      <c r="Q212" s="3" t="inlineStr">
        <is>
          <t>None — no dependent function stands behind it</t>
        </is>
      </c>
      <c r="R212" s="3" t="inlineStr">
        <is>
          <t>No dependent function — it reads its inputs and answers</t>
        </is>
      </c>
      <c r="S212" s="3" t="inlineStr">
        <is>
          <t>—</t>
        </is>
      </c>
      <c r="T212" s="3" t="inlineStr">
        <is>
          <t>—</t>
        </is>
      </c>
      <c r="U212" s="3" t="inlineStr">
        <is>
          <t>ACTIVE</t>
        </is>
      </c>
      <c r="V212" s="3" t="inlineStr">
        <is>
          <t>2026-08-27</t>
        </is>
      </c>
    </row>
    <row r="213">
      <c r="A213" s="3" t="inlineStr">
        <is>
          <t>MK-NW-F-024</t>
        </is>
      </c>
      <c r="B213" s="3" t="inlineStr">
        <is>
          <t>accountLastFour</t>
        </is>
      </c>
      <c r="C213" s="3" t="inlineStr">
        <is>
          <t>src/domain/assets/index.ts</t>
        </is>
      </c>
      <c r="D213" s="3" t="n">
        <v>817</v>
      </c>
      <c r="E213" s="3" t="inlineStr">
        <is>
          <t>3 · DEPENDENT</t>
        </is>
      </c>
      <c r="F213" s="3" t="inlineStr">
        <is>
          <t>The last four digits of an account, or null when we genuinely don't have them.</t>
        </is>
      </c>
      <c r="G213" s="6" t="inlineStr">
        <is>
          <t>digits = string(raw ?? '').replace( ÷ \D ÷ g, '')
digits.slice(-4)   when digits.length ≥ 4
the answer = nothing</t>
        </is>
      </c>
      <c r="H213" s="3" t="inlineStr">
        <is>
          <t>Digits is string(raw ?? '').replace( divided by \D divided by g, ''). When digits.length is at least 4, it answers digits.slice(-4). The answer is no answer.</t>
        </is>
      </c>
      <c r="I213" s="3" t="inlineStr">
        <is>
          <t>PARTLY READ — some of the code is still showing through; needs a hand pass</t>
        </is>
      </c>
      <c r="J213" s="3" t="inlineStr">
        <is>
          <t>a: { mask?: string; account_number?: string }</t>
        </is>
      </c>
      <c r="K213" s="3" t="inlineStr">
        <is>
          <t>string | null</t>
        </is>
      </c>
      <c r="L213" s="3" t="inlineStr">
        <is>
          <t>—</t>
        </is>
      </c>
      <c r="M213" s="3" t="inlineStr">
        <is>
          <t>None found in this function — anything it assumes comes from the functions it depends on.</t>
        </is>
      </c>
      <c r="N213" s="3" t="inlineStr">
        <is>
          <t>Yes</t>
        </is>
      </c>
      <c r="O213" s="3" t="inlineStr">
        <is>
          <t>—</t>
        </is>
      </c>
      <c r="P213" s="3" t="n">
        <v>0</v>
      </c>
      <c r="Q213" s="3" t="inlineStr">
        <is>
          <t>None — no dependent function stands behind it</t>
        </is>
      </c>
      <c r="R213" s="3" t="inlineStr">
        <is>
          <t>No dependent function — it reads its inputs and answers</t>
        </is>
      </c>
      <c r="S213" s="3" t="inlineStr">
        <is>
          <t>—</t>
        </is>
      </c>
      <c r="T213" s="3" t="inlineStr">
        <is>
          <t>—</t>
        </is>
      </c>
      <c r="U213" s="3" t="inlineStr">
        <is>
          <t>ACTIVE</t>
        </is>
      </c>
      <c r="V213" s="3" t="inlineStr">
        <is>
          <t>2026-08-27</t>
        </is>
      </c>
    </row>
    <row r="214">
      <c r="A214" s="3" t="inlineStr">
        <is>
          <t>MK-NW-F-025</t>
        </is>
      </c>
      <c r="B214" s="3" t="inlineStr">
        <is>
          <t>accountDisplayName</t>
        </is>
      </c>
      <c r="C214" s="3" t="inlineStr">
        <is>
          <t>src/domain/assets/index.ts</t>
        </is>
      </c>
      <c r="D214" s="3" t="n">
        <v>863</v>
      </c>
      <c r="E214" s="3" t="inlineStr">
        <is>
          <t>3 · DEPENDENT</t>
        </is>
      </c>
      <c r="F214" s="3" t="inlineStr">
        <is>
          <t>The ONE display name for an account row (build-43 finding #1): institution prefixes the label ONLY when the label doesn't already say it (E*TRADE's own name is "E*Trade Individual Brokerage" — prefixing the institution again rendered "E-Trade E*Trade Individual…"), and the broker's mask suffixes when present so two same-named accounts are tellable apart (wireframe: "Brokerage ...4821").</t>
        </is>
      </c>
      <c r="G214" s="6" t="inlineStr">
        <is>
          <t>inst raw = (institution ?? '').trim()
last4 = account last four(a)
wrapper = wrapper word((a as any).kind)
tax advantaged = tax treatment of(a as asset account) ! = 'taxable'
`${inst raw} ${wrapper} -${last4}`   if last4
`${inst raw} ${wrapper}`   otherwise   when tax advantaged and wrapper
`${inst raw} -${last4}`   when last4
`${inst raw} ${wrapper}`   when wrapper
label = (label ?? '').trim()
pos = ((a as any).positions ?? []) as any[]
inst = (institution ?? '').trim()
norm = (s: string) =&gt; to lower case().replace( ÷ [^a − z0 − 9] ÷ g, '')
… the first steps only — the rest of the body needs reading by hand.</t>
        </is>
      </c>
      <c r="H214" s="3" t="inlineStr">
        <is>
          <t>Inst raw is (institution ?? '').trim(). Last4 is account last four(a). Wrapper is wrapper word((a as any).kind). Tax advantaged is tax treatment of(a as asset account) ! = 'taxable'. When tax advantaged and wrapper, it answers `${inst raw} ${wrapper} -${last4}` — when last4; `${inst raw} ${wrapper}` — otherwise. When last4, it answers `${inst raw} -${last4}`. When wrapper, it answers `${inst raw} ${wrapper}`. Label is (label ?? '').trim(). Pos is ((a as any).positions ?? []) as any[]. Inst is (institution ?? '').trim(). Norm is (s: string) =&gt; to lower case().replace( divided by [^a minus z0 minus 9] divided by g, ''). Only the first steps are shown; the rest of the body needs reading by hand.</t>
        </is>
      </c>
      <c r="I214" s="3" t="inlineStr">
        <is>
          <t>PARTLY READ — some of the code is still showing through; needs a hand pass</t>
        </is>
      </c>
      <c r="J214" s="3" t="inlineStr">
        <is>
          <t>a: Pick&lt;AssetAccount, 'label' | 'institution' | 'mask'&gt; &amp; { positions?: unknown[]; kind?: string; tax_bucket?: TaxBucket; tax_treatment?: TaxTreatment }</t>
        </is>
      </c>
      <c r="K214" s="3" t="inlineStr">
        <is>
          <t>string</t>
        </is>
      </c>
      <c r="L214" s="3" t="inlineStr">
        <is>
          <t>—</t>
        </is>
      </c>
      <c r="M214" s="3" t="inlineStr">
        <is>
          <t>None found in this function — anything it assumes comes from the functions it depends on.</t>
        </is>
      </c>
      <c r="N214" s="3" t="inlineStr">
        <is>
          <t>Yes</t>
        </is>
      </c>
      <c r="O214" s="3" t="inlineStr">
        <is>
          <t>1. MK-NW-F-024 accountLastFour
2. MK-NW-F-012 taxTreatmentOf
3. MK-NW-F-023 wrapperWord</t>
        </is>
      </c>
      <c r="P214" s="3" t="n">
        <v>3</v>
      </c>
      <c r="Q214" s="3" t="inlineStr">
        <is>
          <t>1. MK-NW-F-024 accountLastFour
2. MK-NW-F-012 taxTreatmentOf
3. MK-NW-F-023 wrapperWord</t>
        </is>
      </c>
      <c r="R214" s="3" t="inlineStr">
        <is>
          <t>1. MK-NW-F-024 accountLastFour → MK-NW-F-025 accountDisplayName
2. MK-NW-F-012 taxTreatmentOf → MK-NW-F-025 accountDisplayName
3. MK-NW-F-023 wrapperWord → MK-NW-F-025 accountDisplayName</t>
        </is>
      </c>
      <c r="S214" s="3" t="inlineStr">
        <is>
          <t>—</t>
        </is>
      </c>
      <c r="T214" s="3" t="inlineStr">
        <is>
          <t>—</t>
        </is>
      </c>
      <c r="U214" s="3" t="inlineStr">
        <is>
          <t>ACTIVE</t>
        </is>
      </c>
      <c r="V214" s="3" t="inlineStr">
        <is>
          <t>2026-08-27</t>
        </is>
      </c>
    </row>
    <row r="215">
      <c r="A215" s="3" t="inlineStr">
        <is>
          <t>MK-NW-F-026</t>
        </is>
      </c>
      <c r="B215" s="3" t="inlineStr">
        <is>
          <t>accountDisplayNames</t>
        </is>
      </c>
      <c r="C215" s="3" t="inlineStr">
        <is>
          <t>src/domain/assets/index.ts</t>
        </is>
      </c>
      <c r="D215" s="3" t="n">
        <v>934</v>
      </c>
      <c r="E215" s="3" t="inlineStr">
        <is>
          <t>2 · DISPLAYED</t>
        </is>
      </c>
      <c r="F215" s="3" t="inlineStr">
        <is>
          <t>Display names for a whole LIST of accounts.</t>
        </is>
      </c>
      <c r="G215" s="6" t="inlineStr">
        <is>
          <t>base = a lookup of for each of accounts: [asset id, account display name(each)]
counts = new map&lt;string, number&gt;()
seen = new map&lt;string, number&gt;()
out = new map&lt;string, string&gt;()
n = base.get(asset id)!
i = (seen.get(n) ?? 0) + 1
the answer = out</t>
        </is>
      </c>
      <c r="H215" s="3" t="inlineStr">
        <is>
          <t>Base is a lookup of for each of accounts: [asset id, account display name(each)]. Counts is new map&lt;string, number&gt;(). Seen is new map&lt;string, number&gt;(). Out is new map&lt;string, string&gt;(). N is base.get(asset id)!. I is (seen.get(n) ?? 0) plus 1. The answer is out.</t>
        </is>
      </c>
      <c r="I215" s="3" t="inlineStr">
        <is>
          <t>PARTLY READ — some of the code is still showing through; needs a hand pass</t>
        </is>
      </c>
      <c r="J215" s="3" t="inlineStr">
        <is>
          <t>accounts: (Pick&lt;AssetAccount, 'asset_id' | 'label' | 'institution' | 'mask'&gt; &amp; { positions?: unknown[] })[]</t>
        </is>
      </c>
      <c r="K215" s="3" t="inlineStr">
        <is>
          <t>Map&lt;string, string&gt;</t>
        </is>
      </c>
      <c r="L215" s="3" t="inlineStr">
        <is>
          <t>"Bonds &amp; alternatives — recorded on their own pages" — on the Performance screen</t>
        </is>
      </c>
      <c r="M215" s="3" t="inlineStr">
        <is>
          <t>None found in this function — anything it assumes comes from the functions it depends on.</t>
        </is>
      </c>
      <c r="N215" s="3" t="inlineStr">
        <is>
          <t>Yes</t>
        </is>
      </c>
      <c r="O215" s="3" t="inlineStr">
        <is>
          <t>1. MK-NW-F-025 accountDisplayName
2. MK-CF-F-132 map</t>
        </is>
      </c>
      <c r="P215" s="3" t="n">
        <v>5</v>
      </c>
      <c r="Q215" s="3" t="inlineStr">
        <is>
          <t>1. MK-NW-F-025 accountDisplayName
2. MK-CF-F-132 map
3. MK-NW-F-024 accountLastFour
4. MK-NW-F-012 taxTreatmentOf
5. MK-NW-F-023 wrapperWord</t>
        </is>
      </c>
      <c r="R215" s="3" t="inlineStr">
        <is>
          <t>1. MK-NW-F-024 accountLastFour → MK-NW-F-025 accountDisplayName → MK-NW-F-026 accountDisplayNames
2. MK-NW-F-012 taxTreatmentOf → MK-NW-F-025 accountDisplayName → MK-NW-F-026 accountDisplayNames
3. MK-NW-F-023 wrapperWord → MK-NW-F-025 accountDisplayName → MK-NW-F-026 accountDisplayNames
4. MK-CF-F-132 map → MK-NW-F-026 accountDisplayNames</t>
        </is>
      </c>
      <c r="S215" s="3" t="inlineStr">
        <is>
          <t>—</t>
        </is>
      </c>
      <c r="T215" s="3" t="inlineStr">
        <is>
          <t>ACCOUNT_NAMES</t>
        </is>
      </c>
      <c r="U215" s="3" t="inlineStr">
        <is>
          <t>ACTIVE</t>
        </is>
      </c>
      <c r="V215" s="3" t="inlineStr">
        <is>
          <t>2026-08-27</t>
        </is>
      </c>
    </row>
    <row r="216">
      <c r="A216" s="3" t="inlineStr">
        <is>
          <t>MK-NW-F-027</t>
        </is>
      </c>
      <c r="B216" s="3" t="inlineStr">
        <is>
          <t>accountClassBreakdown</t>
        </is>
      </c>
      <c r="C216" s="3" t="inlineStr">
        <is>
          <t>src/domain/assets/index.ts</t>
        </is>
      </c>
      <c r="D216" s="3" t="n">
        <v>1003</v>
      </c>
      <c r="E216" s="3" t="inlineStr">
        <is>
          <t>2 · DISPLAYED</t>
        </is>
      </c>
      <c r="F216" s="3" t="inlineStr">
        <is>
          <t>APPROVED v6 (2026-07-19): a CONNECTED account splits across the asset classes it actually holds — CDs under bonds, money market + sleeve under cash, options under alternatives, stocks under stocks — with the slices summing EXACTLY to the broker's authoritative balance.</t>
        </is>
      </c>
      <c r="G216" s="6" t="inlineStr">
        <is>
          <t>nothing   when source ! = 'connected'
out = cash = 0
bonds = 0
stocks etf = 0
alternatives = 0
real estate = 0
personal property = 0
mixed = 0
sh = (lots ?? []).reduce((t: number, l: any) =&gt; t + (shares or 0), 0)
v = sh × last price   if last price ≠ nothing
0   otherwise
by name = income bearing class of(`${ticker ?? ''} ${name ?? description ?? ''}`)
sum = round(Σ over object.values(out) as number[] of (each), 2 dp)
r = round((balance or 0) − sum, 2 dp)
own = asset class of(a)
bucket = 'mixed'   if own = 'mixed'
own   otherwise
the answer = out</t>
        </is>
      </c>
      <c r="H216" s="3" t="inlineStr">
        <is>
          <t>When source ! = 'connected', it answers no answer. Out is cash = 0; bonds = 0; stocks etf = 0; alternatives = 0; real estate = 0; personal property = 0; mixed = 0. Sh is (lots ?? []).reduce((t: number, l: any) =&gt; t plus (shares or 0), 0). V is sh times last price — when last price is not no answer; 0 — otherwise. By name is income bearing class of(`${ticker ?? ''} ${name ?? description ?? ''}`). Sum: the each added up across object.values(out) as number[], to the cent. R is (balance or 0) minus sum, to the cent. Own is asset class of(a). Bucket is 'mixed' — when own = 'mixed'; own — otherwise. The answer is out.</t>
        </is>
      </c>
      <c r="I216" s="3" t="inlineStr">
        <is>
          <t>PARTLY READ — some of the code is still showing through; needs a hand pass</t>
        </is>
      </c>
      <c r="J216" s="3" t="inlineStr">
        <is>
          <t>a: AssetAccount</t>
        </is>
      </c>
      <c r="K216" s="3" t="inlineStr">
        <is>
          <t>Record&lt;AssetClass, number&gt; | null</t>
        </is>
      </c>
      <c r="L216" s="3" t="inlineStr">
        <is>
          <t>NOT FOUND — a screen calls it, but the words printed beside its answer could not be traced automatically. Needs reading.</t>
        </is>
      </c>
      <c r="M216" s="3" t="inlineStr">
        <is>
          <t>1. If cash balance is missing it uses 0.
2. If shares is missing it counts as zero, so nothing recorded and a real zero look the same.
3. If value is missing it counts as zero, so nothing recorded and a real zero look the same.
4. If balance is missing it counts as zero, so nothing recorded and a real zero look the same.</t>
        </is>
      </c>
      <c r="N216" s="3" t="inlineStr">
        <is>
          <t>Yes</t>
        </is>
      </c>
      <c r="O216" s="3" t="inlineStr">
        <is>
          <t>1. MK-NW-F-011 assetClassOf
2. MK-NW-F-008 incomeBearingClassOf
3. MK-ST-F-055 round2</t>
        </is>
      </c>
      <c r="P216" s="3" t="n">
        <v>7</v>
      </c>
      <c r="Q216" s="3" t="inlineStr">
        <is>
          <t>1. MK-NW-F-011 assetClassOf
2. MK-NW-F-008 incomeBearingClassOf
3. MK-ST-F-055 round2
4. MK-CF-F-155 cash
5. MK-ST-F-010 nameEvidence
6. MK-ST-F-056 has
7. MK-CF-F-132 map</t>
        </is>
      </c>
      <c r="R216" s="3" t="inlineStr">
        <is>
          <t>1. MK-ST-F-055 round2 → MK-CF-F-155 cash → MK-NW-F-008 incomeBearingClassOf → MK-NW-F-011 assetClassOf → MK-NW-F-027 accountClassBreakdown
2. MK-ST-F-056 has → MK-ST-F-010 nameEvidence → MK-NW-F-008 incomeBearingClassOf → MK-NW-F-011 assetClassOf → MK-NW-F-027 accountClassBreakdown
3. MK-CF-F-132 map → MK-ST-F-010 nameEvidence → MK-NW-F-008 incomeBearingClassOf → MK-NW-F-011 assetClassOf → MK-NW-F-027 accountClassBreakdown
4. MK-ST-F-055 round2 → MK-CF-F-155 cash → MK-NW-F-008 incomeBearingClassOf → MK-NW-F-027 accountClassBreakdown
5. MK-ST-F-056 has → MK-ST-F-010 nameEvidence → MK-NW-F-008 incomeBearingClassOf → MK-NW-F-027 accountClassBreakdown
6. MK-CF-F-132 map → MK-ST-F-010 nameEvidence → MK-NW-F-008 incomeBearingClassOf → MK-NW-F-027 accountClassBreakdown
7. MK-ST-F-055 round2 → MK-NW-F-027 accountClassBreakdown</t>
        </is>
      </c>
      <c r="S216" s="3" t="inlineStr">
        <is>
          <t>MK-NW-M-008 · MK-NW-M-020</t>
        </is>
      </c>
      <c r="T216" s="3" t="inlineStr">
        <is>
          <t>ACCOUNT_SPLIT</t>
        </is>
      </c>
      <c r="U216" s="3" t="inlineStr">
        <is>
          <t>ACTIVE</t>
        </is>
      </c>
      <c r="V216" s="3" t="inlineStr">
        <is>
          <t>2026-08-27</t>
        </is>
      </c>
    </row>
    <row r="217">
      <c r="A217" s="3" t="inlineStr">
        <is>
          <t>MK-NW-F-028</t>
        </is>
      </c>
      <c r="B217" s="3" t="inlineStr">
        <is>
          <t>classPortionLabel</t>
        </is>
      </c>
      <c r="C217" s="3" t="inlineStr">
        <is>
          <t>src/domain/assets/index.ts</t>
        </is>
      </c>
      <c r="D217" s="3" t="n">
        <v>1116</v>
      </c>
      <c r="E217" s="3" t="inlineStr">
        <is>
          <t>2 · DISPLAYED</t>
        </is>
      </c>
      <c r="F217" s="3" t="inlineStr">
        <is>
          <t>Plain words for an account's slice inside a class row.</t>
        </is>
      </c>
      <c r="G217" s="6" t="inlineStr">
        <is>
          <t>pos = (positions ?? []) as any[]
c = 'bonds'   if asset class = 'bond'
'alternatives'   if asset class = 'other'
'cash'   if asset class = 'cash'
'stocks_etf'   otherwise   otherwise   otherwise
the answer = c = cls
name of = (p: any) =&gt; `${ticker ?? ''} ${name ?? label ?? ''}`
opts = count of ((a as any).option holdings ?? []) as any[]
cds = in class where CD_RE.test(name of(each))count of 
treas = in class where !CD_RE.test(name of(each)) and TREASURY_RE.test(name of(each))count of 
rest = in class.length − cds − treas
parts = [opts ? plural(opts, 'option') : '', in class.length ? plural(in class.length, 'holding') : ''] where boolean</t>
        </is>
      </c>
      <c r="H217" s="3" t="inlineStr">
        <is>
          <t>Pos is (positions ?? []) as any[]. C is 'bonds' — when asset class = 'bond'; 'alternatives' — when asset class = 'other'; 'cash' — when asset class = 'cash'; 'stocks_etf' — otherwise — otherwise — otherwise. The answer is c = cls. Name of is (p: any) =&gt; `${ticker ?? ''} ${name ?? label ?? ''}`. Opts: how many ((a as any).option holdings ?? []) as any[] there are. Cds is in class where CD_RE.test(name of(each))count of. Treas is in class where !CD_RE.test(name of(each)) and TREASURY_RE.test(name of(each))count of. Rest is in class.length minus cds minus treas. Parts is [opts ? plural(opts, 'option') : '', in class.length ? plural(in class.length, 'holding') : ''] where boolean.</t>
        </is>
      </c>
      <c r="I217" s="3" t="inlineStr">
        <is>
          <t>PARTLY READ — some of the code is still showing through; needs a hand pass</t>
        </is>
      </c>
      <c r="J217" s="3" t="inlineStr">
        <is>
          <t>1. a: AssetAccount
2. cls: AssetClass</t>
        </is>
      </c>
      <c r="K217" s="3" t="inlineStr">
        <is>
          <t>string</t>
        </is>
      </c>
      <c r="L217" s="3" t="inlineStr">
        <is>
          <t>NOT FOUND — a screen calls it, but the words printed beside its answer could not be traced automatically. Needs reading.</t>
        </is>
      </c>
      <c r="M217" s="3" t="inlineStr">
        <is>
          <t>· Leaves some rows out of the answer — check which.</t>
        </is>
      </c>
      <c r="N217" s="3" t="inlineStr">
        <is>
          <t>Yes</t>
        </is>
      </c>
      <c r="O217" s="3" t="inlineStr">
        <is>
          <t>1. MK-XS-F-120 nameOf
2. MK-NW-F-067 plural</t>
        </is>
      </c>
      <c r="P217" s="3" t="n">
        <v>2</v>
      </c>
      <c r="Q217" s="3" t="inlineStr">
        <is>
          <t>1. MK-XS-F-120 nameOf
2. MK-NW-F-067 plural</t>
        </is>
      </c>
      <c r="R217" s="3" t="inlineStr">
        <is>
          <t>1. MK-XS-F-120 nameOf → MK-NW-F-028 classPortionLabel
2. MK-NW-F-067 plural → MK-NW-F-028 classPortionLabel</t>
        </is>
      </c>
      <c r="S217" s="3" t="inlineStr">
        <is>
          <t>—</t>
        </is>
      </c>
      <c r="T217" s="3" t="inlineStr">
        <is>
          <t>SLICE_WORDING</t>
        </is>
      </c>
      <c r="U217" s="3" t="inlineStr">
        <is>
          <t>ACTIVE</t>
        </is>
      </c>
      <c r="V217" s="3" t="inlineStr">
        <is>
          <t>2026-08-27</t>
        </is>
      </c>
    </row>
    <row r="218">
      <c r="A218" s="3" t="inlineStr">
        <is>
          <t>MK-NW-F-029</t>
        </is>
      </c>
      <c r="B218" s="3" t="inlineStr">
        <is>
          <t>assetAllocation</t>
        </is>
      </c>
      <c r="C218" s="3" t="inlineStr">
        <is>
          <t>src/domain/assets/index.ts</t>
        </is>
      </c>
      <c r="D218" s="3" t="n">
        <v>1180</v>
      </c>
      <c r="E218" s="3" t="inlineStr">
        <is>
          <t>2 · DISPLAYED</t>
        </is>
      </c>
      <c r="F218" s="3" t="inlineStr">
        <is>
          <t>How much money sits in each of the seven classes?</t>
        </is>
      </c>
      <c r="G218" s="6" t="inlineStr">
        <is>
          <t>out = cash = 0
bonds = 0
stocks etf = 0
alternatives = 0
real estate = 0
personal property = 0
mixed = 0
b = account class breakdown(a)
the answer = out</t>
        </is>
      </c>
      <c r="H218" s="3" t="inlineStr">
        <is>
          <t>Out is cash = 0; bonds = 0; stocks etf = 0; alternatives = 0; real estate = 0; personal property = 0; mixed = 0. B is account class breakdown(a). The answer is out.</t>
        </is>
      </c>
      <c r="I218" s="3" t="inlineStr">
        <is>
          <t>READ FROM THE CODE — rendered from the expressions the function runs</t>
        </is>
      </c>
      <c r="J218" s="3" t="inlineStr">
        <is>
          <t>accounts: AssetAccount[]</t>
        </is>
      </c>
      <c r="K218" s="3" t="inlineStr">
        <is>
          <t>Record&lt;AssetClass, number&gt;</t>
        </is>
      </c>
      <c r="L218" s="3" t="inlineStr">
        <is>
          <t>NOT FOUND — a screen calls it, but the words printed beside its answer could not be traced automatically. Needs reading.</t>
        </is>
      </c>
      <c r="M218" s="3" t="inlineStr">
        <is>
          <t>· If balance is missing it counts as zero, so nothing recorded and a real zero look the same.</t>
        </is>
      </c>
      <c r="N218" s="3" t="inlineStr">
        <is>
          <t>Yes</t>
        </is>
      </c>
      <c r="O218" s="3" t="inlineStr">
        <is>
          <t>1. MK-NW-F-027 accountClassBreakdown
2. MK-NW-F-011 assetClassOf
3. MK-ST-F-055 round2</t>
        </is>
      </c>
      <c r="P218" s="3" t="n">
        <v>8</v>
      </c>
      <c r="Q218" s="3" t="inlineStr">
        <is>
          <t>1. MK-NW-F-027 accountClassBreakdown
2. MK-NW-F-011 assetClassOf
3. MK-ST-F-055 round2
4. MK-NW-F-008 incomeBearingClassOf
5. MK-CF-F-155 cash
6. MK-ST-F-010 nameEvidence
7. MK-ST-F-056 has
8. MK-CF-F-132 map</t>
        </is>
      </c>
      <c r="R218" s="3" t="inlineStr">
        <is>
          <t>1. MK-ST-F-055 round2 → MK-CF-F-155 cash → MK-NW-F-008 incomeBearingClassOf → MK-NW-F-011 assetClassOf → MK-NW-F-027 accountClassBreakdown → MK-NW-F-029 assetAllocation
2. MK-ST-F-056 has → MK-ST-F-010 nameEvidence → MK-NW-F-008 incomeBearingClassOf → MK-NW-F-011 assetClassOf → MK-NW-F-027 accountClassBreakdown → MK-NW-F-029 assetAllocation
3. MK-CF-F-132 map → MK-ST-F-010 nameEvidence → MK-NW-F-008 incomeBearingClassOf → MK-NW-F-011 assetClassOf → MK-NW-F-027 accountClassBreakdown → MK-NW-F-029 assetAllocation
4. MK-ST-F-055 round2 → MK-CF-F-155 cash → MK-NW-F-008 incomeBearingClassOf → MK-NW-F-027 accountClassBreakdown → MK-NW-F-029 assetAllocation
5. MK-ST-F-056 has → MK-ST-F-010 nameEvidence → MK-NW-F-008 incomeBearingClassOf → MK-NW-F-027 accountClassBreakdown → MK-NW-F-029 assetAllocation
6. MK-CF-F-132 map → MK-ST-F-010 nameEvidence → MK-NW-F-008 incomeBearingClassOf → MK-NW-F-027 accountClassBreakdown → MK-NW-F-029 assetAllocation
7. MK-ST-F-055 round2 → MK-NW-F-027 accountClassBreakdown → MK-NW-F-029 assetAllocation
8. MK-ST-F-055 round2 → MK-CF-F-155 cash → MK-NW-F-008 incomeBearingClassOf → MK-NW-F-011 assetClassOf → MK-NW-F-029 assetAllocation
9. … and 3 more paths</t>
        </is>
      </c>
      <c r="S218" s="3" t="inlineStr">
        <is>
          <t>MK-NW-M-007</t>
        </is>
      </c>
      <c r="T218" s="3" t="inlineStr">
        <is>
          <t>ALLOCATION_BY_CLASS</t>
        </is>
      </c>
      <c r="U218" s="3" t="inlineStr">
        <is>
          <t>ACTIVE</t>
        </is>
      </c>
      <c r="V218" s="3" t="inlineStr">
        <is>
          <t>2026-08-27</t>
        </is>
      </c>
    </row>
    <row r="219">
      <c r="A219" s="3" t="inlineStr">
        <is>
          <t>MK-NW-F-030</t>
        </is>
      </c>
      <c r="B219" s="3" t="inlineStr">
        <is>
          <t>earmarkDefault</t>
        </is>
      </c>
      <c r="C219" s="3" t="inlineStr">
        <is>
          <t>src/domain/assets/index.ts</t>
        </is>
      </c>
      <c r="D219" s="3" t="n">
        <v>1235</v>
      </c>
      <c r="E219" s="3" t="inlineStr">
        <is>
          <t>2 · DISPLAYED</t>
        </is>
      </c>
      <c r="F219" s="3" t="inlineStr">
        <is>
          <t>Default % of an account that's earmarked for retirement (rest funds other goals).</t>
        </is>
      </c>
      <c r="G219" s="6" t="inlineStr">
        <is>
          <t>0   when kind = 'college_529'
0   when asset class of(a) = 'real_estate' and real estate use of(a) = 'primary'
0   when asset id = primary car id
100</t>
        </is>
      </c>
      <c r="H219" s="3" t="inlineStr">
        <is>
          <t>When kind = 'college_529', it answers 0. When asset class of(a) = 'real_estate' and real estate use of(a) = 'primary', it answers 0. When asset id = primary car id, it answers 0. 100.</t>
        </is>
      </c>
      <c r="I219" s="3" t="inlineStr">
        <is>
          <t>READ FROM THE CODE — rendered from the expressions the function runs</t>
        </is>
      </c>
      <c r="J219" s="3" t="inlineStr">
        <is>
          <t>1. a: AssetAccount
2. primaryCarId?: string</t>
        </is>
      </c>
      <c r="K219" s="3" t="inlineStr">
        <is>
          <t>number</t>
        </is>
      </c>
      <c r="L219"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19" s="3" t="inlineStr">
        <is>
          <t>None found in this function — anything it assumes comes from the functions it depends on.</t>
        </is>
      </c>
      <c r="N219" s="3" t="inlineStr">
        <is>
          <t>Yes</t>
        </is>
      </c>
      <c r="O219" s="3" t="inlineStr">
        <is>
          <t>1. MK-NW-F-011 assetClassOf
2. MK-NW-F-013 realEstateUseOf</t>
        </is>
      </c>
      <c r="P219" s="3" t="n">
        <v>8</v>
      </c>
      <c r="Q219" s="3" t="inlineStr">
        <is>
          <t>1. MK-NW-F-011 assetClassOf
2. MK-NW-F-013 realEstateUseOf
3. MK-NW-F-008 incomeBearingClassOf
4. MK-CF-F-155 cash
5. MK-ST-F-010 nameEvidence
6. MK-ST-F-055 round2
7. MK-ST-F-056 has
8. MK-CF-F-132 map</t>
        </is>
      </c>
      <c r="R219" s="3" t="inlineStr">
        <is>
          <t>1. MK-ST-F-055 round2 → MK-CF-F-155 cash → MK-NW-F-008 incomeBearingClassOf → MK-NW-F-011 assetClassOf → MK-NW-F-030 earmarkDefault
2. MK-ST-F-056 has → MK-ST-F-010 nameEvidence → MK-NW-F-008 incomeBearingClassOf → MK-NW-F-011 assetClassOf → MK-NW-F-030 earmarkDefault
3. MK-CF-F-132 map → MK-ST-F-010 nameEvidence → MK-NW-F-008 incomeBearingClassOf → MK-NW-F-011 assetClassOf → MK-NW-F-030 earmarkDefault
4. MK-NW-F-013 realEstateUseOf → MK-NW-F-030 earmarkDefault</t>
        </is>
      </c>
      <c r="S219" s="3" t="inlineStr">
        <is>
          <t>—</t>
        </is>
      </c>
      <c r="T219" s="3" t="inlineStr">
        <is>
          <t>RETIREMENT_SHARE_DEFAULT</t>
        </is>
      </c>
      <c r="U219" s="3" t="inlineStr">
        <is>
          <t>ACTIVE</t>
        </is>
      </c>
      <c r="V219" s="3" t="inlineStr">
        <is>
          <t>2026-08-27</t>
        </is>
      </c>
    </row>
    <row r="220">
      <c r="A220" s="3" t="inlineStr">
        <is>
          <t>MK-NW-F-031</t>
        </is>
      </c>
      <c r="B220" s="3" t="inlineStr">
        <is>
          <t>primaryCarIdOf</t>
        </is>
      </c>
      <c r="C220" s="3" t="inlineStr">
        <is>
          <t>src/domain/assets/index.ts</t>
        </is>
      </c>
      <c r="D220" s="3" t="n">
        <v>1276</v>
      </c>
      <c r="E220" s="3" t="inlineStr">
        <is>
          <t>2 · DISPLAYED</t>
        </is>
      </c>
      <c r="F220" s="3" t="inlineStr">
        <is>
          <t>The vehicle treated as "the car you drive" — the most valuable one, so a second car stays a real asset.</t>
        </is>
      </c>
      <c r="G220" s="6" t="inlineStr">
        <is>
          <t>cars = accounts (or none when missing) where kind = 'vehicle' (or asset class of(each) = 'personal_property' when missing or zero)
undefined   when count of cars is missing
the answer = [...cars].sort((x, y) =&gt; (balance or 0) − (balance or 0) or string(asset id).locale compare(string(asset id)))[0].asset id</t>
        </is>
      </c>
      <c r="H220" s="3" t="inlineStr">
        <is>
          <t>Cars is accounts (or none — when missing) where kind = 'vehicle' (or asset class of(each) = 'personal_property' — when missing or zero). When how many cars is missing there are, it answers undefined. The answer is [...cars].sort((x, y) =&gt; (balance or 0) minus (balance or 0) or string(asset id).locale compare(string(asset id)))[0].asset id.</t>
        </is>
      </c>
      <c r="I220" s="3" t="inlineStr">
        <is>
          <t>PARTLY READ — some of the code is still showing through; needs a hand pass</t>
        </is>
      </c>
      <c r="J220" s="3" t="inlineStr">
        <is>
          <t>accounts: AssetAccount[]</t>
        </is>
      </c>
      <c r="K220" s="3" t="inlineStr">
        <is>
          <t>string | undefined</t>
        </is>
      </c>
      <c r="L220" s="3" t="inlineStr">
        <is>
          <t>"WHAT COUNTS TOWARD RETIREMENT" — on a card used on more than one screen (PlanInputs), under "WHAT COUNTS TOWARD RETIREMENT"</t>
        </is>
      </c>
      <c r="M220" s="3" t="inlineStr">
        <is>
          <t>1. If balance is missing it counts as zero, so nothing recorded and a real zero look the same.
2. Leaves some rows out of the answer — check which.</t>
        </is>
      </c>
      <c r="N220" s="3" t="inlineStr">
        <is>
          <t>Yes</t>
        </is>
      </c>
      <c r="O220" s="3" t="inlineStr">
        <is>
          <t>MK-NW-F-011 assetClassOf</t>
        </is>
      </c>
      <c r="P220" s="3" t="n">
        <v>7</v>
      </c>
      <c r="Q220" s="3" t="inlineStr">
        <is>
          <t>1. MK-NW-F-011 assetClassOf
2. MK-NW-F-008 incomeBearingClassOf
3. MK-CF-F-155 cash
4. MK-ST-F-010 nameEvidence
5. MK-ST-F-055 round2
6. MK-ST-F-056 has
7. MK-CF-F-132 map</t>
        </is>
      </c>
      <c r="R220" s="3" t="inlineStr">
        <is>
          <t>1. MK-ST-F-055 round2 → MK-CF-F-155 cash → MK-NW-F-008 incomeBearingClassOf → MK-NW-F-011 assetClassOf → MK-NW-F-031 primaryCarIdOf
2. MK-ST-F-056 has → MK-ST-F-010 nameEvidence → MK-NW-F-008 incomeBearingClassOf → MK-NW-F-011 assetClassOf → MK-NW-F-031 primaryCarIdOf
3. MK-CF-F-132 map → MK-ST-F-010 nameEvidence → MK-NW-F-008 incomeBearingClassOf → MK-NW-F-011 assetClassOf → MK-NW-F-031 primaryCarIdOf</t>
        </is>
      </c>
      <c r="S220" s="3" t="inlineStr">
        <is>
          <t>—</t>
        </is>
      </c>
      <c r="T220" s="3" t="inlineStr">
        <is>
          <t>PRIMARY_CAR</t>
        </is>
      </c>
      <c r="U220" s="3" t="inlineStr">
        <is>
          <t>ACTIVE</t>
        </is>
      </c>
      <c r="V220" s="3" t="inlineStr">
        <is>
          <t>2026-08-27</t>
        </is>
      </c>
    </row>
    <row r="221">
      <c r="A221" s="3" t="inlineStr">
        <is>
          <t>MK-NW-F-032</t>
        </is>
      </c>
      <c r="B221" s="3" t="inlineStr">
        <is>
          <t>earmarkedAmount</t>
        </is>
      </c>
      <c r="C221" s="3" t="inlineStr">
        <is>
          <t>src/domain/assets/index.ts</t>
        </is>
      </c>
      <c r="D221" s="3" t="n">
        <v>1315</v>
      </c>
      <c r="E221" s="3" t="inlineStr">
        <is>
          <t>2 · DISPLAYED</t>
        </is>
      </c>
      <c r="F221" s="3" t="inlineStr">
        <is>
          <t>The retirement-earmarked $ for one account (uses the saved % or the smart default).</t>
        </is>
      </c>
      <c r="G221" s="6" t="inlineStr">
        <is>
          <t>pct = earmark default(a, primary car id)   if retirement pct = nothing
retirement pct   otherwise
the answer = round((balance or 0) × max(0, min(100, pct)) ÷ 100, 2 dp)</t>
        </is>
      </c>
      <c r="H221" s="3" t="inlineStr">
        <is>
          <t>Pct is earmark default(a, primary car id) — when retirement pct is missing; retirement pct — otherwise. The answer is (balance or 0) times the smaller of 100 and pct, never below zero divided by 100, to the cent.</t>
        </is>
      </c>
      <c r="I221" s="3" t="inlineStr">
        <is>
          <t>READ FROM THE CODE — rendered from the expressions the function runs</t>
        </is>
      </c>
      <c r="J221" s="3" t="inlineStr">
        <is>
          <t>1. a: AssetAccount
2. primaryCarId?: string</t>
        </is>
      </c>
      <c r="K221" s="3" t="inlineStr">
        <is>
          <t>number</t>
        </is>
      </c>
      <c r="L221" s="3" t="inlineStr">
        <is>
          <t>"WHAT COUNTS TOWARD RETIREMENT" — on a card used on more than one screen (PlanInputs), under "WHAT COUNTS TOWARD RETIREMENT"</t>
        </is>
      </c>
      <c r="M221" s="3" t="inlineStr">
        <is>
          <t>· If balance is missing it counts as zero, so nothing recorded and a real zero look the same.</t>
        </is>
      </c>
      <c r="N221" s="3" t="inlineStr">
        <is>
          <t>Yes</t>
        </is>
      </c>
      <c r="O221" s="3" t="inlineStr">
        <is>
          <t>1. MK-NW-F-030 earmarkDefault
2. MK-ST-F-055 round2</t>
        </is>
      </c>
      <c r="P221" s="3" t="n">
        <v>9</v>
      </c>
      <c r="Q221" s="3" t="inlineStr">
        <is>
          <t>1. MK-NW-F-030 earmarkDefault
2. MK-ST-F-055 round2
3. MK-NW-F-011 assetClassOf
4. MK-NW-F-013 realEstateUseOf
5. MK-NW-F-008 incomeBearingClassOf
6. MK-CF-F-155 cash
7. MK-ST-F-010 nameEvidence
8. MK-ST-F-056 has
9. MK-CF-F-132 map</t>
        </is>
      </c>
      <c r="R221" s="3" t="inlineStr">
        <is>
          <t>1. MK-ST-F-055 round2 → MK-CF-F-155 cash → MK-NW-F-008 incomeBearingClassOf → MK-NW-F-011 assetClassOf → MK-NW-F-030 earmarkDefault → MK-NW-F-032 earmarkedAmount
2. MK-ST-F-056 has → MK-ST-F-010 nameEvidence → MK-NW-F-008 incomeBearingClassOf → MK-NW-F-011 assetClassOf → MK-NW-F-030 earmarkDefault → MK-NW-F-032 earmarkedAmount
3. MK-CF-F-132 map → MK-ST-F-010 nameEvidence → MK-NW-F-008 incomeBearingClassOf → MK-NW-F-011 assetClassOf → MK-NW-F-030 earmarkDefault → MK-NW-F-032 earmarkedAmount
4. MK-NW-F-013 realEstateUseOf → MK-NW-F-030 earmarkDefault → MK-NW-F-032 earmarkedAmount
5. MK-ST-F-055 round2 → MK-NW-F-032 earmarkedAmount</t>
        </is>
      </c>
      <c r="S221" s="3" t="inlineStr">
        <is>
          <t>—</t>
        </is>
      </c>
      <c r="T221" s="3" t="inlineStr">
        <is>
          <t>RETIREMENT_SHARE_AMOUNT</t>
        </is>
      </c>
      <c r="U221" s="3" t="inlineStr">
        <is>
          <t>ACTIVE</t>
        </is>
      </c>
      <c r="V221" s="3" t="inlineStr">
        <is>
          <t>2026-08-27</t>
        </is>
      </c>
    </row>
    <row r="222">
      <c r="A222" s="3" t="inlineStr">
        <is>
          <t>MK-NW-F-033</t>
        </is>
      </c>
      <c r="B222" s="3" t="inlineStr">
        <is>
          <t>retirementEarmarkedValue</t>
        </is>
      </c>
      <c r="C222" s="3" t="inlineStr">
        <is>
          <t>src/domain/assets/index.ts</t>
        </is>
      </c>
      <c r="D222" s="3" t="n">
        <v>1343</v>
      </c>
      <c r="E222" s="3" t="inlineStr">
        <is>
          <t>2 · DISPLAYED</t>
        </is>
      </c>
      <c r="F222" s="3" t="inlineStr">
        <is>
          <t>Total nest egg = sum of each account's retirement-earmarked portion.</t>
        </is>
      </c>
      <c r="G222" s="6" t="inlineStr">
        <is>
          <t>car = primary car id of(accounts)
the answer = round(Σ over accounts (or none when missing) of (earmarked amount(each, car)), 2 dp)</t>
        </is>
      </c>
      <c r="H222" s="3" t="inlineStr">
        <is>
          <t>Car is primary car id of(accounts). The answer: the earmarked amount(each, car added up across accounts (or none — when missing)), to the cent.</t>
        </is>
      </c>
      <c r="I222" s="3" t="inlineStr">
        <is>
          <t>READ FROM THE CODE — rendered from the expressions the function runs</t>
        </is>
      </c>
      <c r="J222" s="3" t="inlineStr">
        <is>
          <t>accounts: AssetAccount[]</t>
        </is>
      </c>
      <c r="K222" s="3" t="inlineStr">
        <is>
          <t>number</t>
        </is>
      </c>
      <c r="L222"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22" s="3" t="inlineStr">
        <is>
          <t>None found in this function — anything it assumes comes from the functions it depends on.</t>
        </is>
      </c>
      <c r="N222" s="3" t="inlineStr">
        <is>
          <t>Yes</t>
        </is>
      </c>
      <c r="O222" s="3" t="inlineStr">
        <is>
          <t>1. MK-NW-F-032 earmarkedAmount
2. MK-NW-F-031 primaryCarIdOf
3. MK-ST-F-055 round2</t>
        </is>
      </c>
      <c r="P222" s="3" t="n">
        <v>11</v>
      </c>
      <c r="Q222" s="3" t="inlineStr">
        <is>
          <t>1. MK-NW-F-032 earmarkedAmount
2. MK-NW-F-031 primaryCarIdOf
3. MK-ST-F-055 round2
4. MK-NW-F-030 earmarkDefault
5. MK-NW-F-011 assetClassOf
6. MK-NW-F-013 realEstateUseOf
7. MK-NW-F-008 incomeBearingClassOf
8. MK-CF-F-155 cash
9. MK-ST-F-010 nameEvidence
10. MK-ST-F-056 has
11. MK-CF-F-132 map</t>
        </is>
      </c>
      <c r="R222"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MK-NW-F-013 realEstateUseOf → MK-NW-F-030 earmarkDefault → MK-NW-F-032 earmarkedAmount → MK-NW-F-033 retirementEarmarkedValue
4. MK-ST-F-055 round2 → MK-NW-F-032 earmarkedAmount → MK-NW-F-033 retirementEarmarkedValue
5. MK-ST-F-055 round2 → MK-CF-F-155 cash → MK-NW-F-008 incomeBearingClassOf → MK-NW-F-011 assetClassOf → MK-NW-F-031 primaryCarIdOf → MK-NW-F-033 retirementEarmarkedValue
6. MK-ST-F-056 has → MK-ST-F-010 nameEvidence → MK-NW-F-008 incomeBearingClassOf → MK-NW-F-011 assetClassOf → MK-NW-F-031 primaryCarIdOf → MK-NW-F-033 retirementEarmarkedValue
7. MK-CF-F-132 map → MK-ST-F-010 nameEvidence → MK-NW-F-008 incomeBearingClassOf → MK-NW-F-011 assetClassOf → MK-NW-F-031 primaryCarIdOf → MK-NW-F-033 retirementEarmarkedValue
8. MK-ST-F-055 round2 → MK-NW-F-033 retirementEarmarkedValue</t>
        </is>
      </c>
      <c r="S222" s="3" t="inlineStr">
        <is>
          <t>—</t>
        </is>
      </c>
      <c r="T222" s="3" t="inlineStr">
        <is>
          <t>NEST_EGG</t>
        </is>
      </c>
      <c r="U222" s="3" t="inlineStr">
        <is>
          <t>ACTIVE</t>
        </is>
      </c>
      <c r="V222" s="3" t="inlineStr">
        <is>
          <t>2026-08-27</t>
        </is>
      </c>
    </row>
    <row r="223">
      <c r="A223" s="3" t="inlineStr">
        <is>
          <t>MK-NW-F-034</t>
        </is>
      </c>
      <c r="B223" s="3" t="inlineStr">
        <is>
          <t>benchmarkReturn</t>
        </is>
      </c>
      <c r="C223" s="3" t="inlineStr">
        <is>
          <t>src/domain/assets/index.ts</t>
        </is>
      </c>
      <c r="D223" s="3" t="n">
        <v>1376</v>
      </c>
      <c r="E223" s="3" t="inlineStr">
        <is>
          <t>2 · DISPLAYED</t>
        </is>
      </c>
      <c r="F223" s="3" t="inlineStr">
        <is>
          <t>Benchmark expected annual return for an asset kind — user override if set, else the ASSET_KINDS default.</t>
        </is>
      </c>
      <c r="G223" s="6" t="inlineStr">
        <is>
          <t>overrides[kind]   when kind and overrides and overrides[kind] ≠ nothing
asset kind(kind).ret (or 0.06 when missing)</t>
        </is>
      </c>
      <c r="H223" s="3" t="inlineStr">
        <is>
          <t>When kind and overrides and overrides[kind] is not no answer, it answers overrides[kind]. asset kind(kind).ret (or 0.06 — when missing).</t>
        </is>
      </c>
      <c r="I223" s="3" t="inlineStr">
        <is>
          <t>PARTLY READ — some of the code is still showing through; needs a hand pass</t>
        </is>
      </c>
      <c r="J223" s="3" t="inlineStr">
        <is>
          <t>1. kind: string | undefined
2. overrides?: Record&lt;string, number&gt;</t>
        </is>
      </c>
      <c r="K223" s="3" t="inlineStr">
        <is>
          <t>number</t>
        </is>
      </c>
      <c r="L223" s="3" t="inlineStr">
        <is>
          <t>1. "EST. GROWTH / YR" — on the Other investments screen, under "ALTERNATIVES"
2. "Type" — on the Other investments screen
3. "Typical yearly return for this type" — on the Account detail screen</t>
        </is>
      </c>
      <c r="M223" s="3" t="inlineStr">
        <is>
          <t>· If return is missing it uses 6%.</t>
        </is>
      </c>
      <c r="N223" s="3" t="inlineStr">
        <is>
          <t>Yes</t>
        </is>
      </c>
      <c r="O223" s="3" t="inlineStr">
        <is>
          <t>MK-NW-F-007 assetKind</t>
        </is>
      </c>
      <c r="P223" s="3" t="n">
        <v>8</v>
      </c>
      <c r="Q223" s="3" t="inlineStr">
        <is>
          <t>1. MK-NW-F-007 assetKind
2. MK-NW-F-011 assetClassOf
3. MK-NW-F-008 incomeBearingClassOf
4. MK-CF-F-155 cash
5. MK-ST-F-010 nameEvidence
6. MK-ST-F-055 round2
7. MK-ST-F-056 has
8. MK-CF-F-132 map</t>
        </is>
      </c>
      <c r="R223" s="3" t="inlineStr">
        <is>
          <t>1. MK-ST-F-055 round2 → MK-CF-F-155 cash → MK-NW-F-008 incomeBearingClassOf → MK-NW-F-011 assetClassOf → MK-NW-F-007 assetKind → MK-NW-F-034 benchmarkReturn
2. MK-ST-F-056 has → MK-ST-F-010 nameEvidence → MK-NW-F-008 incomeBearingClassOf → MK-NW-F-011 assetClassOf → MK-NW-F-007 assetKind → MK-NW-F-034 benchmarkReturn
3. MK-CF-F-132 map → MK-ST-F-010 nameEvidence → MK-NW-F-008 incomeBearingClassOf → MK-NW-F-011 assetClassOf → MK-NW-F-007 assetKind → MK-NW-F-034 benchmarkReturn</t>
        </is>
      </c>
      <c r="S223" s="3" t="inlineStr">
        <is>
          <t>—</t>
        </is>
      </c>
      <c r="T223" s="3" t="inlineStr">
        <is>
          <t>EXPECTED_RETURN_BY_KIND</t>
        </is>
      </c>
      <c r="U223" s="3" t="inlineStr">
        <is>
          <t>ACTIVE</t>
        </is>
      </c>
      <c r="V223" s="3" t="inlineStr">
        <is>
          <t>2026-08-27</t>
        </is>
      </c>
    </row>
    <row r="224">
      <c r="A224" s="3" t="inlineStr">
        <is>
          <t>MK-NW-F-035</t>
        </is>
      </c>
      <c r="B224" s="3" t="inlineStr">
        <is>
          <t>blendedVolatility</t>
        </is>
      </c>
      <c r="C224" s="3" t="inlineStr">
        <is>
          <t>src/domain/assets/index.ts</t>
        </is>
      </c>
      <c r="D224" s="3" t="n">
        <v>1453</v>
      </c>
      <c r="E224" s="3" t="inlineStr">
        <is>
          <t>3 · DEPENDENT</t>
        </is>
      </c>
      <c r="F224" s="3" t="inlineStr">
        <is>
          <t>The volatility of THIS portfolio — each account's own class volatility, weighted the way the money actually is (the same weighting `blendedReturn` uses, so the pair always describes one portfolio).</t>
        </is>
      </c>
      <c r="G224" s="6" t="inlineStr">
        <is>
          <t>car = primary car id of(accounts)
items = accounts (or none when missing) where tax bucket ! = 'PROPERTY'
total = Σ over items of (earmarked amount(each, car))
0.12   when total ≤ 0
v = overrides[kind]   if kind and overrides.[kind] ≠ nothing
KIND_VOLATILITY[kind]   if kind
undefined   otherwise   otherwise
the answer = t + (v ?? 0.12) × earmarked amount(a, car)</t>
        </is>
      </c>
      <c r="H224" s="3" t="inlineStr">
        <is>
          <t>Car is primary car id of(accounts). Items is accounts (or none — when missing) where tax bucket ! = 'PROPERTY'. Total: the earmarked amount(each, car) added up across items. When total is at most 0, it answers 0.12. V is overrides[kind] — when kind and overrides.[kind] is not no answer; KIND_VOLATILITY[kind] — when kind; undefined — otherwise — otherwise. The answer is t plus (v ?? 0.12) times earmarked amount(a, car).</t>
        </is>
      </c>
      <c r="I224" s="3" t="inlineStr">
        <is>
          <t>PARTLY READ — some of the code is still showing through; needs a hand pass</t>
        </is>
      </c>
      <c r="J224" s="3" t="inlineStr">
        <is>
          <t>1. accounts: AssetAccount[]
2. overrides?: Record&lt;string, number&gt;</t>
        </is>
      </c>
      <c r="K224" s="3" t="inlineStr">
        <is>
          <t>number</t>
        </is>
      </c>
      <c r="L224" s="3" t="inlineStr">
        <is>
          <t>—</t>
        </is>
      </c>
      <c r="M224" s="3" t="inlineStr">
        <is>
          <t>1. If v is missing it uses 12%.
2. Rounds the answer to a whole number.
3. Leaves some rows out of the answer — check which.</t>
        </is>
      </c>
      <c r="N224" s="3" t="inlineStr">
        <is>
          <t>Yes</t>
        </is>
      </c>
      <c r="O224" s="3" t="inlineStr">
        <is>
          <t>1. MK-NW-F-032 earmarkedAmount
2. MK-NW-F-031 primaryCarIdOf</t>
        </is>
      </c>
      <c r="P224" s="3" t="n">
        <v>11</v>
      </c>
      <c r="Q224" s="3" t="inlineStr">
        <is>
          <t>1. MK-NW-F-032 earmarkedAmount
2. MK-NW-F-031 primaryCarIdOf
3. MK-NW-F-030 earmarkDefault
4. MK-ST-F-055 round2
5. MK-NW-F-011 assetClassOf
6. MK-NW-F-013 realEstateUseOf
7. MK-NW-F-008 incomeBearingClassOf
8. MK-CF-F-155 cash
9. MK-ST-F-010 nameEvidence
10. MK-ST-F-056 has
11. MK-CF-F-132 map</t>
        </is>
      </c>
      <c r="R224" s="3" t="inlineStr">
        <is>
          <t>1. MK-CF-F-155 cash → MK-NW-F-008 incomeBearingClassOf → MK-NW-F-011 assetClassOf → MK-NW-F-030 earmarkDefault → MK-NW-F-032 earmarkedAmount → MK-NW-F-035 blendedVolatility
2. MK-ST-F-010 nameEvidence → MK-NW-F-008 incomeBearingClassOf → MK-NW-F-011 assetClassOf → MK-NW-F-030 earmarkDefault → MK-NW-F-032 earmarkedAmount → MK-NW-F-035 blendedVolatility
3. MK-NW-F-013 realEstateUseOf → MK-NW-F-030 earmarkDefault → MK-NW-F-032 earmarkedAmount → MK-NW-F-035 blendedVolatility
4. MK-ST-F-055 round2 → MK-NW-F-032 earmarkedAmount → MK-NW-F-035 blendedVolatility
5. MK-ST-F-055 round2 → MK-CF-F-155 cash → MK-NW-F-008 incomeBearingClassOf → MK-NW-F-011 assetClassOf → MK-NW-F-031 primaryCarIdOf → MK-NW-F-035 blendedVolatility
6. MK-ST-F-056 has → MK-ST-F-010 nameEvidence → MK-NW-F-008 incomeBearingClassOf → MK-NW-F-011 assetClassOf → MK-NW-F-031 primaryCarIdOf → MK-NW-F-035 blendedVolatility
7. MK-CF-F-132 map → MK-ST-F-010 nameEvidence → MK-NW-F-008 incomeBearingClassOf → MK-NW-F-011 assetClassOf → MK-NW-F-031 primaryCarIdOf → MK-NW-F-035 blendedVolatility</t>
        </is>
      </c>
      <c r="S224" s="3" t="inlineStr">
        <is>
          <t>—</t>
        </is>
      </c>
      <c r="T224" s="3" t="inlineStr">
        <is>
          <t>EXPECTED_SWING_BLENDED</t>
        </is>
      </c>
      <c r="U224" s="3" t="inlineStr">
        <is>
          <t>ACTIVE</t>
        </is>
      </c>
      <c r="V224" s="3" t="inlineStr">
        <is>
          <t>2026-08-27</t>
        </is>
      </c>
    </row>
    <row r="225">
      <c r="A225" s="3" t="inlineStr">
        <is>
          <t>MK-NW-F-036</t>
        </is>
      </c>
      <c r="B225" s="3" t="inlineStr">
        <is>
          <t>benchmarkInfo</t>
        </is>
      </c>
      <c r="C225" s="3" t="inlineStr">
        <is>
          <t>src/domain/assets/index.ts</t>
        </is>
      </c>
      <c r="D225" s="3" t="n">
        <v>1513</v>
      </c>
      <c r="E225" s="3" t="inlineStr">
        <is>
          <t>2 · DISPLAYED</t>
        </is>
      </c>
      <c r="F225" s="3" t="inlineStr">
        <is>
          <t>Benchmark return + its source/period for an asset kind.</t>
        </is>
      </c>
      <c r="G225" s="6"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!!meta.estimate</t>
        </is>
      </c>
      <c r="H225"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!!meta.estimate.</t>
        </is>
      </c>
      <c r="I225" s="3" t="inlineStr">
        <is>
          <t>PARTLY READ — some of the code is still showing through; needs a hand pass</t>
        </is>
      </c>
      <c r="J225" s="3" t="inlineStr">
        <is>
          <t>1. kind: string | undefined
2. overrides?: Record&lt;string, number&gt;</t>
        </is>
      </c>
      <c r="K225" s="3" t="inlineStr">
        <is>
          <t>NOT DECLARED — the code does not say what it gives back</t>
        </is>
      </c>
      <c r="L225" s="3" t="inlineStr">
        <is>
          <t>NOT FOUND — a screen calls it, but the words printed beside its answer could not be traced automatically. Needs reading.</t>
        </is>
      </c>
      <c r="M225" s="3" t="inlineStr">
        <is>
          <t>None found in this function — anything it assumes comes from the functions it depends on.</t>
        </is>
      </c>
      <c r="N225" s="3" t="inlineStr">
        <is>
          <t>Yes</t>
        </is>
      </c>
      <c r="O225" s="3" t="inlineStr">
        <is>
          <t>MK-NW-F-034 benchmarkReturn</t>
        </is>
      </c>
      <c r="P225" s="3" t="n">
        <v>9</v>
      </c>
      <c r="Q225" s="3" t="inlineStr">
        <is>
          <t>1. MK-NW-F-034 benchmarkReturn
2. MK-NW-F-007 assetKind
3. MK-NW-F-011 assetClassOf
4. MK-NW-F-008 incomeBearingClassOf
5. MK-CF-F-155 cash
6. MK-ST-F-010 nameEvidence
7. MK-ST-F-055 round2
8. MK-ST-F-056 has
9. MK-CF-F-132 map</t>
        </is>
      </c>
      <c r="R225"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t>
        </is>
      </c>
      <c r="S225" s="3" t="inlineStr">
        <is>
          <t>—</t>
        </is>
      </c>
      <c r="T225" s="3" t="inlineStr">
        <is>
          <t>—</t>
        </is>
      </c>
      <c r="U225" s="3" t="inlineStr">
        <is>
          <t>ACTIVE</t>
        </is>
      </c>
      <c r="V225" s="3" t="inlineStr">
        <is>
          <t>2026-08-27</t>
        </is>
      </c>
    </row>
    <row r="226">
      <c r="A226" s="3" t="inlineStr">
        <is>
          <t>MK-NW-F-037</t>
        </is>
      </c>
      <c r="B226" s="3" t="inlineStr">
        <is>
          <t>blendedReturn</t>
        </is>
      </c>
      <c r="C226" s="3" t="inlineStr">
        <is>
          <t>src/domain/assets/index.ts</t>
        </is>
      </c>
      <c r="D226" s="3" t="n">
        <v>1551</v>
      </c>
      <c r="E226" s="3" t="inlineStr">
        <is>
          <t>2 · DISPLAYED</t>
        </is>
      </c>
      <c r="F226" s="3" t="inlineStr">
        <is>
          <t>Blended expected return across the EARMARKED nest egg, weighted by each holding's share.</t>
        </is>
      </c>
      <c r="G226" s="6" t="inlineStr">
        <is>
          <t>car = primary car id of(accounts)
items = accounts (or none when missing) where tax bucket ! = 'PROPERTY'
total = Σ over items of (earmarked amount(each, car))
0.06   when total ≤ 0
weighted = Σ over items of (benchmark return(kind, overrides) × earmarked amount(each, car))
the answer = round(weighted ÷ total, 4 dp)</t>
        </is>
      </c>
      <c r="H226" s="3" t="inlineStr">
        <is>
          <t>Car is primary car id of(accounts). Items is accounts (or none — when missing) where tax bucket ! = 'PROPERTY'. Total: the earmarked amount(each, car) added up across items. When total is at most 0, it answers 0.06. Weighted: the benchmark return(kind, overrides) times earmarked amount(each, car) added up across items. The answer is weighted divided by total, to 4 decimal places.</t>
        </is>
      </c>
      <c r="I226" s="3" t="inlineStr">
        <is>
          <t>READ FROM THE CODE — rendered from the expressions the function runs</t>
        </is>
      </c>
      <c r="J226" s="3" t="inlineStr">
        <is>
          <t>1. accounts: AssetAccount[]
2. overrides?: Record&lt;string, number&gt;</t>
        </is>
      </c>
      <c r="K226" s="3" t="inlineStr">
        <is>
          <t>number</t>
        </is>
      </c>
      <c r="L226" s="3" t="inlineStr">
        <is>
          <t>1. "Expected return" — on the Retirement cockpit screen, under "scRetired ?"
2. "Weighted average" — on the Retirement cockpit screen</t>
        </is>
      </c>
      <c r="M226" s="3" t="inlineStr">
        <is>
          <t>1. Rounds the answer to a whole number.
2. Leaves some rows out of the answer — check which.</t>
        </is>
      </c>
      <c r="N226" s="3" t="inlineStr">
        <is>
          <t>Yes</t>
        </is>
      </c>
      <c r="O226" s="3" t="inlineStr">
        <is>
          <t>1. MK-NW-F-034 benchmarkReturn
2. MK-NW-F-032 earmarkedAmount
3. MK-NW-F-031 primaryCarIdOf</t>
        </is>
      </c>
      <c r="P226" s="3" t="n">
        <v>13</v>
      </c>
      <c r="Q226" s="3" t="inlineStr">
        <is>
          <t>1. MK-NW-F-034 benchmarkReturn
2. MK-NW-F-032 earmarkedAmount
3. MK-NW-F-031 primaryCarIdOf
4. MK-NW-F-007 assetKind
5. MK-NW-F-030 earmarkDefault
6. MK-ST-F-055 round2
7. MK-NW-F-011 assetClassOf
8. MK-NW-F-013 realEstateUseOf
9. MK-NW-F-008 incomeBearingClassOf
10. MK-CF-F-155 cash
11. MK-ST-F-010 nameEvidence
12. MK-ST-F-056 has
13. MK-CF-F-132 map</t>
        </is>
      </c>
      <c r="R226"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MK-CF-F-155 cash → MK-NW-F-008 incomeBearingClassOf → MK-NW-F-011 assetClassOf → MK-NW-F-030 earmarkDefault → MK-NW-F-032 earmarkedAmount → MK-NW-F-037 blendedReturn
4. MK-ST-F-010 nameEvidence → MK-NW-F-008 incomeBearingClassOf → MK-NW-F-011 assetClassOf → MK-NW-F-030 earmarkDefault → MK-NW-F-032 earmarkedAmount → MK-NW-F-037 blendedReturn
5. MK-NW-F-013 realEstateUseOf → MK-NW-F-030 earmarkDefault → MK-NW-F-032 earmarkedAmount → MK-NW-F-037 blendedReturn
6. MK-ST-F-055 round2 → MK-NW-F-032 earmarkedAmount → MK-NW-F-037 blendedReturn
7. MK-ST-F-055 round2 → MK-CF-F-155 cash → MK-NW-F-008 incomeBearingClassOf → MK-NW-F-011 assetClassOf → MK-NW-F-031 primaryCarIdOf → MK-NW-F-037 blendedReturn
8. MK-ST-F-056 has → MK-ST-F-010 nameEvidence → MK-NW-F-008 incomeBearingClassOf → MK-NW-F-011 assetClassOf → MK-NW-F-031 primaryCarIdOf → MK-NW-F-037 blendedReturn
9. … and 1 more paths</t>
        </is>
      </c>
      <c r="S226" s="3" t="inlineStr">
        <is>
          <t>—</t>
        </is>
      </c>
      <c r="T226" s="3" t="inlineStr">
        <is>
          <t>EXPECTED_RETURN_BLENDED</t>
        </is>
      </c>
      <c r="U226" s="3" t="inlineStr">
        <is>
          <t>ACTIVE</t>
        </is>
      </c>
      <c r="V226" s="3" t="inlineStr">
        <is>
          <t>2026-08-27</t>
        </is>
      </c>
    </row>
    <row r="227">
      <c r="A227" s="3" t="inlineStr">
        <is>
          <t>MK-NW-F-038</t>
        </is>
      </c>
      <c r="B227" s="3" t="inlineStr">
        <is>
          <t>earmarkedKinds</t>
        </is>
      </c>
      <c r="C227" s="3" t="inlineStr">
        <is>
          <t>src/domain/assets/index.ts</t>
        </is>
      </c>
      <c r="D227" s="3" t="n">
        <v>1583</v>
      </c>
      <c r="E227" s="3" t="inlineStr">
        <is>
          <t>3 · DEPENDENT (feeds an action only)</t>
        </is>
      </c>
      <c r="F227" s="3" t="inlineStr">
        <is>
          <t>Distinct investment kinds present in the earmarked nest egg (for the benchmark editor).</t>
        </is>
      </c>
      <c r="G227" s="6" t="inlineStr">
        <is>
          <t>seen = new set&lt;string&gt;()
the answer = array.from(seen)</t>
        </is>
      </c>
      <c r="H227" s="3" t="inlineStr">
        <is>
          <t>Seen is new set&lt;string&gt;(). The answer is array.from(seen).</t>
        </is>
      </c>
      <c r="I227" s="3" t="inlineStr">
        <is>
          <t>PARTLY READ — some of the code is still showing through; needs a hand pass</t>
        </is>
      </c>
      <c r="J227" s="3" t="inlineStr">
        <is>
          <t>accounts: AssetAccount[]</t>
        </is>
      </c>
      <c r="K227" s="3" t="inlineStr">
        <is>
          <t>string[]</t>
        </is>
      </c>
      <c r="L227" s="3" t="inlineStr">
        <is>
          <t>—</t>
        </is>
      </c>
      <c r="M227" s="3" t="inlineStr">
        <is>
          <t>1. Uses a built-in d e f a u l t r e t u r n of 7%.
2. Leaves some rows out of the answer — check which.</t>
        </is>
      </c>
      <c r="N227" s="3" t="inlineStr">
        <is>
          <t>No</t>
        </is>
      </c>
      <c r="O227" s="3" t="inlineStr">
        <is>
          <t>MK-NW-F-032 earmarkedAmount</t>
        </is>
      </c>
      <c r="P227" s="3" t="n">
        <v>10</v>
      </c>
      <c r="Q227" s="3" t="inlineStr">
        <is>
          <t>1. MK-NW-F-032 earmarkedAmount
2. MK-NW-F-030 earmarkDefault
3. MK-ST-F-055 round2
4. MK-NW-F-011 assetClassOf
5. MK-NW-F-013 realEstateUseOf
6. MK-NW-F-008 incomeBearingClassOf
7. MK-CF-F-155 cash
8. MK-ST-F-010 nameEvidence
9. MK-ST-F-056 has
10. MK-CF-F-132 map</t>
        </is>
      </c>
      <c r="R227"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
3. MK-NW-F-013 realEstateUseOf → MK-NW-F-030 earmarkDefault → MK-NW-F-032 earmarkedAmount → MK-NW-F-038 earmarkedKinds
4. MK-ST-F-055 round2 → MK-NW-F-032 earmarkedAmount → MK-NW-F-038 earmarkedKinds</t>
        </is>
      </c>
      <c r="S227" s="3" t="inlineStr">
        <is>
          <t>—</t>
        </is>
      </c>
      <c r="T227" s="3" t="inlineStr">
        <is>
          <t>—</t>
        </is>
      </c>
      <c r="U227" s="3" t="inlineStr">
        <is>
          <t>ACTIVE</t>
        </is>
      </c>
      <c r="V227" s="3" t="inlineStr">
        <is>
          <t>2026-08-27</t>
        </is>
      </c>
    </row>
    <row r="228">
      <c r="A228" s="3" t="inlineStr">
        <is>
          <t>MK-NW-F-039</t>
        </is>
      </c>
      <c r="B228" s="3" t="inlineStr">
        <is>
          <t>buildAssetsState</t>
        </is>
      </c>
      <c r="C228" s="3" t="inlineStr">
        <is>
          <t>src/domain/assets/index.ts</t>
        </is>
      </c>
      <c r="D228" s="3" t="n">
        <v>1626</v>
      </c>
      <c r="E228" s="3" t="inlineStr">
        <is>
          <t>2 · DISPLAYED</t>
        </is>
      </c>
      <c r="F228" s="3" t="inlineStr">
        <is>
          <t>How much of everything sits in each account, and what return do they blend to?</t>
        </is>
      </c>
      <c r="G228" s="6" t="inlineStr">
        <is>
          <t>total asset value      = round(Σ over every account of (balance), 2 dp)
share of portfolio (a) = round(balance of a ÷ total × 100, 2 dp)
average target return  = round(Σ(target return × balance) ÷ total, 4 dp)</t>
        </is>
      </c>
      <c r="H228"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28" s="3" t="inlineStr">
        <is>
          <t>READ BY HAND 2026-08-26 — checked line by line against the code</t>
        </is>
      </c>
      <c r="J228" s="3" t="inlineStr">
        <is>
          <t>1. uid: UserId
2. accounts: AssetAccount[]</t>
        </is>
      </c>
      <c r="K228" s="3" t="inlineStr">
        <is>
          <t>AssetsState</t>
        </is>
      </c>
      <c r="L228" s="3" t="inlineStr">
        <is>
          <t>NOT FOUND — a screen calls it, but the words printed beside its answer could not be traced automatically. Needs reading.</t>
        </is>
      </c>
      <c r="M228" s="3" t="inlineStr">
        <is>
          <t>1. Multiplies by 100 — a percentage, or an option contract treated as 100 shares. Worth checking which.
2. Rounds the answer to a whole number.</t>
        </is>
      </c>
      <c r="N228" s="3" t="inlineStr">
        <is>
          <t>Yes</t>
        </is>
      </c>
      <c r="O228" s="3" t="inlineStr">
        <is>
          <t>1. MK-CF-F-132 map
2. MK-ST-F-055 round2</t>
        </is>
      </c>
      <c r="P228" s="3" t="n">
        <v>2</v>
      </c>
      <c r="Q228" s="3" t="inlineStr">
        <is>
          <t>1. MK-CF-F-132 map
2. MK-ST-F-055 round2</t>
        </is>
      </c>
      <c r="R228" s="3" t="inlineStr">
        <is>
          <t>1. MK-CF-F-132 map → MK-NW-F-039 buildAssetsState
2. MK-ST-F-055 round2 → MK-NW-F-039 buildAssetsState</t>
        </is>
      </c>
      <c r="S228" s="3" t="inlineStr">
        <is>
          <t>MK-NW-M-004</t>
        </is>
      </c>
      <c r="T228" s="3" t="inlineStr">
        <is>
          <t>ACCOUNT_SHARE_OF_TOTAL</t>
        </is>
      </c>
      <c r="U228" s="3" t="inlineStr">
        <is>
          <t>ACTIVE</t>
        </is>
      </c>
      <c r="V228" s="3" t="inlineStr">
        <is>
          <t>2026-08-27</t>
        </is>
      </c>
    </row>
    <row r="229">
      <c r="A229" s="3" t="inlineStr">
        <is>
          <t>MK-NW-F-040</t>
        </is>
      </c>
      <c r="B229" s="3" t="inlineStr">
        <is>
          <t>assetsFromOnboarding</t>
        </is>
      </c>
      <c r="C229" s="3" t="inlineStr">
        <is>
          <t>src/domain/assets/index.ts</t>
        </is>
      </c>
      <c r="D229" s="3" t="n">
        <v>1665</v>
      </c>
      <c r="E229" s="3" t="inlineStr">
        <is>
          <t>3 · DEPENDENT</t>
        </is>
      </c>
      <c r="F229" s="3" t="inlineStr">
        <is>
          <t>Build asset accounts from onboarding answers (accumulation: retirement savings + holdings).</t>
        </is>
      </c>
      <c r="G229" s="6" t="inlineStr">
        <is>
          <t>a = op (or none when missing)
accounts = []
bal = raw read as a number (0 when it is not one)
the answer:
user id = uid
accounts = accounts</t>
        </is>
      </c>
      <c r="H229" s="3" t="inlineStr">
        <is>
          <t>A is op (or none — when missing). Accounts is []. Bal is raw read as a number (0 — when it is one is missing). The answer is user id = uid; accounts = accounts.</t>
        </is>
      </c>
      <c r="I229" s="3" t="inlineStr">
        <is>
          <t>READ FROM THE CODE — rendered from the expressions the function runs</t>
        </is>
      </c>
      <c r="J229" s="3" t="inlineStr">
        <is>
          <t>1. uid: UserId
2. op: Record&lt;string, any&gt; | null</t>
        </is>
      </c>
      <c r="K229" s="3" t="inlineStr">
        <is>
          <t>AssetsDoc</t>
        </is>
      </c>
      <c r="L229" s="3" t="inlineStr">
        <is>
          <t>—</t>
        </is>
      </c>
      <c r="M229" s="3" t="inlineStr">
        <is>
          <t>None found in this function — anything it assumes comes from the functions it depends on.</t>
        </is>
      </c>
      <c r="N229" s="3" t="inlineStr">
        <is>
          <t>Yes</t>
        </is>
      </c>
      <c r="O229" s="3" t="inlineStr">
        <is>
          <t>1. MK-ST-F-043 newEntityId
2. MK-ST-F-052 toNum</t>
        </is>
      </c>
      <c r="P229" s="3" t="n">
        <v>2</v>
      </c>
      <c r="Q229" s="3" t="inlineStr">
        <is>
          <t>1. MK-ST-F-043 newEntityId
2. MK-ST-F-052 toNum</t>
        </is>
      </c>
      <c r="R229" s="3" t="inlineStr">
        <is>
          <t>1. MK-ST-F-043 newEntityId → MK-NW-F-040 assetsFromOnboarding
2. MK-ST-F-052 toNum → MK-NW-F-040 assetsFromOnboarding</t>
        </is>
      </c>
      <c r="S229" s="3" t="inlineStr">
        <is>
          <t>—</t>
        </is>
      </c>
      <c r="T229" s="3" t="inlineStr">
        <is>
          <t>ACCOUNTS_FROM_SETUP</t>
        </is>
      </c>
      <c r="U229" s="3" t="inlineStr">
        <is>
          <t>ACTIVE</t>
        </is>
      </c>
      <c r="V229" s="3" t="inlineStr">
        <is>
          <t>2026-08-27</t>
        </is>
      </c>
    </row>
    <row r="230">
      <c r="A230" s="3" t="inlineStr">
        <is>
          <t>MK-NW-F-041</t>
        </is>
      </c>
      <c r="B230" s="3" t="inlineStr">
        <is>
          <t>monthlyContributionsFromOnboarding</t>
        </is>
      </c>
      <c r="C230" s="3" t="inlineStr">
        <is>
          <t>src/domain/assets/index.ts</t>
        </is>
      </c>
      <c r="D230" s="3" t="n">
        <v>1707</v>
      </c>
      <c r="E230" s="3" t="inlineStr">
        <is>
          <t>2 · DISPLAYED</t>
        </is>
      </c>
      <c r="F230" s="3" t="inlineStr">
        <is>
          <t>Total monthly contributions across types + employer match (feeds the retirement projection).</t>
        </is>
      </c>
      <c r="G230" s="6" t="inlineStr">
        <is>
          <t>a = op (or none when missing)
the answer = Σ over ['c_401k', 'c_roth', 'c_invest', 'c_property'] of (a[each] read as a number (0 when it is not one))+ employer match monthly(op)</t>
        </is>
      </c>
      <c r="H230" s="3" t="inlineStr">
        <is>
          <t>A is op (or none — when missing). The answer: the a[each] read as a number (0 — when it is one is missing))+ employer match monthly(op added up across ['c_401k', 'c_roth', 'c_invest', 'c_property'].</t>
        </is>
      </c>
      <c r="I230" s="3" t="inlineStr">
        <is>
          <t>PARTLY READ — some of the code is still showing through; needs a hand pass</t>
        </is>
      </c>
      <c r="J230" s="3" t="inlineStr">
        <is>
          <t>op: Record&lt;string, any&gt; | null</t>
        </is>
      </c>
      <c r="K230" s="3" t="inlineStr">
        <is>
          <t>number</t>
        </is>
      </c>
      <c r="L230" s="3" t="inlineStr">
        <is>
          <t>NOT FOUND — a screen calls it, but the words printed beside its answer could not be traced automatically. Needs reading.</t>
        </is>
      </c>
      <c r="M230" s="3" t="inlineStr">
        <is>
          <t>None found in this function — anything it assumes comes from the functions it depends on.</t>
        </is>
      </c>
      <c r="N230" s="3" t="inlineStr">
        <is>
          <t>Yes</t>
        </is>
      </c>
      <c r="O230" s="3" t="inlineStr">
        <is>
          <t>1. MK-CF-F-078 employerMatchMonthly
2. MK-ST-F-052 toNum</t>
        </is>
      </c>
      <c r="P230" s="3" t="n">
        <v>5</v>
      </c>
      <c r="Q230" s="3" t="inlineStr">
        <is>
          <t>1. MK-CF-F-078 employerMatchMonthly
2. MK-ST-F-052 toNum
3. MK-CF-F-175 sumOverEarners
4. MK-CF-F-173 earnerWages
5. MK-CF-F-172 hasWage</t>
        </is>
      </c>
      <c r="R230" s="3" t="inlineStr">
        <is>
          <t>1. MK-CF-F-172 hasWage → MK-CF-F-173 earnerWages → MK-CF-F-175 sumOverEarners → MK-CF-F-078 employerMatchMonthly → MK-NW-F-041 monthlyContributionsFromOnboarding
2. MK-ST-F-052 toNum → MK-NW-F-041 monthlyContributionsFromOnboarding</t>
        </is>
      </c>
      <c r="S230" s="3" t="inlineStr">
        <is>
          <t>—</t>
        </is>
      </c>
      <c r="T230" s="3" t="inlineStr">
        <is>
          <t>MONTHLY_SAVING</t>
        </is>
      </c>
      <c r="U230" s="3" t="inlineStr">
        <is>
          <t>ACTIVE</t>
        </is>
      </c>
      <c r="V230" s="3" t="inlineStr">
        <is>
          <t>2026-08-27</t>
        </is>
      </c>
    </row>
    <row r="231">
      <c r="A231" s="3" t="inlineStr">
        <is>
          <t>MK-NW-F-042</t>
        </is>
      </c>
      <c r="B231" s="3" t="inlineStr">
        <is>
          <t>loadAssets</t>
        </is>
      </c>
      <c r="C231" s="3" t="inlineStr">
        <is>
          <t>src/domain/assets/index.ts</t>
        </is>
      </c>
      <c r="D231" s="3" t="n">
        <v>1732</v>
      </c>
      <c r="E231" s="3" t="inlineStr">
        <is>
          <t>3 · DEPENDENT (feeds an action only)</t>
        </is>
      </c>
      <c r="F231" s="3" t="inlineStr">
        <is>
          <t>NOT DETERMINED — the code carries no note saying what this is for, and it has no row in the old inventory. Needs reading.</t>
        </is>
      </c>
      <c r="G231" s="6" t="inlineStr">
        <is>
          <t>It reaches outside the app for data and hands back what came back — no arithmetic of its own.</t>
        </is>
      </c>
      <c r="H231" s="3" t="inlineStr">
        <is>
          <t>It reaches outside the app for data and hands back what came back — no arithmetic of its own.</t>
        </is>
      </c>
      <c r="I231" s="3" t="inlineStr">
        <is>
          <t>NO ARITHMETIC — there is no formula to state</t>
        </is>
      </c>
      <c r="J231" s="3" t="inlineStr">
        <is>
          <t>uid: UserId</t>
        </is>
      </c>
      <c r="K231" s="3" t="inlineStr">
        <is>
          <t>NOT DECLARED — the code does not say what it gives back</t>
        </is>
      </c>
      <c r="L231" s="3" t="inlineStr">
        <is>
          <t>—</t>
        </is>
      </c>
      <c r="M231" s="3" t="inlineStr">
        <is>
          <t>None found in this function — anything it assumes comes from the functions it depends on.</t>
        </is>
      </c>
      <c r="N231" s="3" t="inlineStr">
        <is>
          <t>No</t>
        </is>
      </c>
      <c r="O231" s="3" t="inlineStr">
        <is>
          <t>—</t>
        </is>
      </c>
      <c r="P231" s="3" t="n">
        <v>0</v>
      </c>
      <c r="Q231" s="3" t="inlineStr">
        <is>
          <t>None — no dependent function stands behind it</t>
        </is>
      </c>
      <c r="R231" s="3" t="inlineStr">
        <is>
          <t>No dependent function — it reads its inputs and answers</t>
        </is>
      </c>
      <c r="S231" s="3" t="inlineStr">
        <is>
          <t>—</t>
        </is>
      </c>
      <c r="T231" s="3" t="inlineStr">
        <is>
          <t>—</t>
        </is>
      </c>
      <c r="U231" s="3" t="inlineStr">
        <is>
          <t>ACTIVE</t>
        </is>
      </c>
      <c r="V231" s="3" t="inlineStr">
        <is>
          <t>2026-08-27</t>
        </is>
      </c>
    </row>
    <row r="232">
      <c r="A232" s="3" t="inlineStr">
        <is>
          <t>MK-NW-F-043</t>
        </is>
      </c>
      <c r="B232" s="3" t="inlineStr">
        <is>
          <t>saveAssets</t>
        </is>
      </c>
      <c r="C232" s="3" t="inlineStr">
        <is>
          <t>src/domain/assets/index.ts</t>
        </is>
      </c>
      <c r="D232" s="3" t="n">
        <v>1748</v>
      </c>
      <c r="E232" s="3" t="inlineStr">
        <is>
          <t>1 · ACTION</t>
        </is>
      </c>
      <c r="F232" s="3" t="inlineStr">
        <is>
          <t>NOT DETERMINED — the code carries no note saying what this is for, and it has no row in the old inventory. Needs reading.</t>
        </is>
      </c>
      <c r="G232" s="6" t="inlineStr">
        <is>
          <t>It records or announces something and returns no figure — no arithmetic of its own.</t>
        </is>
      </c>
      <c r="H232" s="3" t="inlineStr">
        <is>
          <t>It records or announces something and returns no figure — no arithmetic of its own.</t>
        </is>
      </c>
      <c r="I232" s="3" t="inlineStr">
        <is>
          <t>NO ARITHMETIC — there is no formula to state</t>
        </is>
      </c>
      <c r="J232" s="3" t="inlineStr">
        <is>
          <t>d: AssetsDoc</t>
        </is>
      </c>
      <c r="K232" s="3" t="inlineStr">
        <is>
          <t>d.user_id }); }</t>
        </is>
      </c>
      <c r="L232" s="3" t="inlineStr">
        <is>
          <t>—</t>
        </is>
      </c>
      <c r="M232" s="3" t="inlineStr">
        <is>
          <t>None found in this function — anything it assumes comes from the functions it depends on.</t>
        </is>
      </c>
      <c r="N232" s="3" t="inlineStr">
        <is>
          <t>No</t>
        </is>
      </c>
      <c r="O232" s="3" t="inlineStr">
        <is>
          <t>1. MK-ST-F-040 emit
2. MK-ST-F-042 setUserDoc</t>
        </is>
      </c>
      <c r="P232" s="3" t="n">
        <v>2</v>
      </c>
      <c r="Q232" s="3" t="inlineStr">
        <is>
          <t>1. MK-ST-F-040 emit
2. MK-ST-F-042 setUserDoc</t>
        </is>
      </c>
      <c r="R232" s="3" t="inlineStr">
        <is>
          <t>1. MK-ST-F-040 emit → MK-NW-F-043 saveAssets
2. MK-ST-F-042 setUserDoc → MK-NW-F-043 saveAssets</t>
        </is>
      </c>
      <c r="S232" s="3" t="inlineStr">
        <is>
          <t>—</t>
        </is>
      </c>
      <c r="T232" s="3" t="inlineStr">
        <is>
          <t>—</t>
        </is>
      </c>
      <c r="U232" s="3" t="inlineStr">
        <is>
          <t>ACTIVE</t>
        </is>
      </c>
      <c r="V232" s="3" t="inlineStr">
        <is>
          <t>2026-08-27</t>
        </is>
      </c>
    </row>
    <row r="233">
      <c r="A233" s="3" t="inlineStr">
        <is>
          <t>MK-NW-F-044</t>
        </is>
      </c>
      <c r="B233" s="3" t="inlineStr">
        <is>
          <t>getAssetsState</t>
        </is>
      </c>
      <c r="C233" s="3" t="inlineStr">
        <is>
          <t>src/domain/assets/index.ts</t>
        </is>
      </c>
      <c r="D233" s="3" t="n">
        <v>1765</v>
      </c>
      <c r="E233" s="3" t="inlineStr">
        <is>
          <t>3 · DEPENDENT (feeds an action only)</t>
        </is>
      </c>
      <c r="F233" s="3" t="inlineStr">
        <is>
          <t>NOT DETERMINED — the code carries no note saying what this is for, and it has no row in the old inventory. Needs reading.</t>
        </is>
      </c>
      <c r="G233" s="6" t="inlineStr">
        <is>
          <t>d = build assets state(uid, accounts ?? [])   if await load assets(uid); return d
nothing   otherwise</t>
        </is>
      </c>
      <c r="H233" s="3" t="inlineStr">
        <is>
          <t>D is build assets state(uid, accounts ?? []) — when await load assets(uid); return d; no answer — otherwise.</t>
        </is>
      </c>
      <c r="I233" s="3" t="inlineStr">
        <is>
          <t>PARTLY READ — some of the code is still showing through; needs a hand pass</t>
        </is>
      </c>
      <c r="J233" s="3" t="inlineStr">
        <is>
          <t>uid: UserId</t>
        </is>
      </c>
      <c r="K233" s="3" t="inlineStr">
        <is>
          <t>NOT DECLARED — the code does not say what it gives back</t>
        </is>
      </c>
      <c r="L233" s="3" t="inlineStr">
        <is>
          <t>—</t>
        </is>
      </c>
      <c r="M233" s="3" t="inlineStr">
        <is>
          <t>None found in this function — anything it assumes comes from the functions it depends on.</t>
        </is>
      </c>
      <c r="N233" s="3" t="inlineStr">
        <is>
          <t>No</t>
        </is>
      </c>
      <c r="O233" s="3" t="inlineStr">
        <is>
          <t>1. MK-NW-F-039 buildAssetsState
2. MK-NW-F-042 loadAssets</t>
        </is>
      </c>
      <c r="P233" s="3" t="n">
        <v>4</v>
      </c>
      <c r="Q233" s="3" t="inlineStr">
        <is>
          <t>1. MK-NW-F-039 buildAssetsState
2. MK-NW-F-042 loadAssets
3. MK-CF-F-132 map
4. MK-ST-F-055 round2</t>
        </is>
      </c>
      <c r="R233" s="3" t="inlineStr">
        <is>
          <t>1. MK-CF-F-132 map → MK-NW-F-039 buildAssetsState → MK-NW-F-044 getAssetsState
2. MK-ST-F-055 round2 → MK-NW-F-039 buildAssetsState → MK-NW-F-044 getAssetsState
3. MK-NW-F-042 loadAssets → MK-NW-F-044 getAssetsState</t>
        </is>
      </c>
      <c r="S233" s="3" t="inlineStr">
        <is>
          <t>—</t>
        </is>
      </c>
      <c r="T233" s="3" t="inlineStr">
        <is>
          <t>—</t>
        </is>
      </c>
      <c r="U233" s="3" t="inlineStr">
        <is>
          <t>ACTIVE</t>
        </is>
      </c>
      <c r="V233" s="3" t="inlineStr">
        <is>
          <t>2026-08-27</t>
        </is>
      </c>
    </row>
    <row r="234">
      <c r="A234" s="3" t="inlineStr">
        <is>
          <t>MK-NW-F-045</t>
        </is>
      </c>
      <c r="B234" s="3" t="inlineStr">
        <is>
          <t>sourceWording</t>
        </is>
      </c>
      <c r="C234" s="3" t="inlineStr">
        <is>
          <t>src/domain/assets/index.ts</t>
        </is>
      </c>
      <c r="D234" s="3" t="n">
        <v>1793</v>
      </c>
      <c r="E234" s="3" t="inlineStr">
        <is>
          <t>2 · DISPLAYED</t>
        </is>
      </c>
      <c r="F234" s="3" t="inlineStr">
        <is>
          <t>THE source wording (Build-47 walk row 8, audit Strategy #9): one sentence per source, used by every screen that names where an account's numbers come from.</t>
        </is>
      </c>
      <c r="G234" s="6" t="inlineStr">
        <is>
          <t>day = the first 10 of string(last synced)   if last synced
''   otherwise
`connected · ${day or 'linked'}`   when source = 'connected'
`imported · ${day or '—'}`   when source = 'imported'
the answer = 'by hand · you update it'</t>
        </is>
      </c>
      <c r="H234" s="3" t="inlineStr">
        <is>
          <t>Day: the first 10 of string(last synced) — when last synced; '' — otherwise. When source = 'connected', it answers `connected · ${day or 'linked'}`. When source = 'imported', it answers `imported · ${day or '—'}`. The answer is 'by hand · you update it'.</t>
        </is>
      </c>
      <c r="I234" s="3" t="inlineStr">
        <is>
          <t>PARTLY READ — some of the code is still showing through; needs a hand pass</t>
        </is>
      </c>
      <c r="J234" s="3" t="inlineStr">
        <is>
          <t>a: AssetAccount</t>
        </is>
      </c>
      <c r="K234" s="3" t="inlineStr">
        <is>
          <t>string</t>
        </is>
      </c>
      <c r="L234" s="3" t="inlineStr">
        <is>
          <t>NOT FOUND — a screen calls it, but the words printed beside its answer could not be traced automatically. Needs reading.</t>
        </is>
      </c>
      <c r="M234" s="3" t="inlineStr">
        <is>
          <t>None found in this function — anything it assumes comes from the functions it depends on.</t>
        </is>
      </c>
      <c r="N234" s="3" t="inlineStr">
        <is>
          <t>Yes</t>
        </is>
      </c>
      <c r="O234" s="3" t="inlineStr">
        <is>
          <t>—</t>
        </is>
      </c>
      <c r="P234" s="3" t="n">
        <v>0</v>
      </c>
      <c r="Q234" s="3" t="inlineStr">
        <is>
          <t>None — no dependent function stands behind it</t>
        </is>
      </c>
      <c r="R234" s="3" t="inlineStr">
        <is>
          <t>No dependent function — it reads its inputs and answers</t>
        </is>
      </c>
      <c r="S234" s="3" t="inlineStr">
        <is>
          <t>—</t>
        </is>
      </c>
      <c r="T234" s="3" t="inlineStr">
        <is>
          <t>WHERE_THE_VALUE_CAME_FROM</t>
        </is>
      </c>
      <c r="U234" s="3" t="inlineStr">
        <is>
          <t>ACTIVE</t>
        </is>
      </c>
      <c r="V234" s="3" t="inlineStr">
        <is>
          <t>2026-08-27</t>
        </is>
      </c>
    </row>
    <row r="235">
      <c r="A235" s="3" t="inlineStr">
        <is>
          <t>MK-NW-F-046</t>
        </is>
      </c>
      <c r="B235" s="3" t="inlineStr">
        <is>
          <t>historyCoverage</t>
        </is>
      </c>
      <c r="C235" s="3" t="inlineStr">
        <is>
          <t>src/domain/assets/index.ts</t>
        </is>
      </c>
      <c r="D235" s="3" t="n">
        <v>1843</v>
      </c>
      <c r="E235" s="3" t="inlineStr">
        <is>
          <t>2 · DISPLAYED</t>
        </is>
      </c>
      <c r="F235" s="3" t="inlineStr">
        <is>
          <t>NOT DETERMINED — the code carries no note saying what this is for, and it has no row in the old inventory. Needs reading.</t>
        </is>
      </c>
      <c r="G235" s="6" t="inlineStr">
        <is>
          <t>who = (institution or label or 'this account').trim()
from = the first 10 of string(history from)   if history from
nothing   otherwise
nothing   when the first 10 of from ≤ window start
months = max(0, round((now.get full year() − fy) × 12 + (now.get month() + 1 − fm) + (now.get date() − fd) ÷ 30, 1 dp))</t>
        </is>
      </c>
      <c r="H235" s="3" t="inlineStr">
        <is>
          <t>Who is (institution or label or 'this account').trim(). From: the first 10 of string(history from) — when history from; no answer — otherwise. When the first 10 of from is at most window start, it answers no answer. Months is (now.get full year(, never below zero minus fy) times 12 plus (now.get month() plus 1 minus fm) plus (now.get date() minus fd) divided by 30, to 1 decimal places).</t>
        </is>
      </c>
      <c r="I235" s="3" t="inlineStr">
        <is>
          <t>PARTLY READ — some of the code is still showing through; needs a hand pass</t>
        </is>
      </c>
      <c r="J235" s="3" t="inlineStr">
        <is>
          <t>Nothing is handed to it</t>
        </is>
      </c>
      <c r="K235" s="3" t="inlineStr">
        <is>
          <t>NOT DECLARED — the code does not say what it gives back</t>
        </is>
      </c>
      <c r="L235" s="3" t="inlineStr">
        <is>
          <t>NOT FOUND — a screen calls it, but the words printed beside its answer could not be traced automatically. Needs reading.</t>
        </is>
      </c>
      <c r="M235" s="3" t="inlineStr">
        <is>
          <t>1. Treats a year as twelve equal months.
2. Turns a monthly figure into a year by multiplying by twelve.
3. Treats a month as 30 days.
4. Uses today's date from the device clock, so the answer changes by itself overnight.
5. Rounds the answer to a whole number.</t>
        </is>
      </c>
      <c r="N235" s="3" t="inlineStr">
        <is>
          <t>Yes</t>
        </is>
      </c>
      <c r="O235" s="3" t="inlineStr">
        <is>
          <t>1. MK-CF-F-132 map
2. MK-NW-F-068 prettyDay</t>
        </is>
      </c>
      <c r="P235" s="3" t="n">
        <v>2</v>
      </c>
      <c r="Q235" s="3" t="inlineStr">
        <is>
          <t>1. MK-CF-F-132 map
2. MK-NW-F-068 prettyDay</t>
        </is>
      </c>
      <c r="R235" s="3" t="inlineStr">
        <is>
          <t>1. MK-CF-F-132 map → MK-NW-F-046 historyCoverage
2. MK-CF-F-132 map → MK-NW-F-068 prettyDay → MK-NW-F-046 historyCoverage</t>
        </is>
      </c>
      <c r="S235" s="3" t="inlineStr">
        <is>
          <t>—</t>
        </is>
      </c>
      <c r="T235" s="3" t="inlineStr">
        <is>
          <t>—</t>
        </is>
      </c>
      <c r="U235" s="3" t="inlineStr">
        <is>
          <t>ACTIVE</t>
        </is>
      </c>
      <c r="V235" s="3" t="inlineStr">
        <is>
          <t>2026-08-27</t>
        </is>
      </c>
    </row>
    <row r="236">
      <c r="A236" s="3" t="inlineStr">
        <is>
          <t>MK-NW-F-047</t>
        </is>
      </c>
      <c r="B236" s="3" t="inlineStr">
        <is>
          <t>uberGroupOf</t>
        </is>
      </c>
      <c r="C236" s="3" t="inlineStr">
        <is>
          <t>src/domain/assets/index.ts</t>
        </is>
      </c>
      <c r="D236" s="3" t="n">
        <v>1926</v>
      </c>
      <c r="E236" s="3" t="inlineStr">
        <is>
          <t>1 · ACTION</t>
        </is>
      </c>
      <c r="F236" s="3" t="inlineStr">
        <is>
          <t>NOT DETERMINED — the code carries no note saying what this is for, and it has no row in the old inventory. Needs reading.</t>
        </is>
      </c>
      <c r="G236" s="6" t="inlineStr">
        <is>
          <t>CLASS_UBER[cls] (or 'investments' when missing)</t>
        </is>
      </c>
      <c r="H236" s="3" t="inlineStr">
        <is>
          <t>CLASS_UBER[cls] (or 'investments' — when missing)</t>
        </is>
      </c>
      <c r="I236" s="3" t="inlineStr">
        <is>
          <t>READ FROM THE CODE — rendered from the expressions the function runs</t>
        </is>
      </c>
      <c r="J236" s="3" t="inlineStr">
        <is>
          <t>cls: AssetClass</t>
        </is>
      </c>
      <c r="K236" s="3" t="inlineStr">
        <is>
          <t>UberGroup</t>
        </is>
      </c>
      <c r="L236" s="3" t="inlineStr">
        <is>
          <t>—</t>
        </is>
      </c>
      <c r="M236" s="3" t="inlineStr">
        <is>
          <t>None found in this function — anything it assumes comes from the functions it depends on.</t>
        </is>
      </c>
      <c r="N236" s="3" t="inlineStr">
        <is>
          <t>Yes</t>
        </is>
      </c>
      <c r="O236" s="3" t="inlineStr">
        <is>
          <t>—</t>
        </is>
      </c>
      <c r="P236" s="3" t="n">
        <v>0</v>
      </c>
      <c r="Q236" s="3" t="inlineStr">
        <is>
          <t>None — no dependent function stands behind it</t>
        </is>
      </c>
      <c r="R236" s="3" t="inlineStr">
        <is>
          <t>No dependent function — it reads its inputs and answers</t>
        </is>
      </c>
      <c r="S236" s="3" t="inlineStr">
        <is>
          <t>—</t>
        </is>
      </c>
      <c r="T236" s="3" t="inlineStr">
        <is>
          <t>—</t>
        </is>
      </c>
      <c r="U236" s="3" t="inlineStr">
        <is>
          <t>ACTIVE</t>
        </is>
      </c>
      <c r="V236" s="3" t="inlineStr">
        <is>
          <t>2026-08-27</t>
        </is>
      </c>
    </row>
    <row r="237">
      <c r="A237" s="3" t="inlineStr">
        <is>
          <t>MK-NW-F-048</t>
        </is>
      </c>
      <c r="B237" s="3" t="inlineStr">
        <is>
          <t>uberGroupRows</t>
        </is>
      </c>
      <c r="C237" s="3" t="inlineStr">
        <is>
          <t>src/domain/assets/index.ts</t>
        </is>
      </c>
      <c r="D237" s="3" t="n">
        <v>1947</v>
      </c>
      <c r="E237" s="3" t="inlineStr">
        <is>
          <t>2 · DISPLAYED</t>
        </is>
      </c>
      <c r="F237" s="3" t="inlineStr">
        <is>
          <t>Group per-class totals into the three uber-groups, keeping class order inside each.</t>
        </is>
      </c>
      <c r="G237" s="6" t="inlineStr">
        <is>
          <t>classes = class rows where uber group of(key) = group</t>
        </is>
      </c>
      <c r="H237" s="3" t="inlineStr">
        <is>
          <t>Classes is class rows where uber group of(key) = group.</t>
        </is>
      </c>
      <c r="I237" s="3" t="inlineStr">
        <is>
          <t>READ FROM THE CODE — rendered from the expressions the function runs</t>
        </is>
      </c>
      <c r="J237" s="3" t="inlineStr">
        <is>
          <t>Nothing is handed to it</t>
        </is>
      </c>
      <c r="K237" s="3" t="inlineStr">
        <is>
          <t>NOT DECLARED — the code does not say what it gives back</t>
        </is>
      </c>
      <c r="L237" s="3" t="inlineStr">
        <is>
          <t>NOT FOUND — a screen calls it, but the words printed beside its answer could not be traced automatically. Needs reading.</t>
        </is>
      </c>
      <c r="M237" s="3" t="inlineStr">
        <is>
          <t>· Leaves some rows out of the answer — check which.</t>
        </is>
      </c>
      <c r="N237" s="3" t="inlineStr">
        <is>
          <t>Yes</t>
        </is>
      </c>
      <c r="O237" s="3" t="inlineStr">
        <is>
          <t>1. MK-CF-F-132 map
2. MK-ST-F-055 round2
3. MK-NW-F-047 uberGroupOf</t>
        </is>
      </c>
      <c r="P237" s="3" t="n">
        <v>3</v>
      </c>
      <c r="Q237" s="3" t="inlineStr">
        <is>
          <t>1. MK-CF-F-132 map
2. MK-ST-F-055 round2
3. MK-NW-F-047 uberGroupOf</t>
        </is>
      </c>
      <c r="R237" s="3" t="inlineStr">
        <is>
          <t>1. MK-CF-F-132 map → MK-NW-F-048 uberGroupRows
2. MK-ST-F-055 round2 → MK-NW-F-048 uberGroupRows
3. MK-NW-F-047 uberGroupOf → MK-NW-F-048 uberGroupRows</t>
        </is>
      </c>
      <c r="S237" s="3" t="inlineStr">
        <is>
          <t>—</t>
        </is>
      </c>
      <c r="T237" s="3" t="inlineStr">
        <is>
          <t>NET_WORTH_GROUPING</t>
        </is>
      </c>
      <c r="U237" s="3" t="inlineStr">
        <is>
          <t>ACTIVE</t>
        </is>
      </c>
      <c r="V237" s="3" t="inlineStr">
        <is>
          <t>2026-08-27</t>
        </is>
      </c>
    </row>
    <row r="238">
      <c r="A238" s="3" t="inlineStr">
        <is>
          <t>MK-NW-F-049</t>
        </is>
      </c>
      <c r="B238" s="3" t="inlineStr">
        <is>
          <t>itemizedTotal</t>
        </is>
      </c>
      <c r="C238" s="3" t="inlineStr">
        <is>
          <t>src/domain/assets/itemize.ts</t>
        </is>
      </c>
      <c r="D238" s="3" t="n">
        <v>50</v>
      </c>
      <c r="E238" s="3" t="inlineStr">
        <is>
          <t>1 · ACTION</t>
        </is>
      </c>
      <c r="F238" s="3" t="inlineStr">
        <is>
          <t>Σ of the itemized holding values.</t>
        </is>
      </c>
      <c r="G238" s="6" t="inlineStr">
        <is>
          <t>NOT READ YET — the body is not a shape this can render faithfully, so nothing is claimed rather than something being guessed. It needs reading by hand.</t>
        </is>
      </c>
      <c r="H238" s="3" t="inlineStr">
        <is>
          <t>NOT READ YET — the body is not a shape this can render faithfully, so nothing is claimed rather than something being guessed. It needs reading by hand.</t>
        </is>
      </c>
      <c r="I238" s="3" t="inlineStr">
        <is>
          <t>NOT READ — nothing is claimed rather than something guessed</t>
        </is>
      </c>
      <c r="J238" s="3" t="inlineStr">
        <is>
          <t>items: ItemHolding[]</t>
        </is>
      </c>
      <c r="K238" s="3" t="inlineStr">
        <is>
          <t>number</t>
        </is>
      </c>
      <c r="L238" s="3" t="inlineStr">
        <is>
          <t>"Unallocated" — on the Itemise an account screen</t>
        </is>
      </c>
      <c r="M238" s="3" t="inlineStr">
        <is>
          <t>· If value is missing it counts as zero, so nothing recorded and a real zero look the same.</t>
        </is>
      </c>
      <c r="N238" s="3" t="inlineStr">
        <is>
          <t>Yes</t>
        </is>
      </c>
      <c r="O238" s="3" t="inlineStr">
        <is>
          <t>MK-ST-F-055 round2</t>
        </is>
      </c>
      <c r="P238" s="3" t="n">
        <v>1</v>
      </c>
      <c r="Q238" s="3" t="inlineStr">
        <is>
          <t>MK-ST-F-055 round2</t>
        </is>
      </c>
      <c r="R238" s="3" t="inlineStr">
        <is>
          <t>MK-ST-F-055 round2 → MK-NW-F-049 itemizedTotal</t>
        </is>
      </c>
      <c r="S238" s="3" t="inlineStr">
        <is>
          <t>—</t>
        </is>
      </c>
      <c r="T238" s="3" t="inlineStr">
        <is>
          <t>ITEMISED_TOTAL</t>
        </is>
      </c>
      <c r="U238" s="3" t="inlineStr">
        <is>
          <t>ACTIVE</t>
        </is>
      </c>
      <c r="V238" s="3" t="inlineStr">
        <is>
          <t>2026-08-27</t>
        </is>
      </c>
    </row>
    <row r="239">
      <c r="A239" s="3" t="inlineStr">
        <is>
          <t>MK-NW-F-050</t>
        </is>
      </c>
      <c r="B239" s="3" t="inlineStr">
        <is>
          <t>itemizeRemainder</t>
        </is>
      </c>
      <c r="C239" s="3" t="inlineStr">
        <is>
          <t>src/domain/assets/itemize.ts</t>
        </is>
      </c>
      <c r="D239" s="3" t="n">
        <v>75</v>
      </c>
      <c r="E239" s="3" t="inlineStr">
        <is>
          <t>1 · ACTION</t>
        </is>
      </c>
      <c r="F239" s="3" t="inlineStr">
        <is>
          <t>Lump balance − Σ holdings.</t>
        </is>
      </c>
      <c r="G239" s="6" t="inlineStr">
        <is>
          <t>NOT READ YET — the body is not a shape this can render faithfully, so nothing is claimed rather than something being guessed. It needs reading by hand.</t>
        </is>
      </c>
      <c r="H239" s="3" t="inlineStr">
        <is>
          <t>NOT READ YET — the body is not a shape this can render faithfully, so nothing is claimed rather than something being guessed. It needs reading by hand.</t>
        </is>
      </c>
      <c r="I239" s="3" t="inlineStr">
        <is>
          <t>NOT READ — nothing is claimed rather than something guessed</t>
        </is>
      </c>
      <c r="J239" s="3" t="inlineStr">
        <is>
          <t>1. lumpBalance: number
2. items: ItemHolding[]</t>
        </is>
      </c>
      <c r="K239" s="3" t="inlineStr">
        <is>
          <t>number</t>
        </is>
      </c>
      <c r="L239" s="3" t="inlineStr">
        <is>
          <t>"Unallocated" — on the Itemise an account screen</t>
        </is>
      </c>
      <c r="M239" s="3" t="inlineStr">
        <is>
          <t>· If lump balance is missing it counts as zero, so nothing recorded and a real zero look the same.</t>
        </is>
      </c>
      <c r="N239" s="3" t="inlineStr">
        <is>
          <t>Yes</t>
        </is>
      </c>
      <c r="O239" s="3" t="inlineStr">
        <is>
          <t>1. MK-NW-F-049 itemizedTotal
2. MK-ST-F-055 round2</t>
        </is>
      </c>
      <c r="P239" s="3" t="n">
        <v>2</v>
      </c>
      <c r="Q239" s="3" t="inlineStr">
        <is>
          <t>1. MK-NW-F-049 itemizedTotal
2. MK-ST-F-055 round2</t>
        </is>
      </c>
      <c r="R239" s="3" t="inlineStr">
        <is>
          <t>1. MK-ST-F-055 round2 → MK-NW-F-049 itemizedTotal → MK-NW-F-050 itemizeRemainder
2. MK-ST-F-055 round2 → MK-NW-F-050 itemizeRemainder</t>
        </is>
      </c>
      <c r="S239" s="3" t="inlineStr">
        <is>
          <t>—</t>
        </is>
      </c>
      <c r="T239" s="3" t="inlineStr">
        <is>
          <t>ITEMISED_REMAINDER</t>
        </is>
      </c>
      <c r="U239" s="3" t="inlineStr">
        <is>
          <t>ACTIVE</t>
        </is>
      </c>
      <c r="V239" s="3" t="inlineStr">
        <is>
          <t>2026-08-27</t>
        </is>
      </c>
    </row>
    <row r="240">
      <c r="A240" s="3" t="inlineStr">
        <is>
          <t>MK-NW-F-051</t>
        </is>
      </c>
      <c r="B240" s="3" t="inlineStr">
        <is>
          <t>itemizedResultTotal</t>
        </is>
      </c>
      <c r="C240" s="3" t="inlineStr">
        <is>
          <t>src/domain/assets/itemize.ts</t>
        </is>
      </c>
      <c r="D240" s="3" t="n">
        <v>100</v>
      </c>
      <c r="E240" s="3" t="inlineStr">
        <is>
          <t>2 · DISPLAYED</t>
        </is>
      </c>
      <c r="F240" s="3" t="inlineStr">
        <is>
          <t>The account total AFTER itemizing.</t>
        </is>
      </c>
      <c r="G240" s="6" t="inlineStr">
        <is>
          <t>sum = itemized total(items)
remainder = itemize remainder(lump.balance, items)
the answer:
round(sum + remainder, 2 dp)   if keep remainder as cash and remainder &gt; 0
sum   otherwise</t>
        </is>
      </c>
      <c r="H240" s="3" t="inlineStr">
        <is>
          <t>Sum is itemized total(items). Remainder is itemize remainder(lump.balance, items). The answer is sum plus remainder, to the cent — when keep remainder as cash and remainder &gt; 0; sum — otherwise.</t>
        </is>
      </c>
      <c r="I240" s="3" t="inlineStr">
        <is>
          <t>READ FROM THE CODE — rendered from the expressions the function runs</t>
        </is>
      </c>
      <c r="J240" s="3" t="inlineStr">
        <is>
          <t>Nothing is handed to it</t>
        </is>
      </c>
      <c r="K240" s="3" t="inlineStr">
        <is>
          <t>NOT DECLARED — the code does not say what it gives back</t>
        </is>
      </c>
      <c r="L240" s="3" t="inlineStr">
        <is>
          <t>NOT FOUND — a screen calls it, but the words printed beside its answer could not be traced automatically. Needs reading.</t>
        </is>
      </c>
      <c r="M240" s="3" t="inlineStr">
        <is>
          <t>None found in this function — anything it assumes comes from the functions it depends on.</t>
        </is>
      </c>
      <c r="N240" s="3" t="inlineStr">
        <is>
          <t>Yes</t>
        </is>
      </c>
      <c r="O240" s="3" t="inlineStr">
        <is>
          <t>1. MK-NW-F-050 itemizeRemainder
2. MK-NW-F-049 itemizedTotal
3. MK-ST-F-055 round2</t>
        </is>
      </c>
      <c r="P240" s="3" t="n">
        <v>3</v>
      </c>
      <c r="Q240" s="3" t="inlineStr">
        <is>
          <t>1. MK-NW-F-050 itemizeRemainder
2. MK-NW-F-049 itemizedTotal
3. MK-ST-F-055 round2</t>
        </is>
      </c>
      <c r="R240" s="3" t="inlineStr">
        <is>
          <t>1. MK-ST-F-055 round2 → MK-NW-F-049 itemizedTotal → MK-NW-F-050 itemizeRemainder → MK-NW-F-051 itemizedResultTotal
2. MK-ST-F-055 round2 → MK-NW-F-050 itemizeRemainder → MK-NW-F-051 itemizedResultTotal
3. MK-ST-F-055 round2 → MK-NW-F-049 itemizedTotal → MK-NW-F-051 itemizedResultTotal
4. MK-ST-F-055 round2 → MK-NW-F-051 itemizedResultTotal</t>
        </is>
      </c>
      <c r="S240" s="3" t="inlineStr">
        <is>
          <t>—</t>
        </is>
      </c>
      <c r="T240" s="3" t="inlineStr">
        <is>
          <t>—</t>
        </is>
      </c>
      <c r="U240" s="3" t="inlineStr">
        <is>
          <t>ACTIVE</t>
        </is>
      </c>
      <c r="V240" s="3" t="inlineStr">
        <is>
          <t>2026-08-27</t>
        </is>
      </c>
    </row>
    <row r="241">
      <c r="A241" s="3" t="inlineStr">
        <is>
          <t>MK-NW-F-052</t>
        </is>
      </c>
      <c r="B241" s="3" t="inlineStr">
        <is>
          <t>buildItemizedAccounts</t>
        </is>
      </c>
      <c r="C241" s="3" t="inlineStr">
        <is>
          <t>src/domain/assets/itemize.ts</t>
        </is>
      </c>
      <c r="D241" s="3" t="n">
        <v>141</v>
      </c>
      <c r="E241" s="3" t="inlineStr">
        <is>
          <t>2 · DISPLAYED</t>
        </is>
      </c>
      <c r="F241" s="3" t="inlineStr">
        <is>
          <t>Build the new accounts to CREATE when committing an itemization.</t>
        </is>
      </c>
      <c r="G241" s="6" t="inlineStr">
        <is>
          <t>institution = (lump.institution or lump.label or '').trim() (or undefined when missing or zero)
bucket = lump.tax bucket
the answer = acct
remainder = itemize remainder(lump.balance, items)</t>
        </is>
      </c>
      <c r="H241" s="3" t="inlineStr">
        <is>
          <t>Institution is (lump.institution or lump.label or '').trim() (or undefined — when missing or zero). Bucket is lump.tax bucket. The answer is acct. Remainder is itemize remainder(lump.balance, items).</t>
        </is>
      </c>
      <c r="I241" s="3" t="inlineStr">
        <is>
          <t>PARTLY READ — some of the code is still showing through; needs a hand pass</t>
        </is>
      </c>
      <c r="J241" s="3" t="inlineStr">
        <is>
          <t>Nothing is handed to it</t>
        </is>
      </c>
      <c r="K241" s="3" t="inlineStr">
        <is>
          <t>NOT DECLARED — the code does not say what it gives back</t>
        </is>
      </c>
      <c r="L241" s="3" t="inlineStr">
        <is>
          <t>NOT FOUND — a screen calls it, but the words printed beside its answer could not be traced automatically. Needs reading.</t>
        </is>
      </c>
      <c r="M241" s="3" t="inlineStr">
        <is>
          <t>1. If value is missing it counts as zero, so nothing recorded and a real zero look the same.
2. If coupon rate is missing it counts as zero, so nothing recorded and a real zero look the same.</t>
        </is>
      </c>
      <c r="N241" s="3" t="inlineStr">
        <is>
          <t>Yes</t>
        </is>
      </c>
      <c r="O241" s="3" t="inlineStr">
        <is>
          <t>1. MK-NW-F-050 itemizeRemainder
2. MK-CF-F-132 map
3. MK-ST-F-055 round2</t>
        </is>
      </c>
      <c r="P241" s="3" t="n">
        <v>4</v>
      </c>
      <c r="Q241" s="3" t="inlineStr">
        <is>
          <t>1. MK-NW-F-050 itemizeRemainder
2. MK-CF-F-132 map
3. MK-ST-F-055 round2
4. MK-NW-F-049 itemizedTotal</t>
        </is>
      </c>
      <c r="R241" s="3" t="inlineStr">
        <is>
          <t>1. MK-ST-F-055 round2 → MK-NW-F-049 itemizedTotal → MK-NW-F-050 itemizeRemainder → MK-NW-F-052 buildItemizedAccounts
2. MK-ST-F-055 round2 → MK-NW-F-050 itemizeRemainder → MK-NW-F-052 buildItemizedAccounts
3. MK-CF-F-132 map → MK-NW-F-052 buildItemizedAccounts
4. MK-ST-F-055 round2 → MK-NW-F-052 buildItemizedAccounts</t>
        </is>
      </c>
      <c r="S241" s="3" t="inlineStr">
        <is>
          <t>—</t>
        </is>
      </c>
      <c r="T241" s="3" t="inlineStr">
        <is>
          <t>ITEMISE_AN_ACCOUNT</t>
        </is>
      </c>
      <c r="U241" s="3" t="inlineStr">
        <is>
          <t>ACTIVE</t>
        </is>
      </c>
      <c r="V241" s="3" t="inlineStr">
        <is>
          <t>2026-08-27</t>
        </is>
      </c>
    </row>
    <row r="242">
      <c r="A242" s="3" t="inlineStr">
        <is>
          <t>MK-NW-F-053</t>
        </is>
      </c>
      <c r="B242" s="3" t="inlineStr">
        <is>
          <t>correctClassOf</t>
        </is>
      </c>
      <c r="C242" s="3" t="inlineStr">
        <is>
          <t>src/domain/assets/reclassify.ts</t>
        </is>
      </c>
      <c r="D242" s="3" t="n">
        <v>36</v>
      </c>
      <c r="E242" s="3" t="inlineStr">
        <is>
          <t>3 · DEPENDENT (feeds an action only)</t>
        </is>
      </c>
      <c r="F242" s="3" t="inlineStr">
        <is>
          <t>The class an account SHOULD carry under the current rule.</t>
        </is>
      </c>
      <c r="G242" s="6" t="inlineStr">
        <is>
          <t>by label = income bearing class of(label)
by label   when by label
maturity class(maturity date)   when maturity date
'stocks_etf'   when kind = 'money_market'
'bonds'   when kind = 'cd'
the answer = nothing</t>
        </is>
      </c>
      <c r="H242" s="3" t="inlineStr">
        <is>
          <t>By label is income bearing class of(label). When by label, it answers by label. When maturity date, it answers maturity class(maturity date). When kind = 'money_market', it answers 'stocks_etf'. When kind = 'cd', it answers 'bonds'. The answer is no answer.</t>
        </is>
      </c>
      <c r="I242" s="3" t="inlineStr">
        <is>
          <t>READ FROM THE CODE — rendered from the expressions the function runs</t>
        </is>
      </c>
      <c r="J242" s="3" t="inlineStr">
        <is>
          <t>a: AssetAccount</t>
        </is>
      </c>
      <c r="K242" s="3" t="inlineStr">
        <is>
          <t>AssetClass | null</t>
        </is>
      </c>
      <c r="L242" s="3" t="inlineStr">
        <is>
          <t>—</t>
        </is>
      </c>
      <c r="M242" s="3" t="inlineStr">
        <is>
          <t>None found in this function — anything it assumes comes from the functions it depends on.</t>
        </is>
      </c>
      <c r="N242" s="3" t="inlineStr">
        <is>
          <t>No</t>
        </is>
      </c>
      <c r="O242" s="3" t="inlineStr">
        <is>
          <t>1. MK-NW-F-008 incomeBearingClassOf
2. MK-NW-F-009 maturityClass</t>
        </is>
      </c>
      <c r="P242" s="3" t="n">
        <v>7</v>
      </c>
      <c r="Q242" s="3" t="inlineStr">
        <is>
          <t>1. MK-NW-F-008 incomeBearingClassOf
2. MK-NW-F-009 maturityClass
3. MK-CF-F-155 cash
4. MK-ST-F-010 nameEvidence
5. MK-ST-F-055 round2
6. MK-ST-F-056 has
7. MK-CF-F-132 map</t>
        </is>
      </c>
      <c r="R242" s="3" t="inlineStr">
        <is>
          <t>1. MK-ST-F-055 round2 → MK-CF-F-155 cash → MK-NW-F-008 incomeBearingClassOf → MK-NW-F-053 correctClassOf
2. MK-ST-F-056 has → MK-ST-F-010 nameEvidence → MK-NW-F-008 incomeBearingClassOf → MK-NW-F-053 correctClassOf
3. MK-CF-F-132 map → MK-ST-F-010 nameEvidence → MK-NW-F-008 incomeBearingClassOf → MK-NW-F-053 correctClassOf
4. MK-NW-F-009 maturityClass → MK-NW-F-053 correctClassOf</t>
        </is>
      </c>
      <c r="S242" s="3" t="inlineStr">
        <is>
          <t>—</t>
        </is>
      </c>
      <c r="T242" s="3" t="inlineStr">
        <is>
          <t>—</t>
        </is>
      </c>
      <c r="U242" s="3" t="inlineStr">
        <is>
          <t>ACTIVE</t>
        </is>
      </c>
      <c r="V242" s="3" t="inlineStr">
        <is>
          <t>2026-08-27</t>
        </is>
      </c>
    </row>
    <row r="243">
      <c r="A243" s="3" t="inlineStr">
        <is>
          <t>MK-NW-F-054</t>
        </is>
      </c>
      <c r="B243" s="3" t="inlineStr">
        <is>
          <t>reclassifyAccounts</t>
        </is>
      </c>
      <c r="C243" s="3" t="inlineStr">
        <is>
          <t>src/domain/assets/reclassify.ts</t>
        </is>
      </c>
      <c r="D243" s="3" t="n">
        <v>70</v>
      </c>
      <c r="E243" s="3" t="inlineStr">
        <is>
          <t>3 · DEPENDENT (feeds an action only)</t>
        </is>
      </c>
      <c r="F243" s="3" t="inlineStr">
        <is>
          <t>NOT DETERMINED — the code carries no note saying what this is for, and it has no row in the old inventory. Needs reading.</t>
        </is>
      </c>
      <c r="G243" s="6" t="inlineStr">
        <is>
          <t>changed = 0
want = correct class of(a)
next = a
ps = (next.positions ?? []) as any[]
the answer = p</t>
        </is>
      </c>
      <c r="H243" s="3" t="inlineStr">
        <is>
          <t>Changed is 0. Want is correct class of(a). Next is a. Ps is (next.positions ?? []) as any[]. The answer is p.</t>
        </is>
      </c>
      <c r="I243" s="3" t="inlineStr">
        <is>
          <t>PARTLY READ — some of the code is still showing through; needs a hand pass</t>
        </is>
      </c>
      <c r="J243" s="3" t="inlineStr">
        <is>
          <t>accounts: AssetAccount[]</t>
        </is>
      </c>
      <c r="K243" s="3" t="inlineStr">
        <is>
          <t>NOT DECLARED — the code does not say what it gives back</t>
        </is>
      </c>
      <c r="L243" s="3" t="inlineStr">
        <is>
          <t>—</t>
        </is>
      </c>
      <c r="M243" s="3" t="inlineStr">
        <is>
          <t>· Uses a built-in changed of 0.</t>
        </is>
      </c>
      <c r="N243" s="3" t="inlineStr">
        <is>
          <t>No</t>
        </is>
      </c>
      <c r="O243" s="3" t="inlineStr">
        <is>
          <t>1. MK-NW-F-053 correctClassOf
2. MK-NW-F-008 incomeBearingClassOf
3. MK-CF-F-132 map</t>
        </is>
      </c>
      <c r="P243" s="3" t="n">
        <v>8</v>
      </c>
      <c r="Q243" s="3" t="inlineStr">
        <is>
          <t>1. MK-NW-F-053 correctClassOf
2. MK-NW-F-008 incomeBearingClassOf
3. MK-CF-F-132 map
4. MK-NW-F-009 maturityClass
5. MK-CF-F-155 cash
6. MK-ST-F-010 nameEvidence
7. MK-ST-F-055 round2
8. MK-ST-F-056 has</t>
        </is>
      </c>
      <c r="R243" s="3" t="inlineStr">
        <is>
          <t>1. MK-ST-F-055 round2 → MK-CF-F-155 cash → MK-NW-F-008 incomeBearingClassOf → MK-NW-F-053 correctClassOf → MK-NW-F-054 reclassifyAccounts
2. MK-ST-F-056 has → MK-ST-F-010 nameEvidence → MK-NW-F-008 incomeBearingClassOf → MK-NW-F-053 correctClassOf → MK-NW-F-054 reclassifyAccounts
3. MK-CF-F-132 map → MK-ST-F-010 nameEvidence → MK-NW-F-008 incomeBearingClassOf → MK-NW-F-053 correctClassOf → MK-NW-F-054 reclassifyAccounts
4. MK-NW-F-009 maturityClass → MK-NW-F-053 correctClassOf → MK-NW-F-054 reclassifyAccounts
5. MK-ST-F-055 round2 → MK-CF-F-155 cash → MK-NW-F-008 incomeBearingClassOf → MK-NW-F-054 reclassifyAccounts
6. MK-ST-F-056 has → MK-ST-F-010 nameEvidence → MK-NW-F-008 incomeBearingClassOf → MK-NW-F-054 reclassifyAccounts
7. MK-CF-F-132 map → MK-ST-F-010 nameEvidence → MK-NW-F-008 incomeBearingClassOf → MK-NW-F-054 reclassifyAccounts
8. MK-CF-F-132 map → MK-NW-F-054 reclassifyAccounts</t>
        </is>
      </c>
      <c r="S243" s="3" t="inlineStr">
        <is>
          <t>—</t>
        </is>
      </c>
      <c r="T243" s="3" t="inlineStr">
        <is>
          <t>—</t>
        </is>
      </c>
      <c r="U243" s="3" t="inlineStr">
        <is>
          <t>ACTIVE</t>
        </is>
      </c>
      <c r="V243" s="3" t="inlineStr">
        <is>
          <t>2026-08-27</t>
        </is>
      </c>
    </row>
    <row r="244">
      <c r="A244" s="3" t="inlineStr">
        <is>
          <t>MK-NW-F-055</t>
        </is>
      </c>
      <c r="B244" s="3" t="inlineStr">
        <is>
          <t>isBond</t>
        </is>
      </c>
      <c r="C244" s="3" t="inlineStr">
        <is>
          <t>src/domain/bonds/index.ts</t>
        </is>
      </c>
      <c r="D244" s="3" t="n">
        <v>28</v>
      </c>
      <c r="E244" s="3" t="inlineStr">
        <is>
          <t>2 · DISPLAYED</t>
        </is>
      </c>
      <c r="F244" s="3" t="inlineStr">
        <is>
          <t>An AssetAccount is a bond if its ASSET CLASS is bonds (spec §2: "detected by assetClass, NOT maturity date").</t>
        </is>
      </c>
      <c r="G244" s="6" t="inlineStr">
        <is>
          <t>asset class of(a) = 'bonds'</t>
        </is>
      </c>
      <c r="H244" s="3" t="inlineStr">
        <is>
          <t>asset class of(a) = 'bonds'.</t>
        </is>
      </c>
      <c r="I244" s="3" t="inlineStr">
        <is>
          <t>READ FROM THE CODE — rendered from the expressions the function runs</t>
        </is>
      </c>
      <c r="J244" s="3" t="inlineStr">
        <is>
          <t>a: AssetAccount</t>
        </is>
      </c>
      <c r="K244" s="3" t="inlineStr">
        <is>
          <t>boolean</t>
        </is>
      </c>
      <c r="L244" s="3" t="inlineStr">
        <is>
          <t>NOT FOUND — a screen calls it, but the words printed beside its answer could not be traced automatically. Needs reading.</t>
        </is>
      </c>
      <c r="M244" s="3" t="inlineStr">
        <is>
          <t>None found in this function — anything it assumes comes from the functions it depends on.</t>
        </is>
      </c>
      <c r="N244" s="3" t="inlineStr">
        <is>
          <t>Yes</t>
        </is>
      </c>
      <c r="O244" s="3" t="inlineStr">
        <is>
          <t>MK-NW-F-011 assetClassOf</t>
        </is>
      </c>
      <c r="P244" s="3" t="n">
        <v>7</v>
      </c>
      <c r="Q244" s="3" t="inlineStr">
        <is>
          <t>1. MK-NW-F-011 assetClassOf
2. MK-NW-F-008 incomeBearingClassOf
3. MK-CF-F-155 cash
4. MK-ST-F-010 nameEvidence
5. MK-ST-F-055 round2
6. MK-ST-F-056 has
7. MK-CF-F-132 map</t>
        </is>
      </c>
      <c r="R244" s="3" t="inlineStr">
        <is>
          <t>1. MK-ST-F-055 round2 → MK-CF-F-155 cash → MK-NW-F-008 incomeBearingClassOf → MK-NW-F-011 assetClassOf → MK-NW-F-055 isBond
2. MK-ST-F-056 has → MK-ST-F-010 nameEvidence → MK-NW-F-008 incomeBearingClassOf → MK-NW-F-011 assetClassOf → MK-NW-F-055 isBond
3. MK-CF-F-132 map → MK-ST-F-010 nameEvidence → MK-NW-F-008 incomeBearingClassOf → MK-NW-F-011 assetClassOf → MK-NW-F-055 isBond</t>
        </is>
      </c>
      <c r="S244" s="3" t="inlineStr">
        <is>
          <t>—</t>
        </is>
      </c>
      <c r="T244" s="3" t="inlineStr">
        <is>
          <t>IS_BOND</t>
        </is>
      </c>
      <c r="U244" s="3" t="inlineStr">
        <is>
          <t>ACTIVE</t>
        </is>
      </c>
      <c r="V244" s="3" t="inlineStr">
        <is>
          <t>2026-08-27</t>
        </is>
      </c>
    </row>
    <row r="245">
      <c r="A245" s="3" t="inlineStr">
        <is>
          <t>MK-NW-F-056</t>
        </is>
      </c>
      <c r="B245" s="3" t="inlineStr">
        <is>
          <t>bondInfo</t>
        </is>
      </c>
      <c r="C245" s="3" t="inlineStr">
        <is>
          <t>src/domain/bonds/index.ts</t>
        </is>
      </c>
      <c r="D245" s="3" t="n">
        <v>62</v>
      </c>
      <c r="E245" s="3" t="inlineStr">
        <is>
          <t>2 · DISPLAYED</t>
        </is>
      </c>
      <c r="F245" s="3" t="inlineStr">
        <is>
          <t>What are this holding's bond facts?</t>
        </is>
      </c>
      <c r="G245" s="6" t="inlineStr">
        <is>
          <t>face = face value (or 0 when missing or zero)
coupon rate = coupon rate (or 0 when missing or zero)
maturity = maturity date (or '' when missing or zero)
value = balance (or 0 when missing or zero)</t>
        </is>
      </c>
      <c r="H245" s="3" t="inlineStr">
        <is>
          <t>face = face value (or 0 — when missing or zero); coupon rate = coupon rate (or 0 — when missing or zero); maturity = maturity date (or '' — when missing or zero); value = balance (or 0 — when missing or zero).</t>
        </is>
      </c>
      <c r="I245" s="3" t="inlineStr">
        <is>
          <t>READ FROM THE CODE — rendered from the expressions the function runs</t>
        </is>
      </c>
      <c r="J245" s="3" t="inlineStr">
        <is>
          <t>a: AssetAccount</t>
        </is>
      </c>
      <c r="K245" s="3" t="inlineStr">
        <is>
          <t>BondInfo</t>
        </is>
      </c>
      <c r="L245" s="3" t="inlineStr">
        <is>
          <t>1. "Face value" — on the Account detail screen
2. "IF INTEREST RATES MOVE" — on the Account detail screen
3. "Interest payments" — on the Account detail screen
4. "Matures" — on the Account detail screen</t>
        </is>
      </c>
      <c r="M245" s="3" t="inlineStr">
        <is>
          <t>1. If face value is missing it counts as zero, so nothing recorded and a real zero look the same.
2. If coupon rate is missing it counts as zero, so nothing recorded and a real zero look the same.
3. If balance is missing it counts as zero, so nothing recorded and a real zero look the same.</t>
        </is>
      </c>
      <c r="N245" s="3" t="inlineStr">
        <is>
          <t>Yes</t>
        </is>
      </c>
      <c r="O245" s="3" t="inlineStr">
        <is>
          <t>—</t>
        </is>
      </c>
      <c r="P245" s="3" t="n">
        <v>0</v>
      </c>
      <c r="Q245" s="3" t="inlineStr">
        <is>
          <t>None — no dependent function stands behind it</t>
        </is>
      </c>
      <c r="R245" s="3" t="inlineStr">
        <is>
          <t>No dependent function — it reads its inputs and answers</t>
        </is>
      </c>
      <c r="S245" s="3" t="inlineStr">
        <is>
          <t>MK-NW-M-023 · MK-NW-M-041 · MK-NW-M-042</t>
        </is>
      </c>
      <c r="T245" s="3" t="inlineStr">
        <is>
          <t>BOND_FACTS</t>
        </is>
      </c>
      <c r="U245" s="3" t="inlineStr">
        <is>
          <t>ACTIVE</t>
        </is>
      </c>
      <c r="V245" s="3" t="inlineStr">
        <is>
          <t>2026-08-27</t>
        </is>
      </c>
    </row>
    <row r="246">
      <c r="A246" s="3" t="inlineStr">
        <is>
          <t>MK-NW-F-057</t>
        </is>
      </c>
      <c r="B246" s="3" t="inlineStr">
        <is>
          <t>annualCoupon</t>
        </is>
      </c>
      <c r="C246" s="3" t="inlineStr">
        <is>
          <t>src/domain/bonds/index.ts</t>
        </is>
      </c>
      <c r="D246" s="3" t="n">
        <v>92</v>
      </c>
      <c r="E246" s="3" t="inlineStr">
        <is>
          <t>2 · DISPLAYED</t>
        </is>
      </c>
      <c r="F246" s="3" t="inlineStr">
        <is>
          <t>Annual coupon income = face value × coupon rate (paid as cash).</t>
        </is>
      </c>
      <c r="G246" s="6" t="inlineStr">
        <is>
          <t>annual coupon = round(face value × coupon rate, 2 dp)</t>
        </is>
      </c>
      <c r="H246" s="3" t="inlineStr">
        <is>
          <t>What the bond pays in interest over a year: its face value times its stated rate. Paid semi-annually in practice; this figure is the yearly total.</t>
        </is>
      </c>
      <c r="I246" s="3" t="inlineStr">
        <is>
          <t>READ BY HAND 2026-08-26 — checked line by line against the code</t>
        </is>
      </c>
      <c r="J246" s="3" t="inlineStr">
        <is>
          <t>b: BondInfo</t>
        </is>
      </c>
      <c r="K246" s="3" t="inlineStr">
        <is>
          <t>number</t>
        </is>
      </c>
      <c r="L246" s="3" t="inlineStr">
        <is>
          <t>"Interest payments" — on the Account detail screen</t>
        </is>
      </c>
      <c r="M246" s="3" t="inlineStr">
        <is>
          <t>None found in this function — anything it assumes comes from the functions it depends on.</t>
        </is>
      </c>
      <c r="N246" s="3" t="inlineStr">
        <is>
          <t>Yes</t>
        </is>
      </c>
      <c r="O246" s="3" t="inlineStr">
        <is>
          <t>MK-ST-F-055 round2</t>
        </is>
      </c>
      <c r="P246" s="3" t="n">
        <v>1</v>
      </c>
      <c r="Q246" s="3" t="inlineStr">
        <is>
          <t>MK-ST-F-055 round2</t>
        </is>
      </c>
      <c r="R246" s="3" t="inlineStr">
        <is>
          <t>MK-ST-F-055 round2 → MK-NW-F-057 annualCoupon</t>
        </is>
      </c>
      <c r="S246" s="3" t="inlineStr">
        <is>
          <t>MK-NW-M-024 · MK-NW-M-043</t>
        </is>
      </c>
      <c r="T246" s="3" t="inlineStr">
        <is>
          <t>BOND_COUPON</t>
        </is>
      </c>
      <c r="U246" s="3" t="inlineStr">
        <is>
          <t>ACTIVE</t>
        </is>
      </c>
      <c r="V246" s="3" t="inlineStr">
        <is>
          <t>2026-08-27</t>
        </is>
      </c>
    </row>
    <row r="247">
      <c r="A247" s="3" t="inlineStr">
        <is>
          <t>MK-NW-F-058</t>
        </is>
      </c>
      <c r="B247" s="3" t="inlineStr">
        <is>
          <t>yearsToMaturity</t>
        </is>
      </c>
      <c r="C247" s="3" t="inlineStr">
        <is>
          <t>src/domain/bonds/index.ts</t>
        </is>
      </c>
      <c r="D247" s="3" t="n">
        <v>118</v>
      </c>
      <c r="E247" s="3" t="inlineStr">
        <is>
          <t>2 · DISPLAYED</t>
        </is>
      </c>
      <c r="F247" s="3" t="inlineStr">
        <is>
          <t>How long until this bond pays back?</t>
        </is>
      </c>
      <c r="G247" s="6" t="inlineStr">
        <is>
          <t>years to maturity = max(0, (maturity date − today) ÷ 365.25 days)</t>
        </is>
      </c>
      <c r="H247" s="3" t="inlineStr">
        <is>
          <t>How long until the bond repays, as a fraction of a year, never negative. Uses 365.25 days — the master file says 365, which is finding A31.</t>
        </is>
      </c>
      <c r="I247" s="3" t="inlineStr">
        <is>
          <t>READ BY HAND 2026-08-26 — checked line by line against the code</t>
        </is>
      </c>
      <c r="J247" s="3" t="inlineStr">
        <is>
          <t>1. maturity: string
2. now: Date = new Date()</t>
        </is>
      </c>
      <c r="K247" s="3" t="inlineStr">
        <is>
          <t>number</t>
        </is>
      </c>
      <c r="L247" s="3" t="inlineStr">
        <is>
          <t>"Matures" — on the Account detail screen</t>
        </is>
      </c>
      <c r="M247" s="3" t="inlineStr">
        <is>
          <t>· Uses today's date from the device clock, so the answer changes by itself overnight.</t>
        </is>
      </c>
      <c r="N247" s="3" t="inlineStr">
        <is>
          <t>Yes</t>
        </is>
      </c>
      <c r="O247" s="3" t="inlineStr">
        <is>
          <t>—</t>
        </is>
      </c>
      <c r="P247" s="3" t="n">
        <v>0</v>
      </c>
      <c r="Q247" s="3" t="inlineStr">
        <is>
          <t>None — no dependent function stands behind it</t>
        </is>
      </c>
      <c r="R247" s="3" t="inlineStr">
        <is>
          <t>No dependent function — it reads its inputs and answers</t>
        </is>
      </c>
      <c r="S247" s="3" t="inlineStr">
        <is>
          <t>MK-NW-M-025</t>
        </is>
      </c>
      <c r="T247" s="3" t="inlineStr">
        <is>
          <t>BOND_YEARS_LEFT</t>
        </is>
      </c>
      <c r="U247" s="3" t="inlineStr">
        <is>
          <t>ACTIVE</t>
        </is>
      </c>
      <c r="V247" s="3" t="inlineStr">
        <is>
          <t>2026-08-27</t>
        </is>
      </c>
    </row>
    <row r="248">
      <c r="A248" s="3" t="inlineStr">
        <is>
          <t>MK-NW-F-059</t>
        </is>
      </c>
      <c r="B248" s="3" t="inlineStr">
        <is>
          <t>currentYield</t>
        </is>
      </c>
      <c r="C248" s="3" t="inlineStr">
        <is>
          <t>src/domain/bonds/index.ts</t>
        </is>
      </c>
      <c r="D248" s="3" t="n">
        <v>142</v>
      </c>
      <c r="E248" s="3" t="inlineStr">
        <is>
          <t>2 · DISPLAYED</t>
        </is>
      </c>
      <c r="F248" s="3" t="inlineStr">
        <is>
          <t>Current yield = annual coupon ÷ current price/value.</t>
        </is>
      </c>
      <c r="G248" s="6" t="inlineStr">
        <is>
          <t>current yield = round(annual coupon ÷ current value, 4 dp)</t>
        </is>
      </c>
      <c r="H248" s="3" t="inlineStr">
        <is>
          <t>The interest a year as a share of what the bond is worth now. If the recorded value is a dirty price it carries accrued interest, and the yield reads low — the file does not say which it is.</t>
        </is>
      </c>
      <c r="I248" s="3" t="inlineStr">
        <is>
          <t>READ BY HAND 2026-08-26 — checked line by line against the code</t>
        </is>
      </c>
      <c r="J248" s="3" t="inlineStr">
        <is>
          <t>b: BondInfo</t>
        </is>
      </c>
      <c r="K248" s="3" t="inlineStr">
        <is>
          <t>number | null</t>
        </is>
      </c>
      <c r="L248" s="3" t="inlineStr">
        <is>
          <t>"Yield on today" — on the Account detail screen</t>
        </is>
      </c>
      <c r="M248" s="3" t="inlineStr">
        <is>
          <t>· Rounds the answer to a whole number.</t>
        </is>
      </c>
      <c r="N248" s="3" t="inlineStr">
        <is>
          <t>Yes</t>
        </is>
      </c>
      <c r="O248" s="3" t="inlineStr">
        <is>
          <t>MK-NW-F-057 annualCoupon</t>
        </is>
      </c>
      <c r="P248" s="3" t="n">
        <v>2</v>
      </c>
      <c r="Q248" s="3" t="inlineStr">
        <is>
          <t>1. MK-NW-F-057 annualCoupon
2. MK-ST-F-055 round2</t>
        </is>
      </c>
      <c r="R248" s="3" t="inlineStr">
        <is>
          <t>MK-ST-F-055 round2 → MK-NW-F-057 annualCoupon → MK-NW-F-059 currentYield</t>
        </is>
      </c>
      <c r="S248" s="3" t="inlineStr">
        <is>
          <t>MK-NW-M-027 · MK-NW-M-044</t>
        </is>
      </c>
      <c r="T248" s="3" t="inlineStr">
        <is>
          <t>BOND_CURRENT_YIELD</t>
        </is>
      </c>
      <c r="U248" s="3" t="inlineStr">
        <is>
          <t>ACTIVE</t>
        </is>
      </c>
      <c r="V248" s="3" t="inlineStr">
        <is>
          <t>2026-08-27</t>
        </is>
      </c>
    </row>
    <row r="249">
      <c r="A249" s="3" t="inlineStr">
        <is>
          <t>MK-NW-F-060</t>
        </is>
      </c>
      <c r="B249" s="3" t="inlineStr">
        <is>
          <t>approxYTM</t>
        </is>
      </c>
      <c r="C249" s="3" t="inlineStr">
        <is>
          <t>src/domain/bonds/index.ts</t>
        </is>
      </c>
      <c r="D249" s="3" t="n">
        <v>172</v>
      </c>
      <c r="E249" s="3" t="inlineStr">
        <is>
          <t>2 · DISPLAYED</t>
        </is>
      </c>
      <c r="F249" s="3" t="inlineStr">
        <is>
          <t>Approximate yield to maturity (standard approximation), decimal.</t>
        </is>
      </c>
      <c r="G249" s="6" t="inlineStr">
        <is>
          <t>yield to maturity ≈ round( (annual coupon + (face − value) ÷ years left)
                           ÷ ((face + value) ÷ 2), 4 dp )</t>
        </is>
      </c>
      <c r="H249"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49" s="3" t="inlineStr">
        <is>
          <t>READ BY HAND 2026-08-26 — checked line by line against the code</t>
        </is>
      </c>
      <c r="J249" s="3" t="inlineStr">
        <is>
          <t>1. b: BondInfo
2. now: Date = new Date()</t>
        </is>
      </c>
      <c r="K249" s="3" t="inlineStr">
        <is>
          <t>number | null</t>
        </is>
      </c>
      <c r="L249" s="3" t="inlineStr">
        <is>
          <t>"Yield if held to maturity" — on the Account detail screen</t>
        </is>
      </c>
      <c r="M249" s="3" t="inlineStr">
        <is>
          <t>1. Uses today's date from the device clock, so the answer changes by itself overnight.
2. Rounds the answer to a whole number.</t>
        </is>
      </c>
      <c r="N249" s="3" t="inlineStr">
        <is>
          <t>Yes</t>
        </is>
      </c>
      <c r="O249" s="3" t="inlineStr">
        <is>
          <t>1. MK-NW-F-057 annualCoupon
2. MK-NW-F-058 yearsToMaturity</t>
        </is>
      </c>
      <c r="P249" s="3" t="n">
        <v>3</v>
      </c>
      <c r="Q249" s="3" t="inlineStr">
        <is>
          <t>1. MK-NW-F-057 annualCoupon
2. MK-NW-F-058 yearsToMaturity
3. MK-ST-F-055 round2</t>
        </is>
      </c>
      <c r="R249" s="3" t="inlineStr">
        <is>
          <t>1. MK-ST-F-055 round2 → MK-NW-F-057 annualCoupon → MK-NW-F-060 approxYTM
2. MK-NW-F-058 yearsToMaturity → MK-NW-F-060 approxYTM</t>
        </is>
      </c>
      <c r="S249" s="3" t="inlineStr">
        <is>
          <t>MK-NW-M-026</t>
        </is>
      </c>
      <c r="T249" s="3" t="inlineStr">
        <is>
          <t>BOND_YIELD_TO_MATURITY</t>
        </is>
      </c>
      <c r="U249" s="3" t="inlineStr">
        <is>
          <t>ACTIVE</t>
        </is>
      </c>
      <c r="V249" s="3" t="inlineStr">
        <is>
          <t>2026-08-27</t>
        </is>
      </c>
    </row>
    <row r="250">
      <c r="A250" s="3" t="inlineStr">
        <is>
          <t>MK-NW-F-061</t>
        </is>
      </c>
      <c r="B250" s="3" t="inlineStr">
        <is>
          <t>bondSummary</t>
        </is>
      </c>
      <c r="C250" s="3" t="inlineStr">
        <is>
          <t>src/domain/bonds/index.ts</t>
        </is>
      </c>
      <c r="D250" s="3" t="n">
        <v>217</v>
      </c>
      <c r="E250" s="3" t="inlineStr">
        <is>
          <t>2 · DISPLAYED</t>
        </is>
      </c>
      <c r="F250" s="3" t="inlineStr">
        <is>
          <t>NOT DETERMINED — the code carries no note saying what this is for, and it has no row in the old inventory. Needs reading.</t>
        </is>
      </c>
      <c r="G250" s="6" t="inlineStr">
        <is>
          <t>list = bonds (or none when missing)
total value = round(Σ over list of (value), 2 dp)
total face = round(Σ over list of (face), 2 dp)
coupon = round(Σ over list of (annual coupon(each)), 2 dp)
avg yield = round(coupon ÷ total value, 4 dp)   if total value &gt; 0
nothing   otherwise
future = for each of list: maturity where boolean where the date each).get time() ≥ now.get time(, in order
the answer:
count = count of list
total value = total value
total face = total face
annual coupon = coupon
avg yield = avg yield
next maturity = the first of future (or nothing when missing)</t>
        </is>
      </c>
      <c r="H250" s="3" t="inlineStr">
        <is>
          <t>List is bonds (or none — when missing). Total value: the value added up across list, to the cent. Total face: the face added up across list, to the cent. Coupon: the annual coupon(each added up across list), to the cent. Avg yield is coupon divided by total value, to 4 decimal places — when total value &gt; 0; no answer — otherwise. Future is for each of list: maturity where boolean where the date each).get time() is at least now.get time(, in order. The answer is count = how many list there are; total value = total value; total face = total face; annual coupon = coupon; avg yield = avg yield; next maturity = the first of future (or no answer — when missing).</t>
        </is>
      </c>
      <c r="I250" s="3" t="inlineStr">
        <is>
          <t>PARTLY READ — some of the code is still showing through; needs a hand pass</t>
        </is>
      </c>
      <c r="J250" s="3" t="inlineStr">
        <is>
          <t>1. bonds: BondInfo[]
2. now: Date = new Date()</t>
        </is>
      </c>
      <c r="K250" s="3" t="inlineStr">
        <is>
          <t>BondSummary</t>
        </is>
      </c>
      <c r="L250" s="3" t="inlineStr">
        <is>
          <t>1. "AVG YIELD" — on the Bonds screen, under "BONDS &amp; CDS"
2. "COUPON / YR" — on the Bonds screen, under "BONDS &amp; CDS"
3. "NEXT MATURITY" — on the Bonds screen, under "BONDS &amp; CDS"</t>
        </is>
      </c>
      <c r="M250" s="3" t="inlineStr">
        <is>
          <t>1. Uses today's date from the device clock, so the answer changes by itself overnight.
2. Rounds the answer to a whole number.
3. Leaves some rows out of the answer — check which.</t>
        </is>
      </c>
      <c r="N250" s="3" t="inlineStr">
        <is>
          <t>Yes</t>
        </is>
      </c>
      <c r="O250" s="3" t="inlineStr">
        <is>
          <t>1. MK-NW-F-057 annualCoupon
2. MK-CF-F-132 map
3. MK-ST-F-055 round2</t>
        </is>
      </c>
      <c r="P250" s="3" t="n">
        <v>3</v>
      </c>
      <c r="Q250" s="3" t="inlineStr">
        <is>
          <t>1. MK-NW-F-057 annualCoupon
2. MK-CF-F-132 map
3. MK-ST-F-055 round2</t>
        </is>
      </c>
      <c r="R250" s="3" t="inlineStr">
        <is>
          <t>1. MK-ST-F-055 round2 → MK-NW-F-057 annualCoupon → MK-NW-F-061 bondSummary
2. MK-CF-F-132 map → MK-NW-F-061 bondSummary
3. MK-ST-F-055 round2 → MK-NW-F-061 bondSummary</t>
        </is>
      </c>
      <c r="S250" s="3" t="inlineStr">
        <is>
          <t>—</t>
        </is>
      </c>
      <c r="T250" s="3" t="inlineStr">
        <is>
          <t>—</t>
        </is>
      </c>
      <c r="U250" s="3" t="inlineStr">
        <is>
          <t>ACTIVE</t>
        </is>
      </c>
      <c r="V250" s="3" t="inlineStr">
        <is>
          <t>2026-08-27</t>
        </is>
      </c>
    </row>
    <row r="251">
      <c r="A251" s="3" t="inlineStr">
        <is>
          <t>MK-NW-F-062</t>
        </is>
      </c>
      <c r="B251" s="3" t="inlineStr">
        <is>
          <t>couponIncomeAnnual</t>
        </is>
      </c>
      <c r="C251" s="3" t="inlineStr">
        <is>
          <t>src/domain/bonds/index.ts</t>
        </is>
      </c>
      <c r="D251" s="3" t="n">
        <v>246</v>
      </c>
      <c r="E251" s="3" t="inlineStr">
        <is>
          <t>3 · DEPENDENT (feeds an action only)</t>
        </is>
      </c>
      <c r="F251" s="3" t="inlineStr">
        <is>
          <t>Total annual coupon income across the user's INDIVIDUAL bonds (kept for the Bonds screen summary).</t>
        </is>
      </c>
      <c r="G251" s="6" t="inlineStr">
        <is>
          <t>round(Σ over accounts (or none when missing) where is bond of (annual coupon(bond info(each))), 2 dp)</t>
        </is>
      </c>
      <c r="H251" s="3" t="inlineStr">
        <is>
          <t>the annual coupon(bond info(each added up across accounts (or none — when missing) where is bond)), to the cent.</t>
        </is>
      </c>
      <c r="I251" s="3" t="inlineStr">
        <is>
          <t>READ FROM THE CODE — rendered from the expressions the function runs</t>
        </is>
      </c>
      <c r="J251" s="3" t="inlineStr">
        <is>
          <t>accounts: AssetAccount[]</t>
        </is>
      </c>
      <c r="K251" s="3" t="inlineStr">
        <is>
          <t>number</t>
        </is>
      </c>
      <c r="L251" s="3" t="inlineStr">
        <is>
          <t>—</t>
        </is>
      </c>
      <c r="M251" s="3" t="inlineStr">
        <is>
          <t>1. Uses a built-in d e f a u l t b o n d y i e l d of 4.2%.
2. Leaves some rows out of the answer — check which.</t>
        </is>
      </c>
      <c r="N251" s="3" t="inlineStr">
        <is>
          <t>No</t>
        </is>
      </c>
      <c r="O251" s="3" t="inlineStr">
        <is>
          <t>1. MK-NW-F-057 annualCoupon
2. MK-NW-F-056 bondInfo
3. MK-ST-F-055 round2</t>
        </is>
      </c>
      <c r="P251" s="3" t="n">
        <v>3</v>
      </c>
      <c r="Q251" s="3" t="inlineStr">
        <is>
          <t>1. MK-NW-F-057 annualCoupon
2. MK-NW-F-056 bondInfo
3. MK-ST-F-055 round2</t>
        </is>
      </c>
      <c r="R251" s="3" t="inlineStr">
        <is>
          <t>1. MK-ST-F-055 round2 → MK-NW-F-057 annualCoupon → MK-NW-F-062 couponIncomeAnnual
2. MK-NW-F-056 bondInfo → MK-NW-F-062 couponIncomeAnnual
3. MK-ST-F-055 round2 → MK-NW-F-062 couponIncomeAnnual</t>
        </is>
      </c>
      <c r="S251" s="3" t="inlineStr">
        <is>
          <t>—</t>
        </is>
      </c>
      <c r="T251" s="3" t="inlineStr">
        <is>
          <t>—</t>
        </is>
      </c>
      <c r="U251" s="3" t="inlineStr">
        <is>
          <t>ACTIVE</t>
        </is>
      </c>
      <c r="V251" s="3" t="inlineStr">
        <is>
          <t>2026-08-27</t>
        </is>
      </c>
    </row>
    <row r="252">
      <c r="A252" s="3" t="inlineStr">
        <is>
          <t>MK-NW-F-063</t>
        </is>
      </c>
      <c r="B252" s="3" t="inlineStr">
        <is>
          <t>interestIncomeAnnual</t>
        </is>
      </c>
      <c r="C252" s="3" t="inlineStr">
        <is>
          <t>src/domain/bonds/index.ts</t>
        </is>
      </c>
      <c r="D252" s="3" t="n">
        <v>286</v>
      </c>
      <c r="E252" s="3" t="inlineStr">
        <is>
          <t>3 · DEPENDENT (feeds an action only)</t>
        </is>
      </c>
      <c r="F252" s="3" t="inlineStr">
        <is>
          <t>Canonical annual INTEREST income across all interest-bearing holdings (Term #6).</t>
        </is>
      </c>
      <c r="G252" s="6" t="inlineStr">
        <is>
          <t>cls = asset class of(a)
coupon = (coupon rate or 0) × (face value or 0)
t + coupon   when coupon &gt; 0
t + (balance or 0) × (coupon rate as number)   when (coupon rate or 0) &gt; 0
yld = target return   if target return and target return &gt; 0
DEFAULT_BOND_YIELD   otherwise
the answer = t + (balance or 0) × yld</t>
        </is>
      </c>
      <c r="H252" s="3" t="inlineStr">
        <is>
          <t>Cls is asset class of(a). Coupon is (coupon rate or 0) times (face value or 0). When coupon &gt; 0, it answers t plus coupon. When (coupon rate or 0) &gt; 0, it answers t plus (balance or 0) times (coupon rate as number). Yld is target return — when target return and target return &gt; 0; DEFAULT_BOND_YIELD — otherwise. The answer is t plus (balance or 0) times yld.</t>
        </is>
      </c>
      <c r="I252" s="3" t="inlineStr">
        <is>
          <t>READ FROM THE CODE — rendered from the expressions the function runs</t>
        </is>
      </c>
      <c r="J252" s="3" t="inlineStr">
        <is>
          <t>accounts: AssetAccount[]</t>
        </is>
      </c>
      <c r="K252" s="3" t="inlineStr">
        <is>
          <t>number</t>
        </is>
      </c>
      <c r="L252" s="3" t="inlineStr">
        <is>
          <t>—</t>
        </is>
      </c>
      <c r="M252" s="3" t="inlineStr">
        <is>
          <t>1. If coupon rate is missing it counts as zero, so nothing recorded and a real zero look the same.
2. If face value is missing it counts as zero, so nothing recorded and a real zero look the same.
3. If balance is missing it counts as zero, so nothing recorded and a real zero look the same.</t>
        </is>
      </c>
      <c r="N252" s="3" t="inlineStr">
        <is>
          <t>No</t>
        </is>
      </c>
      <c r="O252" s="3" t="inlineStr">
        <is>
          <t>1. MK-NW-F-011 assetClassOf
2. MK-ST-F-055 round2</t>
        </is>
      </c>
      <c r="P252" s="3" t="n">
        <v>7</v>
      </c>
      <c r="Q252" s="3" t="inlineStr">
        <is>
          <t>1. MK-NW-F-011 assetClassOf
2. MK-ST-F-055 round2
3. MK-NW-F-008 incomeBearingClassOf
4. MK-CF-F-155 cash
5. MK-ST-F-010 nameEvidence
6. MK-ST-F-056 has
7. MK-CF-F-132 map</t>
        </is>
      </c>
      <c r="R252" s="3" t="inlineStr">
        <is>
          <t>1. MK-ST-F-055 round2 → MK-CF-F-155 cash → MK-NW-F-008 incomeBearingClassOf → MK-NW-F-011 assetClassOf → MK-NW-F-063 interestIncomeAnnual
2. MK-ST-F-056 has → MK-ST-F-010 nameEvidence → MK-NW-F-008 incomeBearingClassOf → MK-NW-F-011 assetClassOf → MK-NW-F-063 interestIncomeAnnual
3. MK-CF-F-132 map → MK-ST-F-010 nameEvidence → MK-NW-F-008 incomeBearingClassOf → MK-NW-F-011 assetClassOf → MK-NW-F-063 interestIncomeAnnual
4. MK-ST-F-055 round2 → MK-NW-F-063 interestIncomeAnnual</t>
        </is>
      </c>
      <c r="S252" s="3" t="inlineStr">
        <is>
          <t>—</t>
        </is>
      </c>
      <c r="T252" s="3" t="inlineStr">
        <is>
          <t>—</t>
        </is>
      </c>
      <c r="U252" s="3" t="inlineStr">
        <is>
          <t>ACTIVE</t>
        </is>
      </c>
      <c r="V252" s="3" t="inlineStr">
        <is>
          <t>2026-08-28</t>
        </is>
      </c>
    </row>
    <row r="253">
      <c r="A253" s="3" t="inlineStr">
        <is>
          <t>MK-NW-F-064</t>
        </is>
      </c>
      <c r="B253" s="3" t="inlineStr">
        <is>
          <t>bondRateSensitivity</t>
        </is>
      </c>
      <c r="C253" s="3" t="inlineStr">
        <is>
          <t>src/domain/bonds/index.ts</t>
        </is>
      </c>
      <c r="D253" s="3" t="n">
        <v>378</v>
      </c>
      <c r="E253" s="3" t="inlineStr">
        <is>
          <t>2 · DISPLAYED</t>
        </is>
      </c>
      <c r="F253" s="3" t="inlineStr">
        <is>
          <t>What happens to this bond if interest rates move?</t>
        </is>
      </c>
      <c r="G253" s="6" t="inlineStr">
        <is>
          <t>ytm = approx ytm(b, now)
nothing   when ytm = nothing (or face ≤ 0 (or coupon rate ≤ 0 when missing or zero) when missing or zero)
v = price at yield(b, math.max(0.0001, ytm + delta), now)
the answer:
rates up = move(0.01)
rates down = move(-0.01)</t>
        </is>
      </c>
      <c r="H253" s="3" t="inlineStr">
        <is>
          <t>Ytm is approx ytm(b, now). When ytm is missing (or face is at most 0 (or coupon rate is at most 0 — when missing or zero) — when missing or zero), it answers no answer. V is price at yield(b, math.the larger of 0.0001 and ytm plus delta, now). The answer is rates up = move(0.01); rates down = move(-0.01).</t>
        </is>
      </c>
      <c r="I253" s="3" t="inlineStr">
        <is>
          <t>PARTLY READ — some of the code is still showing through; needs a hand pass</t>
        </is>
      </c>
      <c r="J253" s="3" t="inlineStr">
        <is>
          <t>1. b: BondInfo
2. now: Date = new Date()</t>
        </is>
      </c>
      <c r="K253" s="3" t="inlineStr">
        <is>
          <t>RateSensitivity | null</t>
        </is>
      </c>
      <c r="L253" s="3" t="inlineStr">
        <is>
          <t>"IF INTEREST RATES MOVE" — on the Account detail screen</t>
        </is>
      </c>
      <c r="M253" s="3" t="inlineStr">
        <is>
          <t>1. Applies a built-in rate of 99% to v.
2. Uses today's date from the device clock, so the answer changes by itself overnight.
3. Rounds the answer to a whole number.</t>
        </is>
      </c>
      <c r="N253" s="3" t="inlineStr">
        <is>
          <t>Yes</t>
        </is>
      </c>
      <c r="O253" s="3" t="inlineStr">
        <is>
          <t>1. MK-NW-F-060 approxYTM
2. MK-NW-F-069 priceAtYield</t>
        </is>
      </c>
      <c r="P253" s="3" t="n">
        <v>5</v>
      </c>
      <c r="Q253" s="3" t="inlineStr">
        <is>
          <t>1. MK-NW-F-060 approxYTM
2. MK-NW-F-069 priceAtYield
3. MK-NW-F-057 annualCoupon
4. MK-NW-F-058 yearsToMaturity
5. MK-ST-F-055 round2</t>
        </is>
      </c>
      <c r="R253" s="3" t="inlineStr">
        <is>
          <t>1. MK-ST-F-055 round2 → MK-NW-F-057 annualCoupon → MK-NW-F-060 approxYTM → MK-NW-F-064 bondRateSensitivity
2. MK-NW-F-058 yearsToMaturity → MK-NW-F-060 approxYTM → MK-NW-F-064 bondRateSensitivity
3. MK-ST-F-055 round2 → MK-NW-F-057 annualCoupon → MK-NW-F-069 priceAtYield → MK-NW-F-064 bondRateSensitivity
4. MK-NW-F-058 yearsToMaturity → MK-NW-F-069 priceAtYield → MK-NW-F-064 bondRateSensitivity</t>
        </is>
      </c>
      <c r="S253" s="3" t="inlineStr">
        <is>
          <t>—</t>
        </is>
      </c>
      <c r="T253" s="3" t="inlineStr">
        <is>
          <t>IF_RATES_MOVE</t>
        </is>
      </c>
      <c r="U253" s="3" t="inlineStr">
        <is>
          <t>ACTIVE</t>
        </is>
      </c>
      <c r="V253" s="3" t="inlineStr">
        <is>
          <t>2026-08-27</t>
        </is>
      </c>
    </row>
    <row r="254">
      <c r="A254" s="3" t="inlineStr">
        <is>
          <t>MK-NW-F-065</t>
        </is>
      </c>
      <c r="B254" s="3" t="inlineStr">
        <is>
          <t>buildNetWorth</t>
        </is>
      </c>
      <c r="C254" s="3" t="inlineStr">
        <is>
          <t>src/domain/networth/index.ts</t>
        </is>
      </c>
      <c r="D254" s="3" t="n">
        <v>32</v>
      </c>
      <c r="E254" s="3" t="inlineStr">
        <is>
          <t>2 · DISPLAYED</t>
        </is>
      </c>
      <c r="F254" s="3" t="inlineStr">
        <is>
          <t>What is this household worth?</t>
        </is>
      </c>
      <c r="G254" s="6" t="inlineStr">
        <is>
          <t>gross assets = round(assets total, 2 dp)
gross debt   = round(debt total, 2 dp)
net worth    = round(assets total − debt total, 2 dp)</t>
        </is>
      </c>
      <c r="H254"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54" s="3" t="inlineStr">
        <is>
          <t>READ BY HAND 2026-08-26 — checked line by line against the code</t>
        </is>
      </c>
      <c r="J254" s="3" t="inlineStr">
        <is>
          <t>1. uid: UserId
2. grossAssets: number
3. grossDebt: number</t>
        </is>
      </c>
      <c r="K254" s="3" t="inlineStr">
        <is>
          <t>NetWorthState</t>
        </is>
      </c>
      <c r="L254" s="3" t="inlineStr">
        <is>
          <t>"Net worth so far" — on the Net worth screen, under "EMERGENCY CUSHION"</t>
        </is>
      </c>
      <c r="M254" s="3" t="inlineStr">
        <is>
          <t>None found in this function — anything it assumes comes from the functions it depends on.</t>
        </is>
      </c>
      <c r="N254" s="3" t="inlineStr">
        <is>
          <t>Yes</t>
        </is>
      </c>
      <c r="O254" s="3" t="inlineStr">
        <is>
          <t>MK-ST-F-055 round2</t>
        </is>
      </c>
      <c r="P254" s="3" t="n">
        <v>1</v>
      </c>
      <c r="Q254" s="3" t="inlineStr">
        <is>
          <t>MK-ST-F-055 round2</t>
        </is>
      </c>
      <c r="R254" s="3" t="inlineStr">
        <is>
          <t>MK-ST-F-055 round2 → MK-NW-F-065 buildNetWorth</t>
        </is>
      </c>
      <c r="S254" s="3" t="inlineStr">
        <is>
          <t>MK-NW-M-016 · MK-XS-M-001</t>
        </is>
      </c>
      <c r="T254" s="3" t="inlineStr">
        <is>
          <t>NET_WORTH</t>
        </is>
      </c>
      <c r="U254" s="3" t="inlineStr">
        <is>
          <t>ACTIVE</t>
        </is>
      </c>
      <c r="V254" s="3" t="inlineStr">
        <is>
          <t>2026-08-27</t>
        </is>
      </c>
    </row>
    <row r="255">
      <c r="A255" s="3" t="inlineStr">
        <is>
          <t>MK-NW-F-066</t>
        </is>
      </c>
      <c r="B255" s="3" t="inlineStr">
        <is>
          <t>sumWhere</t>
        </is>
      </c>
      <c r="C255" s="3" t="inlineStr">
        <is>
          <t>src/domain/assets/index.ts</t>
        </is>
      </c>
      <c r="D255" s="3" t="n">
        <v>583</v>
      </c>
      <c r="E255" s="3" t="inlineStr">
        <is>
          <t>3 · DEPENDENT</t>
        </is>
      </c>
      <c r="F255" s="3" t="inlineStr">
        <is>
          <t>── Canonical asset totals (Term #2/#3/#4) ──────────────────────────────────── THE single source for each total — screens read these, never re-sum inline.</t>
        </is>
      </c>
      <c r="G255" s="6" t="inlineStr">
        <is>
          <t>round(Σ over accounts (or none when missing) where pred of (balance (or 0 when missing or zero)), 2 dp)</t>
        </is>
      </c>
      <c r="H255" s="3" t="inlineStr">
        <is>
          <t>the balance (or 0 — when missing or zero added up across accounts (or none — when missing) where pred), to the cent.</t>
        </is>
      </c>
      <c r="I255" s="3" t="inlineStr">
        <is>
          <t>READ FROM THE CODE — rendered from the expressions the function runs</t>
        </is>
      </c>
      <c r="J255" s="3" t="inlineStr">
        <is>
          <t>1. accounts: AssetAccount[]
2. pred: (a: AssetAccount) =&gt; boolean</t>
        </is>
      </c>
      <c r="K255" s="3" t="inlineStr">
        <is>
          <t>number</t>
        </is>
      </c>
      <c r="L255" s="3" t="inlineStr">
        <is>
          <t>—</t>
        </is>
      </c>
      <c r="M255" s="3" t="inlineStr">
        <is>
          <t>1. If balance is missing it counts as zero, so nothing recorded and a real zero look the same.
2. Leaves some rows out of the answer — check which.</t>
        </is>
      </c>
      <c r="N255" s="3" t="inlineStr">
        <is>
          <t>Yes</t>
        </is>
      </c>
      <c r="O255" s="3" t="inlineStr">
        <is>
          <t>MK-ST-F-055 round2</t>
        </is>
      </c>
      <c r="P255" s="3" t="n">
        <v>1</v>
      </c>
      <c r="Q255" s="3" t="inlineStr">
        <is>
          <t>MK-ST-F-055 round2</t>
        </is>
      </c>
      <c r="R255" s="3" t="inlineStr">
        <is>
          <t>MK-ST-F-055 round2 → MK-NW-F-066 sumWhere</t>
        </is>
      </c>
      <c r="S255" s="3" t="inlineStr">
        <is>
          <t>—</t>
        </is>
      </c>
      <c r="T255" s="3" t="inlineStr">
        <is>
          <t>—</t>
        </is>
      </c>
      <c r="U255" s="3" t="inlineStr">
        <is>
          <t>ACTIVE</t>
        </is>
      </c>
      <c r="V255" s="3" t="inlineStr">
        <is>
          <t>2026-08-27</t>
        </is>
      </c>
    </row>
    <row r="256">
      <c r="A256" s="3" t="inlineStr">
        <is>
          <t>MK-NW-F-067</t>
        </is>
      </c>
      <c r="B256" s="3" t="inlineStr">
        <is>
          <t>plural</t>
        </is>
      </c>
      <c r="C256" s="3" t="inlineStr">
        <is>
          <t>src/domain/assets/index.ts</t>
        </is>
      </c>
      <c r="D256" s="3" t="n">
        <v>1078</v>
      </c>
      <c r="E256" s="3" t="inlineStr">
        <is>
          <t>1 · ACTION</t>
        </is>
      </c>
      <c r="F256" s="3" t="inlineStr">
        <is>
          <t>NOT DETERMINED — the code carries no note saying what this is for, and it has no row in the old inventory. Needs reading.</t>
        </is>
      </c>
      <c r="G256" s="6" t="inlineStr">
        <is>
          <t>NOT READ YET — the body is not a shape this can render faithfully, so nothing is claimed rather than something being guessed. It needs reading by hand.</t>
        </is>
      </c>
      <c r="H256" s="3" t="inlineStr">
        <is>
          <t>NOT READ YET — the body is not a shape this can render faithfully, so nothing is claimed rather than something being guessed. It needs reading by hand.</t>
        </is>
      </c>
      <c r="I256" s="3" t="inlineStr">
        <is>
          <t>NOT READ — nothing is claimed rather than something guessed</t>
        </is>
      </c>
      <c r="J256" s="3" t="inlineStr">
        <is>
          <t>1. n: number
2. one: string
3. many = `${one}s`</t>
        </is>
      </c>
      <c r="K256" s="3" t="inlineStr">
        <is>
          <t>many}`;</t>
        </is>
      </c>
      <c r="L256" s="3" t="inlineStr">
        <is>
          <t>—</t>
        </is>
      </c>
      <c r="M256" s="3" t="inlineStr">
        <is>
          <t>None found in this function — anything it assumes comes from the functions it depends on.</t>
        </is>
      </c>
      <c r="N256" s="3" t="inlineStr">
        <is>
          <t>Yes</t>
        </is>
      </c>
      <c r="O256" s="3" t="inlineStr">
        <is>
          <t>—</t>
        </is>
      </c>
      <c r="P256" s="3" t="n">
        <v>0</v>
      </c>
      <c r="Q256" s="3" t="inlineStr">
        <is>
          <t>None — no dependent function stands behind it</t>
        </is>
      </c>
      <c r="R256" s="3" t="inlineStr">
        <is>
          <t>No dependent function — it reads its inputs and answers</t>
        </is>
      </c>
      <c r="S256" s="3" t="inlineStr">
        <is>
          <t>—</t>
        </is>
      </c>
      <c r="T256" s="3" t="inlineStr">
        <is>
          <t>—</t>
        </is>
      </c>
      <c r="U256" s="3" t="inlineStr">
        <is>
          <t>ACTIVE</t>
        </is>
      </c>
      <c r="V256" s="3" t="inlineStr">
        <is>
          <t>2026-08-27</t>
        </is>
      </c>
    </row>
    <row r="257">
      <c r="A257" s="3" t="inlineStr">
        <is>
          <t>MK-NW-F-068</t>
        </is>
      </c>
      <c r="B257" s="3" t="inlineStr">
        <is>
          <t>prettyDay</t>
        </is>
      </c>
      <c r="C257" s="3" t="inlineStr">
        <is>
          <t>src/domain/assets/index.ts</t>
        </is>
      </c>
      <c r="D257" s="3" t="n">
        <v>1886</v>
      </c>
      <c r="E257" s="3" t="inlineStr">
        <is>
          <t>3 · DEPENDENT</t>
        </is>
      </c>
      <c r="F257" s="3" t="inlineStr">
        <is>
          <t>NOT DETERMINED — the code carries no note saying what this is for, and it has no row in the old inventory. Needs reading.</t>
        </is>
      </c>
      <c r="G257" s="6" t="inlineStr">
        <is>
          <t>`${MONTH_ABBR[(m or 1) − 1]} ${d}, ${y}`</t>
        </is>
      </c>
      <c r="H257" s="3" t="inlineStr">
        <is>
          <t>`${MONTH_ABBR[(m or 1) minus 1]} ${d}, ${y}`.</t>
        </is>
      </c>
      <c r="I257" s="3" t="inlineStr">
        <is>
          <t>PARTLY READ — some of the code is still showing through; needs a hand pass</t>
        </is>
      </c>
      <c r="J257" s="3" t="inlineStr">
        <is>
          <t>iso: string</t>
        </is>
      </c>
      <c r="K257" s="3" t="inlineStr">
        <is>
          <t>string</t>
        </is>
      </c>
      <c r="L257" s="3" t="inlineStr">
        <is>
          <t>—</t>
        </is>
      </c>
      <c r="M257" s="3" t="inlineStr">
        <is>
          <t>None found in this function — anything it assumes comes from the functions it depends on.</t>
        </is>
      </c>
      <c r="N257" s="3" t="inlineStr">
        <is>
          <t>Yes</t>
        </is>
      </c>
      <c r="O257" s="3" t="inlineStr">
        <is>
          <t>MK-CF-F-132 map</t>
        </is>
      </c>
      <c r="P257" s="3" t="n">
        <v>1</v>
      </c>
      <c r="Q257" s="3" t="inlineStr">
        <is>
          <t>MK-CF-F-132 map</t>
        </is>
      </c>
      <c r="R257" s="3" t="inlineStr">
        <is>
          <t>MK-CF-F-132 map → MK-NW-F-068 prettyDay</t>
        </is>
      </c>
      <c r="S257" s="3" t="inlineStr">
        <is>
          <t>—</t>
        </is>
      </c>
      <c r="T257" s="3" t="inlineStr">
        <is>
          <t>—</t>
        </is>
      </c>
      <c r="U257" s="3" t="inlineStr">
        <is>
          <t>ACTIVE</t>
        </is>
      </c>
      <c r="V257" s="3" t="inlineStr">
        <is>
          <t>2026-08-27</t>
        </is>
      </c>
    </row>
    <row r="258">
      <c r="A258" s="3" t="inlineStr">
        <is>
          <t>MK-NW-F-069</t>
        </is>
      </c>
      <c r="B258" s="3" t="inlineStr">
        <is>
          <t>priceAtYield</t>
        </is>
      </c>
      <c r="C258" s="3" t="inlineStr">
        <is>
          <t>src/domain/bonds/index.ts</t>
        </is>
      </c>
      <c r="D258" s="3" t="n">
        <v>341</v>
      </c>
      <c r="E258" s="3" t="inlineStr">
        <is>
          <t>3 · DEPENDENT</t>
        </is>
      </c>
      <c r="F258" s="3" t="inlineStr">
        <is>
          <t>Price the bond's future cash flows at a given annual yield (yearly approximation).</t>
        </is>
      </c>
      <c r="G258" s="6" t="inlineStr">
        <is>
          <t>n = max(1, round(years to maturity(maturity, now)))
c = annual coupon(b)
pv = 0
the answer = pv</t>
        </is>
      </c>
      <c r="H258" s="3" t="inlineStr">
        <is>
          <t>N: the larger of 1 and years to maturity(maturity, now, to a whole number). C is annual coupon(b). Pv is 0. The answer is pv.</t>
        </is>
      </c>
      <c r="I258" s="3" t="inlineStr">
        <is>
          <t>READ FROM THE CODE — rendered from the expressions the function runs</t>
        </is>
      </c>
      <c r="J258" s="3" t="inlineStr">
        <is>
          <t>1. b: BondInfo
2. y: number
3. now: Date</t>
        </is>
      </c>
      <c r="K258" s="3" t="inlineStr">
        <is>
          <t>number</t>
        </is>
      </c>
      <c r="L258" s="3" t="inlineStr">
        <is>
          <t>—</t>
        </is>
      </c>
      <c r="M258" s="3" t="inlineStr">
        <is>
          <t>1. Uses a built-in pv of 0.
2. Uses a built-in t of 1.
3. Rounds the answer to a whole number.</t>
        </is>
      </c>
      <c r="N258" s="3" t="inlineStr">
        <is>
          <t>Yes</t>
        </is>
      </c>
      <c r="O258" s="3" t="inlineStr">
        <is>
          <t>1. MK-NW-F-057 annualCoupon
2. MK-NW-F-058 yearsToMaturity</t>
        </is>
      </c>
      <c r="P258" s="3" t="n">
        <v>3</v>
      </c>
      <c r="Q258" s="3" t="inlineStr">
        <is>
          <t>1. MK-NW-F-057 annualCoupon
2. MK-NW-F-058 yearsToMaturity
3. MK-ST-F-055 round2</t>
        </is>
      </c>
      <c r="R258" s="3" t="inlineStr">
        <is>
          <t>1. MK-ST-F-055 round2 → MK-NW-F-057 annualCoupon → MK-NW-F-069 priceAtYield
2. MK-NW-F-058 yearsToMaturity → MK-NW-F-069 priceAtYield</t>
        </is>
      </c>
      <c r="S258" s="3" t="inlineStr">
        <is>
          <t>—</t>
        </is>
      </c>
      <c r="T258" s="3" t="inlineStr">
        <is>
          <t>—</t>
        </is>
      </c>
      <c r="U258" s="3" t="inlineStr">
        <is>
          <t>ACTIVE</t>
        </is>
      </c>
      <c r="V258" s="3" t="inlineStr">
        <is>
          <t>2026-08-27</t>
        </is>
      </c>
    </row>
    <row r="259">
      <c r="A259" s="3" t="inlineStr">
        <is>
          <t>MK-PF-F-001</t>
        </is>
      </c>
      <c r="B259" s="3" t="inlineStr">
        <is>
          <t>totalShares</t>
        </is>
      </c>
      <c r="C259" s="3" t="inlineStr">
        <is>
          <t>src/domain/performance/index.ts</t>
        </is>
      </c>
      <c r="D259" s="3" t="n">
        <v>63</v>
      </c>
      <c r="E259" s="3" t="inlineStr">
        <is>
          <t>2 · DISPLAYED</t>
        </is>
      </c>
      <c r="F259" s="3" t="inlineStr">
        <is>
          <t>---- cost basis &amp; value (lot math) ----</t>
        </is>
      </c>
      <c r="G259" s="6" t="inlineStr">
        <is>
          <t>total shares(holding) = Σ over every lot of (shares, or 0 when missing)</t>
        </is>
      </c>
      <c r="H259" s="3" t="inlineStr">
        <is>
          <t>Adds the share count of every lot. A lot with no share count counts as zero, so "nothing recorded" and "a real zero" give the same answer.</t>
        </is>
      </c>
      <c r="I259" s="3" t="inlineStr">
        <is>
          <t>READ BY HAND 2026-08-26 — checked line by line against the code</t>
        </is>
      </c>
      <c r="J259" s="3" t="inlineStr">
        <is>
          <t>p: Position</t>
        </is>
      </c>
      <c r="K259" s="3" t="inlineStr">
        <is>
          <t>number</t>
        </is>
      </c>
      <c r="L259" s="3" t="inlineStr">
        <is>
          <t>1. "Quantity" — on the Holding detail screen, under "CURRENT PRICE$"
2. "Realized from sales" — on the Holding detail screen, under "DIVIDENDS &amp; REALIZED"</t>
        </is>
      </c>
      <c r="M259" s="3" t="inlineStr">
        <is>
          <t>· If shares is missing it counts as zero, so nothing recorded and a real zero look the same.</t>
        </is>
      </c>
      <c r="N259" s="3" t="inlineStr">
        <is>
          <t>Yes</t>
        </is>
      </c>
      <c r="O259" s="3" t="inlineStr">
        <is>
          <t>—</t>
        </is>
      </c>
      <c r="P259" s="3" t="n">
        <v>0</v>
      </c>
      <c r="Q259" s="3" t="inlineStr">
        <is>
          <t>None — no dependent function stands behind it</t>
        </is>
      </c>
      <c r="R259" s="3" t="inlineStr">
        <is>
          <t>No dependent function — it reads its inputs and answers</t>
        </is>
      </c>
      <c r="S259" s="3" t="inlineStr">
        <is>
          <t>MK-NW-M-031</t>
        </is>
      </c>
      <c r="T259" s="3" t="inlineStr">
        <is>
          <t>HOLDING_SHARES</t>
        </is>
      </c>
      <c r="U259" s="3" t="inlineStr">
        <is>
          <t>ACTIVE</t>
        </is>
      </c>
      <c r="V259" s="3" t="inlineStr">
        <is>
          <t>2026-08-27</t>
        </is>
      </c>
    </row>
    <row r="260">
      <c r="A260" s="3" t="inlineStr">
        <is>
          <t>MK-PF-F-002</t>
        </is>
      </c>
      <c r="B260" s="3" t="inlineStr">
        <is>
          <t>costBasis</t>
        </is>
      </c>
      <c r="C260" s="3" t="inlineStr">
        <is>
          <t>src/domain/performance/index.ts</t>
        </is>
      </c>
      <c r="D260" s="3" t="n">
        <v>92</v>
      </c>
      <c r="E260" s="3" t="inlineStr">
        <is>
          <t>2 · DISPLAYED</t>
        </is>
      </c>
      <c r="F260" s="3" t="inlineStr">
        <is>
          <t>What did I pay for this in total?</t>
        </is>
      </c>
      <c r="G260" s="6" t="inlineStr">
        <is>
          <t>cost basis(holding) = round(Σ over every lot of (shares × cost per share), 2 dp)</t>
        </is>
      </c>
      <c r="H260" s="3" t="inlineStr">
        <is>
          <t>What was paid, added across the lots. A lot with no cost per share contributes nothing, so a holding with neither a price nor a cost lands at $0 and quietly leaves net worth.</t>
        </is>
      </c>
      <c r="I260" s="3" t="inlineStr">
        <is>
          <t>READ BY HAND 2026-08-26 — checked line by line against the code</t>
        </is>
      </c>
      <c r="J260" s="3" t="inlineStr">
        <is>
          <t>p: Position</t>
        </is>
      </c>
      <c r="K260" s="3" t="inlineStr">
        <is>
          <t>number</t>
        </is>
      </c>
      <c r="L260" s="3" t="inlineStr">
        <is>
          <t>"Total paid" — on the Holding detail screen, under "WHAT YOU BOUGHT"</t>
        </is>
      </c>
      <c r="M260" s="3" t="inlineStr">
        <is>
          <t>1. If shares is missing it counts as zero, so nothing recorded and a real zero look the same.
2. If cost per share is missing it counts as zero, so nothing recorded and a real zero look the same.</t>
        </is>
      </c>
      <c r="N260" s="3" t="inlineStr">
        <is>
          <t>Yes</t>
        </is>
      </c>
      <c r="O260" s="3" t="inlineStr">
        <is>
          <t>MK-ST-F-055 round2</t>
        </is>
      </c>
      <c r="P260" s="3" t="n">
        <v>1</v>
      </c>
      <c r="Q260" s="3" t="inlineStr">
        <is>
          <t>MK-ST-F-055 round2</t>
        </is>
      </c>
      <c r="R260" s="3" t="inlineStr">
        <is>
          <t>MK-ST-F-055 round2 → MK-PF-F-002 costBasis</t>
        </is>
      </c>
      <c r="S260" s="3" t="inlineStr">
        <is>
          <t>MK-NW-M-032 · MK-NW-M-033</t>
        </is>
      </c>
      <c r="T260" s="3" t="inlineStr">
        <is>
          <t>HOLDING_COST_BASIS</t>
        </is>
      </c>
      <c r="U260" s="3" t="inlineStr">
        <is>
          <t>ACTIVE</t>
        </is>
      </c>
      <c r="V260" s="3" t="inlineStr">
        <is>
          <t>2026-08-27</t>
        </is>
      </c>
    </row>
    <row r="261">
      <c r="A261" s="3" t="inlineStr">
        <is>
          <t>MK-PF-F-003</t>
        </is>
      </c>
      <c r="B261" s="3" t="inlineStr">
        <is>
          <t>avgCost</t>
        </is>
      </c>
      <c r="C261" s="3" t="inlineStr">
        <is>
          <t>src/domain/performance/index.ts</t>
        </is>
      </c>
      <c r="D261" s="3" t="n">
        <v>115</v>
      </c>
      <c r="E261" s="3" t="inlineStr">
        <is>
          <t>2 · DISPLAYED</t>
        </is>
      </c>
      <c r="F261" s="3" t="inlineStr">
        <is>
          <t>NOT DETERMINED — the code carries no note saying what this is for, and it has no row in the old inventory. Needs reading.</t>
        </is>
      </c>
      <c r="G261" s="6" t="inlineStr">
        <is>
          <t>sh = total shares(p)
the answer:
round(cost basis(p) ÷ sh, 2 dp)   if sh &gt; 0
0   otherwise</t>
        </is>
      </c>
      <c r="H261" s="3" t="inlineStr">
        <is>
          <t>Sh is total shares(p). The answer is cost basis(p) divided by sh, to the cent — when sh &gt; 0; 0 — otherwise.</t>
        </is>
      </c>
      <c r="I261" s="3" t="inlineStr">
        <is>
          <t>READ FROM THE CODE — rendered from the expressions the function runs</t>
        </is>
      </c>
      <c r="J261" s="3" t="inlineStr">
        <is>
          <t>p: Position</t>
        </is>
      </c>
      <c r="K261" s="3" t="inlineStr">
        <is>
          <t>number</t>
        </is>
      </c>
      <c r="L261" s="3" t="inlineStr">
        <is>
          <t>NOT FOUND — a screen calls it, but the words printed beside its answer could not be traced automatically. Needs reading.</t>
        </is>
      </c>
      <c r="M261" s="3" t="inlineStr">
        <is>
          <t>None found in this function — anything it assumes comes from the functions it depends on.</t>
        </is>
      </c>
      <c r="N261" s="3" t="inlineStr">
        <is>
          <t>Yes</t>
        </is>
      </c>
      <c r="O261" s="3" t="inlineStr">
        <is>
          <t>1. MK-PF-F-002 costBasis
2. MK-ST-F-055 round2
3. MK-PF-F-001 totalShares</t>
        </is>
      </c>
      <c r="P261" s="3" t="n">
        <v>3</v>
      </c>
      <c r="Q261" s="3" t="inlineStr">
        <is>
          <t>1. MK-PF-F-002 costBasis
2. MK-ST-F-055 round2
3. MK-PF-F-001 totalShares</t>
        </is>
      </c>
      <c r="R261" s="3" t="inlineStr">
        <is>
          <t>1. MK-ST-F-055 round2 → MK-PF-F-002 costBasis → MK-PF-F-003 avgCost
2. MK-ST-F-055 round2 → MK-PF-F-003 avgCost
3. MK-PF-F-001 totalShares → MK-PF-F-003 avgCost</t>
        </is>
      </c>
      <c r="S261" s="3" t="inlineStr">
        <is>
          <t>—</t>
        </is>
      </c>
      <c r="T261" s="3" t="inlineStr">
        <is>
          <t>—</t>
        </is>
      </c>
      <c r="U261" s="3" t="inlineStr">
        <is>
          <t>ACTIVE</t>
        </is>
      </c>
      <c r="V261" s="3" t="inlineStr">
        <is>
          <t>2026-08-27</t>
        </is>
      </c>
    </row>
    <row r="262">
      <c r="A262" s="3" t="inlineStr">
        <is>
          <t>MK-PF-F-004</t>
        </is>
      </c>
      <c r="B262" s="3" t="inlineStr">
        <is>
          <t>marketValue</t>
        </is>
      </c>
      <c r="C262" s="3" t="inlineStr">
        <is>
          <t>src/domain/performance/index.ts</t>
        </is>
      </c>
      <c r="D262" s="3" t="n">
        <v>140</v>
      </c>
      <c r="E262" s="3" t="inlineStr">
        <is>
          <t>3 · DEPENDENT</t>
        </is>
      </c>
      <c r="F262" s="3" t="inlineStr">
        <is>
          <t>What is this holding worth right now?</t>
        </is>
      </c>
      <c r="G262" s="6" t="inlineStr">
        <is>
          <t>market value(holding) = round(total shares × price, 2 dp)
                      = 0   when no price came back</t>
        </is>
      </c>
      <c r="H262"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262" s="3" t="inlineStr">
        <is>
          <t>READ BY HAND 2026-08-26 — checked line by line against the code</t>
        </is>
      </c>
      <c r="J262" s="3" t="inlineStr">
        <is>
          <t>1. p: Position
2. price: number | null | undefined</t>
        </is>
      </c>
      <c r="K262" s="3" t="inlineStr">
        <is>
          <t>number</t>
        </is>
      </c>
      <c r="L262" s="3" t="inlineStr">
        <is>
          <t>—</t>
        </is>
      </c>
      <c r="M262" s="3" t="inlineStr">
        <is>
          <t>None found in this function — anything it assumes comes from the functions it depends on.</t>
        </is>
      </c>
      <c r="N262" s="3" t="inlineStr">
        <is>
          <t>Yes</t>
        </is>
      </c>
      <c r="O262" s="3" t="inlineStr">
        <is>
          <t>1. MK-ST-F-055 round2
2. MK-PF-F-001 totalShares</t>
        </is>
      </c>
      <c r="P262" s="3" t="n">
        <v>2</v>
      </c>
      <c r="Q262" s="3" t="inlineStr">
        <is>
          <t>1. MK-ST-F-055 round2
2. MK-PF-F-001 totalShares</t>
        </is>
      </c>
      <c r="R262" s="3" t="inlineStr">
        <is>
          <t>1. MK-ST-F-055 round2 → MK-PF-F-004 marketValue
2. MK-PF-F-001 totalShares → MK-PF-F-004 marketValue</t>
        </is>
      </c>
      <c r="S262" s="3" t="inlineStr">
        <is>
          <t>MK-NW-M-030 · MK-NW-M-040</t>
        </is>
      </c>
      <c r="T262" s="3" t="inlineStr">
        <is>
          <t>HOLDING_MARKET_VALUE</t>
        </is>
      </c>
      <c r="U262" s="3" t="inlineStr">
        <is>
          <t>ACTIVE</t>
        </is>
      </c>
      <c r="V262" s="3" t="inlineStr">
        <is>
          <t>2026-08-27</t>
        </is>
      </c>
    </row>
    <row r="263">
      <c r="A263" s="3" t="inlineStr">
        <is>
          <t>MK-PF-F-005</t>
        </is>
      </c>
      <c r="B263" s="3" t="inlineStr">
        <is>
          <t>unrealizedGain</t>
        </is>
      </c>
      <c r="C263" s="3" t="inlineStr">
        <is>
          <t>src/domain/performance/index.ts</t>
        </is>
      </c>
      <c r="D263" s="3" t="n">
        <v>164</v>
      </c>
      <c r="E263" s="3" t="inlineStr">
        <is>
          <t>3 · DEPENDENT</t>
        </is>
      </c>
      <c r="F263" s="3" t="inlineStr">
        <is>
          <t>Unrealized gain = market value − cost basis (null price → 0).</t>
        </is>
      </c>
      <c r="G263" s="6" t="inlineStr">
        <is>
          <t>0   if price = nothing
round(market value(p, price) − cost basis(p), 2 dp)   otherwise</t>
        </is>
      </c>
      <c r="H263" s="3" t="inlineStr">
        <is>
          <t>0 — when price is missing; market value(p, price) minus cost basis(p), to the cent — otherwise.</t>
        </is>
      </c>
      <c r="I263" s="3" t="inlineStr">
        <is>
          <t>READ FROM THE CODE — rendered from the expressions the function runs</t>
        </is>
      </c>
      <c r="J263" s="3" t="inlineStr">
        <is>
          <t>1. p: Position
2. price: number | null | undefined</t>
        </is>
      </c>
      <c r="K263" s="3" t="inlineStr">
        <is>
          <t>number</t>
        </is>
      </c>
      <c r="L263" s="3" t="inlineStr">
        <is>
          <t>—</t>
        </is>
      </c>
      <c r="M263" s="3" t="inlineStr">
        <is>
          <t>None found in this function — anything it assumes comes from the functions it depends on.</t>
        </is>
      </c>
      <c r="N263" s="3" t="inlineStr">
        <is>
          <t>Yes</t>
        </is>
      </c>
      <c r="O263" s="3" t="inlineStr">
        <is>
          <t>1. MK-PF-F-002 costBasis
2. MK-PF-F-004 marketValue
3. MK-ST-F-055 round2</t>
        </is>
      </c>
      <c r="P263" s="3" t="n">
        <v>4</v>
      </c>
      <c r="Q263" s="3" t="inlineStr">
        <is>
          <t>1. MK-PF-F-002 costBasis
2. MK-PF-F-004 marketValue
3. MK-ST-F-055 round2
4. MK-PF-F-001 totalShares</t>
        </is>
      </c>
      <c r="R263" s="3" t="inlineStr">
        <is>
          <t>1. MK-ST-F-055 round2 → MK-PF-F-002 costBasis → MK-PF-F-005 unrealizedGain
2. MK-ST-F-055 round2 → MK-PF-F-004 marketValue → MK-PF-F-005 unrealizedGain
3. MK-PF-F-001 totalShares → MK-PF-F-004 marketValue → MK-PF-F-005 unrealizedGain
4. MK-ST-F-055 round2 → MK-PF-F-005 unrealizedGain</t>
        </is>
      </c>
      <c r="S263" s="3" t="inlineStr">
        <is>
          <t>—</t>
        </is>
      </c>
      <c r="T263" s="3" t="inlineStr">
        <is>
          <t>HOLDING_UNREALISED_GAIN</t>
        </is>
      </c>
      <c r="U263" s="3" t="inlineStr">
        <is>
          <t>ACTIVE</t>
        </is>
      </c>
      <c r="V263" s="3" t="inlineStr">
        <is>
          <t>2026-08-27</t>
        </is>
      </c>
    </row>
    <row r="264">
      <c r="A264" s="3" t="inlineStr">
        <is>
          <t>MK-PF-F-006</t>
        </is>
      </c>
      <c r="B264" s="3" t="inlineStr">
        <is>
          <t>capGains</t>
        </is>
      </c>
      <c r="C264" s="3" t="inlineStr">
        <is>
          <t>src/domain/performance/index.ts</t>
        </is>
      </c>
      <c r="D264" s="3" t="n">
        <v>198</v>
      </c>
      <c r="E264" s="3" t="inlineStr">
        <is>
          <t>2 · DISPLAYED</t>
        </is>
      </c>
      <c r="F264" s="3" t="inlineStr">
        <is>
          <t>If I sold this today, how much of the gain is long-term and how much short-term?</t>
        </is>
      </c>
      <c r="G264" s="6" t="inlineStr">
        <is>
          <t>per lot:  gain = shares × (price − cost per share)
long-term when today is LATER than the first anniversary of the purchase
short-term otherwise, and a lot with no cost recorded is skipped entirely</t>
        </is>
      </c>
      <c r="H264"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264" s="3" t="inlineStr">
        <is>
          <t>READ BY HAND 2026-08-26 — checked line by line against the code</t>
        </is>
      </c>
      <c r="J264" s="3" t="inlineStr">
        <is>
          <t>1. p: Position
2. price: number | null | undefined
3. now: Date = new Date()</t>
        </is>
      </c>
      <c r="K264" s="3" t="inlineStr">
        <is>
          <t>CapGains</t>
        </is>
      </c>
      <c r="L264" s="3" t="inlineStr">
        <is>
          <t>1. "Gain — long-term (held over 1 yr)" — on the Holding detail screen, under "IF YOU SOLD TODAY"
2. "Gain — short-term (under 1 yr)" — on the Holding detail screen, under "IF YOU SOLD TODAY"</t>
        </is>
      </c>
      <c r="M264" s="3" t="inlineStr">
        <is>
          <t>· Uses today's date from the device clock, so the answer changes by itself overnight.</t>
        </is>
      </c>
      <c r="N264" s="3" t="inlineStr">
        <is>
          <t>Yes</t>
        </is>
      </c>
      <c r="O264" s="3" t="inlineStr">
        <is>
          <t>MK-ST-F-055 round2</t>
        </is>
      </c>
      <c r="P264" s="3" t="n">
        <v>1</v>
      </c>
      <c r="Q264" s="3" t="inlineStr">
        <is>
          <t>MK-ST-F-055 round2</t>
        </is>
      </c>
      <c r="R264" s="3" t="inlineStr">
        <is>
          <t>MK-ST-F-055 round2 → MK-PF-F-006 capGains</t>
        </is>
      </c>
      <c r="S264" s="3" t="inlineStr">
        <is>
          <t>MK-NW-M-036 · MK-NW-M-037</t>
        </is>
      </c>
      <c r="T264" s="3" t="inlineStr">
        <is>
          <t>HOLDING_CAP_GAINS</t>
        </is>
      </c>
      <c r="U264" s="3" t="inlineStr">
        <is>
          <t>ACTIVE</t>
        </is>
      </c>
      <c r="V264" s="3" t="inlineStr">
        <is>
          <t>2026-08-27</t>
        </is>
      </c>
    </row>
    <row r="265">
      <c r="A265" s="3" t="inlineStr">
        <is>
          <t>MK-PF-F-007</t>
        </is>
      </c>
      <c r="B265" s="3" t="inlineStr">
        <is>
          <t>totalROI</t>
        </is>
      </c>
      <c r="C265" s="3" t="inlineStr">
        <is>
          <t>src/domain/performance/index.ts</t>
        </is>
      </c>
      <c r="D265" s="3" t="n">
        <v>248</v>
      </c>
      <c r="E265" s="3" t="inlineStr">
        <is>
          <t>3 · DEPENDENT</t>
        </is>
      </c>
      <c r="F265" s="3" t="inlineStr">
        <is>
          <t>Total return since purchase = gain / cost basis (decimal).</t>
        </is>
      </c>
      <c r="G265" s="6" t="inlineStr">
        <is>
          <t>basis = cost basis(p)
nothing   when price = nothing (or basis ≤ 0 when missing or zero)
the answer = round(unrealized gain(p, price) ÷ basis, 4 dp)</t>
        </is>
      </c>
      <c r="H265" s="3" t="inlineStr">
        <is>
          <t>Basis is cost basis(p). When price is missing (or basis is at most 0 — when missing or zero), it answers no answer. The answer is unrealized gain(p, price) divided by basis, to 4 decimal places.</t>
        </is>
      </c>
      <c r="I265" s="3" t="inlineStr">
        <is>
          <t>READ FROM THE CODE — rendered from the expressions the function runs</t>
        </is>
      </c>
      <c r="J265" s="3" t="inlineStr">
        <is>
          <t>1. p: Position
2. price: number | null | undefined</t>
        </is>
      </c>
      <c r="K265" s="3" t="inlineStr">
        <is>
          <t>number | null</t>
        </is>
      </c>
      <c r="L265" s="3" t="inlineStr">
        <is>
          <t>—</t>
        </is>
      </c>
      <c r="M265" s="3" t="inlineStr">
        <is>
          <t>· Rounds the answer to a whole number.</t>
        </is>
      </c>
      <c r="N265" s="3" t="inlineStr">
        <is>
          <t>Yes</t>
        </is>
      </c>
      <c r="O265" s="3" t="inlineStr">
        <is>
          <t>1. MK-PF-F-002 costBasis
2. MK-PF-F-005 unrealizedGain</t>
        </is>
      </c>
      <c r="P265" s="3" t="n">
        <v>5</v>
      </c>
      <c r="Q265" s="3" t="inlineStr">
        <is>
          <t>1. MK-PF-F-002 costBasis
2. MK-PF-F-005 unrealizedGain
3. MK-ST-F-055 round2
4. MK-PF-F-004 marketValue
5. MK-PF-F-001 totalShares</t>
        </is>
      </c>
      <c r="R265" s="3" t="inlineStr">
        <is>
          <t>1. MK-ST-F-055 round2 → MK-PF-F-002 costBasis → MK-PF-F-007 totalROI
2. MK-ST-F-055 round2 → MK-PF-F-002 costBasis → MK-PF-F-005 unrealizedGain → MK-PF-F-007 totalROI
3. MK-ST-F-055 round2 → MK-PF-F-004 marketValue → MK-PF-F-005 unrealizedGain → MK-PF-F-007 totalROI
4. MK-PF-F-001 totalShares → MK-PF-F-004 marketValue → MK-PF-F-005 unrealizedGain → MK-PF-F-007 totalROI
5. MK-ST-F-055 round2 → MK-PF-F-005 unrealizedGain → MK-PF-F-007 totalROI</t>
        </is>
      </c>
      <c r="S265" s="3" t="inlineStr">
        <is>
          <t>—</t>
        </is>
      </c>
      <c r="T265" s="3" t="inlineStr">
        <is>
          <t>HOLDING_TOTAL_ROI</t>
        </is>
      </c>
      <c r="U265" s="3" t="inlineStr">
        <is>
          <t>ACTIVE</t>
        </is>
      </c>
      <c r="V265" s="3" t="inlineStr">
        <is>
          <t>2026-08-27</t>
        </is>
      </c>
    </row>
    <row r="266">
      <c r="A266" s="3" t="inlineStr">
        <is>
          <t>MK-PF-F-008</t>
        </is>
      </c>
      <c r="B266" s="3" t="inlineStr">
        <is>
          <t>startDateFor</t>
        </is>
      </c>
      <c r="C266" s="3" t="inlineStr">
        <is>
          <t>src/domain/performance/index.ts</t>
        </is>
      </c>
      <c r="D266" s="3" t="n">
        <v>276</v>
      </c>
      <c r="E266" s="3" t="inlineStr">
        <is>
          <t>2 · DISPLAYED</t>
        </is>
      </c>
      <c r="F266" s="3" t="inlineStr">
        <is>
          <t>---- period returns from a price series (price return of the security itself) ----</t>
        </is>
      </c>
      <c r="G266" s="6" t="inlineStr">
        <is>
          <t>d = the date now
the answer = d</t>
        </is>
      </c>
      <c r="H266" s="3" t="inlineStr">
        <is>
          <t>D: the date now. The answer is d.</t>
        </is>
      </c>
      <c r="I266" s="3" t="inlineStr">
        <is>
          <t>READ FROM THE CODE — rendered from the expressions the function runs</t>
        </is>
      </c>
      <c r="J266" s="3" t="inlineStr">
        <is>
          <t>1. period: Period
2. now: Date</t>
        </is>
      </c>
      <c r="K266" s="3" t="inlineStr">
        <is>
          <t>Date</t>
        </is>
      </c>
      <c r="L266" s="3" t="inlineStr">
        <is>
          <t>NOT FOUND — a screen calls it, but the words printed beside its answer could not be traced automatically. Needs reading.</t>
        </is>
      </c>
      <c r="M266" s="3" t="inlineStr">
        <is>
          <t>None found in this function — anything it assumes comes from the functions it depends on.</t>
        </is>
      </c>
      <c r="N266" s="3" t="inlineStr">
        <is>
          <t>Yes</t>
        </is>
      </c>
      <c r="O266" s="3" t="inlineStr">
        <is>
          <t>—</t>
        </is>
      </c>
      <c r="P266" s="3" t="n">
        <v>0</v>
      </c>
      <c r="Q266" s="3" t="inlineStr">
        <is>
          <t>None — no dependent function stands behind it</t>
        </is>
      </c>
      <c r="R266" s="3" t="inlineStr">
        <is>
          <t>No dependent function — it reads its inputs and answers</t>
        </is>
      </c>
      <c r="S266" s="3" t="inlineStr">
        <is>
          <t>—</t>
        </is>
      </c>
      <c r="T266" s="3" t="inlineStr">
        <is>
          <t>PERIOD_START_DATE</t>
        </is>
      </c>
      <c r="U266" s="3" t="inlineStr">
        <is>
          <t>ACTIVE</t>
        </is>
      </c>
      <c r="V266" s="3" t="inlineStr">
        <is>
          <t>2026-08-27</t>
        </is>
      </c>
    </row>
    <row r="267">
      <c r="A267" s="3" t="inlineStr">
        <is>
          <t>MK-PF-F-009</t>
        </is>
      </c>
      <c r="B267" s="3" t="inlineStr">
        <is>
          <t>latestClose</t>
        </is>
      </c>
      <c r="C267" s="3" t="inlineStr">
        <is>
          <t>src/domain/performance/index.ts</t>
        </is>
      </c>
      <c r="D267" s="3" t="n">
        <v>344</v>
      </c>
      <c r="E267" s="3" t="inlineStr">
        <is>
          <t>3 · DEPENDENT</t>
        </is>
      </c>
      <c r="F267" s="3" t="inlineStr">
        <is>
          <t>What is the most recent price we hold for this?</t>
        </is>
      </c>
      <c r="G267" s="6" t="inlineStr">
        <is>
          <t>latest close = the last point in the price series
             = nothing   when the series is empty</t>
        </is>
      </c>
      <c r="H267" s="3" t="inlineStr">
        <is>
          <t>The most recent closing price held for a ticker. It carries no date with it, so nothing downstream can tell a price from this morning from one three weeks old.</t>
        </is>
      </c>
      <c r="I267" s="3" t="inlineStr">
        <is>
          <t>READ BY HAND 2026-08-26 — checked line by line against the code</t>
        </is>
      </c>
      <c r="J267" s="3" t="inlineStr">
        <is>
          <t>series: PriceSeries | null | undefined</t>
        </is>
      </c>
      <c r="K267" s="3" t="inlineStr">
        <is>
          <t>number | null</t>
        </is>
      </c>
      <c r="L267" s="3" t="inlineStr">
        <is>
          <t>—</t>
        </is>
      </c>
      <c r="M267" s="3" t="inlineStr">
        <is>
          <t>None found in this function — anything it assumes comes from the functions it depends on.</t>
        </is>
      </c>
      <c r="N267" s="3" t="inlineStr">
        <is>
          <t>Yes</t>
        </is>
      </c>
      <c r="O267" s="3" t="inlineStr">
        <is>
          <t>—</t>
        </is>
      </c>
      <c r="P267" s="3" t="n">
        <v>0</v>
      </c>
      <c r="Q267" s="3" t="inlineStr">
        <is>
          <t>None — no dependent function stands behind it</t>
        </is>
      </c>
      <c r="R267" s="3" t="inlineStr">
        <is>
          <t>No dependent function — it reads its inputs and answers</t>
        </is>
      </c>
      <c r="S267" s="3" t="inlineStr">
        <is>
          <t>—</t>
        </is>
      </c>
      <c r="T267" s="3" t="inlineStr">
        <is>
          <t>PRICE_LATEST</t>
        </is>
      </c>
      <c r="U267" s="3" t="inlineStr">
        <is>
          <t>ACTIVE</t>
        </is>
      </c>
      <c r="V267" s="3" t="inlineStr">
        <is>
          <t>2026-08-27</t>
        </is>
      </c>
    </row>
    <row r="268">
      <c r="A268" s="3" t="inlineStr">
        <is>
          <t>MK-PF-F-010</t>
        </is>
      </c>
      <c r="B268" s="3" t="inlineStr">
        <is>
          <t>periodReturn</t>
        </is>
      </c>
      <c r="C268" s="3" t="inlineStr">
        <is>
          <t>src/domain/performance/index.ts</t>
        </is>
      </c>
      <c r="D268" s="3" t="n">
        <v>378</v>
      </c>
      <c r="E268" s="3" t="inlineStr">
        <is>
          <t>3 · DEPENDENT</t>
        </is>
      </c>
      <c r="F268" s="3" t="inlineStr">
        <is>
          <t>Price return of a ticker over a period (decimal).</t>
        </is>
      </c>
      <c r="G268" s="6"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round((end ÷ start)^(1 ÷ 2) − 1, 4 dp)   when period = '2Y'
the answer = round(raw, 4 dp)</t>
        </is>
      </c>
      <c r="H268"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When period = '2Y', it answers (end divided by start)^(1 divided by 2) minus 1, to 4 decimal places. The answer is raw, to 4 decimal places.</t>
        </is>
      </c>
      <c r="I268" s="3" t="inlineStr">
        <is>
          <t>READ FROM THE CODE — rendered from the expressions the function runs</t>
        </is>
      </c>
      <c r="J268" s="3" t="inlineStr">
        <is>
          <t>1. series: PriceSeries | null | undefined
2. period: Period
3. now = new Date()</t>
        </is>
      </c>
      <c r="K268" s="3" t="inlineStr">
        <is>
          <t>number | null</t>
        </is>
      </c>
      <c r="L268" s="3" t="inlineStr">
        <is>
          <t>—</t>
        </is>
      </c>
      <c r="M268" s="3" t="inlineStr">
        <is>
          <t>1. Uses today's date from the device clock, so the answer changes by itself overnight.
2. Rounds the answer to a whole number.</t>
        </is>
      </c>
      <c r="N268" s="3" t="inlineStr">
        <is>
          <t>Yes</t>
        </is>
      </c>
      <c r="O268" s="3" t="inlineStr">
        <is>
          <t>1. MK-PF-F-029 closeAsOf
2. MK-PF-F-009 latestClose
3. MK-PF-F-008 startDateFor</t>
        </is>
      </c>
      <c r="P268" s="3" t="n">
        <v>3</v>
      </c>
      <c r="Q268" s="3" t="inlineStr">
        <is>
          <t>1. MK-PF-F-029 closeAsOf
2. MK-PF-F-009 latestClose
3. MK-PF-F-008 startDateFor</t>
        </is>
      </c>
      <c r="R268" s="3" t="inlineStr">
        <is>
          <t>1. MK-PF-F-029 closeAsOf → MK-PF-F-010 periodReturn
2. MK-PF-F-009 latestClose → MK-PF-F-010 periodReturn
3. MK-PF-F-008 startDateFor → MK-PF-F-010 periodReturn</t>
        </is>
      </c>
      <c r="S268" s="3" t="inlineStr">
        <is>
          <t>—</t>
        </is>
      </c>
      <c r="T268" s="3" t="inlineStr">
        <is>
          <t>PERIOD_RETURN</t>
        </is>
      </c>
      <c r="U268" s="3" t="inlineStr">
        <is>
          <t>ACTIVE</t>
        </is>
      </c>
      <c r="V268" s="3" t="inlineStr">
        <is>
          <t>2026-08-27</t>
        </is>
      </c>
    </row>
    <row r="269">
      <c r="A269" s="3" t="inlineStr">
        <is>
          <t>MK-PF-F-011</t>
        </is>
      </c>
      <c r="B269" s="3" t="inlineStr">
        <is>
          <t>periodReturnSince</t>
        </is>
      </c>
      <c r="C269" s="3" t="inlineStr">
        <is>
          <t>src/domain/performance/index.ts</t>
        </is>
      </c>
      <c r="D269" s="3" t="n">
        <v>420</v>
      </c>
      <c r="E269" s="3" t="inlineStr">
        <is>
          <t>3 · DEPENDENT</t>
        </is>
      </c>
      <c r="F269" s="3" t="inlineStr">
        <is>
          <t>Price return from an explicit start DATE to now (for purchase-capped windows).</t>
        </is>
      </c>
      <c r="G269" s="6" t="inlineStr">
        <is>
          <t>nothing   when series is missing (or not (count of series.points) when missing or zero)
end = latest close(series)
start = close as of(series, new date(since iso))
nothing   when end = nothing (or start = nothing (or start ≤ 0 when missing or zero) when missing or zero)
the answer = round(end ÷ start − 1, 4 dp)</t>
        </is>
      </c>
      <c r="H269"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 to 4 decimal places.</t>
        </is>
      </c>
      <c r="I269" s="3" t="inlineStr">
        <is>
          <t>PARTLY READ — some of the code is still showing through; needs a hand pass</t>
        </is>
      </c>
      <c r="J269" s="3" t="inlineStr">
        <is>
          <t>1. series: PriceSeries | null | undefined
2. sinceISO: string
3. now = new Date()</t>
        </is>
      </c>
      <c r="K269" s="3" t="inlineStr">
        <is>
          <t>number | null</t>
        </is>
      </c>
      <c r="L269" s="3" t="inlineStr">
        <is>
          <t>—</t>
        </is>
      </c>
      <c r="M269" s="3" t="inlineStr">
        <is>
          <t>1. Uses today's date from the device clock, so the answer changes by itself overnight.
2. Rounds the answer to a whole number.</t>
        </is>
      </c>
      <c r="N269" s="3" t="inlineStr">
        <is>
          <t>Yes</t>
        </is>
      </c>
      <c r="O269" s="3" t="inlineStr">
        <is>
          <t>1. MK-PF-F-029 closeAsOf
2. MK-PF-F-009 latestClose</t>
        </is>
      </c>
      <c r="P269" s="3" t="n">
        <v>2</v>
      </c>
      <c r="Q269" s="3" t="inlineStr">
        <is>
          <t>1. MK-PF-F-029 closeAsOf
2. MK-PF-F-009 latestClose</t>
        </is>
      </c>
      <c r="R269" s="3" t="inlineStr">
        <is>
          <t>1. MK-PF-F-029 closeAsOf → MK-PF-F-011 periodReturnSince
2. MK-PF-F-009 latestClose → MK-PF-F-011 periodReturnSince</t>
        </is>
      </c>
      <c r="S269" s="3" t="inlineStr">
        <is>
          <t>—</t>
        </is>
      </c>
      <c r="T269" s="3" t="inlineStr">
        <is>
          <t>RETURN_SINCE_A_DATE</t>
        </is>
      </c>
      <c r="U269" s="3" t="inlineStr">
        <is>
          <t>ACTIVE</t>
        </is>
      </c>
      <c r="V269" s="3" t="inlineStr">
        <is>
          <t>2026-08-27</t>
        </is>
      </c>
    </row>
    <row r="270">
      <c r="A270" s="3" t="inlineStr">
        <is>
          <t>MK-PF-F-012</t>
        </is>
      </c>
      <c r="B270" s="3" t="inlineStr">
        <is>
          <t>earliestPurchaseDate</t>
        </is>
      </c>
      <c r="C270" s="3" t="inlineStr">
        <is>
          <t>src/domain/performance/index.ts</t>
        </is>
      </c>
      <c r="D270" s="3" t="n">
        <v>454</v>
      </c>
      <c r="E270" s="3" t="inlineStr">
        <is>
          <t>3 · DEPENDENT</t>
        </is>
      </c>
      <c r="F270" s="3" t="inlineStr">
        <is>
          <t>Earliest dated lot — the day this holding became YOUR money.</t>
        </is>
      </c>
      <c r="G270" s="6" t="inlineStr">
        <is>
          <t>dates = for each of lots (or none when missing): purchase date where ÷ ^\each{4}-\each{2}-\each{2} ÷ .test(each ?? '')
the answer:
the first 10 of dates.sort()[0]!   if count of dates
nothing   otherwise</t>
        </is>
      </c>
      <c r="H270" s="3" t="inlineStr">
        <is>
          <t>Dates is for each of lots (or none — when missing): purchase date where divided by ^\each{4}-\each{2}-\each{2} divided by .test(each ?? ''). The answer: the first 10 of dates.sort()[0]! — when how many dates there are; no answer — otherwise.</t>
        </is>
      </c>
      <c r="I270" s="3" t="inlineStr">
        <is>
          <t>PARTLY READ — some of the code is still showing through; needs a hand pass</t>
        </is>
      </c>
      <c r="J270" s="3" t="inlineStr">
        <is>
          <t>p: Position</t>
        </is>
      </c>
      <c r="K270" s="3" t="inlineStr">
        <is>
          <t>string | null</t>
        </is>
      </c>
      <c r="L270" s="3" t="inlineStr">
        <is>
          <t>—</t>
        </is>
      </c>
      <c r="M270" s="3" t="inlineStr">
        <is>
          <t>· Leaves some rows out of the answer — check which.</t>
        </is>
      </c>
      <c r="N270" s="3" t="inlineStr">
        <is>
          <t>Yes</t>
        </is>
      </c>
      <c r="O270" s="3" t="inlineStr">
        <is>
          <t>MK-CF-F-132 map</t>
        </is>
      </c>
      <c r="P270" s="3" t="n">
        <v>1</v>
      </c>
      <c r="Q270" s="3" t="inlineStr">
        <is>
          <t>MK-CF-F-132 map</t>
        </is>
      </c>
      <c r="R270" s="3" t="inlineStr">
        <is>
          <t>MK-CF-F-132 map → MK-PF-F-012 earliestPurchaseDate</t>
        </is>
      </c>
      <c r="S270" s="3" t="inlineStr">
        <is>
          <t>—</t>
        </is>
      </c>
      <c r="T270" s="3" t="inlineStr">
        <is>
          <t>HOLDING_FIRST_BOUGHT</t>
        </is>
      </c>
      <c r="U270" s="3" t="inlineStr">
        <is>
          <t>ACTIVE</t>
        </is>
      </c>
      <c r="V270" s="3" t="inlineStr">
        <is>
          <t>2026-08-27</t>
        </is>
      </c>
    </row>
    <row r="271">
      <c r="A271" s="3" t="inlineStr">
        <is>
          <t>MK-PF-F-013</t>
        </is>
      </c>
      <c r="B271" s="3" t="inlineStr">
        <is>
          <t>benchmarkTicker</t>
        </is>
      </c>
      <c r="C271" s="3" t="inlineStr">
        <is>
          <t>src/domain/performance/index.ts</t>
        </is>
      </c>
      <c r="D271" s="3" t="n">
        <v>495</v>
      </c>
      <c r="E271" s="3" t="inlineStr">
        <is>
          <t>2 · DISPLAYED</t>
        </is>
      </c>
      <c r="F271" s="3" t="inlineStr">
        <is>
          <t>What should this holding be compared against?</t>
        </is>
      </c>
      <c r="G271" s="6" t="inlineStr">
        <is>
          <t>BENCHMARK_TICKER[kind ?? ''] (or 'SPY' when missing)</t>
        </is>
      </c>
      <c r="H271" s="3" t="inlineStr">
        <is>
          <t>BENCHMARK_TICKER[kind ?? ''] (or 'SPY' — when missing).</t>
        </is>
      </c>
      <c r="I271" s="3" t="inlineStr">
        <is>
          <t>PARTLY READ — some of the code is still showing through; needs a hand pass</t>
        </is>
      </c>
      <c r="J271" s="3" t="inlineStr">
        <is>
          <t>kind?: string</t>
        </is>
      </c>
      <c r="K271" s="3" t="inlineStr">
        <is>
          <t>string</t>
        </is>
      </c>
      <c r="L271" s="3" t="inlineStr">
        <is>
          <t>1. "Name (optional)" — on the Performance screen
2. "You are" — on the Holding detail screen, under "VS THE STOCK MARKET
3. SAME DATES"</t>
        </is>
      </c>
      <c r="M271" s="3" t="inlineStr">
        <is>
          <t>None found in this function — anything it assumes comes from the functions it depends on.</t>
        </is>
      </c>
      <c r="N271" s="3" t="inlineStr">
        <is>
          <t>Yes</t>
        </is>
      </c>
      <c r="O271" s="3" t="inlineStr">
        <is>
          <t>MK-ST-F-053 money</t>
        </is>
      </c>
      <c r="P271" s="3" t="n">
        <v>4</v>
      </c>
      <c r="Q271" s="3" t="inlineStr">
        <is>
          <t>1. MK-ST-F-053 money
2. MK-ST-F-049 formatMoney
3. MK-ST-F-048 currencySymbol
4. MK-ST-F-047 activeCurrency</t>
        </is>
      </c>
      <c r="R271" s="3" t="inlineStr">
        <is>
          <t>MK-ST-F-047 activeCurrency → MK-ST-F-048 currencySymbol → MK-ST-F-049 formatMoney → MK-ST-F-053 money → MK-PF-F-013 benchmarkTicker</t>
        </is>
      </c>
      <c r="S271" s="3" t="inlineStr">
        <is>
          <t>—</t>
        </is>
      </c>
      <c r="T271" s="3" t="inlineStr">
        <is>
          <t>BENCHMARK_FOR_KIND</t>
        </is>
      </c>
      <c r="U271" s="3" t="inlineStr">
        <is>
          <t>ACTIVE</t>
        </is>
      </c>
      <c r="V271" s="3" t="inlineStr">
        <is>
          <t>2026-08-27</t>
        </is>
      </c>
    </row>
    <row r="272">
      <c r="A272" s="3" t="inlineStr">
        <is>
          <t>MK-PF-F-014</t>
        </is>
      </c>
      <c r="B272" s="3" t="inlineStr">
        <is>
          <t>buildPerformance</t>
        </is>
      </c>
      <c r="C272" s="3" t="inlineStr">
        <is>
          <t>src/domain/performance/index.ts</t>
        </is>
      </c>
      <c r="D272" s="3" t="n">
        <v>548</v>
      </c>
      <c r="E272" s="3" t="inlineStr">
        <is>
          <t>2 · DISPLAYED</t>
        </is>
      </c>
      <c r="F272" s="3" t="inlineStr">
        <is>
          <t>Build the per-holding rows for a period from positions + a price-series lookup.</t>
        </is>
      </c>
      <c r="G272" s="6"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272"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272" s="3" t="inlineStr">
        <is>
          <t>PARTLY READ — some of the code is still showing through; needs a hand pass</t>
        </is>
      </c>
      <c r="J272" s="3" t="inlineStr">
        <is>
          <t>Nothing is handed to it</t>
        </is>
      </c>
      <c r="K272" s="3" t="inlineStr">
        <is>
          <t>NOT DECLARED — the code does not say what it gives back</t>
        </is>
      </c>
      <c r="L272" s="3" t="inlineStr">
        <is>
          <t>NOT FOUND — a screen calls it, but the words printed beside its answer could not be traced automatically. Needs reading.</t>
        </is>
      </c>
      <c r="M272" s="3" t="inlineStr">
        <is>
          <t>1. Uses today's date from the device clock, so the answer changes by itself overnight.
2. Rounds the answer to a whole number.</t>
        </is>
      </c>
      <c r="N272" s="3" t="inlineStr">
        <is>
          <t>Yes</t>
        </is>
      </c>
      <c r="O272" s="3" t="inlineStr">
        <is>
          <t>1. MK-PF-F-013 benchmarkTicker
2. MK-PF-F-002 costBasis
3. MK-PF-F-012 earliestPurchaseDate
4. MK-PF-F-009 latestClose
5. MK-CF-F-132 map
6. MK-PF-F-004 marketValue
7. MK-PF-F-010 periodReturn
8. MK-PF-F-011 periodReturnSince
9. MK-PF-F-008 startDateFor
10. MK-PF-F-007 totalROI
11. MK-PF-F-005 unrealizedGain</t>
        </is>
      </c>
      <c r="P272" s="3" t="n">
        <v>18</v>
      </c>
      <c r="Q272" s="3" t="inlineStr">
        <is>
          <t>1. MK-PF-F-013 benchmarkTicker
2. MK-PF-F-002 costBasis
3. MK-PF-F-012 earliestPurchaseDate
4. MK-PF-F-009 latestClose
5. MK-CF-F-132 map
6. MK-PF-F-004 marketValue
7. MK-PF-F-010 periodReturn
8. MK-PF-F-011 periodReturnSince
9. MK-PF-F-008 startDateFor
10. MK-PF-F-007 totalROI
11. MK-PF-F-005 unrealizedGain
12. MK-ST-F-053 money
13. MK-ST-F-055 round2
14. MK-PF-F-001 totalShares
15. MK-PF-F-029 closeAsOf
16. MK-ST-F-049 formatMoney
17. MK-ST-F-048 currencySymbol
18. MK-ST-F-047 activeCurrency</t>
        </is>
      </c>
      <c r="R272" s="3" t="inlineStr">
        <is>
          <t>1. MK-ST-F-047 activeCurrency → MK-ST-F-048 currencySymbol → MK-ST-F-049 formatMoney → MK-ST-F-053 money → MK-PF-F-013 benchmarkTicker → MK-PF-F-014 buildPerformance
2. MK-ST-F-055 round2 → MK-PF-F-002 costBasis → MK-PF-F-014 buildPerformance
3. MK-CF-F-132 map → MK-PF-F-012 earliestPurchaseDate → MK-PF-F-014 buildPerformance
4. MK-PF-F-009 latestClose → MK-PF-F-014 buildPerformance
5. MK-CF-F-132 map → MK-PF-F-014 buildPerformance
6. MK-ST-F-055 round2 → MK-PF-F-004 marketValue → MK-PF-F-014 buildPerformance
7. MK-PF-F-001 totalShares → MK-PF-F-004 marketValue → MK-PF-F-014 buildPerformance
8. MK-PF-F-029 closeAsOf → MK-PF-F-010 periodReturn → MK-PF-F-014 buildPerformance
9. … and 5 more paths</t>
        </is>
      </c>
      <c r="S272" s="3" t="inlineStr">
        <is>
          <t>MK-PF-M-005 · MK-PF-M-006 · MK-PF-M-007</t>
        </is>
      </c>
      <c r="T272" s="3" t="inlineStr">
        <is>
          <t>PERFORMANCE_TABLE</t>
        </is>
      </c>
      <c r="U272" s="3" t="inlineStr">
        <is>
          <t>ACTIVE</t>
        </is>
      </c>
      <c r="V272" s="3" t="inlineStr">
        <is>
          <t>2026-08-27</t>
        </is>
      </c>
    </row>
    <row r="273">
      <c r="A273" s="3" t="inlineStr">
        <is>
          <t>MK-PF-F-015</t>
        </is>
      </c>
      <c r="B273" s="3" t="inlineStr">
        <is>
          <t>topHoldingConcentration</t>
        </is>
      </c>
      <c r="C273" s="3" t="inlineStr">
        <is>
          <t>src/domain/performance/index.ts</t>
        </is>
      </c>
      <c r="D273" s="3" t="n">
        <v>607</v>
      </c>
      <c r="E273" s="3" t="inlineStr">
        <is>
          <t>2 · DISPLAYED</t>
        </is>
      </c>
      <c r="F273" s="3" t="inlineStr">
        <is>
          <t>The holding-concentration FACT (Invest main + the insights engine share this one rule): the largest single holding as a % of invested money, reported only at 25%+ with 2+ holdings — below that it isn't a fact worth a card.</t>
        </is>
      </c>
      <c r="G273" s="6"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273"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273" s="3" t="inlineStr">
        <is>
          <t>PARTLY READ — some of the code is still showing through; needs a hand pass</t>
        </is>
      </c>
      <c r="J273" s="3" t="inlineStr">
        <is>
          <t>rows: PerformanceRow[]</t>
        </is>
      </c>
      <c r="K273" s="3" t="inlineStr">
        <is>
          <t>NOT DECLARED — the code does not say what it gives back</t>
        </is>
      </c>
      <c r="L273" s="3" t="inlineStr">
        <is>
          <t>"Activity ›" — on the Performance screen</t>
        </is>
      </c>
      <c r="M273" s="3" t="inlineStr">
        <is>
          <t>1. Multiplies by 100 — a percentage, or an option contract treated as 100 shares. Worth checking which.
2. Rounds the answer to a whole number.</t>
        </is>
      </c>
      <c r="N273" s="3" t="inlineStr">
        <is>
          <t>Yes</t>
        </is>
      </c>
      <c r="O273" s="3" t="inlineStr">
        <is>
          <t>—</t>
        </is>
      </c>
      <c r="P273" s="3" t="n">
        <v>0</v>
      </c>
      <c r="Q273" s="3" t="inlineStr">
        <is>
          <t>None — no dependent function stands behind it</t>
        </is>
      </c>
      <c r="R273" s="3" t="inlineStr">
        <is>
          <t>No dependent function — it reads its inputs and answers</t>
        </is>
      </c>
      <c r="S273" s="3" t="inlineStr">
        <is>
          <t>—</t>
        </is>
      </c>
      <c r="T273" s="3" t="inlineStr">
        <is>
          <t>CONCENTRATION</t>
        </is>
      </c>
      <c r="U273" s="3" t="inlineStr">
        <is>
          <t>ACTIVE</t>
        </is>
      </c>
      <c r="V273" s="3" t="inlineStr">
        <is>
          <t>2026-08-27</t>
        </is>
      </c>
    </row>
    <row r="274">
      <c r="A274" s="3" t="inlineStr">
        <is>
          <t>MK-PF-F-016</t>
        </is>
      </c>
      <c r="B274" s="3" t="inlineStr">
        <is>
          <t>attribution</t>
        </is>
      </c>
      <c r="C274" s="3" t="inlineStr">
        <is>
          <t>src/domain/performance/index.ts</t>
        </is>
      </c>
      <c r="D274" s="3" t="n">
        <v>637</v>
      </c>
      <c r="E274" s="3" t="inlineStr">
        <is>
          <t>2 · DISPLAYED</t>
        </is>
      </c>
      <c r="F274" s="3" t="inlineStr">
        <is>
          <t>Per-holding contribution to the portfolio's period return = weight × the holding's return (pts).</t>
        </is>
      </c>
      <c r="G274" s="6" t="inlineStr">
        <is>
          <t>total = Σ over rows of (market value)
[]   when total ≤ 0</t>
        </is>
      </c>
      <c r="H274" s="3" t="inlineStr">
        <is>
          <t>Total: the market value added up across rows. When total is at most 0, it answers [].</t>
        </is>
      </c>
      <c r="I274" s="3" t="inlineStr">
        <is>
          <t>READ FROM THE CODE — rendered from the expressions the function runs</t>
        </is>
      </c>
      <c r="J274" s="3" t="inlineStr">
        <is>
          <t>rows: PerformanceRow[]</t>
        </is>
      </c>
      <c r="K274" s="3" t="inlineStr">
        <is>
          <t>NOT DECLARED — the code does not say what it gives back</t>
        </is>
      </c>
      <c r="L274" s="3" t="inlineStr">
        <is>
          <t>NOT FOUND — a screen calls it, but the words printed beside its answer could not be traced automatically. Needs reading.</t>
        </is>
      </c>
      <c r="M274" s="3" t="inlineStr">
        <is>
          <t>1. Rounds the answer to a whole number.
2. Leaves some rows out of the answer — check which.</t>
        </is>
      </c>
      <c r="N274" s="3" t="inlineStr">
        <is>
          <t>Yes</t>
        </is>
      </c>
      <c r="O274" s="3" t="inlineStr">
        <is>
          <t>MK-CF-F-132 map</t>
        </is>
      </c>
      <c r="P274" s="3" t="n">
        <v>1</v>
      </c>
      <c r="Q274" s="3" t="inlineStr">
        <is>
          <t>MK-CF-F-132 map</t>
        </is>
      </c>
      <c r="R274" s="3" t="inlineStr">
        <is>
          <t>MK-CF-F-132 map → MK-PF-F-016 attribution</t>
        </is>
      </c>
      <c r="S274" s="3" t="inlineStr">
        <is>
          <t>—</t>
        </is>
      </c>
      <c r="T274" s="3" t="inlineStr">
        <is>
          <t>WHAT_DROVE_THE_RETURN</t>
        </is>
      </c>
      <c r="U274" s="3" t="inlineStr">
        <is>
          <t>ACTIVE</t>
        </is>
      </c>
      <c r="V274" s="3" t="inlineStr">
        <is>
          <t>2026-08-27</t>
        </is>
      </c>
    </row>
    <row r="275">
      <c r="A275" s="3" t="inlineStr">
        <is>
          <t>MK-PF-F-017</t>
        </is>
      </c>
      <c r="B275" s="3" t="inlineStr">
        <is>
          <t>allocation</t>
        </is>
      </c>
      <c r="C275" s="3" t="inlineStr">
        <is>
          <t>src/domain/performance/index.ts</t>
        </is>
      </c>
      <c r="D275" s="3" t="n">
        <v>673</v>
      </c>
      <c r="E275" s="3" t="inlineStr">
        <is>
          <t>2 · DISPLAYED</t>
        </is>
      </c>
      <c r="F275" s="3" t="inlineStr">
        <is>
          <t>How is my invested money spread?</t>
        </is>
      </c>
      <c r="G275" s="6" t="inlineStr">
        <is>
          <t>by kind = {}
total = Σ over object.values(by kind) of (each)+ max(0, cash)
[]   when total ≤ 0
slices = for each of object.entries(by kind): [key, v]) =&gt; ({ key, value: round2(v), pct: math.round((v ÷ total) × 1000) ÷ 10 }
the answer = slices.sort((a, b) =&gt; value − value)</t>
        </is>
      </c>
      <c r="H275" s="3" t="inlineStr">
        <is>
          <t>By kind is {}. Total: the each)+ cash added up across object.values(by kind, never below zero. When total is at most 0, it answers []. Slices is for each of object.entries(by kind): [key, v]) =&gt; ({ key, value: round2(v), pct: math.(v divided by total, to a whole number times 1000) divided by 10 }. The answer is slices.sort((a, b) =&gt; value minus value).</t>
        </is>
      </c>
      <c r="I275" s="3" t="inlineStr">
        <is>
          <t>PARTLY READ — some of the code is still showing through; needs a hand pass</t>
        </is>
      </c>
      <c r="J275" s="3" t="inlineStr">
        <is>
          <t>1. rows: PerformanceRow[]
2. cash = 0</t>
        </is>
      </c>
      <c r="K275" s="3" t="inlineStr">
        <is>
          <t>AllocSlice[]</t>
        </is>
      </c>
      <c r="L275" s="3" t="inlineStr">
        <is>
          <t>NOT FOUND — a screen calls it, but the words printed beside its answer could not be traced automatically. Needs reading.</t>
        </is>
      </c>
      <c r="M275" s="3" t="inlineStr">
        <is>
          <t>1. If by kind[k] is missing it counts as zero, so nothing recorded and a real zero look the same.
2. Rounds the answer to a whole number.</t>
        </is>
      </c>
      <c r="N275" s="3" t="inlineStr">
        <is>
          <t>Yes</t>
        </is>
      </c>
      <c r="O275" s="3" t="inlineStr">
        <is>
          <t>1. MK-CF-F-132 map
2. MK-ST-F-055 round2</t>
        </is>
      </c>
      <c r="P275" s="3" t="n">
        <v>2</v>
      </c>
      <c r="Q275" s="3" t="inlineStr">
        <is>
          <t>1. MK-CF-F-132 map
2. MK-ST-F-055 round2</t>
        </is>
      </c>
      <c r="R275" s="3" t="inlineStr">
        <is>
          <t>1. MK-CF-F-132 map → MK-PF-F-017 allocation
2. MK-ST-F-055 round2 → MK-PF-F-017 allocation</t>
        </is>
      </c>
      <c r="S275" s="3" t="inlineStr">
        <is>
          <t>—</t>
        </is>
      </c>
      <c r="T275" s="3" t="inlineStr">
        <is>
          <t>ALLOCATION_BY_HOLDING_KIND</t>
        </is>
      </c>
      <c r="U275" s="3" t="inlineStr">
        <is>
          <t>ACTIVE</t>
        </is>
      </c>
      <c r="V275" s="3" t="inlineStr">
        <is>
          <t>2026-08-27</t>
        </is>
      </c>
    </row>
    <row r="276">
      <c r="A276" s="3" t="inlineStr">
        <is>
          <t>MK-PF-F-018</t>
        </is>
      </c>
      <c r="B276" s="3" t="inlineStr">
        <is>
          <t>portfolioTrend</t>
        </is>
      </c>
      <c r="C276" s="3" t="inlineStr">
        <is>
          <t>src/domain/performance/index.ts</t>
        </is>
      </c>
      <c r="D276" s="3" t="n">
        <v>720</v>
      </c>
      <c r="E276" s="3" t="inlineStr">
        <is>
          <t>2 · DISPLAYED</t>
        </is>
      </c>
      <c r="F276" s="3" t="inlineStr">
        <is>
          <t>How has my portfolio moved over the period, against its benchmark?</t>
        </is>
      </c>
      <c r="G276" s="6"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round(value at(d), 2 dp)
… the first steps only — the rest of the body needs reading by hand.</t>
        </is>
      </c>
      <c r="H276"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to the cent. Only the first steps are shown; the rest of the body needs reading by hand.</t>
        </is>
      </c>
      <c r="I276" s="3" t="inlineStr">
        <is>
          <t>PARTLY READ — some of the code is still showing through; needs a hand pass</t>
        </is>
      </c>
      <c r="J276" s="3" t="inlineStr">
        <is>
          <t>Nothing is handed to it</t>
        </is>
      </c>
      <c r="K276" s="3" t="inlineStr">
        <is>
          <t>NOT DECLARED — the code does not say what it gives back</t>
        </is>
      </c>
      <c r="L276" s="3" t="inlineStr">
        <is>
          <t>NOT FOUND — a screen calls it, but the words printed beside its answer could not be traced automatically. Needs reading.</t>
        </is>
      </c>
      <c r="M276" s="3" t="inlineStr">
        <is>
          <t>1. Uses a built-in n of 12.
2. Uses today's date from the device clock, so the answer changes by itself overnight.
3. Multiplies by 100 — a percentage, or an option contract treated as 100 shares. Worth checking which.
4. Rounds the answer to a whole number.</t>
        </is>
      </c>
      <c r="N276" s="3" t="inlineStr">
        <is>
          <t>Yes</t>
        </is>
      </c>
      <c r="O276" s="3" t="inlineStr">
        <is>
          <t>1. MK-PF-F-029 closeAsOf
2. MK-CF-F-132 map
3. MK-PF-F-008 startDateFor
4. MK-PF-F-001 totalShares</t>
        </is>
      </c>
      <c r="P276" s="3" t="n">
        <v>4</v>
      </c>
      <c r="Q276" s="3" t="inlineStr">
        <is>
          <t>1. MK-PF-F-029 closeAsOf
2. MK-CF-F-132 map
3. MK-PF-F-008 startDateFor
4. MK-PF-F-001 totalShares</t>
        </is>
      </c>
      <c r="R276" s="3" t="inlineStr">
        <is>
          <t>1. MK-PF-F-029 closeAsOf → MK-PF-F-018 portfolioTrend
2. MK-CF-F-132 map → MK-PF-F-018 portfolioTrend
3. MK-PF-F-008 startDateFor → MK-PF-F-018 portfolioTrend
4. MK-PF-F-001 totalShares → MK-PF-F-018 portfolioTrend</t>
        </is>
      </c>
      <c r="S276" s="3" t="inlineStr">
        <is>
          <t>—</t>
        </is>
      </c>
      <c r="T276" s="3" t="inlineStr">
        <is>
          <t>PORTFOLIO_TREND_LINE</t>
        </is>
      </c>
      <c r="U276" s="3" t="inlineStr">
        <is>
          <t>ACTIVE</t>
        </is>
      </c>
      <c r="V276" s="3" t="inlineStr">
        <is>
          <t>2026-08-27</t>
        </is>
      </c>
    </row>
    <row r="277">
      <c r="A277" s="3" t="inlineStr">
        <is>
          <t>MK-PF-F-019</t>
        </is>
      </c>
      <c r="B277" s="3" t="inlineStr">
        <is>
          <t>portfolioPeriodReturn</t>
        </is>
      </c>
      <c r="C277" s="3" t="inlineStr">
        <is>
          <t>src/domain/performance/index.ts</t>
        </is>
      </c>
      <c r="D277" s="3" t="n">
        <v>768</v>
      </c>
      <c r="E277" s="3" t="inlineStr">
        <is>
          <t>2 · DISPLAYED</t>
        </is>
      </c>
      <c r="F277" s="3" t="inlineStr">
        <is>
          <t>Value-weighted portfolio period return across holdings that have one (decimal), or null.</t>
        </is>
      </c>
      <c r="G277" s="6" t="inlineStr">
        <is>
          <t>usable = rows where period return ≠ nothing and market value &gt; 0
total = Σ over usable of (market value)
nothing   when total ≤ 0
the answer = round(Σ over usable of ((period return as number) × market value)÷ total, 4 dp)</t>
        </is>
      </c>
      <c r="H277" s="3" t="inlineStr">
        <is>
          <t>Usable is rows where period return is not no answer and market value &gt; 0. Total: the market value added up across usable. When total is at most 0, it answers no answer. The answer: the (period return as number added up across usable times market value)÷ total, to 4 decimal places.</t>
        </is>
      </c>
      <c r="I277" s="3" t="inlineStr">
        <is>
          <t>READ FROM THE CODE — rendered from the expressions the function runs</t>
        </is>
      </c>
      <c r="J277" s="3" t="inlineStr">
        <is>
          <t>rows: PerformanceRow[]</t>
        </is>
      </c>
      <c r="K277" s="3" t="inlineStr">
        <is>
          <t>number | null</t>
        </is>
      </c>
      <c r="L277" s="3" t="inlineStr">
        <is>
          <t>NOT FOUND — a screen calls it, but the words printed beside its answer could not be traced automatically. Needs reading.</t>
        </is>
      </c>
      <c r="M277" s="3" t="inlineStr">
        <is>
          <t>1. Rounds the answer to a whole number.
2. Leaves some rows out of the answer — check which.</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MK-XS-M-004</t>
        </is>
      </c>
      <c r="T277" s="3" t="inlineStr">
        <is>
          <t>VALUE_WEIGHTED_RETURN</t>
        </is>
      </c>
      <c r="U277" s="3" t="inlineStr">
        <is>
          <t>ACTIVE</t>
        </is>
      </c>
      <c r="V277" s="3" t="inlineStr">
        <is>
          <t>2026-08-27</t>
        </is>
      </c>
    </row>
    <row r="278">
      <c r="A278" s="3" t="inlineStr">
        <is>
          <t>MK-PF-F-020</t>
        </is>
      </c>
      <c r="B278" s="3" t="inlineStr">
        <is>
          <t>portfolioBenchReturn</t>
        </is>
      </c>
      <c r="C278" s="3" t="inlineStr">
        <is>
          <t>src/domain/performance/index.ts</t>
        </is>
      </c>
      <c r="D278" s="3" t="n">
        <v>799</v>
      </c>
      <c r="E278" s="3" t="inlineStr">
        <is>
          <t>2 · DISPLAYED</t>
        </is>
      </c>
      <c r="F278" s="3" t="inlineStr">
        <is>
          <t>Value-weighted benchmark ("the market, matched to your mix") return across holdings that have one (decimal), or null.</t>
        </is>
      </c>
      <c r="G278" s="6" t="inlineStr">
        <is>
          <t>usable = rows where bench return ≠ nothing and market value &gt; 0
total = Σ over usable of (market value)
nothing   when total ≤ 0
the answer = Σ over usable of ((bench return as number) × market value)÷ total</t>
        </is>
      </c>
      <c r="H278" s="3" t="inlineStr">
        <is>
          <t>Usable is rows where bench return is not no answer and market value &gt; 0. Total: the market value added up across usable. When total is at most 0, it answers no answer. The answer: the (bench return as number added up across usable times market value)÷ total.</t>
        </is>
      </c>
      <c r="I278" s="3" t="inlineStr">
        <is>
          <t>READ FROM THE CODE — rendered from the expressions the function runs</t>
        </is>
      </c>
      <c r="J278" s="3" t="inlineStr">
        <is>
          <t>rows: PerformanceRow[]</t>
        </is>
      </c>
      <c r="K278" s="3" t="inlineStr">
        <is>
          <t>number | null</t>
        </is>
      </c>
      <c r="L278" s="3" t="inlineStr">
        <is>
          <t>"HONEST COMPARISON" — on the Performance screen, under "HONEST COMPARISON"</t>
        </is>
      </c>
      <c r="M278" s="3" t="inlineStr">
        <is>
          <t>· Leaves some rows out of the answer — check which.</t>
        </is>
      </c>
      <c r="N278" s="3" t="inlineStr">
        <is>
          <t>Yes</t>
        </is>
      </c>
      <c r="O278" s="3" t="inlineStr">
        <is>
          <t>—</t>
        </is>
      </c>
      <c r="P278" s="3" t="n">
        <v>0</v>
      </c>
      <c r="Q278" s="3" t="inlineStr">
        <is>
          <t>None — no dependent function stands behind it</t>
        </is>
      </c>
      <c r="R278" s="3" t="inlineStr">
        <is>
          <t>No dependent function — it reads its inputs and answers</t>
        </is>
      </c>
      <c r="S278" s="3" t="inlineStr">
        <is>
          <t>MK-PF-M-008</t>
        </is>
      </c>
      <c r="T278" s="3" t="inlineStr">
        <is>
          <t>BENCHMARK_RETURN_BLENDED</t>
        </is>
      </c>
      <c r="U278" s="3" t="inlineStr">
        <is>
          <t>ACTIVE</t>
        </is>
      </c>
      <c r="V278" s="3" t="inlineStr">
        <is>
          <t>2026-08-27</t>
        </is>
      </c>
    </row>
    <row r="279">
      <c r="A279" s="3" t="inlineStr">
        <is>
          <t>MK-PF-F-021</t>
        </is>
      </c>
      <c r="B279" s="3" t="inlineStr">
        <is>
          <t>periodDollarDelta</t>
        </is>
      </c>
      <c r="C279" s="3" t="inlineStr">
        <is>
          <t>src/domain/performance/index.ts</t>
        </is>
      </c>
      <c r="D279" s="3" t="n">
        <v>829</v>
      </c>
      <c r="E279" s="3" t="inlineStr">
        <is>
          <t>2 · DISPLAYED</t>
        </is>
      </c>
      <c r="F279" s="3" t="inlineStr">
        <is>
          <t>The DOLLAR change implied by a period return on today's total — the approved Home hero shows "up $11,200 (1.4%) this month": dollars AND percent from the SAME measured return, so the two figures can never disagree (one concept, one source).</t>
        </is>
      </c>
      <c r="G279" s="6" t="inlineStr">
        <is>
          <t>0   when !number.is finite(current total) (or !number.is finite(period return) (or period return ≤ -1 when missing or zero) when missing or zero)
round(current total × period return ÷ (1 + period return))</t>
        </is>
      </c>
      <c r="H279" s="3" t="inlineStr">
        <is>
          <t>When !number.is finite(current total) (or !number.is finite(period return) (or period return is at most -1 — when missing or zero) — when missing or zero), it answers 0. current total times period return divided by (1 plus period return, to a whole number).</t>
        </is>
      </c>
      <c r="I279" s="3" t="inlineStr">
        <is>
          <t>PARTLY READ — some of the code is still showing through; needs a hand pass</t>
        </is>
      </c>
      <c r="J279" s="3" t="inlineStr">
        <is>
          <t>1. currentTotal: number
2. periodReturn: number</t>
        </is>
      </c>
      <c r="K279" s="3" t="inlineStr">
        <is>
          <t>number</t>
        </is>
      </c>
      <c r="L279" s="3" t="inlineStr">
        <is>
          <t>NOT FOUND — a screen calls it, but the words printed beside its answer could not be traced automatically. Needs reading.</t>
        </is>
      </c>
      <c r="M279" s="3" t="inlineStr">
        <is>
          <t>· Rounds the answer to a whole number.</t>
        </is>
      </c>
      <c r="N279" s="3" t="inlineStr">
        <is>
          <t>Yes</t>
        </is>
      </c>
      <c r="O279" s="3" t="inlineStr">
        <is>
          <t>—</t>
        </is>
      </c>
      <c r="P279" s="3" t="n">
        <v>0</v>
      </c>
      <c r="Q279" s="3" t="inlineStr">
        <is>
          <t>None — no dependent function stands behind it</t>
        </is>
      </c>
      <c r="R279" s="3" t="inlineStr">
        <is>
          <t>No dependent function — it reads its inputs and answers</t>
        </is>
      </c>
      <c r="S279" s="3" t="inlineStr">
        <is>
          <t>—</t>
        </is>
      </c>
      <c r="T279" s="3" t="inlineStr">
        <is>
          <t>—</t>
        </is>
      </c>
      <c r="U279" s="3" t="inlineStr">
        <is>
          <t>ACTIVE</t>
        </is>
      </c>
      <c r="V279" s="3" t="inlineStr">
        <is>
          <t>2026-08-27</t>
        </is>
      </c>
    </row>
    <row r="280">
      <c r="A280" s="3" t="inlineStr">
        <is>
          <t>MK-PF-F-022</t>
        </is>
      </c>
      <c r="B280" s="3" t="inlineStr">
        <is>
          <t>factorOverMonths</t>
        </is>
      </c>
      <c r="C280" s="3" t="inlineStr">
        <is>
          <t>src/domain/performance/lookBack.ts</t>
        </is>
      </c>
      <c r="D280" s="3" t="n">
        <v>48</v>
      </c>
      <c r="E280" s="3" t="inlineStr">
        <is>
          <t>3 · DEPENDENT</t>
        </is>
      </c>
      <c r="F280" s="3" t="inlineStr">
        <is>
          <t>Price factor over the trailing window: last close ÷ the close at (now − months).</t>
        </is>
      </c>
      <c r="G280" s="6" t="inlineStr">
        <is>
          <t>pts = series.points
nothing   when pts is missing (or pts.length &lt; 2 when missing or zero)
cutoff = the first 10 of the date now.get full year(), now.get month() − months, now.get date()).to isostring(
nothing   when pts[0].date &gt; cutoff
start = the first of pts
end = pts[pts.length − 1]
nothing   when start.close is missing (or start.close ≤ 0 when missing or zero)
the answer = end.close ÷ start.close</t>
        </is>
      </c>
      <c r="H280" s="3" t="inlineStr">
        <is>
          <t>Pts is series.points. When pts is missing (or pts.length &lt; 2 — when missing or zero), it answers no answer. Cutoff: the first 10 of the date now.get full year(), now.get month() minus months, now.get date()).to isostring(. When pts[0].date &gt; cutoff, it answers no answer. Start: the first of pts. End is pts[pts.length minus 1]. When start.close is missing (or start.close is at most 0 — when missing or zero), it answers no answer. The answer is end.close divided by start.close.</t>
        </is>
      </c>
      <c r="I280" s="3" t="inlineStr">
        <is>
          <t>PARTLY READ — some of the code is still showing through; needs a hand pass</t>
        </is>
      </c>
      <c r="J280" s="3" t="inlineStr">
        <is>
          <t>1. series: PriceSeries | null | undefined
2. months: number
3. now: Date = new Date()</t>
        </is>
      </c>
      <c r="K280" s="3" t="inlineStr">
        <is>
          <t>number | null</t>
        </is>
      </c>
      <c r="L280" s="3" t="inlineStr">
        <is>
          <t>—</t>
        </is>
      </c>
      <c r="M280" s="3" t="inlineStr">
        <is>
          <t>· Uses today's date from the device clock, so the answer changes by itself overnight.</t>
        </is>
      </c>
      <c r="N280" s="3" t="inlineStr">
        <is>
          <t>Yes</t>
        </is>
      </c>
      <c r="O280" s="3" t="inlineStr">
        <is>
          <t>—</t>
        </is>
      </c>
      <c r="P280" s="3" t="n">
        <v>0</v>
      </c>
      <c r="Q280" s="3" t="inlineStr">
        <is>
          <t>None — no dependent function stands behind it</t>
        </is>
      </c>
      <c r="R280" s="3" t="inlineStr">
        <is>
          <t>No dependent function — it reads its inputs and answers</t>
        </is>
      </c>
      <c r="S280" s="3" t="inlineStr">
        <is>
          <t>—</t>
        </is>
      </c>
      <c r="T280" s="3" t="inlineStr">
        <is>
          <t>PRICE_FACTOR_OVER_WINDOW</t>
        </is>
      </c>
      <c r="U280" s="3" t="inlineStr">
        <is>
          <t>ACTIVE</t>
        </is>
      </c>
      <c r="V280" s="3" t="inlineStr">
        <is>
          <t>2026-08-27</t>
        </is>
      </c>
    </row>
    <row r="281">
      <c r="A281" s="3" t="inlineStr">
        <is>
          <t>MK-PF-F-023</t>
        </is>
      </c>
      <c r="B281" s="3" t="inlineStr">
        <is>
          <t>lookBack</t>
        </is>
      </c>
      <c r="C281" s="3" t="inlineStr">
        <is>
          <t>src/domain/performance/lookBack.ts</t>
        </is>
      </c>
      <c r="D281" s="3" t="n">
        <v>90</v>
      </c>
      <c r="E281" s="3" t="inlineStr">
        <is>
          <t>2 · DISPLAYED</t>
        </is>
      </c>
      <c r="F281" s="3" t="inlineStr">
        <is>
          <t>What if I had moved this money?</t>
        </is>
      </c>
      <c r="G281" s="6"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round(moved.end value − stayed.end value, 2 dp)
months = months</t>
        </is>
      </c>
      <c r="H281"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to the cent; months = months.</t>
        </is>
      </c>
      <c r="I281" s="3" t="inlineStr">
        <is>
          <t>READ FROM THE CODE — rendered from the expressions the function runs</t>
        </is>
      </c>
      <c r="J281" s="3" t="inlineStr">
        <is>
          <t>1. amount: number
2. fromSeries: PriceSeries | null | undefined
3. toSeries: PriceSeries | null | undefined
4. months: number
5. now: Date = new Date()</t>
        </is>
      </c>
      <c r="K281" s="3" t="inlineStr">
        <is>
          <t>LookBackResult | null</t>
        </is>
      </c>
      <c r="L281" s="3" t="inlineStr">
        <is>
          <t>NOT FOUND — a screen calls it, but the words printed beside its answer could not be traced automatically. Needs reading.</t>
        </is>
      </c>
      <c r="M281" s="3" t="inlineStr">
        <is>
          <t>1. Uses today's date from the device clock, so the answer changes by itself overnight.
2. Rounds the answer to a whole number.</t>
        </is>
      </c>
      <c r="N281" s="3" t="inlineStr">
        <is>
          <t>Yes</t>
        </is>
      </c>
      <c r="O281" s="3" t="inlineStr">
        <is>
          <t>1. MK-PF-F-022 factorOverMonths
2. MK-ST-F-055 round2</t>
        </is>
      </c>
      <c r="P281" s="3" t="n">
        <v>2</v>
      </c>
      <c r="Q281" s="3" t="inlineStr">
        <is>
          <t>1. MK-PF-F-022 factorOverMonths
2. MK-ST-F-055 round2</t>
        </is>
      </c>
      <c r="R281" s="3" t="inlineStr">
        <is>
          <t>1. MK-PF-F-022 factorOverMonths → MK-PF-F-023 lookBack
2. MK-ST-F-055 round2 → MK-PF-F-023 lookBack</t>
        </is>
      </c>
      <c r="S281" s="3" t="inlineStr">
        <is>
          <t>MK-PF-M-010 · MK-PF-M-011 · MK-PF-M-012</t>
        </is>
      </c>
      <c r="T281" s="3" t="inlineStr">
        <is>
          <t>LOOK_BACK</t>
        </is>
      </c>
      <c r="U281" s="3" t="inlineStr">
        <is>
          <t>ACTIVE</t>
        </is>
      </c>
      <c r="V281" s="3" t="inlineStr">
        <is>
          <t>2026-08-27</t>
        </is>
      </c>
    </row>
    <row r="282">
      <c r="A282" s="3" t="inlineStr">
        <is>
          <t>MK-PF-F-024</t>
        </is>
      </c>
      <c r="B282" s="3" t="inlineStr">
        <is>
          <t>userFlows</t>
        </is>
      </c>
      <c r="C282" s="3" t="inlineStr">
        <is>
          <t>src/domain/performance/moneyWeighted.ts</t>
        </is>
      </c>
      <c r="D282" s="3" t="n">
        <v>59</v>
      </c>
      <c r="E282" s="3" t="inlineStr">
        <is>
          <t>3 · DEPENDENT</t>
        </is>
      </c>
      <c r="F282" s="3" t="inlineStr">
        <is>
          <t>The user's dated flows for a measured set of accounts, investor-sign convention: money the user PUT IN is negative, money TAKEN OUT is positive.</t>
        </is>
      </c>
      <c r="G282" s="6" t="inlineStr">
        <is>
          <t>flows = []
in set = account ids.has(string(account id))
counter in set = counter account id ≠ nothing and account ids.has(string(counter account id))
when = date.parse(string(date))
the answer = flows where size of(amount) &gt; 0.004.sort((a, b) =&gt; date − date)</t>
        </is>
      </c>
      <c r="H282" s="3" t="inlineStr">
        <is>
          <t>Flows is []. In set is account ids.has(string(account id)). Counter in set is counter account id is not no answer and account ids.has(string(counter account id)). When is date.parse(string(date)). The answer is flows where size of(amount) &gt; 0.004.sort((a, b) =&gt; date minus date).</t>
        </is>
      </c>
      <c r="I282" s="3" t="inlineStr">
        <is>
          <t>PARTLY READ — some of the code is still showing through; needs a hand pass</t>
        </is>
      </c>
      <c r="J282" s="3" t="inlineStr">
        <is>
          <t>1. transactions: Transaction[]
2. accountIds: Set&lt;string&gt;</t>
        </is>
      </c>
      <c r="K282" s="3" t="inlineStr">
        <is>
          <t>NOT DECLARED — the code does not say what it gives back</t>
        </is>
      </c>
      <c r="L282" s="3" t="inlineStr">
        <is>
          <t>—</t>
        </is>
      </c>
      <c r="M282" s="3" t="inlineStr">
        <is>
          <t>1. If amount is missing it counts as zero, so nothing recorded and a real zero look the same.
2. If shares is missing it counts as zero, so nothing recorded and a real zero look the same.
3. If price is missing it counts as zero, so nothing recorded and a real zero look the same.
4. Leaves some rows out of the answer — check which.</t>
        </is>
      </c>
      <c r="N282" s="3" t="inlineStr">
        <is>
          <t>Yes</t>
        </is>
      </c>
      <c r="O282" s="3" t="inlineStr">
        <is>
          <t>MK-ST-F-056 has</t>
        </is>
      </c>
      <c r="P282" s="3" t="n">
        <v>1</v>
      </c>
      <c r="Q282" s="3" t="inlineStr">
        <is>
          <t>MK-ST-F-056 has</t>
        </is>
      </c>
      <c r="R282" s="3" t="inlineStr">
        <is>
          <t>MK-ST-F-056 has → MK-PF-F-024 userFlows</t>
        </is>
      </c>
      <c r="S282" s="3" t="inlineStr">
        <is>
          <t>—</t>
        </is>
      </c>
      <c r="T282" s="3" t="inlineStr">
        <is>
          <t>PERSONAL_FLOWS</t>
        </is>
      </c>
      <c r="U282" s="3" t="inlineStr">
        <is>
          <t>ACTIVE</t>
        </is>
      </c>
      <c r="V282" s="3" t="inlineStr">
        <is>
          <t>2026-08-27</t>
        </is>
      </c>
    </row>
    <row r="283">
      <c r="A283" s="3" t="inlineStr">
        <is>
          <t>MK-PF-F-025</t>
        </is>
      </c>
      <c r="B283" s="3" t="inlineStr">
        <is>
          <t>historyIsComplete</t>
        </is>
      </c>
      <c r="C283" s="3" t="inlineStr">
        <is>
          <t>src/domain/performance/moneyWeighted.ts</t>
        </is>
      </c>
      <c r="D283" s="3" t="n">
        <v>116</v>
      </c>
      <c r="E283" s="3" t="inlineStr">
        <is>
          <t>3 · DEPENDENT</t>
        </is>
      </c>
      <c r="F283" s="3" t="inlineStr">
        <is>
          <t>True iff every measured account's story begins IN the ledger (openable honestly).</t>
        </is>
      </c>
      <c r="G283" s="6" t="inlineStr">
        <is>
          <t>false   when first is missing
false   when !['OPENING_CASH', 'OPENING_POSITION', 'DEPOSIT'].includes(first.type as string)
true</t>
        </is>
      </c>
      <c r="H283" s="3" t="inlineStr">
        <is>
          <t>When first is missing, it answers false. When !['OPENING_CASH', 'OPENING_POSITION', 'DEPOSIT'].includes(first.type as string), it answers false. true.</t>
        </is>
      </c>
      <c r="I283" s="3" t="inlineStr">
        <is>
          <t>PARTLY READ — some of the code is still showing through; needs a hand pass</t>
        </is>
      </c>
      <c r="J283" s="3" t="inlineStr">
        <is>
          <t>1. transactions: Transaction[]
2. accounts: AssetAccount[]
3. accountIds: Set&lt;string&gt;</t>
        </is>
      </c>
      <c r="K283" s="3" t="inlineStr">
        <is>
          <t>boolean</t>
        </is>
      </c>
      <c r="L283" s="3" t="inlineStr">
        <is>
          <t>—</t>
        </is>
      </c>
      <c r="M283" s="3" t="inlineStr">
        <is>
          <t>· Leaves some rows out of the answer — check which.</t>
        </is>
      </c>
      <c r="N283" s="3" t="inlineStr">
        <is>
          <t>Yes</t>
        </is>
      </c>
      <c r="O283" s="3" t="inlineStr">
        <is>
          <t>MK-ST-F-056 has</t>
        </is>
      </c>
      <c r="P283" s="3" t="n">
        <v>1</v>
      </c>
      <c r="Q283" s="3" t="inlineStr">
        <is>
          <t>MK-ST-F-056 has</t>
        </is>
      </c>
      <c r="R283" s="3" t="inlineStr">
        <is>
          <t>MK-ST-F-056 has → MK-PF-F-025 historyIsComplete</t>
        </is>
      </c>
      <c r="S283" s="3" t="inlineStr">
        <is>
          <t>—</t>
        </is>
      </c>
      <c r="T283" s="3" t="inlineStr">
        <is>
          <t>PERSONAL_RETURN_POSSIBLE</t>
        </is>
      </c>
      <c r="U283" s="3" t="inlineStr">
        <is>
          <t>ACTIVE</t>
        </is>
      </c>
      <c r="V283" s="3" t="inlineStr">
        <is>
          <t>2026-08-27</t>
        </is>
      </c>
    </row>
    <row r="284">
      <c r="A284" s="3" t="inlineStr">
        <is>
          <t>MK-PF-F-026</t>
        </is>
      </c>
      <c r="B284" s="3" t="inlineStr">
        <is>
          <t>moneyWeightedReturn</t>
        </is>
      </c>
      <c r="C284" s="3" t="inlineStr">
        <is>
          <t>src/domain/performance/moneyWeighted.ts</t>
        </is>
      </c>
      <c r="D284" s="3" t="n">
        <v>193</v>
      </c>
      <c r="E284" s="3" t="inlineStr">
        <is>
          <t>2 · DISPLAYED</t>
        </is>
      </c>
      <c r="F284" s="3" t="inlineStr">
        <is>
          <t>XIRR via bisection — deterministic, no derivative games.</t>
        </is>
      </c>
      <c r="G284" s="6" t="inlineStr">
        <is>
          <t>reason = 'no_history'   when !history is complete(transactions, accounts, account ids)
flows = user flows(transactions, account ids)
invested = flows where amount &lt; 0
reason = 'no_history'   when invested.length = 0
t0 = flows[0].date
since days = round down((now − t0) ÷ DAY)
reason = 'too_short'   when since days &lt; 30
lo = -0.95, hi = 10
f = (r: number) =&gt; npv(r, flows, math.max(0, current value), now, t0)
f lo = f(lo), f hi = f(hi)
reason = 'no_solution'   when f lo × f hi &gt; 0
… the first steps only — the rest of the body needs reading by hand.</t>
        </is>
      </c>
      <c r="H284" s="3" t="inlineStr">
        <is>
          <t>When !history is complete(transactions, accounts, account ids), it answers reason = 'no_history'. Flows is user flows(transactions, account ids). Invested is flows where amount &lt; 0. When invested.length = 0, it answers reason = 'no_history'. T0 is flows[0].date. Since days is (now minus t0, rounded down divided by DAY). When since days &lt; 30, it answers reason = 'too_short'. Lo is -0.95, hi = 10. F is (r: number) =&gt; npv(r, flows, math.current value, never below zero, now, t0). F lo is f(lo), f hi = f(hi). When f lo times f hi &gt; 0, it answers reason = 'no_solution'. Only the first steps are shown; the rest of the body needs reading by hand.</t>
        </is>
      </c>
      <c r="I284" s="3" t="inlineStr">
        <is>
          <t>PARTLY READ — some of the code is still showing through; needs a hand pass</t>
        </is>
      </c>
      <c r="J284" s="3" t="inlineStr">
        <is>
          <t>Nothing is handed to it</t>
        </is>
      </c>
      <c r="K284" s="3" t="inlineStr">
        <is>
          <t>NOT DECLARED — the code does not say what it gives back</t>
        </is>
      </c>
      <c r="L284" s="3" t="inlineStr">
        <is>
          <t>NOT FOUND — a screen calls it, but the words printed beside its answer could not be traced automatically. Needs reading.</t>
        </is>
      </c>
      <c r="M284" s="3" t="inlineStr">
        <is>
          <t>1. Uses a built-in i of 0.
2. Uses today's date from the device clock, so the answer changes by itself overnight.
3. Rounds the answer to a whole number.
4. Leaves some rows out of the answer — check which.</t>
        </is>
      </c>
      <c r="N284" s="3" t="inlineStr">
        <is>
          <t>Yes</t>
        </is>
      </c>
      <c r="O284" s="3" t="inlineStr">
        <is>
          <t>1. MK-PF-F-025 historyIsComplete
2. MK-PF-F-030 npv
3. MK-PF-F-024 userFlows</t>
        </is>
      </c>
      <c r="P284" s="3" t="n">
        <v>4</v>
      </c>
      <c r="Q284" s="3" t="inlineStr">
        <is>
          <t>1. MK-PF-F-025 historyIsComplete
2. MK-PF-F-030 npv
3. MK-PF-F-024 userFlows
4. MK-ST-F-056 has</t>
        </is>
      </c>
      <c r="R284" s="3" t="inlineStr">
        <is>
          <t>1. MK-ST-F-056 has → MK-PF-F-025 historyIsComplete → MK-PF-F-026 moneyWeightedReturn
2. MK-PF-F-030 npv → MK-PF-F-026 moneyWeightedReturn
3. MK-ST-F-056 has → MK-PF-F-024 userFlows → MK-PF-F-026 moneyWeightedReturn</t>
        </is>
      </c>
      <c r="S284" s="3" t="inlineStr">
        <is>
          <t>—</t>
        </is>
      </c>
      <c r="T284" s="3" t="inlineStr">
        <is>
          <t>PERSONAL_RETURN</t>
        </is>
      </c>
      <c r="U284" s="3" t="inlineStr">
        <is>
          <t>ACTIVE</t>
        </is>
      </c>
      <c r="V284" s="3" t="inlineStr">
        <is>
          <t>2026-08-27</t>
        </is>
      </c>
    </row>
    <row r="285">
      <c r="A285" s="3" t="inlineStr">
        <is>
          <t>MK-PF-F-027</t>
        </is>
      </c>
      <c r="B285" s="3" t="inlineStr">
        <is>
          <t>isMoneyWeighted</t>
        </is>
      </c>
      <c r="C285" s="3" t="inlineStr">
        <is>
          <t>src/domain/performance/moneyWeighted.ts</t>
        </is>
      </c>
      <c r="D285" s="3" t="n">
        <v>238</v>
      </c>
      <c r="E285" s="3" t="inlineStr">
        <is>
          <t>2 · DISPLAYED</t>
        </is>
      </c>
      <c r="F285" s="3" t="inlineStr">
        <is>
          <t>Did the personal return produce a number, or a reason it could not?</t>
        </is>
      </c>
      <c r="G285" s="6" t="inlineStr">
        <is>
          <t>(r as money weighted).rate per year ! = undefined</t>
        </is>
      </c>
      <c r="H285" s="3" t="inlineStr">
        <is>
          <t>(r as money weighted).rate per year ! = undefined.</t>
        </is>
      </c>
      <c r="I285" s="3" t="inlineStr">
        <is>
          <t>PARTLY READ — some of the code is still showing through; needs a hand pass</t>
        </is>
      </c>
      <c r="J285" s="3" t="inlineStr">
        <is>
          <t>r: MoneyWeighted | MoneyWeightedMiss</t>
        </is>
      </c>
      <c r="K285" s="3" t="inlineStr">
        <is>
          <t>r is MoneyWeighted</t>
        </is>
      </c>
      <c r="L285" s="3" t="inlineStr">
        <is>
          <t>NOT FOUND — a screen calls it, but the words printed beside its answer could not be traced automatically. Needs reading.</t>
        </is>
      </c>
      <c r="M285" s="3" t="inlineStr">
        <is>
          <t>None found in this function — anything it assumes comes from the functions it depends on.</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PERSONAL_RETURN_ANSWERED</t>
        </is>
      </c>
      <c r="U285" s="3" t="inlineStr">
        <is>
          <t>ACTIVE</t>
        </is>
      </c>
      <c r="V285" s="3" t="inlineStr">
        <is>
          <t>2026-08-27</t>
        </is>
      </c>
    </row>
    <row r="286">
      <c r="A286" s="3" t="inlineStr">
        <is>
          <t>MK-PF-F-028</t>
        </is>
      </c>
      <c r="B286" s="3" t="inlineStr">
        <is>
          <t>realizedFromLedger</t>
        </is>
      </c>
      <c r="C286" s="3" t="inlineStr">
        <is>
          <t>src/domain/performance/realized.ts</t>
        </is>
      </c>
      <c r="D286" s="3" t="n">
        <v>50</v>
      </c>
      <c r="E286" s="3" t="inlineStr">
        <is>
          <t>2 · DISPLAYED</t>
        </is>
      </c>
      <c r="F286" s="3" t="inlineStr">
        <is>
          <t>How much profit have I actually taken?</t>
        </is>
      </c>
      <c r="G286" s="6" t="inlineStr">
        <is>
          <t>now = opts.now (or new date() when missing)
yr = string(now.get full year())
queues = new map&lt;string, { shares: number; price: number }[]&gt;()
key of = (t: transaction) =&gt; `${account id}|${string(ticker).to upper case()}`
all = 0, year = 0, counted = 0, uncovered = 0
k = key of(t)
q = queues.get(k) (or none when missing)
q = queues.get(k) (or none when missing)
to sell = shares!
basis = 0, covered = 0
lot = the first of q
… the first steps only — the rest of the body needs reading by hand.</t>
        </is>
      </c>
      <c r="H286" s="3" t="inlineStr">
        <is>
          <t>Now is opts.now (or new date() — when missing). Yr is string(now.get full year()). Queues is new map&lt;string, { shares: number; price: number }[]&gt;(). Key of is (t: transaction) =&gt; `${account id}|${string(ticker).to upper case()}`. All is 0, year = 0, counted = 0, uncovered = 0. K is key of(t). Q is queues.get(k) (or none — when missing). Q is queues.get(k) (or none — when missing). To sell is shares!. Basis is 0, covered = 0. Lot: the first of q. Only the first steps are shown; the rest of the body needs reading by hand.</t>
        </is>
      </c>
      <c r="I286" s="3" t="inlineStr">
        <is>
          <t>PARTLY READ — some of the code is still showing through; needs a hand pass</t>
        </is>
      </c>
      <c r="J286" s="3" t="inlineStr">
        <is>
          <t>Nothing is handed to it</t>
        </is>
      </c>
      <c r="K286" s="3" t="inlineStr">
        <is>
          <t>NOT DECLARED — the code does not say what it gives back</t>
        </is>
      </c>
      <c r="L286" s="3" t="inlineStr">
        <is>
          <t>"Realized from sales" — on the Holding detail screen, under "DIVIDENDS &amp; REALIZED"</t>
        </is>
      </c>
      <c r="M286" s="3" t="inlineStr">
        <is>
          <t>1. If shares is missing it uses 0.
2. Uses today's date from the device clock, so the answer changes by itself overnight.
3. Multiplies by 100 — a percentage, or an option contract treated as 100 shares. Worth checking which.
4. Rounds the answer to a whole number.
5. Leaves some rows out of the answer — check which.</t>
        </is>
      </c>
      <c r="N286" s="3" t="inlineStr">
        <is>
          <t>Yes</t>
        </is>
      </c>
      <c r="O286" s="3" t="inlineStr">
        <is>
          <t>—</t>
        </is>
      </c>
      <c r="P286" s="3" t="n">
        <v>0</v>
      </c>
      <c r="Q286" s="3" t="inlineStr">
        <is>
          <t>None — no dependent function stands behind it</t>
        </is>
      </c>
      <c r="R286" s="3" t="inlineStr">
        <is>
          <t>No dependent function — it reads its inputs and answers</t>
        </is>
      </c>
      <c r="S286" s="3" t="inlineStr">
        <is>
          <t>MK-NW-M-035</t>
        </is>
      </c>
      <c r="T286" s="3" t="inlineStr">
        <is>
          <t>REALISED_GAIN</t>
        </is>
      </c>
      <c r="U286" s="3" t="inlineStr">
        <is>
          <t>ACTIVE</t>
        </is>
      </c>
      <c r="V286" s="3" t="inlineStr">
        <is>
          <t>2026-08-27</t>
        </is>
      </c>
    </row>
    <row r="287">
      <c r="A287" s="3" t="inlineStr">
        <is>
          <t>MK-PF-F-029</t>
        </is>
      </c>
      <c r="B287" s="3" t="inlineStr">
        <is>
          <t>closeAsOf</t>
        </is>
      </c>
      <c r="C287" s="3" t="inlineStr">
        <is>
          <t>src/domain/performance/index.ts</t>
        </is>
      </c>
      <c r="D287" s="3" t="n">
        <v>314</v>
      </c>
      <c r="E287" s="3" t="inlineStr">
        <is>
          <t>3 · DEPENDENT</t>
        </is>
      </c>
      <c r="F287" s="3" t="inlineStr">
        <is>
          <t>Close on/just-before a target date (series oldest→newest).</t>
        </is>
      </c>
      <c r="G287" s="6" t="inlineStr">
        <is>
          <t>pts = series.points (or none when missing)
nothing   when count of pts is missing
t = target.get time()
chosen = nothing
the answer = chosen (or pts[0].close when missing)</t>
        </is>
      </c>
      <c r="H287" s="3" t="inlineStr">
        <is>
          <t>Pts is series.points (or none — when missing). When how many pts is missing there are, it answers no answer. T is target.get time(). Chosen is no answer. The answer is chosen (or pts[0].close — when missing).</t>
        </is>
      </c>
      <c r="I287" s="3" t="inlineStr">
        <is>
          <t>PARTLY READ — some of the code is still showing through; needs a hand pass</t>
        </is>
      </c>
      <c r="J287" s="3" t="inlineStr">
        <is>
          <t>1. series: PriceSeries | null | undefined
2. target: Date</t>
        </is>
      </c>
      <c r="K287" s="3" t="inlineStr">
        <is>
          <t>number | null</t>
        </is>
      </c>
      <c r="L287" s="3" t="inlineStr">
        <is>
          <t>—</t>
        </is>
      </c>
      <c r="M287" s="3" t="inlineStr">
        <is>
          <t>None found in this function — anything it assumes comes from the functions it depends on.</t>
        </is>
      </c>
      <c r="N287" s="3" t="inlineStr">
        <is>
          <t>Yes</t>
        </is>
      </c>
      <c r="O287" s="3" t="inlineStr">
        <is>
          <t>—</t>
        </is>
      </c>
      <c r="P287" s="3" t="n">
        <v>0</v>
      </c>
      <c r="Q287" s="3" t="inlineStr">
        <is>
          <t>None — no dependent function stands behind it</t>
        </is>
      </c>
      <c r="R287" s="3" t="inlineStr">
        <is>
          <t>No dependent function — it reads its inputs and answers</t>
        </is>
      </c>
      <c r="S287" s="3" t="inlineStr">
        <is>
          <t>—</t>
        </is>
      </c>
      <c r="T287" s="3" t="inlineStr">
        <is>
          <t>—</t>
        </is>
      </c>
      <c r="U287" s="3" t="inlineStr">
        <is>
          <t>ACTIVE</t>
        </is>
      </c>
      <c r="V287" s="3" t="inlineStr">
        <is>
          <t>2026-08-27</t>
        </is>
      </c>
    </row>
    <row r="288">
      <c r="A288" s="3" t="inlineStr">
        <is>
          <t>MK-PF-F-030</t>
        </is>
      </c>
      <c r="B288" s="3" t="inlineStr">
        <is>
          <t>npv</t>
        </is>
      </c>
      <c r="C288" s="3" t="inlineStr">
        <is>
          <t>src/domain/performance/moneyWeighted.ts</t>
        </is>
      </c>
      <c r="D288" s="3" t="n">
        <v>152</v>
      </c>
      <c r="E288" s="3" t="inlineStr">
        <is>
          <t>3 · DEPENDENT</t>
        </is>
      </c>
      <c r="F288" s="3" t="inlineStr">
        <is>
          <t>NOT DETERMINED — the code carries no note saying what this is for, and it has no row in the old inventory. Needs reading.</t>
        </is>
      </c>
      <c r="G288" s="6" t="inlineStr">
        <is>
          <t>disc = (when: number) =&gt; (1 + rate)^(-((when − t0) ÷ DAY) ÷ 365)
v = 0
the answer = v + end value × disc(end date)</t>
        </is>
      </c>
      <c r="H288" s="3" t="inlineStr">
        <is>
          <t>Disc is (when: number) =&gt; (1 plus rate)^(-((when minus t0) divided by DAY) divided by 365). V is 0. The answer is v plus end value times disc(end date).</t>
        </is>
      </c>
      <c r="I288" s="3" t="inlineStr">
        <is>
          <t>PARTLY READ — some of the code is still showing through; needs a hand pass</t>
        </is>
      </c>
      <c r="J288" s="3" t="inlineStr">
        <is>
          <t>1. rate: number
2. flows: { date: number; amount: number }[]
3. endValue: number
4. endDate: number
5. t0: number</t>
        </is>
      </c>
      <c r="K288" s="3" t="inlineStr">
        <is>
          <t>number</t>
        </is>
      </c>
      <c r="L288" s="3" t="inlineStr">
        <is>
          <t>—</t>
        </is>
      </c>
      <c r="M288" s="3" t="inlineStr">
        <is>
          <t>1. Uses a built-in v of 0.
2. Treats a year as 365 days.</t>
        </is>
      </c>
      <c r="N288" s="3" t="inlineStr">
        <is>
          <t>Yes</t>
        </is>
      </c>
      <c r="O288" s="3" t="inlineStr">
        <is>
          <t>—</t>
        </is>
      </c>
      <c r="P288" s="3" t="n">
        <v>0</v>
      </c>
      <c r="Q288" s="3" t="inlineStr">
        <is>
          <t>None — no dependent function stands behind it</t>
        </is>
      </c>
      <c r="R288" s="3" t="inlineStr">
        <is>
          <t>No dependent function — it reads its inputs and answers</t>
        </is>
      </c>
      <c r="S288" s="3" t="inlineStr">
        <is>
          <t>—</t>
        </is>
      </c>
      <c r="T288" s="3" t="inlineStr">
        <is>
          <t>—</t>
        </is>
      </c>
      <c r="U288" s="3" t="inlineStr">
        <is>
          <t>ACTIVE</t>
        </is>
      </c>
      <c r="V288" s="3" t="inlineStr">
        <is>
          <t>2026-08-27</t>
        </is>
      </c>
    </row>
    <row r="289">
      <c r="A289" s="3" t="inlineStr">
        <is>
          <t>MK-PL-F-001</t>
        </is>
      </c>
      <c r="B289" s="3" t="inlineStr">
        <is>
          <t>taxBucketSplit</t>
        </is>
      </c>
      <c r="C289" s="3" t="inlineStr">
        <is>
          <t>src/domain/decumulation/index.ts</t>
        </is>
      </c>
      <c r="D289" s="3" t="n">
        <v>36</v>
      </c>
      <c r="E289" s="3" t="inlineStr">
        <is>
          <t>2 · DISPLAYED</t>
        </is>
      </c>
      <c r="F289" s="3" t="inlineStr">
        <is>
          <t>How is the retirement money split by the tax that will be owed on it?</t>
        </is>
      </c>
      <c r="G289" s="6" t="inlineStr">
        <is>
          <t>s = taxable = 0
pre tax = 0
roth = 0
cash = 0
total = 0
v = earmarked amount(a)
the answer = s</t>
        </is>
      </c>
      <c r="H289" s="3" t="inlineStr">
        <is>
          <t>S is taxable = 0; pre tax = 0; roth = 0; cash = 0; total = 0. V is earmarked amount(a). The answer is s.</t>
        </is>
      </c>
      <c r="I289" s="3" t="inlineStr">
        <is>
          <t>READ FROM THE CODE — rendered from the expressions the function runs</t>
        </is>
      </c>
      <c r="J289" s="3" t="inlineStr">
        <is>
          <t>accounts: AssetAccount[]</t>
        </is>
      </c>
      <c r="K289" s="3" t="inlineStr">
        <is>
          <t>BucketSplit</t>
        </is>
      </c>
      <c r="L289"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289" s="3" t="inlineStr">
        <is>
          <t>None found in this function — anything it assumes comes from the functions it depends on.</t>
        </is>
      </c>
      <c r="N289" s="3" t="inlineStr">
        <is>
          <t>Yes</t>
        </is>
      </c>
      <c r="O289" s="3" t="inlineStr">
        <is>
          <t>1. MK-NW-F-032 earmarkedAmount
2. MK-ST-F-055 round2</t>
        </is>
      </c>
      <c r="P289" s="3" t="n">
        <v>10</v>
      </c>
      <c r="Q289" s="3" t="inlineStr">
        <is>
          <t>1. MK-NW-F-032 earmarkedAmount
2. MK-ST-F-055 round2
3. MK-NW-F-030 earmarkDefault
4. MK-NW-F-011 assetClassOf
5. MK-NW-F-013 realEstateUseOf
6. MK-NW-F-008 incomeBearingClassOf
7. MK-CF-F-155 cash
8. MK-ST-F-010 nameEvidence
9. MK-ST-F-056 has
10. MK-CF-F-132 map</t>
        </is>
      </c>
      <c r="R289"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
3. MK-NW-F-013 realEstateUseOf → MK-NW-F-030 earmarkDefault → MK-NW-F-032 earmarkedAmount → MK-PL-F-001 taxBucketSplit
4. MK-ST-F-055 round2 → MK-NW-F-032 earmarkedAmount → MK-PL-F-001 taxBucketSplit
5. MK-ST-F-055 round2 → MK-PL-F-001 taxBucketSplit</t>
        </is>
      </c>
      <c r="S289" s="3" t="inlineStr">
        <is>
          <t>—</t>
        </is>
      </c>
      <c r="T289" s="3" t="inlineStr">
        <is>
          <t>SPLIT_BY_HOW_IT_IS_TAXED</t>
        </is>
      </c>
      <c r="U289" s="3" t="inlineStr">
        <is>
          <t>ACTIVE</t>
        </is>
      </c>
      <c r="V289" s="3" t="inlineStr">
        <is>
          <t>2026-08-27</t>
        </is>
      </c>
    </row>
    <row r="290">
      <c r="A290" s="3" t="inlineStr">
        <is>
          <t>MK-PL-F-002</t>
        </is>
      </c>
      <c r="B290" s="3" t="inlineStr">
        <is>
          <t>withdrawalPlan</t>
        </is>
      </c>
      <c r="C290" s="3" t="inlineStr">
        <is>
          <t>src/domain/decumulation/index.ts</t>
        </is>
      </c>
      <c r="D290" s="3" t="n">
        <v>83</v>
      </c>
      <c r="E290" s="3" t="inlineStr">
        <is>
          <t>2 · DISPLAYED</t>
        </is>
      </c>
      <c r="F290" s="3" t="inlineStr">
        <is>
          <t>NOT DETERMINED — the code carries no note saying what this is for, and it has no row in the old inventory. Needs reading.</t>
        </is>
      </c>
      <c r="G290" s="6" t="inlineStr">
        <is>
          <t>spend annual = round(spend monthly × 12, 2 dp)
guaranteed annual = round(guaranteed monthly × 12, 2 dp)
net withdrawal = max(0, round(spend annual − guaranteed annual, 2 dp))
withdrawal rate = round(net withdrawal ÷ nest egg, 4 dp)   if nest egg &gt; 0
nothing   otherwise
the answer = { spend annual, guaranteed annual, net withdrawal, withdrawal rate, rate band }</t>
        </is>
      </c>
      <c r="H290" s="3" t="inlineStr">
        <is>
          <t>Spend annual is spend monthly times 12, to the cent. Guaranteed annual is guaranteed monthly times 12, to the cent. Net withdrawal is spend annual minus guaranteed annual, to the cent, never below zero. Withdrawal rate is net withdrawal divided by nest egg, to 4 decimal places — when nest egg &gt; 0; no answer — otherwise. The answer is { spend annual, guaranteed annual, net withdrawal, withdrawal rate, rate band }.</t>
        </is>
      </c>
      <c r="I290" s="3" t="inlineStr">
        <is>
          <t>READ FROM THE CODE — rendered from the expressions the function runs</t>
        </is>
      </c>
      <c r="J290" s="3" t="inlineStr">
        <is>
          <t>1. spendMonthly: number
2. guaranteedMonthly: number
3. nestEgg: number</t>
        </is>
      </c>
      <c r="K290" s="3" t="inlineStr">
        <is>
          <t>WithdrawalPlan</t>
        </is>
      </c>
      <c r="L290" s="3" t="inlineStr">
        <is>
          <t>1. "From your portfolio" — on the Retirement cockpit screen
2. "WILL YOUR MONEY LAST?" — on the Retirement cockpit screen, under "RETIREMENT
3. WHERE YOU STAND"
4. "You plan to spend" — on the Retirement cockpit screen</t>
        </is>
      </c>
      <c r="M290" s="3" t="inlineStr">
        <is>
          <t>1. Turns a monthly figure into a year by multiplying by twelve.
2. Rounds the answer to a whole number.</t>
        </is>
      </c>
      <c r="N290" s="3" t="inlineStr">
        <is>
          <t>Yes</t>
        </is>
      </c>
      <c r="O290" s="3" t="inlineStr">
        <is>
          <t>MK-ST-F-055 round2</t>
        </is>
      </c>
      <c r="P290" s="3" t="n">
        <v>1</v>
      </c>
      <c r="Q290" s="3" t="inlineStr">
        <is>
          <t>MK-ST-F-055 round2</t>
        </is>
      </c>
      <c r="R290" s="3" t="inlineStr">
        <is>
          <t>MK-ST-F-055 round2 → MK-PL-F-002 withdrawalPlan</t>
        </is>
      </c>
      <c r="S290" s="3" t="inlineStr">
        <is>
          <t>—</t>
        </is>
      </c>
      <c r="T290" s="3" t="inlineStr">
        <is>
          <t>—</t>
        </is>
      </c>
      <c r="U290" s="3" t="inlineStr">
        <is>
          <t>ACTIVE</t>
        </is>
      </c>
      <c r="V290" s="3" t="inlineStr">
        <is>
          <t>2026-08-27</t>
        </is>
      </c>
    </row>
    <row r="291">
      <c r="A291" s="3" t="inlineStr">
        <is>
          <t>MK-PL-F-003</t>
        </is>
      </c>
      <c r="B291" s="3" t="inlineStr">
        <is>
          <t>depletionAge</t>
        </is>
      </c>
      <c r="C291" s="3" t="inlineStr">
        <is>
          <t>src/domain/decumulation/index.ts</t>
        </is>
      </c>
      <c r="D291" s="3" t="n">
        <v>126</v>
      </c>
      <c r="E291" s="3" t="inlineStr">
        <is>
          <t>2 · DISPLAYED</t>
        </is>
      </c>
      <c r="F291" s="3" t="inlineStr">
        <is>
          <t>---- deterministic depletion ---- Age the portfolio runs out (deterministic), or null if it lasts to the horizon.</t>
        </is>
      </c>
      <c r="G291" s="6" t="inlineStr">
        <is>
          <t>bal = nest egg
net = net withdrawal now
rmd on = (pre tax share ?? 0) &gt; 0
pre tax bal = bal × min(1, max(0, pre tax share!))   if rmd on
0   otherwise
rate = min(0.6, max(0, rmd tax rate (or 0.22 when missing)))
growth = 1 + return rate
a + 1   when bal ≤ 0
the answer = nothing</t>
        </is>
      </c>
      <c r="H291"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291" s="3" t="inlineStr">
        <is>
          <t>PARTLY READ — some of the code is still showing through; needs a hand pass</t>
        </is>
      </c>
      <c r="J291" s="3" t="inlineStr">
        <is>
          <t>o: { age: number; horizon: number; nestEgg: number; netWithdrawalNow: number; returnRate: number; inflation: number; preTaxShare?: number; rmdTaxRate?: number }</t>
        </is>
      </c>
      <c r="K291" s="3" t="inlineStr">
        <is>
          <t>number | null</t>
        </is>
      </c>
      <c r="L291" s="3" t="inlineStr">
        <is>
          <t>NOT FOUND — a screen calls it, but the words printed beside its answer could not be traced automatically. Needs reading.</t>
        </is>
      </c>
      <c r="M291" s="3" t="inlineStr">
        <is>
          <t>1. If pre tax share is missing it uses 0.
2. If required withdrawal tax rate is missing it uses 22%.</t>
        </is>
      </c>
      <c r="N291" s="3" t="inlineStr">
        <is>
          <t>Yes</t>
        </is>
      </c>
      <c r="O291" s="3" t="inlineStr">
        <is>
          <t>1. MK-PL-F-007 rmdAtAge
2. MK-PL-F-005 rmdStartAgeFor</t>
        </is>
      </c>
      <c r="P291" s="3" t="n">
        <v>6</v>
      </c>
      <c r="Q291" s="3" t="inlineStr">
        <is>
          <t>1. MK-PL-F-007 rmdAtAge
2. MK-PL-F-005 rmdStartAgeFor
3. MK-PL-F-078 rmdDivisorAtAge
4. MK-ST-F-055 round2
5. MK-ST-F-025 rmdStartAgeFromAge
6. MK-ST-F-024 rmdStartAge</t>
        </is>
      </c>
      <c r="R291" s="3" t="inlineStr">
        <is>
          <t>1. MK-PL-F-078 rmdDivisorAtAge → MK-PL-F-007 rmdAtAge → MK-PL-F-003 depletionAge
2. MK-ST-F-055 round2 → MK-PL-F-007 rmdAtAge → MK-PL-F-003 depletionAge
3. MK-ST-F-024 rmdStartAge → MK-ST-F-025 rmdStartAgeFromAge → MK-PL-F-005 rmdStartAgeFor → MK-PL-F-003 depletionAge</t>
        </is>
      </c>
      <c r="S291" s="3" t="inlineStr">
        <is>
          <t>—</t>
        </is>
      </c>
      <c r="T291" s="3" t="inlineStr">
        <is>
          <t>—</t>
        </is>
      </c>
      <c r="U291" s="3" t="inlineStr">
        <is>
          <t>ACTIVE</t>
        </is>
      </c>
      <c r="V291" s="3" t="inlineStr">
        <is>
          <t>2026-08-27</t>
        </is>
      </c>
    </row>
    <row r="292">
      <c r="A292" s="3" t="inlineStr">
        <is>
          <t>MK-PL-F-004</t>
        </is>
      </c>
      <c r="B292" s="3" t="inlineStr">
        <is>
          <t>withdrawalOrder</t>
        </is>
      </c>
      <c r="C292" s="3" t="inlineStr">
        <is>
          <t>src/domain/decumulation/index.ts</t>
        </is>
      </c>
      <c r="D292" s="3" t="n">
        <v>180</v>
      </c>
      <c r="E292" s="3" t="inlineStr">
        <is>
          <t>2 · DISPLAYED</t>
        </is>
      </c>
      <c r="F292" s="3" t="inlineStr">
        <is>
          <t>NOT DETERMINED — the code carries no note saying what this is for, and it has no row in the old inventory. Needs reading.</t>
        </is>
      </c>
      <c r="G292" s="6" t="inlineStr">
        <is>
          <t>steps = seq where split[bucket] &gt; 0for each of : ...each = ...each
amount = split[bucket]
pre = steps.find((s) =&gt; bucket = 'preTax')
the answer = steps</t>
        </is>
      </c>
      <c r="H292" s="3" t="inlineStr">
        <is>
          <t>Steps is seq where split[bucket] &gt; 0for each of : ...each = ...each; amount = split[bucket]. Pre is steps.find((s) =&gt; bucket = 'preTax'). The answer is steps.</t>
        </is>
      </c>
      <c r="I292" s="3" t="inlineStr">
        <is>
          <t>PARTLY READ — some of the code is still showing through; needs a hand pass</t>
        </is>
      </c>
      <c r="J292" s="3" t="inlineStr">
        <is>
          <t>1. split: BucketSplit
2. age = 0
3. userOrder?: DrawBucket[] | null</t>
        </is>
      </c>
      <c r="K292" s="3" t="inlineStr">
        <is>
          <t>OrderStep[]</t>
        </is>
      </c>
      <c r="L292" s="3" t="inlineStr">
        <is>
          <t>1. "Why this order?" — on the Cash flow screen
2. "Why? ›" — on the Cash flow screen, under "BIG-TICKET RADAR"</t>
        </is>
      </c>
      <c r="M292" s="3" t="inlineStr">
        <is>
          <t>· Leaves some rows out of the answer — check which.</t>
        </is>
      </c>
      <c r="N292" s="3" t="inlineStr">
        <is>
          <t>Yes</t>
        </is>
      </c>
      <c r="O292" s="3" t="inlineStr">
        <is>
          <t>1. MK-CF-F-132 map
2. MK-ST-F-039 on
3. MK-PL-F-007 rmdAtAge
4. MK-PL-F-005 rmdStartAgeFor</t>
        </is>
      </c>
      <c r="P292" s="3" t="n">
        <v>8</v>
      </c>
      <c r="Q292" s="3" t="inlineStr">
        <is>
          <t>1. MK-CF-F-132 map
2. MK-ST-F-039 on
3. MK-PL-F-007 rmdAtAge
4. MK-PL-F-005 rmdStartAgeFor
5. MK-PL-F-078 rmdDivisorAtAge
6. MK-ST-F-055 round2
7. MK-ST-F-025 rmdStartAgeFromAge
8. MK-ST-F-024 rmdStartAge</t>
        </is>
      </c>
      <c r="R292" s="3" t="inlineStr">
        <is>
          <t>1. MK-CF-F-132 map → MK-PL-F-004 withdrawalOrder
2. MK-ST-F-039 on → MK-PL-F-004 withdrawalOrder
3. MK-PL-F-078 rmdDivisorAtAge → MK-PL-F-007 rmdAtAge → MK-PL-F-004 withdrawalOrder
4. MK-ST-F-055 round2 → MK-PL-F-007 rmdAtAge → MK-PL-F-004 withdrawalOrder
5. MK-ST-F-024 rmdStartAge → MK-ST-F-025 rmdStartAgeFromAge → MK-PL-F-005 rmdStartAgeFor → MK-PL-F-004 withdrawalOrder</t>
        </is>
      </c>
      <c r="S292" s="3" t="inlineStr">
        <is>
          <t>—</t>
        </is>
      </c>
      <c r="T292" s="3" t="inlineStr">
        <is>
          <t>—</t>
        </is>
      </c>
      <c r="U292" s="3" t="inlineStr">
        <is>
          <t>ACTIVE</t>
        </is>
      </c>
      <c r="V292" s="3" t="inlineStr">
        <is>
          <t>2026-08-27</t>
        </is>
      </c>
    </row>
    <row r="293">
      <c r="A293" s="3" t="inlineStr">
        <is>
          <t>MK-PL-F-005</t>
        </is>
      </c>
      <c r="B293" s="3" t="inlineStr">
        <is>
          <t>rmdStartAgeFor</t>
        </is>
      </c>
      <c r="C293" s="3" t="inlineStr">
        <is>
          <t>src/domain/decumulation/index.ts</t>
        </is>
      </c>
      <c r="D293" s="3" t="n">
        <v>234</v>
      </c>
      <c r="E293" s="3" t="inlineStr">
        <is>
          <t>2 · DISPLAYED</t>
        </is>
      </c>
      <c r="F293" s="3" t="inlineStr">
        <is>
          <t>---- Required Minimum Distributions ---- B4 (founder brief 2026-08-20): the rule lives in ONE dated, sourced table — the Calculation Module's rmd engine.</t>
        </is>
      </c>
      <c r="G293" s="6" t="inlineStr">
        <is>
          <t>73   if age = nothing
rmd start age from age(age, now year)   otherwise</t>
        </is>
      </c>
      <c r="H293" s="3" t="inlineStr">
        <is>
          <t>73 — when age is missing; rmd start age from age(age, now year) — otherwise.</t>
        </is>
      </c>
      <c r="I293" s="3" t="inlineStr">
        <is>
          <t>READ FROM THE CODE — rendered from the expressions the function runs</t>
        </is>
      </c>
      <c r="J293" s="3" t="inlineStr">
        <is>
          <t>1. age?: number | null
2. nowYear = new Date().getFullYear()</t>
        </is>
      </c>
      <c r="K293" s="3" t="inlineStr">
        <is>
          <t>number</t>
        </is>
      </c>
      <c r="L293"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293" s="3" t="inlineStr">
        <is>
          <t>· Uses today's date from the device clock, so the answer changes by itself overnight.</t>
        </is>
      </c>
      <c r="N293" s="3" t="inlineStr">
        <is>
          <t>Yes</t>
        </is>
      </c>
      <c r="O293" s="3" t="inlineStr">
        <is>
          <t>MK-ST-F-025 rmdStartAgeFromAge</t>
        </is>
      </c>
      <c r="P293" s="3" t="n">
        <v>2</v>
      </c>
      <c r="Q293" s="3" t="inlineStr">
        <is>
          <t>1. MK-ST-F-025 rmdStartAgeFromAge
2. MK-ST-F-024 rmdStartAge</t>
        </is>
      </c>
      <c r="R293" s="3" t="inlineStr">
        <is>
          <t>MK-ST-F-024 rmdStartAge → MK-ST-F-025 rmdStartAgeFromAge → MK-PL-F-005 rmdStartAgeFor</t>
        </is>
      </c>
      <c r="S293" s="3" t="inlineStr">
        <is>
          <t>—</t>
        </is>
      </c>
      <c r="T293" s="3" t="inlineStr">
        <is>
          <t>—</t>
        </is>
      </c>
      <c r="U293" s="3" t="inlineStr">
        <is>
          <t>ACTIVE</t>
        </is>
      </c>
      <c r="V293" s="3" t="inlineStr">
        <is>
          <t>2026-08-27</t>
        </is>
      </c>
    </row>
    <row r="294">
      <c r="A294" s="3" t="inlineStr">
        <is>
          <t>MK-PL-F-006</t>
        </is>
      </c>
      <c r="B294" s="3" t="inlineStr">
        <is>
          <t>rmdDivisor</t>
        </is>
      </c>
      <c r="C294" s="3" t="inlineStr">
        <is>
          <t>Calculation Module code/engines/rmd.ts</t>
        </is>
      </c>
      <c r="D294" s="3" t="n">
        <v>126</v>
      </c>
      <c r="E294" s="3" t="inlineStr">
        <is>
          <t>3 · DEPENDENT (feeds an action only)</t>
        </is>
      </c>
      <c r="F294" s="3" t="inlineStr">
        <is>
          <t>Divisor at an age, 0 before that person's start age.</t>
        </is>
      </c>
      <c r="G294" s="6" t="inlineStr">
        <is>
          <t>divisor(age) = 0                        when age is below the start age
               the table value at age   when the table lists that age
               straight-line between the two nearest listed ages   otherwise</t>
        </is>
      </c>
      <c r="H294"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294" s="3" t="inlineStr">
        <is>
          <t>READ BY HAND 2026-08-26 — checked line by line against the code</t>
        </is>
      </c>
      <c r="J294" s="3" t="inlineStr">
        <is>
          <t>1. age: number
2. birthYear?: number | null</t>
        </is>
      </c>
      <c r="K294" s="3" t="inlineStr">
        <is>
          <t>number</t>
        </is>
      </c>
      <c r="L294" s="3" t="inlineStr">
        <is>
          <t>—</t>
        </is>
      </c>
      <c r="M294" s="3" t="inlineStr">
        <is>
          <t>None found in this function — anything it assumes comes from the functions it depends on.</t>
        </is>
      </c>
      <c r="N294" s="3" t="inlineStr">
        <is>
          <t>No</t>
        </is>
      </c>
      <c r="O294" s="3" t="inlineStr">
        <is>
          <t>MK-ST-F-024 rmdStartAge</t>
        </is>
      </c>
      <c r="P294" s="3" t="n">
        <v>1</v>
      </c>
      <c r="Q294" s="3" t="inlineStr">
        <is>
          <t>MK-ST-F-024 rmdStartAge</t>
        </is>
      </c>
      <c r="R294" s="3" t="inlineStr">
        <is>
          <t>MK-ST-F-024 rmdStartAge → MK-PL-F-006 rmdDivisor</t>
        </is>
      </c>
      <c r="S294" s="3" t="inlineStr">
        <is>
          <t>—</t>
        </is>
      </c>
      <c r="T294" s="3" t="inlineStr">
        <is>
          <t>—</t>
        </is>
      </c>
      <c r="U294" s="3" t="inlineStr">
        <is>
          <t>ACTIVE</t>
        </is>
      </c>
      <c r="V294" s="3" t="inlineStr">
        <is>
          <t>2026-08-27</t>
        </is>
      </c>
    </row>
    <row r="295">
      <c r="A295" s="3" t="inlineStr">
        <is>
          <t>MK-PL-F-007</t>
        </is>
      </c>
      <c r="B295" s="3" t="inlineStr">
        <is>
          <t>rmdAtAge</t>
        </is>
      </c>
      <c r="C295" s="3" t="inlineStr">
        <is>
          <t>src/domain/decumulation/index.ts</t>
        </is>
      </c>
      <c r="D295" s="3" t="n">
        <v>287</v>
      </c>
      <c r="E295" s="3" t="inlineStr">
        <is>
          <t>2 · DISPLAYED</t>
        </is>
      </c>
      <c r="F295" s="3" t="inlineStr">
        <is>
          <t>Required minimum distribution from pre-tax balances at a given age (0 before the start age).</t>
        </is>
      </c>
      <c r="G295" s="6" t="inlineStr">
        <is>
          <t>required withdrawal = round(pre-tax balance ÷ divisor(age), 2 dp)
                    = 0   when the divisor is 0</t>
        </is>
      </c>
      <c r="H295"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295" s="3" t="inlineStr">
        <is>
          <t>READ BY HAND 2026-08-26 — checked line by line against the code</t>
        </is>
      </c>
      <c r="J295" s="3" t="inlineStr">
        <is>
          <t>1. preTaxBalance: number
2. age: number</t>
        </is>
      </c>
      <c r="K295" s="3" t="inlineStr">
        <is>
          <t>number</t>
        </is>
      </c>
      <c r="L295"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295" s="3" t="inlineStr">
        <is>
          <t>None found in this function — anything it assumes comes from the functions it depends on.</t>
        </is>
      </c>
      <c r="N295" s="3" t="inlineStr">
        <is>
          <t>Yes</t>
        </is>
      </c>
      <c r="O295" s="3" t="inlineStr">
        <is>
          <t>1. MK-PL-F-078 rmdDivisorAtAge
2. MK-ST-F-055 round2</t>
        </is>
      </c>
      <c r="P295" s="3" t="n">
        <v>2</v>
      </c>
      <c r="Q295" s="3" t="inlineStr">
        <is>
          <t>1. MK-PL-F-078 rmdDivisorAtAge
2. MK-ST-F-055 round2</t>
        </is>
      </c>
      <c r="R295" s="3" t="inlineStr">
        <is>
          <t>1. MK-PL-F-078 rmdDivisorAtAge → MK-PL-F-007 rmdAtAge
2. MK-ST-F-055 round2 → MK-PL-F-007 rmdAtAge</t>
        </is>
      </c>
      <c r="S295" s="3" t="inlineStr">
        <is>
          <t>—</t>
        </is>
      </c>
      <c r="T295" s="3" t="inlineStr">
        <is>
          <t>—</t>
        </is>
      </c>
      <c r="U295" s="3" t="inlineStr">
        <is>
          <t>ACTIVE</t>
        </is>
      </c>
      <c r="V295" s="3" t="inlineStr">
        <is>
          <t>2026-08-27</t>
        </is>
      </c>
    </row>
    <row r="296">
      <c r="A296" s="3" t="inlineStr">
        <is>
          <t>MK-PL-F-008</t>
        </is>
      </c>
      <c r="B296" s="3" t="inlineStr">
        <is>
          <t>rmdSchedule</t>
        </is>
      </c>
      <c r="C296" s="3" t="inlineStr">
        <is>
          <t>src/domain/decumulation/index.ts</t>
        </is>
      </c>
      <c r="D296" s="3" t="n">
        <v>335</v>
      </c>
      <c r="E296" s="3" t="inlineStr">
        <is>
          <t>2 · DISPLAYED</t>
        </is>
      </c>
      <c r="F296" s="3" t="inlineStr">
        <is>
          <t>Year-by-year mandated-withdrawal schedule (ESTIMATES: future balances move with returns).</t>
        </is>
      </c>
      <c r="G296" s="6" t="inlineStr">
        <is>
          <t>rows = []
rows   when pre tax now ≤ 0
start age = max(rmd start age for(age now, now year), age now)
bal = pre tax now
r = max(0, exp return (or 0 when missing or zero))
age = start age + i
amount = rmd at age(bal, age)
the answer = rows</t>
        </is>
      </c>
      <c r="H296"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296" s="3" t="inlineStr">
        <is>
          <t>READ FROM THE CODE — rendered from the expressions the function runs</t>
        </is>
      </c>
      <c r="J296" s="3" t="inlineStr">
        <is>
          <t>1. preTaxNow: number
2. ageNow: number
3. expReturn: number
4. years = 15
5. nowYear = new Date().getFullYear()</t>
        </is>
      </c>
      <c r="K296" s="3" t="inlineStr">
        <is>
          <t>RmdYearRow[]</t>
        </is>
      </c>
      <c r="L296" s="3" t="inlineStr">
        <is>
          <t>NOT FOUND — a screen calls it, but the words printed beside its answer could not be traced automatically. Needs reading.</t>
        </is>
      </c>
      <c r="M296" s="3" t="inlineStr">
        <is>
          <t>1. If exp return is missing it counts as zero, so nothing recorded and a real zero look the same.
2. Uses a built-in i of 0.
3. Uses today's date from the device clock, so the answer changes by itself overnight.
4. Rounds the answer to a whole number.</t>
        </is>
      </c>
      <c r="N296" s="3" t="inlineStr">
        <is>
          <t>Yes</t>
        </is>
      </c>
      <c r="O296" s="3" t="inlineStr">
        <is>
          <t>1. MK-PL-F-054 growOneYear
2. MK-PL-F-007 rmdAtAge
3. MK-PL-F-078 rmdDivisorAtAge
4. MK-PL-F-005 rmdStartAgeFor</t>
        </is>
      </c>
      <c r="P296" s="3" t="n">
        <v>7</v>
      </c>
      <c r="Q296" s="3" t="inlineStr">
        <is>
          <t>1. MK-PL-F-054 growOneYear
2. MK-PL-F-007 rmdAtAge
3. MK-PL-F-078 rmdDivisorAtAge
4. MK-PL-F-005 rmdStartAgeFor
5. MK-ST-F-055 round2
6. MK-ST-F-025 rmdStartAgeFromAge
7. MK-ST-F-024 rmdStartAge</t>
        </is>
      </c>
      <c r="R296" s="3" t="inlineStr">
        <is>
          <t>1. MK-PL-F-054 growOneYear → MK-PL-F-008 rmdSchedule
2. MK-PL-F-078 rmdDivisorAtAge → MK-PL-F-007 rmdAtAge → MK-PL-F-008 rmdSchedule
3. MK-ST-F-055 round2 → MK-PL-F-007 rmdAtAge → MK-PL-F-008 rmdSchedule
4. MK-PL-F-078 rmdDivisorAtAge → MK-PL-F-008 rmdSchedule
5. MK-ST-F-024 rmdStartAge → MK-ST-F-025 rmdStartAgeFromAge → MK-PL-F-005 rmdStartAgeFor → MK-PL-F-008 rmdSchedule</t>
        </is>
      </c>
      <c r="S296" s="3" t="inlineStr">
        <is>
          <t>—</t>
        </is>
      </c>
      <c r="T296" s="3" t="inlineStr">
        <is>
          <t>—</t>
        </is>
      </c>
      <c r="U296" s="3" t="inlineStr">
        <is>
          <t>ACTIVE</t>
        </is>
      </c>
      <c r="V296" s="3" t="inlineStr">
        <is>
          <t>2026-08-27</t>
        </is>
      </c>
    </row>
    <row r="297">
      <c r="A297" s="3" t="inlineStr">
        <is>
          <t>MK-PL-F-009</t>
        </is>
      </c>
      <c r="B297" s="3" t="inlineStr">
        <is>
          <t>rmdTakenThisYear</t>
        </is>
      </c>
      <c r="C297" s="3" t="inlineStr">
        <is>
          <t>src/domain/decumulation/index.ts</t>
        </is>
      </c>
      <c r="D297" s="3" t="n">
        <v>381</v>
      </c>
      <c r="E297" s="3" t="inlineStr">
        <is>
          <t>2 · DISPLAYED</t>
        </is>
      </c>
      <c r="F297" s="3" t="inlineStr">
        <is>
          <t>Withdrawals already taken THIS year from the pre-tax accounts (the one ledger — no side lists).</t>
        </is>
      </c>
      <c r="G297" s="6" t="inlineStr">
        <is>
          <t>ids = a list with no repeats of for each of pre tax account ids: string</t>
        </is>
      </c>
      <c r="H297" s="3" t="inlineStr">
        <is>
          <t>Ids is a list with no repeats of for each of pre tax account ids: string.</t>
        </is>
      </c>
      <c r="I297" s="3" t="inlineStr">
        <is>
          <t>READ FROM THE CODE — rendered from the expressions the function runs</t>
        </is>
      </c>
      <c r="J297" s="3" t="inlineStr">
        <is>
          <t>1. transactions: { type?: string; account_id?: string; amount?: number; date?: string }[]
2. preTaxAccountIds: string[]
3. nowYear = new Date().getFullYear()</t>
        </is>
      </c>
      <c r="K297" s="3" t="inlineStr">
        <is>
          <t>number</t>
        </is>
      </c>
      <c r="L297" s="3" t="inlineStr">
        <is>
          <t>NOT FOUND — a screen calls it, but the words printed beside its answer could not be traced automatically. Needs reading.</t>
        </is>
      </c>
      <c r="M297" s="3" t="inlineStr">
        <is>
          <t>1. If amount is missing it counts as zero, so nothing recorded and a real zero look the same.
2. Uses today's date from the device clock, so the answer changes by itself overnight.
3. Leaves some rows out of the answer — check which.</t>
        </is>
      </c>
      <c r="N297" s="3" t="inlineStr">
        <is>
          <t>Yes</t>
        </is>
      </c>
      <c r="O297" s="3" t="inlineStr">
        <is>
          <t>1. MK-ST-F-056 has
2. MK-CF-F-132 map
3. MK-ST-F-055 round2</t>
        </is>
      </c>
      <c r="P297" s="3" t="n">
        <v>3</v>
      </c>
      <c r="Q297" s="3" t="inlineStr">
        <is>
          <t>1. MK-ST-F-056 has
2. MK-CF-F-132 map
3. MK-ST-F-055 round2</t>
        </is>
      </c>
      <c r="R297" s="3" t="inlineStr">
        <is>
          <t>1. MK-ST-F-056 has → MK-PL-F-009 rmdTakenThisYear
2. MK-CF-F-132 map → MK-PL-F-009 rmdTakenThisYear
3. MK-ST-F-055 round2 → MK-PL-F-009 rmdTakenThisYear</t>
        </is>
      </c>
      <c r="S297" s="3" t="inlineStr">
        <is>
          <t>—</t>
        </is>
      </c>
      <c r="T297" s="3" t="inlineStr">
        <is>
          <t>—</t>
        </is>
      </c>
      <c r="U297" s="3" t="inlineStr">
        <is>
          <t>ACTIVE</t>
        </is>
      </c>
      <c r="V297" s="3" t="inlineStr">
        <is>
          <t>2026-08-27</t>
        </is>
      </c>
    </row>
    <row r="298">
      <c r="A298" s="3" t="inlineStr">
        <is>
          <t>MK-PL-F-010</t>
        </is>
      </c>
      <c r="B298" s="3" t="inlineStr">
        <is>
          <t>drawOrderOutcome</t>
        </is>
      </c>
      <c r="C298" s="3" t="inlineStr">
        <is>
          <t>src/domain/decumulation/index.ts</t>
        </is>
      </c>
      <c r="D298" s="3" t="n">
        <v>435</v>
      </c>
      <c r="E298" s="3" t="inlineStr">
        <is>
          <t>2 · DISPLAYED</t>
        </is>
      </c>
      <c r="F298" s="3" t="inlineStr">
        <is>
          <t>NOT DETERMINED — the code carries no note saying what this is for, and it has no row in the old inventory. Needs reading.</t>
        </is>
      </c>
      <c r="G298" s="6" t="inlineStr">
        <is>
          <t>ord = ordinary rate (or 0.22, cg = (cap gains rate ?? 0.15) × (gain share ?? 0.5) when missing)
gross up = cash = 0
taxable = cg
pre tax = ord
roth = 0
bal = cash = split.cash
taxable = split.taxable
pre tax = split.pre tax
roth = split.roth
taxes = 0
need0 = max(0, spend annual − guaranteed annual)
lasts to age = nothing
total taxes = 0   when need0 ≤ 0
need = need0
rmd = rmd at age(bal.pre tax, age)
take = min(rmd, bal.pre tax)
tax = take × ord; taxes += tax
net = take − tax
… the first steps only — the rest of the body needs reading by hand.</t>
        </is>
      </c>
      <c r="H298" s="3" t="inlineStr">
        <is>
          <t>Ord is ordinary rate (or 0.22, cg = (cap gains rate ?? 0.15) times (gain share ?? 0.5) — when missing). Gross up is cash = 0; taxable = cg; pre tax = ord; roth = 0. Bal is cash = split.cash; taxable = split.taxable; pre tax = split.pre tax; roth = split.roth. Taxes is 0. Need0 is spend annual minus guaranteed annual, never below zero. When need0 is at most 0, it answers lasts to age is missing; total taxes = 0. Need is need0. Rmd is rmd at age(bal.pre tax, age). Take: the smaller of rmd and bal.pre tax. Tax is take times ord; taxes += tax. Net is take minus tax. Only the first steps are shown; the rest of the body needs reading by hand.</t>
        </is>
      </c>
      <c r="I298" s="3" t="inlineStr">
        <is>
          <t>PARTLY READ — some of the code is still showing through; needs a hand pass</t>
        </is>
      </c>
      <c r="J298" s="3" t="inlineStr">
        <is>
          <t>Nothing is handed to it</t>
        </is>
      </c>
      <c r="K298" s="3" t="inlineStr">
        <is>
          <t>NOT DECLARED — the code does not say what it gives back</t>
        </is>
      </c>
      <c r="L298" s="3" t="inlineStr">
        <is>
          <t>NOT FOUND — a screen calls it, but the words printed beside its answer could not be traced automatically. Needs reading.</t>
        </is>
      </c>
      <c r="M298" s="3" t="inlineStr">
        <is>
          <t>1. If ordinary rate is missing it uses 22%.
2. If cap gains rate is missing it uses 15%.
3. If gain share is missing it uses 50%.
4. Uses a built-in taxes of 0.</t>
        </is>
      </c>
      <c r="N298" s="3" t="inlineStr">
        <is>
          <t>Yes</t>
        </is>
      </c>
      <c r="O298" s="3" t="inlineStr">
        <is>
          <t>1. MK-PL-F-007 rmdAtAge
2. MK-PL-F-005 rmdStartAgeFor
3. MK-ST-F-055 round2</t>
        </is>
      </c>
      <c r="P298" s="3" t="n">
        <v>6</v>
      </c>
      <c r="Q298" s="3" t="inlineStr">
        <is>
          <t>1. MK-PL-F-007 rmdAtAge
2. MK-PL-F-005 rmdStartAgeFor
3. MK-ST-F-055 round2
4. MK-PL-F-078 rmdDivisorAtAge
5. MK-ST-F-025 rmdStartAgeFromAge
6. MK-ST-F-024 rmdStartAge</t>
        </is>
      </c>
      <c r="R298" s="3" t="inlineStr">
        <is>
          <t>1. MK-PL-F-078 rmdDivisorAtAge → MK-PL-F-007 rmdAtAge → MK-PL-F-010 drawOrderOutcome
2. MK-ST-F-055 round2 → MK-PL-F-007 rmdAtAge → MK-PL-F-010 drawOrderOutcome
3. MK-ST-F-024 rmdStartAge → MK-ST-F-025 rmdStartAgeFromAge → MK-PL-F-005 rmdStartAgeFor → MK-PL-F-010 drawOrderOutcome
4. MK-ST-F-055 round2 → MK-PL-F-010 drawOrderOutcome</t>
        </is>
      </c>
      <c r="S298" s="3" t="inlineStr">
        <is>
          <t>—</t>
        </is>
      </c>
      <c r="T298" s="3" t="inlineStr">
        <is>
          <t>—</t>
        </is>
      </c>
      <c r="U298" s="3" t="inlineStr">
        <is>
          <t>ACTIVE</t>
        </is>
      </c>
      <c r="V298" s="3" t="inlineStr">
        <is>
          <t>2026-08-27</t>
        </is>
      </c>
    </row>
    <row r="299">
      <c r="A299" s="3" t="inlineStr">
        <is>
          <t>MK-PL-F-011</t>
        </is>
      </c>
      <c r="B299" s="3" t="inlineStr">
        <is>
          <t>buildGoalsState</t>
        </is>
      </c>
      <c r="C299" s="3" t="inlineStr">
        <is>
          <t>src/domain/goals/index.ts</t>
        </is>
      </c>
      <c r="D299" s="3" t="n">
        <v>45</v>
      </c>
      <c r="E299" s="3" t="inlineStr">
        <is>
          <t>3 · DEPENDENT</t>
        </is>
      </c>
      <c r="F299" s="3" t="inlineStr">
        <is>
          <t>Months to reach each goal at the given monthly savings capacity.</t>
        </is>
      </c>
      <c r="G299" s="6" t="inlineStr">
        <is>
          <t>user id = uid
goals = progress
monthly capacity = round(monthly capacity, 2 dp)</t>
        </is>
      </c>
      <c r="H299" s="3" t="inlineStr">
        <is>
          <t>user id = uid; goals = progress; monthly capacity = monthly capacity, to the cent.</t>
        </is>
      </c>
      <c r="I299" s="3" t="inlineStr">
        <is>
          <t>READ FROM THE CODE — rendered from the expressions the function runs</t>
        </is>
      </c>
      <c r="J299" s="3" t="inlineStr">
        <is>
          <t>1. uid: UserId
2. goals: Goal[]
3. monthlyCapacity: number</t>
        </is>
      </c>
      <c r="K299" s="3" t="inlineStr">
        <is>
          <t>GoalsState</t>
        </is>
      </c>
      <c r="L299" s="3" t="inlineStr">
        <is>
          <t>—</t>
        </is>
      </c>
      <c r="M299" s="3" t="inlineStr">
        <is>
          <t>None found in this function — anything it assumes comes from the functions it depends on.</t>
        </is>
      </c>
      <c r="N299" s="3" t="inlineStr">
        <is>
          <t>Yes</t>
        </is>
      </c>
      <c r="O299" s="3" t="inlineStr">
        <is>
          <t>1. MK-CF-F-132 map
2. MK-ST-F-055 round2
3. MK-PL-F-012 waterfall</t>
        </is>
      </c>
      <c r="P299" s="3" t="n">
        <v>3</v>
      </c>
      <c r="Q299" s="3" t="inlineStr">
        <is>
          <t>1. MK-CF-F-132 map
2. MK-ST-F-055 round2
3. MK-PL-F-012 waterfall</t>
        </is>
      </c>
      <c r="R299" s="3" t="inlineStr">
        <is>
          <t>1. MK-CF-F-132 map → MK-PL-F-011 buildGoalsState
2. MK-ST-F-055 round2 → MK-PL-F-011 buildGoalsState
3. MK-ST-F-055 round2 → MK-PL-F-012 waterfall → MK-PL-F-011 buildGoalsState</t>
        </is>
      </c>
      <c r="S299" s="3" t="inlineStr">
        <is>
          <t>—</t>
        </is>
      </c>
      <c r="T299" s="3" t="inlineStr">
        <is>
          <t>—</t>
        </is>
      </c>
      <c r="U299" s="3" t="inlineStr">
        <is>
          <t>ACTIVE</t>
        </is>
      </c>
      <c r="V299" s="3" t="inlineStr">
        <is>
          <t>2026-08-27</t>
        </is>
      </c>
    </row>
    <row r="300">
      <c r="A300" s="3" t="inlineStr">
        <is>
          <t>MK-PL-F-012</t>
        </is>
      </c>
      <c r="B300" s="3" t="inlineStr">
        <is>
          <t>waterfall</t>
        </is>
      </c>
      <c r="C300" s="3" t="inlineStr">
        <is>
          <t>src/domain/goals/index.ts</t>
        </is>
      </c>
      <c r="D300" s="3" t="n">
        <v>84</v>
      </c>
      <c r="E300" s="3" t="inlineStr">
        <is>
          <t>3 · DEPENDENT</t>
        </is>
      </c>
      <c r="F300" s="3" t="inlineStr">
        <is>
          <t>NOT DETERMINED — the code carries no note saying what this is for, and it has no row in the old inventory. Needs reading.</t>
        </is>
      </c>
      <c r="G300" s="6" t="inlineStr">
        <is>
          <t>left = max(0, surplus)
steps = []
a = min(left, max(0, need)); left -= a; steps.push({ name, allocated: round2(a) })
the answer = steps</t>
        </is>
      </c>
      <c r="H300" s="3" t="inlineStr">
        <is>
          <t>Left is surplus, never below zero. Steps is []. A: the smaller of left and need, never below zero; left -= a; steps.push({ name, allocated: round2(a) }). The answer is steps.</t>
        </is>
      </c>
      <c r="I300" s="3" t="inlineStr">
        <is>
          <t>PARTLY READ — some of the code is still showing through; needs a hand pass</t>
        </is>
      </c>
      <c r="J300" s="3" t="inlineStr">
        <is>
          <t>Nothing is handed to it</t>
        </is>
      </c>
      <c r="K300" s="3" t="inlineStr">
        <is>
          <t>NOT DECLARED — the code does not say what it gives back</t>
        </is>
      </c>
      <c r="L300" s="3" t="inlineStr">
        <is>
          <t>—</t>
        </is>
      </c>
      <c r="M300" s="3" t="inlineStr">
        <is>
          <t>1. If emergency gap is missing it uses 0.
2. If toxic debt is missing it uses 0.
3. If employer match monthly is missing it uses 0.</t>
        </is>
      </c>
      <c r="N300" s="3" t="inlineStr">
        <is>
          <t>Yes</t>
        </is>
      </c>
      <c r="O300" s="3" t="inlineStr">
        <is>
          <t>MK-ST-F-055 round2</t>
        </is>
      </c>
      <c r="P300" s="3" t="n">
        <v>1</v>
      </c>
      <c r="Q300" s="3" t="inlineStr">
        <is>
          <t>MK-ST-F-055 round2</t>
        </is>
      </c>
      <c r="R300" s="3" t="inlineStr">
        <is>
          <t>MK-ST-F-055 round2 → MK-PL-F-012 waterfall</t>
        </is>
      </c>
      <c r="S300" s="3" t="inlineStr">
        <is>
          <t>—</t>
        </is>
      </c>
      <c r="T300" s="3" t="inlineStr">
        <is>
          <t>—</t>
        </is>
      </c>
      <c r="U300" s="3" t="inlineStr">
        <is>
          <t>ACTIVE</t>
        </is>
      </c>
      <c r="V300" s="3" t="inlineStr">
        <is>
          <t>2026-08-27</t>
        </is>
      </c>
    </row>
    <row r="301">
      <c r="A301" s="3" t="inlineStr">
        <is>
          <t>MK-PL-F-013</t>
        </is>
      </c>
      <c r="B301" s="3" t="inlineStr">
        <is>
          <t>goalsFromOnboarding</t>
        </is>
      </c>
      <c r="C301" s="3" t="inlineStr">
        <is>
          <t>src/domain/goals/index.ts</t>
        </is>
      </c>
      <c r="D301" s="3" t="n">
        <v>127</v>
      </c>
      <c r="E301" s="3" t="inlineStr">
        <is>
          <t>3 · DEPENDENT</t>
        </is>
      </c>
      <c r="F301" s="3" t="inlineStr">
        <is>
          <t>NOT DETERMINED — the code carries no note saying what this is for, and it has no row in the old inventory. Needs reading.</t>
        </is>
      </c>
      <c r="G301" s="6" t="inlineStr">
        <is>
          <t>a = op (or none when missing)
raw = goals   if array.is array(goals)
[]   otherwise
the answer:
user id = uid
goals = goals</t>
        </is>
      </c>
      <c r="H301" s="3" t="inlineStr">
        <is>
          <t>A is op (or none — when missing). Raw is goals — when array.is array(goals); [] — otherwise. The answer is user id = uid; goals = goals.</t>
        </is>
      </c>
      <c r="I301" s="3" t="inlineStr">
        <is>
          <t>PARTLY READ — some of the code is still showing through; needs a hand pass</t>
        </is>
      </c>
      <c r="J301" s="3" t="inlineStr">
        <is>
          <t>1. uid: UserId
2. op: Record&lt;string, any&gt; | null</t>
        </is>
      </c>
      <c r="K301" s="3" t="inlineStr">
        <is>
          <t>GoalsDoc</t>
        </is>
      </c>
      <c r="L301" s="3" t="inlineStr">
        <is>
          <t>—</t>
        </is>
      </c>
      <c r="M301" s="3" t="inlineStr">
        <is>
          <t>· Leaves some rows out of the answer — check which.</t>
        </is>
      </c>
      <c r="N301" s="3" t="inlineStr">
        <is>
          <t>Yes</t>
        </is>
      </c>
      <c r="O301" s="3" t="inlineStr">
        <is>
          <t>1. MK-CF-F-132 map
2. MK-ST-F-043 newEntityId
3. MK-ST-F-052 toNum</t>
        </is>
      </c>
      <c r="P301" s="3" t="n">
        <v>3</v>
      </c>
      <c r="Q301" s="3" t="inlineStr">
        <is>
          <t>1. MK-CF-F-132 map
2. MK-ST-F-043 newEntityId
3. MK-ST-F-052 toNum</t>
        </is>
      </c>
      <c r="R301" s="3" t="inlineStr">
        <is>
          <t>1. MK-CF-F-132 map → MK-PL-F-013 goalsFromOnboarding
2. MK-ST-F-043 newEntityId → MK-PL-F-013 goalsFromOnboarding
3. MK-ST-F-052 toNum → MK-PL-F-013 goalsFromOnboarding</t>
        </is>
      </c>
      <c r="S301" s="3" t="inlineStr">
        <is>
          <t>—</t>
        </is>
      </c>
      <c r="T301" s="3" t="inlineStr">
        <is>
          <t>—</t>
        </is>
      </c>
      <c r="U301" s="3" t="inlineStr">
        <is>
          <t>ACTIVE</t>
        </is>
      </c>
      <c r="V301" s="3" t="inlineStr">
        <is>
          <t>2026-08-27</t>
        </is>
      </c>
    </row>
    <row r="302">
      <c r="A302" s="3" t="inlineStr">
        <is>
          <t>MK-PL-F-014</t>
        </is>
      </c>
      <c r="B302" s="3" t="inlineStr">
        <is>
          <t>loadGoals</t>
        </is>
      </c>
      <c r="C302" s="3" t="inlineStr">
        <is>
          <t>src/domain/goals/index.ts</t>
        </is>
      </c>
      <c r="D302" s="3" t="n">
        <v>155</v>
      </c>
      <c r="E302" s="3" t="inlineStr">
        <is>
          <t>3 · DEPENDENT (feeds an action only)</t>
        </is>
      </c>
      <c r="F302" s="3" t="inlineStr">
        <is>
          <t>NOT DETERMINED — the code carries no note saying what this is for, and it has no row in the old inventory. Needs reading.</t>
        </is>
      </c>
      <c r="G302" s="6" t="inlineStr">
        <is>
          <t>It reaches outside the app for data and hands back what came back — no arithmetic of its own.</t>
        </is>
      </c>
      <c r="H302" s="3" t="inlineStr">
        <is>
          <t>It reaches outside the app for data and hands back what came back — no arithmetic of its own.</t>
        </is>
      </c>
      <c r="I302" s="3" t="inlineStr">
        <is>
          <t>NO ARITHMETIC — there is no formula to state</t>
        </is>
      </c>
      <c r="J302" s="3" t="inlineStr">
        <is>
          <t>uid: UserId</t>
        </is>
      </c>
      <c r="K302" s="3" t="inlineStr">
        <is>
          <t>NOT DECLARED — the code does not say what it gives back</t>
        </is>
      </c>
      <c r="L302" s="3" t="inlineStr">
        <is>
          <t>—</t>
        </is>
      </c>
      <c r="M302" s="3" t="inlineStr">
        <is>
          <t>None found in this function — anything it assumes comes from the functions it depends on.</t>
        </is>
      </c>
      <c r="N302" s="3" t="inlineStr">
        <is>
          <t>No</t>
        </is>
      </c>
      <c r="O302" s="3" t="inlineStr">
        <is>
          <t>—</t>
        </is>
      </c>
      <c r="P302" s="3" t="n">
        <v>0</v>
      </c>
      <c r="Q302" s="3" t="inlineStr">
        <is>
          <t>None — no dependent function stands behind it</t>
        </is>
      </c>
      <c r="R302" s="3" t="inlineStr">
        <is>
          <t>No dependent function — it reads its inputs and answers</t>
        </is>
      </c>
      <c r="S302" s="3" t="inlineStr">
        <is>
          <t>—</t>
        </is>
      </c>
      <c r="T302" s="3" t="inlineStr">
        <is>
          <t>—</t>
        </is>
      </c>
      <c r="U302" s="3" t="inlineStr">
        <is>
          <t>ACTIVE</t>
        </is>
      </c>
      <c r="V302" s="3" t="inlineStr">
        <is>
          <t>2026-08-27</t>
        </is>
      </c>
    </row>
    <row r="303">
      <c r="A303" s="3" t="inlineStr">
        <is>
          <t>MK-PL-F-015</t>
        </is>
      </c>
      <c r="B303" s="3" t="inlineStr">
        <is>
          <t>saveGoals</t>
        </is>
      </c>
      <c r="C303" s="3" t="inlineStr">
        <is>
          <t>src/domain/goals/index.ts</t>
        </is>
      </c>
      <c r="D303" s="3" t="n">
        <v>171</v>
      </c>
      <c r="E303" s="3" t="inlineStr">
        <is>
          <t>1 · ACTION</t>
        </is>
      </c>
      <c r="F303" s="3" t="inlineStr">
        <is>
          <t>NOT DETERMINED — the code carries no note saying what this is for, and it has no row in the old inventory. Needs reading.</t>
        </is>
      </c>
      <c r="G303" s="6" t="inlineStr">
        <is>
          <t>It records or announces something and returns no figure — no arithmetic of its own.</t>
        </is>
      </c>
      <c r="H303" s="3" t="inlineStr">
        <is>
          <t>It records or announces something and returns no figure — no arithmetic of its own.</t>
        </is>
      </c>
      <c r="I303" s="3" t="inlineStr">
        <is>
          <t>NO ARITHMETIC — there is no formula to state</t>
        </is>
      </c>
      <c r="J303" s="3" t="inlineStr">
        <is>
          <t>d: GoalsDoc</t>
        </is>
      </c>
      <c r="K303" s="3" t="inlineStr">
        <is>
          <t>NOT DECLARED — the code does not say what it gives back</t>
        </is>
      </c>
      <c r="L303" s="3" t="inlineStr">
        <is>
          <t>—</t>
        </is>
      </c>
      <c r="M303" s="3" t="inlineStr">
        <is>
          <t>None found in this function — anything it assumes comes from the functions it depends on.</t>
        </is>
      </c>
      <c r="N303" s="3" t="inlineStr">
        <is>
          <t>No</t>
        </is>
      </c>
      <c r="O303" s="3" t="inlineStr">
        <is>
          <t>MK-ST-F-042 setUserDoc</t>
        </is>
      </c>
      <c r="P303" s="3" t="n">
        <v>1</v>
      </c>
      <c r="Q303" s="3" t="inlineStr">
        <is>
          <t>MK-ST-F-042 setUserDoc</t>
        </is>
      </c>
      <c r="R303" s="3" t="inlineStr">
        <is>
          <t>MK-ST-F-042 setUserDoc → MK-PL-F-015 saveGoals</t>
        </is>
      </c>
      <c r="S303" s="3" t="inlineStr">
        <is>
          <t>—</t>
        </is>
      </c>
      <c r="T303" s="3" t="inlineStr">
        <is>
          <t>—</t>
        </is>
      </c>
      <c r="U303" s="3" t="inlineStr">
        <is>
          <t>ACTIVE</t>
        </is>
      </c>
      <c r="V303" s="3" t="inlineStr">
        <is>
          <t>2026-08-27</t>
        </is>
      </c>
    </row>
    <row r="304">
      <c r="A304" s="3" t="inlineStr">
        <is>
          <t>MK-PL-F-016</t>
        </is>
      </c>
      <c r="B304" s="3" t="inlineStr">
        <is>
          <t>availableToSaveSummary</t>
        </is>
      </c>
      <c r="C304" s="3" t="inlineStr">
        <is>
          <t>src/domain/goals/index.ts</t>
        </is>
      </c>
      <c r="D304" s="3" t="n">
        <v>207</v>
      </c>
      <c r="E304" s="3" t="inlineStr">
        <is>
          <t>2 · DISPLAYED</t>
        </is>
      </c>
      <c r="F304" s="3" t="inlineStr">
        <is>
          <t>Summarize per-month available-to-save from a 12-month cash-flow grid.</t>
        </is>
      </c>
      <c r="G304" s="6" t="inlineStr">
        <is>
          <t>amts = for each of grid (or none when missing): amount
avg = 0
min = 0
max = 0
lumpy = false   when count of amts is missing
avg = round(Σ over amts of (each)count of ÷ amts)
min = round(min(...amts))
max = round(max(...amts))
the answer:
avg = avg
min = min
max = max
lumpy = max − min &gt; max(50, avg × 0.25)</t>
        </is>
      </c>
      <c r="H304" s="3" t="inlineStr">
        <is>
          <t>Amts is for each of grid (or none — when missing): amount. When how many amts is missing there are, it answers avg = 0; min = 0; max = 0; lumpy = false. Avg: the each added up across amtshow many divided by amts, to a whole number there are. Min: the smaller of ...amts and to a whole number. Max: the larger of ...amts and to a whole number. The answer is avg = avg; min = min; max = max; lumpy = max minus min &gt; the larger of 50 and avg times 0.25.</t>
        </is>
      </c>
      <c r="I304" s="3" t="inlineStr">
        <is>
          <t>READ FROM THE CODE — rendered from the expressions the function runs</t>
        </is>
      </c>
      <c r="J304" s="3" t="inlineStr">
        <is>
          <t>grid: { label: string; amount: number }[]</t>
        </is>
      </c>
      <c r="K304" s="3" t="inlineStr">
        <is>
          <t>SaveCapacity</t>
        </is>
      </c>
      <c r="L304" s="3" t="inlineStr">
        <is>
          <t>"Plan" — on the Goals screen</t>
        </is>
      </c>
      <c r="M304" s="3" t="inlineStr">
        <is>
          <t>1. Applies a built-in rate of 25% to avg.
2. Rounds the answer to a whole number.</t>
        </is>
      </c>
      <c r="N304" s="3" t="inlineStr">
        <is>
          <t>Yes</t>
        </is>
      </c>
      <c r="O304" s="3" t="inlineStr">
        <is>
          <t>MK-CF-F-132 map</t>
        </is>
      </c>
      <c r="P304" s="3" t="n">
        <v>1</v>
      </c>
      <c r="Q304" s="3" t="inlineStr">
        <is>
          <t>MK-CF-F-132 map</t>
        </is>
      </c>
      <c r="R304" s="3" t="inlineStr">
        <is>
          <t>MK-CF-F-132 map → MK-PL-F-016 availableToSaveSummary</t>
        </is>
      </c>
      <c r="S304" s="3" t="inlineStr">
        <is>
          <t>—</t>
        </is>
      </c>
      <c r="T304" s="3" t="inlineStr">
        <is>
          <t>—</t>
        </is>
      </c>
      <c r="U304" s="3" t="inlineStr">
        <is>
          <t>ACTIVE</t>
        </is>
      </c>
      <c r="V304" s="3" t="inlineStr">
        <is>
          <t>2026-08-27</t>
        </is>
      </c>
    </row>
    <row r="305">
      <c r="A305" s="3" t="inlineStr">
        <is>
          <t>MK-PL-F-017</t>
        </is>
      </c>
      <c r="B305" s="3" t="inlineStr">
        <is>
          <t>sinkingFund</t>
        </is>
      </c>
      <c r="C305" s="3" t="inlineStr">
        <is>
          <t>src/domain/goals/index.ts</t>
        </is>
      </c>
      <c r="D305" s="3" t="n">
        <v>241</v>
      </c>
      <c r="E305" s="3" t="inlineStr">
        <is>
          <t>2 · DISPLAYED</t>
        </is>
      </c>
      <c r="F305" s="3" t="inlineStr">
        <is>
          <t>NOT DETERMINED — the code carries no note saying what this is for, and it has no row in the old inventory. Needs reading.</t>
        </is>
      </c>
      <c r="G305" s="6" t="inlineStr">
        <is>
          <t>monthly = max(0, round(monthly non monthly))
the answer:
annual = monthly × 12
monthly = monthly</t>
        </is>
      </c>
      <c r="H305" s="3" t="inlineStr">
        <is>
          <t>Monthly is monthly non monthly, to a whole number, never below zero. The answer is annual = monthly times 12; monthly = monthly.</t>
        </is>
      </c>
      <c r="I305" s="3" t="inlineStr">
        <is>
          <t>READ FROM THE CODE — rendered from the expressions the function runs</t>
        </is>
      </c>
      <c r="J305" s="3" t="inlineStr">
        <is>
          <t>monthlyNonMonthly: number</t>
        </is>
      </c>
      <c r="K305" s="3" t="inlineStr">
        <is>
          <t>SinkingFund</t>
        </is>
      </c>
      <c r="L305" s="3" t="inlineStr">
        <is>
          <t>"YOUR GOALS" — on the Goals screen, under "YOUR GOALS"</t>
        </is>
      </c>
      <c r="M305" s="3" t="inlineStr">
        <is>
          <t>1. Turns a monthly figure into a year by multiplying by twelve.
2. Rounds the answer to a whole number.</t>
        </is>
      </c>
      <c r="N305" s="3" t="inlineStr">
        <is>
          <t>Yes</t>
        </is>
      </c>
      <c r="O305" s="3" t="inlineStr">
        <is>
          <t>—</t>
        </is>
      </c>
      <c r="P305" s="3" t="n">
        <v>0</v>
      </c>
      <c r="Q305" s="3" t="inlineStr">
        <is>
          <t>None — no dependent function stands behind it</t>
        </is>
      </c>
      <c r="R305" s="3" t="inlineStr">
        <is>
          <t>No dependent function — it reads its inputs and answers</t>
        </is>
      </c>
      <c r="S305" s="3" t="inlineStr">
        <is>
          <t>—</t>
        </is>
      </c>
      <c r="T305" s="3" t="inlineStr">
        <is>
          <t>—</t>
        </is>
      </c>
      <c r="U305" s="3" t="inlineStr">
        <is>
          <t>ACTIVE</t>
        </is>
      </c>
      <c r="V305" s="3" t="inlineStr">
        <is>
          <t>2026-08-27</t>
        </is>
      </c>
    </row>
    <row r="306">
      <c r="A306" s="3" t="inlineStr">
        <is>
          <t>MK-PL-F-018</t>
        </is>
      </c>
      <c r="B306" s="3" t="inlineStr">
        <is>
          <t>monthsUntil</t>
        </is>
      </c>
      <c r="C306" s="3" t="inlineStr">
        <is>
          <t>src/domain/goals/index.ts</t>
        </is>
      </c>
      <c r="D306" s="3" t="n">
        <v>277</v>
      </c>
      <c r="E306" s="3" t="inlineStr">
        <is>
          <t>2 · DISPLAYED</t>
        </is>
      </c>
      <c r="F306" s="3" t="inlineStr">
        <is>
          <t>Whole months from `now` to the target month ('YYYY-MM'); &gt;=1, or null if no/!invalid date.</t>
        </is>
      </c>
      <c r="G306" s="6" t="inlineStr">
        <is>
          <t>nothing   when target date is missing
nothing   when y is missing (or m is missing when missing or zero)
max(1, (y − now.get full year()) × 12 + (m − 1 − now.get month()))</t>
        </is>
      </c>
      <c r="H306" s="3" t="inlineStr">
        <is>
          <t>When target date is missing, it answers no answer. When y is missing (or m is missing — when missing or zero), it answers no answer. the larger of 1 and (y minus now.get full year() times 12 plus (m minus 1 minus now.get month())).</t>
        </is>
      </c>
      <c r="I306" s="3" t="inlineStr">
        <is>
          <t>PARTLY READ — some of the code is still showing through; needs a hand pass</t>
        </is>
      </c>
      <c r="J306" s="3" t="inlineStr">
        <is>
          <t>1. targetDate: string | undefined
2. now: Date</t>
        </is>
      </c>
      <c r="K306" s="3" t="inlineStr">
        <is>
          <t>number | null</t>
        </is>
      </c>
      <c r="L306" s="3" t="inlineStr">
        <is>
          <t>NOT FOUND — a screen calls it, but the words printed beside its answer could not be traced automatically. Needs reading.</t>
        </is>
      </c>
      <c r="M306" s="3" t="inlineStr">
        <is>
          <t>· Turns a monthly figure into a year by multiplying by twelve.</t>
        </is>
      </c>
      <c r="N306" s="3" t="inlineStr">
        <is>
          <t>Yes</t>
        </is>
      </c>
      <c r="O306" s="3" t="inlineStr">
        <is>
          <t>MK-CF-F-132 map</t>
        </is>
      </c>
      <c r="P306" s="3" t="n">
        <v>1</v>
      </c>
      <c r="Q306" s="3" t="inlineStr">
        <is>
          <t>MK-CF-F-132 map</t>
        </is>
      </c>
      <c r="R306" s="3" t="inlineStr">
        <is>
          <t>MK-CF-F-132 map → MK-PL-F-018 monthsUntil</t>
        </is>
      </c>
      <c r="S306" s="3" t="inlineStr">
        <is>
          <t>—</t>
        </is>
      </c>
      <c r="T306" s="3" t="inlineStr">
        <is>
          <t>—</t>
        </is>
      </c>
      <c r="U306" s="3" t="inlineStr">
        <is>
          <t>ACTIVE</t>
        </is>
      </c>
      <c r="V306" s="3" t="inlineStr">
        <is>
          <t>2026-08-27</t>
        </is>
      </c>
    </row>
    <row r="307">
      <c r="A307" s="3" t="inlineStr">
        <is>
          <t>MK-PL-F-019</t>
        </is>
      </c>
      <c r="B307" s="3" t="inlineStr">
        <is>
          <t>goalMonthsRemaining</t>
        </is>
      </c>
      <c r="C307" s="3" t="inlineStr">
        <is>
          <t>src/domain/goals/index.ts</t>
        </is>
      </c>
      <c r="D307" s="3" t="n">
        <v>312</v>
      </c>
      <c r="E307" s="3" t="inlineStr">
        <is>
          <t>3 · DEPENDENT</t>
        </is>
      </c>
      <c r="F307" s="3" t="inlineStr">
        <is>
          <t>Months remaining: from the target date if set, else the goal's `duration` (months).</t>
        </is>
      </c>
      <c r="G307" s="6" t="inlineStr">
        <is>
          <t>from date = months until(target date, now)
from date   when from date ≠ nothing
d = duration read as a number
the answer:
d   if number.is finite(d) and d &gt; 0
nothing   otherwise</t>
        </is>
      </c>
      <c r="H307" s="3" t="inlineStr">
        <is>
          <t>From date is months until(target date, now). When from date is not no answer, it answers from date. D is duration read as a number. The answer is d — when number.is finite(d) and d &gt; 0; no answer — otherwise.</t>
        </is>
      </c>
      <c r="I307" s="3" t="inlineStr">
        <is>
          <t>PARTLY READ — some of the code is still showing through; needs a hand pass</t>
        </is>
      </c>
      <c r="J307" s="3" t="inlineStr">
        <is>
          <t>1. g: GoalLike
2. now: Date = new Date()</t>
        </is>
      </c>
      <c r="K307" s="3" t="inlineStr">
        <is>
          <t>number | null</t>
        </is>
      </c>
      <c r="L307" s="3" t="inlineStr">
        <is>
          <t>—</t>
        </is>
      </c>
      <c r="M307" s="3" t="inlineStr">
        <is>
          <t>· Uses today's date from the device clock, so the answer changes by itself overnight.</t>
        </is>
      </c>
      <c r="N307" s="3" t="inlineStr">
        <is>
          <t>Yes</t>
        </is>
      </c>
      <c r="O307" s="3" t="inlineStr">
        <is>
          <t>MK-PL-F-018 monthsUntil</t>
        </is>
      </c>
      <c r="P307" s="3" t="n">
        <v>2</v>
      </c>
      <c r="Q307" s="3" t="inlineStr">
        <is>
          <t>1. MK-PL-F-018 monthsUntil
2. MK-CF-F-132 map</t>
        </is>
      </c>
      <c r="R307" s="3" t="inlineStr">
        <is>
          <t>MK-CF-F-132 map → MK-PL-F-018 monthsUntil → MK-PL-F-019 goalMonthsRemaining</t>
        </is>
      </c>
      <c r="S307" s="3" t="inlineStr">
        <is>
          <t>—</t>
        </is>
      </c>
      <c r="T307" s="3" t="inlineStr">
        <is>
          <t>—</t>
        </is>
      </c>
      <c r="U307" s="3" t="inlineStr">
        <is>
          <t>ACTIVE</t>
        </is>
      </c>
      <c r="V307" s="3" t="inlineStr">
        <is>
          <t>2026-08-27</t>
        </is>
      </c>
    </row>
    <row r="308">
      <c r="A308" s="3" t="inlineStr">
        <is>
          <t>MK-PL-F-020</t>
        </is>
      </c>
      <c r="B308" s="3" t="inlineStr">
        <is>
          <t>requiredMonthly</t>
        </is>
      </c>
      <c r="C308" s="3" t="inlineStr">
        <is>
          <t>src/domain/goals/index.ts</t>
        </is>
      </c>
      <c r="D308" s="3" t="n">
        <v>349</v>
      </c>
      <c r="E308" s="3" t="inlineStr">
        <is>
          <t>2 · DISPLAYED</t>
        </is>
      </c>
      <c r="F308" s="3" t="inlineStr">
        <is>
          <t>$/month still needed to hit the target on time (0 if already funded; null if no date/duration).</t>
        </is>
      </c>
      <c r="G308" s="6" t="inlineStr">
        <is>
          <t>remaining = max(0, (target or 0) − (saved or 0))
0   when remaining = 0
months = goal months remaining(g, now)
the answer:
round(remaining ÷ months, 2 dp)   if months
nothing   otherwise</t>
        </is>
      </c>
      <c r="H308" s="3" t="inlineStr">
        <is>
          <t>Remaining is (target or 0, never below zero minus (saved or 0)). When remaining = 0, it answers 0. Months is goal months remaining(g, now). The answer is remaining divided by months, to the cent — when months; no answer — otherwise.</t>
        </is>
      </c>
      <c r="I308" s="3" t="inlineStr">
        <is>
          <t>READ FROM THE CODE — rendered from the expressions the function runs</t>
        </is>
      </c>
      <c r="J308" s="3" t="inlineStr">
        <is>
          <t>1. g: GoalLike
2. now: Date = new Date()</t>
        </is>
      </c>
      <c r="K308" s="3" t="inlineStr">
        <is>
          <t>number | null</t>
        </is>
      </c>
      <c r="L308" s="3" t="inlineStr">
        <is>
          <t>NOT FOUND — a screen calls it, but the words printed beside its answer could not be traced automatically. Needs reading.</t>
        </is>
      </c>
      <c r="M308"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308" s="3" t="inlineStr">
        <is>
          <t>Yes</t>
        </is>
      </c>
      <c r="O308" s="3" t="inlineStr">
        <is>
          <t>1. MK-PL-F-019 goalMonthsRemaining
2. MK-ST-F-055 round2</t>
        </is>
      </c>
      <c r="P308" s="3" t="n">
        <v>4</v>
      </c>
      <c r="Q308" s="3" t="inlineStr">
        <is>
          <t>1. MK-PL-F-019 goalMonthsRemaining
2. MK-ST-F-055 round2
3. MK-PL-F-018 monthsUntil
4. MK-CF-F-132 map</t>
        </is>
      </c>
      <c r="R308" s="3" t="inlineStr">
        <is>
          <t>1. MK-CF-F-132 map → MK-PL-F-018 monthsUntil → MK-PL-F-019 goalMonthsRemaining → MK-PL-F-020 requiredMonthly
2. MK-ST-F-055 round2 → MK-PL-F-020 requiredMonthly</t>
        </is>
      </c>
      <c r="S308" s="3" t="inlineStr">
        <is>
          <t>—</t>
        </is>
      </c>
      <c r="T308" s="3" t="inlineStr">
        <is>
          <t>—</t>
        </is>
      </c>
      <c r="U308" s="3" t="inlineStr">
        <is>
          <t>ACTIVE</t>
        </is>
      </c>
      <c r="V308" s="3" t="inlineStr">
        <is>
          <t>2026-08-27</t>
        </is>
      </c>
    </row>
    <row r="309">
      <c r="A309" s="3" t="inlineStr">
        <is>
          <t>MK-PL-F-021</t>
        </is>
      </c>
      <c r="B309" s="3" t="inlineStr">
        <is>
          <t>monthsToGoal</t>
        </is>
      </c>
      <c r="C309" s="3" t="inlineStr">
        <is>
          <t>src/domain/goals/index.ts</t>
        </is>
      </c>
      <c r="D309" s="3" t="n">
        <v>384</v>
      </c>
      <c r="E309" s="3" t="inlineStr">
        <is>
          <t>2 · DISPLAYED</t>
        </is>
      </c>
      <c r="F309" s="3" t="inlineStr">
        <is>
          <t>Months to reach the goal at a given monthly contribution (0 if funded; null if contribution &lt;= 0).</t>
        </is>
      </c>
      <c r="G309" s="6" t="inlineStr">
        <is>
          <t>remaining = max(0, (target or 0) − (saved or 0))
0   when remaining = 0
the answer:
round up(remaining ÷ monthly contribution)   if monthly contribution &gt; 0
nothing   otherwise</t>
        </is>
      </c>
      <c r="H309" s="3" t="inlineStr">
        <is>
          <t>Remaining is (target or 0, never below zero minus (saved or 0)). When remaining = 0, it answers 0. The answer is remaining divided by monthly contribution, rounded up — when monthly contribution &gt; 0; no answer — otherwise.</t>
        </is>
      </c>
      <c r="I309" s="3" t="inlineStr">
        <is>
          <t>READ FROM THE CODE — rendered from the expressions the function runs</t>
        </is>
      </c>
      <c r="J309" s="3" t="inlineStr">
        <is>
          <t>1. g: GoalLike
2. monthlyContribution: number</t>
        </is>
      </c>
      <c r="K309" s="3" t="inlineStr">
        <is>
          <t>number | null</t>
        </is>
      </c>
      <c r="L309" s="3" t="inlineStr">
        <is>
          <t>NOT FOUND — a screen calls it, but the words printed beside its answer could not be traced automatically. Needs reading.</t>
        </is>
      </c>
      <c r="M309" s="3" t="inlineStr">
        <is>
          <t>1. If target is missing it counts as zero, so nothing recorded and a real zero look the same.
2. If saved is missing it counts as zero, so nothing recorded and a real zero look the same.</t>
        </is>
      </c>
      <c r="N309" s="3" t="inlineStr">
        <is>
          <t>Yes</t>
        </is>
      </c>
      <c r="O309" s="3" t="inlineStr">
        <is>
          <t>—</t>
        </is>
      </c>
      <c r="P309" s="3" t="n">
        <v>0</v>
      </c>
      <c r="Q309" s="3" t="inlineStr">
        <is>
          <t>None — no dependent function stands behind it</t>
        </is>
      </c>
      <c r="R309" s="3" t="inlineStr">
        <is>
          <t>No dependent function — it reads its inputs and answers</t>
        </is>
      </c>
      <c r="S309" s="3" t="inlineStr">
        <is>
          <t>—</t>
        </is>
      </c>
      <c r="T309" s="3" t="inlineStr">
        <is>
          <t>—</t>
        </is>
      </c>
      <c r="U309" s="3" t="inlineStr">
        <is>
          <t>ACTIVE</t>
        </is>
      </c>
      <c r="V309" s="3" t="inlineStr">
        <is>
          <t>2026-08-27</t>
        </is>
      </c>
    </row>
    <row r="310">
      <c r="A310" s="3" t="inlineStr">
        <is>
          <t>MK-PL-F-022</t>
        </is>
      </c>
      <c r="B310" s="3" t="inlineStr">
        <is>
          <t>goalProgressPct</t>
        </is>
      </c>
      <c r="C310" s="3" t="inlineStr">
        <is>
          <t>src/domain/goals/index.ts</t>
        </is>
      </c>
      <c r="D310" s="3" t="n">
        <v>414</v>
      </c>
      <c r="E310" s="3" t="inlineStr">
        <is>
          <t>3 · DEPENDENT (feeds an action only)</t>
        </is>
      </c>
      <c r="F310" s="3" t="inlineStr">
        <is>
          <t>Funded %, clamped 0–100.</t>
        </is>
      </c>
      <c r="G310" s="6" t="inlineStr">
        <is>
          <t>0   when (target or 0) ≤ 0
min(100, max(0, round(((saved or 0) ÷ target) × 100)))</t>
        </is>
      </c>
      <c r="H310" s="3" t="inlineStr">
        <is>
          <t>When (target or 0) is at most 0, it answers 0. the smaller of 100 and ((saved or 0, to a whole number divided by target, never below zero times 100)).</t>
        </is>
      </c>
      <c r="I310" s="3" t="inlineStr">
        <is>
          <t>READ FROM THE CODE — rendered from the expressions the function runs</t>
        </is>
      </c>
      <c r="J310" s="3" t="inlineStr">
        <is>
          <t>g: GoalLike</t>
        </is>
      </c>
      <c r="K310" s="3" t="inlineStr">
        <is>
          <t>number</t>
        </is>
      </c>
      <c r="L310" s="3" t="inlineStr">
        <is>
          <t>—</t>
        </is>
      </c>
      <c r="M310" s="3" t="inlineStr">
        <is>
          <t>1. If target is missing it counts as zero, so nothing recorded and a real zero look the same.
2. If saved is missing it counts as zero, so nothing recorded and a real zero look the same.
3. Multiplies by 100 — a percentage, or an option contract treated as 100 shares. Worth checking which.
4. Rounds the answer to a whole number.</t>
        </is>
      </c>
      <c r="N310" s="3" t="inlineStr">
        <is>
          <t>No</t>
        </is>
      </c>
      <c r="O310" s="3" t="inlineStr">
        <is>
          <t>MK-CF-F-155 cash</t>
        </is>
      </c>
      <c r="P310" s="3" t="n">
        <v>2</v>
      </c>
      <c r="Q310" s="3" t="inlineStr">
        <is>
          <t>1. MK-CF-F-155 cash
2. MK-ST-F-055 round2</t>
        </is>
      </c>
      <c r="R310" s="3" t="inlineStr">
        <is>
          <t>MK-ST-F-055 round2 → MK-CF-F-155 cash → MK-PL-F-022 goalProgressPct</t>
        </is>
      </c>
      <c r="S310" s="3" t="inlineStr">
        <is>
          <t>—</t>
        </is>
      </c>
      <c r="T310" s="3" t="inlineStr">
        <is>
          <t>—</t>
        </is>
      </c>
      <c r="U310" s="3" t="inlineStr">
        <is>
          <t>ACTIVE</t>
        </is>
      </c>
      <c r="V310" s="3" t="inlineStr">
        <is>
          <t>2026-08-27</t>
        </is>
      </c>
    </row>
    <row r="311">
      <c r="A311" s="3" t="inlineStr">
        <is>
          <t>MK-PL-F-023</t>
        </is>
      </c>
      <c r="B311" s="3" t="inlineStr">
        <is>
          <t>goalStatus</t>
        </is>
      </c>
      <c r="C311" s="3" t="inlineStr">
        <is>
          <t>src/domain/goals/index.ts</t>
        </is>
      </c>
      <c r="D311" s="3" t="n">
        <v>455</v>
      </c>
      <c r="E311" s="3" t="inlineStr">
        <is>
          <t>2 · DISPLAYED</t>
        </is>
      </c>
      <c r="F311" s="3" t="inlineStr">
        <is>
          <t>NOT DETERMINED — the code carries no note saying what this is for, and it has no row in the old inventory. Needs reading.</t>
        </is>
      </c>
      <c r="G311" s="6" t="inlineStr">
        <is>
          <t>'fully_funded'   when (saved or 0) ≥ (target or 0) and (target or 0) &gt; 0
req = required monthly(g, now)
'no_date'   when req = nothing
'fully_funded'   when req = 0
the answer:
'on_track'   if (funded this month or 0) + 1e − 6 ≥ req
'behind'   otherwise</t>
        </is>
      </c>
      <c r="H311"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311" s="3" t="inlineStr">
        <is>
          <t>READ FROM THE CODE — rendered from the expressions the function runs</t>
        </is>
      </c>
      <c r="J311" s="3" t="inlineStr">
        <is>
          <t>1. g: GoalLike
2. fundedThisMonth: number | null | undefined
3. now: Date = new Date()</t>
        </is>
      </c>
      <c r="K311" s="3" t="inlineStr">
        <is>
          <t>GoalStatus</t>
        </is>
      </c>
      <c r="L311" s="3" t="inlineStr">
        <is>
          <t>"Complete! 🎉" — on the rewards screen</t>
        </is>
      </c>
      <c r="M311"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311" s="3" t="inlineStr">
        <is>
          <t>Yes</t>
        </is>
      </c>
      <c r="O311" s="3" t="inlineStr">
        <is>
          <t>MK-PL-F-020 requiredMonthly</t>
        </is>
      </c>
      <c r="P311" s="3" t="n">
        <v>5</v>
      </c>
      <c r="Q311" s="3" t="inlineStr">
        <is>
          <t>1. MK-PL-F-020 requiredMonthly
2. MK-PL-F-019 goalMonthsRemaining
3. MK-ST-F-055 round2
4. MK-PL-F-018 monthsUntil
5. MK-CF-F-132 map</t>
        </is>
      </c>
      <c r="R311" s="3" t="inlineStr">
        <is>
          <t>1. MK-CF-F-132 map → MK-PL-F-018 monthsUntil → MK-PL-F-019 goalMonthsRemaining → MK-PL-F-020 requiredMonthly → MK-PL-F-023 goalStatus
2. MK-ST-F-055 round2 → MK-PL-F-020 requiredMonthly → MK-PL-F-023 goalStatus</t>
        </is>
      </c>
      <c r="S311" s="3" t="inlineStr">
        <is>
          <t>—</t>
        </is>
      </c>
      <c r="T311" s="3" t="inlineStr">
        <is>
          <t>—</t>
        </is>
      </c>
      <c r="U311" s="3" t="inlineStr">
        <is>
          <t>ACTIVE</t>
        </is>
      </c>
      <c r="V311" s="3" t="inlineStr">
        <is>
          <t>2026-08-27</t>
        </is>
      </c>
    </row>
    <row r="312">
      <c r="A312" s="3" t="inlineStr">
        <is>
          <t>MK-PL-F-024</t>
        </is>
      </c>
      <c r="B312" s="3" t="inlineStr">
        <is>
          <t>oddsLine</t>
        </is>
      </c>
      <c r="C312" s="3" t="inlineStr">
        <is>
          <t>src/domain/planning/hub.ts</t>
        </is>
      </c>
      <c r="D312" s="3" t="n">
        <v>45</v>
      </c>
      <c r="E312" s="3" t="inlineStr">
        <is>
          <t>2 · DISPLAYED</t>
        </is>
      </c>
      <c r="F312" s="3" t="inlineStr">
        <is>
          <t>How do we state the odds in words?</t>
        </is>
      </c>
      <c r="G312" s="6" t="inlineStr">
        <is>
          <t>`${chance}% odds of lasting to age ${horizon age}`</t>
        </is>
      </c>
      <c r="H312" s="3" t="inlineStr">
        <is>
          <t>`${chance}% odds of lasting to age ${horizon age}`.</t>
        </is>
      </c>
      <c r="I312" s="3" t="inlineStr">
        <is>
          <t>PARTLY READ — some of the code is still showing through; needs a hand pass</t>
        </is>
      </c>
      <c r="J312" s="3" t="inlineStr">
        <is>
          <t>1. _lens: 'retired' | string
2. chance: number
3. horizonAge: number</t>
        </is>
      </c>
      <c r="K312" s="3" t="inlineStr">
        <is>
          <t>string</t>
        </is>
      </c>
      <c r="L312" s="3" t="inlineStr">
        <is>
          <t>"WILL MY MONEY LAST?" — on the Home screen, under "WILL MY MONEY LAST?"</t>
        </is>
      </c>
      <c r="M312" s="3" t="inlineStr">
        <is>
          <t>None found in this function — anything it assumes comes from the functions it depends on.</t>
        </is>
      </c>
      <c r="N312" s="3" t="inlineStr">
        <is>
          <t>Yes</t>
        </is>
      </c>
      <c r="O312" s="3" t="inlineStr">
        <is>
          <t>—</t>
        </is>
      </c>
      <c r="P312" s="3" t="n">
        <v>0</v>
      </c>
      <c r="Q312" s="3" t="inlineStr">
        <is>
          <t>None — no dependent function stands behind it</t>
        </is>
      </c>
      <c r="R312" s="3" t="inlineStr">
        <is>
          <t>No dependent function — it reads its inputs and answers</t>
        </is>
      </c>
      <c r="S312" s="3" t="inlineStr">
        <is>
          <t>—</t>
        </is>
      </c>
      <c r="T312" s="3" t="inlineStr">
        <is>
          <t>ODDS_SENTENCE</t>
        </is>
      </c>
      <c r="U312" s="3" t="inlineStr">
        <is>
          <t>ACTIVE</t>
        </is>
      </c>
      <c r="V312" s="3" t="inlineStr">
        <is>
          <t>2026-08-27</t>
        </is>
      </c>
    </row>
    <row r="313">
      <c r="A313" s="3" t="inlineStr">
        <is>
          <t>MK-PL-F-025</t>
        </is>
      </c>
      <c r="B313" s="3" t="inlineStr">
        <is>
          <t>sampleOddsLine</t>
        </is>
      </c>
      <c r="C313" s="3" t="inlineStr">
        <is>
          <t>src/domain/planning/hub.ts</t>
        </is>
      </c>
      <c r="D313" s="3" t="n">
        <v>64</v>
      </c>
      <c r="E313" s="3" t="inlineStr">
        <is>
          <t>2 · DISPLAYED</t>
        </is>
      </c>
      <c r="F313" s="3" t="inlineStr">
        <is>
          <t>The same sentence for the app-wide SAMPLE, always labelled as one.</t>
        </is>
      </c>
      <c r="G313" s="6" t="inlineStr">
        <is>
          <t>`sample: ${SAMPLE_CHANCE}% odds of lasting to age ${horizon age}`</t>
        </is>
      </c>
      <c r="H313" s="3" t="inlineStr">
        <is>
          <t>`sample: ${SAMPLE_CHANCE}% odds of lasting to age ${horizon age}`.</t>
        </is>
      </c>
      <c r="I313" s="3" t="inlineStr">
        <is>
          <t>PARTLY READ — some of the code is still showing through; needs a hand pass</t>
        </is>
      </c>
      <c r="J313" s="3" t="inlineStr">
        <is>
          <t>horizonAge: number = SAMPLE_HORIZON</t>
        </is>
      </c>
      <c r="K313" s="3" t="inlineStr">
        <is>
          <t>string</t>
        </is>
      </c>
      <c r="L313" s="3" t="inlineStr">
        <is>
          <t>"YOUR RETIREMENT PLAN" — on the Net worth screen, under "YOUR RETIREMENT PLAN"</t>
        </is>
      </c>
      <c r="M313" s="3" t="inlineStr">
        <is>
          <t>None found in this function — anything it assumes comes from the functions it depends on.</t>
        </is>
      </c>
      <c r="N313" s="3" t="inlineStr">
        <is>
          <t>Yes</t>
        </is>
      </c>
      <c r="O313" s="3" t="inlineStr">
        <is>
          <t>—</t>
        </is>
      </c>
      <c r="P313" s="3" t="n">
        <v>0</v>
      </c>
      <c r="Q313" s="3" t="inlineStr">
        <is>
          <t>None — no dependent function stands behind it</t>
        </is>
      </c>
      <c r="R313" s="3" t="inlineStr">
        <is>
          <t>No dependent function — it reads its inputs and answers</t>
        </is>
      </c>
      <c r="S313" s="3" t="inlineStr">
        <is>
          <t>—</t>
        </is>
      </c>
      <c r="T313" s="3" t="inlineStr">
        <is>
          <t>SAMPLE_ODDS_SENTENCE</t>
        </is>
      </c>
      <c r="U313" s="3" t="inlineStr">
        <is>
          <t>ACTIVE</t>
        </is>
      </c>
      <c r="V313" s="3" t="inlineStr">
        <is>
          <t>2026-08-27</t>
        </is>
      </c>
    </row>
    <row r="314">
      <c r="A314" s="3" t="inlineStr">
        <is>
          <t>MK-PL-F-026</t>
        </is>
      </c>
      <c r="B314" s="3" t="inlineStr">
        <is>
          <t>planDoor</t>
        </is>
      </c>
      <c r="C314" s="3" t="inlineStr">
        <is>
          <t>src/domain/planning/hub.ts</t>
        </is>
      </c>
      <c r="D314" s="3" t="n">
        <v>101</v>
      </c>
      <c r="E314" s="3" t="inlineStr">
        <is>
          <t>2 · DISPLAYED</t>
        </is>
      </c>
      <c r="F314" s="3" t="inlineStr">
        <is>
          <t>Is there enough to show this person their own odds?</t>
        </is>
      </c>
      <c r="G314" s="6" t="inlineStr">
        <is>
          <t>a = op (or none when missing)
missing = []
has age = number(birth year) &gt; 1900 (or number(age) &gt; 0 when missing or zero)
has spend = number(monthly spending) &gt; 0 (or number(spend monthly) &gt; 0 when missing or zero)
total = round(Σ over accounts (or none when missing) of (balance (or 0 when missing or zero)), 2 dp)
earmarked = retirement earmarked value(accounts ?? [])
has have = earmarked &gt; 0</t>
        </is>
      </c>
      <c r="H314" s="3" t="inlineStr">
        <is>
          <t>A is op (or none — when missing). Missing is []. Has age is number(birth year) &gt; 1900 (or number(age) &gt; 0 — when missing or zero). Has spend is number(monthly spending) &gt; 0 (or number(spend monthly) &gt; 0 — when missing or zero). Total: the balance (or 0 — when missing or zero added up across accounts (or none — when missing)), to the cent. Earmarked is retirement earmarked value(accounts ?? []). Has have is earmarked &gt; 0.</t>
        </is>
      </c>
      <c r="I314" s="3" t="inlineStr">
        <is>
          <t>PARTLY READ — some of the code is still showing through; needs a hand pass</t>
        </is>
      </c>
      <c r="J314" s="3" t="inlineStr">
        <is>
          <t>1. op: Record&lt;string, any&gt; | null
2. accounts: AssetAccount[]</t>
        </is>
      </c>
      <c r="K314" s="3" t="inlineStr">
        <is>
          <t>PlanDoor</t>
        </is>
      </c>
      <c r="L314" s="3" t="inlineStr">
        <is>
          <t>NOT FOUND — a screen calls it, but the words printed beside its answer could not be traced automatically. Needs reading.</t>
        </is>
      </c>
      <c r="M314" s="3" t="inlineStr">
        <is>
          <t>· If balance is missing it counts as zero, so nothing recorded and a real zero look the same.</t>
        </is>
      </c>
      <c r="N314" s="3" t="inlineStr">
        <is>
          <t>Yes</t>
        </is>
      </c>
      <c r="O314" s="3" t="inlineStr">
        <is>
          <t>1. MK-NW-F-033 retirementEarmarkedValue
2. MK-ST-F-055 round2</t>
        </is>
      </c>
      <c r="P314" s="3" t="n">
        <v>12</v>
      </c>
      <c r="Q314" s="3" t="inlineStr">
        <is>
          <t>1. MK-NW-F-033 retirementEarmarkedValue
2. MK-ST-F-055 round2
3. MK-NW-F-032 earmarkedAmount
4. MK-NW-F-031 primaryCarIdOf
5. MK-NW-F-030 earmarkDefault
6. MK-NW-F-011 assetClassOf
7. MK-NW-F-013 realEstateUseOf
8. MK-NW-F-008 incomeBearingClassOf
9. MK-CF-F-155 cash
10. MK-ST-F-010 nameEvidence
11. MK-ST-F-056 has
12. MK-CF-F-132 map</t>
        </is>
      </c>
      <c r="R314"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MK-ST-F-055 round2 → MK-NW-F-032 earmarkedAmount → MK-NW-F-033 retirementEarmarkedValue → MK-PL-F-026 planDoor
4. MK-CF-F-155 cash → MK-NW-F-008 incomeBearingClassOf → MK-NW-F-011 assetClassOf → MK-NW-F-031 primaryCarIdOf → MK-NW-F-033 retirementEarmarkedValue → MK-PL-F-026 planDoor
5. MK-ST-F-010 nameEvidence → MK-NW-F-008 incomeBearingClassOf → MK-NW-F-011 assetClassOf → MK-NW-F-031 primaryCarIdOf → MK-NW-F-033 retirementEarmarkedValue → MK-PL-F-026 planDoor
6. MK-ST-F-055 round2 → MK-NW-F-033 retirementEarmarkedValue → MK-PL-F-026 planDoor
7. MK-ST-F-055 round2 → MK-PL-F-026 planDoor</t>
        </is>
      </c>
      <c r="S314" s="3" t="inlineStr">
        <is>
          <t>MK-PL-M-001 · MK-PL-M-002</t>
        </is>
      </c>
      <c r="T314" s="3" t="inlineStr">
        <is>
          <t>WHAT_THE_PLAN_STILL_NEEDS</t>
        </is>
      </c>
      <c r="U314" s="3" t="inlineStr">
        <is>
          <t>ACTIVE</t>
        </is>
      </c>
      <c r="V314" s="3" t="inlineStr">
        <is>
          <t>2026-08-27</t>
        </is>
      </c>
    </row>
    <row r="315">
      <c r="A315" s="3" t="inlineStr">
        <is>
          <t>MK-PL-F-027</t>
        </is>
      </c>
      <c r="B315" s="3" t="inlineStr">
        <is>
          <t>nextDecision</t>
        </is>
      </c>
      <c r="C315" s="3" t="inlineStr">
        <is>
          <t>src/domain/planning/hub.ts</t>
        </is>
      </c>
      <c r="D315" s="3" t="n">
        <v>164</v>
      </c>
      <c r="E315" s="3" t="inlineStr">
        <is>
          <t>2 · DISPLAYED</t>
        </is>
      </c>
      <c r="F315" s="3" t="inlineStr">
        <is>
          <t>NOT DETERMINED — the code carries no note saying what this is for, and it has no row in the old inventory. Needs reading.</t>
        </is>
      </c>
      <c r="G315" s="6" t="inlineStr">
        <is>
          <t>now = args.now (or new date() when missing)
due = rmd at age(args.pre tax balance, args.age)
taken = rmd taken this year(args.transactions ?? [], args.pre tax account ids, now.get full year())
opens = the date args.birth year + 62, now.get month(), 1
the answer = nothing</t>
        </is>
      </c>
      <c r="H315" s="3" t="inlineStr">
        <is>
          <t>Now is args.now (or new date() — when missing). Due is rmd at age(args.pre tax balance, args.age). Taken is rmd taken this year(args.transactions ?? [], args.pre tax account ids, now.get full year()). Opens: the date args.birth year plus 62, now.get month(), 1. The answer is no answer.</t>
        </is>
      </c>
      <c r="I315" s="3" t="inlineStr">
        <is>
          <t>PARTLY READ — some of the code is still showing through; needs a hand pass</t>
        </is>
      </c>
      <c r="J315" s="3" t="inlineStr">
        <is>
          <t>Nothing is handed to it</t>
        </is>
      </c>
      <c r="K315" s="3" t="inlineStr">
        <is>
          <t>NOT DECLARED — the code does not say what it gives back</t>
        </is>
      </c>
      <c r="L315" s="3" t="inlineStr">
        <is>
          <t>NOT FOUND — a screen calls it, but the words printed beside its answer could not be traced automatically. Needs reading.</t>
        </is>
      </c>
      <c r="M315" s="3" t="inlineStr">
        <is>
          <t>1. Uses a built-in s a m p l e c h a n c e of 84.
2. Uses a built-in s a m p l e h o r i z o n of 90.
3. Uses today's date from the device clock, so the answer changes by itself overnight.
4. Rounds the answer to a whole number.</t>
        </is>
      </c>
      <c r="N315" s="3" t="inlineStr">
        <is>
          <t>Yes</t>
        </is>
      </c>
      <c r="O315" s="3" t="inlineStr">
        <is>
          <t>1. MK-PL-F-007 rmdAtAge
2. MK-PL-F-005 rmdStartAgeFor
3. MK-PL-F-009 rmdTakenThisYear</t>
        </is>
      </c>
      <c r="P315" s="3" t="n">
        <v>9</v>
      </c>
      <c r="Q315" s="3" t="inlineStr">
        <is>
          <t>1. MK-PL-F-007 rmdAtAge
2. MK-PL-F-005 rmdStartAgeFor
3. MK-PL-F-009 rmdTakenThisYear
4. MK-PL-F-078 rmdDivisorAtAge
5. MK-ST-F-055 round2
6. MK-ST-F-025 rmdStartAgeFromAge
7. MK-ST-F-056 has
8. MK-CF-F-132 map
9. MK-ST-F-024 rmdStartAge</t>
        </is>
      </c>
      <c r="R315" s="3" t="inlineStr">
        <is>
          <t>1. MK-PL-F-078 rmdDivisorAtAge → MK-PL-F-007 rmdAtAge → MK-PL-F-027 nextDecision
2. MK-ST-F-055 round2 → MK-PL-F-007 rmdAtAge → MK-PL-F-027 nextDecision
3. MK-ST-F-024 rmdStartAge → MK-ST-F-025 rmdStartAgeFromAge → MK-PL-F-005 rmdStartAgeFor → MK-PL-F-027 nextDecision
4. MK-ST-F-056 has → MK-PL-F-009 rmdTakenThisYear → MK-PL-F-027 nextDecision
5. MK-CF-F-132 map → MK-PL-F-009 rmdTakenThisYear → MK-PL-F-027 nextDecision
6. MK-ST-F-055 round2 → MK-PL-F-009 rmdTakenThisYear → MK-PL-F-027 nextDecision</t>
        </is>
      </c>
      <c r="S315" s="3" t="inlineStr">
        <is>
          <t>—</t>
        </is>
      </c>
      <c r="T315" s="3" t="inlineStr">
        <is>
          <t>—</t>
        </is>
      </c>
      <c r="U315" s="3" t="inlineStr">
        <is>
          <t>ACTIVE</t>
        </is>
      </c>
      <c r="V315" s="3" t="inlineStr">
        <is>
          <t>2026-08-27</t>
        </is>
      </c>
    </row>
    <row r="316">
      <c r="A316" s="3" t="inlineStr">
        <is>
          <t>MK-PL-F-028</t>
        </is>
      </c>
      <c r="B316" s="3" t="inlineStr">
        <is>
          <t>sampleAskLine</t>
        </is>
      </c>
      <c r="C316" s="3" t="inlineStr">
        <is>
          <t>src/domain/planning/hub.ts</t>
        </is>
      </c>
      <c r="D316" s="3" t="n">
        <v>259</v>
      </c>
      <c r="E316" s="3" t="inlineStr">
        <is>
          <t>2 · DISPLAYED</t>
        </is>
      </c>
      <c r="F316" s="3" t="inlineStr">
        <is>
          <t>The invitation under a sample: name the answers still missing, so a dead end becomes one tap.</t>
        </is>
      </c>
      <c r="G316" s="6"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316"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316" s="3" t="inlineStr">
        <is>
          <t>PARTLY READ — some of the code is still showing through; needs a hand pass</t>
        </is>
      </c>
      <c r="J316" s="3" t="inlineStr">
        <is>
          <t>missing: string[]</t>
        </is>
      </c>
      <c r="K316" s="3" t="inlineStr">
        <is>
          <t>string</t>
        </is>
      </c>
      <c r="L316" s="3" t="inlineStr">
        <is>
          <t>NOT FOUND — a screen calls it, but the words printed beside its answer could not be traced automatically. Needs reading.</t>
        </is>
      </c>
      <c r="M316" s="3" t="inlineStr">
        <is>
          <t>None found in this function — anything it assumes comes from the functions it depends on.</t>
        </is>
      </c>
      <c r="N316" s="3" t="inlineStr">
        <is>
          <t>Yes</t>
        </is>
      </c>
      <c r="O316" s="3" t="inlineStr">
        <is>
          <t>—</t>
        </is>
      </c>
      <c r="P316" s="3" t="n">
        <v>0</v>
      </c>
      <c r="Q316" s="3" t="inlineStr">
        <is>
          <t>None — no dependent function stands behind it</t>
        </is>
      </c>
      <c r="R316" s="3" t="inlineStr">
        <is>
          <t>No dependent function — it reads its inputs and answers</t>
        </is>
      </c>
      <c r="S316" s="3" t="inlineStr">
        <is>
          <t>—</t>
        </is>
      </c>
      <c r="T316" s="3" t="inlineStr">
        <is>
          <t>SAMPLE_ASK_SENTENCE</t>
        </is>
      </c>
      <c r="U316" s="3" t="inlineStr">
        <is>
          <t>ACTIVE</t>
        </is>
      </c>
      <c r="V316" s="3" t="inlineStr">
        <is>
          <t>2026-08-27</t>
        </is>
      </c>
    </row>
    <row r="317">
      <c r="A317" s="3" t="inlineStr">
        <is>
          <t>MK-PL-F-029</t>
        </is>
      </c>
      <c r="B317" s="3" t="inlineStr">
        <is>
          <t>shortfallAgeFromBand</t>
        </is>
      </c>
      <c r="C317" s="3" t="inlineStr">
        <is>
          <t>src/domain/planning/hub.ts</t>
        </is>
      </c>
      <c r="D317" s="3" t="n">
        <v>284</v>
      </c>
      <c r="E317" s="3" t="inlineStr">
        <is>
          <t>2 · DISPLAYED</t>
        </is>
      </c>
      <c r="F317" s="3" t="inlineStr">
        <is>
          <t>The age the middle path first hits zero, from a simulation band — null while it never does.</t>
        </is>
      </c>
      <c r="G317" s="6" t="inlineStr">
        <is>
          <t>(band ?? []).find((pt) =&gt; pt.p50 ≤ 0).age (or nothing when missing)</t>
        </is>
      </c>
      <c r="H317" s="3" t="inlineStr">
        <is>
          <t>(band ?? []).find((pt) =&gt; pt.p50 is at most 0).age (or no answer — when missing).</t>
        </is>
      </c>
      <c r="I317" s="3" t="inlineStr">
        <is>
          <t>PARTLY READ — some of the code is still showing through; needs a hand pass</t>
        </is>
      </c>
      <c r="J317" s="3" t="inlineStr">
        <is>
          <t>band?: { age: number; p50: number }[] | null</t>
        </is>
      </c>
      <c r="K317" s="3" t="inlineStr">
        <is>
          <t>number | null</t>
        </is>
      </c>
      <c r="L317" s="3" t="inlineStr">
        <is>
          <t>NOT FOUND — a screen calls it, but the words printed beside its answer could not be traced automatically. Needs reading.</t>
        </is>
      </c>
      <c r="M317" s="3" t="inlineStr">
        <is>
          <t>None found in this function — anything it assumes comes from the functions it depends on.</t>
        </is>
      </c>
      <c r="N317" s="3" t="inlineStr">
        <is>
          <t>Yes</t>
        </is>
      </c>
      <c r="O317" s="3" t="inlineStr">
        <is>
          <t>—</t>
        </is>
      </c>
      <c r="P317" s="3" t="n">
        <v>0</v>
      </c>
      <c r="Q317" s="3" t="inlineStr">
        <is>
          <t>None — no dependent function stands behind it</t>
        </is>
      </c>
      <c r="R317" s="3" t="inlineStr">
        <is>
          <t>No dependent function — it reads its inputs and answers</t>
        </is>
      </c>
      <c r="S317" s="3" t="inlineStr">
        <is>
          <t>—</t>
        </is>
      </c>
      <c r="T317" s="3" t="inlineStr">
        <is>
          <t>AGE_THE_MONEY_RUNS_OUT</t>
        </is>
      </c>
      <c r="U317" s="3" t="inlineStr">
        <is>
          <t>ACTIVE</t>
        </is>
      </c>
      <c r="V317" s="3" t="inlineStr">
        <is>
          <t>2026-08-27</t>
        </is>
      </c>
    </row>
    <row r="318">
      <c r="A318" s="3" t="inlineStr">
        <is>
          <t>MK-PL-F-030</t>
        </is>
      </c>
      <c r="B318" s="3" t="inlineStr">
        <is>
          <t>onCourseSentence</t>
        </is>
      </c>
      <c r="C318" s="3" t="inlineStr">
        <is>
          <t>src/domain/planning/hub.ts</t>
        </is>
      </c>
      <c r="D318" s="3" t="n">
        <v>312</v>
      </c>
      <c r="E318" s="3" t="inlineStr">
        <is>
          <t>2 · DISPLAYED</t>
        </is>
      </c>
      <c r="F318" s="3" t="inlineStr">
        <is>
          <t>In one sentence, how is this plan doing?</t>
        </is>
      </c>
      <c r="G318" s="6"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318"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318" s="3" t="inlineStr">
        <is>
          <t>PARTLY READ — some of the code is still showing through; needs a hand pass</t>
        </is>
      </c>
      <c r="J318" s="3" t="inlineStr">
        <is>
          <t>Nothing is handed to it</t>
        </is>
      </c>
      <c r="K318" s="3" t="inlineStr">
        <is>
          <t>NOT DECLARED — the code does not say what it gives back</t>
        </is>
      </c>
      <c r="L318" s="3" t="inlineStr">
        <is>
          <t>NOT FOUND — a screen calls it, but the words printed beside its answer could not be traced automatically. Needs reading.</t>
        </is>
      </c>
      <c r="M318" s="3" t="inlineStr">
        <is>
          <t>1. If leftover at horizon is missing it uses 0.
2. Rounds the answer to a whole number.</t>
        </is>
      </c>
      <c r="N318" s="3" t="inlineStr">
        <is>
          <t>Yes</t>
        </is>
      </c>
      <c r="O318" s="3" t="inlineStr">
        <is>
          <t>MK-ST-F-053 money</t>
        </is>
      </c>
      <c r="P318" s="3" t="n">
        <v>4</v>
      </c>
      <c r="Q318" s="3" t="inlineStr">
        <is>
          <t>1. MK-ST-F-053 money
2. MK-ST-F-049 formatMoney
3. MK-ST-F-048 currencySymbol
4. MK-ST-F-047 activeCurrency</t>
        </is>
      </c>
      <c r="R318" s="3" t="inlineStr">
        <is>
          <t>MK-ST-F-047 activeCurrency → MK-ST-F-048 currencySymbol → MK-ST-F-049 formatMoney → MK-ST-F-053 money → MK-PL-F-030 onCourseSentence</t>
        </is>
      </c>
      <c r="S318" s="3" t="inlineStr">
        <is>
          <t>—</t>
        </is>
      </c>
      <c r="T318" s="3" t="inlineStr">
        <is>
          <t>ARE_YOU_ON_COURSE</t>
        </is>
      </c>
      <c r="U318" s="3" t="inlineStr">
        <is>
          <t>ACTIVE</t>
        </is>
      </c>
      <c r="V318" s="3" t="inlineStr">
        <is>
          <t>2026-08-27</t>
        </is>
      </c>
    </row>
    <row r="319">
      <c r="A319" s="3" t="inlineStr">
        <is>
          <t>MK-PL-F-031</t>
        </is>
      </c>
      <c r="B319" s="3" t="inlineStr">
        <is>
          <t>taxOrganizer</t>
        </is>
      </c>
      <c r="C319" s="3" t="inlineStr">
        <is>
          <t>src/domain/planning/index.ts</t>
        </is>
      </c>
      <c r="D319" s="3" t="n">
        <v>68</v>
      </c>
      <c r="E319" s="3" t="inlineStr">
        <is>
          <t>2 · DISPLAYED</t>
        </is>
      </c>
      <c r="F319" s="3" t="inlineStr">
        <is>
          <t>NOT DETERMINED — the code carries no note saying what this is for, and it has no row in the old inventory. Needs reading.</t>
        </is>
      </c>
      <c r="G319" s="6"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taxable total = round(Σ over income where taxable of (amount), 2 dp)
non taxable total = round(Σ over income where taxable is missing of (amount), 2 dp)
acct = for each of accounts: label = institution.trim() (or label (or kind (or 'Account' when missing or zero) when missing or zero) when missing or zero)
kind = kind (or tax bucket (or 'account' when missing) when missing)
balance = balance (or 0 when missing or zero)
has = (k: string) =&gt; accounts.some((x: any) =&gt; (kind ?? '') = k)
docs = ["last year's tax return", 'SSN ÷ ID for you and any dependents']
… the first steps only — the rest of the body needs reading by hand.</t>
        </is>
      </c>
      <c r="H319"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Taxable total: the amount added up across income where taxable, to the cent. Non taxable total: the amount added up across income where taxable is missing, to the cent. Acct is for each of accounts: label = institution.trim() (or label (or kind (or 'Account' — when missing or zero) — when missing or zero) — when missing or zero); kind = kind (or tax bucket (or 'account' — when missing) — when missing); balance = balance (or 0 — when missing or zero). Has is (k: string) =&gt; accounts.some((x: any) =&gt; (kind ?? '') = k). Docs is ["last year's tax return", 'SSN divided by ID for you and any dependents']. Only the first steps are shown; the rest of the body needs reading by hand.</t>
        </is>
      </c>
      <c r="I319" s="3" t="inlineStr">
        <is>
          <t>PARTLY READ — some of the code is still showing through; needs a hand pass</t>
        </is>
      </c>
      <c r="J319" s="3" t="inlineStr">
        <is>
          <t>1. op: OnboardingProfile | null
2. opts: { accounts?: any[]; liabilities?: any[]; actualPassive?: number; year: number }</t>
        </is>
      </c>
      <c r="K319" s="3" t="inlineStr">
        <is>
          <t>TaxOrganizer</t>
        </is>
      </c>
      <c r="L319" s="3" t="inlineStr">
        <is>
          <t>NOT FOUND — a screen calls it, but the words printed beside its answer could not be traced automatically. Needs reading.</t>
        </is>
      </c>
      <c r="M319" s="3" t="inlineStr">
        <is>
          <t>1. If balance is missing it counts as zero, so nothing recorded and a real zero look the same.
2. Turns a monthly figure into a year by multiplying by twelve.
3. Multiplies by 100 — a percentage, or an option contract treated as 100 shares. Worth checking which.
4. Rounds the answer to a whole number.
5. Leaves some rows out of the answer — check which.</t>
        </is>
      </c>
      <c r="N319" s="3" t="inlineStr">
        <is>
          <t>Yes</t>
        </is>
      </c>
      <c r="O319" s="3" t="inlineStr">
        <is>
          <t>1. MK-CF-F-070 benefitAnnual
2. MK-CF-F-072 currentRetirementIncomeMonthly
3. MK-CF-F-090 effectiveRate
4. MK-ST-F-056 has
5. MK-CF-F-132 map
6. MK-CF-F-068 rentalNetAnnual
7. MK-ST-F-055 round2
8. MK-CF-F-066 rsuAnnual
9. MK-CF-F-082 salaryAnnual
10. MK-CF-F-074 tipsAnnual
11. MK-ST-F-052 toNum</t>
        </is>
      </c>
      <c r="P319" s="3" t="n">
        <v>37</v>
      </c>
      <c r="Q319" s="3" t="inlineStr">
        <is>
          <t>1. MK-CF-F-070 benefitAnnual
2. MK-CF-F-072 currentRetirementIncomeMonthly
3. MK-CF-F-090 effectiveRate
4. MK-ST-F-056 has
5. MK-CF-F-132 map
6. MK-CF-F-068 rentalNetAnnual
7. MK-ST-F-055 round2
8. MK-CF-F-066 rsuAnnual
9. MK-CF-F-082 salaryAnnual
10. MK-CF-F-074 tipsAnnual
11. MK-ST-F-052 toNum
12. MK-CF-F-069 benefitActiveMonths
13. MK-CF-F-075 retirementIncomeMonthly
14. MK-CF-F-181 rateInForce
15. MK-CF-F-067 rentalList
16. MK-CF-F-062 equityRowValue
17. MK-CF-F-063 rowVestYear
18. MK-CF-F-060 salaryGrossByMonth
19. MK-CF-F-081 salaryActiveMonths
20. MK-CF-F-173 earnerWages
21. MK-CF-F-102 effectiveRateOnGrossFor
22. MK-CF-F-180 enteredLandsAnnual
23. MK-CF-F-085 filingStatusOf
24. MK-CF-F-089 over65CountOf
25. MK-CF-F-086 stateRateOf
26. MK-CF-F-084 taxableAnnual
27. MK-CF-F-176 sumMonthsOverEarners
28. MK-CF-F-177 wageGrossByMonth
29. MK-CF-F-172 hasWage
30. MK-CF-F-101 taxOwedFor
31. MK-CF-F-071 extraIncome
32. MK-CF-F-130 enteredMonthlyRaw
33. MK-CF-F-166 hasMonthlySalaryTable
34. MK-CF-F-167 salaryCalendarYear
35. MK-CF-F-100 taxableIncomeFor
36. MK-CF-F-165 salaryMonths
37. MK-CF-F-099 deductionFor</t>
        </is>
      </c>
      <c r="R319" s="3" t="inlineStr">
        <is>
          <t>1. MK-CF-F-069 benefitActiveMonths → MK-CF-F-070 benefitAnnual → MK-PL-F-031 taxOrganizer
2. MK-ST-F-052 toNum → MK-CF-F-070 benefitAnnual → MK-PL-F-031 taxOrganizer
3. MK-ST-F-052 toNum → MK-CF-F-075 retirementIncomeMonthly → MK-CF-F-072 currentRetirementIncomeMonthly → MK-PL-F-031 taxOrganizer
4. MK-CF-F-172 hasWage → MK-CF-F-173 earnerWages → MK-CF-F-181 rateInForce → MK-CF-F-090 effectiveRate → MK-PL-F-031 taxOrganizer
5. MK-CF-F-100 taxableIncomeFor → MK-CF-F-101 taxOwedFor → MK-CF-F-102 effectiveRateOnGrossFor → MK-CF-F-181 rateInForce → MK-CF-F-090 effectiveRate → MK-PL-F-031 taxOrganizer
6. MK-CF-F-172 hasWage → MK-CF-F-173 earnerWages → MK-CF-F-180 enteredLandsAnnual → MK-CF-F-181 rateInForce → MK-CF-F-090 effectiveRate → MK-PL-F-031 taxOrganizer
7. MK-ST-F-055 round2 → MK-CF-F-180 enteredLandsAnnual → MK-CF-F-181 rateInForce → MK-CF-F-090 effectiveRate → MK-PL-F-031 taxOrganizer
8. MK-ST-F-052 toNum → MK-CF-F-180 enteredLandsAnnual → MK-CF-F-181 rateInForce → MK-CF-F-090 effectiveRate → MK-PL-F-031 taxOrganizer
9. … and 5 more paths</t>
        </is>
      </c>
      <c r="S319" s="3" t="inlineStr">
        <is>
          <t>—</t>
        </is>
      </c>
      <c r="T319" s="3" t="inlineStr">
        <is>
          <t>—</t>
        </is>
      </c>
      <c r="U319" s="3" t="inlineStr">
        <is>
          <t>ACTIVE</t>
        </is>
      </c>
      <c r="V319" s="3" t="inlineStr">
        <is>
          <t>2026-08-27</t>
        </is>
      </c>
    </row>
    <row r="320">
      <c r="A320" s="3" t="inlineStr">
        <is>
          <t>MK-PL-F-032</t>
        </is>
      </c>
      <c r="B320" s="3" t="inlineStr">
        <is>
          <t>rothConversionCost</t>
        </is>
      </c>
      <c r="C320" s="3" t="inlineStr">
        <is>
          <t>src/domain/planning/index.ts</t>
        </is>
      </c>
      <c r="D320" s="3" t="n">
        <v>146</v>
      </c>
      <c r="E320" s="3" t="inlineStr">
        <is>
          <t>2 · DISPLAYED</t>
        </is>
      </c>
      <c r="F320" s="3" t="inlineStr">
        <is>
          <t>───────────────────────── Roth conversion (fill a low bracket) ───────────────────────── In a low-income year (e.g.</t>
        </is>
      </c>
      <c r="G320" s="6" t="inlineStr">
        <is>
          <t>round(tax owed for(gross + amount, status, state rate) − tax owed for(gross, status, state rate), 2 dp)</t>
        </is>
      </c>
      <c r="H320" s="3" t="inlineStr">
        <is>
          <t>tax owed for(gross plus amount, status, state rate) minus tax owed for(gross, status, state rate), to the cent.</t>
        </is>
      </c>
      <c r="I320" s="3" t="inlineStr">
        <is>
          <t>READ FROM THE CODE — rendered from the expressions the function runs</t>
        </is>
      </c>
      <c r="J320" s="3" t="inlineStr">
        <is>
          <t>1. gross: number
2. amount: number
3. status: import('../income/tax').FilingStatus
4. stateRate: number</t>
        </is>
      </c>
      <c r="K320" s="3" t="inlineStr">
        <is>
          <t>number</t>
        </is>
      </c>
      <c r="L320" s="3" t="inlineStr">
        <is>
          <t>NOT FOUND — a screen calls it, but the words printed beside its answer could not be traced automatically. Needs reading.</t>
        </is>
      </c>
      <c r="M320" s="3" t="inlineStr">
        <is>
          <t>None found in this function — anything it assumes comes from the functions it depends on.</t>
        </is>
      </c>
      <c r="N320" s="3" t="inlineStr">
        <is>
          <t>Yes</t>
        </is>
      </c>
      <c r="O320" s="3" t="inlineStr">
        <is>
          <t>1. MK-ST-F-055 round2
2. MK-CF-F-101 taxOwedFor</t>
        </is>
      </c>
      <c r="P320" s="3" t="n">
        <v>4</v>
      </c>
      <c r="Q320" s="3" t="inlineStr">
        <is>
          <t>1. MK-ST-F-055 round2
2. MK-CF-F-101 taxOwedFor
3. MK-CF-F-100 taxableIncomeFor
4. MK-CF-F-099 deductionFor</t>
        </is>
      </c>
      <c r="R320" s="3" t="inlineStr">
        <is>
          <t>1. MK-ST-F-055 round2 → MK-PL-F-032 rothConversionCost
2. MK-CF-F-099 deductionFor → MK-CF-F-100 taxableIncomeFor → MK-CF-F-101 taxOwedFor → MK-PL-F-032 rothConversionCost</t>
        </is>
      </c>
      <c r="S320" s="3" t="inlineStr">
        <is>
          <t>—</t>
        </is>
      </c>
      <c r="T320" s="3" t="inlineStr">
        <is>
          <t>—</t>
        </is>
      </c>
      <c r="U320" s="3" t="inlineStr">
        <is>
          <t>ACTIVE</t>
        </is>
      </c>
      <c r="V320" s="3" t="inlineStr">
        <is>
          <t>2026-08-27</t>
        </is>
      </c>
    </row>
    <row r="321">
      <c r="A321" s="3" t="inlineStr">
        <is>
          <t>MK-PL-F-033</t>
        </is>
      </c>
      <c r="B321" s="3" t="inlineStr">
        <is>
          <t>educationPlan</t>
        </is>
      </c>
      <c r="C321" s="3" t="inlineStr">
        <is>
          <t>src/domain/planning/index.ts</t>
        </is>
      </c>
      <c r="D321" s="3" t="n">
        <v>199</v>
      </c>
      <c r="E321" s="3" t="inlineStr">
        <is>
          <t>2 · DISPLAYED</t>
        </is>
      </c>
      <c r="F321" s="3" t="inlineStr">
        <is>
          <t>NOT DETERMINED — the code carries no note saying what this is for, and it has no row in the old inventory. Needs reading.</t>
        </is>
      </c>
      <c r="G321" s="6"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t>
        </is>
      </c>
      <c r="H321"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t>
        </is>
      </c>
      <c r="I321" s="3" t="inlineStr">
        <is>
          <t>PARTLY READ — some of the code is still showing through; needs a hand pass</t>
        </is>
      </c>
      <c r="J321" s="3" t="inlineStr">
        <is>
          <t>inp: EduPlanInput</t>
        </is>
      </c>
      <c r="K321" s="3" t="inlineStr">
        <is>
          <t>EduPlan</t>
        </is>
      </c>
      <c r="L321" s="3" t="inlineStr">
        <is>
          <t>"Projected total cost" — on the College costs screen</t>
        </is>
      </c>
      <c r="M321" s="3" t="inlineStr">
        <is>
          <t>1. Uses a built-in future total cost of 0.
2. Uses a built-in y of 0.
3. Treats a year as twelve equal months.
4. Turns a monthly figure into a year by multiplying by twelve.
5. Multiplies by 100 — a percentage, or an option contract treated as 100 shares. Worth checking which.
6. Rounds the answer to a whole number.</t>
        </is>
      </c>
      <c r="N321" s="3" t="inlineStr">
        <is>
          <t>Yes</t>
        </is>
      </c>
      <c r="O321" s="3" t="inlineStr">
        <is>
          <t>MK-ST-F-055 round2</t>
        </is>
      </c>
      <c r="P321" s="3" t="n">
        <v>1</v>
      </c>
      <c r="Q321" s="3" t="inlineStr">
        <is>
          <t>MK-ST-F-055 round2</t>
        </is>
      </c>
      <c r="R321" s="3" t="inlineStr">
        <is>
          <t>MK-ST-F-055 round2 → MK-PL-F-033 educationPlan</t>
        </is>
      </c>
      <c r="S321" s="3" t="inlineStr">
        <is>
          <t>—</t>
        </is>
      </c>
      <c r="T321" s="3" t="inlineStr">
        <is>
          <t>—</t>
        </is>
      </c>
      <c r="U321" s="3" t="inlineStr">
        <is>
          <t>ACTIVE</t>
        </is>
      </c>
      <c r="V321" s="3" t="inlineStr">
        <is>
          <t>2026-08-27</t>
        </is>
      </c>
    </row>
    <row r="322">
      <c r="A322" s="3" t="inlineStr">
        <is>
          <t>MK-PL-F-034</t>
        </is>
      </c>
      <c r="B322" s="3" t="inlineStr">
        <is>
          <t>lifeInsuranceNeed</t>
        </is>
      </c>
      <c r="C322" s="3" t="inlineStr">
        <is>
          <t>src/domain/planning/index.ts</t>
        </is>
      </c>
      <c r="D322" s="3" t="n">
        <v>253</v>
      </c>
      <c r="E322" s="3" t="inlineStr">
        <is>
          <t>2 · DISPLAYED</t>
        </is>
      </c>
      <c r="F322" s="3" t="inlineStr">
        <is>
          <t>NOT DETERMINED — the code carries no note saying what this is for, and it has no row in the old inventory. Needs reading.</t>
        </is>
      </c>
      <c r="G322" s="6" t="inlineStr">
        <is>
          <t>income replacement = max(0, inp.annual income) × math.max(0, inp.years to replace)
total need = income replacement + max(0, inp.debts) + max(0, inp.future goals) + max(0, inp.final expenses)
covered = max(0, inp.liquid savings) + math.max(0, inp.existing coverage)</t>
        </is>
      </c>
      <c r="H322"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322" s="3" t="inlineStr">
        <is>
          <t>PARTLY READ — some of the code is still showing through; needs a hand pass</t>
        </is>
      </c>
      <c r="J322" s="3" t="inlineStr">
        <is>
          <t>inp: InsuranceInput</t>
        </is>
      </c>
      <c r="K322" s="3" t="inlineStr">
        <is>
          <t>InsuranceNeed</t>
        </is>
      </c>
      <c r="L322" s="3" t="inlineStr">
        <is>
          <t>1. "Gap" — on the Insurance screen
2. "Total need" — on the Insurance screen</t>
        </is>
      </c>
      <c r="M322" s="3" t="inlineStr">
        <is>
          <t>None found in this function — anything it assumes comes from the functions it depends on.</t>
        </is>
      </c>
      <c r="N322" s="3" t="inlineStr">
        <is>
          <t>Yes</t>
        </is>
      </c>
      <c r="O322" s="3" t="inlineStr">
        <is>
          <t>MK-ST-F-055 round2</t>
        </is>
      </c>
      <c r="P322" s="3" t="n">
        <v>1</v>
      </c>
      <c r="Q322" s="3" t="inlineStr">
        <is>
          <t>MK-ST-F-055 round2</t>
        </is>
      </c>
      <c r="R322" s="3" t="inlineStr">
        <is>
          <t>MK-ST-F-055 round2 → MK-PL-F-034 lifeInsuranceNeed</t>
        </is>
      </c>
      <c r="S322" s="3" t="inlineStr">
        <is>
          <t>—</t>
        </is>
      </c>
      <c r="T322" s="3" t="inlineStr">
        <is>
          <t>—</t>
        </is>
      </c>
      <c r="U322" s="3" t="inlineStr">
        <is>
          <t>ACTIVE</t>
        </is>
      </c>
      <c r="V322" s="3" t="inlineStr">
        <is>
          <t>2026-08-27</t>
        </is>
      </c>
    </row>
    <row r="323">
      <c r="A323" s="3" t="inlineStr">
        <is>
          <t>MK-PL-F-035</t>
        </is>
      </c>
      <c r="B323" s="3" t="inlineStr">
        <is>
          <t>retireAgeWithContribution</t>
        </is>
      </c>
      <c r="C323" s="3" t="inlineStr">
        <is>
          <t>src/domain/planning/multiGoal.ts</t>
        </is>
      </c>
      <c r="D323" s="3" t="n">
        <v>68</v>
      </c>
      <c r="E323" s="3" t="inlineStr">
        <is>
          <t>2 · DISPLAYED</t>
        </is>
      </c>
      <c r="F323" s="3" t="inlineStr">
        <is>
          <t>Earliest age the projection covers the need, WITH contributions until that age (F4's before/after).</t>
        </is>
      </c>
      <c r="G323" s="6" t="inlineStr">
        <is>
          <t>p = project nest egg({ ...inp, annual contribution: monthly contribution × 12, retire age: age, guaranteed start age: inp.guaranteed start age })
age   when will have ≥ will need
the answer = nothing</t>
        </is>
      </c>
      <c r="H323" s="3" t="inlineStr">
        <is>
          <t>P is project nest egg({ ...inp, annual contribution: monthly contribution times 12, retire age: age, guaranteed start age: inp.guaranteed start age }). When will have is at least will need, it answers age. The answer is no answer.</t>
        </is>
      </c>
      <c r="I323" s="3" t="inlineStr">
        <is>
          <t>READ FROM THE CODE — rendered from the expressions the function runs</t>
        </is>
      </c>
      <c r="J323" s="3" t="inlineStr">
        <is>
          <t>1. inp: RetirementInputs
2. monthlyContribution: number
3. maxAge = 80</t>
        </is>
      </c>
      <c r="K323" s="3" t="inlineStr">
        <is>
          <t>number | null</t>
        </is>
      </c>
      <c r="L323" s="3" t="inlineStr">
        <is>
          <t>NOT FOUND — a screen calls it, but the words printed beside its answer could not be traced automatically. Needs reading.</t>
        </is>
      </c>
      <c r="M323" s="3" t="inlineStr">
        <is>
          <t>· Turns a monthly figure into a year by multiplying by twelve.</t>
        </is>
      </c>
      <c r="N323" s="3" t="inlineStr">
        <is>
          <t>Yes</t>
        </is>
      </c>
      <c r="O323" s="3" t="inlineStr">
        <is>
          <t>MK-PL-F-055 projectNestEgg</t>
        </is>
      </c>
      <c r="P323" s="3" t="n">
        <v>10</v>
      </c>
      <c r="Q323" s="3" t="inlineStr">
        <is>
          <t>1. MK-PL-F-055 projectNestEgg
2. MK-CF-F-132 map
3. MK-ST-F-055 round2
4. MK-PL-F-050 simulate
5. MK-PL-F-074 median
6. MK-PL-F-072 mulberry32
7. MK-PL-F-073 normal
8. MK-PL-F-075 pctOfSorted
9. MK-ST-F-025 rmdStartAgeFromAge
10. MK-ST-F-024 rmdStartAge</t>
        </is>
      </c>
      <c r="R323" s="3" t="inlineStr">
        <is>
          <t>1. MK-CF-F-132 map → MK-PL-F-055 projectNestEgg → MK-PL-F-035 retireAgeWithContribution
2. MK-ST-F-055 round2 → MK-PL-F-055 projectNestEgg → MK-PL-F-035 retireAgeWithContribution
3. MK-CF-F-132 map → MK-PL-F-050 simulate → MK-PL-F-055 projectNestEgg → MK-PL-F-035 retireAgeWithContribution
4. MK-PL-F-074 median → MK-PL-F-050 simulate → MK-PL-F-055 projectNestEgg → MK-PL-F-035 retireAgeWithContribution
5. MK-PL-F-072 mulberry32 → MK-PL-F-050 simulate → MK-PL-F-055 projectNestEgg → MK-PL-F-035 retireAgeWithContribution
6. MK-PL-F-073 normal → MK-PL-F-050 simulate → MK-PL-F-055 projectNestEgg → MK-PL-F-035 retireAgeWithContribution
7. MK-PL-F-075 pctOfSorted → MK-PL-F-050 simulate → MK-PL-F-055 projectNestEgg → MK-PL-F-035 retireAgeWithContribution
8. MK-ST-F-024 rmdStartAge → MK-ST-F-025 rmdStartAgeFromAge → MK-PL-F-050 simulate → MK-PL-F-055 projectNestEgg → MK-PL-F-035 retireAgeWithContribution
9. … and 1 more paths</t>
        </is>
      </c>
      <c r="S323" s="3" t="inlineStr">
        <is>
          <t>—</t>
        </is>
      </c>
      <c r="T323" s="3" t="inlineStr">
        <is>
          <t>—</t>
        </is>
      </c>
      <c r="U323" s="3" t="inlineStr">
        <is>
          <t>ACTIVE</t>
        </is>
      </c>
      <c r="V323" s="3" t="inlineStr">
        <is>
          <t>2026-08-27</t>
        </is>
      </c>
    </row>
    <row r="324">
      <c r="A324" s="3" t="inlineStr">
        <is>
          <t>MK-PL-F-036</t>
        </is>
      </c>
      <c r="B324" s="3" t="inlineStr">
        <is>
          <t>weighGoals</t>
        </is>
      </c>
      <c r="C324" s="3" t="inlineStr">
        <is>
          <t>src/domain/planning/multiGoal.ts</t>
        </is>
      </c>
      <c r="D324" s="3" t="n">
        <v>118</v>
      </c>
      <c r="E324" s="3" t="inlineStr">
        <is>
          <t>2 · DISPLAYED</t>
        </is>
      </c>
      <c r="F324" s="3" t="inlineStr">
        <is>
          <t>Run the whole combination once.</t>
        </is>
      </c>
      <c r="G324" s="6" t="inlineStr">
        <is>
          <t>now = now (or new date() when missing)
on dials = dials where on
extra debt = max(0, extra debt monthly (or 0 when missing))
committed = round(Σ over on dials of (monthly amount (or 0 when missing or zero))+ extra debt + max(0, retirement monthly), 2 dp)
spare = round(capacity monthly − committed, 2 dp)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324" s="3" t="inlineStr">
        <is>
          <t>Now is now (or new date() — when missing). On dials is dials where on. Extra debt is extra debt monthly (or 0 — when missing, never below zero). Committed: the monthly amount (or 0 — when missing or zero added up across on dials)+ extra debt plus retirement monthly, never below zero, to the cent. Spare is capacity monthly minus committed, to the cent.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324" s="3" t="inlineStr">
        <is>
          <t>PARTLY READ — some of the code is still showing through; needs a hand pass</t>
        </is>
      </c>
      <c r="J324" s="3" t="inlineStr">
        <is>
          <t>w: WeighInputs</t>
        </is>
      </c>
      <c r="K324" s="3" t="inlineStr">
        <is>
          <t>WeighResult</t>
        </is>
      </c>
      <c r="L324" s="3" t="inlineStr">
        <is>
          <t>NOT FOUND — a screen calls it, but the words printed beside its answer could not be traced automatically. Needs reading.</t>
        </is>
      </c>
      <c r="M324"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Leaves some rows out of the answer — check which.</t>
        </is>
      </c>
      <c r="N324" s="3" t="inlineStr">
        <is>
          <t>Yes</t>
        </is>
      </c>
      <c r="O324" s="3" t="inlineStr">
        <is>
          <t>1. MK-PL-F-021 monthsToGoal
2. MK-CF-F-034 payoffPlan
3. MK-PL-F-035 retireAgeWithContribution
4. MK-ST-F-055 round2
5. MK-PL-F-050 simulate</t>
        </is>
      </c>
      <c r="P324" s="3" t="n">
        <v>15</v>
      </c>
      <c r="Q324" s="3" t="inlineStr">
        <is>
          <t>1. MK-PL-F-021 monthsToGoal
2. MK-CF-F-034 payoffPlan
3. MK-PL-F-035 retireAgeWithContribution
4. MK-ST-F-055 round2
5. MK-PL-F-050 simulate
6. MK-CF-F-132 map
7. MK-CF-F-022 paymentShape
8. MK-PL-F-055 projectNestEgg
9. MK-PL-F-074 median
10. MK-PL-F-072 mulberry32
11. MK-PL-F-073 normal
12. MK-PL-F-075 pctOfSorted
13. MK-ST-F-025 rmdStartAgeFromAge
14. MK-CF-F-021 defaultPaymentType
15. MK-ST-F-024 rmdStartAge</t>
        </is>
      </c>
      <c r="R324" s="3" t="inlineStr">
        <is>
          <t>1. MK-PL-F-021 monthsToGoal → MK-PL-F-036 weighGoals
2. MK-CF-F-132 map → MK-CF-F-034 payoffPlan → MK-PL-F-036 weighGoals
3. MK-CF-F-021 defaultPaymentType → MK-CF-F-022 paymentShape → MK-CF-F-034 payoffPlan → MK-PL-F-036 weighGoals
4. MK-ST-F-055 round2 → MK-CF-F-034 payoffPlan → MK-PL-F-036 weighGoals
5. MK-CF-F-132 map → MK-PL-F-055 projectNestEgg → MK-PL-F-035 retireAgeWithContribution → MK-PL-F-036 weighGoals
6. MK-ST-F-055 round2 → MK-PL-F-055 projectNestEgg → MK-PL-F-035 retireAgeWithContribution → MK-PL-F-036 weighGoals
7. MK-CF-F-132 map → MK-PL-F-050 simulate → MK-PL-F-055 projectNestEgg → MK-PL-F-035 retireAgeWithContribution → MK-PL-F-036 weighGoals
8. MK-PL-F-074 median → MK-PL-F-050 simulate → MK-PL-F-055 projectNestEgg → MK-PL-F-035 retireAgeWithContribution → MK-PL-F-036 weighGoals
9. … and 5 more paths</t>
        </is>
      </c>
      <c r="S324" s="3" t="inlineStr">
        <is>
          <t>—</t>
        </is>
      </c>
      <c r="T324" s="3" t="inlineStr">
        <is>
          <t>—</t>
        </is>
      </c>
      <c r="U324" s="3" t="inlineStr">
        <is>
          <t>ACTIVE</t>
        </is>
      </c>
      <c r="V324" s="3" t="inlineStr">
        <is>
          <t>2026-08-27</t>
        </is>
      </c>
    </row>
    <row r="325">
      <c r="A325" s="3" t="inlineStr">
        <is>
          <t>MK-PL-F-037</t>
        </is>
      </c>
      <c r="B325" s="3" t="inlineStr">
        <is>
          <t>trimHints</t>
        </is>
      </c>
      <c r="C325" s="3" t="inlineStr">
        <is>
          <t>src/domain/planning/multiGoal.ts</t>
        </is>
      </c>
      <c r="D325" s="3" t="n">
        <v>196</v>
      </c>
      <c r="E325" s="3" t="inlineStr">
        <is>
          <t>2 · DISPLAYED</t>
        </is>
      </c>
      <c r="F325" s="3" t="inlineStr">
        <is>
          <t>One hint per active goal: the SAME weigher re-run with that dial reduced — a pre-run of the slider, so applying the hint's amount reproduces its numbers exactly (the pin).</t>
        </is>
      </c>
      <c r="G325" s="6" t="inlineStr">
        <is>
          <t>trimmed amount = max(0, round((monthly amount × reduce to) ÷ 100) × 100)
freed = monthly amount − trimmed amount
the answer:
dial id = id
label = label
trimmed amount = trimmed amount
retire age = retire age
chance = chance</t>
        </is>
      </c>
      <c r="H325"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325" s="3" t="inlineStr">
        <is>
          <t>READ FROM THE CODE — rendered from the expressions the function runs</t>
        </is>
      </c>
      <c r="J325" s="3" t="inlineStr">
        <is>
          <t>1. w: WeighInputs
2. reduceTo = 0.6</t>
        </is>
      </c>
      <c r="K325" s="3" t="inlineStr">
        <is>
          <t>TrimHint[]</t>
        </is>
      </c>
      <c r="L325" s="3" t="inlineStr">
        <is>
          <t>NOT FOUND — a screen calls it, but the words printed beside its answer could not be traced automatically. Needs reading.</t>
        </is>
      </c>
      <c r="M325" s="3" t="inlineStr">
        <is>
          <t>1. Multiplies by 100 — a percentage, or an option contract treated as 100 shares. Worth checking which.
2. Rounds the answer to a whole number.
3. Leaves some rows out of the answer — check which.</t>
        </is>
      </c>
      <c r="N325" s="3" t="inlineStr">
        <is>
          <t>Yes</t>
        </is>
      </c>
      <c r="O325" s="3" t="inlineStr">
        <is>
          <t>1. MK-CF-F-132 map
2. MK-PL-F-036 weighGoals</t>
        </is>
      </c>
      <c r="P325" s="3" t="n">
        <v>16</v>
      </c>
      <c r="Q325" s="3" t="inlineStr">
        <is>
          <t>1. MK-CF-F-132 map
2. MK-PL-F-036 weighGoals
3. MK-PL-F-021 monthsToGoal
4. MK-CF-F-034 payoffPlan
5. MK-PL-F-035 retireAgeWithContribution
6. MK-ST-F-055 round2
7. MK-PL-F-050 simulate
8. MK-CF-F-022 paymentShape
9. MK-PL-F-055 projectNestEgg
10. MK-PL-F-074 median
11. MK-PL-F-072 mulberry32
12. MK-PL-F-073 normal
13. MK-PL-F-075 pctOfSorted
14. MK-ST-F-025 rmdStartAgeFromAge
15. MK-CF-F-021 defaultPaymentType
16. MK-ST-F-024 rmdStartAge</t>
        </is>
      </c>
      <c r="R325" s="3" t="inlineStr">
        <is>
          <t>1. MK-CF-F-132 map → MK-PL-F-037 trimHints
2. MK-PL-F-021 monthsToGoal → MK-PL-F-036 weighGoals → MK-PL-F-037 trimHints
3. MK-CF-F-132 map → MK-CF-F-034 payoffPlan → MK-PL-F-036 weighGoals → MK-PL-F-037 trimHints
4. MK-CF-F-021 defaultPaymentType → MK-CF-F-022 paymentShape → MK-CF-F-034 payoffPlan → MK-PL-F-036 weighGoals → MK-PL-F-037 trimHints
5. MK-ST-F-055 round2 → MK-CF-F-034 payoffPlan → MK-PL-F-036 weighGoals → MK-PL-F-037 trimHints
6. MK-CF-F-132 map → MK-PL-F-055 projectNestEgg → MK-PL-F-035 retireAgeWithContribution → MK-PL-F-036 weighGoals → MK-PL-F-037 trimHints
7. MK-ST-F-055 round2 → MK-PL-F-055 projectNestEgg → MK-PL-F-035 retireAgeWithContribution → MK-PL-F-036 weighGoals → MK-PL-F-037 trimHints
8. MK-CF-F-132 map → MK-PL-F-050 simulate → MK-PL-F-055 projectNestEgg → MK-PL-F-035 retireAgeWithContribution → MK-PL-F-036 weighGoals → MK-PL-F-037 trimHints
9. … and 4 more paths</t>
        </is>
      </c>
      <c r="S325" s="3" t="inlineStr">
        <is>
          <t>—</t>
        </is>
      </c>
      <c r="T325" s="3" t="inlineStr">
        <is>
          <t>—</t>
        </is>
      </c>
      <c r="U325" s="3" t="inlineStr">
        <is>
          <t>ACTIVE</t>
        </is>
      </c>
      <c r="V325" s="3" t="inlineStr">
        <is>
          <t>2026-08-27</t>
        </is>
      </c>
    </row>
    <row r="326">
      <c r="A326" s="3" t="inlineStr">
        <is>
          <t>MK-PL-F-038</t>
        </is>
      </c>
      <c r="B326" s="3" t="inlineStr">
        <is>
          <t>spendMoreState</t>
        </is>
      </c>
      <c r="C326" s="3" t="inlineStr">
        <is>
          <t>src/domain/planning/spendMore.ts</t>
        </is>
      </c>
      <c r="D326" s="3" t="n">
        <v>78</v>
      </c>
      <c r="E326" s="3" t="inlineStr">
        <is>
          <t>2 · DISPLAYED</t>
        </is>
      </c>
      <c r="F326" s="3" t="inlineStr">
        <is>
          <t>How much more she could spend, and how much of it is genuinely free.</t>
        </is>
      </c>
      <c r="G326" s="6" t="inlineStr">
        <is>
          <t>today = base.retire monthly spend today
odds today = odds at(base, today)
free = 0
the answer:
max extra = max extra
free extra = free
odds today = odds today</t>
        </is>
      </c>
      <c r="H326" s="3" t="inlineStr">
        <is>
          <t>Today is base.retire monthly spend today. Odds today is odds at(base, today). Free is 0. The answer is max extra = max extra; free extra = free; odds today = odds today.</t>
        </is>
      </c>
      <c r="I326" s="3" t="inlineStr">
        <is>
          <t>READ FROM THE CODE — rendered from the expressions the function runs</t>
        </is>
      </c>
      <c r="J326" s="3" t="inlineStr">
        <is>
          <t>1. base: RetirementInputs
2. maxExtra: number
3. step = 500</t>
        </is>
      </c>
      <c r="K326" s="3" t="inlineStr">
        <is>
          <t>SpendMoreState</t>
        </is>
      </c>
      <c r="L326" s="3" t="inlineStr">
        <is>
          <t>"Can I spend more?" — on a card used on more than one screen (SpendMoreControl)</t>
        </is>
      </c>
      <c r="M326" s="3" t="inlineStr">
        <is>
          <t>· Uses a built-in free of 0.</t>
        </is>
      </c>
      <c r="N326" s="3" t="inlineStr">
        <is>
          <t>Yes</t>
        </is>
      </c>
      <c r="O326" s="3" t="inlineStr">
        <is>
          <t>MK-PL-F-069 oddsAt</t>
        </is>
      </c>
      <c r="P326" s="3" t="n">
        <v>10</v>
      </c>
      <c r="Q326" s="3" t="inlineStr">
        <is>
          <t>1. MK-PL-F-069 oddsAt
2. MK-PL-F-050 simulate
3. MK-CF-F-132 map
4. MK-PL-F-074 median
5. MK-PL-F-072 mulberry32
6. MK-PL-F-073 normal
7. MK-PL-F-075 pctOfSorted
8. MK-ST-F-025 rmdStartAgeFromAge
9. MK-ST-F-055 round2
10. MK-ST-F-024 rmdStartAge</t>
        </is>
      </c>
      <c r="R326" s="3" t="inlineStr">
        <is>
          <t>1. MK-CF-F-132 map → MK-PL-F-050 simulate → MK-PL-F-069 oddsAt → MK-PL-F-038 spendMoreState
2. MK-PL-F-074 median → MK-PL-F-050 simulate → MK-PL-F-069 oddsAt → MK-PL-F-038 spendMoreState
3. MK-PL-F-072 mulberry32 → MK-PL-F-050 simulate → MK-PL-F-069 oddsAt → MK-PL-F-038 spendMoreState
4. MK-PL-F-073 normal → MK-PL-F-050 simulate → MK-PL-F-069 oddsAt → MK-PL-F-038 spendMoreState
5. MK-PL-F-075 pctOfSorted → MK-PL-F-050 simulate → MK-PL-F-069 oddsAt → MK-PL-F-038 spendMoreState
6. MK-ST-F-024 rmdStartAge → MK-ST-F-025 rmdStartAgeFromAge → MK-PL-F-050 simulate → MK-PL-F-069 oddsAt → MK-PL-F-038 spendMoreState
7. MK-ST-F-055 round2 → MK-PL-F-050 simulate → MK-PL-F-069 oddsAt → MK-PL-F-038 spendMoreState</t>
        </is>
      </c>
      <c r="S326" s="3" t="inlineStr">
        <is>
          <t>—</t>
        </is>
      </c>
      <c r="T326" s="3" t="inlineStr">
        <is>
          <t>—</t>
        </is>
      </c>
      <c r="U326" s="3" t="inlineStr">
        <is>
          <t>ACTIVE</t>
        </is>
      </c>
      <c r="V326" s="3" t="inlineStr">
        <is>
          <t>2026-08-27</t>
        </is>
      </c>
    </row>
    <row r="327">
      <c r="A327" s="3" t="inlineStr">
        <is>
          <t>MK-PL-F-039</t>
        </is>
      </c>
      <c r="B327" s="3" t="inlineStr">
        <is>
          <t>spendMoreSentence</t>
        </is>
      </c>
      <c r="C327" s="3" t="inlineStr">
        <is>
          <t>src/domain/planning/spendMore.ts</t>
        </is>
      </c>
      <c r="D327" s="3" t="n">
        <v>120</v>
      </c>
      <c r="E327" s="3" t="inlineStr">
        <is>
          <t>2 · DISPLAYED</t>
        </is>
      </c>
      <c r="F327" s="3" t="inlineStr">
        <is>
          <t>What the screen says at a given stepper position — a real run every time, never a bucket.</t>
        </is>
      </c>
      <c r="G327" s="6" t="inlineStr">
        <is>
          <t>chance = odds at(base, base.retire monthly spend today + extra)
in ten = round(chance ÷ 10)
failing = 10 − in ten
the answer:
chance = chance
tone = 'watch'
text = `lasts in almost every future simulation — about ${chance} out of 100.`</t>
        </is>
      </c>
      <c r="H327" s="3" t="inlineStr">
        <is>
          <t>Chance is odds at(base, base.retire monthly spend today plus extra). In ten is chance divided by 10, to a whole number. Failing is 10 minus in ten. The answer is chance = chance; tone = 'watch'; text = `lasts in almost every future simulation — about ${chance} out of 100.`.</t>
        </is>
      </c>
      <c r="I327" s="3" t="inlineStr">
        <is>
          <t>PARTLY READ — some of the code is still showing through; needs a hand pass</t>
        </is>
      </c>
      <c r="J327" s="3" t="inlineStr">
        <is>
          <t>1. base: RetirementInputs
2. extra: number
3. horizonAge: number
4. oddsToday: number</t>
        </is>
      </c>
      <c r="K327" s="3" t="inlineStr">
        <is>
          <t>NOT DECLARED — the code does not say what it gives back</t>
        </is>
      </c>
      <c r="L327" s="3" t="inlineStr">
        <is>
          <t>NOT FOUND — a screen calls it, but the words printed beside its answer could not be traced automatically. Needs reading.</t>
        </is>
      </c>
      <c r="M327" s="3" t="inlineStr">
        <is>
          <t>· Rounds the answer to a whole number.</t>
        </is>
      </c>
      <c r="N327" s="3" t="inlineStr">
        <is>
          <t>Yes</t>
        </is>
      </c>
      <c r="O327" s="3" t="inlineStr">
        <is>
          <t>MK-PL-F-069 oddsAt</t>
        </is>
      </c>
      <c r="P327" s="3" t="n">
        <v>10</v>
      </c>
      <c r="Q327" s="3" t="inlineStr">
        <is>
          <t>1. MK-PL-F-069 oddsAt
2. MK-PL-F-050 simulate
3. MK-CF-F-132 map
4. MK-PL-F-074 median
5. MK-PL-F-072 mulberry32
6. MK-PL-F-073 normal
7. MK-PL-F-075 pctOfSorted
8. MK-ST-F-025 rmdStartAgeFromAge
9. MK-ST-F-055 round2
10. MK-ST-F-024 rmdStartAge</t>
        </is>
      </c>
      <c r="R327" s="3" t="inlineStr">
        <is>
          <t>1. MK-CF-F-132 map → MK-PL-F-050 simulate → MK-PL-F-069 oddsAt → MK-PL-F-039 spendMoreSentence
2. MK-PL-F-074 median → MK-PL-F-050 simulate → MK-PL-F-069 oddsAt → MK-PL-F-039 spendMoreSentence
3. MK-PL-F-072 mulberry32 → MK-PL-F-050 simulate → MK-PL-F-069 oddsAt → MK-PL-F-039 spendMoreSentence
4. MK-PL-F-073 normal → MK-PL-F-050 simulate → MK-PL-F-069 oddsAt → MK-PL-F-039 spendMoreSentence
5. MK-PL-F-075 pctOfSorted → MK-PL-F-050 simulate → MK-PL-F-069 oddsAt → MK-PL-F-039 spendMoreSentence
6. MK-ST-F-024 rmdStartAge → MK-ST-F-025 rmdStartAgeFromAge → MK-PL-F-050 simulate → MK-PL-F-069 oddsAt → MK-PL-F-039 spendMoreSentence
7. MK-ST-F-055 round2 → MK-PL-F-050 simulate → MK-PL-F-069 oddsAt → MK-PL-F-039 spendMoreSentence</t>
        </is>
      </c>
      <c r="S327" s="3" t="inlineStr">
        <is>
          <t>—</t>
        </is>
      </c>
      <c r="T327" s="3" t="inlineStr">
        <is>
          <t>—</t>
        </is>
      </c>
      <c r="U327" s="3" t="inlineStr">
        <is>
          <t>ACTIVE</t>
        </is>
      </c>
      <c r="V327" s="3" t="inlineStr">
        <is>
          <t>2026-08-27</t>
        </is>
      </c>
    </row>
    <row r="328">
      <c r="A328" s="3" t="inlineStr">
        <is>
          <t>MK-PL-F-040</t>
        </is>
      </c>
      <c r="B328" s="3" t="inlineStr">
        <is>
          <t>targetAtRetirement</t>
        </is>
      </c>
      <c r="C328" s="3" t="inlineStr">
        <is>
          <t>src/domain/planning/target.ts</t>
        </is>
      </c>
      <c r="D328" s="3" t="n">
        <v>107</v>
      </c>
      <c r="E328" s="3" t="inlineStr">
        <is>
          <t>2 · DISPLAYED</t>
        </is>
      </c>
      <c r="F328" s="3" t="inlineStr">
        <is>
          <t>THE TARGET: the balance on day one of retirement that reaches TARGET_ODDS.</t>
        </is>
      </c>
      <c r="G328" s="6" t="inlineStr">
        <is>
          <t>found = smallest that works(0, MAX_TARGET, 5000, (x) =&gt; odds of(at retirement(x)) ≥ TARGET_ODDS)
the answer:
nothing   if found = nothing
round up(found ÷ 10000) × 10000   otherwise</t>
        </is>
      </c>
      <c r="H328" s="3" t="inlineStr">
        <is>
          <t>Found is smallest that works(0, MAX_TARGET, 5000, (x) =&gt; odds of(at retirement(x)) is at least TARGET_ODDS). The answer is no answer — when found is missing; found divided by 10000, rounded up times 10000 — otherwise.</t>
        </is>
      </c>
      <c r="I328" s="3" t="inlineStr">
        <is>
          <t>PARTLY READ — some of the code is still showing through; needs a hand pass</t>
        </is>
      </c>
      <c r="J328" s="3" t="inlineStr">
        <is>
          <t>base: RetirementInputs</t>
        </is>
      </c>
      <c r="K328" s="3" t="inlineStr">
        <is>
          <t>number | null</t>
        </is>
      </c>
      <c r="L328" s="3" t="inlineStr">
        <is>
          <t>NOT FOUND — a screen calls it, but the words printed beside its answer could not be traced automatically. Needs reading.</t>
        </is>
      </c>
      <c r="M328" s="3" t="inlineStr">
        <is>
          <t>None found in this function — anything it assumes comes from the functions it depends on.</t>
        </is>
      </c>
      <c r="N328" s="3" t="inlineStr">
        <is>
          <t>Yes</t>
        </is>
      </c>
      <c r="O328" s="3" t="inlineStr">
        <is>
          <t>1. MK-PL-F-071 oddsOf
2. MK-PL-F-070 smallestThatWorks</t>
        </is>
      </c>
      <c r="P328" s="3" t="n">
        <v>11</v>
      </c>
      <c r="Q328" s="3" t="inlineStr">
        <is>
          <t>1. MK-PL-F-071 oddsOf
2. MK-PL-F-070 smallestThatWorks
3. MK-PL-F-050 simulate
4. MK-CF-F-132 map
5. MK-PL-F-074 median
6. MK-PL-F-072 mulberry32
7. MK-PL-F-073 normal
8. MK-PL-F-075 pctOfSorted
9. MK-ST-F-025 rmdStartAgeFromAge
10. MK-ST-F-055 round2
11. MK-ST-F-024 rmdStartAge</t>
        </is>
      </c>
      <c r="R328" s="3" t="inlineStr">
        <is>
          <t>1. MK-CF-F-132 map → MK-PL-F-050 simulate → MK-PL-F-071 oddsOf → MK-PL-F-040 targetAtRetirement
2. MK-PL-F-074 median → MK-PL-F-050 simulate → MK-PL-F-071 oddsOf → MK-PL-F-040 targetAtRetirement
3. MK-PL-F-072 mulberry32 → MK-PL-F-050 simulate → MK-PL-F-071 oddsOf → MK-PL-F-040 targetAtRetirement
4. MK-PL-F-073 normal → MK-PL-F-050 simulate → MK-PL-F-071 oddsOf → MK-PL-F-040 targetAtRetirement
5. MK-PL-F-075 pctOfSorted → MK-PL-F-050 simulate → MK-PL-F-071 oddsOf → MK-PL-F-040 targetAtRetirement
6. MK-ST-F-024 rmdStartAge → MK-ST-F-025 rmdStartAgeFromAge → MK-PL-F-050 simulate → MK-PL-F-071 oddsOf → MK-PL-F-040 targetAtRetirement
7. MK-ST-F-055 round2 → MK-PL-F-050 simulate → MK-PL-F-071 oddsOf → MK-PL-F-040 targetAtRetirement
8. MK-PL-F-070 smallestThatWorks → MK-PL-F-040 targetAtRetirement</t>
        </is>
      </c>
      <c r="S328" s="3" t="inlineStr">
        <is>
          <t>—</t>
        </is>
      </c>
      <c r="T328" s="3" t="inlineStr">
        <is>
          <t>—</t>
        </is>
      </c>
      <c r="U328" s="3" t="inlineStr">
        <is>
          <t>ACTIVE</t>
        </is>
      </c>
      <c r="V328" s="3" t="inlineStr">
        <is>
          <t>2026-08-27</t>
        </is>
      </c>
    </row>
    <row r="329">
      <c r="A329" s="3" t="inlineStr">
        <is>
          <t>MK-PL-F-041</t>
        </is>
      </c>
      <c r="B329" s="3" t="inlineStr">
        <is>
          <t>requiredAnnualSaving</t>
        </is>
      </c>
      <c r="C329" s="3" t="inlineStr">
        <is>
          <t>src/domain/planning/target.ts</t>
        </is>
      </c>
      <c r="D329" s="3" t="n">
        <v>154</v>
      </c>
      <c r="E329" s="3" t="inlineStr">
        <is>
          <t>3 · DEPENDENT</t>
        </is>
      </c>
      <c r="F329" s="3" t="inlineStr">
        <is>
          <t>THE YEARLY SAVING: the total annual contribution that reaches TARGET_ODDS on the real plan — the one with their age, their years left, their spending, their big costs.</t>
        </is>
      </c>
      <c r="G329" s="6"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t>
        </is>
      </c>
      <c r="H329"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t>
        </is>
      </c>
      <c r="I329" s="3" t="inlineStr">
        <is>
          <t>PARTLY READ — some of the code is still showing through; needs a hand pass</t>
        </is>
      </c>
      <c r="J329" s="3" t="inlineStr">
        <is>
          <t>base: RetirementInputs</t>
        </is>
      </c>
      <c r="K329" s="3" t="inlineStr">
        <is>
          <t>NOT DECLARED — the code does not say what it gives back</t>
        </is>
      </c>
      <c r="L329" s="3" t="inlineStr">
        <is>
          <t>—</t>
        </is>
      </c>
      <c r="M329" s="3" t="inlineStr">
        <is>
          <t>· If annual contribution is missing it uses 0.</t>
        </is>
      </c>
      <c r="N329" s="3" t="inlineStr">
        <is>
          <t>Yes</t>
        </is>
      </c>
      <c r="O329" s="3" t="inlineStr">
        <is>
          <t>1. MK-PL-F-071 oddsOf
2. MK-PL-F-070 smallestThatWorks</t>
        </is>
      </c>
      <c r="P329" s="3" t="n">
        <v>11</v>
      </c>
      <c r="Q329" s="3" t="inlineStr">
        <is>
          <t>1. MK-PL-F-071 oddsOf
2. MK-PL-F-070 smallestThatWorks
3. MK-PL-F-050 simulate
4. MK-CF-F-132 map
5. MK-PL-F-074 median
6. MK-PL-F-072 mulberry32
7. MK-PL-F-073 normal
8. MK-PL-F-075 pctOfSorted
9. MK-ST-F-025 rmdStartAgeFromAge
10. MK-ST-F-055 round2
11. MK-ST-F-024 rmdStartAge</t>
        </is>
      </c>
      <c r="R329" s="3" t="inlineStr">
        <is>
          <t>1. MK-CF-F-132 map → MK-PL-F-050 simulate → MK-PL-F-071 oddsOf → MK-PL-F-041 requiredAnnualSaving
2. MK-PL-F-074 median → MK-PL-F-050 simulate → MK-PL-F-071 oddsOf → MK-PL-F-041 requiredAnnualSaving
3. MK-PL-F-072 mulberry32 → MK-PL-F-050 simulate → MK-PL-F-071 oddsOf → MK-PL-F-041 requiredAnnualSaving
4. MK-PL-F-073 normal → MK-PL-F-050 simulate → MK-PL-F-071 oddsOf → MK-PL-F-041 requiredAnnualSaving
5. MK-PL-F-075 pctOfSorted → MK-PL-F-050 simulate → MK-PL-F-071 oddsOf → MK-PL-F-041 requiredAnnualSaving
6. MK-ST-F-024 rmdStartAge → MK-ST-F-025 rmdStartAgeFromAge → MK-PL-F-050 simulate → MK-PL-F-071 oddsOf → MK-PL-F-041 requiredAnnualSaving
7. MK-ST-F-055 round2 → MK-PL-F-050 simulate → MK-PL-F-071 oddsOf → MK-PL-F-041 requiredAnnualSaving
8. MK-PL-F-070 smallestThatWorks → MK-PL-F-041 requiredAnnualSaving</t>
        </is>
      </c>
      <c r="S329" s="3" t="inlineStr">
        <is>
          <t>—</t>
        </is>
      </c>
      <c r="T329" s="3" t="inlineStr">
        <is>
          <t>—</t>
        </is>
      </c>
      <c r="U329" s="3" t="inlineStr">
        <is>
          <t>ACTIVE</t>
        </is>
      </c>
      <c r="V329" s="3" t="inlineStr">
        <is>
          <t>2026-08-27</t>
        </is>
      </c>
    </row>
    <row r="330">
      <c r="A330" s="3" t="inlineStr">
        <is>
          <t>MK-PL-F-042</t>
        </is>
      </c>
      <c r="B330" s="3" t="inlineStr">
        <is>
          <t>savingToReachTarget</t>
        </is>
      </c>
      <c r="C330" s="3" t="inlineStr">
        <is>
          <t>src/domain/planning/target.ts</t>
        </is>
      </c>
      <c r="D330" s="3" t="n">
        <v>211</v>
      </c>
      <c r="E330" s="3" t="inlineStr">
        <is>
          <t>3 · DEPENDENT</t>
        </is>
      </c>
      <c r="F330" s="3" t="inlineStr">
        <is>
          <t>The yearly saving whose PROJECTION reaches a typed target.</t>
        </is>
      </c>
      <c r="G330" s="6" t="inlineStr">
        <is>
          <t>found = smallest that works(0, MAX_SAVING, 500, (x) =&gt; projected with(x) ≥ typed target)
nothing   when found = nothing
total = round up(found ÷ 500) × 500
the answer:
total = total
extra = max(0, total − (base.annual contribution ?? 0))</t>
        </is>
      </c>
      <c r="H330"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330" s="3" t="inlineStr">
        <is>
          <t>PARTLY READ — some of the code is still showing through; needs a hand pass</t>
        </is>
      </c>
      <c r="J330" s="3" t="inlineStr">
        <is>
          <t>1. base: RetirementInputs
2. typedTarget: number</t>
        </is>
      </c>
      <c r="K330" s="3" t="inlineStr">
        <is>
          <t>NOT DECLARED — the code does not say what it gives back</t>
        </is>
      </c>
      <c r="L330" s="3" t="inlineStr">
        <is>
          <t>—</t>
        </is>
      </c>
      <c r="M330" s="3" t="inlineStr">
        <is>
          <t>· If annual contribution is missing it uses 0.</t>
        </is>
      </c>
      <c r="N330" s="3" t="inlineStr">
        <is>
          <t>Yes</t>
        </is>
      </c>
      <c r="O330" s="3" t="inlineStr">
        <is>
          <t>1. MK-PL-F-050 simulate
2. MK-PL-F-070 smallestThatWorks</t>
        </is>
      </c>
      <c r="P330" s="3" t="n">
        <v>10</v>
      </c>
      <c r="Q330" s="3" t="inlineStr">
        <is>
          <t>1. MK-PL-F-050 simulate
2. MK-PL-F-070 smallestThatWorks
3. MK-CF-F-132 map
4. MK-PL-F-074 median
5. MK-PL-F-072 mulberry32
6. MK-PL-F-073 normal
7. MK-PL-F-075 pctOfSorted
8. MK-ST-F-025 rmdStartAgeFromAge
9. MK-ST-F-055 round2
10. MK-ST-F-024 rmdStartAge</t>
        </is>
      </c>
      <c r="R330" s="3" t="inlineStr">
        <is>
          <t>1. MK-CF-F-132 map → MK-PL-F-050 simulate → MK-PL-F-042 savingToReachTarget
2. MK-PL-F-074 median → MK-PL-F-050 simulate → MK-PL-F-042 savingToReachTarget
3. MK-PL-F-072 mulberry32 → MK-PL-F-050 simulate → MK-PL-F-042 savingToReachTarget
4. MK-PL-F-073 normal → MK-PL-F-050 simulate → MK-PL-F-042 savingToReachTarget
5. MK-PL-F-075 pctOfSorted → MK-PL-F-050 simulate → MK-PL-F-042 savingToReachTarget
6. MK-ST-F-024 rmdStartAge → MK-ST-F-025 rmdStartAgeFromAge → MK-PL-F-050 simulate → MK-PL-F-042 savingToReachTarget
7. MK-ST-F-055 round2 → MK-PL-F-050 simulate → MK-PL-F-042 savingToReachTarget
8. MK-PL-F-070 smallestThatWorks → MK-PL-F-042 savingToReachTarget</t>
        </is>
      </c>
      <c r="S330" s="3" t="inlineStr">
        <is>
          <t>—</t>
        </is>
      </c>
      <c r="T330" s="3" t="inlineStr">
        <is>
          <t>—</t>
        </is>
      </c>
      <c r="U330" s="3" t="inlineStr">
        <is>
          <t>ACTIVE</t>
        </is>
      </c>
      <c r="V330" s="3" t="inlineStr">
        <is>
          <t>2026-08-27</t>
        </is>
      </c>
    </row>
    <row r="331">
      <c r="A331" s="3" t="inlineStr">
        <is>
          <t>MK-PL-F-043</t>
        </is>
      </c>
      <c r="B331" s="3" t="inlineStr">
        <is>
          <t>howTheGapCloses</t>
        </is>
      </c>
      <c r="C331" s="3" t="inlineStr">
        <is>
          <t>src/domain/planning/target.ts</t>
        </is>
      </c>
      <c r="D331" s="3" t="n">
        <v>248</v>
      </c>
      <c r="E331" s="3" t="inlineStr">
        <is>
          <t>2 · DISPLAYED</t>
        </is>
      </c>
      <c r="F331" s="3" t="inlineStr">
        <is>
          <t>Where the money to close the gap actually comes from — the breakdown that stops a person subtracting and concluding the app cannot add up (founder, 2026-08-14).</t>
        </is>
      </c>
      <c r="G331" s="6" t="inlineStr">
        <is>
          <t>years = max(0, base.retire age − base.current age)
no saving = round(simulate({ ...base, annual contribution: 0 }).projected at retirement)
with saving = round(simulate({ ...base, annual contribution: total annual saving }).projected at retirement)
put in = total annual saving × years</t>
        </is>
      </c>
      <c r="H331" s="3" t="inlineStr">
        <is>
          <t>Years is base.retire age minus base.current age, never below zero. No saving is simulate({ ...base, annual contribution: 0 }, to a whole number.projected at retirement). With saving is simulate({ ...base, annual contribution: total annual saving }, to a whole number.projected at retirement). Put in is total annual saving times years.</t>
        </is>
      </c>
      <c r="I331" s="3" t="inlineStr">
        <is>
          <t>PARTLY READ — some of the code is still showing through; needs a hand pass</t>
        </is>
      </c>
      <c r="J331" s="3" t="inlineStr">
        <is>
          <t>1. base: RetirementInputs
2. totalAnnualSaving: number</t>
        </is>
      </c>
      <c r="K331" s="3" t="inlineStr">
        <is>
          <t>NOT DECLARED — the code does not say what it gives back</t>
        </is>
      </c>
      <c r="L331" s="3" t="inlineStr">
        <is>
          <t>NOT FOUND — a screen calls it, but the words printed beside its answer could not be traced automatically. Needs reading.</t>
        </is>
      </c>
      <c r="M331" s="3" t="inlineStr">
        <is>
          <t>· Rounds the answer to a whole number.</t>
        </is>
      </c>
      <c r="N331" s="3" t="inlineStr">
        <is>
          <t>Yes</t>
        </is>
      </c>
      <c r="O331" s="3" t="inlineStr">
        <is>
          <t>MK-PL-F-050 simulate</t>
        </is>
      </c>
      <c r="P331" s="3" t="n">
        <v>9</v>
      </c>
      <c r="Q331" s="3" t="inlineStr">
        <is>
          <t>1. MK-PL-F-050 simulate
2. MK-CF-F-132 map
3. MK-PL-F-074 median
4. MK-PL-F-072 mulberry32
5. MK-PL-F-073 normal
6. MK-PL-F-075 pctOfSorted
7. MK-ST-F-025 rmdStartAgeFromAge
8. MK-ST-F-055 round2
9. MK-ST-F-024 rmdStartAge</t>
        </is>
      </c>
      <c r="R331" s="3" t="inlineStr">
        <is>
          <t>1. MK-CF-F-132 map → MK-PL-F-050 simulate → MK-PL-F-043 howTheGapCloses
2. MK-PL-F-074 median → MK-PL-F-050 simulate → MK-PL-F-043 howTheGapCloses
3. MK-PL-F-072 mulberry32 → MK-PL-F-050 simulate → MK-PL-F-043 howTheGapCloses
4. MK-PL-F-073 normal → MK-PL-F-050 simulate → MK-PL-F-043 howTheGapCloses
5. MK-PL-F-075 pctOfSorted → MK-PL-F-050 simulate → MK-PL-F-043 howTheGapCloses
6. MK-ST-F-024 rmdStartAge → MK-ST-F-025 rmdStartAgeFromAge → MK-PL-F-050 simulate → MK-PL-F-043 howTheGapCloses
7. MK-ST-F-055 round2 → MK-PL-F-050 simulate → MK-PL-F-043 howTheGapCloses</t>
        </is>
      </c>
      <c r="S331" s="3" t="inlineStr">
        <is>
          <t>—</t>
        </is>
      </c>
      <c r="T331" s="3" t="inlineStr">
        <is>
          <t>—</t>
        </is>
      </c>
      <c r="U331" s="3" t="inlineStr">
        <is>
          <t>ACTIVE</t>
        </is>
      </c>
      <c r="V331" s="3" t="inlineStr">
        <is>
          <t>2026-08-27</t>
        </is>
      </c>
    </row>
    <row r="332">
      <c r="A332" s="3" t="inlineStr">
        <is>
          <t>MK-PL-F-044</t>
        </is>
      </c>
      <c r="B332" s="3" t="inlineStr">
        <is>
          <t>planTarget</t>
        </is>
      </c>
      <c r="C332" s="3" t="inlineStr">
        <is>
          <t>src/domain/planning/target.ts</t>
        </is>
      </c>
      <c r="D332" s="3" t="n">
        <v>319</v>
      </c>
      <c r="E332" s="3" t="inlineStr">
        <is>
          <t>2 · DISPLAYED</t>
        </is>
      </c>
      <c r="F332" s="3" t="inlineStr">
        <is>
          <t>One call, everything the second gauge and the bridge sentence need.</t>
        </is>
      </c>
      <c r="G332" s="6" t="inlineStr">
        <is>
          <t>sim = simulate(base)
odds = sim.chance of success
projected = round(sim.projected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332" s="3" t="inlineStr">
        <is>
          <t>Sim is simulate(base). Odds is sim.chance of success. Projected is sim.projected at retirement, to a whole number.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332" s="3" t="inlineStr">
        <is>
          <t>PARTLY READ — some of the code is still showing through; needs a hand pass</t>
        </is>
      </c>
      <c r="J332" s="3" t="inlineStr">
        <is>
          <t>1. base: RetirementInputs
2. annualIncome?: number
3. roomAnnual?: number
4. typedTarget?: number | null</t>
        </is>
      </c>
      <c r="K332" s="3" t="inlineStr">
        <is>
          <t>PlanTarget</t>
        </is>
      </c>
      <c r="L332" s="3" t="inlineStr">
        <is>
          <t>NOT FOUND — a screen calls it, but the words printed beside its answer could not be traced automatically. Needs reading.</t>
        </is>
      </c>
      <c r="M332" s="3" t="inlineStr">
        <is>
          <t>1. If annual contribution is missing it uses 0.
2. Treats a year as twelve equal months.
3. Multiplies by 100 — a percentage, or an option contract treated as 100 shares. Worth checking which.
4. Rounds the answer to a whole number.</t>
        </is>
      </c>
      <c r="N332" s="3" t="inlineStr">
        <is>
          <t>Yes</t>
        </is>
      </c>
      <c r="O332" s="3" t="inlineStr">
        <is>
          <t>1. MK-PL-F-041 requiredAnnualSaving
2. MK-PL-F-042 savingToReachTarget
3. MK-PL-F-050 simulate
4. MK-PL-F-040 targetAtRetirement</t>
        </is>
      </c>
      <c r="P332" s="3" t="n">
        <v>14</v>
      </c>
      <c r="Q332" s="3" t="inlineStr">
        <is>
          <t>1. MK-PL-F-041 requiredAnnualSaving
2. MK-PL-F-042 savingToReachTarget
3. MK-PL-F-050 simulate
4. MK-PL-F-040 targetAtRetirement
5. MK-PL-F-071 oddsOf
6. MK-PL-F-070 smallestThatWorks
7. MK-CF-F-132 map
8. MK-PL-F-074 median
9. MK-PL-F-072 mulberry32
10. MK-PL-F-073 normal
11. MK-PL-F-075 pctOfSorted
12. MK-ST-F-025 rmdStartAgeFromAge
13. MK-ST-F-055 round2
14. MK-ST-F-024 rmdStartAge</t>
        </is>
      </c>
      <c r="R332" s="3" t="inlineStr">
        <is>
          <t>1. MK-CF-F-132 map → MK-PL-F-050 simulate → MK-PL-F-071 oddsOf → MK-PL-F-041 requiredAnnualSaving → MK-PL-F-044 planTarget
2. MK-PL-F-074 median → MK-PL-F-050 simulate → MK-PL-F-071 oddsOf → MK-PL-F-041 requiredAnnualSaving → MK-PL-F-044 planTarget
3. MK-PL-F-072 mulberry32 → MK-PL-F-050 simulate → MK-PL-F-071 oddsOf → MK-PL-F-041 requiredAnnualSaving → MK-PL-F-044 planTarget
4. MK-PL-F-073 normal → MK-PL-F-050 simulate → MK-PL-F-071 oddsOf → MK-PL-F-041 requiredAnnualSaving → MK-PL-F-044 planTarget
5. MK-PL-F-075 pctOfSorted → MK-PL-F-050 simulate → MK-PL-F-071 oddsOf → MK-PL-F-041 requiredAnnualSaving → MK-PL-F-044 planTarget
6. MK-ST-F-024 rmdStartAge → MK-ST-F-025 rmdStartAgeFromAge → MK-PL-F-050 simulate → MK-PL-F-071 oddsOf → MK-PL-F-041 requiredAnnualSaving → MK-PL-F-044 planTarget
7. MK-ST-F-055 round2 → MK-PL-F-050 simulate → MK-PL-F-071 oddsOf → MK-PL-F-041 requiredAnnualSaving → MK-PL-F-044 planTarget
8. MK-PL-F-070 smallestThatWorks → MK-PL-F-041 requiredAnnualSaving → MK-PL-F-044 planTarget
9. … and 5 more paths</t>
        </is>
      </c>
      <c r="S332" s="3" t="inlineStr">
        <is>
          <t>—</t>
        </is>
      </c>
      <c r="T332" s="3" t="inlineStr">
        <is>
          <t>—</t>
        </is>
      </c>
      <c r="U332" s="3" t="inlineStr">
        <is>
          <t>ACTIVE</t>
        </is>
      </c>
      <c r="V332" s="3" t="inlineStr">
        <is>
          <t>2026-08-27</t>
        </is>
      </c>
    </row>
    <row r="333">
      <c r="A333" s="3" t="inlineStr">
        <is>
          <t>MK-PL-F-045</t>
        </is>
      </c>
      <c r="B333" s="3" t="inlineStr">
        <is>
          <t>ssUpliftFactor</t>
        </is>
      </c>
      <c r="C333" s="3" t="inlineStr">
        <is>
          <t>src/domain/planning/target.ts</t>
        </is>
      </c>
      <c r="D333" s="3" t="n">
        <v>378</v>
      </c>
      <c r="E333" s="3" t="inlineStr">
        <is>
          <t>3 · DEPENDENT</t>
        </is>
      </c>
      <c r="F333" s="3" t="inlineStr">
        <is>
          <t>Social Security pays roughly 8% more for each year you delay past full retirement age — the claim-later lever has to raise the CHECK, not just move its start date.</t>
        </is>
      </c>
      <c r="G333" s="6" t="inlineStr">
        <is>
          <t>1 + 0.08 × max(0, to age − from age)</t>
        </is>
      </c>
      <c r="H333" s="3" t="inlineStr">
        <is>
          <t>1 plus 0.08 times to age minus from age, never below zero.</t>
        </is>
      </c>
      <c r="I333" s="3" t="inlineStr">
        <is>
          <t>READ FROM THE CODE — rendered from the expressions the function runs</t>
        </is>
      </c>
      <c r="J333" s="3" t="inlineStr">
        <is>
          <t>1. fromAge: number
2. toAge: number</t>
        </is>
      </c>
      <c r="K333" s="3" t="inlineStr">
        <is>
          <t>number</t>
        </is>
      </c>
      <c r="L333" s="3" t="inlineStr">
        <is>
          <t>—</t>
        </is>
      </c>
      <c r="M333" s="3" t="inlineStr">
        <is>
          <t>None found in this function — anything it assumes comes from the functions it depends on.</t>
        </is>
      </c>
      <c r="N333" s="3" t="inlineStr">
        <is>
          <t>Yes</t>
        </is>
      </c>
      <c r="O333" s="3" t="inlineStr">
        <is>
          <t>—</t>
        </is>
      </c>
      <c r="P333" s="3" t="n">
        <v>0</v>
      </c>
      <c r="Q333" s="3" t="inlineStr">
        <is>
          <t>None — no dependent function stands behind it</t>
        </is>
      </c>
      <c r="R333" s="3" t="inlineStr">
        <is>
          <t>No dependent function — it reads its inputs and answers</t>
        </is>
      </c>
      <c r="S333" s="3" t="inlineStr">
        <is>
          <t>—</t>
        </is>
      </c>
      <c r="T333" s="3" t="inlineStr">
        <is>
          <t>—</t>
        </is>
      </c>
      <c r="U333" s="3" t="inlineStr">
        <is>
          <t>ACTIVE</t>
        </is>
      </c>
      <c r="V333" s="3" t="inlineStr">
        <is>
          <t>2026-08-27</t>
        </is>
      </c>
    </row>
    <row r="334">
      <c r="A334" s="3" t="inlineStr">
        <is>
          <t>MK-PL-F-046</t>
        </is>
      </c>
      <c r="B334" s="3" t="inlineStr">
        <is>
          <t>leverDeltas</t>
        </is>
      </c>
      <c r="C334" s="3" t="inlineStr">
        <is>
          <t>src/domain/planning/target.ts</t>
        </is>
      </c>
      <c r="D334" s="3" t="n">
        <v>414</v>
      </c>
      <c r="E334" s="3" t="inlineStr">
        <is>
          <t>2 · DISPLAYED</t>
        </is>
      </c>
      <c r="F334" s="3" t="inlineStr">
        <is>
          <t>NOT DETERMINED — the code carries no note saying what this is for, and it has no row in the old inventory. Needs reading.</t>
        </is>
      </c>
      <c r="G334" s="6"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334"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334" s="3" t="inlineStr">
        <is>
          <t>PARTLY READ — some of the code is still showing through; needs a hand pass</t>
        </is>
      </c>
      <c r="J334" s="3" t="inlineStr">
        <is>
          <t>1. base: RetirementInputs
2. opts: { spendCutMonthly?: number; retireLaterYears?: number; claimAge?: number } = {}</t>
        </is>
      </c>
      <c r="K334" s="3" t="inlineStr">
        <is>
          <t>Lever[]</t>
        </is>
      </c>
      <c r="L334" s="3" t="inlineStr">
        <is>
          <t>NOT FOUND — a screen calls it, but the words printed beside its answer could not be traced automatically. Needs reading.</t>
        </is>
      </c>
      <c r="M334" s="3" t="inlineStr">
        <is>
          <t>1. If retire later years is missing it uses 2.
2. If spend cut monthly is missing it uses 400.
3. If claim age is missing it uses 70.
4. If guaranteed monthly income is missing it uses 0.
5. Rounds the answer to a whole number.
6. Leaves some rows out of the answer — check which.</t>
        </is>
      </c>
      <c r="N334" s="3" t="inlineStr">
        <is>
          <t>Yes</t>
        </is>
      </c>
      <c r="O334" s="3" t="inlineStr">
        <is>
          <t>1. MK-CF-F-132 map
2. MK-PL-F-071 oddsOf
3. MK-PL-F-051 ssStreamOf
4. MK-PL-F-045 ssUpliftFactor
5. MK-PL-F-052 withSsStream</t>
        </is>
      </c>
      <c r="P334" s="3" t="n">
        <v>13</v>
      </c>
      <c r="Q334" s="3" t="inlineStr">
        <is>
          <t>1. MK-CF-F-132 map
2. MK-PL-F-071 oddsOf
3. MK-PL-F-051 ssStreamOf
4. MK-PL-F-045 ssUpliftFactor
5. MK-PL-F-052 withSsStream
6. MK-PL-F-050 simulate
7. MK-PL-F-074 median
8. MK-PL-F-072 mulberry32
9. MK-PL-F-073 normal
10. MK-PL-F-075 pctOfSorted
11. MK-ST-F-025 rmdStartAgeFromAge
12. MK-ST-F-055 round2
13. MK-ST-F-024 rmdStartAge</t>
        </is>
      </c>
      <c r="R334" s="3" t="inlineStr">
        <is>
          <t>1. MK-CF-F-132 map → MK-PL-F-046 leverDeltas
2. MK-CF-F-132 map → MK-PL-F-050 simulate → MK-PL-F-071 oddsOf → MK-PL-F-046 leverDeltas
3. MK-PL-F-074 median → MK-PL-F-050 simulate → MK-PL-F-071 oddsOf → MK-PL-F-046 leverDeltas
4. MK-PL-F-072 mulberry32 → MK-PL-F-050 simulate → MK-PL-F-071 oddsOf → MK-PL-F-046 leverDeltas
5. MK-PL-F-073 normal → MK-PL-F-050 simulate → MK-PL-F-071 oddsOf → MK-PL-F-046 leverDeltas
6. MK-PL-F-075 pctOfSorted → MK-PL-F-050 simulate → MK-PL-F-071 oddsOf → MK-PL-F-046 leverDeltas
7. MK-ST-F-024 rmdStartAge → MK-ST-F-025 rmdStartAgeFromAge → MK-PL-F-050 simulate → MK-PL-F-071 oddsOf → MK-PL-F-046 leverDeltas
8. MK-ST-F-055 round2 → MK-PL-F-050 simulate → MK-PL-F-071 oddsOf → MK-PL-F-046 leverDeltas
9. … and 3 more paths</t>
        </is>
      </c>
      <c r="S334" s="3" t="inlineStr">
        <is>
          <t>—</t>
        </is>
      </c>
      <c r="T334" s="3" t="inlineStr">
        <is>
          <t>—</t>
        </is>
      </c>
      <c r="U334" s="3" t="inlineStr">
        <is>
          <t>ACTIVE</t>
        </is>
      </c>
      <c r="V334" s="3" t="inlineStr">
        <is>
          <t>2026-08-27</t>
        </is>
      </c>
    </row>
    <row r="335">
      <c r="A335" s="3" t="inlineStr">
        <is>
          <t>MK-PL-F-047</t>
        </is>
      </c>
      <c r="B335" s="3" t="inlineStr">
        <is>
          <t>colFactor</t>
        </is>
      </c>
      <c r="C335" s="3" t="inlineStr">
        <is>
          <t>src/domain/retirement/col.ts</t>
        </is>
      </c>
      <c r="D335" s="3" t="n">
        <v>78</v>
      </c>
      <c r="E335" s="3" t="inlineStr">
        <is>
          <t>2 · DISPLAYED</t>
        </is>
      </c>
      <c r="F335" s="3" t="inlineStr">
        <is>
          <t>Cost-of-living factor for a free-text location.</t>
        </is>
      </c>
      <c r="G335" s="6" t="inlineStr">
        <is>
          <t>q = string(location ?? '').trim().to lower case()
factor = 1
name = nothing   when q is missing
the answer:
factor = row.factor
name = row.name</t>
        </is>
      </c>
      <c r="H335" s="3" t="inlineStr">
        <is>
          <t>Q is string(location ?? '').trim().to lower case(). When q is missing, it answers factor = 1; name is missing. The answer is factor = row.factor; name = row.name.</t>
        </is>
      </c>
      <c r="I335" s="3" t="inlineStr">
        <is>
          <t>PARTLY READ — some of the code is still showing through; needs a hand pass</t>
        </is>
      </c>
      <c r="J335" s="3" t="inlineStr">
        <is>
          <t>location?: string | null</t>
        </is>
      </c>
      <c r="K335" s="3" t="inlineStr">
        <is>
          <t>ColMatch</t>
        </is>
      </c>
      <c r="L335" s="3" t="inlineStr">
        <is>
          <t>1. "Country / region" — on the setup questions, which appear on more than one screen
2. "You plan to spend" — on the Retirement cockpit screen</t>
        </is>
      </c>
      <c r="M335" s="3" t="inlineStr">
        <is>
          <t>None found in this function — anything it assumes comes from the functions it depends on.</t>
        </is>
      </c>
      <c r="N335" s="3" t="inlineStr">
        <is>
          <t>Yes</t>
        </is>
      </c>
      <c r="O335" s="3" t="inlineStr">
        <is>
          <t>—</t>
        </is>
      </c>
      <c r="P335" s="3" t="n">
        <v>0</v>
      </c>
      <c r="Q335" s="3" t="inlineStr">
        <is>
          <t>None — no dependent function stands behind it</t>
        </is>
      </c>
      <c r="R335" s="3" t="inlineStr">
        <is>
          <t>No dependent function — it reads its inputs and answers</t>
        </is>
      </c>
      <c r="S335" s="3" t="inlineStr">
        <is>
          <t>—</t>
        </is>
      </c>
      <c r="T335" s="3" t="inlineStr">
        <is>
          <t>COST_OF_LIVING</t>
        </is>
      </c>
      <c r="U335" s="3" t="inlineStr">
        <is>
          <t>ACTIVE</t>
        </is>
      </c>
      <c r="V335" s="3" t="inlineStr">
        <is>
          <t>2026-08-27</t>
        </is>
      </c>
    </row>
    <row r="336">
      <c r="A336" s="3" t="inlineStr">
        <is>
          <t>MK-PL-F-048</t>
        </is>
      </c>
      <c r="B336" s="3" t="inlineStr">
        <is>
          <t>capitalNeeded</t>
        </is>
      </c>
      <c r="C336" s="3" t="inlineStr">
        <is>
          <t>src/domain/retirement/index.ts</t>
        </is>
      </c>
      <c r="D336" s="3" t="n">
        <v>62</v>
      </c>
      <c r="E336" s="3" t="inlineStr">
        <is>
          <t>2 · DISPLAYED</t>
        </is>
      </c>
      <c r="F336" s="3" t="inlineStr">
        <is>
          <t>NOT DETERMINED — the code carries no note saying what this is for, and it has no row in the old inventory. Needs reading.</t>
        </is>
      </c>
      <c r="G336" s="6"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336"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336" s="3" t="inlineStr">
        <is>
          <t>PARTLY READ — some of the code is still showing through; needs a hand pass</t>
        </is>
      </c>
      <c r="J336" s="3" t="inlineStr">
        <is>
          <t>inp: CapitalNeedInputs</t>
        </is>
      </c>
      <c r="K336" s="3" t="inlineStr">
        <is>
          <t>CapitalNeed</t>
        </is>
      </c>
      <c r="L336"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336" s="3" t="inlineStr">
        <is>
          <t>1. Turns a monthly figure into a year by multiplying by twelve.
2. Multiplies by 100 — a percentage, or an option contract treated as 100 shares. Worth checking which.
3. Rounds the answer to a whole number.</t>
        </is>
      </c>
      <c r="N336" s="3" t="inlineStr">
        <is>
          <t>Yes</t>
        </is>
      </c>
      <c r="O336" s="3" t="inlineStr">
        <is>
          <t>MK-ST-F-055 round2</t>
        </is>
      </c>
      <c r="P336" s="3" t="n">
        <v>1</v>
      </c>
      <c r="Q336" s="3" t="inlineStr">
        <is>
          <t>MK-ST-F-055 round2</t>
        </is>
      </c>
      <c r="R336" s="3" t="inlineStr">
        <is>
          <t>MK-ST-F-055 round2 → MK-PL-F-048 capitalNeeded</t>
        </is>
      </c>
      <c r="S336" s="3" t="inlineStr">
        <is>
          <t>—</t>
        </is>
      </c>
      <c r="T336" s="3" t="inlineStr">
        <is>
          <t>—</t>
        </is>
      </c>
      <c r="U336" s="3" t="inlineStr">
        <is>
          <t>ACTIVE</t>
        </is>
      </c>
      <c r="V336" s="3" t="inlineStr">
        <is>
          <t>2026-08-27</t>
        </is>
      </c>
    </row>
    <row r="337">
      <c r="A337" s="3" t="inlineStr">
        <is>
          <t>MK-PL-F-049</t>
        </is>
      </c>
      <c r="B337" s="3" t="inlineStr">
        <is>
          <t>retirementSpendMonthly</t>
        </is>
      </c>
      <c r="C337" s="3" t="inlineStr">
        <is>
          <t>src/domain/retirement/index.ts</t>
        </is>
      </c>
      <c r="D337" s="3" t="n">
        <v>116</v>
      </c>
      <c r="E337" s="3" t="inlineStr">
        <is>
          <t>2 · DISPLAYED</t>
        </is>
      </c>
      <c r="F337" s="3" t="inlineStr">
        <is>
          <t>All-in monthly retirement spend = base + travel + medical (annual→monthly), adjusted by the expected trajectory (spend less / same / more later) and the retirement location's cost-of-living factor (retLocation).</t>
        </is>
      </c>
      <c r="G337" s="6" t="inlineStr">
        <is>
          <t>a = op (or none when missing)
base = expected retirement spending read as a number (0 when it is not one) (or monthly spending read as a number (0 when it is not one) (or 0 when missing or zero) when missing or zero)
travel = to num(travel budget) ÷ 12
medical = to num(medical budget) ÷ 12
mult = 0.85   if spending change later = 'less'
1.15   if spending change later = 'more'
1   otherwise   otherwise
the answer = round((base + travel + medical) × mult × col factor(ret location).factor, 2 dp)</t>
        </is>
      </c>
      <c r="H337" s="3" t="inlineStr">
        <is>
          <t>A is op (or none — when missing). Base is expected retirement spending read as a number (0 — when it is one is missing) (or monthly spending read as a number (0 — when it is one is missing) (or 0 — when missing or zero) — when missing or zero). Travel is to num(travel budget) divided by 12. Medical is to num(medical budget) divided by 12. Mult is 0.85 — when spending change later = 'less'; 1.15 — when spending change later = 'more'; 1 — otherwise — otherwise. The answer is (base plus travel plus medical) times mult times col factor(ret location).factor, to the cent.</t>
        </is>
      </c>
      <c r="I337" s="3" t="inlineStr">
        <is>
          <t>PARTLY READ — some of the code is still showing through; needs a hand pass</t>
        </is>
      </c>
      <c r="J337" s="3" t="inlineStr">
        <is>
          <t>op: OnboardingProfile | null</t>
        </is>
      </c>
      <c r="K337" s="3" t="inlineStr">
        <is>
          <t>number</t>
        </is>
      </c>
      <c r="L337" s="3" t="inlineStr">
        <is>
          <t>NOT FOUND — a screen calls it, but the words printed beside its answer could not be traced automatically. Needs reading.</t>
        </is>
      </c>
      <c r="M337" s="3" t="inlineStr">
        <is>
          <t>· Treats a year as twelve equal months.</t>
        </is>
      </c>
      <c r="N337" s="3" t="inlineStr">
        <is>
          <t>Yes</t>
        </is>
      </c>
      <c r="O337" s="3" t="inlineStr">
        <is>
          <t>1. MK-PL-F-047 colFactor
2. MK-ST-F-055 round2
3. MK-ST-F-052 toNum</t>
        </is>
      </c>
      <c r="P337" s="3" t="n">
        <v>3</v>
      </c>
      <c r="Q337" s="3" t="inlineStr">
        <is>
          <t>1. MK-PL-F-047 colFactor
2. MK-ST-F-055 round2
3. MK-ST-F-052 toNum</t>
        </is>
      </c>
      <c r="R337" s="3" t="inlineStr">
        <is>
          <t>1. MK-PL-F-047 colFactor → MK-PL-F-049 retirementSpendMonthly
2. MK-ST-F-055 round2 → MK-PL-F-049 retirementSpendMonthly
3. MK-ST-F-052 toNum → MK-PL-F-049 retirementSpendMonthly</t>
        </is>
      </c>
      <c r="S337" s="3" t="inlineStr">
        <is>
          <t>MK-PL-M-009</t>
        </is>
      </c>
      <c r="T337" s="3" t="inlineStr">
        <is>
          <t>RETIREMENT_SPENDING</t>
        </is>
      </c>
      <c r="U337" s="3" t="inlineStr">
        <is>
          <t>ACTIVE</t>
        </is>
      </c>
      <c r="V337" s="3" t="inlineStr">
        <is>
          <t>2026-08-27</t>
        </is>
      </c>
    </row>
    <row r="338">
      <c r="A338" s="3" t="inlineStr">
        <is>
          <t>MK-PL-F-050</t>
        </is>
      </c>
      <c r="B338" s="3" t="inlineStr">
        <is>
          <t>simulate</t>
        </is>
      </c>
      <c r="C338" s="3" t="inlineStr">
        <is>
          <t>src/domain/retirement/index.ts</t>
        </is>
      </c>
      <c r="D338" s="3" t="n">
        <v>373</v>
      </c>
      <c r="E338" s="3" t="inlineStr">
        <is>
          <t>2 · DISPLAYED</t>
        </is>
      </c>
      <c r="F338" s="3" t="inlineStr">
        <is>
          <t>B4 (founder brief 2026-08-20): the RMD rule lives in the ONE dated, sourced table — the Calculation Module's rmd engine.</t>
        </is>
      </c>
      <c r="G338" s="6" t="inlineStr">
        <is>
          <t>paths = inp.paths (or 500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338" s="3" t="inlineStr">
        <is>
          <t>Paths is inp.paths (or 500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338" s="3" t="inlineStr">
        <is>
          <t>PARTLY READ — some of the code is still showing through; needs a hand pass</t>
        </is>
      </c>
      <c r="J338" s="3" t="inlineStr">
        <is>
          <t>inp: RetirementInputs</t>
        </is>
      </c>
      <c r="K338" s="3" t="inlineStr">
        <is>
          <t>NOT DECLARED — the code does not say what it gives back</t>
        </is>
      </c>
      <c r="L338" s="3" t="inlineStr">
        <is>
          <t>1. "Claim at age" — on the Retirement cockpit screen
2. "Run Monte Carlo simulation" — on the Retirement cockpit screen</t>
        </is>
      </c>
      <c r="M338" s="3" t="inlineStr">
        <is>
          <t>1. If paths is missing it uses 500.
2. If seed is missing it uses 12345.
3. If now year is missing it uses 2026.
4. If contribution growth is missing it uses 0.
5. If pre tax share is missing it uses 0.
6. If required withdrawal tax rate is missing it uses 22%.
7. If monthly is missing it counts as zero, so nothing recorded and a real zero look the same.
8. If one off by year[off] is missing it counts as zero, so nothing recorded and a real zero look the same.
9. If recurring by year[y] is missing it counts as zero, so nothing recorded and a real zero look the same.
10. If contrib by year[y] is missing it counts as zero, so nothing recorded and a real zero look the same.
11. Uses a built-in y of 1.
12. Uses a built-in successes of 0.
13. Uses a built-in p of 0.
14. Uses a built-in y of 0.
15. Treats a year as twelve equal months.
16. Turns a monthly figure into a year by multiplying by twelve.
17. Multiplies by 100 — a percentage, or an option contract treated as 100 shares. Worth checking which.
18. Rounds the answer to a whole number.</t>
        </is>
      </c>
      <c r="N338" s="3" t="inlineStr">
        <is>
          <t>Yes</t>
        </is>
      </c>
      <c r="O338" s="3" t="inlineStr">
        <is>
          <t>1. MK-CF-F-132 map
2. MK-PL-F-074 median
3. MK-PL-F-072 mulberry32
4. MK-PL-F-073 normal
5. MK-PL-F-075 pctOfSorted
6. MK-ST-F-025 rmdStartAgeFromAge
7. MK-ST-F-055 round2</t>
        </is>
      </c>
      <c r="P338" s="3" t="n">
        <v>8</v>
      </c>
      <c r="Q338" s="3" t="inlineStr">
        <is>
          <t>1. MK-CF-F-132 map
2. MK-PL-F-074 median
3. MK-PL-F-072 mulberry32
4. MK-PL-F-073 normal
5. MK-PL-F-075 pctOfSorted
6. MK-ST-F-025 rmdStartAgeFromAge
7. MK-ST-F-055 round2
8. MK-ST-F-024 rmdStartAge</t>
        </is>
      </c>
      <c r="R338" s="3" t="inlineStr">
        <is>
          <t>1. MK-CF-F-132 map → MK-PL-F-050 simulate
2. MK-PL-F-074 median → MK-PL-F-050 simulate
3. MK-PL-F-072 mulberry32 → MK-PL-F-050 simulate
4. MK-PL-F-073 normal → MK-PL-F-050 simulate
5. MK-PL-F-075 pctOfSorted → MK-PL-F-050 simulate
6. MK-ST-F-024 rmdStartAge → MK-ST-F-025 rmdStartAgeFromAge → MK-PL-F-050 simulate
7. MK-ST-F-055 round2 → MK-PL-F-050 simulate</t>
        </is>
      </c>
      <c r="S338" s="3" t="inlineStr">
        <is>
          <t>—</t>
        </is>
      </c>
      <c r="T338" s="3" t="inlineStr">
        <is>
          <t>WILL_IT_LAST</t>
        </is>
      </c>
      <c r="U338" s="3" t="inlineStr">
        <is>
          <t>ACTIVE</t>
        </is>
      </c>
      <c r="V338" s="3" t="inlineStr">
        <is>
          <t>2026-08-27</t>
        </is>
      </c>
    </row>
    <row r="339">
      <c r="A339" s="3" t="inlineStr">
        <is>
          <t>MK-PL-F-051</t>
        </is>
      </c>
      <c r="B339" s="3" t="inlineStr">
        <is>
          <t>ssStreamOf</t>
        </is>
      </c>
      <c r="C339" s="3" t="inlineStr">
        <is>
          <t>src/domain/retirement/index.ts</t>
        </is>
      </c>
      <c r="D339" s="3" t="n">
        <v>520</v>
      </c>
      <c r="E339" s="3" t="inlineStr">
        <is>
          <t>3 · DEPENDENT</t>
        </is>
      </c>
      <c r="F339" s="3" t="inlineStr">
        <is>
          <t>The Social Security stream inside an input set, when streams are in use.</t>
        </is>
      </c>
      <c r="G339" s="6" t="inlineStr">
        <is>
          <t>st = (inp.guaranteed streams ?? []).find((x) =&gt; kind = 'ss')
the answer:
monthly = st.monthly
start age = st.start age   if st
nothing   otherwise</t>
        </is>
      </c>
      <c r="H339" s="3" t="inlineStr">
        <is>
          <t>St is (inp.guaranteed streams ?? []).find((x) =&gt; kind = 'ss'). The answer is monthly = st.monthly; start age = st.start age — when st; no answer — otherwise.</t>
        </is>
      </c>
      <c r="I339" s="3" t="inlineStr">
        <is>
          <t>PARTLY READ — some of the code is still showing through; needs a hand pass</t>
        </is>
      </c>
      <c r="J339" s="3" t="inlineStr">
        <is>
          <t>inp: RetirementInputs</t>
        </is>
      </c>
      <c r="K339" s="3" t="inlineStr">
        <is>
          <t>NOT DECLARED — the code does not say what it gives back</t>
        </is>
      </c>
      <c r="L339" s="3" t="inlineStr">
        <is>
          <t>—</t>
        </is>
      </c>
      <c r="M339" s="3" t="inlineStr">
        <is>
          <t>None found in this function — anything it assumes comes from the functions it depends on.</t>
        </is>
      </c>
      <c r="N339" s="3" t="inlineStr">
        <is>
          <t>Yes</t>
        </is>
      </c>
      <c r="O339" s="3" t="inlineStr">
        <is>
          <t>—</t>
        </is>
      </c>
      <c r="P339" s="3" t="n">
        <v>0</v>
      </c>
      <c r="Q339" s="3" t="inlineStr">
        <is>
          <t>None — no dependent function stands behind it</t>
        </is>
      </c>
      <c r="R339" s="3" t="inlineStr">
        <is>
          <t>No dependent function — it reads its inputs and answers</t>
        </is>
      </c>
      <c r="S339" s="3" t="inlineStr">
        <is>
          <t>—</t>
        </is>
      </c>
      <c r="T339" s="3" t="inlineStr">
        <is>
          <t>—</t>
        </is>
      </c>
      <c r="U339" s="3" t="inlineStr">
        <is>
          <t>ACTIVE</t>
        </is>
      </c>
      <c r="V339" s="3" t="inlineStr">
        <is>
          <t>2026-08-27</t>
        </is>
      </c>
    </row>
    <row r="340">
      <c r="A340" s="3" t="inlineStr">
        <is>
          <t>MK-PL-F-052</t>
        </is>
      </c>
      <c r="B340" s="3" t="inlineStr">
        <is>
          <t>withSsStream</t>
        </is>
      </c>
      <c r="C340" s="3" t="inlineStr">
        <is>
          <t>src/domain/retirement/index.ts</t>
        </is>
      </c>
      <c r="D340" s="3" t="n">
        <v>552</v>
      </c>
      <c r="E340" s="3" t="inlineStr">
        <is>
          <t>2 · DISPLAYED</t>
        </is>
      </c>
      <c r="F340" s="3" t="inlineStr">
        <is>
          <t>An input set with its Social Security stream replaced — the ONE way a decision screen patches a claim scenario, so the flat streams ride along untouched and the legacy fields stay in step for anything still reading them.</t>
        </is>
      </c>
      <c r="G340" s="6" t="inlineStr">
        <is>
          <t>others = inp.guaranteed streams (or none when missing) where kind ! = 'ss'</t>
        </is>
      </c>
      <c r="H340" s="3" t="inlineStr">
        <is>
          <t>Others is inp.guaranteed streams (or none — when missing) where kind ! = 'ss'.</t>
        </is>
      </c>
      <c r="I340" s="3" t="inlineStr">
        <is>
          <t>PARTLY READ — some of the code is still showing through; needs a hand pass</t>
        </is>
      </c>
      <c r="J340" s="3" t="inlineStr">
        <is>
          <t>1. inp: RetirementInputs
2. monthly: number
3. claimAge: number</t>
        </is>
      </c>
      <c r="K340" s="3" t="inlineStr">
        <is>
          <t>RetirementInputs</t>
        </is>
      </c>
      <c r="L340" s="3" t="inlineStr">
        <is>
          <t>NOT FOUND — a screen calls it, but the words printed beside its answer could not be traced automatically. Needs reading.</t>
        </is>
      </c>
      <c r="M340" s="3" t="inlineStr">
        <is>
          <t>· Leaves some rows out of the answer — check which.</t>
        </is>
      </c>
      <c r="N340" s="3" t="inlineStr">
        <is>
          <t>Yes</t>
        </is>
      </c>
      <c r="O340" s="3" t="inlineStr">
        <is>
          <t>—</t>
        </is>
      </c>
      <c r="P340" s="3" t="n">
        <v>0</v>
      </c>
      <c r="Q340" s="3" t="inlineStr">
        <is>
          <t>None — no dependent function stands behind it</t>
        </is>
      </c>
      <c r="R340" s="3" t="inlineStr">
        <is>
          <t>No dependent function — it reads its inputs and answers</t>
        </is>
      </c>
      <c r="S340" s="3" t="inlineStr">
        <is>
          <t>—</t>
        </is>
      </c>
      <c r="T340" s="3" t="inlineStr">
        <is>
          <t>—</t>
        </is>
      </c>
      <c r="U340" s="3" t="inlineStr">
        <is>
          <t>ACTIVE</t>
        </is>
      </c>
      <c r="V340" s="3" t="inlineStr">
        <is>
          <t>2026-08-27</t>
        </is>
      </c>
    </row>
    <row r="341">
      <c r="A341" s="3" t="inlineStr">
        <is>
          <t>MK-PL-F-053</t>
        </is>
      </c>
      <c r="B341" s="3" t="inlineStr">
        <is>
          <t>buildRetirementState</t>
        </is>
      </c>
      <c r="C341" s="3" t="inlineStr">
        <is>
          <t>src/domain/retirement/index.ts</t>
        </is>
      </c>
      <c r="D341" s="3" t="n">
        <v>586</v>
      </c>
      <c r="E341" s="3" t="inlineStr">
        <is>
          <t>3 · DEPENDENT</t>
        </is>
      </c>
      <c r="F341" s="3" t="inlineStr">
        <is>
          <t>NOT DETERMINED — the code carries no note saying what this is for, and it has no row in the old inventory. Needs reading.</t>
        </is>
      </c>
      <c r="G341" s="6" t="inlineStr">
        <is>
          <t>sim = simulate(inp)</t>
        </is>
      </c>
      <c r="H341" s="3" t="inlineStr">
        <is>
          <t>Sim is simulate(inp).</t>
        </is>
      </c>
      <c r="I341" s="3" t="inlineStr">
        <is>
          <t>READ FROM THE CODE — rendered from the expressions the function runs</t>
        </is>
      </c>
      <c r="J341" s="3" t="inlineStr">
        <is>
          <t>1. uid: UserId
2. inp: RetirementInputs</t>
        </is>
      </c>
      <c r="K341" s="3" t="inlineStr">
        <is>
          <t>RetirementState</t>
        </is>
      </c>
      <c r="L341" s="3" t="inlineStr">
        <is>
          <t>—</t>
        </is>
      </c>
      <c r="M341" s="3" t="inlineStr">
        <is>
          <t>· If paths is missing it uses 500.</t>
        </is>
      </c>
      <c r="N341" s="3" t="inlineStr">
        <is>
          <t>Yes</t>
        </is>
      </c>
      <c r="O341" s="3" t="inlineStr">
        <is>
          <t>MK-PL-F-050 simulate</t>
        </is>
      </c>
      <c r="P341" s="3" t="n">
        <v>9</v>
      </c>
      <c r="Q341" s="3" t="inlineStr">
        <is>
          <t>1. MK-PL-F-050 simulate
2. MK-CF-F-132 map
3. MK-PL-F-074 median
4. MK-PL-F-072 mulberry32
5. MK-PL-F-073 normal
6. MK-PL-F-075 pctOfSorted
7. MK-ST-F-025 rmdStartAgeFromAge
8. MK-ST-F-055 round2
9. MK-ST-F-024 rmdStartAge</t>
        </is>
      </c>
      <c r="R341" s="3" t="inlineStr">
        <is>
          <t>1. MK-CF-F-132 map → MK-PL-F-050 simulate → MK-PL-F-053 buildRetirementState
2. MK-PL-F-074 median → MK-PL-F-050 simulate → MK-PL-F-053 buildRetirementState
3. MK-PL-F-072 mulberry32 → MK-PL-F-050 simulate → MK-PL-F-053 buildRetirementState
4. MK-PL-F-073 normal → MK-PL-F-050 simulate → MK-PL-F-053 buildRetirementState
5. MK-PL-F-075 pctOfSorted → MK-PL-F-050 simulate → MK-PL-F-053 buildRetirementState
6. MK-ST-F-024 rmdStartAge → MK-ST-F-025 rmdStartAgeFromAge → MK-PL-F-050 simulate → MK-PL-F-053 buildRetirementState
7. MK-ST-F-055 round2 → MK-PL-F-050 simulate → MK-PL-F-053 buildRetirementState</t>
        </is>
      </c>
      <c r="S341" s="3" t="inlineStr">
        <is>
          <t>—</t>
        </is>
      </c>
      <c r="T341" s="3" t="inlineStr">
        <is>
          <t>—</t>
        </is>
      </c>
      <c r="U341" s="3" t="inlineStr">
        <is>
          <t>ACTIVE</t>
        </is>
      </c>
      <c r="V341" s="3" t="inlineStr">
        <is>
          <t>2026-08-27</t>
        </is>
      </c>
    </row>
    <row r="342">
      <c r="A342" s="3" t="inlineStr">
        <is>
          <t>MK-PL-F-054</t>
        </is>
      </c>
      <c r="B342" s="3" t="inlineStr">
        <is>
          <t>growOneYear</t>
        </is>
      </c>
      <c r="C342" s="3" t="inlineStr">
        <is>
          <t>src/domain/retirement/index.ts</t>
        </is>
      </c>
      <c r="D342" s="3" t="n">
        <v>625</v>
      </c>
      <c r="E342" s="3" t="inlineStr">
        <is>
          <t>3 · DEPENDENT</t>
        </is>
      </c>
      <c r="F342" s="3" t="inlineStr">
        <is>
          <t>── Deterministic projection (instant — drives the live sliders; no RNG) ────────────── Assumes the average return every year (no market swings).</t>
        </is>
      </c>
      <c r="G342" s="6" t="inlineStr">
        <is>
          <t>balance × (1 + (rate or 0))</t>
        </is>
      </c>
      <c r="H342" s="3" t="inlineStr">
        <is>
          <t>balance times (1 plus (rate or 0)).</t>
        </is>
      </c>
      <c r="I342" s="3" t="inlineStr">
        <is>
          <t>READ FROM THE CODE — rendered from the expressions the function runs</t>
        </is>
      </c>
      <c r="J342" s="3" t="inlineStr">
        <is>
          <t>1. balance: number
2. rate: number</t>
        </is>
      </c>
      <c r="K342" s="3" t="inlineStr">
        <is>
          <t>number</t>
        </is>
      </c>
      <c r="L342" s="3" t="inlineStr">
        <is>
          <t>—</t>
        </is>
      </c>
      <c r="M342" s="3" t="inlineStr">
        <is>
          <t>· If rate is missing it counts as zero, so nothing recorded and a real zero look the same.</t>
        </is>
      </c>
      <c r="N342" s="3" t="inlineStr">
        <is>
          <t>Yes</t>
        </is>
      </c>
      <c r="O342" s="3" t="inlineStr">
        <is>
          <t>—</t>
        </is>
      </c>
      <c r="P342" s="3" t="n">
        <v>0</v>
      </c>
      <c r="Q342" s="3" t="inlineStr">
        <is>
          <t>None — no dependent function stands behind it</t>
        </is>
      </c>
      <c r="R342" s="3" t="inlineStr">
        <is>
          <t>No dependent function — it reads its inputs and answers</t>
        </is>
      </c>
      <c r="S342" s="3" t="inlineStr">
        <is>
          <t>—</t>
        </is>
      </c>
      <c r="T342" s="3" t="inlineStr">
        <is>
          <t>—</t>
        </is>
      </c>
      <c r="U342" s="3" t="inlineStr">
        <is>
          <t>ACTIVE</t>
        </is>
      </c>
      <c r="V342" s="3" t="inlineStr">
        <is>
          <t>2026-08-27</t>
        </is>
      </c>
    </row>
    <row r="343">
      <c r="A343" s="3" t="inlineStr">
        <is>
          <t>MK-PL-F-055</t>
        </is>
      </c>
      <c r="B343" s="3" t="inlineStr">
        <is>
          <t>projectNestEgg</t>
        </is>
      </c>
      <c r="C343" s="3" t="inlineStr">
        <is>
          <t>src/domain/retirement/index.ts</t>
        </is>
      </c>
      <c r="D343" s="3" t="n">
        <v>669</v>
      </c>
      <c r="E343" s="3" t="inlineStr">
        <is>
          <t>2 · DISPLAYED</t>
        </is>
      </c>
      <c r="F343" s="3" t="inlineStr">
        <is>
          <t>What will the pot be worth at retirement, and how big does it need to be?</t>
        </is>
      </c>
      <c r="G343" s="6" t="inlineStr">
        <is>
          <t>years to retire  n = max(0, retire age − age today)
pot = start balance × (1 + r)^n
    + Σ for year y = 0 … n−1 of ( contribution × (1 + g)^y × (1 + r)^(n − y − 1) )
where r = the assumed return and g = the rate contributions grow</t>
        </is>
      </c>
      <c r="H343"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spending side, not here. Finding A44 — the file states none of this.</t>
        </is>
      </c>
      <c r="I343" s="3" t="inlineStr">
        <is>
          <t>READ BY HAND 2026-08-26 — checked line by line against the code</t>
        </is>
      </c>
      <c r="J343" s="3" t="inlineStr">
        <is>
          <t>inp: RetirementInputs</t>
        </is>
      </c>
      <c r="K343" s="3" t="inlineStr">
        <is>
          <t>NestEggProjection</t>
        </is>
      </c>
      <c r="L343" s="3" t="inlineStr">
        <is>
          <t>NOT FOUND — a screen calls it, but the words printed beside its answer could not be traced automatically. Needs reading.</t>
        </is>
      </c>
      <c r="M343" s="3" t="inlineStr">
        <is>
          <t>1. If contribution growth is missing it uses 0.
2. If monthly is missing it counts as zero, so nothing recorded and a real zero look the same.
3. Uses a built-in y of 0.
4. Uses a built-in need of 0.
5. Turns a monthly figure into a year by multiplying by twelve.</t>
        </is>
      </c>
      <c r="N343" s="3" t="inlineStr">
        <is>
          <t>Yes</t>
        </is>
      </c>
      <c r="O343" s="3" t="inlineStr">
        <is>
          <t>1. MK-CF-F-132 map
2. MK-ST-F-055 round2
3. MK-PL-F-050 simulate</t>
        </is>
      </c>
      <c r="P343" s="3" t="n">
        <v>9</v>
      </c>
      <c r="Q343" s="3" t="inlineStr">
        <is>
          <t>1. MK-CF-F-132 map
2. MK-ST-F-055 round2
3. MK-PL-F-050 simulate
4. MK-PL-F-074 median
5. MK-PL-F-072 mulberry32
6. MK-PL-F-073 normal
7. MK-PL-F-075 pctOfSorted
8. MK-ST-F-025 rmdStartAgeFromAge
9. MK-ST-F-024 rmdStartAge</t>
        </is>
      </c>
      <c r="R343" s="3" t="inlineStr">
        <is>
          <t>1. MK-CF-F-132 map → MK-PL-F-055 projectNestEgg
2. MK-ST-F-055 round2 → MK-PL-F-055 projectNestEgg
3. MK-CF-F-132 map → MK-PL-F-050 simulate → MK-PL-F-055 projectNestEgg
4. MK-PL-F-074 median → MK-PL-F-050 simulate → MK-PL-F-055 projectNestEgg
5. MK-PL-F-072 mulberry32 → MK-PL-F-050 simulate → MK-PL-F-055 projectNestEgg
6. MK-PL-F-073 normal → MK-PL-F-050 simulate → MK-PL-F-055 projectNestEgg
7. MK-PL-F-075 pctOfSorted → MK-PL-F-050 simulate → MK-PL-F-055 projectNestEgg
8. MK-ST-F-024 rmdStartAge → MK-ST-F-025 rmdStartAgeFromAge → MK-PL-F-050 simulate → MK-PL-F-055 projectNestEgg
9. … and 1 more paths</t>
        </is>
      </c>
      <c r="S343" s="3" t="inlineStr">
        <is>
          <t>MK-CF-M-022 · MK-NW-M-015 · MK-PL-M-026 · MK-PL-M-033</t>
        </is>
      </c>
      <c r="T343" s="3" t="inlineStr">
        <is>
          <t>POT_AT_RETIREMENT</t>
        </is>
      </c>
      <c r="U343" s="3" t="inlineStr">
        <is>
          <t>ACTIVE</t>
        </is>
      </c>
      <c r="V343" s="3" t="inlineStr">
        <is>
          <t>2026-08-27</t>
        </is>
      </c>
    </row>
    <row r="344">
      <c r="A344" s="3" t="inlineStr">
        <is>
          <t>MK-PL-F-056</t>
        </is>
      </c>
      <c r="B344" s="3" t="inlineStr">
        <is>
          <t>solveRetireAge</t>
        </is>
      </c>
      <c r="C344" s="3" t="inlineStr">
        <is>
          <t>src/domain/retirement/index.ts</t>
        </is>
      </c>
      <c r="D344" s="3" t="n">
        <v>723</v>
      </c>
      <c r="E344" s="3" t="inlineStr">
        <is>
          <t>2 · DISPLAYED</t>
        </is>
      </c>
      <c r="F344" s="3" t="inlineStr">
        <is>
          <t>"Even if you never save another dollar, you can retire at age Y." Earliest retire age where the current pot (no further contributions) already covers the plan.</t>
        </is>
      </c>
      <c r="G344" s="6" t="inlineStr">
        <is>
          <t>p = project nest egg({ ...inp, annual contribution: 0, retire age: age, guaranteed start age: inp.guaranteed start age })
age   when will have ≥ will need
the answer = nothing</t>
        </is>
      </c>
      <c r="H344" s="3" t="inlineStr">
        <is>
          <t>P is project nest egg({ ...inp, annual contribution: 0, retire age: age, guaranteed start age: inp.guaranteed start age }). When will have is at least will need, it answers age. The answer is no answer.</t>
        </is>
      </c>
      <c r="I344" s="3" t="inlineStr">
        <is>
          <t>READ FROM THE CODE — rendered from the expressions the function runs</t>
        </is>
      </c>
      <c r="J344" s="3" t="inlineStr">
        <is>
          <t>1. inp: RetirementInputs
2. maxAge = 80</t>
        </is>
      </c>
      <c r="K344" s="3" t="inlineStr">
        <is>
          <t>number | null</t>
        </is>
      </c>
      <c r="L344" s="3" t="inlineStr">
        <is>
          <t>"IF YOU NEVER SAVE AGAIN" — on the Retirement cockpit screen</t>
        </is>
      </c>
      <c r="M344" s="3" t="inlineStr">
        <is>
          <t>None found in this function — anything it assumes comes from the functions it depends on.</t>
        </is>
      </c>
      <c r="N344" s="3" t="inlineStr">
        <is>
          <t>Yes</t>
        </is>
      </c>
      <c r="O344" s="3" t="inlineStr">
        <is>
          <t>MK-PL-F-055 projectNestEgg</t>
        </is>
      </c>
      <c r="P344" s="3" t="n">
        <v>10</v>
      </c>
      <c r="Q344" s="3" t="inlineStr">
        <is>
          <t>1. MK-PL-F-055 projectNestEgg
2. MK-CF-F-132 map
3. MK-ST-F-055 round2
4. MK-PL-F-050 simulate
5. MK-PL-F-074 median
6. MK-PL-F-072 mulberry32
7. MK-PL-F-073 normal
8. MK-PL-F-075 pctOfSorted
9. MK-ST-F-025 rmdStartAgeFromAge
10. MK-ST-F-024 rmdStartAge</t>
        </is>
      </c>
      <c r="R344" s="3" t="inlineStr">
        <is>
          <t>1. MK-CF-F-132 map → MK-PL-F-055 projectNestEgg → MK-PL-F-056 solveRetireAge
2. MK-ST-F-055 round2 → MK-PL-F-055 projectNestEgg → MK-PL-F-056 solveRetireAge
3. MK-CF-F-132 map → MK-PL-F-050 simulate → MK-PL-F-055 projectNestEgg → MK-PL-F-056 solveRetireAge
4. MK-PL-F-074 median → MK-PL-F-050 simulate → MK-PL-F-055 projectNestEgg → MK-PL-F-056 solveRetireAge
5. MK-PL-F-072 mulberry32 → MK-PL-F-050 simulate → MK-PL-F-055 projectNestEgg → MK-PL-F-056 solveRetireAge
6. MK-PL-F-073 normal → MK-PL-F-050 simulate → MK-PL-F-055 projectNestEgg → MK-PL-F-056 solveRetireAge
7. MK-PL-F-075 pctOfSorted → MK-PL-F-050 simulate → MK-PL-F-055 projectNestEgg → MK-PL-F-056 solveRetireAge
8. MK-ST-F-024 rmdStartAge → MK-ST-F-025 rmdStartAgeFromAge → MK-PL-F-050 simulate → MK-PL-F-055 projectNestEgg → MK-PL-F-056 solveRetireAge
9. … and 1 more paths</t>
        </is>
      </c>
      <c r="S344" s="3" t="inlineStr">
        <is>
          <t>—</t>
        </is>
      </c>
      <c r="T344" s="3" t="inlineStr">
        <is>
          <t>—</t>
        </is>
      </c>
      <c r="U344" s="3" t="inlineStr">
        <is>
          <t>ACTIVE</t>
        </is>
      </c>
      <c r="V344" s="3" t="inlineStr">
        <is>
          <t>2026-08-27</t>
        </is>
      </c>
    </row>
    <row r="345">
      <c r="A345" s="3" t="inlineStr">
        <is>
          <t>MK-PL-F-057</t>
        </is>
      </c>
      <c r="B345" s="3" t="inlineStr">
        <is>
          <t>fullRetirementAge</t>
        </is>
      </c>
      <c r="C345" s="3" t="inlineStr">
        <is>
          <t>src/domain/retirement/ssTiming.ts</t>
        </is>
      </c>
      <c r="D345" s="3" t="n">
        <v>50</v>
      </c>
      <c r="E345" s="3" t="inlineStr">
        <is>
          <t>3 · DEPENDENT</t>
        </is>
      </c>
      <c r="F345" s="3" t="inlineStr">
        <is>
          <t>Full retirement age in YEARS (fractional — 66y4m = 66.333…), from the birth year.</t>
        </is>
      </c>
      <c r="G345" s="6" t="inlineStr">
        <is>
          <t>full retirement age = 67                          when born 1960 or later
                      66 + (birth year − 1954) × 2 months   when born 1955-1959
                      66                          when born 1954 or earlier</t>
        </is>
      </c>
      <c r="H345"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345" s="3" t="inlineStr">
        <is>
          <t>READ BY HAND 2026-08-26 — checked line by line against the code</t>
        </is>
      </c>
      <c r="J345" s="3" t="inlineStr">
        <is>
          <t>birthYear?: number | null</t>
        </is>
      </c>
      <c r="K345" s="3" t="inlineStr">
        <is>
          <t>number</t>
        </is>
      </c>
      <c r="L345" s="3" t="inlineStr">
        <is>
          <t>—</t>
        </is>
      </c>
      <c r="M345" s="3" t="inlineStr">
        <is>
          <t>· Treats a year as twelve equal months.</t>
        </is>
      </c>
      <c r="N345" s="3" t="inlineStr">
        <is>
          <t>Yes</t>
        </is>
      </c>
      <c r="O345" s="3" t="inlineStr">
        <is>
          <t>—</t>
        </is>
      </c>
      <c r="P345" s="3" t="n">
        <v>0</v>
      </c>
      <c r="Q345" s="3" t="inlineStr">
        <is>
          <t>None — no dependent function stands behind it</t>
        </is>
      </c>
      <c r="R345" s="3" t="inlineStr">
        <is>
          <t>No dependent function — it reads its inputs and answers</t>
        </is>
      </c>
      <c r="S345" s="3" t="inlineStr">
        <is>
          <t>—</t>
        </is>
      </c>
      <c r="T345" s="3" t="inlineStr">
        <is>
          <t>SS_FULL_RETIREMENT_AGE</t>
        </is>
      </c>
      <c r="U345" s="3" t="inlineStr">
        <is>
          <t>ACTIVE</t>
        </is>
      </c>
      <c r="V345" s="3" t="inlineStr">
        <is>
          <t>2026-08-27</t>
        </is>
      </c>
    </row>
    <row r="346">
      <c r="A346" s="3" t="inlineStr">
        <is>
          <t>MK-PL-F-058</t>
        </is>
      </c>
      <c r="B346" s="3" t="inlineStr">
        <is>
          <t>ssClaimFactorFor</t>
        </is>
      </c>
      <c r="C346" s="3" t="inlineStr">
        <is>
          <t>src/domain/retirement/ssTiming.ts</t>
        </is>
      </c>
      <c r="D346" s="3" t="n">
        <v>92</v>
      </c>
      <c r="E346" s="3" t="inlineStr">
        <is>
          <t>3 · DEPENDENT</t>
        </is>
      </c>
      <c r="F346" s="3" t="inlineStr">
        <is>
          <t>SSA factor for a claim age (62–70), relative to the statement amount at the person's OWN full retirement age.</t>
        </is>
      </c>
      <c r="G346" s="6" t="inlineStr">
        <is>
          <t>months = round(claim age) × 12 − full retirement age × 12
factor = 1                                                   when months = 0
         1 − (first 36 early months × 5/9 of 1%)
           − (each further early month × 5/12 of 1%)          when claiming early
         1 + (each month claimed late × 2/3 of 1%)            when claiming late</t>
        </is>
      </c>
      <c r="H346"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346" s="3" t="inlineStr">
        <is>
          <t>READ BY HAND 2026-08-26 — checked line by line against the code</t>
        </is>
      </c>
      <c r="J346" s="3" t="inlineStr">
        <is>
          <t>1. claimAge: number
2. birthYear?: number | null</t>
        </is>
      </c>
      <c r="K346" s="3" t="inlineStr">
        <is>
          <t>number</t>
        </is>
      </c>
      <c r="L346" s="3" t="inlineStr">
        <is>
          <t>—</t>
        </is>
      </c>
      <c r="M346" s="3" t="inlineStr">
        <is>
          <t>1. Treats a year as twelve equal months.
2. Turns a monthly figure into a year by multiplying by twelve.
3. Rounds the answer to a whole number.</t>
        </is>
      </c>
      <c r="N346" s="3" t="inlineStr">
        <is>
          <t>Yes</t>
        </is>
      </c>
      <c r="O346" s="3" t="inlineStr">
        <is>
          <t>MK-PL-F-057 fullRetirementAge</t>
        </is>
      </c>
      <c r="P346" s="3" t="n">
        <v>1</v>
      </c>
      <c r="Q346" s="3" t="inlineStr">
        <is>
          <t>MK-PL-F-057 fullRetirementAge</t>
        </is>
      </c>
      <c r="R346" s="3" t="inlineStr">
        <is>
          <t>MK-PL-F-057 fullRetirementAge → MK-PL-F-058 ssClaimFactorFor</t>
        </is>
      </c>
      <c r="S346" s="3" t="inlineStr">
        <is>
          <t>—</t>
        </is>
      </c>
      <c r="T346" s="3" t="inlineStr">
        <is>
          <t>SS_CLAIM_FACTOR</t>
        </is>
      </c>
      <c r="U346" s="3" t="inlineStr">
        <is>
          <t>ACTIVE</t>
        </is>
      </c>
      <c r="V346" s="3" t="inlineStr">
        <is>
          <t>2026-08-27</t>
        </is>
      </c>
    </row>
    <row r="347">
      <c r="A347" s="3" t="inlineStr">
        <is>
          <t>MK-PL-F-059</t>
        </is>
      </c>
      <c r="B347" s="3" t="inlineStr">
        <is>
          <t>ssClaimFactor</t>
        </is>
      </c>
      <c r="C347" s="3" t="inlineStr">
        <is>
          <t>src/domain/retirement/ssTiming.ts</t>
        </is>
      </c>
      <c r="D347" s="3" t="n">
        <v>123</v>
      </c>
      <c r="E347" s="3" t="inlineStr">
        <is>
          <t>3 · DEPENDENT (feeds an action only)</t>
        </is>
      </c>
      <c r="F347" s="3" t="inlineStr">
        <is>
          <t>The pre-table factor, anchored at 67 — unchanged behaviour for anyone born 1960+.</t>
        </is>
      </c>
      <c r="G347" s="6" t="inlineStr">
        <is>
          <t>ss claim factor for(claim age, nothing)</t>
        </is>
      </c>
      <c r="H347" s="3" t="inlineStr">
        <is>
          <t>ss claim factor for(claim age, no answer).</t>
        </is>
      </c>
      <c r="I347" s="3" t="inlineStr">
        <is>
          <t>READ FROM THE CODE — rendered from the expressions the function runs</t>
        </is>
      </c>
      <c r="J347" s="3" t="inlineStr">
        <is>
          <t>claimAge: number</t>
        </is>
      </c>
      <c r="K347" s="3" t="inlineStr">
        <is>
          <t>number</t>
        </is>
      </c>
      <c r="L347" s="3" t="inlineStr">
        <is>
          <t>—</t>
        </is>
      </c>
      <c r="M347" s="3" t="inlineStr">
        <is>
          <t>None found in this function — anything it assumes comes from the functions it depends on.</t>
        </is>
      </c>
      <c r="N347" s="3" t="inlineStr">
        <is>
          <t>No</t>
        </is>
      </c>
      <c r="O347" s="3" t="inlineStr">
        <is>
          <t>MK-PL-F-058 ssClaimFactorFor</t>
        </is>
      </c>
      <c r="P347" s="3" t="n">
        <v>2</v>
      </c>
      <c r="Q347" s="3" t="inlineStr">
        <is>
          <t>1. MK-PL-F-058 ssClaimFactorFor
2. MK-PL-F-057 fullRetirementAge</t>
        </is>
      </c>
      <c r="R347" s="3" t="inlineStr">
        <is>
          <t>MK-PL-F-057 fullRetirementAge → MK-PL-F-058 ssClaimFactorFor → MK-PL-F-059 ssClaimFactor</t>
        </is>
      </c>
      <c r="S347" s="3" t="inlineStr">
        <is>
          <t>—</t>
        </is>
      </c>
      <c r="T347" s="3" t="inlineStr">
        <is>
          <t>—</t>
        </is>
      </c>
      <c r="U347" s="3" t="inlineStr">
        <is>
          <t>ACTIVE</t>
        </is>
      </c>
      <c r="V347" s="3" t="inlineStr">
        <is>
          <t>2026-08-27</t>
        </is>
      </c>
    </row>
    <row r="348">
      <c r="A348" s="3" t="inlineStr">
        <is>
          <t>MK-PL-F-060</t>
        </is>
      </c>
      <c r="B348" s="3" t="inlineStr">
        <is>
          <t>ssBenefitAt</t>
        </is>
      </c>
      <c r="C348" s="3" t="inlineStr">
        <is>
          <t>src/domain/retirement/ssTiming.ts</t>
        </is>
      </c>
      <c r="D348" s="3" t="n">
        <v>155</v>
      </c>
      <c r="E348" s="3" t="inlineStr">
        <is>
          <t>2 · DISPLAYED</t>
        </is>
      </c>
      <c r="F348" s="3" t="inlineStr">
        <is>
          <t>Monthly benefit at a claim age from the at-FRA statement amount (today's dollars, whole $).</t>
        </is>
      </c>
      <c r="G348" s="6" t="inlineStr">
        <is>
          <t>monthly benefit = round(statement amount at full retirement age × factor(claim age))</t>
        </is>
      </c>
      <c r="H348" s="3" t="inlineStr">
        <is>
          <t>The amount on the Social Security statement, scaled by the claim-age factor and rounded to whole dollars. In today's money — no inflation is applied here.</t>
        </is>
      </c>
      <c r="I348" s="3" t="inlineStr">
        <is>
          <t>READ BY HAND 2026-08-26 — checked line by line against the code</t>
        </is>
      </c>
      <c r="J348" s="3" t="inlineStr">
        <is>
          <t>1. statementMonthly: number
2. claimAge: number
3. birthYear?: number | null</t>
        </is>
      </c>
      <c r="K348" s="3" t="inlineStr">
        <is>
          <t>number</t>
        </is>
      </c>
      <c r="L348" s="3" t="inlineStr">
        <is>
          <t>NOT FOUND — a screen calls it, but the words printed beside its answer could not be traced automatically. Needs reading.</t>
        </is>
      </c>
      <c r="M348" s="3" t="inlineStr">
        <is>
          <t>1. If statement monthly is missing it counts as zero, so nothing recorded and a real zero look the same.
2. Rounds the answer to a whole number.</t>
        </is>
      </c>
      <c r="N348" s="3" t="inlineStr">
        <is>
          <t>Yes</t>
        </is>
      </c>
      <c r="O348" s="3" t="inlineStr">
        <is>
          <t>MK-PL-F-058 ssClaimFactorFor</t>
        </is>
      </c>
      <c r="P348" s="3" t="n">
        <v>2</v>
      </c>
      <c r="Q348" s="3" t="inlineStr">
        <is>
          <t>1. MK-PL-F-058 ssClaimFactorFor
2. MK-PL-F-057 fullRetirementAge</t>
        </is>
      </c>
      <c r="R348" s="3" t="inlineStr">
        <is>
          <t>MK-PL-F-057 fullRetirementAge → MK-PL-F-058 ssClaimFactorFor → MK-PL-F-060 ssBenefitAt</t>
        </is>
      </c>
      <c r="S348" s="3" t="inlineStr">
        <is>
          <t>MK-PL-M-017</t>
        </is>
      </c>
      <c r="T348" s="3" t="inlineStr">
        <is>
          <t>SS_BENEFIT_AT_AGE</t>
        </is>
      </c>
      <c r="U348" s="3" t="inlineStr">
        <is>
          <t>ACTIVE</t>
        </is>
      </c>
      <c r="V348" s="3" t="inlineStr">
        <is>
          <t>2026-08-27</t>
        </is>
      </c>
    </row>
    <row r="349">
      <c r="A349" s="3" t="inlineStr">
        <is>
          <t>MK-PL-F-061</t>
        </is>
      </c>
      <c r="B349" s="3" t="inlineStr">
        <is>
          <t>ssBenefitAtClaimAge</t>
        </is>
      </c>
      <c r="C349" s="3" t="inlineStr">
        <is>
          <t>src/domain/retirement/ssTiming.ts</t>
        </is>
      </c>
      <c r="D349" s="3" t="n">
        <v>176</v>
      </c>
      <c r="E349" s="3" t="inlineStr">
        <is>
          <t>2 · DISPLAYED</t>
        </is>
      </c>
      <c r="F349" s="3" t="inlineStr">
        <is>
          <t>Kept for callers not yet passing a birth year (behaves as born-1960+).</t>
        </is>
      </c>
      <c r="G349" s="6" t="inlineStr">
        <is>
          <t>ss benefit at(statement monthly, claim age, nothing)</t>
        </is>
      </c>
      <c r="H349" s="3" t="inlineStr">
        <is>
          <t>ss benefit at(statement monthly, claim age, no answer).</t>
        </is>
      </c>
      <c r="I349" s="3" t="inlineStr">
        <is>
          <t>READ FROM THE CODE — rendered from the expressions the function runs</t>
        </is>
      </c>
      <c r="J349" s="3" t="inlineStr">
        <is>
          <t>1. statementMonthly: number
2. claimAge: number</t>
        </is>
      </c>
      <c r="K349" s="3" t="inlineStr">
        <is>
          <t>number</t>
        </is>
      </c>
      <c r="L349" s="3" t="inlineStr">
        <is>
          <t>"When should I claim Social Security?" — on a card used on more than one screen (ClaimAgeRow)</t>
        </is>
      </c>
      <c r="M349" s="3" t="inlineStr">
        <is>
          <t>None found in this function — anything it assumes comes from the functions it depends on.</t>
        </is>
      </c>
      <c r="N349" s="3" t="inlineStr">
        <is>
          <t>Yes</t>
        </is>
      </c>
      <c r="O349" s="3" t="inlineStr">
        <is>
          <t>MK-PL-F-060 ssBenefitAt</t>
        </is>
      </c>
      <c r="P349" s="3" t="n">
        <v>3</v>
      </c>
      <c r="Q349" s="3" t="inlineStr">
        <is>
          <t>1. MK-PL-F-060 ssBenefitAt
2. MK-PL-F-058 ssClaimFactorFor
3. MK-PL-F-057 fullRetirementAge</t>
        </is>
      </c>
      <c r="R349" s="3" t="inlineStr">
        <is>
          <t>MK-PL-F-057 fullRetirementAge → MK-PL-F-058 ssClaimFactorFor → MK-PL-F-060 ssBenefitAt → MK-PL-F-061 ssBenefitAtClaimAge</t>
        </is>
      </c>
      <c r="S349" s="3" t="inlineStr">
        <is>
          <t>—</t>
        </is>
      </c>
      <c r="T349" s="3" t="inlineStr">
        <is>
          <t>—</t>
        </is>
      </c>
      <c r="U349" s="3" t="inlineStr">
        <is>
          <t>ACTIVE</t>
        </is>
      </c>
      <c r="V349" s="3" t="inlineStr">
        <is>
          <t>2026-08-27</t>
        </is>
      </c>
    </row>
    <row r="350">
      <c r="A350" s="3" t="inlineStr">
        <is>
          <t>MK-PL-F-062</t>
        </is>
      </c>
      <c r="B350" s="3" t="inlineStr">
        <is>
          <t>ssLifetimeTotal</t>
        </is>
      </c>
      <c r="C350" s="3" t="inlineStr">
        <is>
          <t>src/domain/retirement/ssTiming.ts</t>
        </is>
      </c>
      <c r="D350" s="3" t="n">
        <v>204</v>
      </c>
      <c r="E350" s="3" t="inlineStr">
        <is>
          <t>2 · DISPLAYED</t>
        </is>
      </c>
      <c r="F350" s="3" t="inlineStr">
        <is>
          <t>Total collected from claim age to a live-to age the USER sets (months × monthly, today's dollars).</t>
        </is>
      </c>
      <c r="G350" s="6" t="inlineStr">
        <is>
          <t>months = max(0, round((live to age − claim age) × 12))
the answer = ss benefit at(statement monthly, claim age, birth year) × months</t>
        </is>
      </c>
      <c r="H350" s="3" t="inlineStr">
        <is>
          <t>Months is (live to age minus claim age, to a whole number times 12, never below zero). The answer is ss benefit at(statement monthly, claim age, birth year) times months.</t>
        </is>
      </c>
      <c r="I350" s="3" t="inlineStr">
        <is>
          <t>READ FROM THE CODE — rendered from the expressions the function runs</t>
        </is>
      </c>
      <c r="J350" s="3" t="inlineStr">
        <is>
          <t>1. statementMonthly: number
2. claimAge: number
3. liveToAge: number
4. birthYear?: number | null</t>
        </is>
      </c>
      <c r="K350" s="3" t="inlineStr">
        <is>
          <t>number</t>
        </is>
      </c>
      <c r="L350" s="3" t="inlineStr">
        <is>
          <t>NOT FOUND — a screen calls it, but the words printed beside its answer could not be traced automatically. Needs reading.</t>
        </is>
      </c>
      <c r="M350" s="3" t="inlineStr">
        <is>
          <t>1. Turns a monthly figure into a year by multiplying by twelve.
2. Rounds the answer to a whole number.</t>
        </is>
      </c>
      <c r="N350" s="3" t="inlineStr">
        <is>
          <t>Yes</t>
        </is>
      </c>
      <c r="O350" s="3" t="inlineStr">
        <is>
          <t>MK-PL-F-060 ssBenefitAt</t>
        </is>
      </c>
      <c r="P350" s="3" t="n">
        <v>3</v>
      </c>
      <c r="Q350" s="3" t="inlineStr">
        <is>
          <t>1. MK-PL-F-060 ssBenefitAt
2. MK-PL-F-058 ssClaimFactorFor
3. MK-PL-F-057 fullRetirementAge</t>
        </is>
      </c>
      <c r="R350" s="3" t="inlineStr">
        <is>
          <t>MK-PL-F-057 fullRetirementAge → MK-PL-F-058 ssClaimFactorFor → MK-PL-F-060 ssBenefitAt → MK-PL-F-062 ssLifetimeTotal</t>
        </is>
      </c>
      <c r="S350" s="3" t="inlineStr">
        <is>
          <t>—</t>
        </is>
      </c>
      <c r="T350" s="3" t="inlineStr">
        <is>
          <t>—</t>
        </is>
      </c>
      <c r="U350" s="3" t="inlineStr">
        <is>
          <t>ACTIVE</t>
        </is>
      </c>
      <c r="V350" s="3" t="inlineStr">
        <is>
          <t>2026-08-27</t>
        </is>
      </c>
    </row>
    <row r="351">
      <c r="A351" s="3" t="inlineStr">
        <is>
          <t>MK-PL-F-063</t>
        </is>
      </c>
      <c r="B351" s="3" t="inlineStr">
        <is>
          <t>fraLabel</t>
        </is>
      </c>
      <c r="C351" s="3" t="inlineStr">
        <is>
          <t>src/domain/retirement/ssTiming.ts</t>
        </is>
      </c>
      <c r="D351" s="3" t="n">
        <v>235</v>
      </c>
      <c r="E351" s="3" t="inlineStr">
        <is>
          <t>2 · DISPLAYED</t>
        </is>
      </c>
      <c r="F351" s="3" t="inlineStr">
        <is>
          <t>The FRA as words a person recognises — "67", or "66 and 4 months".</t>
        </is>
      </c>
      <c r="G351" s="6" t="inlineStr">
        <is>
          <t>fra = full retirement age(birth year)
years = round down(fra)
months = round((fra − years) × 12)
the answer:
string(years)   if months = 0
`${years} and ${months} months`   otherwise</t>
        </is>
      </c>
      <c r="H351" s="3" t="inlineStr">
        <is>
          <t>Fra is full retirement age(birth year). Years is fra, rounded down. Months is (fra minus years, to a whole number times 12). The answer is string(years) — when months = 0; `${years} and ${months} months` — otherwise.</t>
        </is>
      </c>
      <c r="I351" s="3" t="inlineStr">
        <is>
          <t>PARTLY READ — some of the code is still showing through; needs a hand pass</t>
        </is>
      </c>
      <c r="J351" s="3" t="inlineStr">
        <is>
          <t>birthYear?: number | null</t>
        </is>
      </c>
      <c r="K351" s="3" t="inlineStr">
        <is>
          <t>string</t>
        </is>
      </c>
      <c r="L351" s="3" t="inlineStr">
        <is>
          <t>"We lay it out. You decide." — on the Social Security timing screen</t>
        </is>
      </c>
      <c r="M351" s="3" t="inlineStr">
        <is>
          <t>1. Turns a monthly figure into a year by multiplying by twelve.
2. Rounds the answer to a whole number.</t>
        </is>
      </c>
      <c r="N351" s="3" t="inlineStr">
        <is>
          <t>Yes</t>
        </is>
      </c>
      <c r="O351" s="3" t="inlineStr">
        <is>
          <t>MK-PL-F-057 fullRetirementAge</t>
        </is>
      </c>
      <c r="P351" s="3" t="n">
        <v>1</v>
      </c>
      <c r="Q351" s="3" t="inlineStr">
        <is>
          <t>MK-PL-F-057 fullRetirementAge</t>
        </is>
      </c>
      <c r="R351" s="3" t="inlineStr">
        <is>
          <t>MK-PL-F-057 fullRetirementAge → MK-PL-F-063 fraLabel</t>
        </is>
      </c>
      <c r="S351" s="3" t="inlineStr">
        <is>
          <t>—</t>
        </is>
      </c>
      <c r="T351" s="3" t="inlineStr">
        <is>
          <t>—</t>
        </is>
      </c>
      <c r="U351" s="3" t="inlineStr">
        <is>
          <t>ACTIVE</t>
        </is>
      </c>
      <c r="V351" s="3" t="inlineStr">
        <is>
          <t>2026-08-27</t>
        </is>
      </c>
    </row>
    <row r="352">
      <c r="A352" s="3" t="inlineStr">
        <is>
          <t>MK-PL-F-064</t>
        </is>
      </c>
      <c r="B352" s="3" t="inlineStr">
        <is>
          <t>claimWindow</t>
        </is>
      </c>
      <c r="C352" s="3" t="inlineStr">
        <is>
          <t>src/domain/retirement/ssTiming.ts</t>
        </is>
      </c>
      <c r="D352" s="3" t="n">
        <v>267</v>
      </c>
      <c r="E352" s="3" t="inlineStr">
        <is>
          <t>2 · DISPLAYED</t>
        </is>
      </c>
      <c r="F352" s="3" t="inlineStr">
        <is>
          <t>The claim window: the month the person turns 62 → the month they turn 70.</t>
        </is>
      </c>
      <c r="G352" s="6"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352"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352" s="3" t="inlineStr">
        <is>
          <t>PARTLY READ — some of the code is still showing through; needs a hand pass</t>
        </is>
      </c>
      <c r="J352" s="3" t="inlineStr">
        <is>
          <t>1. birthYear: number | null
2. birthMonth: number | null</t>
        </is>
      </c>
      <c r="K352" s="3" t="inlineStr">
        <is>
          <t>NOT DECLARED — the code does not say what it gives back</t>
        </is>
      </c>
      <c r="L352" s="3" t="inlineStr">
        <is>
          <t>"Your assumption, not our prediction." — on the Social Security timing screen</t>
        </is>
      </c>
      <c r="M352" s="3" t="inlineStr">
        <is>
          <t>None found in this function — anything it assumes comes from the functions it depends on.</t>
        </is>
      </c>
      <c r="N352" s="3" t="inlineStr">
        <is>
          <t>Yes</t>
        </is>
      </c>
      <c r="O352" s="3" t="inlineStr">
        <is>
          <t>—</t>
        </is>
      </c>
      <c r="P352" s="3" t="n">
        <v>0</v>
      </c>
      <c r="Q352" s="3" t="inlineStr">
        <is>
          <t>None — no dependent function stands behind it</t>
        </is>
      </c>
      <c r="R352" s="3" t="inlineStr">
        <is>
          <t>No dependent function — it reads its inputs and answers</t>
        </is>
      </c>
      <c r="S352" s="3" t="inlineStr">
        <is>
          <t>—</t>
        </is>
      </c>
      <c r="T352" s="3" t="inlineStr">
        <is>
          <t>—</t>
        </is>
      </c>
      <c r="U352" s="3" t="inlineStr">
        <is>
          <t>ACTIVE</t>
        </is>
      </c>
      <c r="V352" s="3" t="inlineStr">
        <is>
          <t>2026-08-27</t>
        </is>
      </c>
    </row>
    <row r="353">
      <c r="A353" s="3" t="inlineStr">
        <is>
          <t>MK-PL-F-065</t>
        </is>
      </c>
      <c r="B353" s="3" t="inlineStr">
        <is>
          <t>volOf</t>
        </is>
      </c>
      <c r="C353" s="3" t="inlineStr">
        <is>
          <t>src/domain/retirement/willItLast.ts</t>
        </is>
      </c>
      <c r="D353" s="3" t="n">
        <v>80</v>
      </c>
      <c r="E353" s="3" t="inlineStr">
        <is>
          <t>2 · DISPLAYED</t>
        </is>
      </c>
      <c r="F353" s="3" t="inlineStr">
        <is>
          <t>Same volatility convention as the cockpit: higher return ⇒ more volatility.</t>
        </is>
      </c>
      <c r="G353" s="6" t="inlineStr">
        <is>
          <t>hold ret × 1.7 between 0.05 and 0.2</t>
        </is>
      </c>
      <c r="H353" s="3" t="inlineStr">
        <is>
          <t>hold ret times 1.7 between 0.05 and 0.2</t>
        </is>
      </c>
      <c r="I353" s="3" t="inlineStr">
        <is>
          <t>READ FROM THE CODE — rendered from the expressions the function runs</t>
        </is>
      </c>
      <c r="J353" s="3" t="inlineStr">
        <is>
          <t>ret: number</t>
        </is>
      </c>
      <c r="K353" s="3" t="inlineStr">
        <is>
          <t>NOT DECLARED — the code does not say what it gives back</t>
        </is>
      </c>
      <c r="L353" s="3" t="inlineStr">
        <is>
          <t>NOT FOUND — a screen calls it, but the words printed beside its answer could not be traced automatically. Needs reading.</t>
        </is>
      </c>
      <c r="M353" s="3" t="inlineStr">
        <is>
          <t>· Never lets the answer fall below 5% or rise above 20%.</t>
        </is>
      </c>
      <c r="N353" s="3" t="inlineStr">
        <is>
          <t>Yes</t>
        </is>
      </c>
      <c r="O353" s="3" t="inlineStr">
        <is>
          <t>1. MK-PL-F-077 clamp
2. MK-PL-F-050 simulate</t>
        </is>
      </c>
      <c r="P353" s="3" t="n">
        <v>20</v>
      </c>
      <c r="Q353" s="3" t="inlineStr">
        <is>
          <t>1. MK-PL-F-077 clamp
2. MK-PL-F-050 simulate
3. MK-NW-F-035 blendedVolatility
4. MK-CF-F-132 map
5. MK-PL-F-074 median
6. MK-PL-F-072 mulberry32
7. MK-PL-F-073 normal
8. MK-PL-F-075 pctOfSorted
9. MK-ST-F-025 rmdStartAgeFromAge
10. MK-ST-F-055 round2
11. MK-NW-F-032 earmarkedAmount
12. MK-NW-F-031 primaryCarIdOf
13. MK-ST-F-024 rmdStartAge
14. MK-NW-F-030 earmarkDefault
15. MK-NW-F-011 assetClassOf
16. MK-NW-F-013 realEstateUseOf
17. MK-NW-F-008 incomeBearingClassOf
18. MK-CF-F-155 cash
19. MK-ST-F-010 nameEvidence
20. MK-ST-F-056 has</t>
        </is>
      </c>
      <c r="R353" s="3" t="inlineStr">
        <is>
          <t>1. MK-NW-F-011 assetClassOf → MK-NW-F-030 earmarkDefault → MK-NW-F-032 earmarkedAmount → MK-NW-F-035 blendedVolatility → MK-PL-F-077 clamp → MK-PL-F-065 volOf
2. MK-NW-F-013 realEstateUseOf → MK-NW-F-030 earmarkDefault → MK-NW-F-032 earmarkedAmount → MK-NW-F-035 blendedVolatility → MK-PL-F-077 clamp → MK-PL-F-065 volOf
3. MK-ST-F-055 round2 → MK-NW-F-032 earmarkedAmount → MK-NW-F-035 blendedVolatility → MK-PL-F-077 clamp → MK-PL-F-065 volOf
4. MK-NW-F-008 incomeBearingClassOf → MK-NW-F-011 assetClassOf → MK-NW-F-031 primaryCarIdOf → MK-NW-F-035 blendedVolatility → MK-PL-F-077 clamp → MK-PL-F-065 volOf
5. MK-CF-F-132 map → MK-PL-F-050 simulate → MK-PL-F-065 volOf
6. MK-PL-F-074 median → MK-PL-F-050 simulate → MK-PL-F-065 volOf
7. MK-PL-F-072 mulberry32 → MK-PL-F-050 simulate → MK-PL-F-065 volOf
8. MK-PL-F-073 normal → MK-PL-F-050 simulate → MK-PL-F-065 volOf
9. … and 3 more paths</t>
        </is>
      </c>
      <c r="S353" s="3" t="inlineStr">
        <is>
          <t>—</t>
        </is>
      </c>
      <c r="T353" s="3" t="inlineStr">
        <is>
          <t>SWING_FROM_RETURN</t>
        </is>
      </c>
      <c r="U353" s="3" t="inlineStr">
        <is>
          <t>ACTIVE</t>
        </is>
      </c>
      <c r="V353" s="3" t="inlineStr">
        <is>
          <t>2026-08-27</t>
        </is>
      </c>
    </row>
    <row r="354">
      <c r="A354" s="3" t="inlineStr">
        <is>
          <t>MK-PL-F-066</t>
        </is>
      </c>
      <c r="B354" s="3" t="inlineStr">
        <is>
          <t>displayOdds</t>
        </is>
      </c>
      <c r="C354" s="3" t="inlineStr">
        <is>
          <t>src/domain/retirement/willItLast.ts</t>
        </is>
      </c>
      <c r="D354" s="3" t="n">
        <v>140</v>
      </c>
      <c r="E354" s="3" t="inlineStr">
        <is>
          <t>2 · DISPLAYED</t>
        </is>
      </c>
      <c r="F354" s="3" t="inlineStr">
        <is>
          <t>B6 (founder brief 2026-08-20): the odds a person sees, to the nearest 5 — with one honesty guard at each end: 100 means "every simulated future worked" and 0 means "none did", and neither claim may be minted by rounding.</t>
        </is>
      </c>
      <c r="G354" s="6" t="inlineStr">
        <is>
          <t>r = min(100, max(0, round(chance ÷ 5) × 5))
95   when r = 100 and chance &lt; 99.5
5   when r = 0 and chance &gt; 0.5
the answer = r</t>
        </is>
      </c>
      <c r="H354" s="3" t="inlineStr">
        <is>
          <t>R: the smaller of 100 and chance divided by 5, to a whole number times 5, never below zero. When r = 100 and chance &lt; 99.5, it answers 95. When r = 0 and chance &gt; 0.5, it answers 5. The answer is r.</t>
        </is>
      </c>
      <c r="I354" s="3" t="inlineStr">
        <is>
          <t>READ FROM THE CODE — rendered from the expressions the function runs</t>
        </is>
      </c>
      <c r="J354" s="3" t="inlineStr">
        <is>
          <t>chance: number</t>
        </is>
      </c>
      <c r="K354" s="3" t="inlineStr">
        <is>
          <t>number</t>
        </is>
      </c>
      <c r="L354" s="3" t="inlineStr">
        <is>
          <t>"Claim at age" — on the Retirement cockpit screen</t>
        </is>
      </c>
      <c r="M354" s="3" t="inlineStr">
        <is>
          <t>· Rounds the answer to a whole number.</t>
        </is>
      </c>
      <c r="N354" s="3" t="inlineStr">
        <is>
          <t>Yes</t>
        </is>
      </c>
      <c r="O354" s="3" t="inlineStr">
        <is>
          <t>—</t>
        </is>
      </c>
      <c r="P354" s="3" t="n">
        <v>0</v>
      </c>
      <c r="Q354" s="3" t="inlineStr">
        <is>
          <t>None — no dependent function stands behind it</t>
        </is>
      </c>
      <c r="R354" s="3" t="inlineStr">
        <is>
          <t>No dependent function — it reads its inputs and answers</t>
        </is>
      </c>
      <c r="S354" s="3" t="inlineStr">
        <is>
          <t>—</t>
        </is>
      </c>
      <c r="T354" s="3" t="inlineStr">
        <is>
          <t>ODDS_DISPLAY</t>
        </is>
      </c>
      <c r="U354" s="3" t="inlineStr">
        <is>
          <t>ACTIVE</t>
        </is>
      </c>
      <c r="V354" s="3" t="inlineStr">
        <is>
          <t>2026-08-27</t>
        </is>
      </c>
    </row>
    <row r="355">
      <c r="A355" s="3" t="inlineStr">
        <is>
          <t>MK-PL-F-067</t>
        </is>
      </c>
      <c r="B355" s="3" t="inlineStr">
        <is>
          <t>willItLastInputs</t>
        </is>
      </c>
      <c r="C355" s="3" t="inlineStr">
        <is>
          <t>src/domain/retirement/willItLast.ts</t>
        </is>
      </c>
      <c r="D355" s="3" t="n">
        <v>195</v>
      </c>
      <c r="E355" s="3" t="inlineStr">
        <is>
          <t>2 · DISPLAYED</t>
        </is>
      </c>
      <c r="F355" s="3" t="inlineStr">
        <is>
          <t>What goes into working out the odds?</t>
        </is>
      </c>
      <c r="G355" s="6" t="inlineStr">
        <is>
          <t>op = op (or none when missing)
a = assumptions (or none when missing)
age = the date ).get full year() − num or zero(op.birth year   if op.birth year
nothing   otherwise
nothing   when age = nothing
nest egg = retirement earmarked value(accounts)
bequest = num or zero(op.legacy target)
spendable egg = max(0, nest egg − bequest)
bench blended = blended return(accounts)
actual blended = portfolio actual return(accounts)
return basis = A.return basis (or 'benchmark' when missing)
scenario return = A.expected return (or bench blended when missing)
… the first steps only — the rest of the body needs reading by hand.</t>
        </is>
      </c>
      <c r="H355" s="3" t="inlineStr">
        <is>
          <t>Op is op (or none — when missing). A is assumptions (or none — when missing). Age: the date ).get full year() minus num or zero(op.birth year — when op.birth year; no answer — otherwise. When age is missing, it answers no answer. Nest egg is retirement earmarked value(accounts). Bequest is num or zero(op.legacy target). Spendable egg is nest egg minus bequest, never below zero. Bench blended is blended return(accounts). Actual blended is portfolio actual return(accounts). Return basis is A.return basis (or 'benchmark' — when missing). Scenario return is A.expected return (or bench blended — when missing). Only the first steps are shown; the rest of the body needs reading by hand.</t>
        </is>
      </c>
      <c r="I355" s="3" t="inlineStr">
        <is>
          <t>PARTLY READ — some of the code is still showing through; needs a hand pass</t>
        </is>
      </c>
      <c r="J355" s="3" t="inlineStr">
        <is>
          <t>a: WillItLastArgs</t>
        </is>
      </c>
      <c r="K355" s="3" t="inlineStr">
        <is>
          <t>RetirementInputs | null</t>
        </is>
      </c>
      <c r="L355" s="3" t="inlineStr">
        <is>
          <t>NOT FOUND — a screen calls it, but the words printed beside its answer could not be traced automatically. Needs reading.</t>
        </is>
      </c>
      <c r="M355" s="3" t="inlineStr">
        <is>
          <t>1. If inflation rate is missing it uses 2.5.
2. If social security claim age is missing it uses 67.
3. If monthly is missing it uses 0.
4. If salary growth is missing it uses 0.
5. Turns a monthly figure into a year by multiplying by twelve.
6. Uses today's date from the device clock, so the answer changes by itself overnight.
7. Rounds the answer to a whole number.
8. Leaves some rows out of the answer — check which.</t>
        </is>
      </c>
      <c r="N355" s="3" t="inlineStr">
        <is>
          <t>Yes</t>
        </is>
      </c>
      <c r="O355" s="3" t="inlineStr">
        <is>
          <t>1. MK-NW-F-037 blendedReturn
2. MK-NW-F-035 blendedVolatility
3. MK-CF-F-102 effectiveRateOnGrossFor
4. MK-CF-F-085 filingStatusOf
5. MK-CF-F-076 guaranteedOutsideStreams
6. MK-CF-F-132 map
7. MK-NW-F-041 monthlyContributionsFromOnboarding
8. MK-PL-F-079 numOrZero
9. MK-CF-F-089 over65CountOf
10. MK-NW-F-004 portfolioActualReturn
11. MK-NW-F-033 retirementEarmarkedValue
12. MK-PL-F-049 retirementSpendMonthly
13. MK-PL-F-060 ssBenefitAt
14. MK-CF-F-086 stateRateOf
15. MK-PL-F-001 taxBucketSplit
16. MK-CF-F-083 totalGrossAnnual
17. MK-PL-F-065 volOf</t>
        </is>
      </c>
      <c r="P355" s="3" t="n">
        <v>68</v>
      </c>
      <c r="Q355" s="3" t="inlineStr">
        <is>
          <t>1. MK-NW-F-037 blendedReturn
2. MK-NW-F-035 blendedVolatility
3. MK-CF-F-102 effectiveRateOnGrossFor
4. MK-CF-F-085 filingStatusOf
5. MK-CF-F-076 guaranteedOutsideStreams
6. MK-CF-F-132 map
7. MK-NW-F-041 monthlyContributionsFromOnboarding
8. MK-PL-F-079 numOrZero
9. MK-CF-F-089 over65CountOf
10. MK-NW-F-004 portfolioActualReturn
11. MK-NW-F-033 retirementEarmarkedValue
12. MK-PL-F-049 retirementSpendMonthly
13. MK-PL-F-060 ssBenefitAt
14. MK-CF-F-086 stateRateOf
15. MK-PL-F-001 taxBucketSplit
16. MK-CF-F-083 totalGrossAnnual
17. MK-PL-F-065 volOf
18. MK-NW-F-034 benchmarkReturn
19. MK-NW-F-032 earmarkedAmount
20. MK-NW-F-031 primaryCarIdOf
21. MK-CF-F-101 taxOwedFor
22. MK-ST-F-052 toNum
23. MK-CF-F-078 employerMatchMonthly
24. MK-ST-F-055 round2
25. MK-PL-F-047 colFactor
26. MK-PL-F-058 ssClaimFactorFor
27. MK-CF-F-072 currentRetirementIncomeMonthly
28. MK-CF-F-071 extraIncome
29. MK-CF-F-068 rentalNetAnnual
30. MK-CF-F-066 rsuAnnual
31. MK-CF-F-082 salaryAnnual
32. MK-CF-F-074 tipsAnnual
33. MK-PL-F-077 clamp
34. MK-PL-F-050 simulate
35. MK-NW-F-007 assetKind
36. MK-NW-F-030 earmarkDefault
37. MK-NW-F-011 assetClassOf
38. MK-CF-F-100 taxableIncomeFor
39. MK-CF-F-175 sumOverEarners
40. MK-PL-F-057 fullRetirementAge
41. MK-CF-F-075 retirementIncomeMonthly
42. MK-CF-F-070 benefitAnnual
43. MK-CF-F-067 rentalList
44. MK-CF-F-062 equityRowValue
45. MK-CF-F-063 rowVestYear
46. MK-CF-F-060 salaryGrossByMonth
47. MK-CF-F-081 salaryActiveMonths
48. MK-PL-F-074 median
49. MK-PL-F-072 mulberry32
50. MK-PL-F-073 normal
51. MK-PL-F-075 pctOfSorted
52. MK-ST-F-025 rmdStartAgeFromAge
53. MK-NW-F-013 realEstateUseOf
54. MK-NW-F-008 incomeBearingClassOf
55. MK-CF-F-099 deductionFor
56. MK-CF-F-173 earnerWages
57. MK-CF-F-069 benefitActiveMonths
58. MK-CF-F-176 sumMonthsOverEarners
59. MK-CF-F-177 wageGrossByMonth
60. MK-ST-F-024 rmdStartAge
61. MK-CF-F-155 cash
62. MK-ST-F-010 nameEvidence
63. MK-CF-F-172 hasWage
64. MK-CF-F-130 enteredMonthlyRaw
65. MK-CF-F-166 hasMonthlySalaryTable
66. MK-CF-F-167 salaryCalendarYear
67. MK-ST-F-056 has
68. MK-CF-F-165 salaryMonths</t>
        </is>
      </c>
      <c r="R355" s="3" t="inlineStr">
        <is>
          <t>1. MK-NW-F-008 incomeBearingClassOf → MK-NW-F-011 assetClassOf → MK-NW-F-007 assetKind → MK-NW-F-034 benchmarkReturn → MK-NW-F-037 blendedReturn → MK-PL-F-067 willItLastInputs
2. MK-NW-F-008 incomeBearingClassOf → MK-NW-F-011 assetClassOf → MK-NW-F-030 earmarkDefault → MK-NW-F-032 earmarkedAmount → MK-NW-F-037 blendedReturn → MK-PL-F-067 willItLastInputs
3. MK-NW-F-013 realEstateUseOf → MK-NW-F-030 earmarkDefault → MK-NW-F-032 earmarkedAmount → MK-NW-F-037 blendedReturn → MK-PL-F-067 willItLastInputs
4. MK-ST-F-055 round2 → MK-NW-F-032 earmarkedAmount → MK-NW-F-037 blendedReturn → MK-PL-F-067 willItLastInputs
5. MK-CF-F-155 cash → MK-NW-F-008 incomeBearingClassOf → MK-NW-F-011 assetClassOf → MK-NW-F-031 primaryCarIdOf → MK-NW-F-037 blendedReturn → MK-PL-F-067 willItLastInputs
6. MK-ST-F-010 nameEvidence → MK-NW-F-008 incomeBearingClassOf → MK-NW-F-011 assetClassOf → MK-NW-F-031 primaryCarIdOf → MK-NW-F-037 blendedReturn → MK-PL-F-067 willItLastInputs
7. MK-NW-F-008 incomeBearingClassOf → MK-NW-F-011 assetClassOf → MK-NW-F-030 earmarkDefault → MK-NW-F-032 earmarkedAmount → MK-NW-F-035 blendedVolatility → MK-PL-F-067 willItLastInputs
8. MK-NW-F-013 realEstateUseOf → MK-NW-F-030 earmarkDefault → MK-NW-F-032 earmarkedAmount → MK-NW-F-035 blendedVolatility → MK-PL-F-067 willItLastInputs
9. … and 5 more paths</t>
        </is>
      </c>
      <c r="S355" s="3" t="inlineStr">
        <is>
          <t>MK-PL-M-008 · MK-PL-M-011 · MK-PL-M-029</t>
        </is>
      </c>
      <c r="T355" s="3" t="inlineStr">
        <is>
          <t>WILL_IT_LAST_INPUTS</t>
        </is>
      </c>
      <c r="U355" s="3" t="inlineStr">
        <is>
          <t>ACTIVE</t>
        </is>
      </c>
      <c r="V355" s="3" t="inlineStr">
        <is>
          <t>2026-08-27</t>
        </is>
      </c>
    </row>
    <row r="356">
      <c r="A356" s="3" t="inlineStr">
        <is>
          <t>MK-PL-F-068</t>
        </is>
      </c>
      <c r="B356" s="3" t="inlineStr">
        <is>
          <t>selectWillItLast</t>
        </is>
      </c>
      <c r="C356" s="3" t="inlineStr">
        <is>
          <t>src/domain/retirement/willItLast.ts</t>
        </is>
      </c>
      <c r="D356" s="3" t="n">
        <v>311</v>
      </c>
      <c r="E356" s="3" t="inlineStr">
        <is>
          <t>2 · DISPLAYED</t>
        </is>
      </c>
      <c r="F356" s="3" t="inlineStr">
        <is>
          <t>The one will-it-last read.</t>
        </is>
      </c>
      <c r="G356" s="6" t="inlineStr">
        <is>
          <t>op = op (or none when missing)
inputs = will it last inputs(a)
nest egg = retirement earmarked value(accounts)
spend known = (retirement spend monthly(op) or num or zero(op.monthly spending))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356" s="3" t="inlineStr">
        <is>
          <t>Op is op (or none — when missing). Inputs is will it last inputs(a). Nest egg is retirement earmarked value(accounts). Spend known is (retirement spend monthly(op) or num or zero(op.monthly spending))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356" s="3" t="inlineStr">
        <is>
          <t>PARTLY READ — some of the code is still showing through; needs a hand pass</t>
        </is>
      </c>
      <c r="J356" s="3" t="inlineStr">
        <is>
          <t>a: WillItLastArgs</t>
        </is>
      </c>
      <c r="K356" s="3" t="inlineStr">
        <is>
          <t>WillItLastResult</t>
        </is>
      </c>
      <c r="L356" s="3" t="inlineStr">
        <is>
          <t>"Draw from savings" — on the Cash flow screen, under "YOUR FUTURE PAYCHECK"</t>
        </is>
      </c>
      <c r="M356" s="3" t="inlineStr">
        <is>
          <t>None found in this function — anything it assumes comes from the functions it depends on.</t>
        </is>
      </c>
      <c r="N356" s="3" t="inlineStr">
        <is>
          <t>Yes</t>
        </is>
      </c>
      <c r="O356" s="3" t="inlineStr">
        <is>
          <t>1. MK-PL-F-066 displayOdds
2. MK-PL-F-079 numOrZero
3. MK-NW-F-033 retirementEarmarkedValue
4. MK-PL-F-049 retirementSpendMonthly
5. MK-PL-F-050 simulate
6. MK-PL-F-067 willItLastInputs</t>
        </is>
      </c>
      <c r="P356" s="3" t="n">
        <v>70</v>
      </c>
      <c r="Q356" s="3" t="inlineStr">
        <is>
          <t>1. MK-PL-F-066 displayOdds
2. MK-PL-F-079 numOrZero
3. MK-NW-F-033 retirementEarmarkedValue
4. MK-PL-F-049 retirementSpendMonthly
5. MK-PL-F-050 simulate
6. MK-PL-F-067 willItLastInputs
7. MK-NW-F-032 earmarkedAmount
8. MK-NW-F-031 primaryCarIdOf
9. MK-ST-F-055 round2
10. MK-PL-F-047 colFactor
11. MK-ST-F-052 toNum
12. MK-CF-F-132 map
13. MK-PL-F-074 median
14. MK-PL-F-072 mulberry32
15. MK-PL-F-073 normal
16. MK-PL-F-075 pctOfSorted
17. MK-ST-F-025 rmdStartAgeFromAge
18. MK-NW-F-037 blendedReturn
19. MK-NW-F-035 blendedVolatility
20. MK-CF-F-102 effectiveRateOnGrossFor
21. MK-CF-F-085 filingStatusOf
22. MK-CF-F-076 guaranteedOutsideStreams
23. MK-NW-F-041 monthlyContributionsFromOnboarding
24. MK-CF-F-089 over65CountOf
25. MK-NW-F-004 portfolioActualReturn
26. MK-PL-F-060 ssBenefitAt
27. MK-CF-F-086 stateRateOf
28. MK-PL-F-001 taxBucketSplit
29. MK-CF-F-083 totalGrossAnnual
30. MK-PL-F-065 volOf
31. MK-NW-F-030 earmarkDefault
32. MK-NW-F-011 assetClassOf
33. MK-ST-F-024 rmdStartAge
34. MK-NW-F-034 benchmarkReturn
35. MK-CF-F-101 taxOwedFor
36. MK-CF-F-078 employerMatchMonthly
37. MK-PL-F-058 ssClaimFactorFor
38. MK-CF-F-072 currentRetirementIncomeMonthly
39. MK-CF-F-071 extraIncome
40. MK-CF-F-068 rentalNetAnnual
41. MK-CF-F-066 rsuAnnual
42. MK-CF-F-082 salaryAnnual
43. MK-CF-F-074 tipsAnnual
44. MK-PL-F-077 clamp
45. MK-NW-F-013 realEstateUseOf
46. MK-NW-F-008 incomeBearingClassOf
47. MK-NW-F-007 assetKind
48. MK-CF-F-100 taxableIncomeFor
49. MK-CF-F-175 sumOverEarners
50. MK-PL-F-057 fullRetirementAge
51. MK-CF-F-075 retirementIncomeMonthly
52. MK-CF-F-070 benefitAnnual
53. MK-CF-F-067 rentalList
54. MK-CF-F-062 equityRowValue
55. MK-CF-F-063 rowVestYear
56. MK-CF-F-060 salaryGrossByMonth
57. MK-CF-F-081 salaryActiveMonths
58. MK-CF-F-155 cash
59. MK-ST-F-010 nameEvidence
60. MK-CF-F-099 deductionFor
61. MK-CF-F-173 earnerWages
62. MK-CF-F-069 benefitActiveMonths
63. MK-CF-F-176 sumMonthsOverEarners
64. MK-CF-F-177 wageGrossByMonth
65. MK-ST-F-056 has
66. MK-CF-F-172 hasWage
67. MK-CF-F-130 enteredMonthlyRaw
68. MK-CF-F-166 hasMonthlySalaryTable
69. MK-CF-F-167 salaryCalendarYear
70. MK-CF-F-165 salaryMonths</t>
        </is>
      </c>
      <c r="R356" s="3" t="inlineStr">
        <is>
          <t>1. MK-PL-F-066 displayOdds → MK-PL-F-068 selectWillItLast
2.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MK-ST-F-055 round2 → MK-NW-F-032 earmarkedAmount → MK-NW-F-033 retirementEarmarkedValue → MK-PL-F-068 selectWillItLast
6. MK-CF-F-155 cash → MK-NW-F-008 incomeBearingClassOf → MK-NW-F-011 assetClassOf → MK-NW-F-031 primaryCarIdOf → MK-NW-F-033 retirementEarmarkedValue → MK-PL-F-068 selectWillItLast
7. MK-ST-F-010 nameEvidence → MK-NW-F-008 incomeBearingClassOf → MK-NW-F-011 assetClassOf → MK-NW-F-031 primaryCarIdOf → MK-NW-F-033 retirementEarmarkedValue → MK-PL-F-068 selectWillItLast
8. MK-ST-F-055 round2 → MK-NW-F-033 retirementEarmarkedValue → MK-PL-F-068 selectWillItLast
9. … and 5 more paths</t>
        </is>
      </c>
      <c r="S356" s="3" t="inlineStr">
        <is>
          <t>MK-PL-M-034 · MK-XS-M-002</t>
        </is>
      </c>
      <c r="T356" s="3" t="inlineStr">
        <is>
          <t>WILL_IT_LAST_RESULT</t>
        </is>
      </c>
      <c r="U356" s="3" t="inlineStr">
        <is>
          <t>ACTIVE</t>
        </is>
      </c>
      <c r="V356" s="3" t="inlineStr">
        <is>
          <t>2026-08-27</t>
        </is>
      </c>
    </row>
    <row r="357">
      <c r="A357" s="3" t="inlineStr">
        <is>
          <t>MK-PL-F-069</t>
        </is>
      </c>
      <c r="B357" s="3" t="inlineStr">
        <is>
          <t>oddsAt</t>
        </is>
      </c>
      <c r="C357" s="3" t="inlineStr">
        <is>
          <t>src/domain/planning/spendMore.ts</t>
        </is>
      </c>
      <c r="D357" s="3" t="n">
        <v>45</v>
      </c>
      <c r="E357" s="3" t="inlineStr">
        <is>
          <t>1 · ACTION</t>
        </is>
      </c>
      <c r="F357" s="3" t="inlineStr">
        <is>
          <t>NOT DETERMINED — the code carries no note saying what this is for, and it has no row in the old inventory. Needs reading.</t>
        </is>
      </c>
      <c r="G357" s="6" t="inlineStr">
        <is>
          <t>NOT READ YET — the body is not a shape this can render faithfully, so nothing is claimed rather than something being guessed. It needs reading by hand.</t>
        </is>
      </c>
      <c r="H357" s="3" t="inlineStr">
        <is>
          <t>NOT READ YET — the body is not a shape this can render faithfully, so nothing is claimed rather than something being guessed. It needs reading by hand.</t>
        </is>
      </c>
      <c r="I357" s="3" t="inlineStr">
        <is>
          <t>NOT READ — nothing is claimed rather than something guessed</t>
        </is>
      </c>
      <c r="J357" s="3" t="inlineStr">
        <is>
          <t>1. base: RetirementInputs
2. monthlySpend: number</t>
        </is>
      </c>
      <c r="K357" s="3" t="inlineStr">
        <is>
          <t>NOT DECLARED — the code does not say what it gives back</t>
        </is>
      </c>
      <c r="L357" s="3" t="inlineStr">
        <is>
          <t>—</t>
        </is>
      </c>
      <c r="M357" s="3" t="inlineStr">
        <is>
          <t>None found in this function — anything it assumes comes from the functions it depends on.</t>
        </is>
      </c>
      <c r="N357" s="3" t="inlineStr">
        <is>
          <t>Yes</t>
        </is>
      </c>
      <c r="O357" s="3" t="inlineStr">
        <is>
          <t>MK-PL-F-050 simulate</t>
        </is>
      </c>
      <c r="P357" s="3" t="n">
        <v>9</v>
      </c>
      <c r="Q357" s="3" t="inlineStr">
        <is>
          <t>1. MK-PL-F-050 simulate
2. MK-CF-F-132 map
3. MK-PL-F-074 median
4. MK-PL-F-072 mulberry32
5. MK-PL-F-073 normal
6. MK-PL-F-075 pctOfSorted
7. MK-ST-F-025 rmdStartAgeFromAge
8. MK-ST-F-055 round2
9. MK-ST-F-024 rmdStartAge</t>
        </is>
      </c>
      <c r="R357" s="3" t="inlineStr">
        <is>
          <t>1. MK-CF-F-132 map → MK-PL-F-050 simulate → MK-PL-F-069 oddsAt
2. MK-PL-F-074 median → MK-PL-F-050 simulate → MK-PL-F-069 oddsAt
3. MK-PL-F-072 mulberry32 → MK-PL-F-050 simulate → MK-PL-F-069 oddsAt
4. MK-PL-F-073 normal → MK-PL-F-050 simulate → MK-PL-F-069 oddsAt
5. MK-PL-F-075 pctOfSorted → MK-PL-F-050 simulate → MK-PL-F-069 oddsAt
6. MK-ST-F-024 rmdStartAge → MK-ST-F-025 rmdStartAgeFromAge → MK-PL-F-050 simulate → MK-PL-F-069 oddsAt
7. MK-ST-F-055 round2 → MK-PL-F-050 simulate → MK-PL-F-069 oddsAt</t>
        </is>
      </c>
      <c r="S357" s="3" t="inlineStr">
        <is>
          <t>—</t>
        </is>
      </c>
      <c r="T357" s="3" t="inlineStr">
        <is>
          <t>—</t>
        </is>
      </c>
      <c r="U357" s="3" t="inlineStr">
        <is>
          <t>ACTIVE</t>
        </is>
      </c>
      <c r="V357" s="3" t="inlineStr">
        <is>
          <t>2026-08-27</t>
        </is>
      </c>
    </row>
    <row r="358">
      <c r="A358" s="3" t="inlineStr">
        <is>
          <t>MK-PL-F-070</t>
        </is>
      </c>
      <c r="B358" s="3" t="inlineStr">
        <is>
          <t>smallestThatWorks</t>
        </is>
      </c>
      <c r="C358" s="3" t="inlineStr">
        <is>
          <t>src/domain/planning/target.ts</t>
        </is>
      </c>
      <c r="D358" s="3" t="n">
        <v>48</v>
      </c>
      <c r="E358" s="3" t="inlineStr">
        <is>
          <t>3 · DEPENDENT</t>
        </is>
      </c>
      <c r="F358" s="3" t="inlineStr">
        <is>
          <t>Smallest x in [lo, hi] where reaching(x) is true, to `tol`.</t>
        </is>
      </c>
      <c r="G358" s="6" t="inlineStr">
        <is>
          <t>lo   when works(lo)
nothing   when !works(hi)
a = lo, b = hi
mid = (a + b) ÷ 2
the answer = b</t>
        </is>
      </c>
      <c r="H358" s="3" t="inlineStr">
        <is>
          <t>When works(lo), it answers lo. When !works(hi), it answers no answer. A is lo, b = hi. Mid is (a plus b) divided by 2. The answer is b.</t>
        </is>
      </c>
      <c r="I358" s="3" t="inlineStr">
        <is>
          <t>READ FROM THE CODE — rendered from the expressions the function runs</t>
        </is>
      </c>
      <c r="J358" s="3" t="inlineStr">
        <is>
          <t>1. lo: number
2. hi: number
3. tol: number
4. works: (x: number) =&gt; boolean</t>
        </is>
      </c>
      <c r="K358" s="3" t="inlineStr">
        <is>
          <t>number | null</t>
        </is>
      </c>
      <c r="L358" s="3" t="inlineStr">
        <is>
          <t>—</t>
        </is>
      </c>
      <c r="M358" s="3" t="inlineStr">
        <is>
          <t>None found in this function — anything it assumes comes from the functions it depends on.</t>
        </is>
      </c>
      <c r="N358" s="3" t="inlineStr">
        <is>
          <t>Yes</t>
        </is>
      </c>
      <c r="O358" s="3" t="inlineStr">
        <is>
          <t>—</t>
        </is>
      </c>
      <c r="P358" s="3" t="n">
        <v>0</v>
      </c>
      <c r="Q358" s="3" t="inlineStr">
        <is>
          <t>None — no dependent function stands behind it</t>
        </is>
      </c>
      <c r="R358" s="3" t="inlineStr">
        <is>
          <t>No dependent function — it reads its inputs and answers</t>
        </is>
      </c>
      <c r="S358" s="3" t="inlineStr">
        <is>
          <t>—</t>
        </is>
      </c>
      <c r="T358" s="3" t="inlineStr">
        <is>
          <t>—</t>
        </is>
      </c>
      <c r="U358" s="3" t="inlineStr">
        <is>
          <t>ACTIVE</t>
        </is>
      </c>
      <c r="V358" s="3" t="inlineStr">
        <is>
          <t>2026-08-27</t>
        </is>
      </c>
    </row>
    <row r="359">
      <c r="A359" s="3" t="inlineStr">
        <is>
          <t>MK-PL-F-071</t>
        </is>
      </c>
      <c r="B359" s="3" t="inlineStr">
        <is>
          <t>oddsOf</t>
        </is>
      </c>
      <c r="C359" s="3" t="inlineStr">
        <is>
          <t>src/domain/planning/target.ts</t>
        </is>
      </c>
      <c r="D359" s="3" t="n">
        <v>79</v>
      </c>
      <c r="E359" s="3" t="inlineStr">
        <is>
          <t>1 · ACTION</t>
        </is>
      </c>
      <c r="F359" s="3" t="inlineStr">
        <is>
          <t>NOT DETERMINED — the code carries no note saying what this is for, and it has no row in the old inventory. Needs reading.</t>
        </is>
      </c>
      <c r="G359" s="6" t="inlineStr">
        <is>
          <t>simulate(inp).chance of success</t>
        </is>
      </c>
      <c r="H359" s="3" t="inlineStr">
        <is>
          <t>simulate(inp).chance of success</t>
        </is>
      </c>
      <c r="I359" s="3" t="inlineStr">
        <is>
          <t>PARTLY READ — some of the code is still showing through; needs a hand pass</t>
        </is>
      </c>
      <c r="J359" s="3" t="inlineStr">
        <is>
          <t>inp: RetirementInputs</t>
        </is>
      </c>
      <c r="K359" s="3" t="inlineStr">
        <is>
          <t>NOT DECLARED — the code does not say what it gives back</t>
        </is>
      </c>
      <c r="L359" s="3" t="inlineStr">
        <is>
          <t>—</t>
        </is>
      </c>
      <c r="M359" s="3" t="inlineStr">
        <is>
          <t>None found in this function — anything it assumes comes from the functions it depends on.</t>
        </is>
      </c>
      <c r="N359" s="3" t="inlineStr">
        <is>
          <t>Yes</t>
        </is>
      </c>
      <c r="O359" s="3" t="inlineStr">
        <is>
          <t>MK-PL-F-050 simulate</t>
        </is>
      </c>
      <c r="P359" s="3" t="n">
        <v>9</v>
      </c>
      <c r="Q359" s="3" t="inlineStr">
        <is>
          <t>1. MK-PL-F-050 simulate
2. MK-CF-F-132 map
3. MK-PL-F-074 median
4. MK-PL-F-072 mulberry32
5. MK-PL-F-073 normal
6. MK-PL-F-075 pctOfSorted
7. MK-ST-F-025 rmdStartAgeFromAge
8. MK-ST-F-055 round2
9. MK-ST-F-024 rmdStartAge</t>
        </is>
      </c>
      <c r="R359" s="3" t="inlineStr">
        <is>
          <t>1. MK-CF-F-132 map → MK-PL-F-050 simulate → MK-PL-F-071 oddsOf
2. MK-PL-F-074 median → MK-PL-F-050 simulate → MK-PL-F-071 oddsOf
3. MK-PL-F-072 mulberry32 → MK-PL-F-050 simulate → MK-PL-F-071 oddsOf
4. MK-PL-F-073 normal → MK-PL-F-050 simulate → MK-PL-F-071 oddsOf
5. MK-PL-F-075 pctOfSorted → MK-PL-F-050 simulate → MK-PL-F-071 oddsOf
6. MK-ST-F-024 rmdStartAge → MK-ST-F-025 rmdStartAgeFromAge → MK-PL-F-050 simulate → MK-PL-F-071 oddsOf
7. MK-ST-F-055 round2 → MK-PL-F-050 simulate → MK-PL-F-071 oddsOf</t>
        </is>
      </c>
      <c r="S359" s="3" t="inlineStr">
        <is>
          <t>—</t>
        </is>
      </c>
      <c r="T359" s="3" t="inlineStr">
        <is>
          <t>—</t>
        </is>
      </c>
      <c r="U359" s="3" t="inlineStr">
        <is>
          <t>ACTIVE</t>
        </is>
      </c>
      <c r="V359" s="3" t="inlineStr">
        <is>
          <t>2026-08-27</t>
        </is>
      </c>
    </row>
    <row r="360">
      <c r="A360" s="3" t="inlineStr">
        <is>
          <t>MK-PL-F-072</t>
        </is>
      </c>
      <c r="B360" s="3" t="inlineStr">
        <is>
          <t>mulberry32</t>
        </is>
      </c>
      <c r="C360" s="3" t="inlineStr">
        <is>
          <t>src/domain/retirement/index.ts</t>
        </is>
      </c>
      <c r="D360" s="3" t="n">
        <v>221</v>
      </c>
      <c r="E360" s="3" t="inlineStr">
        <is>
          <t>3 · DEPENDENT</t>
        </is>
      </c>
      <c r="F360" s="3" t="inlineStr">
        <is>
          <t>deterministic RNG so results/tests are reproducible</t>
        </is>
      </c>
      <c r="G360" s="6" t="inlineStr">
        <is>
          <t>t = seed += 0x6d2b79f5
the answer = ((t ^ (t &gt;&gt;&gt; 14)) &gt;&gt;&gt; 0) ÷ 4294967296</t>
        </is>
      </c>
      <c r="H360" s="3" t="inlineStr">
        <is>
          <t>T is seed += 0x6d2b79f5. The answer is ((t ^ (t &gt;&gt;&gt; 14)) &gt;&gt;&gt; 0) divided by 4294967296.</t>
        </is>
      </c>
      <c r="I360" s="3" t="inlineStr">
        <is>
          <t>READ FROM THE CODE — rendered from the expressions the function runs</t>
        </is>
      </c>
      <c r="J360" s="3" t="inlineStr">
        <is>
          <t>seed: number</t>
        </is>
      </c>
      <c r="K360" s="3" t="inlineStr">
        <is>
          <t>NOT DECLARED — the code does not say what it gives back</t>
        </is>
      </c>
      <c r="L360" s="3" t="inlineStr">
        <is>
          <t>—</t>
        </is>
      </c>
      <c r="M360" s="3" t="inlineStr">
        <is>
          <t>None found in this function — anything it assumes comes from the functions it depends on.</t>
        </is>
      </c>
      <c r="N360" s="3" t="inlineStr">
        <is>
          <t>Yes</t>
        </is>
      </c>
      <c r="O360" s="3" t="inlineStr">
        <is>
          <t>—</t>
        </is>
      </c>
      <c r="P360" s="3" t="n">
        <v>0</v>
      </c>
      <c r="Q360" s="3" t="inlineStr">
        <is>
          <t>None — no dependent function stands behind it</t>
        </is>
      </c>
      <c r="R360" s="3" t="inlineStr">
        <is>
          <t>No dependent function — it reads its inputs and answers</t>
        </is>
      </c>
      <c r="S360" s="3" t="inlineStr">
        <is>
          <t>—</t>
        </is>
      </c>
      <c r="T360" s="3" t="inlineStr">
        <is>
          <t>—</t>
        </is>
      </c>
      <c r="U360" s="3" t="inlineStr">
        <is>
          <t>ACTIVE</t>
        </is>
      </c>
      <c r="V360" s="3" t="inlineStr">
        <is>
          <t>2026-08-27</t>
        </is>
      </c>
    </row>
    <row r="361">
      <c r="A361" s="3" t="inlineStr">
        <is>
          <t>MK-PL-F-073</t>
        </is>
      </c>
      <c r="B361" s="3" t="inlineStr">
        <is>
          <t>normal</t>
        </is>
      </c>
      <c r="C361" s="3" t="inlineStr">
        <is>
          <t>src/domain/retirement/index.ts</t>
        </is>
      </c>
      <c r="D361" s="3" t="n">
        <v>257</v>
      </c>
      <c r="E361" s="3" t="inlineStr">
        <is>
          <t>3 · DEPENDENT</t>
        </is>
      </c>
      <c r="F361" s="3" t="inlineStr">
        <is>
          <t>NOT DETERMINED — the code carries no note saying what this is for, and it has no row in the old inventory. Needs reading.</t>
        </is>
      </c>
      <c r="G361" s="6" t="inlineStr">
        <is>
          <t>u = 0, v = 0
the answer = mean + sd × √(-2 × math.log(u)) × math.cos(2 × math.PI × v)</t>
        </is>
      </c>
      <c r="H361" s="3" t="inlineStr">
        <is>
          <t>U is 0, v = 0. The answer is mean plus sd times √(-2 times math.log(u)) times math.cos(2 times math.PI times v).</t>
        </is>
      </c>
      <c r="I361" s="3" t="inlineStr">
        <is>
          <t>PARTLY READ — some of the code is still showing through; needs a hand pass</t>
        </is>
      </c>
      <c r="J361" s="3" t="inlineStr">
        <is>
          <t>rng: () =&gt; number, mean: number, sd: number</t>
        </is>
      </c>
      <c r="K361" s="3" t="inlineStr">
        <is>
          <t>number</t>
        </is>
      </c>
      <c r="L361" s="3" t="inlineStr">
        <is>
          <t>—</t>
        </is>
      </c>
      <c r="M361" s="3" t="inlineStr">
        <is>
          <t>None found in this function — anything it assumes comes from the functions it depends on.</t>
        </is>
      </c>
      <c r="N361" s="3" t="inlineStr">
        <is>
          <t>Yes</t>
        </is>
      </c>
      <c r="O361" s="3" t="inlineStr">
        <is>
          <t>—</t>
        </is>
      </c>
      <c r="P361" s="3" t="n">
        <v>0</v>
      </c>
      <c r="Q361" s="3" t="inlineStr">
        <is>
          <t>None — no dependent function stands behind it</t>
        </is>
      </c>
      <c r="R361" s="3" t="inlineStr">
        <is>
          <t>No dependent function — it reads its inputs and answers</t>
        </is>
      </c>
      <c r="S361" s="3" t="inlineStr">
        <is>
          <t>—</t>
        </is>
      </c>
      <c r="T361" s="3" t="inlineStr">
        <is>
          <t>—</t>
        </is>
      </c>
      <c r="U361" s="3" t="inlineStr">
        <is>
          <t>ACTIVE</t>
        </is>
      </c>
      <c r="V361" s="3" t="inlineStr">
        <is>
          <t>2026-08-27</t>
        </is>
      </c>
    </row>
    <row r="362">
      <c r="A362" s="3" t="inlineStr">
        <is>
          <t>MK-PL-F-074</t>
        </is>
      </c>
      <c r="B362" s="3" t="inlineStr">
        <is>
          <t>median</t>
        </is>
      </c>
      <c r="C362" s="3" t="inlineStr">
        <is>
          <t>src/domain/_shared/num.ts</t>
        </is>
      </c>
      <c r="D362" s="3" t="n">
        <v>148</v>
      </c>
      <c r="E362" s="3" t="inlineStr">
        <is>
          <t>2 · DISPLAYED</t>
        </is>
      </c>
      <c r="F362" s="3" t="inlineStr">
        <is>
          <t>The middle value of a list, 0 when it is empty.</t>
        </is>
      </c>
      <c r="G362" s="6" t="inlineStr">
        <is>
          <t>0   when count of xs is missing
s = [...xs].sort((a, b) =&gt; a − b)
m = round down(length ÷ 2)
the answer:
s[m]   if length % 2
(s[m − 1] + s[m]) ÷ 2   otherwise</t>
        </is>
      </c>
      <c r="H362" s="3" t="inlineStr">
        <is>
          <t>When how many xs is missing there are, it answers 0. S is [...xs].sort((a, b) =&gt; a minus b). M is length divided by 2, rounded down. The answer is s[m] — when length % 2; (s[m minus 1] plus s[m]) divided by 2 — otherwise.</t>
        </is>
      </c>
      <c r="I362" s="3" t="inlineStr">
        <is>
          <t>PARTLY READ — some of the code is still showing through; needs a hand pass</t>
        </is>
      </c>
      <c r="J362" s="3" t="inlineStr">
        <is>
          <t>xs: number[]</t>
        </is>
      </c>
      <c r="K362" s="3" t="inlineStr">
        <is>
          <t>number</t>
        </is>
      </c>
      <c r="L362" s="3" t="inlineStr">
        <is>
          <t>NOT FOUND — a screen calls it, but the words printed beside its answer could not be traced automatically. Needs reading.</t>
        </is>
      </c>
      <c r="M362" s="3" t="inlineStr">
        <is>
          <t>None found in this function — anything it assumes comes from the functions it depends on.</t>
        </is>
      </c>
      <c r="N362" s="3" t="inlineStr">
        <is>
          <t>Yes</t>
        </is>
      </c>
      <c r="O362" s="3" t="inlineStr">
        <is>
          <t>—</t>
        </is>
      </c>
      <c r="P362" s="3" t="n">
        <v>0</v>
      </c>
      <c r="Q362" s="3" t="inlineStr">
        <is>
          <t>None — no dependent function stands behind it</t>
        </is>
      </c>
      <c r="R362" s="3" t="inlineStr">
        <is>
          <t>No dependent function — it reads its inputs and answers</t>
        </is>
      </c>
      <c r="S362" s="3" t="inlineStr">
        <is>
          <t>—</t>
        </is>
      </c>
      <c r="T362" s="3" t="inlineStr">
        <is>
          <t>—</t>
        </is>
      </c>
      <c r="U362" s="3" t="inlineStr">
        <is>
          <t>ACTIVE</t>
        </is>
      </c>
      <c r="V362" s="3" t="inlineStr">
        <is>
          <t>2026-08-27</t>
        </is>
      </c>
    </row>
    <row r="363">
      <c r="A363" s="3" t="inlineStr">
        <is>
          <t>MK-PL-F-075</t>
        </is>
      </c>
      <c r="B363" s="3" t="inlineStr">
        <is>
          <t>pctOfSorted</t>
        </is>
      </c>
      <c r="C363" s="3" t="inlineStr">
        <is>
          <t>src/domain/retirement/index.ts</t>
        </is>
      </c>
      <c r="D363" s="3" t="n">
        <v>296</v>
      </c>
      <c r="E363" s="3" t="inlineStr">
        <is>
          <t>3 · DEPENDENT</t>
        </is>
      </c>
      <c r="F363" s="3" t="inlineStr">
        <is>
          <t>p in [0,1] over a pre-sorted ascending array (nearest-rank)</t>
        </is>
      </c>
      <c r="G363" s="6" t="inlineStr">
        <is>
          <t>0   when count of sorted is missing
idx = min(sorted.length − 1, max(0, round(p × (sorted.length − 1))))
the answer = sorted[idx]</t>
        </is>
      </c>
      <c r="H363" s="3" t="inlineStr">
        <is>
          <t>When how many sorted is missing there are, it answers 0. Idx: the smaller of sorted.length minus 1 and p times (sorted.length minus 1, to a whole number, never below zero). The answer is sorted[idx].</t>
        </is>
      </c>
      <c r="I363" s="3" t="inlineStr">
        <is>
          <t>READ FROM THE CODE — rendered from the expressions the function runs</t>
        </is>
      </c>
      <c r="J363" s="3" t="inlineStr">
        <is>
          <t>1. sorted: number[]
2. p: number</t>
        </is>
      </c>
      <c r="K363" s="3" t="inlineStr">
        <is>
          <t>number</t>
        </is>
      </c>
      <c r="L363" s="3" t="inlineStr">
        <is>
          <t>—</t>
        </is>
      </c>
      <c r="M363" s="3" t="inlineStr">
        <is>
          <t>· Rounds the answer to a whole number.</t>
        </is>
      </c>
      <c r="N363" s="3" t="inlineStr">
        <is>
          <t>Yes</t>
        </is>
      </c>
      <c r="O363" s="3" t="inlineStr">
        <is>
          <t>—</t>
        </is>
      </c>
      <c r="P363" s="3" t="n">
        <v>0</v>
      </c>
      <c r="Q363" s="3" t="inlineStr">
        <is>
          <t>None — no dependent function stands behind it</t>
        </is>
      </c>
      <c r="R363" s="3" t="inlineStr">
        <is>
          <t>No dependent function — it reads its inputs and answers</t>
        </is>
      </c>
      <c r="S363" s="3" t="inlineStr">
        <is>
          <t>—</t>
        </is>
      </c>
      <c r="T363" s="3" t="inlineStr">
        <is>
          <t>—</t>
        </is>
      </c>
      <c r="U363" s="3" t="inlineStr">
        <is>
          <t>ACTIVE</t>
        </is>
      </c>
      <c r="V363" s="3" t="inlineStr">
        <is>
          <t>2026-08-27</t>
        </is>
      </c>
    </row>
    <row r="364">
      <c r="A364" s="3" t="inlineStr">
        <is>
          <t>MK-PL-F-077</t>
        </is>
      </c>
      <c r="B364" s="3" t="inlineStr">
        <is>
          <t>clamp</t>
        </is>
      </c>
      <c r="C364" s="3" t="inlineStr">
        <is>
          <t>src/domain/retirement/willItLast.ts</t>
        </is>
      </c>
      <c r="D364" s="3" t="n">
        <v>51</v>
      </c>
      <c r="E364" s="3" t="inlineStr">
        <is>
          <t>2 · DISPLAYED</t>
        </is>
      </c>
      <c r="F364" s="3" t="inlineStr">
        <is>
          <t>NOT DETERMINED — the code carries no note saying what this is for, and it has no row in the old inventory. Needs reading.</t>
        </is>
      </c>
      <c r="G364" s="6" t="inlineStr">
        <is>
          <t>max(lo, min(hi, v))</t>
        </is>
      </c>
      <c r="H364" s="3" t="inlineStr">
        <is>
          <t>the larger of lo and the smaller of hi and v</t>
        </is>
      </c>
      <c r="I364" s="3" t="inlineStr">
        <is>
          <t>READ FROM THE CODE — rendered from the expressions the function runs</t>
        </is>
      </c>
      <c r="J364" s="3" t="inlineStr">
        <is>
          <t>1. v: number
2. lo: number
3. hi: number</t>
        </is>
      </c>
      <c r="K364" s="3" t="inlineStr">
        <is>
          <t>NOT DECLARED — the code does not say what it gives back</t>
        </is>
      </c>
      <c r="L364" s="3" t="inlineStr">
        <is>
          <t>1. "Claim at age" — on the Retirement cockpit screen
2. "Save" — on the Retirement cockpit screen
3. "Test retiring earlier, saving more, market ups &amp; downs." — on the Retirement cockpit screen
4. "What counts toward retirement?" — on the Retirement cockpit screen</t>
        </is>
      </c>
      <c r="M364" s="3" t="inlineStr">
        <is>
          <t>None found in this function — anything it assumes comes from the functions it depends on.</t>
        </is>
      </c>
      <c r="N364" s="3" t="inlineStr">
        <is>
          <t>Yes</t>
        </is>
      </c>
      <c r="O364" s="3" t="inlineStr">
        <is>
          <t>MK-NW-F-035 blendedVolatility</t>
        </is>
      </c>
      <c r="P364" s="3" t="n">
        <v>12</v>
      </c>
      <c r="Q364" s="3" t="inlineStr">
        <is>
          <t>1. MK-NW-F-035 blendedVolatility
2. MK-NW-F-032 earmarkedAmount
3. MK-NW-F-031 primaryCarIdOf
4. MK-NW-F-030 earmarkDefault
5. MK-ST-F-055 round2
6. MK-NW-F-011 assetClassOf
7. MK-NW-F-013 realEstateUseOf
8. MK-NW-F-008 incomeBearingClassOf
9. MK-CF-F-155 cash
10. MK-ST-F-010 nameEvidence
11. MK-ST-F-056 has
12. MK-CF-F-132 map</t>
        </is>
      </c>
      <c r="R364" s="3" t="inlineStr">
        <is>
          <t>1. MK-NW-F-008 incomeBearingClassOf → MK-NW-F-011 assetClassOf → MK-NW-F-030 earmarkDefault → MK-NW-F-032 earmarkedAmount → MK-NW-F-035 blendedVolatility → MK-PL-F-077 clamp
2. MK-NW-F-013 realEstateUseOf → MK-NW-F-030 earmarkDefault → MK-NW-F-032 earmarkedAmount → MK-NW-F-035 blendedVolatility → MK-PL-F-077 clamp
3. MK-ST-F-055 round2 → MK-NW-F-032 earmarkedAmount → MK-NW-F-035 blendedVolatility → MK-PL-F-077 clamp
4. MK-CF-F-155 cash → MK-NW-F-008 incomeBearingClassOf → MK-NW-F-011 assetClassOf → MK-NW-F-031 primaryCarIdOf → MK-NW-F-035 blendedVolatility → MK-PL-F-077 clamp
5. MK-ST-F-010 nameEvidence → MK-NW-F-008 incomeBearingClassOf → MK-NW-F-011 assetClassOf → MK-NW-F-031 primaryCarIdOf → MK-NW-F-035 blendedVolatility → MK-PL-F-077 clamp</t>
        </is>
      </c>
      <c r="S364" s="3" t="inlineStr">
        <is>
          <t>—</t>
        </is>
      </c>
      <c r="T364" s="3" t="inlineStr">
        <is>
          <t>—</t>
        </is>
      </c>
      <c r="U364" s="3" t="inlineStr">
        <is>
          <t>ACTIVE</t>
        </is>
      </c>
      <c r="V364" s="3" t="inlineStr">
        <is>
          <t>2026-08-27</t>
        </is>
      </c>
    </row>
    <row r="365">
      <c r="A365" s="3" t="inlineStr">
        <is>
          <t>MK-PL-F-078</t>
        </is>
      </c>
      <c r="B365" s="3" t="inlineStr">
        <is>
          <t>rmdDivisorAtAge</t>
        </is>
      </c>
      <c r="C365" s="3" t="inlineStr">
        <is>
          <t>src/domain/decumulation/index.ts</t>
        </is>
      </c>
      <c r="D365" s="3" t="n">
        <v>260</v>
      </c>
      <c r="E365" s="3" t="inlineStr">
        <is>
          <t>2 · DISPLAYED</t>
        </is>
      </c>
      <c r="F365" s="3" t="inlineStr">
        <is>
          <t>NOT DETERMINED — the code carries no note saying what this is for, and it has no row in the old inventory. Needs reading.</t>
        </is>
      </c>
      <c r="G365" s="6" t="inlineStr">
        <is>
          <t>engine rmd divisor(age, now year − age)</t>
        </is>
      </c>
      <c r="H365" s="3" t="inlineStr">
        <is>
          <t>engine rmd divisor(age, now year minus age).</t>
        </is>
      </c>
      <c r="I365" s="3" t="inlineStr">
        <is>
          <t>READ FROM THE CODE — rendered from the expressions the function runs</t>
        </is>
      </c>
      <c r="J365" s="3" t="inlineStr">
        <is>
          <t>1. age: number
2. nowYear = new Date().getFullYear()</t>
        </is>
      </c>
      <c r="K365" s="3" t="inlineStr">
        <is>
          <t>number</t>
        </is>
      </c>
      <c r="L365" s="3" t="inlineStr">
        <is>
          <t>"Suggested withdrawal order" — on the Retirement cockpit screen</t>
        </is>
      </c>
      <c r="M365" s="3" t="inlineStr">
        <is>
          <t>· Uses today's date from the device clock, so the answer changes by itself overnight.</t>
        </is>
      </c>
      <c r="N365" s="3" t="inlineStr">
        <is>
          <t>Yes</t>
        </is>
      </c>
      <c r="O365" s="3" t="inlineStr">
        <is>
          <t>—</t>
        </is>
      </c>
      <c r="P365" s="3" t="n">
        <v>0</v>
      </c>
      <c r="Q365" s="3" t="inlineStr">
        <is>
          <t>None — no dependent function stands behind it</t>
        </is>
      </c>
      <c r="R365" s="3" t="inlineStr">
        <is>
          <t>No dependent function — it reads its inputs and answers</t>
        </is>
      </c>
      <c r="S365" s="3" t="inlineStr">
        <is>
          <t>—</t>
        </is>
      </c>
      <c r="T365" s="3" t="inlineStr">
        <is>
          <t>—</t>
        </is>
      </c>
      <c r="U365" s="3" t="inlineStr">
        <is>
          <t>ACTIVE</t>
        </is>
      </c>
      <c r="V365" s="3" t="inlineStr">
        <is>
          <t>2026-08-27</t>
        </is>
      </c>
    </row>
    <row r="366">
      <c r="A366" s="3" t="inlineStr">
        <is>
          <t>MK-PL-F-079</t>
        </is>
      </c>
      <c r="B366" s="3" t="inlineStr">
        <is>
          <t>numOrZero</t>
        </is>
      </c>
      <c r="C366" s="3" t="inlineStr">
        <is>
          <t>src/domain/retirement/willItLast.ts</t>
        </is>
      </c>
      <c r="D366" s="3" t="n">
        <v>31</v>
      </c>
      <c r="E366" s="3" t="inlineStr">
        <is>
          <t>3 · DEPENDENT</t>
        </is>
      </c>
      <c r="F366" s="3" t="inlineStr">
        <is>
          <t>NOT DETERMINED — the code carries no note saying what this is for, and it has no row in the old inventory. Needs reading.</t>
        </is>
      </c>
      <c r="G366" s="6" t="inlineStr">
        <is>
          <t>NOT READ YET — the body is not a shape this can render faithfully, so nothing is claimed rather than something being guessed. It needs reading by hand.</t>
        </is>
      </c>
      <c r="H366" s="3" t="inlineStr">
        <is>
          <t>NOT READ YET — the body is not a shape this can render faithfully, so nothing is claimed rather than something being guessed. It needs reading by hand.</t>
        </is>
      </c>
      <c r="I366" s="3" t="inlineStr">
        <is>
          <t>NOT READ — nothing is claimed rather than something guessed</t>
        </is>
      </c>
      <c r="J366" s="3" t="inlineStr">
        <is>
          <t>v: any</t>
        </is>
      </c>
      <c r="K366" s="3" t="inlineStr">
        <is>
          <t>n; };</t>
        </is>
      </c>
      <c r="L366" s="3" t="inlineStr">
        <is>
          <t>—</t>
        </is>
      </c>
      <c r="M366" s="3" t="inlineStr">
        <is>
          <t>None found in this function — anything it assumes comes from the functions it depends on.</t>
        </is>
      </c>
      <c r="N366" s="3" t="inlineStr">
        <is>
          <t>Yes</t>
        </is>
      </c>
      <c r="O366" s="3" t="inlineStr">
        <is>
          <t>—</t>
        </is>
      </c>
      <c r="P366" s="3" t="n">
        <v>0</v>
      </c>
      <c r="Q366" s="3" t="inlineStr">
        <is>
          <t>None — no dependent function stands behind it</t>
        </is>
      </c>
      <c r="R366" s="3" t="inlineStr">
        <is>
          <t>No dependent function — it reads its inputs and answers</t>
        </is>
      </c>
      <c r="S366" s="3" t="inlineStr">
        <is>
          <t>—</t>
        </is>
      </c>
      <c r="T366" s="3" t="inlineStr">
        <is>
          <t>—</t>
        </is>
      </c>
      <c r="U366" s="3" t="inlineStr">
        <is>
          <t>ACTIVE</t>
        </is>
      </c>
      <c r="V366" s="3" t="inlineStr">
        <is>
          <t>2026-08-27</t>
        </is>
      </c>
    </row>
    <row r="367">
      <c r="A367" s="3" t="inlineStr">
        <is>
          <t>MK-ST-F-001</t>
        </is>
      </c>
      <c r="B367" s="3" t="inlineStr">
        <is>
          <t>looksFixedIncome</t>
        </is>
      </c>
      <c r="C367" s="3" t="inlineStr">
        <is>
          <t>Calculation Module code/engines/classify.ts</t>
        </is>
      </c>
      <c r="D367" s="3" t="n">
        <v>263</v>
      </c>
      <c r="E367" s="3" t="inlineStr">
        <is>
          <t>3 · DEPENDENT (feeds an action only)</t>
        </is>
      </c>
      <c r="F367" s="3" t="inlineStr">
        <is>
          <t>Fixed income by its words.</t>
        </is>
      </c>
      <c r="G367" s="6"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367"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367" s="3" t="inlineStr">
        <is>
          <t>PARTLY READ — some of the code is still showing through; needs a hand pass</t>
        </is>
      </c>
      <c r="J367" s="3" t="inlineStr">
        <is>
          <t>text: string</t>
        </is>
      </c>
      <c r="K367" s="3" t="inlineStr">
        <is>
          <t>boolean</t>
        </is>
      </c>
      <c r="L367" s="3" t="inlineStr">
        <is>
          <t>—</t>
        </is>
      </c>
      <c r="M367" s="3" t="inlineStr">
        <is>
          <t>None found in this function — anything it assumes comes from the functions it depends on.</t>
        </is>
      </c>
      <c r="N367" s="3" t="inlineStr">
        <is>
          <t>No</t>
        </is>
      </c>
      <c r="O367" s="3" t="inlineStr">
        <is>
          <t>—</t>
        </is>
      </c>
      <c r="P367" s="3" t="n">
        <v>0</v>
      </c>
      <c r="Q367" s="3" t="inlineStr">
        <is>
          <t>None — no dependent function stands behind it</t>
        </is>
      </c>
      <c r="R367" s="3" t="inlineStr">
        <is>
          <t>No dependent function — it reads its inputs and answers</t>
        </is>
      </c>
      <c r="S367" s="3" t="inlineStr">
        <is>
          <t>—</t>
        </is>
      </c>
      <c r="T367" s="3" t="inlineStr">
        <is>
          <t>—</t>
        </is>
      </c>
      <c r="U367" s="3" t="inlineStr">
        <is>
          <t>ACTIVE</t>
        </is>
      </c>
      <c r="V367" s="3" t="inlineStr">
        <is>
          <t>2026-08-27</t>
        </is>
      </c>
    </row>
    <row r="368">
      <c r="A368" s="3" t="inlineStr">
        <is>
          <t>MK-ST-F-002</t>
        </is>
      </c>
      <c r="B368" s="3" t="inlineStr">
        <is>
          <t>monthWords</t>
        </is>
      </c>
      <c r="C368" s="3" t="inlineStr">
        <is>
          <t>Calculation Module code/engines/coverage.ts</t>
        </is>
      </c>
      <c r="D368" s="3" t="n">
        <v>55</v>
      </c>
      <c r="E368" s="3" t="inlineStr">
        <is>
          <t>3 · DEPENDENT</t>
        </is>
      </c>
      <c r="F368" s="3" t="inlineStr">
        <is>
          <t>"March 2022" — a month a person reads, not a date stamp.</t>
        </is>
      </c>
      <c r="G368" s="6" t="inlineStr">
        <is>
          <t>''   when iso is missing
`${MONTHS[m − 1]} ${y}`   if m
string(y)   otherwise</t>
        </is>
      </c>
      <c r="H368" s="3" t="inlineStr">
        <is>
          <t>When iso is missing, it answers ''. `${MONTHS[m minus 1]} ${y}` — when m; string(y) — otherwise.</t>
        </is>
      </c>
      <c r="I368" s="3" t="inlineStr">
        <is>
          <t>PARTLY READ — some of the code is still showing through; needs a hand pass</t>
        </is>
      </c>
      <c r="J368" s="3" t="inlineStr">
        <is>
          <t>iso: string | null</t>
        </is>
      </c>
      <c r="K368" s="3" t="inlineStr">
        <is>
          <t>string</t>
        </is>
      </c>
      <c r="L368" s="3" t="inlineStr">
        <is>
          <t>—</t>
        </is>
      </c>
      <c r="M368" s="3" t="inlineStr">
        <is>
          <t>None found in this function — anything it assumes comes from the functions it depends on.</t>
        </is>
      </c>
      <c r="N368" s="3" t="inlineStr">
        <is>
          <t>Yes</t>
        </is>
      </c>
      <c r="O368" s="3" t="inlineStr">
        <is>
          <t>MK-CF-F-132 map</t>
        </is>
      </c>
      <c r="P368" s="3" t="n">
        <v>1</v>
      </c>
      <c r="Q368" s="3" t="inlineStr">
        <is>
          <t>MK-CF-F-132 map</t>
        </is>
      </c>
      <c r="R368" s="3" t="inlineStr">
        <is>
          <t>MK-CF-F-132 map → MK-ST-F-002 monthWords</t>
        </is>
      </c>
      <c r="S368" s="3" t="inlineStr">
        <is>
          <t>—</t>
        </is>
      </c>
      <c r="T368" s="3" t="inlineStr">
        <is>
          <t>—</t>
        </is>
      </c>
      <c r="U368" s="3" t="inlineStr">
        <is>
          <t>ACTIVE</t>
        </is>
      </c>
      <c r="V368" s="3" t="inlineStr">
        <is>
          <t>2026-08-27</t>
        </is>
      </c>
    </row>
    <row r="369">
      <c r="A369" s="3" t="inlineStr">
        <is>
          <t>MK-ST-F-003</t>
        </is>
      </c>
      <c r="B369" s="3" t="inlineStr">
        <is>
          <t>dayWords</t>
        </is>
      </c>
      <c r="C369" s="3" t="inlineStr">
        <is>
          <t>Calculation Module code/engines/coverage.ts</t>
        </is>
      </c>
      <c r="D369" s="3" t="n">
        <v>82</v>
      </c>
      <c r="E369" s="3" t="inlineStr">
        <is>
          <t>3 · DEPENDENT</t>
        </is>
      </c>
      <c r="F369" s="3" t="inlineStr">
        <is>
          <t>"14 March 2022".</t>
        </is>
      </c>
      <c r="G369" s="6" t="inlineStr">
        <is>
          <t>''   when iso is missing
`${d} ${MONTHS[m − 1]} ${y}`   if m and d
month words(iso)   otherwise</t>
        </is>
      </c>
      <c r="H369" s="3" t="inlineStr">
        <is>
          <t>When iso is missing, it answers ''. `${d} ${MONTHS[m minus 1]} ${y}` — when m and d; month words(iso) — otherwise.</t>
        </is>
      </c>
      <c r="I369" s="3" t="inlineStr">
        <is>
          <t>PARTLY READ — some of the code is still showing through; needs a hand pass</t>
        </is>
      </c>
      <c r="J369" s="3" t="inlineStr">
        <is>
          <t>iso: string | null</t>
        </is>
      </c>
      <c r="K369" s="3" t="inlineStr">
        <is>
          <t>string</t>
        </is>
      </c>
      <c r="L369" s="3" t="inlineStr">
        <is>
          <t>—</t>
        </is>
      </c>
      <c r="M369" s="3" t="inlineStr">
        <is>
          <t>None found in this function — anything it assumes comes from the functions it depends on.</t>
        </is>
      </c>
      <c r="N369" s="3" t="inlineStr">
        <is>
          <t>Yes</t>
        </is>
      </c>
      <c r="O369" s="3" t="inlineStr">
        <is>
          <t>1. MK-CF-F-132 map
2. MK-ST-F-002 monthWords</t>
        </is>
      </c>
      <c r="P369" s="3" t="n">
        <v>2</v>
      </c>
      <c r="Q369" s="3" t="inlineStr">
        <is>
          <t>1. MK-CF-F-132 map
2. MK-ST-F-002 monthWords</t>
        </is>
      </c>
      <c r="R369" s="3" t="inlineStr">
        <is>
          <t>1. MK-CF-F-132 map → MK-ST-F-003 dayWords
2. MK-CF-F-132 map → MK-ST-F-002 monthWords → MK-ST-F-003 dayWords</t>
        </is>
      </c>
      <c r="S369" s="3" t="inlineStr">
        <is>
          <t>—</t>
        </is>
      </c>
      <c r="T369" s="3" t="inlineStr">
        <is>
          <t>—</t>
        </is>
      </c>
      <c r="U369" s="3" t="inlineStr">
        <is>
          <t>ACTIVE</t>
        </is>
      </c>
      <c r="V369" s="3" t="inlineStr">
        <is>
          <t>2026-08-27</t>
        </is>
      </c>
    </row>
    <row r="370">
      <c r="A370" s="3" t="inlineStr">
        <is>
          <t>MK-ST-F-004</t>
        </is>
      </c>
      <c r="B370" s="3" t="inlineStr">
        <is>
          <t>coverageFor</t>
        </is>
      </c>
      <c r="C370" s="3" t="inlineStr">
        <is>
          <t>Calculation Module code/engines/coverage.ts</t>
        </is>
      </c>
      <c r="D370" s="3" t="n">
        <v>119</v>
      </c>
      <c r="E370" s="3" t="inlineStr">
        <is>
          <t>2 · DISPLAYED</t>
        </is>
      </c>
      <c r="F370" s="3" t="inlineStr">
        <is>
          <t>What can we honestly say about a window starting on `from`?</t>
        </is>
      </c>
      <c r="G370" s="6"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370"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370" s="3" t="inlineStr">
        <is>
          <t>PARTLY READ — some of the code is still showing through; needs a hand pass</t>
        </is>
      </c>
      <c r="J370" s="3" t="inlineStr">
        <is>
          <t>1. days: Dated[]
2. from: string
3. today: string</t>
        </is>
      </c>
      <c r="K370" s="3" t="inlineStr">
        <is>
          <t>Coverage</t>
        </is>
      </c>
      <c r="L370" s="3" t="inlineStr">
        <is>
          <t>NOT FOUND — a screen calls it, but the words printed beside its answer could not be traced automatically. Needs reading.</t>
        </is>
      </c>
      <c r="M370" s="3" t="inlineStr">
        <is>
          <t>None found in this function — anything it assumes comes from the functions it depends on.</t>
        </is>
      </c>
      <c r="N370" s="3" t="inlineStr">
        <is>
          <t>Yes</t>
        </is>
      </c>
      <c r="O370" s="3" t="inlineStr">
        <is>
          <t>1. MK-ST-F-003 dayWords
2. MK-ST-F-034 firstDate
3. MK-ST-F-002 monthWords</t>
        </is>
      </c>
      <c r="P370" s="3" t="n">
        <v>4</v>
      </c>
      <c r="Q370" s="3" t="inlineStr">
        <is>
          <t>1. MK-ST-F-003 dayWords
2. MK-ST-F-034 firstDate
3. MK-ST-F-002 monthWords
4. MK-CF-F-132 map</t>
        </is>
      </c>
      <c r="R370" s="3" t="inlineStr">
        <is>
          <t>1. MK-CF-F-132 map → MK-ST-F-003 dayWords → MK-ST-F-004 coverageFor
2. MK-CF-F-132 map → MK-ST-F-002 monthWords → MK-ST-F-003 dayWords → MK-ST-F-004 coverageFor
3. MK-ST-F-034 firstDate → MK-ST-F-004 coverageFor
4. MK-CF-F-132 map → MK-ST-F-002 monthWords → MK-ST-F-004 coverageFor</t>
        </is>
      </c>
      <c r="S370" s="3" t="inlineStr">
        <is>
          <t>—</t>
        </is>
      </c>
      <c r="T370" s="3" t="inlineStr">
        <is>
          <t>—</t>
        </is>
      </c>
      <c r="U370" s="3" t="inlineStr">
        <is>
          <t>ACTIVE</t>
        </is>
      </c>
      <c r="V370" s="3" t="inlineStr">
        <is>
          <t>2026-08-27</t>
        </is>
      </c>
    </row>
    <row r="371">
      <c r="A371" s="3" t="inlineStr">
        <is>
          <t>MK-ST-F-005</t>
        </is>
      </c>
      <c r="B371" s="3" t="inlineStr">
        <is>
          <t>measuredFromLabel</t>
        </is>
      </c>
      <c r="C371" s="3" t="inlineStr">
        <is>
          <t>Calculation Module code/engines/coverage.ts</t>
        </is>
      </c>
      <c r="D371" s="3" t="n">
        <v>168</v>
      </c>
      <c r="E371" s="3" t="inlineStr">
        <is>
          <t>2 · DISPLAYED</t>
        </is>
      </c>
      <c r="F371" s="3" t="inlineStr">
        <is>
          <t>The short label that rides beside a change figure, always — whether the window is covered or not.</t>
        </is>
      </c>
      <c r="G371" s="6" t="inlineStr">
        <is>
          <t>start = first date(days)
''   when start is missing
actual = start   if start &gt; from
from   otherwise
the answer = `since ${day words(actual)}`</t>
        </is>
      </c>
      <c r="H371" s="3" t="inlineStr">
        <is>
          <t>Start is first date(days). When start is missing, it answers ''. Actual is start — when start &gt; from; from — otherwise. The answer is `since ${day words(actual)}`.</t>
        </is>
      </c>
      <c r="I371" s="3" t="inlineStr">
        <is>
          <t>PARTLY READ — some of the code is still showing through; needs a hand pass</t>
        </is>
      </c>
      <c r="J371" s="3" t="inlineStr">
        <is>
          <t>1. days: Dated[]
2. from: string</t>
        </is>
      </c>
      <c r="K371" s="3" t="inlineStr">
        <is>
          <t>string</t>
        </is>
      </c>
      <c r="L371" s="3" t="inlineStr">
        <is>
          <t>NOT FOUND — a screen calls it, but the words printed beside its answer could not be traced automatically. Needs reading.</t>
        </is>
      </c>
      <c r="M371" s="3" t="inlineStr">
        <is>
          <t>None found in this function — anything it assumes comes from the functions it depends on.</t>
        </is>
      </c>
      <c r="N371" s="3" t="inlineStr">
        <is>
          <t>Yes</t>
        </is>
      </c>
      <c r="O371" s="3" t="inlineStr">
        <is>
          <t>1. MK-ST-F-003 dayWords
2. MK-ST-F-034 firstDate</t>
        </is>
      </c>
      <c r="P371" s="3" t="n">
        <v>4</v>
      </c>
      <c r="Q371" s="3" t="inlineStr">
        <is>
          <t>1. MK-ST-F-003 dayWords
2. MK-ST-F-034 firstDate
3. MK-CF-F-132 map
4. MK-ST-F-002 monthWords</t>
        </is>
      </c>
      <c r="R371" s="3" t="inlineStr">
        <is>
          <t>1. MK-CF-F-132 map → MK-ST-F-003 dayWords → MK-ST-F-005 measuredFromLabel
2. MK-CF-F-132 map → MK-ST-F-002 monthWords → MK-ST-F-003 dayWords → MK-ST-F-005 measuredFromLabel
3. MK-ST-F-034 firstDate → MK-ST-F-005 measuredFromLabel</t>
        </is>
      </c>
      <c r="S371" s="3" t="inlineStr">
        <is>
          <t>—</t>
        </is>
      </c>
      <c r="T371" s="3" t="inlineStr">
        <is>
          <t>—</t>
        </is>
      </c>
      <c r="U371" s="3" t="inlineStr">
        <is>
          <t>ACTIVE</t>
        </is>
      </c>
      <c r="V371" s="3" t="inlineStr">
        <is>
          <t>2026-08-27</t>
        </is>
      </c>
    </row>
    <row r="372">
      <c r="A372" s="3" t="inlineStr">
        <is>
          <t>MK-ST-F-006</t>
        </is>
      </c>
      <c r="B372" s="3" t="inlineStr">
        <is>
          <t>canAnswer</t>
        </is>
      </c>
      <c r="C372" s="3" t="inlineStr">
        <is>
          <t>Calculation Module code/engines/coverage.ts</t>
        </is>
      </c>
      <c r="D372" s="3" t="n">
        <v>192</v>
      </c>
      <c r="E372" s="3" t="inlineStr">
        <is>
          <t>3 · DEPENDENT (feeds an action only)</t>
        </is>
      </c>
      <c r="F372" s="3" t="inlineStr">
        <is>
          <t>Is there any record at all on or before this date?</t>
        </is>
      </c>
      <c r="G372" s="6" t="inlineStr">
        <is>
          <t>on or before(days, from) ≠ nothing</t>
        </is>
      </c>
      <c r="H372" s="3" t="inlineStr">
        <is>
          <t>on or before(days, from) is not no answer.</t>
        </is>
      </c>
      <c r="I372" s="3" t="inlineStr">
        <is>
          <t>READ FROM THE CODE — rendered from the expressions the function runs</t>
        </is>
      </c>
      <c r="J372" s="3" t="inlineStr">
        <is>
          <t>1. days: Dated[]
2. from: string</t>
        </is>
      </c>
      <c r="K372" s="3" t="inlineStr">
        <is>
          <t>boolean</t>
        </is>
      </c>
      <c r="L372" s="3" t="inlineStr">
        <is>
          <t>—</t>
        </is>
      </c>
      <c r="M372" s="3" t="inlineStr">
        <is>
          <t>None found in this function — anything it assumes comes from the functions it depends on.</t>
        </is>
      </c>
      <c r="N372" s="3" t="inlineStr">
        <is>
          <t>No</t>
        </is>
      </c>
      <c r="O372" s="3" t="inlineStr">
        <is>
          <t>MK-ST-F-033 onOrBefore</t>
        </is>
      </c>
      <c r="P372" s="3" t="n">
        <v>1</v>
      </c>
      <c r="Q372" s="3" t="inlineStr">
        <is>
          <t>MK-ST-F-033 onOrBefore</t>
        </is>
      </c>
      <c r="R372" s="3" t="inlineStr">
        <is>
          <t>MK-ST-F-033 onOrBefore → MK-ST-F-006 canAnswer</t>
        </is>
      </c>
      <c r="S372" s="3" t="inlineStr">
        <is>
          <t>—</t>
        </is>
      </c>
      <c r="T372" s="3" t="inlineStr">
        <is>
          <t>—</t>
        </is>
      </c>
      <c r="U372" s="3" t="inlineStr">
        <is>
          <t>ACTIVE</t>
        </is>
      </c>
      <c r="V372" s="3" t="inlineStr">
        <is>
          <t>2026-08-27</t>
        </is>
      </c>
    </row>
    <row r="373">
      <c r="A373" s="3" t="inlineStr">
        <is>
          <t>MK-ST-F-007</t>
        </is>
      </c>
      <c r="B373" s="3" t="inlineStr">
        <is>
          <t>classifyEvent</t>
        </is>
      </c>
      <c r="C373" s="3" t="inlineStr">
        <is>
          <t>Calculation Module code/engines/events.ts</t>
        </is>
      </c>
      <c r="D373" s="3" t="n">
        <v>206</v>
      </c>
      <c r="E373" s="3" t="inlineStr">
        <is>
          <t>3 · DEPENDENT (feeds an action only)</t>
        </is>
      </c>
      <c r="F373" s="3" t="inlineStr">
        <is>
          <t>Classify one institution word.</t>
        </is>
      </c>
      <c r="G373" s="6" t="inlineStr">
        <is>
          <t>w = string(word ?? '').trim()
event = 'UNKNOWN'
rule = EVENTS.UNKNOWN
word = ''
recognised = false   when w is missing
the answer:
event = event
rule = EVENTS[event]
word = w
matched by = source
recognised = true</t>
        </is>
      </c>
      <c r="H373" s="3" t="inlineStr">
        <is>
          <t>W is string(word ?? '').trim(). When w is missing, it answers event = 'UNKNOWN'; rule = EVENTS.UNKNOWN; word = ''; recognised = false. The answer is event = event; rule = EVENTS[event]; word = w; matched by = source; recognised = true.</t>
        </is>
      </c>
      <c r="I373" s="3" t="inlineStr">
        <is>
          <t>PARTLY READ — some of the code is still showing through; needs a hand pass</t>
        </is>
      </c>
      <c r="J373" s="3" t="inlineStr">
        <is>
          <t>word: string | null | undefined</t>
        </is>
      </c>
      <c r="K373" s="3" t="inlineStr">
        <is>
          <t>Classified</t>
        </is>
      </c>
      <c r="L373" s="3" t="inlineStr">
        <is>
          <t>—</t>
        </is>
      </c>
      <c r="M373" s="3" t="inlineStr">
        <is>
          <t>None found in this function — anything it assumes comes from the functions it depends on.</t>
        </is>
      </c>
      <c r="N373" s="3" t="inlineStr">
        <is>
          <t>No</t>
        </is>
      </c>
      <c r="O373" s="3" t="inlineStr">
        <is>
          <t>—</t>
        </is>
      </c>
      <c r="P373" s="3" t="n">
        <v>0</v>
      </c>
      <c r="Q373" s="3" t="inlineStr">
        <is>
          <t>None — no dependent function stands behind it</t>
        </is>
      </c>
      <c r="R373" s="3" t="inlineStr">
        <is>
          <t>No dependent function — it reads its inputs and answers</t>
        </is>
      </c>
      <c r="S373" s="3" t="inlineStr">
        <is>
          <t>—</t>
        </is>
      </c>
      <c r="T373" s="3" t="inlineStr">
        <is>
          <t>—</t>
        </is>
      </c>
      <c r="U373" s="3" t="inlineStr">
        <is>
          <t>ACTIVE</t>
        </is>
      </c>
      <c r="V373" s="3" t="inlineStr">
        <is>
          <t>2026-08-27</t>
        </is>
      </c>
    </row>
    <row r="374">
      <c r="A374" s="3" t="inlineStr">
        <is>
          <t>MK-ST-F-008</t>
        </is>
      </c>
      <c r="B374" s="3" t="inlineStr">
        <is>
          <t>touches</t>
        </is>
      </c>
      <c r="C374" s="3" t="inlineStr">
        <is>
          <t>Calculation Module code/engines/events.ts</t>
        </is>
      </c>
      <c r="D374" s="3" t="n">
        <v>234</v>
      </c>
      <c r="E374" s="3" t="inlineStr">
        <is>
          <t>3 · DEPENDENT (feeds an action only)</t>
        </is>
      </c>
      <c r="F374" s="3" t="inlineStr">
        <is>
          <t>Does this event add to that total?</t>
        </is>
      </c>
      <c r="G374" s="6" t="inlineStr">
        <is>
          <t>EVENTS[e].totals.includes(total)</t>
        </is>
      </c>
      <c r="H374" s="3" t="inlineStr">
        <is>
          <t>EVENTS[e].totals.includes(total).</t>
        </is>
      </c>
      <c r="I374" s="3" t="inlineStr">
        <is>
          <t>PARTLY READ — some of the code is still showing through; needs a hand pass</t>
        </is>
      </c>
      <c r="J374" s="3" t="inlineStr">
        <is>
          <t>1. e: CanonicalEvent
2. total: 'contributions' | 'withdrawals' | 'income' | 'costs' | 'units' | 'costBasis' | 'realisedGain'</t>
        </is>
      </c>
      <c r="K374" s="3" t="inlineStr">
        <is>
          <t>boolean</t>
        </is>
      </c>
      <c r="L374" s="3" t="inlineStr">
        <is>
          <t>—</t>
        </is>
      </c>
      <c r="M374" s="3" t="inlineStr">
        <is>
          <t>None found in this function — anything it assumes comes from the functions it depends on.</t>
        </is>
      </c>
      <c r="N374" s="3" t="inlineStr">
        <is>
          <t>No</t>
        </is>
      </c>
      <c r="O374" s="3" t="inlineStr">
        <is>
          <t>—</t>
        </is>
      </c>
      <c r="P374" s="3" t="n">
        <v>0</v>
      </c>
      <c r="Q374" s="3" t="inlineStr">
        <is>
          <t>None — no dependent function stands behind it</t>
        </is>
      </c>
      <c r="R374" s="3" t="inlineStr">
        <is>
          <t>No dependent function — it reads its inputs and answers</t>
        </is>
      </c>
      <c r="S374" s="3" t="inlineStr">
        <is>
          <t>—</t>
        </is>
      </c>
      <c r="T374" s="3" t="inlineStr">
        <is>
          <t>—</t>
        </is>
      </c>
      <c r="U374" s="3" t="inlineStr">
        <is>
          <t>ACTIVE</t>
        </is>
      </c>
      <c r="V374" s="3" t="inlineStr">
        <is>
          <t>2026-08-27</t>
        </is>
      </c>
    </row>
    <row r="375">
      <c r="A375" s="3" t="inlineStr">
        <is>
          <t>MK-ST-F-009</t>
        </is>
      </c>
      <c r="B375" s="3" t="inlineStr">
        <is>
          <t>directionOf</t>
        </is>
      </c>
      <c r="C375" s="3" t="inlineStr">
        <is>
          <t>Calculation Module code/engines/events.ts</t>
        </is>
      </c>
      <c r="D375" s="3" t="n">
        <v>254</v>
      </c>
      <c r="E375" s="3" t="inlineStr">
        <is>
          <t>3 · DEPENDENT (feeds an action only)</t>
        </is>
      </c>
      <c r="F375" s="3" t="inlineStr">
        <is>
          <t>The direction an event implies, where the event itself decides it.</t>
        </is>
      </c>
      <c r="G375" s="6" t="inlineStr">
        <is>
          <t>EVENTS[e].direction (or 'NONE' when missing)</t>
        </is>
      </c>
      <c r="H375" s="3" t="inlineStr">
        <is>
          <t>EVENTS[e].direction (or 'NONE' — when missing).</t>
        </is>
      </c>
      <c r="I375" s="3" t="inlineStr">
        <is>
          <t>PARTLY READ — some of the code is still showing through; needs a hand pass</t>
        </is>
      </c>
      <c r="J375" s="3" t="inlineStr">
        <is>
          <t>e: CanonicalEvent</t>
        </is>
      </c>
      <c r="K375" s="3" t="inlineStr">
        <is>
          <t>Money['direction']</t>
        </is>
      </c>
      <c r="L375" s="3" t="inlineStr">
        <is>
          <t>—</t>
        </is>
      </c>
      <c r="M375" s="3" t="inlineStr">
        <is>
          <t>None found in this function — anything it assumes comes from the functions it depends on.</t>
        </is>
      </c>
      <c r="N375" s="3" t="inlineStr">
        <is>
          <t>No</t>
        </is>
      </c>
      <c r="O375" s="3" t="inlineStr">
        <is>
          <t>—</t>
        </is>
      </c>
      <c r="P375" s="3" t="n">
        <v>0</v>
      </c>
      <c r="Q375" s="3" t="inlineStr">
        <is>
          <t>None — no dependent function stands behind it</t>
        </is>
      </c>
      <c r="R375" s="3" t="inlineStr">
        <is>
          <t>No dependent function — it reads its inputs and answers</t>
        </is>
      </c>
      <c r="S375" s="3" t="inlineStr">
        <is>
          <t>—</t>
        </is>
      </c>
      <c r="T375" s="3" t="inlineStr">
        <is>
          <t>—</t>
        </is>
      </c>
      <c r="U375" s="3" t="inlineStr">
        <is>
          <t>ACTIVE</t>
        </is>
      </c>
      <c r="V375" s="3" t="inlineStr">
        <is>
          <t>2026-08-27</t>
        </is>
      </c>
    </row>
    <row r="376">
      <c r="A376" s="3" t="inlineStr">
        <is>
          <t>MK-ST-F-010</t>
        </is>
      </c>
      <c r="B376" s="3" t="inlineStr">
        <is>
          <t>nameEvidence</t>
        </is>
      </c>
      <c r="C376" s="3" t="inlineStr">
        <is>
          <t>Calculation Module code/engines/holding-class.ts</t>
        </is>
      </c>
      <c r="D376" s="3" t="n">
        <v>91</v>
      </c>
      <c r="E376" s="3" t="inlineStr">
        <is>
          <t>3 · DEPENDENT</t>
        </is>
      </c>
      <c r="F376" s="3" t="inlineStr">
        <is>
          <t>What the NAME (symbol + description together) says, or null when it says nothing.</t>
        </is>
      </c>
      <c r="G376" s="6" t="inlineStr">
        <is>
          <t>t = string(label ?? '').trim()
nothing   when t is missing
words = for each of split( ÷ [\s·—-]+ ÷ ): to upper case()
'cash'   when SWEEP_RE.test(t)
'stocks_etf'   when MONEY_MARKET_RE.test(t) (or words.some((w) =&gt; MONEY_MARKET_TICKERS.has(w)) when missing or zero)
'bonds'   when words.some((w) =&gt; TBILL_ETF_TICKERS.has(w))
'alternatives'   when OCC_OPTION.test(replace( ÷ \s+ ÷ g, '').to upper case())
'alternatives'   when DATE_STYLE_OPTION.test(t) (or ÷ \b(put|call)s?\b ÷ test(t) when missing or zero)
'alternatives'   when words.some((w) =&gt; CRYPTO_TICKERS.has(w)) (or ÷ \b(bitcoin|ethereum|crypto(currenc(y|ies))?)\b ÷ test(t) when missing or zero)
'alternatives'   when words.some((w) =&gt; COMMODITY_TICKERS.has(w))
'alternatives'   when ÷ \b(gold|silver|platinum|palladium|commodit(y|ies))\b ÷ test(t) and !COMPANY_WORDS.test(t)
… the first steps only — the rest of the body needs reading by hand.</t>
        </is>
      </c>
      <c r="H376" s="3" t="inlineStr">
        <is>
          <t>T is string(label ?? '').trim(). When t is missing, it answers no answer. Words is for each of split( divided by [\s·—-]+ divided by ): to upper case(). When SWEEP_RE.test(t), it answers 'cash'. When MONEY_MARKET_RE.test(t) (or words.some((w) =&gt; MONEY_MARKET_TICKERS.has(w)) — when missing or zero), it answers 'stocks_etf'. When words.some((w) =&gt; TBILL_ETF_TICKERS.has(w)), it answers 'bonds'. When OCC_OPTION.test(replace( divided by \s+ divided by g, '').to upper case()), it answers 'alternatives'. When DATE_STYLE_OPTION.test(t) (or divided by \b(put|call)s?\b divided by test(t) — when missing or zero), it answers 'alternatives'. When words.some((w) =&gt; CRYPTO_TICKERS.has(w)) (or divided by \b(bitcoin|ethereum|crypto(currenc(y|ies))?)\b divided by test(t) — when missing or zero), it answers 'alternatives'. When words.some((w) =&gt; COMMODITY_TICKERS.has(w)), it answers 'alternatives'. When ÷ \b(gold|silver|platinum|palladium|commodit(y|ies))\b divided by test(t) and !COMPANY_WORDS.test(t), it answers 'alternatives'. Only the first steps are shown; the rest of the body needs reading by hand.</t>
        </is>
      </c>
      <c r="I376" s="3" t="inlineStr">
        <is>
          <t>PARTLY READ — some of the code is still showing through; needs a hand pass</t>
        </is>
      </c>
      <c r="J376" s="3" t="inlineStr">
        <is>
          <t>label?: string | null</t>
        </is>
      </c>
      <c r="K376" s="3" t="inlineStr">
        <is>
          <t>HoldingClass | null</t>
        </is>
      </c>
      <c r="L376" s="3" t="inlineStr">
        <is>
          <t>—</t>
        </is>
      </c>
      <c r="M376" s="3" t="inlineStr">
        <is>
          <t>None found in this function — anything it assumes comes from the functions it depends on.</t>
        </is>
      </c>
      <c r="N376" s="3" t="inlineStr">
        <is>
          <t>Yes</t>
        </is>
      </c>
      <c r="O376" s="3" t="inlineStr">
        <is>
          <t>1. MK-ST-F-056 has
2. MK-CF-F-132 map</t>
        </is>
      </c>
      <c r="P376" s="3" t="n">
        <v>2</v>
      </c>
      <c r="Q376" s="3" t="inlineStr">
        <is>
          <t>1. MK-ST-F-056 has
2. MK-CF-F-132 map</t>
        </is>
      </c>
      <c r="R376" s="3" t="inlineStr">
        <is>
          <t>1. MK-ST-F-056 has → MK-ST-F-010 nameEvidence
2. MK-CF-F-132 map → MK-ST-F-010 nameEvidence</t>
        </is>
      </c>
      <c r="S376" s="3" t="inlineStr">
        <is>
          <t>—</t>
        </is>
      </c>
      <c r="T376" s="3" t="inlineStr">
        <is>
          <t>—</t>
        </is>
      </c>
      <c r="U376" s="3" t="inlineStr">
        <is>
          <t>ACTIVE</t>
        </is>
      </c>
      <c r="V376" s="3" t="inlineStr">
        <is>
          <t>2026-08-27</t>
        </is>
      </c>
    </row>
    <row r="377">
      <c r="A377" s="3" t="inlineStr">
        <is>
          <t>MK-ST-F-011</t>
        </is>
      </c>
      <c r="B377" s="3" t="inlineStr">
        <is>
          <t>classifyHoldingClass</t>
        </is>
      </c>
      <c r="C377" s="3" t="inlineStr">
        <is>
          <t>Calculation Module code/engines/holding-class.ts</t>
        </is>
      </c>
      <c r="D377" s="3" t="n">
        <v>193</v>
      </c>
      <c r="E377" s="3" t="inlineStr">
        <is>
          <t>3 · DEPENDENT</t>
        </is>
      </c>
      <c r="F377" s="3" t="inlineStr">
        <is>
          <t>NOT DETERMINED — the code carries no note saying what this is for, and it has no row in the old inventory. Needs reading.</t>
        </is>
      </c>
      <c r="G377" s="6"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377"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377" s="3" t="inlineStr">
        <is>
          <t>PARTLY READ — some of the code is still showing through; needs a hand pass</t>
        </is>
      </c>
      <c r="J377" s="3" t="inlineStr">
        <is>
          <t>e: ClassEvidence</t>
        </is>
      </c>
      <c r="K377" s="3" t="inlineStr">
        <is>
          <t>ClassVerdict</t>
        </is>
      </c>
      <c r="L377" s="3" t="inlineStr">
        <is>
          <t>—</t>
        </is>
      </c>
      <c r="M377" s="3" t="inlineStr">
        <is>
          <t>None found in this function — anything it assumes comes from the functions it depends on.</t>
        </is>
      </c>
      <c r="N377" s="3" t="inlineStr">
        <is>
          <t>Yes</t>
        </is>
      </c>
      <c r="O377" s="3" t="inlineStr">
        <is>
          <t>MK-ST-F-010 nameEvidence</t>
        </is>
      </c>
      <c r="P377" s="3" t="n">
        <v>3</v>
      </c>
      <c r="Q377" s="3" t="inlineStr">
        <is>
          <t>1. MK-ST-F-010 nameEvidence
2. MK-ST-F-056 has
3. MK-CF-F-132 map</t>
        </is>
      </c>
      <c r="R377" s="3" t="inlineStr">
        <is>
          <t>1. MK-ST-F-056 has → MK-ST-F-010 nameEvidence → MK-ST-F-011 classifyHoldingClass
2. MK-CF-F-132 map → MK-ST-F-010 nameEvidence → MK-ST-F-011 classifyHoldingClass</t>
        </is>
      </c>
      <c r="S377" s="3" t="inlineStr">
        <is>
          <t>—</t>
        </is>
      </c>
      <c r="T377" s="3" t="inlineStr">
        <is>
          <t>—</t>
        </is>
      </c>
      <c r="U377" s="3" t="inlineStr">
        <is>
          <t>ACTIVE</t>
        </is>
      </c>
      <c r="V377" s="3" t="inlineStr">
        <is>
          <t>2026-08-27</t>
        </is>
      </c>
    </row>
    <row r="378">
      <c r="A378" s="3" t="inlineStr">
        <is>
          <t>MK-ST-F-012</t>
        </is>
      </c>
      <c r="B378" s="3" t="inlineStr">
        <is>
          <t>toLedgerRow</t>
        </is>
      </c>
      <c r="C378" s="3" t="inlineStr">
        <is>
          <t>Calculation Module code/engines/ledger.ts</t>
        </is>
      </c>
      <c r="D378" s="3" t="n">
        <v>134</v>
      </c>
      <c r="E378" s="3" t="inlineStr">
        <is>
          <t>3 · DEPENDENT (feeds an action only)</t>
        </is>
      </c>
      <c r="F378" s="3" t="inlineStr">
        <is>
          <t>Read one institution row into one ledger row.</t>
        </is>
      </c>
      <c r="G378" s="6" t="inlineStr">
        <is>
          <t>c = classify event(raw.word)
money = read money(raw.amount, convention, rule.direction)
units = number or undefined(raw.units)
legacy = TO_LEGACY[event]
is trade = legacy = 'BUY' (or legacy = 'SELL' when missing or zero)</t>
        </is>
      </c>
      <c r="H378" s="3" t="inlineStr">
        <is>
          <t>C is classify event(raw.word). Money is read money(raw.amount, convention, rule.direction). Units is number or undefined(raw.units). Legacy is TO_LEGACY[event]. Is trade is legacy = 'BUY' (or legacy = 'SELL' — when missing or zero).</t>
        </is>
      </c>
      <c r="I378" s="3" t="inlineStr">
        <is>
          <t>PARTLY READ — some of the code is still showing through; needs a hand pass</t>
        </is>
      </c>
      <c r="J378" s="3" t="inlineStr">
        <is>
          <t>1. raw: RawActivity
2. convention: SignConvention</t>
        </is>
      </c>
      <c r="K378" s="3" t="inlineStr">
        <is>
          <t>LedgerRow</t>
        </is>
      </c>
      <c r="L378" s="3" t="inlineStr">
        <is>
          <t>—</t>
        </is>
      </c>
      <c r="M378" s="3" t="inlineStr">
        <is>
          <t>· Leaves some rows out of the answer — check which.</t>
        </is>
      </c>
      <c r="N378" s="3" t="inlineStr">
        <is>
          <t>No</t>
        </is>
      </c>
      <c r="O378" s="3" t="inlineStr">
        <is>
          <t>1. MK-ST-F-007 classifyEvent
2. MK-ST-F-058 numberOrUndefined
3. MK-ST-F-018 readMoney
4. MK-ST-F-019 signed
5. MK-ST-F-021 toNumber</t>
        </is>
      </c>
      <c r="P378" s="3" t="n">
        <v>5</v>
      </c>
      <c r="Q378" s="3" t="inlineStr">
        <is>
          <t>1. MK-ST-F-007 classifyEvent
2. MK-ST-F-058 numberOrUndefined
3. MK-ST-F-018 readMoney
4. MK-ST-F-019 signed
5. MK-ST-F-021 toNumber</t>
        </is>
      </c>
      <c r="R378" s="3" t="inlineStr">
        <is>
          <t>1. MK-ST-F-007 classifyEvent → MK-ST-F-012 toLedgerRow
2. MK-ST-F-058 numberOrUndefined → MK-ST-F-012 toLedgerRow
3. MK-ST-F-018 readMoney → MK-ST-F-012 toLedgerRow
4. MK-ST-F-019 signed → MK-ST-F-012 toLedgerRow
5. MK-ST-F-021 toNumber → MK-ST-F-012 toLedgerRow</t>
        </is>
      </c>
      <c r="S378" s="3" t="inlineStr">
        <is>
          <t>—</t>
        </is>
      </c>
      <c r="T378" s="3" t="inlineStr">
        <is>
          <t>—</t>
        </is>
      </c>
      <c r="U378" s="3" t="inlineStr">
        <is>
          <t>ACTIVE</t>
        </is>
      </c>
      <c r="V378" s="3" t="inlineStr">
        <is>
          <t>2026-08-27</t>
        </is>
      </c>
    </row>
    <row r="379">
      <c r="A379" s="3" t="inlineStr">
        <is>
          <t>MK-ST-F-013</t>
        </is>
      </c>
      <c r="B379" s="3" t="inlineStr">
        <is>
          <t>personalFlowTotals</t>
        </is>
      </c>
      <c r="C379" s="3" t="inlineStr">
        <is>
          <t>Calculation Module code/engines/ledger.ts</t>
        </is>
      </c>
      <c r="D379" s="3" t="n">
        <v>224</v>
      </c>
      <c r="E379" s="3" t="inlineStr">
        <is>
          <t>2 · DISPLAYED</t>
        </is>
      </c>
      <c r="F379" s="3" t="inlineStr">
        <is>
          <t>NOT DETERMINED — the code carries no note saying what this is for, and it has no row in the old inventory. Needs reading.</t>
        </is>
      </c>
      <c r="G379" s="6" t="inlineStr">
        <is>
          <t>bucket = STORED_TYPE_BUCKET[string(type ?? '')] (or 'none' when missing)
d = dec.parse(amount)
the answer = t</t>
        </is>
      </c>
      <c r="H379" s="3" t="inlineStr">
        <is>
          <t>Bucket is STORED_TYPE_BUCKET[string(type ?? '')] (or 'none' — when missing). D is dec.parse(amount). The answer is t.</t>
        </is>
      </c>
      <c r="I379" s="3" t="inlineStr">
        <is>
          <t>PARTLY READ — some of the code is still showing through; needs a hand pass</t>
        </is>
      </c>
      <c r="J379" s="3" t="inlineStr">
        <is>
          <t>rows: StoredFlowRow[]</t>
        </is>
      </c>
      <c r="K379" s="3" t="inlineStr">
        <is>
          <t>PersonalFlowTotals</t>
        </is>
      </c>
      <c r="L379" s="3" t="inlineStr">
        <is>
          <t>NOT FOUND — a screen calls it, but the words printed beside its answer could not be traced automatically. Needs reading.</t>
        </is>
      </c>
      <c r="M379" s="3" t="inlineStr">
        <is>
          <t>None found in this function — anything it assumes comes from the functions it depends on.</t>
        </is>
      </c>
      <c r="N379" s="3" t="inlineStr">
        <is>
          <t>Yes</t>
        </is>
      </c>
      <c r="O379" s="3" t="inlineStr">
        <is>
          <t>—</t>
        </is>
      </c>
      <c r="P379" s="3" t="n">
        <v>0</v>
      </c>
      <c r="Q379" s="3" t="inlineStr">
        <is>
          <t>None — no dependent function stands behind it</t>
        </is>
      </c>
      <c r="R379" s="3" t="inlineStr">
        <is>
          <t>No dependent function — it reads its inputs and answers</t>
        </is>
      </c>
      <c r="S379" s="3" t="inlineStr">
        <is>
          <t>—</t>
        </is>
      </c>
      <c r="T379" s="3" t="inlineStr">
        <is>
          <t>—</t>
        </is>
      </c>
      <c r="U379" s="3" t="inlineStr">
        <is>
          <t>ACTIVE</t>
        </is>
      </c>
      <c r="V379" s="3" t="inlineStr">
        <is>
          <t>2026-08-27</t>
        </is>
      </c>
    </row>
    <row r="380">
      <c r="A380" s="3" t="inlineStr">
        <is>
          <t>MK-ST-F-014</t>
        </is>
      </c>
      <c r="B380" s="3" t="inlineStr">
        <is>
          <t>importKey</t>
        </is>
      </c>
      <c r="C380" s="3" t="inlineStr">
        <is>
          <t>Calculation Module code/engines/ledger.ts</t>
        </is>
      </c>
      <c r="D380" s="3" t="n">
        <v>276</v>
      </c>
      <c r="E380" s="3" t="inlineStr">
        <is>
          <t>3 · DEPENDENT (feeds an action only)</t>
        </is>
      </c>
      <c r="F380" s="3" t="inlineStr">
        <is>
          <t>NOT DETERMINED — the code carries no note saying what this is for, and it has no row in the old inventory. Needs reading.</t>
        </is>
      </c>
      <c r="G380" s="6" t="inlineStr">
        <is>
          <t>NOT READ YET — the body is not a shape this can render faithfully, so nothing is claimed rather than something being guessed. It needs reading by hand.</t>
        </is>
      </c>
      <c r="H380" s="3" t="inlineStr">
        <is>
          <t>NOT READ YET — the body is not a shape this can render faithfully, so nothing is claimed rather than something being guessed. It needs reading by hand.</t>
        </is>
      </c>
      <c r="I380" s="3" t="inlineStr">
        <is>
          <t>NOT READ — nothing is claimed rather than something guessed</t>
        </is>
      </c>
      <c r="J380" s="3" t="inlineStr">
        <is>
          <t>id: ImportIdentity</t>
        </is>
      </c>
      <c r="K380" s="3" t="inlineStr">
        <is>
          <t>string</t>
        </is>
      </c>
      <c r="L380" s="3" t="inlineStr">
        <is>
          <t>—</t>
        </is>
      </c>
      <c r="M380" s="3" t="inlineStr">
        <is>
          <t>None found in this function — anything it assumes comes from the functions it depends on.</t>
        </is>
      </c>
      <c r="N380" s="3" t="inlineStr">
        <is>
          <t>No</t>
        </is>
      </c>
      <c r="O380" s="3" t="inlineStr">
        <is>
          <t>—</t>
        </is>
      </c>
      <c r="P380" s="3" t="n">
        <v>0</v>
      </c>
      <c r="Q380" s="3" t="inlineStr">
        <is>
          <t>None — no dependent function stands behind it</t>
        </is>
      </c>
      <c r="R380" s="3" t="inlineStr">
        <is>
          <t>No dependent function — it reads its inputs and answers</t>
        </is>
      </c>
      <c r="S380" s="3" t="inlineStr">
        <is>
          <t>—</t>
        </is>
      </c>
      <c r="T380" s="3" t="inlineStr">
        <is>
          <t>—</t>
        </is>
      </c>
      <c r="U380" s="3" t="inlineStr">
        <is>
          <t>ACTIVE</t>
        </is>
      </c>
      <c r="V380" s="3" t="inlineStr">
        <is>
          <t>2026-08-27</t>
        </is>
      </c>
    </row>
    <row r="381">
      <c r="A381" s="3" t="inlineStr">
        <is>
          <t>MK-ST-F-015</t>
        </is>
      </c>
      <c r="B381" s="3" t="inlineStr">
        <is>
          <t>rowsFor</t>
        </is>
      </c>
      <c r="C381" s="3" t="inlineStr">
        <is>
          <t>Calculation Module code/engines/ledger.ts</t>
        </is>
      </c>
      <c r="D381" s="3" t="n">
        <v>310</v>
      </c>
      <c r="E381" s="3" t="inlineStr">
        <is>
          <t>3 · DEPENDENT (feeds an action only)</t>
        </is>
      </c>
      <c r="F381" s="3" t="inlineStr">
        <is>
          <t>NOT DETERMINED — the code carries no note saying what this is for, and it has no row in the old inventory. Needs reading.</t>
        </is>
      </c>
      <c r="G381" s="6" t="inlineStr">
        <is>
          <t>rows where EVENTS[event].totals.includes(total)</t>
        </is>
      </c>
      <c r="H381" s="3" t="inlineStr">
        <is>
          <t>rows where EVENTS[event].totals.includes(total).</t>
        </is>
      </c>
      <c r="I381" s="3" t="inlineStr">
        <is>
          <t>PARTLY READ — some of the code is still showing through; needs a hand pass</t>
        </is>
      </c>
      <c r="J381" s="3" t="inlineStr">
        <is>
          <t>Nothing is handed to it</t>
        </is>
      </c>
      <c r="K381" s="3" t="inlineStr">
        <is>
          <t>NOT DECLARED — the code does not say what it gives back</t>
        </is>
      </c>
      <c r="L381" s="3" t="inlineStr">
        <is>
          <t>—</t>
        </is>
      </c>
      <c r="M381" s="3" t="inlineStr">
        <is>
          <t>· Leaves some rows out of the answer — check which.</t>
        </is>
      </c>
      <c r="N381" s="3" t="inlineStr">
        <is>
          <t>No</t>
        </is>
      </c>
      <c r="O381" s="3" t="inlineStr">
        <is>
          <t>—</t>
        </is>
      </c>
      <c r="P381" s="3" t="n">
        <v>0</v>
      </c>
      <c r="Q381" s="3" t="inlineStr">
        <is>
          <t>None — no dependent function stands behind it</t>
        </is>
      </c>
      <c r="R381" s="3" t="inlineStr">
        <is>
          <t>No dependent function — it reads its inputs and answers</t>
        </is>
      </c>
      <c r="S381" s="3" t="inlineStr">
        <is>
          <t>—</t>
        </is>
      </c>
      <c r="T381" s="3" t="inlineStr">
        <is>
          <t>—</t>
        </is>
      </c>
      <c r="U381" s="3" t="inlineStr">
        <is>
          <t>ACTIVE</t>
        </is>
      </c>
      <c r="V381" s="3" t="inlineStr">
        <is>
          <t>2026-08-27</t>
        </is>
      </c>
    </row>
    <row r="382">
      <c r="A382" s="3" t="inlineStr">
        <is>
          <t>MK-ST-F-016</t>
        </is>
      </c>
      <c r="B382" s="3" t="inlineStr">
        <is>
          <t>totalOf</t>
        </is>
      </c>
      <c r="C382" s="3" t="inlineStr">
        <is>
          <t>Calculation Module code/engines/ledger.ts</t>
        </is>
      </c>
      <c r="D382" s="3" t="n">
        <v>334</v>
      </c>
      <c r="E382" s="3" t="inlineStr">
        <is>
          <t>3 · DEPENDENT (feeds an action only)</t>
        </is>
      </c>
      <c r="F382" s="3" t="inlineStr">
        <is>
          <t>A total, summed SIGNED and EXACT — a reversal reduces its total instead of inflating it.</t>
        </is>
      </c>
      <c r="G382" s="6" t="inlineStr">
        <is>
          <t>dec.sum(rows for(rows, total).map((r) =&gt; signed amount))</t>
        </is>
      </c>
      <c r="H382" s="3" t="inlineStr">
        <is>
          <t>dec.sum(rows for(rows, total).map((r) =&gt; signed amount)).</t>
        </is>
      </c>
      <c r="I382" s="3" t="inlineStr">
        <is>
          <t>PARTLY READ — some of the code is still showing through; needs a hand pass</t>
        </is>
      </c>
      <c r="J382" s="3" t="inlineStr">
        <is>
          <t>1. rows: LedgerRow[]
2. total: 'contributions' | 'withdrawals' | 'income' | 'costs'</t>
        </is>
      </c>
      <c r="K382" s="3" t="inlineStr">
        <is>
          <t>Dec</t>
        </is>
      </c>
      <c r="L382" s="3" t="inlineStr">
        <is>
          <t>—</t>
        </is>
      </c>
      <c r="M382" s="3" t="inlineStr">
        <is>
          <t>None found in this function — anything it assumes comes from the functions it depends on.</t>
        </is>
      </c>
      <c r="N382" s="3" t="inlineStr">
        <is>
          <t>No</t>
        </is>
      </c>
      <c r="O382" s="3" t="inlineStr">
        <is>
          <t>1. MK-CF-F-132 map
2. MK-ST-F-015 rowsFor</t>
        </is>
      </c>
      <c r="P382" s="3" t="n">
        <v>2</v>
      </c>
      <c r="Q382" s="3" t="inlineStr">
        <is>
          <t>1. MK-CF-F-132 map
2. MK-ST-F-015 rowsFor</t>
        </is>
      </c>
      <c r="R382" s="3" t="inlineStr">
        <is>
          <t>1. MK-CF-F-132 map → MK-ST-F-016 totalOf
2. MK-ST-F-015 rowsFor → MK-ST-F-016 totalOf</t>
        </is>
      </c>
      <c r="S382" s="3" t="inlineStr">
        <is>
          <t>—</t>
        </is>
      </c>
      <c r="T382" s="3" t="inlineStr">
        <is>
          <t>—</t>
        </is>
      </c>
      <c r="U382" s="3" t="inlineStr">
        <is>
          <t>ACTIVE</t>
        </is>
      </c>
      <c r="V382" s="3" t="inlineStr">
        <is>
          <t>2026-08-27</t>
        </is>
      </c>
    </row>
    <row r="383">
      <c r="A383" s="3" t="inlineStr">
        <is>
          <t>MK-ST-F-017</t>
        </is>
      </c>
      <c r="B383" s="3" t="inlineStr">
        <is>
          <t>unclassified</t>
        </is>
      </c>
      <c r="C383" s="3" t="inlineStr">
        <is>
          <t>Calculation Module code/engines/ledger.ts</t>
        </is>
      </c>
      <c r="D383" s="3" t="n">
        <v>357</v>
      </c>
      <c r="E383" s="3" t="inlineStr">
        <is>
          <t>3 · DEPENDENT (feeds an action only)</t>
        </is>
      </c>
      <c r="F383" s="3" t="inlineStr">
        <is>
          <t>Everything we could not name, for the honest line on screen: "12 entries we could not classify".</t>
        </is>
      </c>
      <c r="G383" s="6" t="inlineStr">
        <is>
          <t>rows where recognised is missing</t>
        </is>
      </c>
      <c r="H383" s="3" t="inlineStr">
        <is>
          <t>rows where recognised is missing.</t>
        </is>
      </c>
      <c r="I383" s="3" t="inlineStr">
        <is>
          <t>READ FROM THE CODE — rendered from the expressions the function runs</t>
        </is>
      </c>
      <c r="J383" s="3" t="inlineStr">
        <is>
          <t>rows: LedgerRow[]</t>
        </is>
      </c>
      <c r="K383" s="3" t="inlineStr">
        <is>
          <t>LedgerRow[]</t>
        </is>
      </c>
      <c r="L383" s="3" t="inlineStr">
        <is>
          <t>—</t>
        </is>
      </c>
      <c r="M383" s="3" t="inlineStr">
        <is>
          <t>· Leaves some rows out of the answer — check which.</t>
        </is>
      </c>
      <c r="N383" s="3" t="inlineStr">
        <is>
          <t>No</t>
        </is>
      </c>
      <c r="O383" s="3" t="inlineStr">
        <is>
          <t>—</t>
        </is>
      </c>
      <c r="P383" s="3" t="n">
        <v>0</v>
      </c>
      <c r="Q383" s="3" t="inlineStr">
        <is>
          <t>None — no dependent function stands behind it</t>
        </is>
      </c>
      <c r="R383" s="3" t="inlineStr">
        <is>
          <t>No dependent function — it reads its inputs and answers</t>
        </is>
      </c>
      <c r="S383" s="3" t="inlineStr">
        <is>
          <t>—</t>
        </is>
      </c>
      <c r="T383" s="3" t="inlineStr">
        <is>
          <t>—</t>
        </is>
      </c>
      <c r="U383" s="3" t="inlineStr">
        <is>
          <t>ACTIVE</t>
        </is>
      </c>
      <c r="V383" s="3" t="inlineStr">
        <is>
          <t>2026-08-27</t>
        </is>
      </c>
    </row>
    <row r="384">
      <c r="A384" s="3" t="inlineStr">
        <is>
          <t>MK-ST-F-018</t>
        </is>
      </c>
      <c r="B384" s="3" t="inlineStr">
        <is>
          <t>readMoney</t>
        </is>
      </c>
      <c r="C384" s="3" t="inlineStr">
        <is>
          <t>Calculation Module code/engines/money.ts</t>
        </is>
      </c>
      <c r="D384" s="3" t="n">
        <v>65</v>
      </c>
      <c r="E384" s="3" t="inlineStr">
        <is>
          <t>3 · DEPENDENT (feeds an action only)</t>
        </is>
      </c>
      <c r="F384" s="3" t="inlineStr">
        <is>
          <t>Read a raw amount into a Money, given how that source signs things.</t>
        </is>
      </c>
      <c r="G384" s="6"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384"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384" s="3" t="inlineStr">
        <is>
          <t>PARTLY READ — some of the code is still showing through; needs a hand pass</t>
        </is>
      </c>
      <c r="J384" s="3" t="inlineStr">
        <is>
          <t>Nothing is handed to it</t>
        </is>
      </c>
      <c r="K384" s="3" t="inlineStr">
        <is>
          <t>NOT DECLARED — the code does not say what it gives back</t>
        </is>
      </c>
      <c r="L384" s="3" t="inlineStr">
        <is>
          <t>—</t>
        </is>
      </c>
      <c r="M384" s="3" t="inlineStr">
        <is>
          <t>None found in this function — anything it assumes comes from the functions it depends on.</t>
        </is>
      </c>
      <c r="N384" s="3" t="inlineStr">
        <is>
          <t>No</t>
        </is>
      </c>
      <c r="O384" s="3" t="inlineStr">
        <is>
          <t>—</t>
        </is>
      </c>
      <c r="P384" s="3" t="n">
        <v>0</v>
      </c>
      <c r="Q384" s="3" t="inlineStr">
        <is>
          <t>None — no dependent function stands behind it</t>
        </is>
      </c>
      <c r="R384" s="3" t="inlineStr">
        <is>
          <t>No dependent function — it reads its inputs and answers</t>
        </is>
      </c>
      <c r="S384" s="3" t="inlineStr">
        <is>
          <t>—</t>
        </is>
      </c>
      <c r="T384" s="3" t="inlineStr">
        <is>
          <t>—</t>
        </is>
      </c>
      <c r="U384" s="3" t="inlineStr">
        <is>
          <t>ACTIVE</t>
        </is>
      </c>
      <c r="V384" s="3" t="inlineStr">
        <is>
          <t>2026-08-27</t>
        </is>
      </c>
    </row>
    <row r="385">
      <c r="A385" s="3" t="inlineStr">
        <is>
          <t>MK-ST-F-019</t>
        </is>
      </c>
      <c r="B385" s="3" t="inlineStr">
        <is>
          <t>signed</t>
        </is>
      </c>
      <c r="C385" s="3" t="inlineStr">
        <is>
          <t>Calculation Module code/engines/money.ts</t>
        </is>
      </c>
      <c r="D385" s="3" t="n">
        <v>107</v>
      </c>
      <c r="E385" s="3" t="inlineStr">
        <is>
          <t>3 · DEPENDENT (feeds an action only)</t>
        </is>
      </c>
      <c r="F385" s="3" t="inlineStr">
        <is>
          <t>The signed value, for arithmetic.</t>
        </is>
      </c>
      <c r="G385" s="6" t="inlineStr">
        <is>
          <t>amount.neg()   if direction = 'OUT'
amount   if direction = 'IN'
dec.ZERO   otherwise   otherwise</t>
        </is>
      </c>
      <c r="H385" s="3" t="inlineStr">
        <is>
          <t>amount.neg() — when direction = 'OUT'; amount — when direction = 'IN'; dec.ZERO — otherwise — otherwise.</t>
        </is>
      </c>
      <c r="I385" s="3" t="inlineStr">
        <is>
          <t>PARTLY READ — some of the code is still showing through; needs a hand pass</t>
        </is>
      </c>
      <c r="J385" s="3" t="inlineStr">
        <is>
          <t>m: Money</t>
        </is>
      </c>
      <c r="K385" s="3" t="inlineStr">
        <is>
          <t>Dec</t>
        </is>
      </c>
      <c r="L385" s="3" t="inlineStr">
        <is>
          <t>—</t>
        </is>
      </c>
      <c r="M385" s="3" t="inlineStr">
        <is>
          <t>None found in this function — anything it assumes comes from the functions it depends on.</t>
        </is>
      </c>
      <c r="N385" s="3" t="inlineStr">
        <is>
          <t>No</t>
        </is>
      </c>
      <c r="O385" s="3" t="inlineStr">
        <is>
          <t>—</t>
        </is>
      </c>
      <c r="P385" s="3" t="n">
        <v>0</v>
      </c>
      <c r="Q385" s="3" t="inlineStr">
        <is>
          <t>None — no dependent function stands behind it</t>
        </is>
      </c>
      <c r="R385" s="3" t="inlineStr">
        <is>
          <t>No dependent function — it reads its inputs and answers</t>
        </is>
      </c>
      <c r="S385" s="3" t="inlineStr">
        <is>
          <t>—</t>
        </is>
      </c>
      <c r="T385" s="3" t="inlineStr">
        <is>
          <t>—</t>
        </is>
      </c>
      <c r="U385" s="3" t="inlineStr">
        <is>
          <t>ACTIVE</t>
        </is>
      </c>
      <c r="V385" s="3" t="inlineStr">
        <is>
          <t>2026-08-27</t>
        </is>
      </c>
    </row>
    <row r="386">
      <c r="A386" s="3" t="inlineStr">
        <is>
          <t>MK-ST-F-020</t>
        </is>
      </c>
      <c r="B386" s="3" t="inlineStr">
        <is>
          <t>sumSigned</t>
        </is>
      </c>
      <c r="C386" s="3" t="inlineStr">
        <is>
          <t>Calculation Module code/engines/money.ts</t>
        </is>
      </c>
      <c r="D386" s="3" t="n">
        <v>128</v>
      </c>
      <c r="E386" s="3" t="inlineStr">
        <is>
          <t>3 · DEPENDENT (feeds an action only)</t>
        </is>
      </c>
      <c r="F386" s="3" t="inlineStr">
        <is>
          <t>Add money SIGNED and EXACTLY — a credit and its reversal cancel to true zero, so a reconciliation can assert equality rather than a tolerance.</t>
        </is>
      </c>
      <c r="G386" s="6" t="inlineStr">
        <is>
          <t>dec.sum(items.map(signed))</t>
        </is>
      </c>
      <c r="H386" s="3" t="inlineStr">
        <is>
          <t>dec.sum(items.map(signed)).</t>
        </is>
      </c>
      <c r="I386" s="3" t="inlineStr">
        <is>
          <t>PARTLY READ — some of the code is still showing through; needs a hand pass</t>
        </is>
      </c>
      <c r="J386" s="3" t="inlineStr">
        <is>
          <t>items: Money[]</t>
        </is>
      </c>
      <c r="K386" s="3" t="inlineStr">
        <is>
          <t>Dec</t>
        </is>
      </c>
      <c r="L386" s="3" t="inlineStr">
        <is>
          <t>—</t>
        </is>
      </c>
      <c r="M386" s="3" t="inlineStr">
        <is>
          <t>None found in this function — anything it assumes comes from the functions it depends on.</t>
        </is>
      </c>
      <c r="N386" s="3" t="inlineStr">
        <is>
          <t>No</t>
        </is>
      </c>
      <c r="O386" s="3" t="inlineStr">
        <is>
          <t>MK-CF-F-132 map</t>
        </is>
      </c>
      <c r="P386" s="3" t="n">
        <v>1</v>
      </c>
      <c r="Q386" s="3" t="inlineStr">
        <is>
          <t>MK-CF-F-132 map</t>
        </is>
      </c>
      <c r="R386" s="3" t="inlineStr">
        <is>
          <t>MK-CF-F-132 map → MK-ST-F-020 sumSigned</t>
        </is>
      </c>
      <c r="S386" s="3" t="inlineStr">
        <is>
          <t>—</t>
        </is>
      </c>
      <c r="T386" s="3" t="inlineStr">
        <is>
          <t>—</t>
        </is>
      </c>
      <c r="U386" s="3" t="inlineStr">
        <is>
          <t>ACTIVE</t>
        </is>
      </c>
      <c r="V386" s="3" t="inlineStr">
        <is>
          <t>2026-08-27</t>
        </is>
      </c>
    </row>
    <row r="387">
      <c r="A387" s="3" t="inlineStr">
        <is>
          <t>MK-ST-F-021</t>
        </is>
      </c>
      <c r="B387" s="3" t="inlineStr">
        <is>
          <t>toNumber</t>
        </is>
      </c>
      <c r="C387" s="3" t="inlineStr">
        <is>
          <t>Calculation Module code/engines/money.ts</t>
        </is>
      </c>
      <c r="D387" s="3" t="n">
        <v>168</v>
      </c>
      <c r="E387" s="3" t="inlineStr">
        <is>
          <t>2 · DISPLAYED</t>
        </is>
      </c>
      <c r="F387" s="3" t="inlineStr">
        <is>
          <t>Institution files write money as text: "$8,502.00 ", "($0.53)", "--", "1,234.56".</t>
        </is>
      </c>
      <c r="G387" s="6"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387"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387" s="3" t="inlineStr">
        <is>
          <t>PARTLY READ — some of the code is still showing through; needs a hand pass</t>
        </is>
      </c>
      <c r="J387" s="3" t="inlineStr">
        <is>
          <t>raw: number | string | null | undefined</t>
        </is>
      </c>
      <c r="K387" s="3" t="inlineStr">
        <is>
          <t>number | null</t>
        </is>
      </c>
      <c r="L387" s="3" t="inlineStr">
        <is>
          <t>1. "Income" — on the Account detail screen, under "THE HOLDINGS
2. $"</t>
        </is>
      </c>
      <c r="M387" s="3" t="inlineStr">
        <is>
          <t>None found in this function — anything it assumes comes from the functions it depends on.</t>
        </is>
      </c>
      <c r="N387" s="3" t="inlineStr">
        <is>
          <t>Yes</t>
        </is>
      </c>
      <c r="O387" s="3" t="inlineStr">
        <is>
          <t>—</t>
        </is>
      </c>
      <c r="P387" s="3" t="n">
        <v>0</v>
      </c>
      <c r="Q387" s="3" t="inlineStr">
        <is>
          <t>None — no dependent function stands behind it</t>
        </is>
      </c>
      <c r="R387" s="3" t="inlineStr">
        <is>
          <t>No dependent function — it reads its inputs and answers</t>
        </is>
      </c>
      <c r="S387" s="3" t="inlineStr">
        <is>
          <t>—</t>
        </is>
      </c>
      <c r="T387" s="3" t="inlineStr">
        <is>
          <t>—</t>
        </is>
      </c>
      <c r="U387" s="3" t="inlineStr">
        <is>
          <t>ACTIVE</t>
        </is>
      </c>
      <c r="V387" s="3" t="inlineStr">
        <is>
          <t>2026-08-27</t>
        </is>
      </c>
    </row>
    <row r="388">
      <c r="A388" s="3" t="inlineStr">
        <is>
          <t>MK-ST-F-022</t>
        </is>
      </c>
      <c r="B388" s="3" t="inlineStr">
        <is>
          <t>reconcileAccountTotal</t>
        </is>
      </c>
      <c r="C388" s="3" t="inlineStr">
        <is>
          <t>Calculation Module code/engines/reconcile.ts</t>
        </is>
      </c>
      <c r="D388" s="3" t="n">
        <v>78</v>
      </c>
      <c r="E388" s="3" t="inlineStr">
        <is>
          <t>3 · DEPENDENT (feeds an action only)</t>
        </is>
      </c>
      <c r="F388" s="3" t="inlineStr">
        <is>
          <t>ASSERTION 1 — holdings + cash = the broker's stated total.</t>
        </is>
      </c>
      <c r="G388" s="6" t="inlineStr">
        <is>
          <t>stated = dec.parse(stated total) (or dec.ZERO when missing)
the answer = verdict(parts, stated, 'what the account holds and the broker\'s own total')</t>
        </is>
      </c>
      <c r="H388" s="3" t="inlineStr">
        <is>
          <t>Stated is dec.parse(stated total) (or dec.ZERO — when missing). The answer is verdict(parts, stated, 'what the account holds and the broker\'s own total').</t>
        </is>
      </c>
      <c r="I388" s="3" t="inlineStr">
        <is>
          <t>PARTLY READ — some of the code is still showing through; needs a hand pass</t>
        </is>
      </c>
      <c r="J388" s="3" t="inlineStr">
        <is>
          <t>Nothing is handed to it</t>
        </is>
      </c>
      <c r="K388" s="3" t="inlineStr">
        <is>
          <t>NOT DECLARED — the code does not say what it gives back</t>
        </is>
      </c>
      <c r="L388" s="3" t="inlineStr">
        <is>
          <t>—</t>
        </is>
      </c>
      <c r="M388" s="3" t="inlineStr">
        <is>
          <t>None found in this function — anything it assumes comes from the functions it depends on.</t>
        </is>
      </c>
      <c r="N388" s="3" t="inlineStr">
        <is>
          <t>No</t>
        </is>
      </c>
      <c r="O388" s="3" t="inlineStr">
        <is>
          <t>1. MK-CF-F-132 map
2. MK-ST-F-060 verdict</t>
        </is>
      </c>
      <c r="P388" s="3" t="n">
        <v>2</v>
      </c>
      <c r="Q388" s="3" t="inlineStr">
        <is>
          <t>1. MK-CF-F-132 map
2. MK-ST-F-060 verdict</t>
        </is>
      </c>
      <c r="R388" s="3" t="inlineStr">
        <is>
          <t>1. MK-CF-F-132 map → MK-ST-F-022 reconcileAccountTotal
2. MK-ST-F-060 verdict → MK-ST-F-022 reconcileAccountTotal</t>
        </is>
      </c>
      <c r="S388" s="3" t="inlineStr">
        <is>
          <t>—</t>
        </is>
      </c>
      <c r="T388" s="3" t="inlineStr">
        <is>
          <t>—</t>
        </is>
      </c>
      <c r="U388" s="3" t="inlineStr">
        <is>
          <t>ACTIVE</t>
        </is>
      </c>
      <c r="V388" s="3" t="inlineStr">
        <is>
          <t>2026-08-27</t>
        </is>
      </c>
    </row>
    <row r="389">
      <c r="A389" s="3" t="inlineStr">
        <is>
          <t>MK-ST-F-023</t>
        </is>
      </c>
      <c r="B389" s="3" t="inlineStr">
        <is>
          <t>reconcileLedgerIdentity</t>
        </is>
      </c>
      <c r="C389" s="3" t="inlineStr">
        <is>
          <t>Calculation Module code/engines/reconcile.ts</t>
        </is>
      </c>
      <c r="D389" s="3" t="n">
        <v>106</v>
      </c>
      <c r="E389" s="3" t="inlineStr">
        <is>
          <t>3 · DEPENDENT (feeds an action only)</t>
        </is>
      </c>
      <c r="F389" s="3" t="inlineStr">
        <is>
          <t>ASSERTION 2 — the accounting identity every statement satisfies, exactly.</t>
        </is>
      </c>
      <c r="G389" s="6" t="inlineStr">
        <is>
          <t>d = (v: unknown) =&gt; dec.parse(v) (or dec.ZERO when missing)
the answer = verdict(computed, D(ending), 'the change walk and the ending value')</t>
        </is>
      </c>
      <c r="H389" s="3" t="inlineStr">
        <is>
          <t>D is (v: unknown) =&gt; dec.parse(v) (or dec.ZERO — when missing). The answer is verdict(computed, D(ending), 'the change walk and the ending value').</t>
        </is>
      </c>
      <c r="I389" s="3" t="inlineStr">
        <is>
          <t>PARTLY READ — some of the code is still showing through; needs a hand pass</t>
        </is>
      </c>
      <c r="J389" s="3" t="inlineStr">
        <is>
          <t>Nothing is handed to it</t>
        </is>
      </c>
      <c r="K389" s="3" t="inlineStr">
        <is>
          <t>NOT DECLARED — the code does not say what it gives back</t>
        </is>
      </c>
      <c r="L389" s="3" t="inlineStr">
        <is>
          <t>—</t>
        </is>
      </c>
      <c r="M389" s="3" t="inlineStr">
        <is>
          <t>None found in this function — anything it assumes comes from the functions it depends on.</t>
        </is>
      </c>
      <c r="N389" s="3" t="inlineStr">
        <is>
          <t>No</t>
        </is>
      </c>
      <c r="O389" s="3" t="inlineStr">
        <is>
          <t>MK-ST-F-060 verdict</t>
        </is>
      </c>
      <c r="P389" s="3" t="n">
        <v>1</v>
      </c>
      <c r="Q389" s="3" t="inlineStr">
        <is>
          <t>MK-ST-F-060 verdict</t>
        </is>
      </c>
      <c r="R389" s="3" t="inlineStr">
        <is>
          <t>MK-ST-F-060 verdict → MK-ST-F-023 reconcileLedgerIdentity</t>
        </is>
      </c>
      <c r="S389" s="3" t="inlineStr">
        <is>
          <t>—</t>
        </is>
      </c>
      <c r="T389" s="3" t="inlineStr">
        <is>
          <t>—</t>
        </is>
      </c>
      <c r="U389" s="3" t="inlineStr">
        <is>
          <t>ACTIVE</t>
        </is>
      </c>
      <c r="V389" s="3" t="inlineStr">
        <is>
          <t>2026-08-27</t>
        </is>
      </c>
    </row>
    <row r="390">
      <c r="A390" s="3" t="inlineStr">
        <is>
          <t>MK-ST-F-024</t>
        </is>
      </c>
      <c r="B390" s="3" t="inlineStr">
        <is>
          <t>rmdStartAge</t>
        </is>
      </c>
      <c r="C390" s="3" t="inlineStr">
        <is>
          <t>Calculation Module code/engines/rmd.ts</t>
        </is>
      </c>
      <c r="D390" s="3" t="n">
        <v>52</v>
      </c>
      <c r="E390" s="3" t="inlineStr">
        <is>
          <t>2 · DISPLAYED</t>
        </is>
      </c>
      <c r="F390" s="3" t="inlineStr">
        <is>
          <t>The age required withdrawals begin, by birth year.</t>
        </is>
      </c>
      <c r="G390" s="6" t="inlineStr">
        <is>
          <t>start age = 75   when born 1960 or later
            73   otherwise</t>
        </is>
      </c>
      <c r="H390" s="3" t="inlineStr">
        <is>
          <t>The age required withdrawals begin. Born 1960 or later, 75; everyone else, 73 — including birth years before 1951, whose real start age was 72 or 70 and a half. An unknown birth year silently answers 73 rather than refusing. Finding A36.</t>
        </is>
      </c>
      <c r="I390" s="3" t="inlineStr">
        <is>
          <t>READ BY HAND 2026-08-26 — checked line by line against the code</t>
        </is>
      </c>
      <c r="J390" s="3" t="inlineStr">
        <is>
          <t>birthYear?: number | null</t>
        </is>
      </c>
      <c r="K390" s="3" t="inlineStr">
        <is>
          <t>number</t>
        </is>
      </c>
      <c r="L390" s="3" t="inlineStr">
        <is>
          <t>1. "Everything taken out, as a share of your gross" — on the setup questions, which appear on more than one screen
2. "Operating expense / mo"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390" s="3" t="inlineStr">
        <is>
          <t>None found in this function — anything it assumes comes from the functions it depends on.</t>
        </is>
      </c>
      <c r="N390" s="3" t="inlineStr">
        <is>
          <t>Yes</t>
        </is>
      </c>
      <c r="O390" s="3" t="inlineStr">
        <is>
          <t>—</t>
        </is>
      </c>
      <c r="P390" s="3" t="n">
        <v>0</v>
      </c>
      <c r="Q390" s="3" t="inlineStr">
        <is>
          <t>None — no dependent function stands behind it</t>
        </is>
      </c>
      <c r="R390" s="3" t="inlineStr">
        <is>
          <t>No dependent function — it reads its inputs and answers</t>
        </is>
      </c>
      <c r="S390" s="3" t="inlineStr">
        <is>
          <t>—</t>
        </is>
      </c>
      <c r="T390" s="3" t="inlineStr">
        <is>
          <t>—</t>
        </is>
      </c>
      <c r="U390" s="3" t="inlineStr">
        <is>
          <t>ACTIVE</t>
        </is>
      </c>
      <c r="V390" s="3" t="inlineStr">
        <is>
          <t>2026-08-27</t>
        </is>
      </c>
    </row>
    <row r="391">
      <c r="A391" s="3" t="inlineStr">
        <is>
          <t>MK-ST-F-025</t>
        </is>
      </c>
      <c r="B391" s="3" t="inlineStr">
        <is>
          <t>rmdStartAgeFromAge</t>
        </is>
      </c>
      <c r="C391" s="3" t="inlineStr">
        <is>
          <t>Calculation Module code/engines/rmd.ts</t>
        </is>
      </c>
      <c r="D391" s="3" t="n">
        <v>87</v>
      </c>
      <c r="E391" s="3" t="inlineStr">
        <is>
          <t>3 · DEPENDENT</t>
        </is>
      </c>
      <c r="F391" s="3" t="inlineStr">
        <is>
          <t>The same rule when only an age is known (birth year ≈ this year − age; ±1 year of precision, which is what an age-only caller has).</t>
        </is>
      </c>
      <c r="G391" s="6" t="inlineStr">
        <is>
          <t>rmd start age(now year − age)</t>
        </is>
      </c>
      <c r="H391" s="3" t="inlineStr">
        <is>
          <t>rmd start age(now year minus age).</t>
        </is>
      </c>
      <c r="I391" s="3" t="inlineStr">
        <is>
          <t>READ FROM THE CODE — rendered from the expressions the function runs</t>
        </is>
      </c>
      <c r="J391" s="3" t="inlineStr">
        <is>
          <t>1. age: number
2. nowYear: number</t>
        </is>
      </c>
      <c r="K391" s="3" t="inlineStr">
        <is>
          <t>number</t>
        </is>
      </c>
      <c r="L391" s="3" t="inlineStr">
        <is>
          <t>—</t>
        </is>
      </c>
      <c r="M391" s="3" t="inlineStr">
        <is>
          <t>None found in this function — anything it assumes comes from the functions it depends on.</t>
        </is>
      </c>
      <c r="N391" s="3" t="inlineStr">
        <is>
          <t>Yes</t>
        </is>
      </c>
      <c r="O391" s="3" t="inlineStr">
        <is>
          <t>MK-ST-F-024 rmdStartAge</t>
        </is>
      </c>
      <c r="P391" s="3" t="n">
        <v>1</v>
      </c>
      <c r="Q391" s="3" t="inlineStr">
        <is>
          <t>MK-ST-F-024 rmdStartAge</t>
        </is>
      </c>
      <c r="R391" s="3" t="inlineStr">
        <is>
          <t>MK-ST-F-024 rmdStartAge → MK-ST-F-025 rmdStartAgeFromAge</t>
        </is>
      </c>
      <c r="S391" s="3" t="inlineStr">
        <is>
          <t>—</t>
        </is>
      </c>
      <c r="T391" s="3" t="inlineStr">
        <is>
          <t>—</t>
        </is>
      </c>
      <c r="U391" s="3" t="inlineStr">
        <is>
          <t>ACTIVE</t>
        </is>
      </c>
      <c r="V391" s="3" t="inlineStr">
        <is>
          <t>2026-08-27</t>
        </is>
      </c>
    </row>
    <row r="392">
      <c r="A392" s="3" t="inlineStr">
        <is>
          <t>MK-ST-F-026</t>
        </is>
      </c>
      <c r="B392" s="3" t="inlineStr">
        <is>
          <t>holdingId</t>
        </is>
      </c>
      <c r="C392" s="3" t="inlineStr">
        <is>
          <t>Calculation Module code/engines/snapshots.ts</t>
        </is>
      </c>
      <c r="D392" s="3" t="n">
        <v>81</v>
      </c>
      <c r="E392" s="3" t="inlineStr">
        <is>
          <t>1 · ACTION</t>
        </is>
      </c>
      <c r="F392" s="3" t="inlineStr">
        <is>
          <t>NOT DETERMINED — the code carries no note saying what this is for, and it has no row in the old inventory. Needs reading.</t>
        </is>
      </c>
      <c r="G392" s="6" t="inlineStr">
        <is>
          <t>NOT READ YET — the body is not a shape this can render faithfully, so nothing is claimed rather than something being guessed. It needs reading by hand.</t>
        </is>
      </c>
      <c r="H392" s="3" t="inlineStr">
        <is>
          <t>NOT READ YET — the body is not a shape this can render faithfully, so nothing is claimed rather than something being guessed. It needs reading by hand.</t>
        </is>
      </c>
      <c r="I392" s="3" t="inlineStr">
        <is>
          <t>NOT READ — nothing is claimed rather than something guessed</t>
        </is>
      </c>
      <c r="J392" s="3" t="inlineStr">
        <is>
          <t>s: Pick&lt;HoldingSnapshot, 'date' | 'accountId' | 'securityKey'&gt;</t>
        </is>
      </c>
      <c r="K392" s="3" t="inlineStr">
        <is>
          <t>string</t>
        </is>
      </c>
      <c r="L392" s="3" t="inlineStr">
        <is>
          <t>—</t>
        </is>
      </c>
      <c r="M392" s="3" t="inlineStr">
        <is>
          <t>None found in this function — anything it assumes comes from the functions it depends on.</t>
        </is>
      </c>
      <c r="N392" s="3" t="inlineStr">
        <is>
          <t>No</t>
        </is>
      </c>
      <c r="O392" s="3" t="inlineStr">
        <is>
          <t>—</t>
        </is>
      </c>
      <c r="P392" s="3" t="n">
        <v>0</v>
      </c>
      <c r="Q392" s="3" t="inlineStr">
        <is>
          <t>None — no dependent function stands behind it</t>
        </is>
      </c>
      <c r="R392" s="3" t="inlineStr">
        <is>
          <t>No dependent function — it reads its inputs and answers</t>
        </is>
      </c>
      <c r="S392" s="3" t="inlineStr">
        <is>
          <t>—</t>
        </is>
      </c>
      <c r="T392" s="3" t="inlineStr">
        <is>
          <t>—</t>
        </is>
      </c>
      <c r="U392" s="3" t="inlineStr">
        <is>
          <t>ACTIVE</t>
        </is>
      </c>
      <c r="V392" s="3" t="inlineStr">
        <is>
          <t>2026-08-27</t>
        </is>
      </c>
    </row>
    <row r="393">
      <c r="A393" s="3" t="inlineStr">
        <is>
          <t>MK-ST-F-027</t>
        </is>
      </c>
      <c r="B393" s="3" t="inlineStr">
        <is>
          <t>accountId</t>
        </is>
      </c>
      <c r="C393" s="3" t="inlineStr">
        <is>
          <t>Calculation Module code/engines/snapshots.ts</t>
        </is>
      </c>
      <c r="D393" s="3" t="n">
        <v>103</v>
      </c>
      <c r="E393" s="3" t="inlineStr">
        <is>
          <t>1 · ACTION</t>
        </is>
      </c>
      <c r="F393" s="3" t="inlineStr">
        <is>
          <t>NOT DETERMINED — the code carries no note saying what this is for, and it has no row in the old inventory. Needs reading.</t>
        </is>
      </c>
      <c r="G393" s="6" t="inlineStr">
        <is>
          <t>NOT READ YET — the body is not a shape this can render faithfully, so nothing is claimed rather than something being guessed. It needs reading by hand.</t>
        </is>
      </c>
      <c r="H393" s="3" t="inlineStr">
        <is>
          <t>NOT READ YET — the body is not a shape this can render faithfully, so nothing is claimed rather than something being guessed. It needs reading by hand.</t>
        </is>
      </c>
      <c r="I393" s="3" t="inlineStr">
        <is>
          <t>NOT READ — nothing is claimed rather than something guessed</t>
        </is>
      </c>
      <c r="J393" s="3" t="inlineStr">
        <is>
          <t>s: Pick&lt;AccountSnapshot, 'date' | 'accountId'&gt;</t>
        </is>
      </c>
      <c r="K393" s="3" t="inlineStr">
        <is>
          <t>string</t>
        </is>
      </c>
      <c r="L393" s="3" t="inlineStr">
        <is>
          <t>—</t>
        </is>
      </c>
      <c r="M393" s="3" t="inlineStr">
        <is>
          <t>None found in this function — anything it assumes comes from the functions it depends on.</t>
        </is>
      </c>
      <c r="N393" s="3" t="inlineStr">
        <is>
          <t>No</t>
        </is>
      </c>
      <c r="O393" s="3" t="inlineStr">
        <is>
          <t>—</t>
        </is>
      </c>
      <c r="P393" s="3" t="n">
        <v>0</v>
      </c>
      <c r="Q393" s="3" t="inlineStr">
        <is>
          <t>None — no dependent function stands behind it</t>
        </is>
      </c>
      <c r="R393" s="3" t="inlineStr">
        <is>
          <t>No dependent function — it reads its inputs and answers</t>
        </is>
      </c>
      <c r="S393" s="3" t="inlineStr">
        <is>
          <t>—</t>
        </is>
      </c>
      <c r="T393" s="3" t="inlineStr">
        <is>
          <t>—</t>
        </is>
      </c>
      <c r="U393" s="3" t="inlineStr">
        <is>
          <t>ACTIVE</t>
        </is>
      </c>
      <c r="V393" s="3" t="inlineStr">
        <is>
          <t>2026-08-27</t>
        </is>
      </c>
    </row>
    <row r="394">
      <c r="A394" s="3" t="inlineStr">
        <is>
          <t>MK-ST-F-028</t>
        </is>
      </c>
      <c r="B394" s="3" t="inlineStr">
        <is>
          <t>buildDayFromAccounts</t>
        </is>
      </c>
      <c r="C394" s="3" t="inlineStr">
        <is>
          <t>Calculation Module code/engines/snapshots.ts</t>
        </is>
      </c>
      <c r="D394" s="3" t="n">
        <v>166</v>
      </c>
      <c r="E394" s="3" t="inlineStr">
        <is>
          <t>3 · DEPENDENT (feeds an action only)</t>
        </is>
      </c>
      <c r="F394" s="3" t="inlineStr">
        <is>
          <t>Today's SnapshotDay, observed from the live account state.</t>
        </is>
      </c>
      <c r="G394" s="6"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394"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394" s="3" t="inlineStr">
        <is>
          <t>READ FROM THE CODE — rendered from the expressions the function runs</t>
        </is>
      </c>
      <c r="J394" s="3" t="inlineStr">
        <is>
          <t>1. accounts: AccountLike[]
2. date: string
3. writtenAt: string</t>
        </is>
      </c>
      <c r="K394" s="3" t="inlineStr">
        <is>
          <t>SnapshotDay</t>
        </is>
      </c>
      <c r="L394" s="3" t="inlineStr">
        <is>
          <t>—</t>
        </is>
      </c>
      <c r="M394"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
5. Multiplies by 100 — a percentage, or an option contract treated as 100 shares. Worth checking which.
6. Rounds the answer to a whole number.</t>
        </is>
      </c>
      <c r="N394" s="3" t="inlineStr">
        <is>
          <t>No</t>
        </is>
      </c>
      <c r="O394" s="3" t="inlineStr">
        <is>
          <t>—</t>
        </is>
      </c>
      <c r="P394" s="3" t="n">
        <v>0</v>
      </c>
      <c r="Q394" s="3" t="inlineStr">
        <is>
          <t>None — no dependent function stands behind it</t>
        </is>
      </c>
      <c r="R394" s="3" t="inlineStr">
        <is>
          <t>No dependent function — it reads its inputs and answers</t>
        </is>
      </c>
      <c r="S394" s="3" t="inlineStr">
        <is>
          <t>—</t>
        </is>
      </c>
      <c r="T394" s="3" t="inlineStr">
        <is>
          <t>—</t>
        </is>
      </c>
      <c r="U394" s="3" t="inlineStr">
        <is>
          <t>ACTIVE</t>
        </is>
      </c>
      <c r="V394" s="3" t="inlineStr">
        <is>
          <t>2026-08-27</t>
        </is>
      </c>
    </row>
    <row r="395">
      <c r="A395" s="3" t="inlineStr">
        <is>
          <t>MK-ST-F-029</t>
        </is>
      </c>
      <c r="B395" s="3" t="inlineStr">
        <is>
          <t>prune</t>
        </is>
      </c>
      <c r="C395" s="3" t="inlineStr">
        <is>
          <t>Calculation Module code/engines/snapshots.ts</t>
        </is>
      </c>
      <c r="D395" s="3" t="n">
        <v>261</v>
      </c>
      <c r="E395" s="3" t="inlineStr">
        <is>
          <t>3 · DEPENDENT (feeds an action only)</t>
        </is>
      </c>
      <c r="F395" s="3" t="inlineStr">
        <is>
          <t>Which days survive.</t>
        </is>
      </c>
      <c r="G395" s="6" t="inlineStr">
        <is>
          <t>cutoff = the date today
cutoff key = the first 10 of cutoff.to isostring()
all = a list with no repeats of for each of days: date
the answer = days where date ≥ cutoff key (or is month end(date, all) when missing or zero)</t>
        </is>
      </c>
      <c r="H395" s="3" t="inlineStr">
        <is>
          <t>Cutoff: the date today. Cutoff key: the first 10 of cutoff.to isostring(). All is a list with no repeats of for each of days: date. The answer is days where date is at least cutoff key (or is month end(date, all) — when missing or zero).</t>
        </is>
      </c>
      <c r="I395" s="3" t="inlineStr">
        <is>
          <t>PARTLY READ — some of the code is still showing through; needs a hand pass</t>
        </is>
      </c>
      <c r="J395" s="3" t="inlineStr">
        <is>
          <t>1. days: SnapshotDay[]
2. today: string</t>
        </is>
      </c>
      <c r="K395" s="3" t="inlineStr">
        <is>
          <t>SnapshotDay[]</t>
        </is>
      </c>
      <c r="L395" s="3" t="inlineStr">
        <is>
          <t>—</t>
        </is>
      </c>
      <c r="M395" s="3" t="inlineStr">
        <is>
          <t>· Leaves some rows out of the answer — check which.</t>
        </is>
      </c>
      <c r="N395" s="3" t="inlineStr">
        <is>
          <t>No</t>
        </is>
      </c>
      <c r="O395" s="3" t="inlineStr">
        <is>
          <t>1. MK-ST-F-061 isMonthEnd
2. MK-CF-F-132 map</t>
        </is>
      </c>
      <c r="P395" s="3" t="n">
        <v>3</v>
      </c>
      <c r="Q395" s="3" t="inlineStr">
        <is>
          <t>1. MK-ST-F-061 isMonthEnd
2. MK-CF-F-132 map
3. MK-ST-F-056 has</t>
        </is>
      </c>
      <c r="R395" s="3" t="inlineStr">
        <is>
          <t>1. MK-ST-F-056 has → MK-ST-F-061 isMonthEnd → MK-ST-F-029 prune
2. MK-CF-F-132 map → MK-ST-F-061 isMonthEnd → MK-ST-F-029 prune
3. MK-CF-F-132 map → MK-ST-F-029 prune</t>
        </is>
      </c>
      <c r="S395" s="3" t="inlineStr">
        <is>
          <t>—</t>
        </is>
      </c>
      <c r="T395" s="3" t="inlineStr">
        <is>
          <t>—</t>
        </is>
      </c>
      <c r="U395" s="3" t="inlineStr">
        <is>
          <t>ACTIVE</t>
        </is>
      </c>
      <c r="V395" s="3" t="inlineStr">
        <is>
          <t>2026-08-27</t>
        </is>
      </c>
    </row>
    <row r="396">
      <c r="A396" s="3" t="inlineStr">
        <is>
          <t>MK-ST-F-030</t>
        </is>
      </c>
      <c r="B396" s="3" t="inlineStr">
        <is>
          <t>record</t>
        </is>
      </c>
      <c r="C396" s="3" t="inlineStr">
        <is>
          <t>Calculation Module code/engines/snapshots.ts</t>
        </is>
      </c>
      <c r="D396" s="3" t="n">
        <v>292</v>
      </c>
      <c r="E396" s="3" t="inlineStr">
        <is>
          <t>3 · DEPENDENT (feeds an action only)</t>
        </is>
      </c>
      <c r="F396" s="3" t="inlineStr">
        <is>
          <t>── writing ───────────────────────────────────────────────────────────────────────────────────── Add a day.</t>
        </is>
      </c>
      <c r="G396" s="6" t="inlineStr">
        <is>
          <t>rest = days where date ! = day.date
the answer = [...rest, day].sort((a, b) =&gt; date.locale compare(date))</t>
        </is>
      </c>
      <c r="H396" s="3" t="inlineStr">
        <is>
          <t>Rest is days where date ! = day.date. The answer is [...rest, day].sort((a, b) =&gt; date.locale compare(date)).</t>
        </is>
      </c>
      <c r="I396" s="3" t="inlineStr">
        <is>
          <t>PARTLY READ — some of the code is still showing through; needs a hand pass</t>
        </is>
      </c>
      <c r="J396" s="3" t="inlineStr">
        <is>
          <t>1. days: SnapshotDay[]
2. day: SnapshotDay</t>
        </is>
      </c>
      <c r="K396" s="3" t="inlineStr">
        <is>
          <t>SnapshotDay[]</t>
        </is>
      </c>
      <c r="L396" s="3" t="inlineStr">
        <is>
          <t>—</t>
        </is>
      </c>
      <c r="M396" s="3" t="inlineStr">
        <is>
          <t>· Leaves some rows out of the answer — check which.</t>
        </is>
      </c>
      <c r="N396" s="3" t="inlineStr">
        <is>
          <t>No</t>
        </is>
      </c>
      <c r="O396" s="3" t="inlineStr">
        <is>
          <t>—</t>
        </is>
      </c>
      <c r="P396" s="3" t="n">
        <v>0</v>
      </c>
      <c r="Q396" s="3" t="inlineStr">
        <is>
          <t>None — no dependent function stands behind it</t>
        </is>
      </c>
      <c r="R396" s="3" t="inlineStr">
        <is>
          <t>No dependent function — it reads its inputs and answers</t>
        </is>
      </c>
      <c r="S396" s="3" t="inlineStr">
        <is>
          <t>—</t>
        </is>
      </c>
      <c r="T396" s="3" t="inlineStr">
        <is>
          <t>—</t>
        </is>
      </c>
      <c r="U396" s="3" t="inlineStr">
        <is>
          <t>ACTIVE</t>
        </is>
      </c>
      <c r="V396" s="3" t="inlineStr">
        <is>
          <t>2026-08-27</t>
        </is>
      </c>
    </row>
    <row r="397">
      <c r="A397" s="3" t="inlineStr">
        <is>
          <t>MK-ST-F-031</t>
        </is>
      </c>
      <c r="B397" s="3" t="inlineStr">
        <is>
          <t>valueOn</t>
        </is>
      </c>
      <c r="C397" s="3" t="inlineStr">
        <is>
          <t>Calculation Module code/engines/snapshots.ts</t>
        </is>
      </c>
      <c r="D397" s="3" t="n">
        <v>327</v>
      </c>
      <c r="E397" s="3" t="inlineStr">
        <is>
          <t>2 · DISPLAYED</t>
        </is>
      </c>
      <c r="F397" s="3" t="inlineStr">
        <is>
          <t>── reading ───────────────────────────────────────────────────────────────────────────────────── What one account was worth on a date — the figure the old code had to back-solve.</t>
        </is>
      </c>
      <c r="G397" s="6" t="inlineStr">
        <is>
          <t>day = on or before(days, date)
nothing   when day is missing
in set = (id: string) =&gt; account ids.size = 0 (or account ids.has(id) when missing or zero)
holdings = Σ over day.holdings where in set(account id) of (value)
cash = Σ over day.accounts where in set(account id) of (cash + (typed value ?? 0))
nothing   when !day.holdings.some((h) =&gt; in set(account id)) and !day.accounts.some((a) =&gt; in set(account id))
the answer = round(holdings + cash, 2 dp)</t>
        </is>
      </c>
      <c r="H397" s="3" t="inlineStr">
        <is>
          <t>Day is on or before(days, date). When day is missing, it answers no answer. In set is (id: string) =&gt; account ids.size = 0 (or account ids.has(id) — when missing or zero). Holdings: the value added up across day.holdings where in set(account id). Cash: the cash plus (typed value ?? 0) added up across day.accounts where in set(account id). When !day.holdings.some((h) =&gt; in set(account id)) and !day.accounts.some((a) =&gt; in set(account id)), it answers no answer. The answer is holdings plus cash, to the cent.</t>
        </is>
      </c>
      <c r="I397" s="3" t="inlineStr">
        <is>
          <t>PARTLY READ — some of the code is still showing through; needs a hand pass</t>
        </is>
      </c>
      <c r="J397" s="3" t="inlineStr">
        <is>
          <t>1. days: SnapshotDay[]
2. accountIds: Set&lt;string&gt;
3. date: string</t>
        </is>
      </c>
      <c r="K397" s="3" t="inlineStr">
        <is>
          <t>number | null</t>
        </is>
      </c>
      <c r="L397" s="3" t="inlineStr">
        <is>
          <t>NOT FOUND — a screen calls it, but the words printed beside its answer could not be traced automatically. Needs reading.</t>
        </is>
      </c>
      <c r="M397" s="3" t="inlineStr">
        <is>
          <t>1. If typed value is missing it uses 0.
2. Leaves some rows out of the answer — check which.</t>
        </is>
      </c>
      <c r="N397" s="3" t="inlineStr">
        <is>
          <t>Yes</t>
        </is>
      </c>
      <c r="O397" s="3" t="inlineStr">
        <is>
          <t>1. MK-ST-F-056 has
2. MK-ST-F-033 onOrBefore
3. MK-ST-F-055 round2</t>
        </is>
      </c>
      <c r="P397" s="3" t="n">
        <v>3</v>
      </c>
      <c r="Q397" s="3" t="inlineStr">
        <is>
          <t>1. MK-ST-F-056 has
2. MK-ST-F-033 onOrBefore
3. MK-ST-F-055 round2</t>
        </is>
      </c>
      <c r="R397" s="3" t="inlineStr">
        <is>
          <t>1. MK-ST-F-056 has → MK-ST-F-031 valueOn
2. MK-ST-F-033 onOrBefore → MK-ST-F-031 valueOn
3. MK-ST-F-055 round2 → MK-ST-F-031 valueOn</t>
        </is>
      </c>
      <c r="S397" s="3" t="inlineStr">
        <is>
          <t>—</t>
        </is>
      </c>
      <c r="T397" s="3" t="inlineStr">
        <is>
          <t>—</t>
        </is>
      </c>
      <c r="U397" s="3" t="inlineStr">
        <is>
          <t>ACTIVE</t>
        </is>
      </c>
      <c r="V397" s="3" t="inlineStr">
        <is>
          <t>2026-08-27</t>
        </is>
      </c>
    </row>
    <row r="398">
      <c r="A398" s="3" t="inlineStr">
        <is>
          <t>MK-ST-F-032</t>
        </is>
      </c>
      <c r="B398" s="3" t="inlineStr">
        <is>
          <t>unitsOn</t>
        </is>
      </c>
      <c r="C398" s="3" t="inlineStr">
        <is>
          <t>Calculation Module code/engines/snapshots.ts</t>
        </is>
      </c>
      <c r="D398" s="3" t="n">
        <v>359</v>
      </c>
      <c r="E398" s="3" t="inlineStr">
        <is>
          <t>3 · DEPENDENT (feeds an action only)</t>
        </is>
      </c>
      <c r="F398" s="3" t="inlineStr">
        <is>
          <t>How many units of one holding were held on a date — what the trend chart needs and never had.</t>
        </is>
      </c>
      <c r="G398" s="6" t="inlineStr">
        <is>
          <t>day = on or before(days, date)
h = day.holdings.find((x) =&gt; account id = acc id and security key = security key)
the answer:
units   if h
nothing   otherwise</t>
        </is>
      </c>
      <c r="H398" s="3" t="inlineStr">
        <is>
          <t>Day is on or before(days, date). H is day.holdings.find((x) =&gt; account id = acc id and security key = security key). The answer is units — when h; no answer — otherwise.</t>
        </is>
      </c>
      <c r="I398" s="3" t="inlineStr">
        <is>
          <t>PARTLY READ — some of the code is still showing through; needs a hand pass</t>
        </is>
      </c>
      <c r="J398" s="3" t="inlineStr">
        <is>
          <t>1. days: SnapshotDay[]
2. accId: string
3. securityKey: string
4. date: string</t>
        </is>
      </c>
      <c r="K398" s="3" t="inlineStr">
        <is>
          <t>number | null</t>
        </is>
      </c>
      <c r="L398" s="3" t="inlineStr">
        <is>
          <t>—</t>
        </is>
      </c>
      <c r="M398" s="3" t="inlineStr">
        <is>
          <t>None found in this function — anything it assumes comes from the functions it depends on.</t>
        </is>
      </c>
      <c r="N398" s="3" t="inlineStr">
        <is>
          <t>No</t>
        </is>
      </c>
      <c r="O398" s="3" t="inlineStr">
        <is>
          <t>MK-ST-F-033 onOrBefore</t>
        </is>
      </c>
      <c r="P398" s="3" t="n">
        <v>1</v>
      </c>
      <c r="Q398" s="3" t="inlineStr">
        <is>
          <t>MK-ST-F-033 onOrBefore</t>
        </is>
      </c>
      <c r="R398" s="3" t="inlineStr">
        <is>
          <t>MK-ST-F-033 onOrBefore → MK-ST-F-032 unitsOn</t>
        </is>
      </c>
      <c r="S398" s="3" t="inlineStr">
        <is>
          <t>—</t>
        </is>
      </c>
      <c r="T398" s="3" t="inlineStr">
        <is>
          <t>—</t>
        </is>
      </c>
      <c r="U398" s="3" t="inlineStr">
        <is>
          <t>ACTIVE</t>
        </is>
      </c>
      <c r="V398" s="3" t="inlineStr">
        <is>
          <t>2026-08-27</t>
        </is>
      </c>
    </row>
    <row r="399">
      <c r="A399" s="3" t="inlineStr">
        <is>
          <t>MK-ST-F-033</t>
        </is>
      </c>
      <c r="B399" s="3" t="inlineStr">
        <is>
          <t>onOrBefore</t>
        </is>
      </c>
      <c r="C399" s="3" t="inlineStr">
        <is>
          <t>Calculation Module code/engines/snapshots.ts</t>
        </is>
      </c>
      <c r="D399" s="3" t="n">
        <v>387</v>
      </c>
      <c r="E399" s="3" t="inlineStr">
        <is>
          <t>3 · DEPENDENT</t>
        </is>
      </c>
      <c r="F399" s="3" t="inlineStr">
        <is>
          <t>The latest day at or before a date, or nothing when the record does not reach back that far.</t>
        </is>
      </c>
      <c r="G399" s="6" t="inlineStr">
        <is>
          <t>best = nothing
the answer = best</t>
        </is>
      </c>
      <c r="H399" s="3" t="inlineStr">
        <is>
          <t>Best is no answer. The answer is best.</t>
        </is>
      </c>
      <c r="I399" s="3" t="inlineStr">
        <is>
          <t>READ FROM THE CODE — rendered from the expressions the function runs</t>
        </is>
      </c>
      <c r="J399" s="3" t="inlineStr">
        <is>
          <t>1. days: T[]
2. date: string</t>
        </is>
      </c>
      <c r="K399" s="3" t="inlineStr">
        <is>
          <t>T | null</t>
        </is>
      </c>
      <c r="L399" s="3" t="inlineStr">
        <is>
          <t>—</t>
        </is>
      </c>
      <c r="M399" s="3" t="inlineStr">
        <is>
          <t>None found in this function — anything it assumes comes from the functions it depends on.</t>
        </is>
      </c>
      <c r="N399" s="3" t="inlineStr">
        <is>
          <t>Yes</t>
        </is>
      </c>
      <c r="O399" s="3" t="inlineStr">
        <is>
          <t>—</t>
        </is>
      </c>
      <c r="P399" s="3" t="n">
        <v>0</v>
      </c>
      <c r="Q399" s="3" t="inlineStr">
        <is>
          <t>None — no dependent function stands behind it</t>
        </is>
      </c>
      <c r="R399" s="3" t="inlineStr">
        <is>
          <t>No dependent function — it reads its inputs and answers</t>
        </is>
      </c>
      <c r="S399" s="3" t="inlineStr">
        <is>
          <t>—</t>
        </is>
      </c>
      <c r="T399" s="3" t="inlineStr">
        <is>
          <t>—</t>
        </is>
      </c>
      <c r="U399" s="3" t="inlineStr">
        <is>
          <t>ACTIVE</t>
        </is>
      </c>
      <c r="V399" s="3" t="inlineStr">
        <is>
          <t>2026-08-27</t>
        </is>
      </c>
    </row>
    <row r="400">
      <c r="A400" s="3" t="inlineStr">
        <is>
          <t>MK-ST-F-034</t>
        </is>
      </c>
      <c r="B400" s="3" t="inlineStr">
        <is>
          <t>firstDate</t>
        </is>
      </c>
      <c r="C400" s="3" t="inlineStr">
        <is>
          <t>Calculation Module code/engines/snapshots.ts</t>
        </is>
      </c>
      <c r="D400" s="3" t="n">
        <v>416</v>
      </c>
      <c r="E400" s="3" t="inlineStr">
        <is>
          <t>3 · DEPENDENT</t>
        </is>
      </c>
      <c r="F400" s="3" t="inlineStr">
        <is>
          <t>The first date the record covers — so a change figure can say what it is measured FROM, rather than presenting a figure measured from install day as though it covered the year.</t>
        </is>
      </c>
      <c r="G400" s="6" t="inlineStr">
        <is>
          <t>days.reduce((a, b) =&gt; (date &lt; date ? a : b)).date   if count of days
nothing   otherwise</t>
        </is>
      </c>
      <c r="H400" s="3" t="inlineStr">
        <is>
          <t>days.reduce((a, b) =&gt; (date &lt; date ? a : b)).date — when how many days there are; no answer — otherwise.</t>
        </is>
      </c>
      <c r="I400" s="3" t="inlineStr">
        <is>
          <t>PARTLY READ — some of the code is still showing through; needs a hand pass</t>
        </is>
      </c>
      <c r="J400" s="3" t="inlineStr">
        <is>
          <t>days: T[]</t>
        </is>
      </c>
      <c r="K400" s="3" t="inlineStr">
        <is>
          <t>string | null</t>
        </is>
      </c>
      <c r="L400" s="3" t="inlineStr">
        <is>
          <t>—</t>
        </is>
      </c>
      <c r="M400" s="3" t="inlineStr">
        <is>
          <t>None found in this function — anything it assumes comes from the functions it depends on.</t>
        </is>
      </c>
      <c r="N400" s="3" t="inlineStr">
        <is>
          <t>Yes</t>
        </is>
      </c>
      <c r="O400" s="3" t="inlineStr">
        <is>
          <t>—</t>
        </is>
      </c>
      <c r="P400" s="3" t="n">
        <v>0</v>
      </c>
      <c r="Q400" s="3" t="inlineStr">
        <is>
          <t>None — no dependent function stands behind it</t>
        </is>
      </c>
      <c r="R400" s="3" t="inlineStr">
        <is>
          <t>No dependent function — it reads its inputs and answers</t>
        </is>
      </c>
      <c r="S400" s="3" t="inlineStr">
        <is>
          <t>—</t>
        </is>
      </c>
      <c r="T400" s="3" t="inlineStr">
        <is>
          <t>—</t>
        </is>
      </c>
      <c r="U400" s="3" t="inlineStr">
        <is>
          <t>ACTIVE</t>
        </is>
      </c>
      <c r="V400" s="3" t="inlineStr">
        <is>
          <t>2026-08-27</t>
        </is>
      </c>
    </row>
    <row r="401">
      <c r="A401" s="3" t="inlineStr">
        <is>
          <t>MK-ST-F-035</t>
        </is>
      </c>
      <c r="B401" s="3" t="inlineStr">
        <is>
          <t>covers</t>
        </is>
      </c>
      <c r="C401" s="3" t="inlineStr">
        <is>
          <t>Calculation Module code/engines/snapshots.ts</t>
        </is>
      </c>
      <c r="D401" s="3" t="n">
        <v>439</v>
      </c>
      <c r="E401" s="3" t="inlineStr">
        <is>
          <t>3 · DEPENDENT (feeds an action only)</t>
        </is>
      </c>
      <c r="F401" s="3" t="inlineStr">
        <is>
          <t>Does the record actually cover this window?</t>
        </is>
      </c>
      <c r="G401" s="6" t="inlineStr">
        <is>
          <t>f = first date(days)
the answer = f ≠ nothing and f ≤ from</t>
        </is>
      </c>
      <c r="H401" s="3" t="inlineStr">
        <is>
          <t>F is first date(days). The answer is f is not no answer and f is at most from.</t>
        </is>
      </c>
      <c r="I401" s="3" t="inlineStr">
        <is>
          <t>READ FROM THE CODE — rendered from the expressions the function runs</t>
        </is>
      </c>
      <c r="J401" s="3" t="inlineStr">
        <is>
          <t>1. days: SnapshotDay[]
2. from: string</t>
        </is>
      </c>
      <c r="K401" s="3" t="inlineStr">
        <is>
          <t>boolean</t>
        </is>
      </c>
      <c r="L401" s="3" t="inlineStr">
        <is>
          <t>—</t>
        </is>
      </c>
      <c r="M401" s="3" t="inlineStr">
        <is>
          <t>None found in this function — anything it assumes comes from the functions it depends on.</t>
        </is>
      </c>
      <c r="N401" s="3" t="inlineStr">
        <is>
          <t>No</t>
        </is>
      </c>
      <c r="O401" s="3" t="inlineStr">
        <is>
          <t>MK-ST-F-034 firstDate</t>
        </is>
      </c>
      <c r="P401" s="3" t="n">
        <v>1</v>
      </c>
      <c r="Q401" s="3" t="inlineStr">
        <is>
          <t>MK-ST-F-034 firstDate</t>
        </is>
      </c>
      <c r="R401" s="3" t="inlineStr">
        <is>
          <t>MK-ST-F-034 firstDate → MK-ST-F-035 covers</t>
        </is>
      </c>
      <c r="S401" s="3" t="inlineStr">
        <is>
          <t>—</t>
        </is>
      </c>
      <c r="T401" s="3" t="inlineStr">
        <is>
          <t>—</t>
        </is>
      </c>
      <c r="U401" s="3" t="inlineStr">
        <is>
          <t>ACTIVE</t>
        </is>
      </c>
      <c r="V401" s="3" t="inlineStr">
        <is>
          <t>2026-08-27</t>
        </is>
      </c>
    </row>
    <row r="402">
      <c r="A402" s="3" t="inlineStr">
        <is>
          <t>MK-ST-F-036</t>
        </is>
      </c>
      <c r="B402" s="3" t="inlineStr">
        <is>
          <t>reconcile</t>
        </is>
      </c>
      <c r="C402" s="3" t="inlineStr">
        <is>
          <t>Calculation Module code/engines/snapshots.ts</t>
        </is>
      </c>
      <c r="D402" s="3" t="n">
        <v>472</v>
      </c>
      <c r="E402" s="3" t="inlineStr">
        <is>
          <t>3 · DEPENDENT (feeds an action only)</t>
        </is>
      </c>
      <c r="F402" s="3" t="inlineStr">
        <is>
          <t>── the outside check ─────────────────────────────────────────────────────────────────────────── Our figure against the broker's own stated total.</t>
        </is>
      </c>
      <c r="G402" s="6" t="inlineStr">
        <is>
          <t>theirs = day.accounts.find((a) =&gt; account id = acc id).stated total (or nothing when missing)
the answer:
ours = ours
theirs = theirs
difference = nothing   if theirs = nothing
round(ours − theirs, 2 dp)   otherwise</t>
        </is>
      </c>
      <c r="H402" s="3" t="inlineStr">
        <is>
          <t>Theirs is day.accounts.find((a) =&gt; account id = acc id).stated total (or no answer — when missing). The answer is ours = ours; theirs = theirs; difference is missing — when theirs is missing; ours minus theirs, to the cent — otherwise.</t>
        </is>
      </c>
      <c r="I402" s="3" t="inlineStr">
        <is>
          <t>PARTLY READ — some of the code is still showing through; needs a hand pass</t>
        </is>
      </c>
      <c r="J402" s="3" t="inlineStr">
        <is>
          <t>1. day: SnapshotDay
2. accId: string</t>
        </is>
      </c>
      <c r="K402" s="3" t="inlineStr">
        <is>
          <t>NOT DECLARED — the code does not say what it gives back</t>
        </is>
      </c>
      <c r="L402" s="3" t="inlineStr">
        <is>
          <t>—</t>
        </is>
      </c>
      <c r="M402" s="3" t="inlineStr">
        <is>
          <t>1. If cash is missing it uses 0.
2. Leaves some rows out of the answer — check which.</t>
        </is>
      </c>
      <c r="N402" s="3" t="inlineStr">
        <is>
          <t>No</t>
        </is>
      </c>
      <c r="O402" s="3" t="inlineStr">
        <is>
          <t>MK-ST-F-055 round2</t>
        </is>
      </c>
      <c r="P402" s="3" t="n">
        <v>1</v>
      </c>
      <c r="Q402" s="3" t="inlineStr">
        <is>
          <t>MK-ST-F-055 round2</t>
        </is>
      </c>
      <c r="R402" s="3" t="inlineStr">
        <is>
          <t>MK-ST-F-055 round2 → MK-ST-F-036 reconcile</t>
        </is>
      </c>
      <c r="S402" s="3" t="inlineStr">
        <is>
          <t>—</t>
        </is>
      </c>
      <c r="T402" s="3" t="inlineStr">
        <is>
          <t>—</t>
        </is>
      </c>
      <c r="U402" s="3" t="inlineStr">
        <is>
          <t>ACTIVE</t>
        </is>
      </c>
      <c r="V402" s="3" t="inlineStr">
        <is>
          <t>2026-08-27</t>
        </is>
      </c>
    </row>
    <row r="403">
      <c r="A403" s="3" t="inlineStr">
        <is>
          <t>MK-ST-F-037</t>
        </is>
      </c>
      <c r="B403" s="3" t="inlineStr">
        <is>
          <t>pendingUpload</t>
        </is>
      </c>
      <c r="C403" s="3" t="inlineStr">
        <is>
          <t>Calculation Module code/engines/snapshots.ts</t>
        </is>
      </c>
      <c r="D403" s="3" t="n">
        <v>503</v>
      </c>
      <c r="E403" s="3" t="inlineStr">
        <is>
          <t>3 · DEPENDENT (feeds an action only)</t>
        </is>
      </c>
      <c r="F403" s="3" t="inlineStr">
        <is>
          <t>── the later cloud sync ──────────────────────────────────────────────────────────────────────── Everything not yet uploaded, oldest first.</t>
        </is>
      </c>
      <c r="G403" s="6" t="inlineStr">
        <is>
          <t>days where last uploaded is missing (or date &gt; last uploaded when missing or zero)</t>
        </is>
      </c>
      <c r="H403" s="3" t="inlineStr">
        <is>
          <t>days where last uploaded is missing (or date &gt; last uploaded — when missing or zero).</t>
        </is>
      </c>
      <c r="I403" s="3" t="inlineStr">
        <is>
          <t>READ FROM THE CODE — rendered from the expressions the function runs</t>
        </is>
      </c>
      <c r="J403" s="3" t="inlineStr">
        <is>
          <t>1. days: SnapshotDay[]
2. lastUploaded: string | null</t>
        </is>
      </c>
      <c r="K403" s="3" t="inlineStr">
        <is>
          <t>SnapshotDay[]</t>
        </is>
      </c>
      <c r="L403" s="3" t="inlineStr">
        <is>
          <t>—</t>
        </is>
      </c>
      <c r="M403" s="3" t="inlineStr">
        <is>
          <t>· Leaves some rows out of the answer — check which.</t>
        </is>
      </c>
      <c r="N403" s="3" t="inlineStr">
        <is>
          <t>No</t>
        </is>
      </c>
      <c r="O403" s="3" t="inlineStr">
        <is>
          <t>—</t>
        </is>
      </c>
      <c r="P403" s="3" t="n">
        <v>0</v>
      </c>
      <c r="Q403" s="3" t="inlineStr">
        <is>
          <t>None — no dependent function stands behind it</t>
        </is>
      </c>
      <c r="R403" s="3" t="inlineStr">
        <is>
          <t>No dependent function — it reads its inputs and answers</t>
        </is>
      </c>
      <c r="S403" s="3" t="inlineStr">
        <is>
          <t>—</t>
        </is>
      </c>
      <c r="T403" s="3" t="inlineStr">
        <is>
          <t>—</t>
        </is>
      </c>
      <c r="U403" s="3" t="inlineStr">
        <is>
          <t>ACTIVE</t>
        </is>
      </c>
      <c r="V403" s="3" t="inlineStr">
        <is>
          <t>2026-08-27</t>
        </is>
      </c>
    </row>
    <row r="404">
      <c r="A404" s="3" t="inlineStr">
        <is>
          <t>MK-ST-F-038</t>
        </is>
      </c>
      <c r="B404" s="3" t="inlineStr">
        <is>
          <t>windowBounds</t>
        </is>
      </c>
      <c r="C404" s="3" t="inlineStr">
        <is>
          <t>Calculation Module code/engines/window-return.ts</t>
        </is>
      </c>
      <c r="D404" s="3" t="n">
        <v>101</v>
      </c>
      <c r="E404" s="3" t="inlineStr">
        <is>
          <t>2 · DISPLAYED</t>
        </is>
      </c>
      <c r="F404" s="3" t="inlineStr">
        <is>
          <t>NOT DETERMINED — the code carries no note saying what this is for, and it has no row in the old inventory. Needs reading.</t>
        </is>
      </c>
      <c r="G404" s="6" t="inlineStr">
        <is>
          <t>NOT READ YET — the body is not a shape this can render faithfully, so nothing is claimed rather than something being guessed. It needs reading by hand.</t>
        </is>
      </c>
      <c r="H404" s="3" t="inlineStr">
        <is>
          <t>NOT READ YET — the body is not a shape this can render faithfully, so nothing is claimed rather than something being guessed. It needs reading by hand.</t>
        </is>
      </c>
      <c r="I404" s="3" t="inlineStr">
        <is>
          <t>NOT READ — nothing is claimed rather than something guessed</t>
        </is>
      </c>
      <c r="J404" s="3" t="inlineStr">
        <is>
          <t>1. start: string
2. end: string</t>
        </is>
      </c>
      <c r="K404" s="3" t="inlineStr">
        <is>
          <t>WindowBounds</t>
        </is>
      </c>
      <c r="L404" s="3" t="inlineStr">
        <is>
          <t>NOT FOUND — a screen calls it, but the words printed beside its answer could not be traced automatically. Needs reading.</t>
        </is>
      </c>
      <c r="M404" s="3" t="inlineStr">
        <is>
          <t>· Rounds the answer to a whole number.</t>
        </is>
      </c>
      <c r="N404" s="3" t="inlineStr">
        <is>
          <t>Yes</t>
        </is>
      </c>
      <c r="O404" s="3" t="inlineStr">
        <is>
          <t>1. MK-ST-F-063 shiftDay
2. MK-ST-F-062 toUtc</t>
        </is>
      </c>
      <c r="P404" s="3" t="n">
        <v>2</v>
      </c>
      <c r="Q404" s="3" t="inlineStr">
        <is>
          <t>1. MK-ST-F-063 shiftDay
2. MK-ST-F-062 toUtc</t>
        </is>
      </c>
      <c r="R404" s="3" t="inlineStr">
        <is>
          <t>1. MK-ST-F-062 toUtc → MK-ST-F-063 shiftDay → MK-ST-F-038 windowBounds
2. MK-ST-F-062 toUtc → MK-ST-F-038 windowBounds</t>
        </is>
      </c>
      <c r="S404" s="3" t="inlineStr">
        <is>
          <t>—</t>
        </is>
      </c>
      <c r="T404" s="3" t="inlineStr">
        <is>
          <t>—</t>
        </is>
      </c>
      <c r="U404" s="3" t="inlineStr">
        <is>
          <t>ACTIVE</t>
        </is>
      </c>
      <c r="V404" s="3" t="inlineStr">
        <is>
          <t>2026-08-27</t>
        </is>
      </c>
    </row>
    <row r="405">
      <c r="A405" s="3" t="inlineStr">
        <is>
          <t>MK-ST-F-039</t>
        </is>
      </c>
      <c r="B405" s="3" t="inlineStr">
        <is>
          <t>on</t>
        </is>
      </c>
      <c r="C405" s="3" t="inlineStr">
        <is>
          <t>src/domain/_shared/eventBus.ts</t>
        </is>
      </c>
      <c r="D405" s="3" t="n">
        <v>26</v>
      </c>
      <c r="E405" s="3" t="inlineStr">
        <is>
          <t>2 · DISPLAYED</t>
        </is>
      </c>
      <c r="F405" s="3" t="inlineStr">
        <is>
          <t>NOT DETERMINED — the code carries no note saying what this is for, and it has no row in the old inventory. Needs reading.</t>
        </is>
      </c>
      <c r="G405" s="6" t="inlineStr">
        <is>
          <t>() =&gt; handlers[event type].delete(handler as handler)</t>
        </is>
      </c>
      <c r="H405" s="3" t="inlineStr">
        <is>
          <t>() =&gt; handlers[event type].delete(handler as handler).</t>
        </is>
      </c>
      <c r="I405" s="3" t="inlineStr">
        <is>
          <t>PARTLY READ — some of the code is still showing through; needs a hand pass</t>
        </is>
      </c>
      <c r="J405" s="3" t="inlineStr">
        <is>
          <t>1. eventType: string
2. handler: Handler&lt;T&gt;</t>
        </is>
      </c>
      <c r="K405" s="3" t="inlineStr">
        <is>
          <t>()</t>
        </is>
      </c>
      <c r="L405" s="3" t="inlineStr">
        <is>
          <t>NOT FOUND — a screen calls it, but the words printed beside its answer could not be traced automatically. Needs reading.</t>
        </is>
      </c>
      <c r="M405" s="3" t="inlineStr">
        <is>
          <t>None found in this function — anything it assumes comes from the functions it depends on.</t>
        </is>
      </c>
      <c r="N405" s="3" t="inlineStr">
        <is>
          <t>Yes</t>
        </is>
      </c>
      <c r="O405" s="3" t="inlineStr">
        <is>
          <t>—</t>
        </is>
      </c>
      <c r="P405" s="3" t="n">
        <v>0</v>
      </c>
      <c r="Q405" s="3" t="inlineStr">
        <is>
          <t>None — no dependent function stands behind it</t>
        </is>
      </c>
      <c r="R405" s="3" t="inlineStr">
        <is>
          <t>No dependent function — it reads its inputs and answers</t>
        </is>
      </c>
      <c r="S405" s="3" t="inlineStr">
        <is>
          <t>—</t>
        </is>
      </c>
      <c r="T405" s="3" t="inlineStr">
        <is>
          <t>—</t>
        </is>
      </c>
      <c r="U405" s="3" t="inlineStr">
        <is>
          <t>ACTIVE</t>
        </is>
      </c>
      <c r="V405" s="3" t="inlineStr">
        <is>
          <t>2026-08-27</t>
        </is>
      </c>
    </row>
    <row r="406">
      <c r="A406" s="3" t="inlineStr">
        <is>
          <t>MK-ST-F-040</t>
        </is>
      </c>
      <c r="B406" s="3" t="inlineStr">
        <is>
          <t>emit</t>
        </is>
      </c>
      <c r="C406" s="3" t="inlineStr">
        <is>
          <t>src/domain/_shared/eventBus.ts</t>
        </is>
      </c>
      <c r="D406" s="3" t="n">
        <v>53</v>
      </c>
      <c r="E406" s="3" t="inlineStr">
        <is>
          <t>1 · ACTION</t>
        </is>
      </c>
      <c r="F406" s="3" t="inlineStr">
        <is>
          <t>NOT DETERMINED — the code carries no note saying what this is for, and it has no row in the old inventory. Needs reading.</t>
        </is>
      </c>
      <c r="G406" s="6" t="inlineStr">
        <is>
          <t>It records or announces something and returns no figure — no arithmetic of its own.</t>
        </is>
      </c>
      <c r="H406" s="3" t="inlineStr">
        <is>
          <t>It records or announces something and returns no figure — no arithmetic of its own.</t>
        </is>
      </c>
      <c r="I406" s="3" t="inlineStr">
        <is>
          <t>NO ARITHMETIC — there is no formula to state</t>
        </is>
      </c>
      <c r="J406" s="3" t="inlineStr">
        <is>
          <t>1. eventType: string
2. payload: T</t>
        </is>
      </c>
      <c r="K406" s="3" t="inlineStr">
        <is>
          <t>void</t>
        </is>
      </c>
      <c r="L406" s="3" t="inlineStr">
        <is>
          <t>—</t>
        </is>
      </c>
      <c r="M406" s="3" t="inlineStr">
        <is>
          <t>None found in this function — anything it assumes comes from the functions it depends on.</t>
        </is>
      </c>
      <c r="N406" s="3" t="inlineStr">
        <is>
          <t>Yes</t>
        </is>
      </c>
      <c r="O406" s="3" t="inlineStr">
        <is>
          <t>—</t>
        </is>
      </c>
      <c r="P406" s="3" t="n">
        <v>0</v>
      </c>
      <c r="Q406" s="3" t="inlineStr">
        <is>
          <t>None — no dependent function stands behind it</t>
        </is>
      </c>
      <c r="R406" s="3" t="inlineStr">
        <is>
          <t>No dependent function — it reads its inputs and answers</t>
        </is>
      </c>
      <c r="S406" s="3" t="inlineStr">
        <is>
          <t>—</t>
        </is>
      </c>
      <c r="T406" s="3" t="inlineStr">
        <is>
          <t>—</t>
        </is>
      </c>
      <c r="U406" s="3" t="inlineStr">
        <is>
          <t>ACTIVE</t>
        </is>
      </c>
      <c r="V406" s="3" t="inlineStr">
        <is>
          <t>2026-08-27</t>
        </is>
      </c>
    </row>
    <row r="407">
      <c r="A407" s="3" t="inlineStr">
        <is>
          <t>MK-ST-F-041</t>
        </is>
      </c>
      <c r="B407" s="3" t="inlineStr">
        <is>
          <t>getUserDoc</t>
        </is>
      </c>
      <c r="C407" s="3" t="inlineStr">
        <is>
          <t>src/domain/_shared/firestore.ts</t>
        </is>
      </c>
      <c r="D407" s="3" t="n">
        <v>27</v>
      </c>
      <c r="E407" s="3" t="inlineStr">
        <is>
          <t>4 · BRINGS DATA IN</t>
        </is>
      </c>
      <c r="F407" s="3" t="inlineStr">
        <is>
          <t>Read a single-document-per-user collection (e.g.</t>
        </is>
      </c>
      <c r="G407" s="6" t="inlineStr">
        <is>
          <t>snap = await get doc(doc(db, collection name, uid))
the answer:
snap.data() as T   if snap.exists()
nothing   otherwise</t>
        </is>
      </c>
      <c r="H407" s="3" t="inlineStr">
        <is>
          <t>Snap is await get doc(doc(db, collection name, uid)). The answer is snap.data() as T — when snap.exists(); no answer — otherwise.</t>
        </is>
      </c>
      <c r="I407" s="3" t="inlineStr">
        <is>
          <t>PARTLY READ — some of the code is still showing through; needs a hand pass</t>
        </is>
      </c>
      <c r="J407" s="3" t="inlineStr">
        <is>
          <t>1. collectionName: string
2. uid: UserId</t>
        </is>
      </c>
      <c r="K407" s="3" t="inlineStr">
        <is>
          <t>Promise&lt;T | null&gt;</t>
        </is>
      </c>
      <c r="L407" s="3" t="inlineStr">
        <is>
          <t>—</t>
        </is>
      </c>
      <c r="M407" s="3" t="inlineStr">
        <is>
          <t>None found in this function — anything it assumes comes from the functions it depends on.</t>
        </is>
      </c>
      <c r="N407" s="3" t="inlineStr">
        <is>
          <t>No</t>
        </is>
      </c>
      <c r="O407" s="3" t="inlineStr">
        <is>
          <t>—</t>
        </is>
      </c>
      <c r="P407" s="3" t="n">
        <v>0</v>
      </c>
      <c r="Q407" s="3" t="inlineStr">
        <is>
          <t>None — no dependent function stands behind it</t>
        </is>
      </c>
      <c r="R407" s="3" t="inlineStr">
        <is>
          <t>No dependent function — it reads its inputs and answers</t>
        </is>
      </c>
      <c r="S407" s="3" t="inlineStr">
        <is>
          <t>—</t>
        </is>
      </c>
      <c r="T407" s="3" t="inlineStr">
        <is>
          <t>—</t>
        </is>
      </c>
      <c r="U407" s="3" t="inlineStr">
        <is>
          <t>ACTIVE</t>
        </is>
      </c>
      <c r="V407" s="3" t="inlineStr">
        <is>
          <t>2026-08-27</t>
        </is>
      </c>
    </row>
    <row r="408">
      <c r="A408" s="3" t="inlineStr">
        <is>
          <t>MK-ST-F-042</t>
        </is>
      </c>
      <c r="B408" s="3" t="inlineStr">
        <is>
          <t>setUserDoc</t>
        </is>
      </c>
      <c r="C408" s="3" t="inlineStr">
        <is>
          <t>src/domain/_shared/firestore.ts</t>
        </is>
      </c>
      <c r="D408" s="3" t="n">
        <v>55</v>
      </c>
      <c r="E408" s="3" t="inlineStr">
        <is>
          <t>1 · ACTION</t>
        </is>
      </c>
      <c r="F408" s="3" t="inlineStr">
        <is>
          <t>Write/merge a single-document-per-user collection, stamping last_updated.</t>
        </is>
      </c>
      <c r="G408" s="6" t="inlineStr">
        <is>
          <t>It reaches outside the app for data and hands back what came back — no arithmetic of its own.</t>
        </is>
      </c>
      <c r="H408" s="3" t="inlineStr">
        <is>
          <t>It reaches outside the app for data and hands back what came back — no arithmetic of its own.</t>
        </is>
      </c>
      <c r="I408" s="3" t="inlineStr">
        <is>
          <t>NO ARITHMETIC — there is no formula to state</t>
        </is>
      </c>
      <c r="J408" s="3" t="inlineStr">
        <is>
          <t>1. collectionName: string
2. uid: UserId
3. data: T</t>
        </is>
      </c>
      <c r="K408" s="3" t="inlineStr">
        <is>
          <t>Promise&lt;void&gt;</t>
        </is>
      </c>
      <c r="L408" s="3" t="inlineStr">
        <is>
          <t>—</t>
        </is>
      </c>
      <c r="M408" s="3" t="inlineStr">
        <is>
          <t>None found in this function — anything it assumes comes from the functions it depends on.</t>
        </is>
      </c>
      <c r="N408" s="3" t="inlineStr">
        <is>
          <t>Yes</t>
        </is>
      </c>
      <c r="O408" s="3" t="inlineStr">
        <is>
          <t>—</t>
        </is>
      </c>
      <c r="P408" s="3" t="n">
        <v>0</v>
      </c>
      <c r="Q408" s="3" t="inlineStr">
        <is>
          <t>None — no dependent function stands behind it</t>
        </is>
      </c>
      <c r="R408" s="3" t="inlineStr">
        <is>
          <t>No dependent function — it reads its inputs and answers</t>
        </is>
      </c>
      <c r="S408" s="3" t="inlineStr">
        <is>
          <t>—</t>
        </is>
      </c>
      <c r="T408" s="3" t="inlineStr">
        <is>
          <t>—</t>
        </is>
      </c>
      <c r="U408" s="3" t="inlineStr">
        <is>
          <t>ACTIVE</t>
        </is>
      </c>
      <c r="V408" s="3" t="inlineStr">
        <is>
          <t>2026-08-27</t>
        </is>
      </c>
    </row>
    <row r="409">
      <c r="A409" s="3" t="inlineStr">
        <is>
          <t>MK-ST-F-043</t>
        </is>
      </c>
      <c r="B409" s="3" t="inlineStr">
        <is>
          <t>newEntityId</t>
        </is>
      </c>
      <c r="C409" s="3" t="inlineStr">
        <is>
          <t>src/domain/_shared/ids.ts</t>
        </is>
      </c>
      <c r="D409" s="3" t="n">
        <v>35</v>
      </c>
      <c r="E409" s="3" t="inlineStr">
        <is>
          <t>2 · DISPLAYED</t>
        </is>
      </c>
      <c r="F409" s="3" t="inlineStr">
        <is>
          <t>What do we call this new thing?</t>
        </is>
      </c>
      <c r="G409" s="6" t="inlineStr">
        <is>
          <t>`${prefix}_${date.now().to string(36)}${math.random().to string(36).slice(2, 8)}`</t>
        </is>
      </c>
      <c r="H409" s="3" t="inlineStr">
        <is>
          <t>`${prefix}_${date.now().to string(36)}${math.random().to string(36).slice(2, 8)}`.</t>
        </is>
      </c>
      <c r="I409" s="3" t="inlineStr">
        <is>
          <t>PARTLY READ — some of the code is still showing through; needs a hand pass</t>
        </is>
      </c>
      <c r="J409" s="3" t="inlineStr">
        <is>
          <t>prefix: string</t>
        </is>
      </c>
      <c r="K409" s="3" t="inlineStr">
        <is>
          <t>EntityId</t>
        </is>
      </c>
      <c r="L409" s="3" t="inlineStr">
        <is>
          <t>NOT FOUND — a screen calls it, but the words printed beside its answer could not be traced automatically. Needs reading.</t>
        </is>
      </c>
      <c r="M409" s="3" t="inlineStr">
        <is>
          <t>· Uses today's date from the device clock, so the answer changes by itself overnight.</t>
        </is>
      </c>
      <c r="N409" s="3" t="inlineStr">
        <is>
          <t>Yes</t>
        </is>
      </c>
      <c r="O409" s="3" t="inlineStr">
        <is>
          <t>—</t>
        </is>
      </c>
      <c r="P409" s="3" t="n">
        <v>0</v>
      </c>
      <c r="Q409" s="3" t="inlineStr">
        <is>
          <t>None — no dependent function stands behind it</t>
        </is>
      </c>
      <c r="R409" s="3" t="inlineStr">
        <is>
          <t>No dependent function — it reads its inputs and answers</t>
        </is>
      </c>
      <c r="S409" s="3" t="inlineStr">
        <is>
          <t>—</t>
        </is>
      </c>
      <c r="T409" s="3" t="inlineStr">
        <is>
          <t>NEW_ID</t>
        </is>
      </c>
      <c r="U409" s="3" t="inlineStr">
        <is>
          <t>ACTIVE</t>
        </is>
      </c>
      <c r="V409" s="3" t="inlineStr">
        <is>
          <t>2026-08-27</t>
        </is>
      </c>
    </row>
    <row r="410">
      <c r="A410" s="3" t="inlineStr">
        <is>
          <t>MK-ST-F-044</t>
        </is>
      </c>
      <c r="B410" s="3" t="inlineStr">
        <is>
          <t>setMoneyFormat</t>
        </is>
      </c>
      <c r="C410" s="3" t="inlineStr">
        <is>
          <t>src/domain/_shared/money.ts</t>
        </is>
      </c>
      <c r="D410" s="3" t="n">
        <v>44</v>
      </c>
      <c r="E410" s="3" t="inlineStr">
        <is>
          <t>1 · ACTION</t>
        </is>
      </c>
      <c r="F410" s="3" t="inlineStr">
        <is>
          <t>NOT DETERMINED — the code carries no note saying what this is for, and it has no row in the old inventory. Needs reading.</t>
        </is>
      </c>
      <c r="G410" s="6" t="inlineStr">
        <is>
          <t>c = CURRENCIES.find((x) =&gt; code = currency)</t>
        </is>
      </c>
      <c r="H410" s="3" t="inlineStr">
        <is>
          <t>C is CURRENCIES.find((x) =&gt; code = currency).</t>
        </is>
      </c>
      <c r="I410" s="3" t="inlineStr">
        <is>
          <t>PARTLY READ — some of the code is still showing through; needs a hand pass</t>
        </is>
      </c>
      <c r="J410" s="3" t="inlineStr">
        <is>
          <t>1. currency?: string | null
2. locale?: string | null</t>
        </is>
      </c>
      <c r="K410" s="3" t="inlineStr">
        <is>
          <t>NOT DECLARED — the code does not say what it gives back</t>
        </is>
      </c>
      <c r="L410" s="3" t="inlineStr">
        <is>
          <t>—</t>
        </is>
      </c>
      <c r="M410" s="3" t="inlineStr">
        <is>
          <t>None found in this function — anything it assumes comes from the functions it depends on.</t>
        </is>
      </c>
      <c r="N410" s="3" t="inlineStr">
        <is>
          <t>Yes</t>
        </is>
      </c>
      <c r="O410" s="3" t="inlineStr">
        <is>
          <t>MK-ST-F-053 money</t>
        </is>
      </c>
      <c r="P410" s="3" t="n">
        <v>4</v>
      </c>
      <c r="Q410" s="3" t="inlineStr">
        <is>
          <t>1. MK-ST-F-053 money
2. MK-ST-F-049 formatMoney
3. MK-ST-F-048 currencySymbol
4. MK-ST-F-047 activeCurrency</t>
        </is>
      </c>
      <c r="R410" s="3" t="inlineStr">
        <is>
          <t>MK-ST-F-047 activeCurrency → MK-ST-F-048 currencySymbol → MK-ST-F-049 formatMoney → MK-ST-F-053 money → MK-ST-F-044 setMoneyFormat</t>
        </is>
      </c>
      <c r="S410" s="3" t="inlineStr">
        <is>
          <t>—</t>
        </is>
      </c>
      <c r="T410" s="3" t="inlineStr">
        <is>
          <t>—</t>
        </is>
      </c>
      <c r="U410" s="3" t="inlineStr">
        <is>
          <t>ACTIVE</t>
        </is>
      </c>
      <c r="V410" s="3" t="inlineStr">
        <is>
          <t>2026-08-27</t>
        </is>
      </c>
    </row>
    <row r="411">
      <c r="A411" s="3" t="inlineStr">
        <is>
          <t>MK-ST-F-045</t>
        </is>
      </c>
      <c r="B411" s="3" t="inlineStr">
        <is>
          <t>setHideBalances</t>
        </is>
      </c>
      <c r="C411" s="3" t="inlineStr">
        <is>
          <t>src/domain/_shared/money.ts</t>
        </is>
      </c>
      <c r="D411" s="3" t="n">
        <v>76</v>
      </c>
      <c r="E411" s="3" t="inlineStr">
        <is>
          <t>1 · ACTION</t>
        </is>
      </c>
      <c r="F411" s="3" t="inlineStr">
        <is>
          <t>NOT DETERMINED — the code carries no note saying what this is for, and it has no row in the old inventory. Needs reading.</t>
        </is>
      </c>
      <c r="G411" s="6" t="inlineStr">
        <is>
          <t>It records or announces something and returns no figure — no arithmetic of its own.</t>
        </is>
      </c>
      <c r="H411" s="3" t="inlineStr">
        <is>
          <t>It records or announces something and returns no figure — no arithmetic of its own.</t>
        </is>
      </c>
      <c r="I411" s="3" t="inlineStr">
        <is>
          <t>NO ARITHMETIC — there is no formula to state</t>
        </is>
      </c>
      <c r="J411" s="3" t="inlineStr">
        <is>
          <t>b: boolean</t>
        </is>
      </c>
      <c r="K411" s="3" t="inlineStr">
        <is>
          <t>NOT DECLARED — the code does not say what it gives back</t>
        </is>
      </c>
      <c r="L411" s="3" t="inlineStr">
        <is>
          <t>—</t>
        </is>
      </c>
      <c r="M411" s="3" t="inlineStr">
        <is>
          <t>None found in this function — anything it assumes comes from the functions it depends on.</t>
        </is>
      </c>
      <c r="N411" s="3" t="inlineStr">
        <is>
          <t>Yes</t>
        </is>
      </c>
      <c r="O411" s="3" t="inlineStr">
        <is>
          <t>—</t>
        </is>
      </c>
      <c r="P411" s="3" t="n">
        <v>0</v>
      </c>
      <c r="Q411" s="3" t="inlineStr">
        <is>
          <t>None — no dependent function stands behind it</t>
        </is>
      </c>
      <c r="R411" s="3" t="inlineStr">
        <is>
          <t>No dependent function — it reads its inputs and answers</t>
        </is>
      </c>
      <c r="S411" s="3" t="inlineStr">
        <is>
          <t>—</t>
        </is>
      </c>
      <c r="T411" s="3" t="inlineStr">
        <is>
          <t>—</t>
        </is>
      </c>
      <c r="U411" s="3" t="inlineStr">
        <is>
          <t>ACTIVE</t>
        </is>
      </c>
      <c r="V411" s="3" t="inlineStr">
        <is>
          <t>2026-08-27</t>
        </is>
      </c>
    </row>
    <row r="412">
      <c r="A412" s="3" t="inlineStr">
        <is>
          <t>MK-ST-F-046</t>
        </is>
      </c>
      <c r="B412" s="3" t="inlineStr">
        <is>
          <t>balancesHidden</t>
        </is>
      </c>
      <c r="C412" s="3" t="inlineStr">
        <is>
          <t>src/domain/_shared/money.ts</t>
        </is>
      </c>
      <c r="D412" s="3" t="n">
        <v>92</v>
      </c>
      <c r="E412" s="3" t="inlineStr">
        <is>
          <t>3 · DEPENDENT (feeds an action only)</t>
        </is>
      </c>
      <c r="F412" s="3" t="inlineStr">
        <is>
          <t>NOT DETERMINED — the code carries no note saying what this is for, and it has no row in the old inventory. Needs reading.</t>
        </is>
      </c>
      <c r="G412" s="6" t="inlineStr">
        <is>
          <t>NOT READ YET — the body is not a shape this can render faithfully, so nothing is claimed rather than something being guessed. It needs reading by hand.</t>
        </is>
      </c>
      <c r="H412" s="3" t="inlineStr">
        <is>
          <t>NOT READ YET — the body is not a shape this can render faithfully, so nothing is claimed rather than something being guessed. It needs reading by hand.</t>
        </is>
      </c>
      <c r="I412" s="3" t="inlineStr">
        <is>
          <t>NOT READ — nothing is claimed rather than something guessed</t>
        </is>
      </c>
      <c r="J412" s="3" t="inlineStr">
        <is>
          <t>Nothing is handed to it</t>
        </is>
      </c>
      <c r="K412" s="3" t="inlineStr">
        <is>
          <t>boolean</t>
        </is>
      </c>
      <c r="L412" s="3" t="inlineStr">
        <is>
          <t>—</t>
        </is>
      </c>
      <c r="M412" s="3" t="inlineStr">
        <is>
          <t>None found in this function — anything it assumes comes from the functions it depends on.</t>
        </is>
      </c>
      <c r="N412" s="3" t="inlineStr">
        <is>
          <t>No</t>
        </is>
      </c>
      <c r="O412" s="3" t="inlineStr">
        <is>
          <t>—</t>
        </is>
      </c>
      <c r="P412" s="3" t="n">
        <v>0</v>
      </c>
      <c r="Q412" s="3" t="inlineStr">
        <is>
          <t>None — no dependent function stands behind it</t>
        </is>
      </c>
      <c r="R412" s="3" t="inlineStr">
        <is>
          <t>No dependent function — it reads its inputs and answers</t>
        </is>
      </c>
      <c r="S412" s="3" t="inlineStr">
        <is>
          <t>—</t>
        </is>
      </c>
      <c r="T412" s="3" t="inlineStr">
        <is>
          <t>—</t>
        </is>
      </c>
      <c r="U412" s="3" t="inlineStr">
        <is>
          <t>ACTIVE</t>
        </is>
      </c>
      <c r="V412" s="3" t="inlineStr">
        <is>
          <t>2026-08-27</t>
        </is>
      </c>
    </row>
    <row r="413">
      <c r="A413" s="3" t="inlineStr">
        <is>
          <t>MK-ST-F-047</t>
        </is>
      </c>
      <c r="B413" s="3" t="inlineStr">
        <is>
          <t>activeCurrency</t>
        </is>
      </c>
      <c r="C413" s="3" t="inlineStr">
        <is>
          <t>src/domain/_shared/money.ts</t>
        </is>
      </c>
      <c r="D413" s="3" t="n">
        <v>120</v>
      </c>
      <c r="E413" s="3" t="inlineStr">
        <is>
          <t>3 · DEPENDENT</t>
        </is>
      </c>
      <c r="F413" s="3" t="inlineStr">
        <is>
          <t>Which currency is the app showing?</t>
        </is>
      </c>
      <c r="G413" s="6" t="inlineStr">
        <is>
          <t>the first of CURRENCIES.find((c) =&gt; code = code) (or CURRENCIES when missing)</t>
        </is>
      </c>
      <c r="H413" s="3" t="inlineStr">
        <is>
          <t>the first of CURRENCIES.find((c) =&gt; code = code) (or CURRENCIES — when missing).</t>
        </is>
      </c>
      <c r="I413" s="3" t="inlineStr">
        <is>
          <t>PARTLY READ — some of the code is still showing through; needs a hand pass</t>
        </is>
      </c>
      <c r="J413" s="3" t="inlineStr">
        <is>
          <t>Nothing is handed to it</t>
        </is>
      </c>
      <c r="K413" s="3" t="inlineStr">
        <is>
          <t>Currency</t>
        </is>
      </c>
      <c r="L413" s="3" t="inlineStr">
        <is>
          <t>—</t>
        </is>
      </c>
      <c r="M413" s="3" t="inlineStr">
        <is>
          <t>None found in this function — anything it assumes comes from the functions it depends on.</t>
        </is>
      </c>
      <c r="N413" s="3" t="inlineStr">
        <is>
          <t>Yes</t>
        </is>
      </c>
      <c r="O413" s="3" t="inlineStr">
        <is>
          <t>—</t>
        </is>
      </c>
      <c r="P413" s="3" t="n">
        <v>0</v>
      </c>
      <c r="Q413" s="3" t="inlineStr">
        <is>
          <t>None — no dependent function stands behind it</t>
        </is>
      </c>
      <c r="R413" s="3" t="inlineStr">
        <is>
          <t>No dependent function — it reads its inputs and answers</t>
        </is>
      </c>
      <c r="S413" s="3" t="inlineStr">
        <is>
          <t>—</t>
        </is>
      </c>
      <c r="T413" s="3" t="inlineStr">
        <is>
          <t>CURRENCY</t>
        </is>
      </c>
      <c r="U413" s="3" t="inlineStr">
        <is>
          <t>ACTIVE</t>
        </is>
      </c>
      <c r="V413" s="3" t="inlineStr">
        <is>
          <t>2026-08-27</t>
        </is>
      </c>
    </row>
    <row r="414">
      <c r="A414" s="3" t="inlineStr">
        <is>
          <t>MK-ST-F-048</t>
        </is>
      </c>
      <c r="B414" s="3" t="inlineStr">
        <is>
          <t>currencySymbol</t>
        </is>
      </c>
      <c r="C414" s="3" t="inlineStr">
        <is>
          <t>src/domain/_shared/money.ts</t>
        </is>
      </c>
      <c r="D414" s="3" t="n">
        <v>149</v>
      </c>
      <c r="E414" s="3" t="inlineStr">
        <is>
          <t>2 · DISPLAYED</t>
        </is>
      </c>
      <c r="F414" s="3" t="inlineStr">
        <is>
          <t>NOT DETERMINED — the code carries no note saying what this is for, and it has no row in the old inventory. Needs reading.</t>
        </is>
      </c>
      <c r="G414" s="6" t="inlineStr">
        <is>
          <t>active currency().symbol</t>
        </is>
      </c>
      <c r="H414" s="3" t="inlineStr">
        <is>
          <t>active currency().symbol.</t>
        </is>
      </c>
      <c r="I414" s="3" t="inlineStr">
        <is>
          <t>PARTLY READ — some of the code is still showing through; needs a hand pass</t>
        </is>
      </c>
      <c r="J414" s="3" t="inlineStr">
        <is>
          <t>Nothing is handed to it</t>
        </is>
      </c>
      <c r="K414" s="3" t="inlineStr">
        <is>
          <t>string</t>
        </is>
      </c>
      <c r="L414" s="3" t="inlineStr">
        <is>
          <t>1. "Amount" — on the Look back screen
2. "Break this into specific stocks, bonds, options…" — on the Net worth screen
3. "Estimated benefit" — on the Retirement cockpit screen
4. "HOW MUCH WILL YOU INVEST PER YEAR?" — on the setup questions, which appear on more than one screen
5. "How much (this disbursement)" — on the setup questions, which appear on more than one screen
6. "How much per month" — on the setup questions, which appear on more than one screen</t>
        </is>
      </c>
      <c r="M414" s="3" t="inlineStr">
        <is>
          <t>None found in this function — anything it assumes comes from the functions it depends on.</t>
        </is>
      </c>
      <c r="N414" s="3" t="inlineStr">
        <is>
          <t>Yes</t>
        </is>
      </c>
      <c r="O414" s="3" t="inlineStr">
        <is>
          <t>MK-ST-F-047 activeCurrency</t>
        </is>
      </c>
      <c r="P414" s="3" t="n">
        <v>1</v>
      </c>
      <c r="Q414" s="3" t="inlineStr">
        <is>
          <t>MK-ST-F-047 activeCurrency</t>
        </is>
      </c>
      <c r="R414" s="3" t="inlineStr">
        <is>
          <t>MK-ST-F-047 activeCurrency → MK-ST-F-048 currencySymbol</t>
        </is>
      </c>
      <c r="S414" s="3" t="inlineStr">
        <is>
          <t>—</t>
        </is>
      </c>
      <c r="T414" s="3" t="inlineStr">
        <is>
          <t>—</t>
        </is>
      </c>
      <c r="U414" s="3" t="inlineStr">
        <is>
          <t>ACTIVE</t>
        </is>
      </c>
      <c r="V414" s="3" t="inlineStr">
        <is>
          <t>2026-08-27</t>
        </is>
      </c>
    </row>
    <row r="415">
      <c r="A415" s="3" t="inlineStr">
        <is>
          <t>MK-ST-F-049</t>
        </is>
      </c>
      <c r="B415" s="3" t="inlineStr">
        <is>
          <t>formatMoney</t>
        </is>
      </c>
      <c r="C415" s="3" t="inlineStr">
        <is>
          <t>src/domain/_shared/money.ts</t>
        </is>
      </c>
      <c r="D415" s="3" t="n">
        <v>186</v>
      </c>
      <c r="E415" s="3" t="inlineStr">
        <is>
          <t>2 · DISPLAYED</t>
        </is>
      </c>
      <c r="F415" s="3" t="inlineStr">
        <is>
          <t>Full amount, no minor units (matches the app's whole-number money style), locale-grouped.</t>
        </is>
      </c>
      <c r="G415" s="6" t="inlineStr">
        <is>
          <t>BALANCE_MASK   when hide
NOT_A_NUMBER   when !number.is finite(n)
v = round(n)
the answer = new intl.number format(locale, { style: 'currency', currency: code, maximum fraction digits: 0 }).format(v)
neg = '-'   if v &lt; 0
''   otherwise</t>
        </is>
      </c>
      <c r="H415" s="3" t="inlineStr">
        <is>
          <t>When hide, it answers BALANCE_MASK. When !number.is finite(n), it answers NOT_A_NUMBER. V is n, to a whole number. The answer is new intl.number format(locale, { style: 'currency', currency: code, maximum fraction digits: 0 }).format(v). Neg is '-' — when v &lt; 0; '' — otherwise.</t>
        </is>
      </c>
      <c r="I415" s="3" t="inlineStr">
        <is>
          <t>PARTLY READ — some of the code is still showing through; needs a hand pass</t>
        </is>
      </c>
      <c r="J415" s="3" t="inlineStr">
        <is>
          <t>n: number</t>
        </is>
      </c>
      <c r="K415" s="3" t="inlineStr">
        <is>
          <t>string</t>
        </is>
      </c>
      <c r="L415" s="3" t="inlineStr">
        <is>
          <t>NOT FOUND — a screen calls it, but the words printed beside its answer could not be traced automatically. Needs reading.</t>
        </is>
      </c>
      <c r="M415" s="3" t="inlineStr">
        <is>
          <t>· Rounds the answer to a whole number.</t>
        </is>
      </c>
      <c r="N415" s="3" t="inlineStr">
        <is>
          <t>Yes</t>
        </is>
      </c>
      <c r="O415" s="3" t="inlineStr">
        <is>
          <t>MK-ST-F-048 currencySymbol</t>
        </is>
      </c>
      <c r="P415" s="3" t="n">
        <v>2</v>
      </c>
      <c r="Q415" s="3" t="inlineStr">
        <is>
          <t>1. MK-ST-F-048 currencySymbol
2. MK-ST-F-047 activeCurrency</t>
        </is>
      </c>
      <c r="R415" s="3" t="inlineStr">
        <is>
          <t>MK-ST-F-047 activeCurrency → MK-ST-F-048 currencySymbol → MK-ST-F-049 formatMoney</t>
        </is>
      </c>
      <c r="S415" s="3" t="inlineStr">
        <is>
          <t>—</t>
        </is>
      </c>
      <c r="T415" s="3" t="inlineStr">
        <is>
          <t>MONEY_IN_WORDS</t>
        </is>
      </c>
      <c r="U415" s="3" t="inlineStr">
        <is>
          <t>ACTIVE</t>
        </is>
      </c>
      <c r="V415" s="3" t="inlineStr">
        <is>
          <t>2026-08-27</t>
        </is>
      </c>
    </row>
    <row r="416">
      <c r="A416" s="3" t="inlineStr">
        <is>
          <t>MK-ST-F-050</t>
        </is>
      </c>
      <c r="B416" s="3" t="inlineStr">
        <is>
          <t>formatMoneyCents</t>
        </is>
      </c>
      <c r="C416" s="3" t="inlineStr">
        <is>
          <t>src/domain/_shared/money.ts</t>
        </is>
      </c>
      <c r="D416" s="3" t="n">
        <v>225</v>
      </c>
      <c r="E416" s="3" t="inlineStr">
        <is>
          <t>3 · DEPENDENT</t>
        </is>
      </c>
      <c r="F416" s="3" t="inlineStr">
        <is>
          <t>Same as formatMoney but keeps 2 decimal places — for precise amounts (transactions, holdings, recurring lines).</t>
        </is>
      </c>
      <c r="G416" s="6" t="inlineStr">
        <is>
          <t>BALANCE_MASK   when hide
NOT_A_NUMBER   when !number.is finite(n)
v = n
the answer = new intl.number format(locale, { style: 'currency', currency: code, minimum fraction digits: 2, maximum fraction digits: 2 }).format(v)
neg = '-'   if v &lt; 0
''   otherwise</t>
        </is>
      </c>
      <c r="H416"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416" s="3" t="inlineStr">
        <is>
          <t>PARTLY READ — some of the code is still showing through; needs a hand pass</t>
        </is>
      </c>
      <c r="J416" s="3" t="inlineStr">
        <is>
          <t>n: number</t>
        </is>
      </c>
      <c r="K416" s="3" t="inlineStr">
        <is>
          <t>string</t>
        </is>
      </c>
      <c r="L416" s="3" t="inlineStr">
        <is>
          <t>—</t>
        </is>
      </c>
      <c r="M416" s="3" t="inlineStr">
        <is>
          <t>None found in this function — anything it assumes comes from the functions it depends on.</t>
        </is>
      </c>
      <c r="N416" s="3" t="inlineStr">
        <is>
          <t>Yes</t>
        </is>
      </c>
      <c r="O416" s="3" t="inlineStr">
        <is>
          <t>MK-ST-F-048 currencySymbol</t>
        </is>
      </c>
      <c r="P416" s="3" t="n">
        <v>2</v>
      </c>
      <c r="Q416" s="3" t="inlineStr">
        <is>
          <t>1. MK-ST-F-048 currencySymbol
2. MK-ST-F-047 activeCurrency</t>
        </is>
      </c>
      <c r="R416" s="3" t="inlineStr">
        <is>
          <t>MK-ST-F-047 activeCurrency → MK-ST-F-048 currencySymbol → MK-ST-F-050 formatMoneyCents</t>
        </is>
      </c>
      <c r="S416" s="3" t="inlineStr">
        <is>
          <t>—</t>
        </is>
      </c>
      <c r="T416" s="3" t="inlineStr">
        <is>
          <t>MONEY_IN_WORDS_WITH_CENTS</t>
        </is>
      </c>
      <c r="U416" s="3" t="inlineStr">
        <is>
          <t>ACTIVE</t>
        </is>
      </c>
      <c r="V416" s="3" t="inlineStr">
        <is>
          <t>2026-08-27</t>
        </is>
      </c>
    </row>
    <row r="417">
      <c r="A417" s="3" t="inlineStr">
        <is>
          <t>MK-ST-F-051</t>
        </is>
      </c>
      <c r="B417" s="3" t="inlineStr">
        <is>
          <t>moneyCompact</t>
        </is>
      </c>
      <c r="C417" s="3" t="inlineStr">
        <is>
          <t>src/domain/_shared/money.ts</t>
        </is>
      </c>
      <c r="D417" s="3" t="n">
        <v>265</v>
      </c>
      <c r="E417" s="3" t="inlineStr">
        <is>
          <t>2 · DISPLAYED</t>
        </is>
      </c>
      <c r="F417" s="3" t="inlineStr">
        <is>
          <t>Compact form for tight spaces (chart labels, donut center).</t>
        </is>
      </c>
      <c r="G417" s="6" t="inlineStr">
        <is>
          <t>BALANCE_MASK   when hide
s = currency symbol()
neg = '-'   if n &lt; 0
''   otherwise
a = size of(n)
`${neg}${s}${(a ÷ 1e6).to fixed(2).replace( ÷ \.?0+$ ÷ , '')}${style}`   when a ≥ 1e6
`${neg}${s}${math.round(a ÷ 1e3)}K`   when a ≥ 1e3
the answer = `${neg}${s}${math.round(a)}`</t>
        </is>
      </c>
      <c r="H417"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417" s="3" t="inlineStr">
        <is>
          <t>PARTLY READ — some of the code is still showing through; needs a hand pass</t>
        </is>
      </c>
      <c r="J417" s="3" t="inlineStr">
        <is>
          <t>1. n: number
2. style: 'M' | 'MM' = 'MM'</t>
        </is>
      </c>
      <c r="K417" s="3" t="inlineStr">
        <is>
          <t>string</t>
        </is>
      </c>
      <c r="L417" s="3" t="inlineStr">
        <is>
          <t>1. "Left to spend" — on the Retirement cockpit screen, under "RETIREMENT
2. WHERE YOU STAND"
3. "NEST EGG" — on the Retirement cockpit screen
4. "Nest egg today" — on the Retirement cockpit screen, under "scRetired ?"
5. "Nest egg" — on the Retirement cockpit screen, under "RETIREMENT
6. WHERE YOU STAND"
7. "Projected nest egg" — on the Retirement cockpit screen
8. "Suggested withdrawal order" — on the Retirement cockpit screen</t>
        </is>
      </c>
      <c r="M417" s="3" t="inlineStr">
        <is>
          <t>1. Rounds the answer to a whole number.
2. Shows 2 decimal places.</t>
        </is>
      </c>
      <c r="N417" s="3" t="inlineStr">
        <is>
          <t>Yes</t>
        </is>
      </c>
      <c r="O417" s="3" t="inlineStr">
        <is>
          <t>MK-ST-F-048 currencySymbol</t>
        </is>
      </c>
      <c r="P417" s="3" t="n">
        <v>2</v>
      </c>
      <c r="Q417" s="3" t="inlineStr">
        <is>
          <t>1. MK-ST-F-048 currencySymbol
2. MK-ST-F-047 activeCurrency</t>
        </is>
      </c>
      <c r="R417" s="3" t="inlineStr">
        <is>
          <t>MK-ST-F-047 activeCurrency → MK-ST-F-048 currencySymbol → MK-ST-F-051 moneyCompact</t>
        </is>
      </c>
      <c r="S417" s="3" t="inlineStr">
        <is>
          <t>—</t>
        </is>
      </c>
      <c r="T417" s="3" t="inlineStr">
        <is>
          <t>—</t>
        </is>
      </c>
      <c r="U417" s="3" t="inlineStr">
        <is>
          <t>ACTIVE</t>
        </is>
      </c>
      <c r="V417" s="3" t="inlineStr">
        <is>
          <t>2026-08-27</t>
        </is>
      </c>
    </row>
    <row r="418">
      <c r="A418" s="3" t="inlineStr">
        <is>
          <t>MK-ST-F-052</t>
        </is>
      </c>
      <c r="B418" s="3" t="inlineStr">
        <is>
          <t>toNum</t>
        </is>
      </c>
      <c r="C418" s="3" t="inlineStr">
        <is>
          <t>src/domain/_shared/num.ts</t>
        </is>
      </c>
      <c r="D418" s="3" t="n">
        <v>64</v>
      </c>
      <c r="E418" s="3" t="inlineStr">
        <is>
          <t>3 · DEPENDENT</t>
        </is>
      </c>
      <c r="F418" s="3" t="inlineStr">
        <is>
          <t>What number did the person actually type?</t>
        </is>
      </c>
      <c r="G418" s="6" t="inlineStr">
        <is>
          <t>n = parse float(string(v ?? '').replace( ÷ [^0 − 9.\-] ÷ g, ''))
the answer:
n   if number.is finite(n)
0   otherwise</t>
        </is>
      </c>
      <c r="H418" s="3" t="inlineStr">
        <is>
          <t>N is parse float(string(v ?? '').replace( divided by [^0 minus 9.\-] divided by g, '')). The answer is n — when number.is finite(n); 0 — otherwise.</t>
        </is>
      </c>
      <c r="I418" s="3" t="inlineStr">
        <is>
          <t>PARTLY READ — some of the code is still showing through; needs a hand pass</t>
        </is>
      </c>
      <c r="J418" s="3" t="inlineStr">
        <is>
          <t>v: any</t>
        </is>
      </c>
      <c r="K418" s="3" t="inlineStr">
        <is>
          <t>number</t>
        </is>
      </c>
      <c r="L418" s="3" t="inlineStr">
        <is>
          <t>—</t>
        </is>
      </c>
      <c r="M418" s="3" t="inlineStr">
        <is>
          <t>None found in this function — anything it assumes comes from the functions it depends on.</t>
        </is>
      </c>
      <c r="N418" s="3" t="inlineStr">
        <is>
          <t>Yes</t>
        </is>
      </c>
      <c r="O418" s="3" t="inlineStr">
        <is>
          <t>—</t>
        </is>
      </c>
      <c r="P418" s="3" t="n">
        <v>0</v>
      </c>
      <c r="Q418" s="3" t="inlineStr">
        <is>
          <t>None — no dependent function stands behind it</t>
        </is>
      </c>
      <c r="R418" s="3" t="inlineStr">
        <is>
          <t>No dependent function — it reads its inputs and answers</t>
        </is>
      </c>
      <c r="S418" s="3" t="inlineStr">
        <is>
          <t>—</t>
        </is>
      </c>
      <c r="T418" s="3" t="inlineStr">
        <is>
          <t>READ_A_NUMBER</t>
        </is>
      </c>
      <c r="U418" s="3" t="inlineStr">
        <is>
          <t>ACTIVE</t>
        </is>
      </c>
      <c r="V418" s="3" t="inlineStr">
        <is>
          <t>2026-08-27</t>
        </is>
      </c>
    </row>
    <row r="419">
      <c r="A419" s="3" t="inlineStr">
        <is>
          <t>MK-ST-F-053</t>
        </is>
      </c>
      <c r="B419" s="3" t="inlineStr">
        <is>
          <t>money</t>
        </is>
      </c>
      <c r="C419" s="3" t="inlineStr">
        <is>
          <t>src/domain/_shared/num.ts</t>
        </is>
      </c>
      <c r="D419" s="3" t="n">
        <v>95</v>
      </c>
      <c r="E419" s="3" t="inlineStr">
        <is>
          <t>1 · ACTION</t>
        </is>
      </c>
      <c r="F419" s="3" t="inlineStr">
        <is>
          <t>Currency/locale-aware (delegates to the active money format; defaults to USD/en-US).</t>
        </is>
      </c>
      <c r="G419" s="6" t="inlineStr">
        <is>
          <t>format money(n)</t>
        </is>
      </c>
      <c r="H419" s="3" t="inlineStr">
        <is>
          <t>format money(n)</t>
        </is>
      </c>
      <c r="I419" s="3" t="inlineStr">
        <is>
          <t>READ FROM THE CODE — rendered from the expressions the function runs</t>
        </is>
      </c>
      <c r="J419" s="3" t="inlineStr">
        <is>
          <t>n: number</t>
        </is>
      </c>
      <c r="K419" s="3" t="inlineStr">
        <is>
          <t>string</t>
        </is>
      </c>
      <c r="L419" s="3" t="inlineStr">
        <is>
          <t>1. "ACCOUNTS (year-end)" — on the Tax organiser screen, under "ACCOUNTS (year-end)"
2. "Add your income ›" — on the income summary screen
3. "Allocate to this goal ›" — on the Goals screen, under "YOUR GOALS"
4. "Amount" — on the budget screen
5. "Annual vesting cash flow" — on the setup questions, which appear on more than one screen
6. "Annuity / other" — on the setup questions, which appear on more than one screen</t>
        </is>
      </c>
      <c r="M419" s="3" t="inlineStr">
        <is>
          <t>None found in this function — anything it assumes comes from the functions it depends on.</t>
        </is>
      </c>
      <c r="N419" s="3" t="inlineStr">
        <is>
          <t>Yes</t>
        </is>
      </c>
      <c r="O419" s="3" t="inlineStr">
        <is>
          <t>MK-ST-F-049 formatMoney</t>
        </is>
      </c>
      <c r="P419" s="3" t="n">
        <v>3</v>
      </c>
      <c r="Q419" s="3" t="inlineStr">
        <is>
          <t>1. MK-ST-F-049 formatMoney
2. MK-ST-F-048 currencySymbol
3. MK-ST-F-047 activeCurrency</t>
        </is>
      </c>
      <c r="R419" s="3" t="inlineStr">
        <is>
          <t>MK-ST-F-047 activeCurrency → MK-ST-F-048 currencySymbol → MK-ST-F-049 formatMoney → MK-ST-F-053 money</t>
        </is>
      </c>
      <c r="S419" s="3" t="inlineStr">
        <is>
          <t>—</t>
        </is>
      </c>
      <c r="T419" s="3" t="inlineStr">
        <is>
          <t>—</t>
        </is>
      </c>
      <c r="U419" s="3" t="inlineStr">
        <is>
          <t>ACTIVE</t>
        </is>
      </c>
      <c r="V419" s="3" t="inlineStr">
        <is>
          <t>2026-08-27</t>
        </is>
      </c>
    </row>
    <row r="420">
      <c r="A420" s="3" t="inlineStr">
        <is>
          <t>MK-ST-F-054</t>
        </is>
      </c>
      <c r="B420" s="3" t="inlineStr">
        <is>
          <t>money2</t>
        </is>
      </c>
      <c r="C420" s="3" t="inlineStr">
        <is>
          <t>src/domain/_shared/num.ts</t>
        </is>
      </c>
      <c r="D420" s="3" t="n">
        <v>112</v>
      </c>
      <c r="E420" s="3" t="inlineStr">
        <is>
          <t>1 · ACTION</t>
        </is>
      </c>
      <c r="F420" s="3" t="inlineStr">
        <is>
          <t>Same, but keeps cents — for precise amounts (transactions, holdings).</t>
        </is>
      </c>
      <c r="G420" s="6" t="inlineStr">
        <is>
          <t>format money cents(n)</t>
        </is>
      </c>
      <c r="H420" s="3" t="inlineStr">
        <is>
          <t>format money cents(n)</t>
        </is>
      </c>
      <c r="I420" s="3" t="inlineStr">
        <is>
          <t>READ FROM THE CODE — rendered from the expressions the function runs</t>
        </is>
      </c>
      <c r="J420" s="3" t="inlineStr">
        <is>
          <t>n: number</t>
        </is>
      </c>
      <c r="K420" s="3" t="inlineStr">
        <is>
          <t>string</t>
        </is>
      </c>
      <c r="L420" s="3" t="inlineStr">
        <is>
          <t>1. "Monthly equivalent" — on the income screen
2. "No transactions yet." — on the Performance screen
3. "Total" — on the Import holdings screen
4. "Value" — on the Import holdings screen, under "REVIEW YOUR HOLDINGS"
5. "You earned" — on the income screen</t>
        </is>
      </c>
      <c r="M420" s="3" t="inlineStr">
        <is>
          <t>None found in this function — anything it assumes comes from the functions it depends on.</t>
        </is>
      </c>
      <c r="N420" s="3" t="inlineStr">
        <is>
          <t>Yes</t>
        </is>
      </c>
      <c r="O420" s="3" t="inlineStr">
        <is>
          <t>MK-ST-F-050 formatMoneyCents</t>
        </is>
      </c>
      <c r="P420" s="3" t="n">
        <v>3</v>
      </c>
      <c r="Q420" s="3" t="inlineStr">
        <is>
          <t>1. MK-ST-F-050 formatMoneyCents
2. MK-ST-F-048 currencySymbol
3. MK-ST-F-047 activeCurrency</t>
        </is>
      </c>
      <c r="R420" s="3" t="inlineStr">
        <is>
          <t>MK-ST-F-047 activeCurrency → MK-ST-F-048 currencySymbol → MK-ST-F-050 formatMoneyCents → MK-ST-F-054 money2</t>
        </is>
      </c>
      <c r="S420" s="3" t="inlineStr">
        <is>
          <t>—</t>
        </is>
      </c>
      <c r="T420" s="3" t="inlineStr">
        <is>
          <t>—</t>
        </is>
      </c>
      <c r="U420" s="3" t="inlineStr">
        <is>
          <t>ACTIVE</t>
        </is>
      </c>
      <c r="V420" s="3" t="inlineStr">
        <is>
          <t>2026-08-27</t>
        </is>
      </c>
    </row>
    <row r="421">
      <c r="A421" s="3" t="inlineStr">
        <is>
          <t>MK-ST-F-055</t>
        </is>
      </c>
      <c r="B421" s="3" t="inlineStr">
        <is>
          <t>round2</t>
        </is>
      </c>
      <c r="C421" s="3" t="inlineStr">
        <is>
          <t>Calculation Module code/engines/money.ts</t>
        </is>
      </c>
      <c r="D421" s="3" t="n">
        <v>263</v>
      </c>
      <c r="E421" s="3" t="inlineStr">
        <is>
          <t>1 · ACTION</t>
        </is>
      </c>
      <c r="F421" s="3" t="inlineStr">
        <is>
          <t>NOT DETERMINED — the code carries no note saying what this is for, and it has no row in the old inventory. Needs reading.</t>
        </is>
      </c>
      <c r="G421" s="6" t="inlineStr">
        <is>
          <t>round2(n) = round(n × 100) ÷ 100</t>
        </is>
      </c>
      <c r="H421" s="3" t="inlineStr">
        <is>
          <t>Rounds to two decimal places — the cent. The hundred is the rounding scale, nothing to do with percentages or with an option contract being a hundred shares.</t>
        </is>
      </c>
      <c r="I421" s="3" t="inlineStr">
        <is>
          <t>READ BY HAND 2026-08-26 — checked line by line against the code</t>
        </is>
      </c>
      <c r="J421" s="3" t="inlineStr">
        <is>
          <t>n: number</t>
        </is>
      </c>
      <c r="K421" s="3" t="inlineStr">
        <is>
          <t>number</t>
        </is>
      </c>
      <c r="L421" s="3" t="inlineStr">
        <is>
          <t>—</t>
        </is>
      </c>
      <c r="M421" s="3" t="inlineStr">
        <is>
          <t>1. Multiplies by 100 — a percentage, or an option contract treated as 100 shares. Worth checking which.
2. Rounds the answer to a whole number.</t>
        </is>
      </c>
      <c r="N421" s="3" t="inlineStr">
        <is>
          <t>Yes</t>
        </is>
      </c>
      <c r="O421" s="3" t="inlineStr">
        <is>
          <t>—</t>
        </is>
      </c>
      <c r="P421" s="3" t="n">
        <v>0</v>
      </c>
      <c r="Q421" s="3" t="inlineStr">
        <is>
          <t>None — no dependent function stands behind it</t>
        </is>
      </c>
      <c r="R421" s="3" t="inlineStr">
        <is>
          <t>No dependent function — it reads its inputs and answers</t>
        </is>
      </c>
      <c r="S421" s="3" t="inlineStr">
        <is>
          <t>—</t>
        </is>
      </c>
      <c r="T421" s="3" t="inlineStr">
        <is>
          <t>—</t>
        </is>
      </c>
      <c r="U421" s="3" t="inlineStr">
        <is>
          <t>ACTIVE</t>
        </is>
      </c>
      <c r="V421" s="3" t="inlineStr">
        <is>
          <t>2026-08-27</t>
        </is>
      </c>
    </row>
    <row r="422">
      <c r="A422" s="3" t="inlineStr">
        <is>
          <t>MK-ST-F-056</t>
        </is>
      </c>
      <c r="B422" s="3" t="inlineStr">
        <is>
          <t>has</t>
        </is>
      </c>
      <c r="C422" s="3" t="inlineStr">
        <is>
          <t>Calculation Module code/engines/classify.ts</t>
        </is>
      </c>
      <c r="D422" s="3" t="n">
        <v>118</v>
      </c>
      <c r="E422" s="3" t="inlineStr">
        <is>
          <t>1 · ACTION</t>
        </is>
      </c>
      <c r="F422" s="3" t="inlineStr">
        <is>
          <t>NOT DETERMINED — the code carries no note saying what this is for, and it has no row in the old inventory. Needs reading.</t>
        </is>
      </c>
      <c r="G422" s="6" t="inlineStr">
        <is>
          <t>re.test(s)</t>
        </is>
      </c>
      <c r="H422" s="3" t="inlineStr">
        <is>
          <t>re.test(s)</t>
        </is>
      </c>
      <c r="I422" s="3" t="inlineStr">
        <is>
          <t>PARTLY READ — some of the code is still showing through; needs a hand pass</t>
        </is>
      </c>
      <c r="J422" s="3" t="inlineStr">
        <is>
          <t>1. s: string
2. re: RegExp</t>
        </is>
      </c>
      <c r="K422" s="3" t="inlineStr">
        <is>
          <t>NOT DECLARED — the code does not say what it gives back</t>
        </is>
      </c>
      <c r="L422" s="3" t="inlineStr">
        <is>
          <t>—</t>
        </is>
      </c>
      <c r="M422" s="3" t="inlineStr">
        <is>
          <t>None found in this function — anything it assumes comes from the functions it depends on.</t>
        </is>
      </c>
      <c r="N422" s="3" t="inlineStr">
        <is>
          <t>Yes</t>
        </is>
      </c>
      <c r="O422" s="3" t="inlineStr">
        <is>
          <t>—</t>
        </is>
      </c>
      <c r="P422" s="3" t="n">
        <v>0</v>
      </c>
      <c r="Q422" s="3" t="inlineStr">
        <is>
          <t>None — no dependent function stands behind it</t>
        </is>
      </c>
      <c r="R422" s="3" t="inlineStr">
        <is>
          <t>No dependent function — it reads its inputs and answers</t>
        </is>
      </c>
      <c r="S422" s="3" t="inlineStr">
        <is>
          <t>—</t>
        </is>
      </c>
      <c r="T422" s="3" t="inlineStr">
        <is>
          <t>—</t>
        </is>
      </c>
      <c r="U422" s="3" t="inlineStr">
        <is>
          <t>ACTIVE</t>
        </is>
      </c>
      <c r="V422" s="3" t="inlineStr">
        <is>
          <t>2026-08-27</t>
        </is>
      </c>
    </row>
    <row r="423">
      <c r="A423" s="3" t="inlineStr">
        <is>
          <t>MK-ST-F-057</t>
        </is>
      </c>
      <c r="B423" s="3" t="inlineStr">
        <is>
          <t>divRounded</t>
        </is>
      </c>
      <c r="C423" s="3" t="inlineStr">
        <is>
          <t>Calculation Module code/engines/decimal.ts</t>
        </is>
      </c>
      <c r="D423" s="3" t="n">
        <v>127</v>
      </c>
      <c r="E423" s="3" t="inlineStr">
        <is>
          <t>3 · DEPENDENT (feeds an action only)</t>
        </is>
      </c>
      <c r="F423" s="3" t="inlineStr">
        <is>
          <t>Round-half-even division on bigints.</t>
        </is>
      </c>
      <c r="G423" s="6" t="inlineStr">
        <is>
          <t>negative = (num &lt; 0n) ! = (den &lt; 0n)
n = -num   if num &lt; 0n
-den   if num, d = den &lt; 0n
den   otherwise   otherwise
q = n ÷ d, r = (n % d) × 2n
out = q
the answer:
-out   if negative
out   otherwise</t>
        </is>
      </c>
      <c r="H423" s="3" t="inlineStr">
        <is>
          <t>Negative is (num &lt; 0n) ! = (den &lt; 0n). N is -num — when num &lt; 0n; -den — when num, d = den &lt; 0n; den — otherwise — otherwise. Q is n divided by d, r = (n % d) times 2n. Out is q. The answer is -out — when negative; out — otherwise.</t>
        </is>
      </c>
      <c r="I423" s="3" t="inlineStr">
        <is>
          <t>READ FROM THE CODE — rendered from the expressions the function runs</t>
        </is>
      </c>
      <c r="J423" s="3" t="inlineStr">
        <is>
          <t>1. num: bigint
2. den: bigint</t>
        </is>
      </c>
      <c r="K423" s="3" t="inlineStr">
        <is>
          <t>bigint</t>
        </is>
      </c>
      <c r="L423" s="3" t="inlineStr">
        <is>
          <t>—</t>
        </is>
      </c>
      <c r="M423" s="3" t="inlineStr">
        <is>
          <t>None found in this function — anything it assumes comes from the functions it depends on.</t>
        </is>
      </c>
      <c r="N423" s="3" t="inlineStr">
        <is>
          <t>No</t>
        </is>
      </c>
      <c r="O423" s="3" t="inlineStr">
        <is>
          <t>—</t>
        </is>
      </c>
      <c r="P423" s="3" t="n">
        <v>0</v>
      </c>
      <c r="Q423" s="3" t="inlineStr">
        <is>
          <t>None — no dependent function stands behind it</t>
        </is>
      </c>
      <c r="R423" s="3" t="inlineStr">
        <is>
          <t>No dependent function — it reads its inputs and answers</t>
        </is>
      </c>
      <c r="S423" s="3" t="inlineStr">
        <is>
          <t>—</t>
        </is>
      </c>
      <c r="T423" s="3" t="inlineStr">
        <is>
          <t>—</t>
        </is>
      </c>
      <c r="U423" s="3" t="inlineStr">
        <is>
          <t>ACTIVE</t>
        </is>
      </c>
      <c r="V423" s="3" t="inlineStr">
        <is>
          <t>2026-08-27</t>
        </is>
      </c>
    </row>
    <row r="424">
      <c r="A424" s="3" t="inlineStr">
        <is>
          <t>MK-ST-F-058</t>
        </is>
      </c>
      <c r="B424" s="3" t="inlineStr">
        <is>
          <t>numberOrUndefined</t>
        </is>
      </c>
      <c r="C424" s="3" t="inlineStr">
        <is>
          <t>Calculation Module code/engines/ledger.ts</t>
        </is>
      </c>
      <c r="D424" s="3" t="n">
        <v>384</v>
      </c>
      <c r="E424" s="3" t="inlineStr">
        <is>
          <t>3 · DEPENDENT (feeds an action only)</t>
        </is>
      </c>
      <c r="F424" s="3" t="inlineStr">
        <is>
          <t>NOT DETERMINED — the code carries no note saying what this is for, and it has no row in the old inventory. Needs reading.</t>
        </is>
      </c>
      <c r="G424" s="6" t="inlineStr">
        <is>
          <t>n = v   if v is a number
na n   if v = nothing
parse float(string(v).replace( ÷ [$,\s] ÷ g, ''))   otherwise   otherwise
the answer:
n   if number.is finite(n)
undefined   otherwise</t>
        </is>
      </c>
      <c r="H424" s="3" t="inlineStr">
        <is>
          <t>N is v — when v is a number; na n — when v is missing; parse float(string(v).replace( divided by [$,\s] divided by g, '')) — otherwise — otherwise. The answer is n — when number.is finite(n); undefined — otherwise.</t>
        </is>
      </c>
      <c r="I424" s="3" t="inlineStr">
        <is>
          <t>PARTLY READ — some of the code is still showing through; needs a hand pass</t>
        </is>
      </c>
      <c r="J424" s="3" t="inlineStr">
        <is>
          <t>v: unknown</t>
        </is>
      </c>
      <c r="K424" s="3" t="inlineStr">
        <is>
          <t>number | undefined</t>
        </is>
      </c>
      <c r="L424" s="3" t="inlineStr">
        <is>
          <t>—</t>
        </is>
      </c>
      <c r="M424" s="3" t="inlineStr">
        <is>
          <t>None found in this function — anything it assumes comes from the functions it depends on.</t>
        </is>
      </c>
      <c r="N424" s="3" t="inlineStr">
        <is>
          <t>No</t>
        </is>
      </c>
      <c r="O424" s="3" t="inlineStr">
        <is>
          <t>—</t>
        </is>
      </c>
      <c r="P424" s="3" t="n">
        <v>0</v>
      </c>
      <c r="Q424" s="3" t="inlineStr">
        <is>
          <t>None — no dependent function stands behind it</t>
        </is>
      </c>
      <c r="R424" s="3" t="inlineStr">
        <is>
          <t>No dependent function — it reads its inputs and answers</t>
        </is>
      </c>
      <c r="S424" s="3" t="inlineStr">
        <is>
          <t>—</t>
        </is>
      </c>
      <c r="T424" s="3" t="inlineStr">
        <is>
          <t>—</t>
        </is>
      </c>
      <c r="U424" s="3" t="inlineStr">
        <is>
          <t>ACTIVE</t>
        </is>
      </c>
      <c r="V424" s="3" t="inlineStr">
        <is>
          <t>2026-08-27</t>
        </is>
      </c>
    </row>
    <row r="425">
      <c r="A425" s="3" t="inlineStr">
        <is>
          <t>MK-ST-F-059</t>
        </is>
      </c>
      <c r="B425" s="3" t="inlineStr">
        <is>
          <t>round8</t>
        </is>
      </c>
      <c r="C425" s="3" t="inlineStr">
        <is>
          <t>Calculation Module code/engines/ledger.ts</t>
        </is>
      </c>
      <c r="D425" s="3" t="n">
        <v>406</v>
      </c>
      <c r="E425" s="3" t="inlineStr">
        <is>
          <t>1 · ACTION</t>
        </is>
      </c>
      <c r="F425" s="3" t="inlineStr">
        <is>
          <t>NOT DETERMINED — the code carries no note saying what this is for, and it has no row in the old inventory. Needs reading.</t>
        </is>
      </c>
      <c r="G425" s="6" t="inlineStr">
        <is>
          <t>round(n × 1e8) ÷ 1e8</t>
        </is>
      </c>
      <c r="H425" s="3" t="inlineStr">
        <is>
          <t>n times 1e8, to a whole number divided by 1e8</t>
        </is>
      </c>
      <c r="I425" s="3" t="inlineStr">
        <is>
          <t>READ FROM THE CODE — rendered from the expressions the function runs</t>
        </is>
      </c>
      <c r="J425" s="3" t="inlineStr">
        <is>
          <t>n: number</t>
        </is>
      </c>
      <c r="K425" s="3" t="inlineStr">
        <is>
          <t>NOT DECLARED — the code does not say what it gives back</t>
        </is>
      </c>
      <c r="L425" s="3" t="inlineStr">
        <is>
          <t>—</t>
        </is>
      </c>
      <c r="M425" s="3" t="inlineStr">
        <is>
          <t>· Rounds the answer to a whole number.</t>
        </is>
      </c>
      <c r="N425" s="3" t="inlineStr">
        <is>
          <t>No</t>
        </is>
      </c>
      <c r="O425" s="3" t="inlineStr">
        <is>
          <t>—</t>
        </is>
      </c>
      <c r="P425" s="3" t="n">
        <v>0</v>
      </c>
      <c r="Q425" s="3" t="inlineStr">
        <is>
          <t>None — no dependent function stands behind it</t>
        </is>
      </c>
      <c r="R425" s="3" t="inlineStr">
        <is>
          <t>No dependent function — it reads its inputs and answers</t>
        </is>
      </c>
      <c r="S425" s="3" t="inlineStr">
        <is>
          <t>—</t>
        </is>
      </c>
      <c r="T425" s="3" t="inlineStr">
        <is>
          <t>—</t>
        </is>
      </c>
      <c r="U425" s="3" t="inlineStr">
        <is>
          <t>ACTIVE</t>
        </is>
      </c>
      <c r="V425" s="3" t="inlineStr">
        <is>
          <t>2026-08-27</t>
        </is>
      </c>
    </row>
    <row r="426">
      <c r="A426" s="3" t="inlineStr">
        <is>
          <t>MK-ST-F-060</t>
        </is>
      </c>
      <c r="B426" s="3" t="inlineStr">
        <is>
          <t>verdict</t>
        </is>
      </c>
      <c r="C426" s="3" t="inlineStr">
        <is>
          <t>Calculation Module code/engines/reconcile.ts</t>
        </is>
      </c>
      <c r="D426" s="3" t="n">
        <v>46</v>
      </c>
      <c r="E426" s="3" t="inlineStr">
        <is>
          <t>2 · DISPLAYED</t>
        </is>
      </c>
      <c r="F426" s="3" t="inlineStr">
        <is>
          <t>NOT DETERMINED — the code carries no note saying what this is for, and it has no row in the old inventory. Needs reading.</t>
        </is>
      </c>
      <c r="G426" s="6" t="inlineStr">
        <is>
          <t>difference = computed.sub(stated)</t>
        </is>
      </c>
      <c r="H426" s="3" t="inlineStr">
        <is>
          <t>Difference is computed.sub(stated).</t>
        </is>
      </c>
      <c r="I426" s="3" t="inlineStr">
        <is>
          <t>PARTLY READ — some of the code is still showing through; needs a hand pass</t>
        </is>
      </c>
      <c r="J426" s="3" t="inlineStr">
        <is>
          <t>1. computed: Dec
2. stated: Dec
3. what: string</t>
        </is>
      </c>
      <c r="K426" s="3" t="inlineStr">
        <is>
          <t>Reconciliation</t>
        </is>
      </c>
      <c r="L426" s="3" t="inlineStr">
        <is>
          <t>NOT FOUND — a screen calls it, but the words printed beside its answer could not be traced automatically. Needs reading.</t>
        </is>
      </c>
      <c r="M426" s="3" t="inlineStr">
        <is>
          <t>None found in this function — anything it assumes comes from the functions it depends on.</t>
        </is>
      </c>
      <c r="N426" s="3" t="inlineStr">
        <is>
          <t>Yes</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t>
        </is>
      </c>
      <c r="U426" s="3" t="inlineStr">
        <is>
          <t>ACTIVE</t>
        </is>
      </c>
      <c r="V426" s="3" t="inlineStr">
        <is>
          <t>2026-08-27</t>
        </is>
      </c>
    </row>
    <row r="427">
      <c r="A427" s="3" t="inlineStr">
        <is>
          <t>MK-ST-F-061</t>
        </is>
      </c>
      <c r="B427" s="3" t="inlineStr">
        <is>
          <t>isMonthEnd</t>
        </is>
      </c>
      <c r="C427" s="3" t="inlineStr">
        <is>
          <t>Calculation Module code/engines/snapshots.ts</t>
        </is>
      </c>
      <c r="D427" s="3" t="n">
        <v>226</v>
      </c>
      <c r="E427" s="3" t="inlineStr">
        <is>
          <t>3 · DEPENDENT (feeds an action only)</t>
        </is>
      </c>
      <c r="F427" s="3" t="inlineStr">
        <is>
          <t>NOT DETERMINED — the code carries no note saying what this is for, and it has no row in the old inventory. Needs reading.</t>
        </is>
      </c>
      <c r="G427" s="6" t="inlineStr">
        <is>
          <t>last = the date y, m, 0).get date(
false   when the first 7)}-${string(d).pad start(2, '0')}` of all dates.has(`${date
the answer = true</t>
        </is>
      </c>
      <c r="H427" s="3" t="inlineStr">
        <is>
          <t>Last: the date y, m, 0).get date(. When the first 7)}-${string(d).pad start(2, '0')}` of all dates.has(`${date, it answers false. The answer is true.</t>
        </is>
      </c>
      <c r="I427" s="3" t="inlineStr">
        <is>
          <t>PARTLY READ — some of the code is still showing through; needs a hand pass</t>
        </is>
      </c>
      <c r="J427" s="3" t="inlineStr">
        <is>
          <t>1. date: string
2. allDates: Set&lt;string&gt;</t>
        </is>
      </c>
      <c r="K427" s="3" t="inlineStr">
        <is>
          <t>boolean</t>
        </is>
      </c>
      <c r="L427" s="3" t="inlineStr">
        <is>
          <t>—</t>
        </is>
      </c>
      <c r="M427" s="3" t="inlineStr">
        <is>
          <t>None found in this function — anything it assumes comes from the functions it depends on.</t>
        </is>
      </c>
      <c r="N427" s="3" t="inlineStr">
        <is>
          <t>No</t>
        </is>
      </c>
      <c r="O427" s="3" t="inlineStr">
        <is>
          <t>1. MK-ST-F-056 has
2. MK-CF-F-132 map</t>
        </is>
      </c>
      <c r="P427" s="3" t="n">
        <v>2</v>
      </c>
      <c r="Q427" s="3" t="inlineStr">
        <is>
          <t>1. MK-ST-F-056 has
2. MK-CF-F-132 map</t>
        </is>
      </c>
      <c r="R427" s="3" t="inlineStr">
        <is>
          <t>1. MK-ST-F-056 has → MK-ST-F-061 isMonthEnd
2. MK-CF-F-132 map → MK-ST-F-061 isMonthEnd</t>
        </is>
      </c>
      <c r="S427" s="3" t="inlineStr">
        <is>
          <t>—</t>
        </is>
      </c>
      <c r="T427" s="3" t="inlineStr">
        <is>
          <t>—</t>
        </is>
      </c>
      <c r="U427" s="3" t="inlineStr">
        <is>
          <t>ACTIVE</t>
        </is>
      </c>
      <c r="V427" s="3" t="inlineStr">
        <is>
          <t>2026-08-27</t>
        </is>
      </c>
    </row>
    <row r="428">
      <c r="A428" s="3" t="inlineStr">
        <is>
          <t>MK-ST-F-062</t>
        </is>
      </c>
      <c r="B428" s="3" t="inlineStr">
        <is>
          <t>toUtc</t>
        </is>
      </c>
      <c r="C428" s="3" t="inlineStr">
        <is>
          <t>Calculation Module code/engines/window-return.ts</t>
        </is>
      </c>
      <c r="D428" s="3" t="n">
        <v>52</v>
      </c>
      <c r="E428" s="3" t="inlineStr">
        <is>
          <t>1 · ACTION</t>
        </is>
      </c>
      <c r="F428" s="3" t="inlineStr">
        <is>
          <t>NOT DETERMINED — the code carries no note saying what this is for, and it has no row in the old inventory. Needs reading.</t>
        </is>
      </c>
      <c r="G428" s="6" t="inlineStr">
        <is>
          <t>NOT READ YET — the body is not a shape this can render faithfully, so nothing is claimed rather than something being guessed. It needs reading by hand.</t>
        </is>
      </c>
      <c r="H428" s="3" t="inlineStr">
        <is>
          <t>NOT READ YET — the body is not a shape this can render faithfully, so nothing is claimed rather than something being guessed. It needs reading by hand.</t>
        </is>
      </c>
      <c r="I428" s="3" t="inlineStr">
        <is>
          <t>NOT READ — nothing is claimed rather than something guessed</t>
        </is>
      </c>
      <c r="J428" s="3" t="inlineStr">
        <is>
          <t>d: string</t>
        </is>
      </c>
      <c r="K428" s="3" t="inlineStr">
        <is>
          <t>00:00Z`);</t>
        </is>
      </c>
      <c r="L428" s="3" t="inlineStr">
        <is>
          <t>—</t>
        </is>
      </c>
      <c r="M428" s="3" t="inlineStr">
        <is>
          <t>None found in this function — anything it assumes comes from the functions it depends on.</t>
        </is>
      </c>
      <c r="N428" s="3" t="inlineStr">
        <is>
          <t>Yes</t>
        </is>
      </c>
      <c r="O428" s="3" t="inlineStr">
        <is>
          <t>—</t>
        </is>
      </c>
      <c r="P428" s="3" t="n">
        <v>0</v>
      </c>
      <c r="Q428" s="3" t="inlineStr">
        <is>
          <t>None — no dependent function stands behind it</t>
        </is>
      </c>
      <c r="R428" s="3" t="inlineStr">
        <is>
          <t>No dependent function — it reads its inputs and answers</t>
        </is>
      </c>
      <c r="S428" s="3" t="inlineStr">
        <is>
          <t>—</t>
        </is>
      </c>
      <c r="T428" s="3" t="inlineStr">
        <is>
          <t>—</t>
        </is>
      </c>
      <c r="U428" s="3" t="inlineStr">
        <is>
          <t>ACTIVE</t>
        </is>
      </c>
      <c r="V428" s="3" t="inlineStr">
        <is>
          <t>2026-08-27</t>
        </is>
      </c>
    </row>
    <row r="429">
      <c r="A429" s="3" t="inlineStr">
        <is>
          <t>MK-ST-F-063</t>
        </is>
      </c>
      <c r="B429" s="3" t="inlineStr">
        <is>
          <t>shiftDay</t>
        </is>
      </c>
      <c r="C429" s="3" t="inlineStr">
        <is>
          <t>Calculation Module code/engines/window-return.ts</t>
        </is>
      </c>
      <c r="D429" s="3" t="n">
        <v>71</v>
      </c>
      <c r="E429" s="3" t="inlineStr">
        <is>
          <t>1 · ACTION</t>
        </is>
      </c>
      <c r="F429" s="3" t="inlineStr">
        <is>
          <t>NOT DETERMINED — the code carries no note saying what this is for, and it has no row in the old inventory. Needs reading.</t>
        </is>
      </c>
      <c r="G429" s="6" t="inlineStr">
        <is>
          <t>the first 10 of the date to utc(d) + by × day ms).to isostring(</t>
        </is>
      </c>
      <c r="H429" s="3" t="inlineStr">
        <is>
          <t>the first 10 of the date to utc(d) plus by times day ms).to isostring(</t>
        </is>
      </c>
      <c r="I429" s="3" t="inlineStr">
        <is>
          <t>PARTLY READ — some of the code is still showing through; needs a hand pass</t>
        </is>
      </c>
      <c r="J429" s="3" t="inlineStr">
        <is>
          <t>1. d: string
2. by: number</t>
        </is>
      </c>
      <c r="K429" s="3" t="inlineStr">
        <is>
          <t>NOT DECLARED — the code does not say what it gives back</t>
        </is>
      </c>
      <c r="L429" s="3" t="inlineStr">
        <is>
          <t>—</t>
        </is>
      </c>
      <c r="M429" s="3" t="inlineStr">
        <is>
          <t>None found in this function — anything it assumes comes from the functions it depends on.</t>
        </is>
      </c>
      <c r="N429" s="3" t="inlineStr">
        <is>
          <t>Yes</t>
        </is>
      </c>
      <c r="O429" s="3" t="inlineStr">
        <is>
          <t>MK-ST-F-062 toUtc</t>
        </is>
      </c>
      <c r="P429" s="3" t="n">
        <v>1</v>
      </c>
      <c r="Q429" s="3" t="inlineStr">
        <is>
          <t>MK-ST-F-062 toUtc</t>
        </is>
      </c>
      <c r="R429" s="3" t="inlineStr">
        <is>
          <t>MK-ST-F-062 toUtc → MK-ST-F-063 shiftDay</t>
        </is>
      </c>
      <c r="S429" s="3" t="inlineStr">
        <is>
          <t>—</t>
        </is>
      </c>
      <c r="T429" s="3" t="inlineStr">
        <is>
          <t>—</t>
        </is>
      </c>
      <c r="U429" s="3" t="inlineStr">
        <is>
          <t>ACTIVE</t>
        </is>
      </c>
      <c r="V429" s="3" t="inlineStr">
        <is>
          <t>2026-08-27</t>
        </is>
      </c>
    </row>
    <row r="430">
      <c r="A430" s="3" t="inlineStr">
        <is>
          <t>MK-ST-F-064</t>
        </is>
      </c>
      <c r="B430" s="3" t="inlineStr">
        <is>
          <t>modifiedDietzOverWindow</t>
        </is>
      </c>
      <c r="C430" s="3" t="inlineStr">
        <is>
          <t>Calculation Module code/engines/window-return.ts</t>
        </is>
      </c>
      <c r="D430" s="3" t="n">
        <v>157</v>
      </c>
      <c r="E430" s="3" t="inlineStr">
        <is>
          <t>2 · DISPLAYED</t>
        </is>
      </c>
      <c r="F430" s="3" t="inlineStr">
        <is>
          <t>NOT DETERMINED — the code carries no note saying what this is for, and it has no row in the old inventory. Needs reading.</t>
        </is>
      </c>
      <c r="G430" s="6" t="inlineStr">
        <is>
          <t>w = window bounds(start, end)
flows = flows (or none when missing)
net flows = dec.sum(flows.map((f) =&gt; amount))
gain = ending.sub(beginning).sub(net flows)
t = min(max(round((to utc(date) − to utc(start)) ÷ day ms), 0), days − 1)
the answer = (days − t) ÷ days
denom = Σ over flows of (amount.to number(8) × weight(each))  starting from beginning.to number(8)
dateless = flows.some((f) =&gt; !date)
limit = beginning.abs().to number(8) × DATELESS_FLOW_LIMIT
r = rate with(() =&gt; 0.5)
rate = rate with((f) =&gt; weight of(date!))
… the first steps only — the rest of the body needs reading by hand.</t>
        </is>
      </c>
      <c r="H430" s="3" t="inlineStr">
        <is>
          <t>W is window bounds(start, end). Flows is flows (or none — when missing). Net flows is dec.sum(flows.map((f) =&gt; amount)). Gain is ending.sub(beginning).sub(net flows). T: the smaller of the larger of (to utc(date and to a whole number minus to utc(start) divided by day ms) and 0, days minus 1). The answer is (days minus t) divided by days. Denom: the amount.to number(8) times weight(each)) starting from beginning.to number(8 added up across flows. Dateless is flows.some((f) =&gt; !date). Limit is beginning.abs().to number(8) times DATELESS_FLOW_LIMIT. R is rate with(() =&gt; 0.5). Rate is rate with((f) =&gt; weight of(date!)). Only the first steps are shown; the rest of the body needs reading by hand.</t>
        </is>
      </c>
      <c r="I430" s="3" t="inlineStr">
        <is>
          <t>PARTLY READ — some of the code is still showing through; needs a hand pass</t>
        </is>
      </c>
      <c r="J430" s="3" t="inlineStr">
        <is>
          <t>Nothing is handed to it</t>
        </is>
      </c>
      <c r="K430" s="3" t="inlineStr">
        <is>
          <t>NOT DECLARED — the code does not say what it gives back</t>
        </is>
      </c>
      <c r="L430" s="3" t="inlineStr">
        <is>
          <t>NOT FOUND — a screen calls it, but the words printed beside its answer could not be traced automatically. Needs reading.</t>
        </is>
      </c>
      <c r="M430" s="3" t="inlineStr">
        <is>
          <t>· Rounds the answer to a whole number.</t>
        </is>
      </c>
      <c r="N430" s="3" t="inlineStr">
        <is>
          <t>Yes</t>
        </is>
      </c>
      <c r="O430" s="3" t="inlineStr">
        <is>
          <t>1. MK-CF-F-132 map
2. MK-ST-F-021 toNumber
3. MK-ST-F-062 toUtc
4. MK-ST-F-038 windowBounds</t>
        </is>
      </c>
      <c r="P430" s="3" t="n">
        <v>5</v>
      </c>
      <c r="Q430" s="3" t="inlineStr">
        <is>
          <t>1. MK-CF-F-132 map
2. MK-ST-F-021 toNumber
3. MK-ST-F-062 toUtc
4. MK-ST-F-038 windowBounds
5. MK-ST-F-063 shiftDay</t>
        </is>
      </c>
      <c r="R430" s="3" t="inlineStr">
        <is>
          <t>1. MK-CF-F-132 map → MK-ST-F-064 modifiedDietzOverWindow
2. MK-ST-F-021 toNumber → MK-ST-F-064 modifiedDietzOverWindow
3. MK-ST-F-062 toUtc → MK-ST-F-064 modifiedDietzOverWindow
4. MK-ST-F-062 toUtc → MK-ST-F-063 shiftDay → MK-ST-F-038 windowBounds → MK-ST-F-064 modifiedDietzOverWindow
5. MK-ST-F-062 toUtc → MK-ST-F-038 windowBounds → MK-ST-F-064 modifiedDietzOverWindow</t>
        </is>
      </c>
      <c r="S430" s="3" t="inlineStr">
        <is>
          <t>—</t>
        </is>
      </c>
      <c r="T430" s="3" t="inlineStr">
        <is>
          <t>—</t>
        </is>
      </c>
      <c r="U430" s="3" t="inlineStr">
        <is>
          <t>ACTIVE</t>
        </is>
      </c>
      <c r="V430" s="3" t="inlineStr">
        <is>
          <t>2026-08-27</t>
        </is>
      </c>
    </row>
    <row r="431">
      <c r="A431" s="3" t="inlineStr">
        <is>
          <t>MK-ST-F-065</t>
        </is>
      </c>
      <c r="B431" s="3" t="inlineStr">
        <is>
          <t>isoLocalDate</t>
        </is>
      </c>
      <c r="C431" s="3" t="inlineStr">
        <is>
          <t>src/domain/_shared/dates.ts</t>
        </is>
      </c>
      <c r="D431" s="3" t="n">
        <v>26</v>
      </c>
      <c r="E431" s="3" t="inlineStr">
        <is>
          <t>2 · DISPLAYED</t>
        </is>
      </c>
      <c r="F431" s="3" t="inlineStr">
        <is>
          <t>THE DATE A PERSON IS LIVING IN, not the one UTC is.</t>
        </is>
      </c>
      <c r="G431" s="6" t="inlineStr">
        <is>
          <t>`${get full year()}-${string(get month() + 1).pad start(2, '0')}-${string(get date()).pad start(2, '0')}`</t>
        </is>
      </c>
      <c r="H431" s="3" t="inlineStr">
        <is>
          <t>`${get full year()}-${string(get month() plus 1).pad start(2, '0')}-${string(get date()).pad start(2, '0')}`.</t>
        </is>
      </c>
      <c r="I431" s="3" t="inlineStr">
        <is>
          <t>PARTLY READ — some of the code is still showing through; needs a hand pass</t>
        </is>
      </c>
      <c r="J431" s="3" t="inlineStr">
        <is>
          <t>d: Date</t>
        </is>
      </c>
      <c r="K431" s="3" t="inlineStr">
        <is>
          <t>string</t>
        </is>
      </c>
      <c r="L431" s="3" t="inlineStr">
        <is>
          <t>"Date (opt)" — on the Performance screen</t>
        </is>
      </c>
      <c r="M431" s="3" t="inlineStr">
        <is>
          <t>None found in this function — anything it assumes comes from the functions it depends on.</t>
        </is>
      </c>
      <c r="N431" s="3" t="inlineStr">
        <is>
          <t>Yes</t>
        </is>
      </c>
      <c r="O431" s="3" t="inlineStr">
        <is>
          <t>—</t>
        </is>
      </c>
      <c r="P431" s="3" t="n">
        <v>0</v>
      </c>
      <c r="Q431" s="3" t="inlineStr">
        <is>
          <t>None — no dependent function stands behind it</t>
        </is>
      </c>
      <c r="R431" s="3" t="inlineStr">
        <is>
          <t>No dependent function — it reads its inputs and answers</t>
        </is>
      </c>
      <c r="S431" s="3" t="inlineStr">
        <is>
          <t>—</t>
        </is>
      </c>
      <c r="T431" s="3" t="inlineStr">
        <is>
          <t>—</t>
        </is>
      </c>
      <c r="U431" s="3" t="inlineStr">
        <is>
          <t>ACTIVE</t>
        </is>
      </c>
      <c r="V431" s="3" t="inlineStr">
        <is>
          <t>2026-08-27</t>
        </is>
      </c>
    </row>
    <row r="432">
      <c r="A432" s="3" t="inlineStr">
        <is>
          <t>MK-XS-F-001</t>
        </is>
      </c>
      <c r="B432" s="3" t="inlineStr">
        <is>
          <t>planCompleteness</t>
        </is>
      </c>
      <c r="C432" s="3" t="inlineStr">
        <is>
          <t>src/domain/completeness/index.ts</t>
        </is>
      </c>
      <c r="D432" s="3" t="n">
        <v>42</v>
      </c>
      <c r="E432" s="3" t="inlineStr">
        <is>
          <t>2 · DISPLAYED</t>
        </is>
      </c>
      <c r="F432" s="3" t="inlineStr">
        <is>
          <t>NOT DETERMINED — the code carries no note saying what this is for, and it has no row in the old inventory. Needs reading.</t>
        </is>
      </c>
      <c r="G432" s="6" t="inlineStr">
        <is>
          <t>done count = checks where donecount of 
total = count of checks
the answer:
checks = checks
done count = done count
total = total
pct = round((done count ÷ total) × 100)</t>
        </is>
      </c>
      <c r="H432" s="3" t="inlineStr">
        <is>
          <t>Done count is checks where donecount of. Total: how many checks there are. The answer is checks = checks; done count = done count; total = total; pct = (done count divided by total, to a whole number times 100).</t>
        </is>
      </c>
      <c r="I432" s="3" t="inlineStr">
        <is>
          <t>READ FROM THE CODE — rendered from the expressions the function runs</t>
        </is>
      </c>
      <c r="J432" s="3" t="inlineStr">
        <is>
          <t>i: CompletenessInput</t>
        </is>
      </c>
      <c r="K432" s="3" t="inlineStr">
        <is>
          <t>NOT DECLARED — the code does not say what it gives back</t>
        </is>
      </c>
      <c r="L432" s="3" t="inlineStr">
        <is>
          <t>NOT FOUND — a screen calls it, but the words printed beside its answer could not be traced automatically. Needs reading.</t>
        </is>
      </c>
      <c r="M432" s="3" t="inlineStr">
        <is>
          <t>1. Multiplies by 100 — a percentage, or an option contract treated as 100 shares. Worth checking which.
2. Rounds the answer to a whole number.
3. Leaves some rows out of the answer — check which.</t>
        </is>
      </c>
      <c r="N432" s="3" t="inlineStr">
        <is>
          <t>Yes</t>
        </is>
      </c>
      <c r="O432" s="3" t="inlineStr">
        <is>
          <t>—</t>
        </is>
      </c>
      <c r="P432" s="3" t="n">
        <v>0</v>
      </c>
      <c r="Q432" s="3" t="inlineStr">
        <is>
          <t>None — no dependent function stands behind it</t>
        </is>
      </c>
      <c r="R432" s="3" t="inlineStr">
        <is>
          <t>No dependent function — it reads its inputs and answers</t>
        </is>
      </c>
      <c r="S432" s="3" t="inlineStr">
        <is>
          <t>—</t>
        </is>
      </c>
      <c r="T432" s="3" t="inlineStr">
        <is>
          <t>—</t>
        </is>
      </c>
      <c r="U432" s="3" t="inlineStr">
        <is>
          <t>ACTIVE</t>
        </is>
      </c>
      <c r="V432" s="3" t="inlineStr">
        <is>
          <t>2026-08-27</t>
        </is>
      </c>
    </row>
    <row r="433">
      <c r="A433" s="3" t="inlineStr">
        <is>
          <t>MK-XS-F-002</t>
        </is>
      </c>
      <c r="B433" s="3" t="inlineStr">
        <is>
          <t>dataGaps</t>
        </is>
      </c>
      <c r="C433" s="3" t="inlineStr">
        <is>
          <t>src/domain/gaps/index.ts</t>
        </is>
      </c>
      <c r="D433" s="3" t="n">
        <v>174</v>
      </c>
      <c r="E433" s="3" t="inlineStr">
        <is>
          <t>2 · DISPLAYED</t>
        </is>
      </c>
      <c r="F433" s="3" t="inlineStr">
        <is>
          <t>Every incomplete promise across the given accounts.</t>
        </is>
      </c>
      <c r="G433" s="6"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433"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433" s="3" t="inlineStr">
        <is>
          <t>PARTLY READ — some of the code is still showing through; needs a hand pass</t>
        </is>
      </c>
      <c r="J433" s="3" t="inlineStr">
        <is>
          <t>Nothing is handed to it</t>
        </is>
      </c>
      <c r="K433" s="3" t="inlineStr">
        <is>
          <t>NOT DECLARED — the code does not say what it gives back</t>
        </is>
      </c>
      <c r="L433" s="3" t="inlineStr">
        <is>
          <t>NOT FOUND — a screen calls it, but the words printed beside its answer could not be traced automatically. Needs reading.</t>
        </is>
      </c>
      <c r="M433" s="3" t="inlineStr">
        <is>
          <t>1. If shares is missing it uses 0.
2. Treats a year as 365 days.
3. Uses today's date from the device clock, so the answer changes by itself overnight.</t>
        </is>
      </c>
      <c r="N433" s="3" t="inlineStr">
        <is>
          <t>Yes</t>
        </is>
      </c>
      <c r="O433" s="3" t="inlineStr">
        <is>
          <t>1. MK-XS-F-170 daysSince
2. MK-NW-F-046 historyCoverage
3. MK-XS-F-120 nameOf
4. MK-XS-F-119 namesFor
5. MK-XS-F-118 prettyDate</t>
        </is>
      </c>
      <c r="P433" s="3" t="n">
        <v>12</v>
      </c>
      <c r="Q433" s="3" t="inlineStr">
        <is>
          <t>1. MK-XS-F-170 daysSince
2. MK-NW-F-046 historyCoverage
3. MK-XS-F-120 nameOf
4. MK-XS-F-119 namesFor
5. MK-XS-F-118 prettyDate
6. MK-CF-F-132 map
7. MK-NW-F-068 prettyDay
8. MK-NW-F-026 accountDisplayNames
9. MK-NW-F-025 accountDisplayName
10. MK-NW-F-024 accountLastFour
11. MK-NW-F-012 taxTreatmentOf
12. MK-NW-F-023 wrapperWord</t>
        </is>
      </c>
      <c r="R433" s="3" t="inlineStr">
        <is>
          <t>1. MK-XS-F-170 daysSince → MK-XS-F-002 dataGaps
2. MK-CF-F-132 map → MK-NW-F-046 historyCoverage → MK-XS-F-002 dataGaps
3. MK-CF-F-132 map → MK-NW-F-068 prettyDay → MK-NW-F-046 historyCoverage → MK-XS-F-002 dataGaps
4. MK-XS-F-120 nameOf → MK-XS-F-002 dataGaps
5. MK-NW-F-024 accountLastFour → MK-NW-F-025 accountDisplayName → MK-NW-F-026 accountDisplayNames → MK-XS-F-119 namesFor → MK-XS-F-002 dataGaps
6. MK-NW-F-012 taxTreatmentOf → MK-NW-F-025 accountDisplayName → MK-NW-F-026 accountDisplayNames → MK-XS-F-119 namesFor → MK-XS-F-002 dataGaps
7. MK-NW-F-023 wrapperWord → MK-NW-F-025 accountDisplayName → MK-NW-F-026 accountDisplayNames → MK-XS-F-119 namesFor → MK-XS-F-002 dataGaps
8. MK-CF-F-132 map → MK-NW-F-026 accountDisplayNames → MK-XS-F-119 namesFor → MK-XS-F-002 dataGaps
9. … and 1 more paths</t>
        </is>
      </c>
      <c r="S433" s="3" t="inlineStr">
        <is>
          <t>—</t>
        </is>
      </c>
      <c r="T433" s="3" t="inlineStr">
        <is>
          <t>WHAT_IS_MISSING</t>
        </is>
      </c>
      <c r="U433" s="3" t="inlineStr">
        <is>
          <t>ACTIVE</t>
        </is>
      </c>
      <c r="V433" s="3" t="inlineStr">
        <is>
          <t>2026-08-27</t>
        </is>
      </c>
    </row>
    <row r="434">
      <c r="A434" s="3" t="inlineStr">
        <is>
          <t>MK-XS-F-003</t>
        </is>
      </c>
      <c r="B434" s="3" t="inlineStr">
        <is>
          <t>gapsHeadline</t>
        </is>
      </c>
      <c r="C434" s="3" t="inlineStr">
        <is>
          <t>src/domain/gaps/index.ts</t>
        </is>
      </c>
      <c r="D434" s="3" t="n">
        <v>287</v>
      </c>
      <c r="E434" s="3" t="inlineStr">
        <is>
          <t>2 · DISPLAYED (presentation only)</t>
        </is>
      </c>
      <c r="F434" s="3" t="inlineStr">
        <is>
          <t>The banner sentence — plural-correct, and absent (null) when nothing is missing.</t>
        </is>
      </c>
      <c r="G434" s="6" t="inlineStr">
        <is>
          <t>nothing   when count of gaps is missing
'1 number needs more information'   if gaps.length = 1
`${gaps.length} numbers need more information`   otherwise</t>
        </is>
      </c>
      <c r="H434" s="3" t="inlineStr">
        <is>
          <t>When how many gaps is missing there are, it answers no answer. '1 number needs more information' — when gaps.length = 1; `${gaps.length} numbers need more information` — otherwise.</t>
        </is>
      </c>
      <c r="I434" s="3" t="inlineStr">
        <is>
          <t>PARTLY READ — some of the code is still showing through; needs a hand pass</t>
        </is>
      </c>
      <c r="J434" s="3" t="inlineStr">
        <is>
          <t>gaps: DataGap[]</t>
        </is>
      </c>
      <c r="K434" s="3" t="inlineStr">
        <is>
          <t>string | null</t>
        </is>
      </c>
      <c r="L434" s="3" t="inlineStr">
        <is>
          <t>NOT FOUND — a screen calls it, but the words printed beside its answer could not be traced automatically. Needs reading.</t>
        </is>
      </c>
      <c r="M434" s="3" t="inlineStr">
        <is>
          <t>None found in this function — anything it assumes comes from the functions it depends on.</t>
        </is>
      </c>
      <c r="N434" s="3" t="inlineStr">
        <is>
          <t>Yes</t>
        </is>
      </c>
      <c r="O434" s="3" t="inlineStr">
        <is>
          <t>—</t>
        </is>
      </c>
      <c r="P434" s="3" t="n">
        <v>0</v>
      </c>
      <c r="Q434" s="3" t="inlineStr">
        <is>
          <t>None — no dependent function stands behind it</t>
        </is>
      </c>
      <c r="R434" s="3" t="inlineStr">
        <is>
          <t>No dependent function — it reads its inputs and answers</t>
        </is>
      </c>
      <c r="S434" s="3" t="inlineStr">
        <is>
          <t>—</t>
        </is>
      </c>
      <c r="T434" s="3" t="inlineStr">
        <is>
          <t>—</t>
        </is>
      </c>
      <c r="U434" s="3" t="inlineStr">
        <is>
          <t>ACTIVE</t>
        </is>
      </c>
      <c r="V434" s="3" t="inlineStr">
        <is>
          <t>2026-08-27</t>
        </is>
      </c>
    </row>
    <row r="435">
      <c r="A435" s="3" t="inlineStr">
        <is>
          <t>MK-XS-F-004</t>
        </is>
      </c>
      <c r="B435" s="3" t="inlineStr">
        <is>
          <t>buildDatedGrid</t>
        </is>
      </c>
      <c r="C435" s="3" t="inlineStr">
        <is>
          <t>src/domain/grid/index.ts</t>
        </is>
      </c>
      <c r="D435" s="3" t="n">
        <v>115</v>
      </c>
      <c r="E435" s="3" t="inlineStr">
        <is>
          <t>2 · DISPLAYED</t>
        </is>
      </c>
      <c r="F435" s="3" t="inlineStr">
        <is>
          <t>Build the dated 12-month grid.</t>
        </is>
      </c>
      <c r="G435" s="6"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 the first steps only — the rest of the body needs reading by hand.</t>
        </is>
      </c>
      <c r="H435"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Only the first steps are shown; the rest of the body needs reading by hand.</t>
        </is>
      </c>
      <c r="I435" s="3" t="inlineStr">
        <is>
          <t>PARTLY READ — some of the code is still showing through; needs a hand pass</t>
        </is>
      </c>
      <c r="J435" s="3" t="inlineStr">
        <is>
          <t>1. op: OnboardingProfile | null
2. opts: GridOptions = {}</t>
        </is>
      </c>
      <c r="K435" s="3" t="inlineStr">
        <is>
          <t>DatedGrid</t>
        </is>
      </c>
      <c r="L435" s="3" t="inlineStr">
        <is>
          <t>NOT FOUND — a screen calls it, but the words printed beside its answer could not be traced automatically. Needs reading.</t>
        </is>
      </c>
      <c r="M435" s="3" t="inlineStr">
        <is>
          <t>1. If year is missing it uses 0.
2. If a year is missing it uses 0.
3. If start balance is missing it uses 0.
4. Uses a built-in s of 0.
5. Uses a built-in q of 0.
6. Uses a built-in t of 0.
7. Treats a year as twelve equal months.
8. Turns a monthly figure into a year by multiplying by twelve.
9. Uses today's date from the device clock, so the answer changes by itself overnight.
10. Leaves some rows out of the answer — check which.</t>
        </is>
      </c>
      <c r="N435" s="3" t="inlineStr">
        <is>
          <t>Yes</t>
        </is>
      </c>
      <c r="O435" s="3" t="inlineStr">
        <is>
          <t>1. MK-CF-F-069 benefitActiveMonths
2. MK-CF-F-072 currentRetirementIncomeMonthly
3. MK-CF-F-018 equityByMonth
4. MK-ST-F-056 has
5. MK-CF-F-132 map
6. MK-ST-F-053 money
7. MK-CF-F-087 monthlyTaxRates
8. MK-CF-F-073 otherIncomeMonth
9. MK-CF-F-022 paymentShape
10. MK-CF-F-068 rentalNetAnnual
11. MK-CF-F-023 requiredPayment
12. MK-ST-F-055 round2
13. MK-CF-F-060 salaryGrossByMonth
14. MK-CF-F-008 spendByMonth
15. MK-ST-F-052 toNum</t>
        </is>
      </c>
      <c r="P435" s="3" t="n">
        <v>57</v>
      </c>
      <c r="Q435" s="3" t="inlineStr">
        <is>
          <t>1. MK-CF-F-069 benefitActiveMonths
2. MK-CF-F-072 currentRetirementIncomeMonthly
3. MK-CF-F-018 equityByMonth
4. MK-ST-F-056 has
5. MK-CF-F-132 map
6. MK-ST-F-053 money
7. MK-CF-F-087 monthlyTaxRates
8. MK-CF-F-073 otherIncomeMonth
9. MK-CF-F-022 paymentShape
10. MK-CF-F-068 rentalNetAnnual
11. MK-CF-F-023 requiredPayment
12. MK-ST-F-055 round2
13. MK-CF-F-060 salaryGrossByMonth
14. MK-CF-F-008 spendByMonth
15. MK-ST-F-052 toNum
16. MK-CF-F-075 retirementIncomeMonthly
17. MK-CF-F-062 equityRowValue
18. MK-CF-F-066 rsuAnnual
19. MK-CF-F-121 zero12
20. MK-ST-F-049 formatMoney
21. MK-CF-F-090 effectiveRate
22. MK-CF-F-085 filingStatusOf
23. MK-CF-F-089 over65CountOf
24. MK-CF-F-098 progressiveMonthlyTax
25. MK-CF-F-181 rateInForce
26. MK-CF-F-086 stateRateOf
27. MK-CF-F-088 taxableByCalendarMonth
28. MK-CF-F-021 defaultPaymentType
29. MK-CF-F-067 rentalList
30. MK-CF-F-176 sumMonthsOverEarners
31. MK-CF-F-177 wageGrossByMonth
32. MK-CF-F-120 pctBaseMonthly
33. MK-CF-F-004 spendBuckets
34. MK-CF-F-063 rowVestYear
35. MK-ST-F-048 currencySymbol
36. MK-CF-F-101 taxOwedFor
37. MK-CF-F-100 taxableIncomeFor
38. MK-CF-F-173 earnerWages
39. MK-CF-F-102 effectiveRateOnGrossFor
40. MK-CF-F-180 enteredLandsAnnual
41. MK-CF-F-082 salaryAnnual
42. MK-CF-F-084 taxableAnnual
43. MK-CF-F-065 equityVestWeights
44. MK-CF-F-071 extraIncome
45. MK-CF-F-130 enteredMonthlyRaw
46. MK-CF-F-166 hasMonthlySalaryTable
47. MK-CF-F-167 salaryCalendarYear
48. MK-CF-F-092 incomeMonthlyGrid
49. MK-CF-F-003 categoryMonthly
50. MK-ST-F-047 activeCurrency
51. MK-CF-F-099 deductionFor
52. MK-CF-F-172 hasWage
53. MK-CF-F-074 tipsAnnual
54. MK-CF-F-070 benefitAnnual
55. MK-CF-F-165 salaryMonths
56. MK-CF-F-077 scholarshipByCalendarMonth
57. MK-CF-F-081 salaryActiveMonths</t>
        </is>
      </c>
      <c r="R435" s="3" t="inlineStr">
        <is>
          <t>1. MK-CF-F-069 benefitActiveMonths → MK-XS-F-004 buildDatedGrid
2. MK-ST-F-052 toNum → MK-CF-F-075 retirementIncomeMonthly → MK-CF-F-072 currentRetirementIncomeMonthly → MK-XS-F-004 buildDatedGrid
3. MK-ST-F-052 toNum → MK-CF-F-062 equityRowValue → MK-CF-F-018 equityByMonth → MK-XS-F-004 buildDatedGrid
4.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MK-ST-F-052 toNum → MK-CF-F-066 rsuAnnual → MK-CF-F-018 equityByMonth → MK-XS-F-004 buildDatedGrid
8. MK-CF-F-121 zero12 → MK-CF-F-018 equityByMonth → MK-XS-F-004 buildDatedGrid
9. … and 5 more paths</t>
        </is>
      </c>
      <c r="S435" s="3" t="inlineStr">
        <is>
          <t>—</t>
        </is>
      </c>
      <c r="T435" s="3" t="inlineStr">
        <is>
          <t>—</t>
        </is>
      </c>
      <c r="U435" s="3" t="inlineStr">
        <is>
          <t>ACTIVE</t>
        </is>
      </c>
      <c r="V435" s="3" t="inlineStr">
        <is>
          <t>2026-08-27</t>
        </is>
      </c>
    </row>
    <row r="436">
      <c r="A436" s="3" t="inlineStr">
        <is>
          <t>MK-XS-F-005</t>
        </is>
      </c>
      <c r="B436" s="3" t="inlineStr">
        <is>
          <t>trendPoints</t>
        </is>
      </c>
      <c r="C436" s="3" t="inlineStr">
        <is>
          <t>src/domain/history.ts</t>
        </is>
      </c>
      <c r="D436" s="3" t="n">
        <v>61</v>
      </c>
      <c r="E436" s="3" t="inlineStr">
        <is>
          <t>2 · DISPLAYED</t>
        </is>
      </c>
      <c r="F436" s="3" t="inlineStr">
        <is>
          <t>Chart series = monthly snapshots + daily points, chronological ('YYYY-MM' sorts before its days).</t>
        </is>
      </c>
      <c r="G436" s="6" t="inlineStr">
        <is>
          <t>pts = for each of read history(monthly): key = month
nw = net worth
the answer = pts.sort((a, b) =&gt; key.locale compare(key))</t>
        </is>
      </c>
      <c r="H436" s="3" t="inlineStr">
        <is>
          <t>Pts is for each of read history(monthly): key = month; nw = net worth. The answer is pts.sort((a, b) =&gt; key.locale compare(key)).</t>
        </is>
      </c>
      <c r="I436" s="3" t="inlineStr">
        <is>
          <t>PARTLY READ — some of the code is still showing through; needs a hand pass</t>
        </is>
      </c>
      <c r="J436" s="3" t="inlineStr">
        <is>
          <t>Nothing is handed to it</t>
        </is>
      </c>
      <c r="K436" s="3" t="inlineStr">
        <is>
          <t>NOT DECLARED — the code does not say what it gives back</t>
        </is>
      </c>
      <c r="L436" s="3" t="inlineStr">
        <is>
          <t>NOT FOUND — a screen calls it, but the words printed beside its answer could not be traced automatically. Needs reading.</t>
        </is>
      </c>
      <c r="M436" s="3" t="inlineStr">
        <is>
          <t>None found in this function — anything it assumes comes from the functions it depends on.</t>
        </is>
      </c>
      <c r="N436" s="3" t="inlineStr">
        <is>
          <t>Yes</t>
        </is>
      </c>
      <c r="O436" s="3" t="inlineStr">
        <is>
          <t>1. MK-CF-F-132 map
2. MK-XS-F-009 readHistory
3. MK-ST-F-055 round2</t>
        </is>
      </c>
      <c r="P436" s="3" t="n">
        <v>6</v>
      </c>
      <c r="Q436" s="3" t="inlineStr">
        <is>
          <t>1. MK-CF-F-132 map
2. MK-XS-F-009 readHistory
3. MK-ST-F-055 round2
4. MK-XS-F-008 normalizeSnapshot
5. MK-XS-F-121 isYm
6. MK-XS-F-122 n</t>
        </is>
      </c>
      <c r="R436"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MK-ST-F-055 round2 → MK-XS-F-008 normalizeSnapshot → MK-XS-F-009 readHistory → MK-XS-F-005 trendPoints
6. MK-ST-F-055 round2 → MK-XS-F-005 trendPoints</t>
        </is>
      </c>
      <c r="S436" s="3" t="inlineStr">
        <is>
          <t>MK-NW-M-001 · MK-NW-M-003</t>
        </is>
      </c>
      <c r="T436" s="3" t="inlineStr">
        <is>
          <t>TREND_SERIES</t>
        </is>
      </c>
      <c r="U436" s="3" t="inlineStr">
        <is>
          <t>ACTIVE</t>
        </is>
      </c>
      <c r="V436" s="3" t="inlineStr">
        <is>
          <t>2026-08-27</t>
        </is>
      </c>
    </row>
    <row r="437">
      <c r="A437" s="3" t="inlineStr">
        <is>
          <t>MK-XS-F-006</t>
        </is>
      </c>
      <c r="B437" s="3" t="inlineStr">
        <is>
          <t>pruneDaily</t>
        </is>
      </c>
      <c r="C437" s="3" t="inlineStr">
        <is>
          <t>src/domain/history.ts</t>
        </is>
      </c>
      <c r="D437" s="3" t="n">
        <v>94</v>
      </c>
      <c r="E437" s="3" t="inlineStr">
        <is>
          <t>3 · DEPENDENT (feeds an action only)</t>
        </is>
      </c>
      <c r="F437" s="3" t="inlineStr">
        <is>
          <t>Prune helper for the store writer: newest DAILY_KEEP days survive.</t>
        </is>
      </c>
      <c r="G437" s="6" t="inlineStr">
        <is>
          <t>keys = the names in daily, in order
daily   when keys.length ≤ DAILY_KEEP
keep = a list with no repeats of keys.slice(-DAILY_KEEP)
the answer = object.from entries(object.entries(daily).filter(([k]) =&gt; keep.has(k)))</t>
        </is>
      </c>
      <c r="H437" s="3" t="inlineStr">
        <is>
          <t>Keys: the names in daily, in order. When keys.length is at most DAILY_KEEP, it answers daily. Keep is a list with no repeats of keys.slice(-DAILY_KEEP). The answer is object.from entries(object.entries(daily).filter(([k]) =&gt; keep.has(k))).</t>
        </is>
      </c>
      <c r="I437" s="3" t="inlineStr">
        <is>
          <t>PARTLY READ — some of the code is still showing through; needs a hand pass</t>
        </is>
      </c>
      <c r="J437" s="3" t="inlineStr">
        <is>
          <t>daily: Record&lt;string, number&gt;</t>
        </is>
      </c>
      <c r="K437" s="3" t="inlineStr">
        <is>
          <t>Record&lt;string, number&gt;</t>
        </is>
      </c>
      <c r="L437" s="3" t="inlineStr">
        <is>
          <t>—</t>
        </is>
      </c>
      <c r="M437" s="3" t="inlineStr">
        <is>
          <t>· Leaves some rows out of the answer — check which.</t>
        </is>
      </c>
      <c r="N437" s="3" t="inlineStr">
        <is>
          <t>No</t>
        </is>
      </c>
      <c r="O437" s="3" t="inlineStr">
        <is>
          <t>MK-ST-F-056 has</t>
        </is>
      </c>
      <c r="P437" s="3" t="n">
        <v>1</v>
      </c>
      <c r="Q437" s="3" t="inlineStr">
        <is>
          <t>MK-ST-F-056 has</t>
        </is>
      </c>
      <c r="R437" s="3" t="inlineStr">
        <is>
          <t>MK-ST-F-056 has → MK-XS-F-006 pruneDaily</t>
        </is>
      </c>
      <c r="S437" s="3" t="inlineStr">
        <is>
          <t>—</t>
        </is>
      </c>
      <c r="T437" s="3" t="inlineStr">
        <is>
          <t>—</t>
        </is>
      </c>
      <c r="U437" s="3" t="inlineStr">
        <is>
          <t>ACTIVE</t>
        </is>
      </c>
      <c r="V437" s="3" t="inlineStr">
        <is>
          <t>2026-08-27</t>
        </is>
      </c>
    </row>
    <row r="438">
      <c r="A438" s="3" t="inlineStr">
        <is>
          <t>MK-XS-F-007</t>
        </is>
      </c>
      <c r="B438" s="3" t="inlineStr">
        <is>
          <t>makeMonthlySnapshot</t>
        </is>
      </c>
      <c r="C438" s="3" t="inlineStr">
        <is>
          <t>src/domain/history.ts</t>
        </is>
      </c>
      <c r="D438" s="3" t="n">
        <v>159</v>
      </c>
      <c r="E438" s="3" t="inlineStr">
        <is>
          <t>2 · DISPLAYED</t>
        </is>
      </c>
      <c r="F438" s="3" t="inlineStr">
        <is>
          <t>The ONE writer — stamps the version and keeps the arithmetic identity by construction.</t>
        </is>
      </c>
      <c r="G438" s="6" t="inlineStr">
        <is>
          <t>NOT READ YET — the body is not a shape this can render faithfully, so nothing is claimed rather than something being guessed. It needs reading by hand.</t>
        </is>
      </c>
      <c r="H438" s="3" t="inlineStr">
        <is>
          <t>NOT READ YET — the body is not a shape this can render faithfully, so nothing is claimed rather than something being guessed. It needs reading by hand.</t>
        </is>
      </c>
      <c r="I438" s="3" t="inlineStr">
        <is>
          <t>NOT READ — nothing is claimed rather than something guessed</t>
        </is>
      </c>
      <c r="J438" s="3" t="inlineStr">
        <is>
          <t>i: Omit&lt;MonthlySnapshot, 'v' | 'net_worth'&gt; &amp; { net_worth?: number }</t>
        </is>
      </c>
      <c r="K438" s="3" t="inlineStr">
        <is>
          <t>MonthlySnapshot</t>
        </is>
      </c>
      <c r="L438" s="3" t="inlineStr">
        <is>
          <t>NOT FOUND — a screen calls it, but the words printed beside its answer could not be traced automatically. Needs reading.</t>
        </is>
      </c>
      <c r="M438" s="3" t="inlineStr">
        <is>
          <t>None found in this function — anything it assumes comes from the functions it depends on.</t>
        </is>
      </c>
      <c r="N438" s="3" t="inlineStr">
        <is>
          <t>Yes</t>
        </is>
      </c>
      <c r="O438" s="3" t="inlineStr">
        <is>
          <t>1. MK-XS-F-122 n
2. MK-ST-F-055 round2</t>
        </is>
      </c>
      <c r="P438" s="3" t="n">
        <v>2</v>
      </c>
      <c r="Q438" s="3" t="inlineStr">
        <is>
          <t>1. MK-XS-F-122 n
2. MK-ST-F-055 round2</t>
        </is>
      </c>
      <c r="R438" s="3" t="inlineStr">
        <is>
          <t>1. MK-XS-F-122 n → MK-XS-F-007 makeMonthlySnapshot
2. MK-ST-F-055 round2 → MK-XS-F-007 makeMonthlySnapshot</t>
        </is>
      </c>
      <c r="S438" s="3" t="inlineStr">
        <is>
          <t>—</t>
        </is>
      </c>
      <c r="T438" s="3" t="inlineStr">
        <is>
          <t>—</t>
        </is>
      </c>
      <c r="U438" s="3" t="inlineStr">
        <is>
          <t>ACTIVE</t>
        </is>
      </c>
      <c r="V438" s="3" t="inlineStr">
        <is>
          <t>2026-08-27</t>
        </is>
      </c>
    </row>
    <row r="439">
      <c r="A439" s="3" t="inlineStr">
        <is>
          <t>MK-XS-F-008</t>
        </is>
      </c>
      <c r="B439" s="3" t="inlineStr">
        <is>
          <t>normalizeSnapshot</t>
        </is>
      </c>
      <c r="C439" s="3" t="inlineStr">
        <is>
          <t>src/domain/history.ts</t>
        </is>
      </c>
      <c r="D439" s="3" t="n">
        <v>197</v>
      </c>
      <c r="E439" s="3" t="inlineStr">
        <is>
          <t>3 · DEPENDENT</t>
        </is>
      </c>
      <c r="F439" s="3" t="inlineStr">
        <is>
          <t>Normalize ONE stored entry: v1 passes validated; a legacy blob (no `v`) maps best-effort; anything without a real month + net worth is dropped (null), never charted.</t>
        </is>
      </c>
      <c r="G439" s="6"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round2(gross assets − gross debt) : na n)
nothing   when !number.is finite(net worth)</t>
        </is>
      </c>
      <c r="H439"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round2(gross assets minus gross debt) : na n). When !number.is finite(net worth), it answers no answer.</t>
        </is>
      </c>
      <c r="I439" s="3" t="inlineStr">
        <is>
          <t>PARTLY READ — some of the code is still showing through; needs a hand pass</t>
        </is>
      </c>
      <c r="J439" s="3" t="inlineStr">
        <is>
          <t>1. ym: string
2. raw: unknown</t>
        </is>
      </c>
      <c r="K439" s="3" t="inlineStr">
        <is>
          <t>MonthlySnapshot | null</t>
        </is>
      </c>
      <c r="L439" s="3" t="inlineStr">
        <is>
          <t>—</t>
        </is>
      </c>
      <c r="M439" s="3" t="inlineStr">
        <is>
          <t>None found in this function — anything it assumes comes from the functions it depends on.</t>
        </is>
      </c>
      <c r="N439" s="3" t="inlineStr">
        <is>
          <t>Yes</t>
        </is>
      </c>
      <c r="O439" s="3" t="inlineStr">
        <is>
          <t>1. MK-XS-F-121 isYm
2. MK-XS-F-122 n
3. MK-ST-F-055 round2</t>
        </is>
      </c>
      <c r="P439" s="3" t="n">
        <v>3</v>
      </c>
      <c r="Q439" s="3" t="inlineStr">
        <is>
          <t>1. MK-XS-F-121 isYm
2. MK-XS-F-122 n
3. MK-ST-F-055 round2</t>
        </is>
      </c>
      <c r="R439" s="3" t="inlineStr">
        <is>
          <t>1. MK-XS-F-121 isYm → MK-XS-F-008 normalizeSnapshot
2. MK-XS-F-122 n → MK-XS-F-008 normalizeSnapshot
3. MK-ST-F-055 round2 → MK-XS-F-008 normalizeSnapshot</t>
        </is>
      </c>
      <c r="S439" s="3" t="inlineStr">
        <is>
          <t>—</t>
        </is>
      </c>
      <c r="T439" s="3" t="inlineStr">
        <is>
          <t>SNAPSHOT_READ_ONE</t>
        </is>
      </c>
      <c r="U439" s="3" t="inlineStr">
        <is>
          <t>ACTIVE</t>
        </is>
      </c>
      <c r="V439" s="3" t="inlineStr">
        <is>
          <t>2026-08-27</t>
        </is>
      </c>
    </row>
    <row r="440">
      <c r="A440" s="3" t="inlineStr">
        <is>
          <t>MK-XS-F-009</t>
        </is>
      </c>
      <c r="B440" s="3" t="inlineStr">
        <is>
          <t>readHistory</t>
        </is>
      </c>
      <c r="C440" s="3" t="inlineStr">
        <is>
          <t>src/domain/history.ts</t>
        </is>
      </c>
      <c r="D440" s="3" t="n">
        <v>249</v>
      </c>
      <c r="E440" s="3" t="inlineStr">
        <is>
          <t>2 · DISPLAYED</t>
        </is>
      </c>
      <c r="F440" s="3" t="inlineStr">
        <is>
          <t>The ONE reader every history surface uses: normalized, garbage-free, sorted by month.</t>
        </is>
      </c>
      <c r="G440" s="6" t="inlineStr">
        <is>
          <t>NOT READ YET — the body is not a shape this can render faithfully, so nothing is claimed rather than something being guessed. It needs reading by hand.</t>
        </is>
      </c>
      <c r="H440" s="3" t="inlineStr">
        <is>
          <t>NOT READ YET — the body is not a shape this can render faithfully, so nothing is claimed rather than something being guessed. It needs reading by hand.</t>
        </is>
      </c>
      <c r="I440" s="3" t="inlineStr">
        <is>
          <t>NOT READ — nothing is claimed rather than something guessed</t>
        </is>
      </c>
      <c r="J440" s="3" t="inlineStr">
        <is>
          <t>raw: Record&lt;string, unknown&gt; | null | undefined</t>
        </is>
      </c>
      <c r="K440" s="3" t="inlineStr">
        <is>
          <t>MonthlySnapshot[]</t>
        </is>
      </c>
      <c r="L440" s="3" t="inlineStr">
        <is>
          <t>NOT FOUND — a screen calls it, but the words printed beside its answer could not be traced automatically. Needs reading.</t>
        </is>
      </c>
      <c r="M440" s="3" t="inlineStr">
        <is>
          <t>· Leaves some rows out of the answer — check which.</t>
        </is>
      </c>
      <c r="N440" s="3" t="inlineStr">
        <is>
          <t>Yes</t>
        </is>
      </c>
      <c r="O440" s="3" t="inlineStr">
        <is>
          <t>1. MK-CF-F-132 map
2. MK-XS-F-008 normalizeSnapshot</t>
        </is>
      </c>
      <c r="P440" s="3" t="n">
        <v>5</v>
      </c>
      <c r="Q440" s="3" t="inlineStr">
        <is>
          <t>1. MK-CF-F-132 map
2. MK-XS-F-008 normalizeSnapshot
3. MK-XS-F-121 isYm
4. MK-XS-F-122 n
5. MK-ST-F-055 round2</t>
        </is>
      </c>
      <c r="R440" s="3" t="inlineStr">
        <is>
          <t>1. MK-CF-F-132 map → MK-XS-F-009 readHistory
2. MK-XS-F-121 isYm → MK-XS-F-008 normalizeSnapshot → MK-XS-F-009 readHistory
3. MK-XS-F-122 n → MK-XS-F-008 normalizeSnapshot → MK-XS-F-009 readHistory
4. MK-ST-F-055 round2 → MK-XS-F-008 normalizeSnapshot → MK-XS-F-009 readHistory</t>
        </is>
      </c>
      <c r="S440" s="3" t="inlineStr">
        <is>
          <t>—</t>
        </is>
      </c>
      <c r="T440" s="3" t="inlineStr">
        <is>
          <t>SNAPSHOT_READ_ALL</t>
        </is>
      </c>
      <c r="U440" s="3" t="inlineStr">
        <is>
          <t>ACTIVE</t>
        </is>
      </c>
      <c r="V440" s="3" t="inlineStr">
        <is>
          <t>2026-08-27</t>
        </is>
      </c>
    </row>
    <row r="441">
      <c r="A441" s="3" t="inlineStr">
        <is>
          <t>MK-XS-F-010</t>
        </is>
      </c>
      <c r="B441" s="3" t="inlineStr">
        <is>
          <t>investableChangePct</t>
        </is>
      </c>
      <c r="C441" s="3" t="inlineStr">
        <is>
          <t>src/domain/history.ts</t>
        </is>
      </c>
      <c r="D441" s="3" t="n">
        <v>283</v>
      </c>
      <c r="E441" s="3" t="inlineStr">
        <is>
          <t>2 · DISPLAYED</t>
        </is>
      </c>
      <c r="F441" s="3" t="inlineStr">
        <is>
          <t>FOUNDER RULE 2026-08-04: the NW change PERCENT is measured on cash + investments only — property values move only when someone retypes them, so a total-net-worth percent is noise.</t>
        </is>
      </c>
      <c r="G441" s="6" t="inlineStr">
        <is>
          <t>nothing   when since key is missing (or not (current investable &gt; 0) when missing or zero)
base = (inv daily as any)[base key]   if base key ≠ nothing
nothing   otherwise
nothing   when base is not a number (or not (base &gt; 0) when missing or zero)
the answer = round(((current investable − base) ÷ base) × 1000) ÷ 10</t>
        </is>
      </c>
      <c r="H441" s="3" t="inlineStr">
        <is>
          <t>When since key is missing (or not (current investable &gt; 0) — when missing or zero), it answers no answer. Base is (inv daily as any)[base key] — when base key is not no answer; no answer — otherwise. When base is a is missing number (or not (base &gt; 0) — when missing or zero), it answers no answer. The answer is ((current investable minus base, to a whole number divided by base) times 1000) divided by 10.</t>
        </is>
      </c>
      <c r="I441" s="3" t="inlineStr">
        <is>
          <t>READ FROM THE CODE — rendered from the expressions the function runs</t>
        </is>
      </c>
      <c r="J441" s="3" t="inlineStr">
        <is>
          <t>Nothing is handed to it</t>
        </is>
      </c>
      <c r="K441" s="3" t="inlineStr">
        <is>
          <t>NOT DECLARED — the code does not say what it gives back</t>
        </is>
      </c>
      <c r="L441" s="3" t="inlineStr">
        <is>
          <t>NOT FOUND — a screen calls it, but the words printed beside its answer could not be traced automatically. Needs reading.</t>
        </is>
      </c>
      <c r="M441" s="3" t="inlineStr">
        <is>
          <t>1. Rounds the answer to a whole number.
2. Leaves some rows out of the answer — check which.</t>
        </is>
      </c>
      <c r="N441" s="3" t="inlineStr">
        <is>
          <t>Yes</t>
        </is>
      </c>
      <c r="O441" s="3" t="inlineStr">
        <is>
          <t>—</t>
        </is>
      </c>
      <c r="P441" s="3" t="n">
        <v>0</v>
      </c>
      <c r="Q441" s="3" t="inlineStr">
        <is>
          <t>None — no dependent function stands behind it</t>
        </is>
      </c>
      <c r="R441" s="3" t="inlineStr">
        <is>
          <t>No dependent function — it reads its inputs and answers</t>
        </is>
      </c>
      <c r="S441" s="3" t="inlineStr">
        <is>
          <t>MK-NW-M-002</t>
        </is>
      </c>
      <c r="T441" s="3" t="inlineStr">
        <is>
          <t>NW_CHANGE_PCT</t>
        </is>
      </c>
      <c r="U441" s="3" t="inlineStr">
        <is>
          <t>ACTIVE</t>
        </is>
      </c>
      <c r="V441" s="3" t="inlineStr">
        <is>
          <t>2026-08-27</t>
        </is>
      </c>
    </row>
    <row r="442">
      <c r="A442" s="3" t="inlineStr">
        <is>
          <t>MK-XS-F-011</t>
        </is>
      </c>
      <c r="B442" s="3" t="inlineStr">
        <is>
          <t>buildChangeWalk</t>
        </is>
      </c>
      <c r="C442" s="3" t="inlineStr">
        <is>
          <t>src/domain/history.ts</t>
        </is>
      </c>
      <c r="D442" s="3" t="n">
        <v>338</v>
      </c>
      <c r="E442" s="3" t="inlineStr">
        <is>
          <t>2 · DISPLAYED</t>
        </is>
      </c>
      <c r="F442" s="3" t="inlineStr">
        <is>
          <t>My net worth changed since last time — what actually caused it?</t>
        </is>
      </c>
      <c r="G442" s="6"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round(args.ending − args.beginning, 2 dp)
wealth generated = round(total − contributions + withdrawals − debt principal, 2 dp)
market change = round(wealth generated − dividends − interest, 2 dp)</t>
        </is>
      </c>
      <c r="H442"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to the cent. Wealth generated is total minus contributions plus withdrawals minus debt principal, to the cent. Market change is wealth generated minus dividends minus interest, to the cent.</t>
        </is>
      </c>
      <c r="I442" s="3" t="inlineStr">
        <is>
          <t>PARTLY READ — some of the code is still showing through; needs a hand pass</t>
        </is>
      </c>
      <c r="J442" s="3" t="inlineStr">
        <is>
          <t>Nothing is handed to it</t>
        </is>
      </c>
      <c r="K442" s="3" t="inlineStr">
        <is>
          <t>NOT DECLARED — the code does not say what it gives back</t>
        </is>
      </c>
      <c r="L442" s="3" t="inlineStr">
        <is>
          <t>1. "Ending market value (today)" — on the Performance screen, under "HOW $"
2. "Ending market value" — on the Performance screen
3. "Wealth generated" — on the Performance screen, under "SUMMARY
4. $"</t>
        </is>
      </c>
      <c r="M442" s="3" t="inlineStr">
        <is>
          <t>1. If contributions is missing it uses 0.
2. If withdrawals is missing it uses 0.
3. If dividends is missing it uses 0.
4. If interest is missing it uses 0.
5. If debt principal is missing it uses 0.</t>
        </is>
      </c>
      <c r="N442" s="3" t="inlineStr">
        <is>
          <t>Yes</t>
        </is>
      </c>
      <c r="O442" s="3" t="inlineStr">
        <is>
          <t>MK-ST-F-055 round2</t>
        </is>
      </c>
      <c r="P442" s="3" t="n">
        <v>1</v>
      </c>
      <c r="Q442" s="3" t="inlineStr">
        <is>
          <t>MK-ST-F-055 round2</t>
        </is>
      </c>
      <c r="R442" s="3" t="inlineStr">
        <is>
          <t>MK-ST-F-055 round2 → MK-XS-F-011 buildChangeWalk</t>
        </is>
      </c>
      <c r="S442" s="3" t="inlineStr">
        <is>
          <t>MK-PF-M-001 · MK-PF-M-002 · MK-PF-M-003 · MK-PF-M-004</t>
        </is>
      </c>
      <c r="T442" s="3" t="inlineStr">
        <is>
          <t>NW_CHANGE_WALK</t>
        </is>
      </c>
      <c r="U442" s="3" t="inlineStr">
        <is>
          <t>ACTIVE</t>
        </is>
      </c>
      <c r="V442" s="3" t="inlineStr">
        <is>
          <t>2026-08-27</t>
        </is>
      </c>
    </row>
    <row r="443">
      <c r="A443" s="3" t="inlineStr">
        <is>
          <t>MK-XS-F-012</t>
        </is>
      </c>
      <c r="B443" s="3" t="inlineStr">
        <is>
          <t>decodeCsvBase64</t>
        </is>
      </c>
      <c r="C443" s="3" t="inlineStr">
        <is>
          <t>src/domain/import/holdingsImport.ts</t>
        </is>
      </c>
      <c r="D443" s="3" t="n">
        <v>153</v>
      </c>
      <c r="E443" s="3" t="inlineStr">
        <is>
          <t>2 · DISPLAYED</t>
        </is>
      </c>
      <c r="F443" s="3" t="inlineStr">
        <is>
          <t>What is the text of the file that was picked?</t>
        </is>
      </c>
      <c r="G443" s="6" t="inlineStr">
        <is>
          <t>b = base64 to bytes(b64)
decode utf16(b, 2, true)   when length ≥ 2 and b[0] = 0xFF and b[1] = 0xFE
decode utf16(b, 2, false)   when length ≥ 2 and b[0] = 0xFE and b[1] = 0xFF
start = 0
nul = 0; const probe = min(count of b, 400)
decode utf16(b, 0, b[1] = 0)   when nul &gt; probe ÷ 4
the answer = decode utf8(b, start)</t>
        </is>
      </c>
      <c r="H443"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t>
        </is>
      </c>
      <c r="I443" s="3" t="inlineStr">
        <is>
          <t>PARTLY READ — some of the code is still showing through; needs a hand pass</t>
        </is>
      </c>
      <c r="J443" s="3" t="inlineStr">
        <is>
          <t>b64: string</t>
        </is>
      </c>
      <c r="K443" s="3" t="inlineStr">
        <is>
          <t>string</t>
        </is>
      </c>
      <c r="L443" s="3" t="inlineStr">
        <is>
          <t>NOT FOUND — a screen calls it, but the words printed beside its answer could not be traced automatically. Needs reading.</t>
        </is>
      </c>
      <c r="M443" s="3" t="inlineStr">
        <is>
          <t>1. Uses a built-in start of 0.
2. Uses a built-in nul of 0.
3. Uses a built-in i of 0.
4. Caps length at 400.</t>
        </is>
      </c>
      <c r="N443" s="3" t="inlineStr">
        <is>
          <t>Yes</t>
        </is>
      </c>
      <c r="O443" s="3" t="inlineStr">
        <is>
          <t>1. MK-XS-F-123 base64ToBytes
2. MK-XS-F-125 decodeUtf16
3. MK-XS-F-124 decodeUtf8</t>
        </is>
      </c>
      <c r="P443" s="3" t="n">
        <v>3</v>
      </c>
      <c r="Q443" s="3" t="inlineStr">
        <is>
          <t>1. MK-XS-F-123 base64ToBytes
2. MK-XS-F-125 decodeUtf16
3. MK-XS-F-124 decodeUtf8</t>
        </is>
      </c>
      <c r="R443" s="3" t="inlineStr">
        <is>
          <t>1. MK-XS-F-123 base64ToBytes → MK-XS-F-012 decodeCsvBase64
2. MK-XS-F-125 decodeUtf16 → MK-XS-F-012 decodeCsvBase64
3. MK-XS-F-124 decodeUtf8 → MK-XS-F-012 decodeCsvBase64</t>
        </is>
      </c>
      <c r="S443" s="3" t="inlineStr">
        <is>
          <t>—</t>
        </is>
      </c>
      <c r="T443" s="3" t="inlineStr">
        <is>
          <t>FILE_DECODE</t>
        </is>
      </c>
      <c r="U443" s="3" t="inlineStr">
        <is>
          <t>ACTIVE</t>
        </is>
      </c>
      <c r="V443" s="3" t="inlineStr">
        <is>
          <t>2026-08-27</t>
        </is>
      </c>
    </row>
    <row r="444">
      <c r="A444" s="3" t="inlineStr">
        <is>
          <t>MK-XS-F-013</t>
        </is>
      </c>
      <c r="B444" s="3" t="inlineStr">
        <is>
          <t>parseCsv</t>
        </is>
      </c>
      <c r="C444" s="3" t="inlineStr">
        <is>
          <t>src/domain/import/holdingsImport.ts</t>
        </is>
      </c>
      <c r="D444" s="3" t="n">
        <v>194</v>
      </c>
      <c r="E444" s="3" t="inlineStr">
        <is>
          <t>3 · DEPENDENT</t>
        </is>
      </c>
      <c r="F444" s="3" t="inlineStr">
        <is>
          <t>Minimal RFC-4180-ish CSV parser: handles quoted fields, embedded commas, "" escapes, CR/LF, BOM.</t>
        </is>
      </c>
      <c r="G444" s="6" t="inlineStr">
        <is>
          <t>rows = []
row = []
field = ''
in quotes = false
s = (text.char code at(0) = 0xFEFF ? text.slice(1) : text).replace( ÷ \r\n ÷ g, "\n").replace( ÷ \r ÷ g, "\n")
c = s[i]
the answer = rows where some((cell) =&gt; cell.trim() ! = '')</t>
        </is>
      </c>
      <c r="H444" s="3" t="inlineStr">
        <is>
          <t>Rows is []. Row is []. Field is ''. In quotes is false. S is (text.char code at(0) = 0xFEFF ? text.slice(1) : text).replace( divided by \r\n divided by g, "\n").replace( divided by \r divided by g, "\n"). C is s[i]. The answer is rows where some((cell) =&gt; cell.trim() ! = '').</t>
        </is>
      </c>
      <c r="I444" s="3" t="inlineStr">
        <is>
          <t>PARTLY READ — some of the code is still showing through; needs a hand pass</t>
        </is>
      </c>
      <c r="J444" s="3" t="inlineStr">
        <is>
          <t>text: string</t>
        </is>
      </c>
      <c r="K444" s="3" t="inlineStr">
        <is>
          <t>string[][]</t>
        </is>
      </c>
      <c r="L444" s="3" t="inlineStr">
        <is>
          <t>—</t>
        </is>
      </c>
      <c r="M444" s="3" t="inlineStr">
        <is>
          <t>1. Uses a built-in i of 0.
2. Leaves some rows out of the answer — check which.</t>
        </is>
      </c>
      <c r="N444" s="3" t="inlineStr">
        <is>
          <t>Yes</t>
        </is>
      </c>
      <c r="O444" s="3" t="inlineStr">
        <is>
          <t>—</t>
        </is>
      </c>
      <c r="P444" s="3" t="n">
        <v>0</v>
      </c>
      <c r="Q444" s="3" t="inlineStr">
        <is>
          <t>None — no dependent function stands behind it</t>
        </is>
      </c>
      <c r="R444" s="3" t="inlineStr">
        <is>
          <t>No dependent function — it reads its inputs and answers</t>
        </is>
      </c>
      <c r="S444" s="3" t="inlineStr">
        <is>
          <t>—</t>
        </is>
      </c>
      <c r="T444" s="3" t="inlineStr">
        <is>
          <t>FILE_PARSE</t>
        </is>
      </c>
      <c r="U444" s="3" t="inlineStr">
        <is>
          <t>ACTIVE</t>
        </is>
      </c>
      <c r="V444" s="3" t="inlineStr">
        <is>
          <t>2026-08-27</t>
        </is>
      </c>
    </row>
    <row r="445">
      <c r="A445" s="3" t="inlineStr">
        <is>
          <t>MK-XS-F-014</t>
        </is>
      </c>
      <c r="B445" s="3" t="inlineStr">
        <is>
          <t>classifyHolding</t>
        </is>
      </c>
      <c r="C445" s="3" t="inlineStr">
        <is>
          <t>Calculation Module code/engines/classify.ts</t>
        </is>
      </c>
      <c r="D445" s="3" t="n">
        <v>148</v>
      </c>
      <c r="E445" s="3" t="inlineStr">
        <is>
          <t>3 · DEPENDENT (feeds an action only)</t>
        </is>
      </c>
      <c r="F445" s="3" t="inlineStr">
        <is>
          <t>For a line in a FILE you upload: which class is it?</t>
        </is>
      </c>
      <c r="G445" s="6"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445"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445" s="3" t="inlineStr">
        <is>
          <t>PARTLY READ — some of the code is still showing through; needs a hand pass</t>
        </is>
      </c>
      <c r="J445" s="3" t="inlineStr">
        <is>
          <t>input: ClassifyInput</t>
        </is>
      </c>
      <c r="K445" s="3" t="inlineStr">
        <is>
          <t>Classified</t>
        </is>
      </c>
      <c r="L445" s="3" t="inlineStr">
        <is>
          <t>—</t>
        </is>
      </c>
      <c r="M445" s="3" t="inlineStr">
        <is>
          <t>None found in this function — anything it assumes comes from the functions it depends on.</t>
        </is>
      </c>
      <c r="N445" s="3" t="inlineStr">
        <is>
          <t>No</t>
        </is>
      </c>
      <c r="O445" s="3" t="inlineStr">
        <is>
          <t>1. MK-ST-F-056 has
2. MK-ST-F-001 looksFixedIncome</t>
        </is>
      </c>
      <c r="P445" s="3" t="n">
        <v>2</v>
      </c>
      <c r="Q445" s="3" t="inlineStr">
        <is>
          <t>1. MK-ST-F-056 has
2. MK-ST-F-001 looksFixedIncome</t>
        </is>
      </c>
      <c r="R445" s="3" t="inlineStr">
        <is>
          <t>1. MK-ST-F-056 has → MK-XS-F-014 classifyHolding
2. MK-ST-F-001 looksFixedIncome → MK-XS-F-014 classifyHolding</t>
        </is>
      </c>
      <c r="S445" s="3" t="inlineStr">
        <is>
          <t>—</t>
        </is>
      </c>
      <c r="T445" s="3" t="inlineStr">
        <is>
          <t>CLASS_FROM_FILE</t>
        </is>
      </c>
      <c r="U445" s="3" t="inlineStr">
        <is>
          <t>ACTIVE</t>
        </is>
      </c>
      <c r="V445" s="3" t="inlineStr">
        <is>
          <t>2026-08-27</t>
        </is>
      </c>
    </row>
    <row r="446">
      <c r="A446" s="3" t="inlineStr">
        <is>
          <t>MK-XS-F-015</t>
        </is>
      </c>
      <c r="B446" s="3" t="inlineStr">
        <is>
          <t>importHoldings</t>
        </is>
      </c>
      <c r="C446" s="3" t="inlineStr">
        <is>
          <t>src/domain/import/holdingsImport.ts</t>
        </is>
      </c>
      <c r="D446" s="3" t="n">
        <v>436</v>
      </c>
      <c r="E446" s="3" t="inlineStr">
        <is>
          <t>2 · DISPLAYED</t>
        </is>
      </c>
      <c r="F446" s="3" t="inlineStr">
        <is>
          <t>What holdings are in this file?</t>
        </is>
      </c>
      <c r="G446" s="6"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446"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446" s="3" t="inlineStr">
        <is>
          <t>PARTLY READ — some of the code is still showing through; needs a hand pass</t>
        </is>
      </c>
      <c r="J446" s="3" t="inlineStr">
        <is>
          <t>text: string</t>
        </is>
      </c>
      <c r="K446" s="3" t="inlineStr">
        <is>
          <t>ImportResult</t>
        </is>
      </c>
      <c r="L446" s="3" t="inlineStr">
        <is>
          <t>NOT FOUND — a screen calls it, but the words printed beside its answer could not be traced automatically. Needs reading.</t>
        </is>
      </c>
      <c r="M446" s="3" t="inlineStr">
        <is>
          <t>· Uses a built-in skipped of 0.</t>
        </is>
      </c>
      <c r="N446" s="3" t="inlineStr">
        <is>
          <t>Yes</t>
        </is>
      </c>
      <c r="O446" s="3" t="inlineStr">
        <is>
          <t>1. MK-XS-F-172 assetClassForSymbol
2. MK-XS-F-128 cleanTicker
3. MK-XS-F-126 findCol
4. MK-XS-F-129 findHeaderRow
5. MK-CF-F-132 map
6. MK-XS-F-171 numOrNaN
7. MK-XS-F-013 parseCsv
8. MK-XS-F-127 toIsoDate</t>
        </is>
      </c>
      <c r="P446" s="3" t="n">
        <v>11</v>
      </c>
      <c r="Q446" s="3" t="inlineStr">
        <is>
          <t>1. MK-XS-F-172 assetClassForSymbol
2. MK-XS-F-128 cleanTicker
3. MK-XS-F-126 findCol
4. MK-XS-F-129 findHeaderRow
5. MK-CF-F-132 map
6. MK-XS-F-171 numOrNaN
7. MK-XS-F-013 parseCsv
8. MK-XS-F-127 toIsoDate
9. MK-ST-F-011 classifyHoldingClass
10. MK-ST-F-010 nameEvidence
11. MK-ST-F-056 has</t>
        </is>
      </c>
      <c r="R446" s="3" t="inlineStr">
        <is>
          <t>1. MK-ST-F-056 has → MK-ST-F-010 nameEvidence → MK-ST-F-011 classifyHoldingClass → MK-XS-F-172 assetClassForSymbol → MK-XS-F-015 importHoldings
2. MK-CF-F-132 map → MK-ST-F-010 nameEvidence → MK-ST-F-011 classifyHoldingClass → MK-XS-F-172 assetClassForSymbol → MK-XS-F-015 importHoldings
3. MK-XS-F-128 cleanTicker → MK-XS-F-015 importHoldings
4. MK-XS-F-126 findCol → MK-XS-F-015 importHoldings
5. MK-CF-F-132 map → MK-XS-F-129 findHeaderRow → MK-XS-F-015 importHoldings
6. MK-CF-F-132 map → MK-XS-F-015 importHoldings
7. MK-XS-F-171 numOrNaN → MK-XS-F-015 importHoldings
8. MK-XS-F-013 parseCsv → MK-XS-F-015 importHoldings
9. … and 1 more paths</t>
        </is>
      </c>
      <c r="S446" s="3" t="inlineStr">
        <is>
          <t>—</t>
        </is>
      </c>
      <c r="T446" s="3" t="inlineStr">
        <is>
          <t>FILE_IMPORT</t>
        </is>
      </c>
      <c r="U446" s="3" t="inlineStr">
        <is>
          <t>ACTIVE</t>
        </is>
      </c>
      <c r="V446" s="3" t="inlineStr">
        <is>
          <t>2026-08-27</t>
        </is>
      </c>
    </row>
    <row r="447">
      <c r="A447" s="3" t="inlineStr">
        <is>
          <t>MK-XS-F-016</t>
        </is>
      </c>
      <c r="B447" s="3" t="inlineStr">
        <is>
          <t>matchImportAccount</t>
        </is>
      </c>
      <c r="C447" s="3" t="inlineStr">
        <is>
          <t>src/domain/import/holdingsImport.ts</t>
        </is>
      </c>
      <c r="D447" s="3" t="n">
        <v>549</v>
      </c>
      <c r="E447" s="3" t="inlineStr">
        <is>
          <t>2 · DISPLAYED</t>
        </is>
      </c>
      <c r="F447" s="3" t="inlineStr">
        <is>
          <t>The existing account a fresh import from `institution` should offer to update (or null).</t>
        </is>
      </c>
      <c r="G447" s="6" t="inlineStr">
        <is>
          <t>target = norm inst(institution)
nothing   when target is missing
nothing   when count of candidates is missing</t>
        </is>
      </c>
      <c r="H447" s="3" t="inlineStr">
        <is>
          <t>Target is norm inst(institution). When target is missing, it answers no answer. When how many candidates is missing there are, it answers no answer.</t>
        </is>
      </c>
      <c r="I447" s="3" t="inlineStr">
        <is>
          <t>READ FROM THE CODE — rendered from the expressions the function runs</t>
        </is>
      </c>
      <c r="J447" s="3" t="inlineStr">
        <is>
          <t>1. accounts: AssetAccount[]
2. institution: string</t>
        </is>
      </c>
      <c r="K447" s="3" t="inlineStr">
        <is>
          <t>AssetAccount | null</t>
        </is>
      </c>
      <c r="L447" s="3" t="inlineStr">
        <is>
          <t>"Account name" — on the Import holdings screen, under "REVIEW YOUR HOLDINGS"</t>
        </is>
      </c>
      <c r="M447" s="3" t="inlineStr">
        <is>
          <t>1. If balance is missing it counts as zero, so nothing recorded and a real zero look the same.
2. Leaves some rows out of the answer — check which.</t>
        </is>
      </c>
      <c r="N447" s="3" t="inlineStr">
        <is>
          <t>Yes</t>
        </is>
      </c>
      <c r="O447" s="3" t="inlineStr">
        <is>
          <t>MK-XS-F-130 normInst</t>
        </is>
      </c>
      <c r="P447" s="3" t="n">
        <v>1</v>
      </c>
      <c r="Q447" s="3" t="inlineStr">
        <is>
          <t>MK-XS-F-130 normInst</t>
        </is>
      </c>
      <c r="R447" s="3" t="inlineStr">
        <is>
          <t>MK-XS-F-130 normInst → MK-XS-F-016 matchImportAccount</t>
        </is>
      </c>
      <c r="S447" s="3" t="inlineStr">
        <is>
          <t>—</t>
        </is>
      </c>
      <c r="T447" s="3" t="inlineStr">
        <is>
          <t>IMPORT_ACCOUNT_MATCH</t>
        </is>
      </c>
      <c r="U447" s="3" t="inlineStr">
        <is>
          <t>ACTIVE</t>
        </is>
      </c>
      <c r="V447" s="3" t="inlineStr">
        <is>
          <t>2026-08-27</t>
        </is>
      </c>
    </row>
    <row r="448">
      <c r="A448" s="3" t="inlineStr">
        <is>
          <t>MK-XS-F-017</t>
        </is>
      </c>
      <c r="B448" s="3" t="inlineStr">
        <is>
          <t>currentAge</t>
        </is>
      </c>
      <c r="C448" s="3" t="inlineStr">
        <is>
          <t>src/domain/profile/calc.ts</t>
        </is>
      </c>
      <c r="D448" s="3" t="n">
        <v>33</v>
      </c>
      <c r="E448" s="3" t="inlineStr">
        <is>
          <t>3 · DEPENDENT</t>
        </is>
      </c>
      <c r="F448" s="3" t="inlineStr">
        <is>
          <t>Age in whole years from birth month/year, as of `asOf` (defaults to now).</t>
        </is>
      </c>
      <c r="G448" s="6" t="inlineStr">
        <is>
          <t>nothing   when birth year is missing (or birth month is missing when missing or zero)
age = as of.get full year() − birth year
month idx = birth month − 1
the answer:
age   if age ≥ 0
nothing   otherwise</t>
        </is>
      </c>
      <c r="H448" s="3" t="inlineStr">
        <is>
          <t>When birth year is missing (or birth month is missing — when missing or zero), it answers no answer. Age is as of.get full year() minus birth year. Month idx is birth month minus 1. The answer is age — when age is at least 0; no answer — otherwise.</t>
        </is>
      </c>
      <c r="I448" s="3" t="inlineStr">
        <is>
          <t>PARTLY READ — some of the code is still showing through; needs a hand pass</t>
        </is>
      </c>
      <c r="J448" s="3" t="inlineStr">
        <is>
          <t>Nothing is handed to it</t>
        </is>
      </c>
      <c r="K448" s="3" t="inlineStr">
        <is>
          <t>NOT DECLARED — the code does not say what it gives back</t>
        </is>
      </c>
      <c r="L448" s="3" t="inlineStr">
        <is>
          <t>—</t>
        </is>
      </c>
      <c r="M448" s="3" t="inlineStr">
        <is>
          <t>· Uses today's date from the device clock, so the answer changes by itself overnight.</t>
        </is>
      </c>
      <c r="N448" s="3" t="inlineStr">
        <is>
          <t>Yes</t>
        </is>
      </c>
      <c r="O448" s="3" t="inlineStr">
        <is>
          <t>—</t>
        </is>
      </c>
      <c r="P448" s="3" t="n">
        <v>0</v>
      </c>
      <c r="Q448" s="3" t="inlineStr">
        <is>
          <t>None — no dependent function stands behind it</t>
        </is>
      </c>
      <c r="R448" s="3" t="inlineStr">
        <is>
          <t>No dependent function — it reads its inputs and answers</t>
        </is>
      </c>
      <c r="S448" s="3" t="inlineStr">
        <is>
          <t>—</t>
        </is>
      </c>
      <c r="T448" s="3" t="inlineStr">
        <is>
          <t>—</t>
        </is>
      </c>
      <c r="U448" s="3" t="inlineStr">
        <is>
          <t>ACTIVE</t>
        </is>
      </c>
      <c r="V448" s="3" t="inlineStr">
        <is>
          <t>2026-08-27</t>
        </is>
      </c>
    </row>
    <row r="449">
      <c r="A449" s="3" t="inlineStr">
        <is>
          <t>MK-XS-F-018</t>
        </is>
      </c>
      <c r="B449" s="3" t="inlineStr">
        <is>
          <t>yearsToRetirement</t>
        </is>
      </c>
      <c r="C449" s="3" t="inlineStr">
        <is>
          <t>src/domain/profile/calc.ts</t>
        </is>
      </c>
      <c r="D449" s="3" t="n">
        <v>67</v>
      </c>
      <c r="E449" s="3" t="inlineStr">
        <is>
          <t>3 · DEPENDENT</t>
        </is>
      </c>
      <c r="F449" s="3" t="inlineStr">
        <is>
          <t>Years until the target retirement age (never negative).</t>
        </is>
      </c>
      <c r="G449" s="6" t="inlineStr">
        <is>
          <t>nothing   when age = nothing (or target retirement age is missing when missing or zero)
max(0, target retirement age − age)</t>
        </is>
      </c>
      <c r="H449" s="3" t="inlineStr">
        <is>
          <t>When age is missing (or target retirement age is missing — when missing or zero), it answers no answer. target retirement age minus age, never below zero.</t>
        </is>
      </c>
      <c r="I449" s="3" t="inlineStr">
        <is>
          <t>READ FROM THE CODE — rendered from the expressions the function runs</t>
        </is>
      </c>
      <c r="J449" s="3" t="inlineStr">
        <is>
          <t>1. age: number | null
2. targetRetirementAge: number | null</t>
        </is>
      </c>
      <c r="K449" s="3" t="inlineStr">
        <is>
          <t>number | null</t>
        </is>
      </c>
      <c r="L449" s="3" t="inlineStr">
        <is>
          <t>—</t>
        </is>
      </c>
      <c r="M449" s="3" t="inlineStr">
        <is>
          <t>None found in this function — anything it assumes comes from the functions it depends on.</t>
        </is>
      </c>
      <c r="N449" s="3" t="inlineStr">
        <is>
          <t>Yes</t>
        </is>
      </c>
      <c r="O449" s="3" t="inlineStr">
        <is>
          <t>—</t>
        </is>
      </c>
      <c r="P449" s="3" t="n">
        <v>0</v>
      </c>
      <c r="Q449" s="3" t="inlineStr">
        <is>
          <t>None — no dependent function stands behind it</t>
        </is>
      </c>
      <c r="R449" s="3" t="inlineStr">
        <is>
          <t>No dependent function — it reads its inputs and answers</t>
        </is>
      </c>
      <c r="S449" s="3" t="inlineStr">
        <is>
          <t>—</t>
        </is>
      </c>
      <c r="T449" s="3" t="inlineStr">
        <is>
          <t>—</t>
        </is>
      </c>
      <c r="U449" s="3" t="inlineStr">
        <is>
          <t>ACTIVE</t>
        </is>
      </c>
      <c r="V449" s="3" t="inlineStr">
        <is>
          <t>2026-08-27</t>
        </is>
      </c>
    </row>
    <row r="450">
      <c r="A450" s="3" t="inlineStr">
        <is>
          <t>MK-XS-F-019</t>
        </is>
      </c>
      <c r="B450" s="3" t="inlineStr">
        <is>
          <t>retirementHorizonYears</t>
        </is>
      </c>
      <c r="C450" s="3" t="inlineStr">
        <is>
          <t>src/domain/profile/calc.ts</t>
        </is>
      </c>
      <c r="D450" s="3" t="n">
        <v>97</v>
      </c>
      <c r="E450" s="3" t="inlineStr">
        <is>
          <t>3 · DEPENDENT</t>
        </is>
      </c>
      <c r="F450" s="3" t="inlineStr">
        <is>
          <t>Years the money must last: retirement → plan-to age (default horizon if unset).</t>
        </is>
      </c>
      <c r="G450" s="6" t="inlineStr">
        <is>
          <t>nothing   when target retirement age is missing
horizon = (plan to age ?? DEFAULT_PLAN_TO_AGE) − target retirement age
the answer:
horizon   if horizon &gt; 0
nothing   otherwise</t>
        </is>
      </c>
      <c r="H450" s="3" t="inlineStr">
        <is>
          <t>When target retirement age is missing, it answers no answer. Horizon is (plan to age ?? DEFAULT_PLAN_TO_AGE) minus target retirement age. The answer is horizon — when horizon &gt; 0; no answer — otherwise.</t>
        </is>
      </c>
      <c r="I450" s="3" t="inlineStr">
        <is>
          <t>PARTLY READ — some of the code is still showing through; needs a hand pass</t>
        </is>
      </c>
      <c r="J450" s="3" t="inlineStr">
        <is>
          <t>1. targetRetirementAge: number | null
2. planToAge: number | null</t>
        </is>
      </c>
      <c r="K450" s="3" t="inlineStr">
        <is>
          <t>number | null</t>
        </is>
      </c>
      <c r="L450" s="3" t="inlineStr">
        <is>
          <t>—</t>
        </is>
      </c>
      <c r="M450" s="3" t="inlineStr">
        <is>
          <t>None found in this function — anything it assumes comes from the functions it depends on.</t>
        </is>
      </c>
      <c r="N450" s="3" t="inlineStr">
        <is>
          <t>Yes</t>
        </is>
      </c>
      <c r="O450" s="3" t="inlineStr">
        <is>
          <t>—</t>
        </is>
      </c>
      <c r="P450" s="3" t="n">
        <v>0</v>
      </c>
      <c r="Q450" s="3" t="inlineStr">
        <is>
          <t>None — no dependent function stands behind it</t>
        </is>
      </c>
      <c r="R450" s="3" t="inlineStr">
        <is>
          <t>No dependent function — it reads its inputs and answers</t>
        </is>
      </c>
      <c r="S450" s="3" t="inlineStr">
        <is>
          <t>—</t>
        </is>
      </c>
      <c r="T450" s="3" t="inlineStr">
        <is>
          <t>—</t>
        </is>
      </c>
      <c r="U450" s="3" t="inlineStr">
        <is>
          <t>ACTIVE</t>
        </is>
      </c>
      <c r="V450" s="3" t="inlineStr">
        <is>
          <t>2026-08-27</t>
        </is>
      </c>
    </row>
    <row r="451">
      <c r="A451" s="3" t="inlineStr">
        <is>
          <t>MK-XS-F-020</t>
        </is>
      </c>
      <c r="B451" s="3" t="inlineStr">
        <is>
          <t>toReadModel</t>
        </is>
      </c>
      <c r="C451" s="3" t="inlineStr">
        <is>
          <t>src/domain/profile/calc.ts</t>
        </is>
      </c>
      <c r="D451" s="3" t="n">
        <v>127</v>
      </c>
      <c r="E451" s="3" t="inlineStr">
        <is>
          <t>3 · DEPENDENT</t>
        </is>
      </c>
      <c r="F451" s="3" t="inlineStr">
        <is>
          <t>Build the public read-model (profile + derived planning values).</t>
        </is>
      </c>
      <c r="G451" s="6" t="inlineStr">
        <is>
          <t>age = current age(birth year, birth month, as of)</t>
        </is>
      </c>
      <c r="H451" s="3" t="inlineStr">
        <is>
          <t>Age is current age(birth year, birth month, as of).</t>
        </is>
      </c>
      <c r="I451" s="3" t="inlineStr">
        <is>
          <t>READ FROM THE CODE — rendered from the expressions the function runs</t>
        </is>
      </c>
      <c r="J451" s="3" t="inlineStr">
        <is>
          <t>1. p: Profile
2. asOf: Date = new Date()</t>
        </is>
      </c>
      <c r="K451" s="3" t="inlineStr">
        <is>
          <t>ProfileReadModel</t>
        </is>
      </c>
      <c r="L451" s="3" t="inlineStr">
        <is>
          <t>—</t>
        </is>
      </c>
      <c r="M451" s="3" t="inlineStr">
        <is>
          <t>· Uses today's date from the device clock, so the answer changes by itself overnight.</t>
        </is>
      </c>
      <c r="N451" s="3" t="inlineStr">
        <is>
          <t>Yes</t>
        </is>
      </c>
      <c r="O451" s="3" t="inlineStr">
        <is>
          <t>1. MK-XS-F-017 currentAge
2. MK-XS-F-019 retirementHorizonYears
3. MK-XS-F-018 yearsToRetirement</t>
        </is>
      </c>
      <c r="P451" s="3" t="n">
        <v>3</v>
      </c>
      <c r="Q451" s="3" t="inlineStr">
        <is>
          <t>1. MK-XS-F-017 currentAge
2. MK-XS-F-019 retirementHorizonYears
3. MK-XS-F-018 yearsToRetirement</t>
        </is>
      </c>
      <c r="R451" s="3" t="inlineStr">
        <is>
          <t>1. MK-XS-F-017 currentAge → MK-XS-F-020 toReadModel
2. MK-XS-F-019 retirementHorizonYears → MK-XS-F-020 toReadModel
3. MK-XS-F-018 yearsToRetirement → MK-XS-F-020 toReadModel</t>
        </is>
      </c>
      <c r="S451" s="3" t="inlineStr">
        <is>
          <t>—</t>
        </is>
      </c>
      <c r="T451" s="3" t="inlineStr">
        <is>
          <t>—</t>
        </is>
      </c>
      <c r="U451" s="3" t="inlineStr">
        <is>
          <t>ACTIVE</t>
        </is>
      </c>
      <c r="V451" s="3" t="inlineStr">
        <is>
          <t>2026-08-27</t>
        </is>
      </c>
    </row>
    <row r="452">
      <c r="A452" s="3" t="inlineStr">
        <is>
          <t>MK-XS-F-021</t>
        </is>
      </c>
      <c r="B452" s="3" t="inlineStr">
        <is>
          <t>loadProfile</t>
        </is>
      </c>
      <c r="C452" s="3" t="inlineStr">
        <is>
          <t>src/domain/profile/index.ts</t>
        </is>
      </c>
      <c r="D452" s="3" t="n">
        <v>35</v>
      </c>
      <c r="E452" s="3" t="inlineStr">
        <is>
          <t>3 · DEPENDENT (feeds an action only)</t>
        </is>
      </c>
      <c r="F452" s="3" t="inlineStr">
        <is>
          <t>NOT DETERMINED — the code carries no note saying what this is for, and it has no row in the old inventory. Needs reading.</t>
        </is>
      </c>
      <c r="G452" s="6" t="inlineStr">
        <is>
          <t>get user doc&lt;profile&gt;(COLLECTION, uid)</t>
        </is>
      </c>
      <c r="H452" s="3" t="inlineStr">
        <is>
          <t>get user doc&lt;profile&gt;(COLLECTION, uid).</t>
        </is>
      </c>
      <c r="I452" s="3" t="inlineStr">
        <is>
          <t>READ FROM THE CODE — rendered from the expressions the function runs</t>
        </is>
      </c>
      <c r="J452" s="3" t="inlineStr">
        <is>
          <t>uid: UserId</t>
        </is>
      </c>
      <c r="K452" s="3" t="inlineStr">
        <is>
          <t>Promise&lt;Profile | null&gt;</t>
        </is>
      </c>
      <c r="L452" s="3" t="inlineStr">
        <is>
          <t>—</t>
        </is>
      </c>
      <c r="M452" s="3" t="inlineStr">
        <is>
          <t>None found in this function — anything it assumes comes from the functions it depends on.</t>
        </is>
      </c>
      <c r="N452" s="3" t="inlineStr">
        <is>
          <t>No</t>
        </is>
      </c>
      <c r="O452" s="3" t="inlineStr">
        <is>
          <t>—</t>
        </is>
      </c>
      <c r="P452" s="3" t="n">
        <v>0</v>
      </c>
      <c r="Q452" s="3" t="inlineStr">
        <is>
          <t>None — no dependent function stands behind it</t>
        </is>
      </c>
      <c r="R452" s="3" t="inlineStr">
        <is>
          <t>No dependent function — it reads its inputs and answers</t>
        </is>
      </c>
      <c r="S452" s="3" t="inlineStr">
        <is>
          <t>—</t>
        </is>
      </c>
      <c r="T452" s="3" t="inlineStr">
        <is>
          <t>—</t>
        </is>
      </c>
      <c r="U452" s="3" t="inlineStr">
        <is>
          <t>ACTIVE</t>
        </is>
      </c>
      <c r="V452" s="3" t="inlineStr">
        <is>
          <t>2026-08-27</t>
        </is>
      </c>
    </row>
    <row r="453">
      <c r="A453" s="3" t="inlineStr">
        <is>
          <t>MK-XS-F-022</t>
        </is>
      </c>
      <c r="B453" s="3" t="inlineStr">
        <is>
          <t>saveProfile</t>
        </is>
      </c>
      <c r="C453" s="3" t="inlineStr">
        <is>
          <t>src/domain/profile/index.ts</t>
        </is>
      </c>
      <c r="D453" s="3" t="n">
        <v>54</v>
      </c>
      <c r="E453" s="3" t="inlineStr">
        <is>
          <t>1 · ACTION</t>
        </is>
      </c>
      <c r="F453" s="3" t="inlineStr">
        <is>
          <t>NOT DETERMINED — the code carries no note saying what this is for, and it has no row in the old inventory. Needs reading.</t>
        </is>
      </c>
      <c r="G453" s="6" t="inlineStr">
        <is>
          <t>It records or announces something and returns no figure — no arithmetic of its own.</t>
        </is>
      </c>
      <c r="H453" s="3" t="inlineStr">
        <is>
          <t>It records or announces something and returns no figure — no arithmetic of its own.</t>
        </is>
      </c>
      <c r="I453" s="3" t="inlineStr">
        <is>
          <t>NO ARITHMETIC — there is no formula to state</t>
        </is>
      </c>
      <c r="J453" s="3" t="inlineStr">
        <is>
          <t>profile: Profile</t>
        </is>
      </c>
      <c r="K453" s="3" t="inlineStr">
        <is>
          <t>Promise&lt;void&gt;</t>
        </is>
      </c>
      <c r="L453" s="3" t="inlineStr">
        <is>
          <t>—</t>
        </is>
      </c>
      <c r="M453" s="3" t="inlineStr">
        <is>
          <t>None found in this function — anything it assumes comes from the functions it depends on.</t>
        </is>
      </c>
      <c r="N453" s="3" t="inlineStr">
        <is>
          <t>Yes</t>
        </is>
      </c>
      <c r="O453" s="3" t="inlineStr">
        <is>
          <t>1. MK-ST-F-040 emit
2. MK-ST-F-042 setUserDoc</t>
        </is>
      </c>
      <c r="P453" s="3" t="n">
        <v>2</v>
      </c>
      <c r="Q453" s="3" t="inlineStr">
        <is>
          <t>1. MK-ST-F-040 emit
2. MK-ST-F-042 setUserDoc</t>
        </is>
      </c>
      <c r="R453" s="3" t="inlineStr">
        <is>
          <t>1. MK-ST-F-040 emit → MK-XS-F-022 saveProfile
2. MK-ST-F-042 setUserDoc → MK-XS-F-022 saveProfile</t>
        </is>
      </c>
      <c r="S453" s="3" t="inlineStr">
        <is>
          <t>—</t>
        </is>
      </c>
      <c r="T453" s="3" t="inlineStr">
        <is>
          <t>—</t>
        </is>
      </c>
      <c r="U453" s="3" t="inlineStr">
        <is>
          <t>ACTIVE</t>
        </is>
      </c>
      <c r="V453" s="3" t="inlineStr">
        <is>
          <t>2026-08-27</t>
        </is>
      </c>
    </row>
    <row r="454">
      <c r="A454" s="3" t="inlineStr">
        <is>
          <t>MK-XS-F-023</t>
        </is>
      </c>
      <c r="B454" s="3" t="inlineStr">
        <is>
          <t>getProfileReadModel</t>
        </is>
      </c>
      <c r="C454" s="3" t="inlineStr">
        <is>
          <t>src/domain/profile/index.ts</t>
        </is>
      </c>
      <c r="D454" s="3" t="n">
        <v>78</v>
      </c>
      <c r="E454" s="3" t="inlineStr">
        <is>
          <t>3 · DEPENDENT (feeds an action only)</t>
        </is>
      </c>
      <c r="F454" s="3" t="inlineStr">
        <is>
          <t>Profile + derived planning values (current age, years to retirement, horizon).</t>
        </is>
      </c>
      <c r="G454" s="6" t="inlineStr">
        <is>
          <t>p = await load profile(uid)
the answer:
to read model(p)   if p
nothing   otherwise</t>
        </is>
      </c>
      <c r="H454" s="3" t="inlineStr">
        <is>
          <t>P is await load profile(uid). The answer is to read model(p) — when p; no answer — otherwise.</t>
        </is>
      </c>
      <c r="I454" s="3" t="inlineStr">
        <is>
          <t>READ FROM THE CODE — rendered from the expressions the function runs</t>
        </is>
      </c>
      <c r="J454" s="3" t="inlineStr">
        <is>
          <t>uid: UserId</t>
        </is>
      </c>
      <c r="K454" s="3" t="inlineStr">
        <is>
          <t>Promise&lt;ProfileReadModel | null&gt;</t>
        </is>
      </c>
      <c r="L454" s="3" t="inlineStr">
        <is>
          <t>—</t>
        </is>
      </c>
      <c r="M454" s="3" t="inlineStr">
        <is>
          <t>None found in this function — anything it assumes comes from the functions it depends on.</t>
        </is>
      </c>
      <c r="N454" s="3" t="inlineStr">
        <is>
          <t>No</t>
        </is>
      </c>
      <c r="O454" s="3" t="inlineStr">
        <is>
          <t>1. MK-XS-F-021 loadProfile
2. MK-XS-F-020 toReadModel</t>
        </is>
      </c>
      <c r="P454" s="3" t="n">
        <v>5</v>
      </c>
      <c r="Q454" s="3" t="inlineStr">
        <is>
          <t>1. MK-XS-F-021 loadProfile
2. MK-XS-F-020 toReadModel
3. MK-XS-F-017 currentAge
4. MK-XS-F-019 retirementHorizonYears
5. MK-XS-F-018 yearsToRetirement</t>
        </is>
      </c>
      <c r="R454" s="3" t="inlineStr">
        <is>
          <t>1. MK-XS-F-021 loadProfile → MK-XS-F-023 getProfileReadModel
2. MK-XS-F-017 currentAge → MK-XS-F-020 toReadModel → MK-XS-F-023 getProfileReadModel
3. MK-XS-F-019 retirementHorizonYears → MK-XS-F-020 toReadModel → MK-XS-F-023 getProfileReadModel
4. MK-XS-F-018 yearsToRetirement → MK-XS-F-020 toReadModel → MK-XS-F-023 getProfileReadModel</t>
        </is>
      </c>
      <c r="S454" s="3" t="inlineStr">
        <is>
          <t>—</t>
        </is>
      </c>
      <c r="T454" s="3" t="inlineStr">
        <is>
          <t>—</t>
        </is>
      </c>
      <c r="U454" s="3" t="inlineStr">
        <is>
          <t>ACTIVE</t>
        </is>
      </c>
      <c r="V454" s="3" t="inlineStr">
        <is>
          <t>2026-08-27</t>
        </is>
      </c>
    </row>
    <row r="455">
      <c r="A455" s="3" t="inlineStr">
        <is>
          <t>MK-XS-F-024</t>
        </is>
      </c>
      <c r="B455" s="3" t="inlineStr">
        <is>
          <t>resolveLens</t>
        </is>
      </c>
      <c r="C455" s="3" t="inlineStr">
        <is>
          <t>src/domain/profile/lens.ts</t>
        </is>
      </c>
      <c r="D455" s="3" t="n">
        <v>36</v>
      </c>
      <c r="E455" s="3" t="inlineStr">
        <is>
          <t>2 · DISPLAYED</t>
        </is>
      </c>
      <c r="F455" s="3" t="inlineStr">
        <is>
          <t>The person's explicit choice (first-run stage question / Settings → Your setup) wins.</t>
        </is>
      </c>
      <c r="G455" s="6" t="inlineStr">
        <is>
          <t>override   when override = 'working' (or override = 'retired' when missing or zero)
status = op.status
'retired'   when status = 'retired'
'retired'   when status = 'partial' and current retirement income monthly(op ?? {}) &gt; 0
the answer = 'working'</t>
        </is>
      </c>
      <c r="H455"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455" s="3" t="inlineStr">
        <is>
          <t>PARTLY READ — some of the code is still showing through; needs a hand pass</t>
        </is>
      </c>
      <c r="J455" s="3" t="inlineStr">
        <is>
          <t>1. op: Record&lt;string, any&gt; | null | undefined
2. override?: Lens | null</t>
        </is>
      </c>
      <c r="K455" s="3" t="inlineStr">
        <is>
          <t>Lens</t>
        </is>
      </c>
      <c r="L455" s="3" t="inlineStr">
        <is>
          <t>1. "WILL MY MONEY LAST?" — on the Home screen, under "WILL MY MONEY LAST?"
2. "YOUR FIVE TABS — same order as the bar below" — on a card used on more than one screen (TopBar)</t>
        </is>
      </c>
      <c r="M455" s="3" t="inlineStr">
        <is>
          <t>None found in this function — anything it assumes comes from the functions it depends on.</t>
        </is>
      </c>
      <c r="N455" s="3" t="inlineStr">
        <is>
          <t>Yes</t>
        </is>
      </c>
      <c r="O455" s="3" t="inlineStr">
        <is>
          <t>MK-CF-F-072 currentRetirementIncomeMonthly</t>
        </is>
      </c>
      <c r="P455" s="3" t="n">
        <v>3</v>
      </c>
      <c r="Q455" s="3" t="inlineStr">
        <is>
          <t>1. MK-CF-F-072 currentRetirementIncomeMonthly
2. MK-CF-F-075 retirementIncomeMonthly
3. MK-ST-F-052 toNum</t>
        </is>
      </c>
      <c r="R455" s="3" t="inlineStr">
        <is>
          <t>MK-ST-F-052 toNum → MK-CF-F-075 retirementIncomeMonthly → MK-CF-F-072 currentRetirementIncomeMonthly → MK-XS-F-024 resolveLens</t>
        </is>
      </c>
      <c r="S455" s="3" t="inlineStr">
        <is>
          <t>—</t>
        </is>
      </c>
      <c r="T455" s="3" t="inlineStr">
        <is>
          <t>WHICH_VIEW</t>
        </is>
      </c>
      <c r="U455" s="3" t="inlineStr">
        <is>
          <t>ACTIVE</t>
        </is>
      </c>
      <c r="V455" s="3" t="inlineStr">
        <is>
          <t>2026-08-27</t>
        </is>
      </c>
    </row>
    <row r="456">
      <c r="A456" s="3" t="inlineStr">
        <is>
          <t>MK-XS-F-025</t>
        </is>
      </c>
      <c r="B456" s="3" t="inlineStr">
        <is>
          <t>tabOrder</t>
        </is>
      </c>
      <c r="C456" s="3" t="inlineStr">
        <is>
          <t>src/domain/profile/lens.ts</t>
        </is>
      </c>
      <c r="D456" s="3" t="n">
        <v>64</v>
      </c>
      <c r="E456" s="3" t="inlineStr">
        <is>
          <t>2 · DISPLAYED</t>
        </is>
      </c>
      <c r="F456" s="3" t="inlineStr">
        <is>
          <t>Bottom-bar order per lens (design pin: "Tab order is set once from stage; identical across sessions").</t>
        </is>
      </c>
      <c r="G456" s="6" t="inlineStr">
        <is>
          <t>NOT READ YET — the body is not a shape this can render faithfully, so nothing is claimed rather than something being guessed. It needs reading by hand.</t>
        </is>
      </c>
      <c r="H456" s="3" t="inlineStr">
        <is>
          <t>NOT READ YET — the body is not a shape this can render faithfully, so nothing is claimed rather than something being guessed. It needs reading by hand.</t>
        </is>
      </c>
      <c r="I456" s="3" t="inlineStr">
        <is>
          <t>NOT READ — nothing is claimed rather than something guessed</t>
        </is>
      </c>
      <c r="J456" s="3" t="inlineStr">
        <is>
          <t>lens: Lens</t>
        </is>
      </c>
      <c r="K456" s="3" t="inlineStr">
        <is>
          <t>FccTab[]</t>
        </is>
      </c>
      <c r="L456" s="3" t="inlineStr">
        <is>
          <t>"YOUR FIVE TABS — same order as the bar below" — on a card used on more than one screen (TopBar)</t>
        </is>
      </c>
      <c r="M456" s="3" t="inlineStr">
        <is>
          <t>None found in this function — anything it assumes comes from the functions it depends on.</t>
        </is>
      </c>
      <c r="N456" s="3" t="inlineStr">
        <is>
          <t>Yes</t>
        </is>
      </c>
      <c r="O456" s="3" t="inlineStr">
        <is>
          <t>—</t>
        </is>
      </c>
      <c r="P456" s="3" t="n">
        <v>0</v>
      </c>
      <c r="Q456" s="3" t="inlineStr">
        <is>
          <t>None — no dependent function stands behind it</t>
        </is>
      </c>
      <c r="R456" s="3" t="inlineStr">
        <is>
          <t>No dependent function — it reads its inputs and answers</t>
        </is>
      </c>
      <c r="S456" s="3" t="inlineStr">
        <is>
          <t>—</t>
        </is>
      </c>
      <c r="T456" s="3" t="inlineStr">
        <is>
          <t>—</t>
        </is>
      </c>
      <c r="U456" s="3" t="inlineStr">
        <is>
          <t>ACTIVE</t>
        </is>
      </c>
      <c r="V456" s="3" t="inlineStr">
        <is>
          <t>2026-08-27</t>
        </is>
      </c>
    </row>
    <row r="457">
      <c r="A457" s="3" t="inlineStr">
        <is>
          <t>MK-XS-F-026</t>
        </is>
      </c>
      <c r="B457" s="3" t="inlineStr">
        <is>
          <t>profileFromOnboarding</t>
        </is>
      </c>
      <c r="C457" s="3" t="inlineStr">
        <is>
          <t>src/domain/profile/onboarding.ts</t>
        </is>
      </c>
      <c r="D457" s="3" t="n">
        <v>55</v>
      </c>
      <c r="E457" s="3" t="inlineStr">
        <is>
          <t>2 · DISPLAYED</t>
        </is>
      </c>
      <c r="F457" s="3" t="inlineStr">
        <is>
          <t>`op` is the consolidated onboardingProfile: { status, name, ...answers }.</t>
        </is>
      </c>
      <c r="G457" s="6" t="inlineStr">
        <is>
          <t>a = op (or none when missing)</t>
        </is>
      </c>
      <c r="H457" s="3" t="inlineStr">
        <is>
          <t>A is op (or none — when missing).</t>
        </is>
      </c>
      <c r="I457" s="3" t="inlineStr">
        <is>
          <t>READ FROM THE CODE — rendered from the expressions the function runs</t>
        </is>
      </c>
      <c r="J457" s="3" t="inlineStr">
        <is>
          <t>1. uid: UserId
2. op: Record&lt;string, any&gt; | null</t>
        </is>
      </c>
      <c r="K457" s="3" t="inlineStr">
        <is>
          <t>Profile</t>
        </is>
      </c>
      <c r="L457" s="3" t="inlineStr">
        <is>
          <t>NOT FOUND — a screen calls it, but the words printed beside its answer could not be traced automatically. Needs reading.</t>
        </is>
      </c>
      <c r="M457" s="3" t="inlineStr">
        <is>
          <t>None found in this function — anything it assumes comes from the functions it depends on.</t>
        </is>
      </c>
      <c r="N457" s="3" t="inlineStr">
        <is>
          <t>Yes</t>
        </is>
      </c>
      <c r="O457" s="3" t="inlineStr">
        <is>
          <t>MK-XS-F-131 toInt</t>
        </is>
      </c>
      <c r="P457" s="3" t="n">
        <v>1</v>
      </c>
      <c r="Q457" s="3" t="inlineStr">
        <is>
          <t>MK-XS-F-131 toInt</t>
        </is>
      </c>
      <c r="R457" s="3" t="inlineStr">
        <is>
          <t>MK-XS-F-131 toInt → MK-XS-F-026 profileFromOnboarding</t>
        </is>
      </c>
      <c r="S457" s="3" t="inlineStr">
        <is>
          <t>—</t>
        </is>
      </c>
      <c r="T457" s="3" t="inlineStr">
        <is>
          <t>—</t>
        </is>
      </c>
      <c r="U457" s="3" t="inlineStr">
        <is>
          <t>ACTIVE</t>
        </is>
      </c>
      <c r="V457" s="3" t="inlineStr">
        <is>
          <t>2026-08-27</t>
        </is>
      </c>
    </row>
    <row r="458">
      <c r="A458" s="3" t="inlineStr">
        <is>
          <t>MK-XS-F-027</t>
        </is>
      </c>
      <c r="B458" s="3" t="inlineStr">
        <is>
          <t>takeHomeMonthly</t>
        </is>
      </c>
      <c r="C458" s="3" t="inlineStr">
        <is>
          <t>src/domain/savings/index.ts</t>
        </is>
      </c>
      <c r="D458" s="3" t="n">
        <v>32</v>
      </c>
      <c r="E458" s="3" t="inlineStr">
        <is>
          <t>2 · DISPLAYED</t>
        </is>
      </c>
      <c r="F458" s="3" t="inlineStr">
        <is>
          <t>True take-home per month: after tax AND after the 401(k) deduction (the cash that hits your account).</t>
        </is>
      </c>
      <c r="G458" s="6" t="inlineStr">
        <is>
          <t>grid = income monthly grid(op, 'available')
the answer = round(Σ over grid of (amount)÷ 12, 2 dp)</t>
        </is>
      </c>
      <c r="H458" s="3" t="inlineStr">
        <is>
          <t>Grid is income monthly grid(op, 'available'). The answer: the amount added up across grid÷ 12, to the cent.</t>
        </is>
      </c>
      <c r="I458" s="3" t="inlineStr">
        <is>
          <t>READ FROM THE CODE — rendered from the expressions the function runs</t>
        </is>
      </c>
      <c r="J458" s="3" t="inlineStr">
        <is>
          <t>op: OnboardingProfile | null</t>
        </is>
      </c>
      <c r="K458" s="3" t="inlineStr">
        <is>
          <t>number</t>
        </is>
      </c>
      <c r="L458" s="3" t="inlineStr">
        <is>
          <t>"Income (take-home)" — on the budget screen</t>
        </is>
      </c>
      <c r="M458" s="3" t="inlineStr">
        <is>
          <t>· Treats a year as twelve equal months.</t>
        </is>
      </c>
      <c r="N458" s="3" t="inlineStr">
        <is>
          <t>Yes</t>
        </is>
      </c>
      <c r="O458" s="3" t="inlineStr">
        <is>
          <t>1. MK-CF-F-092 incomeMonthlyGrid
2. MK-ST-F-055 round2</t>
        </is>
      </c>
      <c r="P458" s="3" t="n">
        <v>44</v>
      </c>
      <c r="Q458" s="3" t="inlineStr">
        <is>
          <t>1. MK-CF-F-092 incomeMonthlyGrid
2. MK-ST-F-055 round2
3. MK-CF-F-069 benefitActiveMonths
4. MK-CF-F-072 currentRetirementIncomeMonthly
5. MK-CF-F-065 equityVestWeights
6. MK-CF-F-071 extraIncome
7. MK-ST-F-056 has
8. MK-CF-F-132 map
9. MK-CF-F-087 monthlyTaxRates
10. MK-CF-F-073 otherIncomeMonth
11. MK-CF-F-181 rateInForce
12. MK-CF-F-068 rentalNetAnnual
13. MK-CF-F-066 rsuAnnual
14. MK-CF-F-060 salaryGrossByMonth
15. MK-CF-F-077 scholarshipByCalendarMonth
16. MK-CF-F-088 taxableByCalendarMonth
17. MK-ST-F-052 toNum
18. MK-CF-F-075 retirementIncomeMonthly
19. MK-CF-F-062 equityRowValue
20. MK-CF-F-070 benefitAnnual
21. MK-CF-F-090 effectiveRate
22. MK-CF-F-085 filingStatusOf
23. MK-CF-F-089 over65CountOf
24. MK-CF-F-098 progressiveMonthlyTax
25. MK-CF-F-086 stateRateOf
26. MK-CF-F-173 earnerWages
27. MK-CF-F-102 effectiveRateOnGrossFor
28. MK-CF-F-180 enteredLandsAnnual
29. MK-CF-F-082 salaryAnnual
30. MK-CF-F-084 taxableAnnual
31. MK-CF-F-067 rentalList
32. MK-CF-F-063 rowVestYear
33. MK-CF-F-176 sumMonthsOverEarners
34. MK-CF-F-177 wageGrossByMonth
35. MK-CF-F-101 taxOwedFor
36. MK-CF-F-100 taxableIncomeFor
37. MK-CF-F-172 hasWage
38. MK-CF-F-074 tipsAnnual
39. MK-CF-F-130 enteredMonthlyRaw
40. MK-CF-F-166 hasMonthlySalaryTable
41. MK-CF-F-167 salaryCalendarYear
42. MK-CF-F-099 deductionFor
43. MK-CF-F-081 salaryActiveMonths
44. MK-CF-F-165 salaryMonths</t>
        </is>
      </c>
      <c r="R458" s="3" t="inlineStr">
        <is>
          <t>1. MK-CF-F-069 benefitActiveMonths → MK-CF-F-092 incomeMonthlyGrid → MK-XS-F-027 takeHomeMonthly
2. MK-ST-F-052 toNum → MK-CF-F-075 retirementIncomeMonthly → MK-CF-F-072 currentRetirementIncomeMonthly → MK-CF-F-092 incomeMonthlyGrid → MK-XS-F-027 takeHomeMonthly
3. MK-ST-F-052 toNum → MK-CF-F-062 equityRowValue → MK-CF-F-065 equityVestWeights → MK-CF-F-092 incomeMonthlyGrid → MK-XS-F-027 takeHomeMonthly
4. MK-CF-F-132 map → MK-CF-F-065 equityVestWeights → MK-CF-F-092 incomeMonthlyGrid → MK-XS-F-027 takeHomeMonthly
5. MK-CF-F-069 benefitActiveMonths → MK-CF-F-070 benefitAnnual → MK-CF-F-071 extraIncome → MK-CF-F-092 incomeMonthlyGrid → MK-XS-F-027 takeHomeMonthly
6. MK-ST-F-052 toNum → MK-CF-F-070 benefitAnnual → MK-CF-F-071 extraIncome → MK-CF-F-092 incomeMonthlyGrid → MK-XS-F-027 takeHomeMonthly
7. MK-ST-F-055 round2 → MK-CF-F-071 extraIncome → MK-CF-F-092 incomeMonthlyGrid → MK-XS-F-027 takeHomeMonthly
8. MK-ST-F-052 toNum → MK-CF-F-071 extraIncome → MK-CF-F-092 incomeMonthlyGrid → MK-XS-F-027 takeHomeMonthly
9. … and 5 more paths</t>
        </is>
      </c>
      <c r="S458" s="3" t="inlineStr">
        <is>
          <t>—</t>
        </is>
      </c>
      <c r="T458" s="3" t="inlineStr">
        <is>
          <t>—</t>
        </is>
      </c>
      <c r="U458" s="3" t="inlineStr">
        <is>
          <t>ACTIVE</t>
        </is>
      </c>
      <c r="V458" s="3" t="inlineStr">
        <is>
          <t>2026-08-27</t>
        </is>
      </c>
    </row>
    <row r="459">
      <c r="A459" s="3" t="inlineStr">
        <is>
          <t>MK-XS-F-028</t>
        </is>
      </c>
      <c r="B459" s="3" t="inlineStr">
        <is>
          <t>surplusByMonth</t>
        </is>
      </c>
      <c r="C459" s="3" t="inlineStr">
        <is>
          <t>src/domain/savings/index.ts</t>
        </is>
      </c>
      <c r="D459" s="3" t="n">
        <v>61</v>
      </c>
      <c r="E459" s="3" t="inlineStr">
        <is>
          <t>2 · DISPLAYED</t>
        </is>
      </c>
      <c r="F459" s="3" t="inlineStr">
        <is>
          <t>Planned SURPLUS, month by month, AFTER debt (the canonical word, per the 2026-06-23 decision).</t>
        </is>
      </c>
      <c r="G459" s="6" t="inlineStr">
        <is>
          <t>debt = actual debt payment(debts)
the answer:
for each of savings by month(op): label = label
amount = round(amount − debt, 2 dp)</t>
        </is>
      </c>
      <c r="H459" s="3" t="inlineStr">
        <is>
          <t>Debt is actual debt payment(debts). The answer is for each of savings by month(op): label = label; amount = amount minus debt, to the cent.</t>
        </is>
      </c>
      <c r="I459" s="3" t="inlineStr">
        <is>
          <t>READ FROM THE CODE — rendered from the expressions the function runs</t>
        </is>
      </c>
      <c r="J459" s="3" t="inlineStr">
        <is>
          <t>1. op: OnboardingProfile | null
2. debts: Debt[] = []</t>
        </is>
      </c>
      <c r="K459" s="3" t="inlineStr">
        <is>
          <t>NOT DECLARED — the code does not say what it gives back</t>
        </is>
      </c>
      <c r="L459" s="3" t="inlineStr">
        <is>
          <t>"Plan" — on the Goals screen</t>
        </is>
      </c>
      <c r="M459" s="3" t="inlineStr">
        <is>
          <t>None found in this function — anything it assumes comes from the functions it depends on.</t>
        </is>
      </c>
      <c r="N459" s="3" t="inlineStr">
        <is>
          <t>Yes</t>
        </is>
      </c>
      <c r="O459" s="3" t="inlineStr">
        <is>
          <t>1. MK-CF-F-026 actualDebtPayment
2. MK-CF-F-132 map
3. MK-ST-F-055 round2
4. MK-CF-F-011 savingsByMonth</t>
        </is>
      </c>
      <c r="P459" s="3" t="n">
        <v>54</v>
      </c>
      <c r="Q459" s="3" t="inlineStr">
        <is>
          <t>1. MK-CF-F-026 actualDebtPayment
2. MK-CF-F-132 map
3. MK-ST-F-055 round2
4. MK-CF-F-011 savingsByMonth
5. MK-CF-F-024 totalDebtMonthly
6. MK-CF-F-092 incomeMonthlyGrid
7. MK-CF-F-008 spendByMonth
8. MK-CF-F-023 requiredPayment
9. MK-CF-F-069 benefitActiveMonths
10. MK-CF-F-072 currentRetirementIncomeMonthly
11. MK-CF-F-065 equityVestWeights
12. MK-CF-F-071 extraIncome
13. MK-ST-F-056 has
14. MK-CF-F-087 monthlyTaxRates
15. MK-CF-F-073 otherIncomeMonth
16. MK-CF-F-181 rateInForce
17. MK-CF-F-068 rentalNetAnnual
18. MK-CF-F-066 rsuAnnual
19. MK-CF-F-060 salaryGrossByMonth
20. MK-CF-F-077 scholarshipByCalendarMonth
21. MK-CF-F-088 taxableByCalendarMonth
22. MK-ST-F-052 toNum
23. MK-CF-F-120 pctBaseMonthly
24. MK-CF-F-004 spendBuckets
25. MK-CF-F-022 paymentShape
26. MK-CF-F-075 retirementIncomeMonthly
27. MK-CF-F-062 equityRowValue
28. MK-CF-F-070 benefitAnnual
29. MK-CF-F-090 effectiveRate
30. MK-CF-F-085 filingStatusOf
31. MK-CF-F-089 over65CountOf
32. MK-CF-F-098 progressiveMonthlyTax
33. MK-CF-F-086 stateRateOf
34. MK-CF-F-173 earnerWages
35. MK-CF-F-102 effectiveRateOnGrossFor
36. MK-CF-F-180 enteredLandsAnnual
37. MK-CF-F-082 salaryAnnual
38. MK-CF-F-084 taxableAnnual
39. MK-CF-F-067 rentalList
40. MK-CF-F-063 rowVestYear
41. MK-CF-F-176 sumMonthsOverEarners
42. MK-CF-F-177 wageGrossByMonth
43. MK-CF-F-003 categoryMonthly
44. MK-CF-F-021 defaultPaymentType
45. MK-CF-F-101 taxOwedFor
46. MK-CF-F-100 taxableIncomeFor
47. MK-CF-F-172 hasWage
48. MK-CF-F-074 tipsAnnual
49. MK-CF-F-130 enteredMonthlyRaw
50. MK-CF-F-166 hasMonthlySalaryTable
51. MK-CF-F-167 salaryCalendarYear
52. MK-CF-F-099 deductionFor
53. MK-CF-F-081 salaryActiveMonths
54. MK-CF-F-165 salaryMonths</t>
        </is>
      </c>
      <c r="R459" s="3" t="inlineStr">
        <is>
          <t>1. MK-ST-F-055 round2 → MK-CF-F-026 actualDebtPayment → MK-XS-F-028 surplusByMonth
2. MK-CF-F-021 defaultPaymentType → MK-CF-F-022 paymentShape → MK-CF-F-023 requiredPayment → MK-CF-F-024 totalDebtMonthly → MK-CF-F-026 actualDebtPayment → MK-XS-F-028 surplusByMonth
3. MK-CF-F-132 map → MK-XS-F-028 surplusByMonth
4. MK-ST-F-055 round2 → MK-XS-F-028 surplusByMonth
5. MK-CF-F-069 benefitActiveMonths → MK-CF-F-092 incomeMonthlyGrid → MK-CF-F-011 savingsByMonth → MK-XS-F-028 surplusByMonth
6. MK-ST-F-052 toNum → MK-CF-F-075 retirementIncomeMonthly → MK-CF-F-072 currentRetirementIncomeMonthly → MK-CF-F-092 incomeMonthlyGrid → MK-CF-F-011 savingsByMonth → MK-XS-F-028 surplusByMonth
7. MK-ST-F-052 toNum → MK-CF-F-062 equityRowValue → MK-CF-F-065 equityVestWeights → MK-CF-F-092 incomeMonthlyGrid → MK-CF-F-011 savingsByMonth → MK-XS-F-028 surplusByMonth
8. MK-CF-F-132 map → MK-CF-F-065 equityVestWeights → MK-CF-F-092 incomeMonthlyGrid → MK-CF-F-011 savingsByMonth → MK-XS-F-028 surplusByMonth
9. … and 4 more paths</t>
        </is>
      </c>
      <c r="S459" s="3" t="inlineStr">
        <is>
          <t>—</t>
        </is>
      </c>
      <c r="T459" s="3" t="inlineStr">
        <is>
          <t>—</t>
        </is>
      </c>
      <c r="U459" s="3" t="inlineStr">
        <is>
          <t>ACTIVE</t>
        </is>
      </c>
      <c r="V459" s="3" t="inlineStr">
        <is>
          <t>2026-08-27</t>
        </is>
      </c>
    </row>
    <row r="460">
      <c r="A460" s="3" t="inlineStr">
        <is>
          <t>MK-XS-F-029</t>
        </is>
      </c>
      <c r="B460" s="3" t="inlineStr">
        <is>
          <t>monthlySavings</t>
        </is>
      </c>
      <c r="C460" s="3" t="inlineStr">
        <is>
          <t>src/domain/savings/index.ts</t>
        </is>
      </c>
      <c r="D460" s="3" t="n">
        <v>88</v>
      </c>
      <c r="E460" s="3" t="inlineStr">
        <is>
          <t>2 · DISPLAYED</t>
        </is>
      </c>
      <c r="F460" s="3" t="inlineStr">
        <is>
          <t>Monthly savings (the FLOW) — Build-47 walk row 7: DERIVED as the 12-month average of surplusByMonth, so the flat figure and the by-month figures can never drift apart (they used to be two parallel formulas that merely CLAIMED to reconcile).</t>
        </is>
      </c>
      <c r="G460" s="6" t="inlineStr">
        <is>
          <t>months = surplus by month(op, debts)
the answer = round(Σ over months of (amount)÷ 12, 2 dp)</t>
        </is>
      </c>
      <c r="H460" s="3" t="inlineStr">
        <is>
          <t>Months is surplus by month(op, debts). The answer: the amount added up across months÷ 12, to the cent.</t>
        </is>
      </c>
      <c r="I460" s="3" t="inlineStr">
        <is>
          <t>READ FROM THE CODE — rendered from the expressions the function runs</t>
        </is>
      </c>
      <c r="J460" s="3" t="inlineStr">
        <is>
          <t>1. op: OnboardingProfile | null
2. debts: Debt[] = []</t>
        </is>
      </c>
      <c r="K460" s="3" t="inlineStr">
        <is>
          <t>number</t>
        </is>
      </c>
      <c r="L460" s="3" t="inlineStr">
        <is>
          <t>"Free to put to work each month" — on the Goals together screen, under "CAN YOU DO IT ALL?"</t>
        </is>
      </c>
      <c r="M460" s="3" t="inlineStr">
        <is>
          <t>· Treats a year as twelve equal months.</t>
        </is>
      </c>
      <c r="N460" s="3" t="inlineStr">
        <is>
          <t>Yes</t>
        </is>
      </c>
      <c r="O460" s="3" t="inlineStr">
        <is>
          <t>1. MK-ST-F-055 round2
2. MK-XS-F-028 surplusByMonth</t>
        </is>
      </c>
      <c r="P460" s="3" t="n">
        <v>55</v>
      </c>
      <c r="Q460" s="3" t="inlineStr">
        <is>
          <t>1. MK-ST-F-055 round2
2. MK-XS-F-028 surplusByMonth
3. MK-CF-F-026 actualDebtPayment
4. MK-CF-F-132 map
5. MK-CF-F-011 savingsByMonth
6. MK-CF-F-024 totalDebtMonthly
7. MK-CF-F-092 incomeMonthlyGrid
8. MK-CF-F-008 spendByMonth
9. MK-CF-F-023 requiredPayment
10. MK-CF-F-069 benefitActiveMonths
11. MK-CF-F-072 currentRetirementIncomeMonthly
12. MK-CF-F-065 equityVestWeights
13. MK-CF-F-071 extraIncome
14. MK-ST-F-056 has
15. MK-CF-F-087 monthlyTaxRates
16. MK-CF-F-073 otherIncomeMonth
17. MK-CF-F-181 rateInForce
18. MK-CF-F-068 rentalNetAnnual
19. MK-CF-F-066 rsuAnnual
20. MK-CF-F-060 salaryGrossByMonth
21. MK-CF-F-077 scholarshipByCalendarMonth
22. MK-CF-F-088 taxableByCalendarMonth
23. MK-ST-F-052 toNum
24. MK-CF-F-120 pctBaseMonthly
25. MK-CF-F-004 spendBuckets
26. MK-CF-F-022 paymentShape
27. MK-CF-F-075 retirementIncomeMonthly
28. MK-CF-F-062 equityRowValue
29. MK-CF-F-070 benefitAnnual
30. MK-CF-F-090 effectiveRate
31. MK-CF-F-085 filingStatusOf
32. MK-CF-F-089 over65CountOf
33. MK-CF-F-098 progressiveMonthlyTax
34. MK-CF-F-086 stateRateOf
35. MK-CF-F-173 earnerWages
36. MK-CF-F-102 effectiveRateOnGrossFor
37. MK-CF-F-180 enteredLandsAnnual
38. MK-CF-F-082 salaryAnnual
39. MK-CF-F-084 taxableAnnual
40. MK-CF-F-067 rentalList
41. MK-CF-F-063 rowVestYear
42. MK-CF-F-176 sumMonthsOverEarners
43. MK-CF-F-177 wageGrossByMonth
44. MK-CF-F-003 categoryMonthly
45. MK-CF-F-021 defaultPaymentType
46. MK-CF-F-101 taxOwedFor
47. MK-CF-F-100 taxableIncomeFor
48. MK-CF-F-172 hasWage
49. MK-CF-F-074 tipsAnnual
50. MK-CF-F-130 enteredMonthlyRaw
51. MK-CF-F-166 hasMonthlySalaryTable
52. MK-CF-F-167 salaryCalendarYear
53. MK-CF-F-099 deductionFor
54. MK-CF-F-081 salaryActiveMonths
55. MK-CF-F-165 salaryMonths</t>
        </is>
      </c>
      <c r="R460" s="3" t="inlineStr">
        <is>
          <t>1. MK-ST-F-055 round2 → MK-XS-F-029 monthlySavings
2. MK-ST-F-055 round2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MK-ST-F-055 round2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MK-CF-F-062 equityRowValue → MK-CF-F-065 equityVestWeights → MK-CF-F-092 incomeMonthlyGrid → MK-CF-F-011 savingsByMonth → MK-XS-F-028 surplusByMonth → MK-XS-F-029 monthlySavings
9. … and 4 more paths</t>
        </is>
      </c>
      <c r="S460" s="3" t="inlineStr">
        <is>
          <t>—</t>
        </is>
      </c>
      <c r="T460" s="3" t="inlineStr">
        <is>
          <t>—</t>
        </is>
      </c>
      <c r="U460" s="3" t="inlineStr">
        <is>
          <t>ACTIVE</t>
        </is>
      </c>
      <c r="V460" s="3" t="inlineStr">
        <is>
          <t>2026-08-27</t>
        </is>
      </c>
    </row>
    <row r="461">
      <c r="A461" s="3" t="inlineStr">
        <is>
          <t>MK-XS-F-030</t>
        </is>
      </c>
      <c r="B461" s="3" t="inlineStr">
        <is>
          <t>effectiveAnnualContribution</t>
        </is>
      </c>
      <c r="C461" s="3" t="inlineStr">
        <is>
          <t>src/domain/snapshot.ts</t>
        </is>
      </c>
      <c r="D461" s="3" t="n">
        <v>64</v>
      </c>
      <c r="E461" s="3" t="inlineStr">
        <is>
          <t>3 · DEPENDENT</t>
        </is>
      </c>
      <c r="F461" s="3" t="inlineStr">
        <is>
          <t>NEGATIVE CASH FLOW DRAINS WEALTH — committed contributions don't create money.</t>
        </is>
      </c>
      <c r="G461" s="6" t="inlineStr">
        <is>
          <t>a = op (or none when missing)
stated annual = monthly contributions from onboarding(op) × 12
has spend data = to num(monthly spending)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461" s="3" t="inlineStr">
        <is>
          <t>A is op (or none — when missing). Stated annual is monthly contributions from onboarding(op) times 12. Has spend data is to num(monthly spending)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461" s="3" t="inlineStr">
        <is>
          <t>PARTLY READ — some of the code is still showing through; needs a hand pass</t>
        </is>
      </c>
      <c r="J461" s="3" t="inlineStr">
        <is>
          <t>op: Record&lt;string, any&gt; | null</t>
        </is>
      </c>
      <c r="K461" s="3" t="inlineStr">
        <is>
          <t>number</t>
        </is>
      </c>
      <c r="L461" s="3" t="inlineStr">
        <is>
          <t>—</t>
        </is>
      </c>
      <c r="M461" s="3" t="inlineStr">
        <is>
          <t>· Turns a monthly figure into a year by multiplying by twelve.</t>
        </is>
      </c>
      <c r="N461" s="3" t="inlineStr">
        <is>
          <t>Yes</t>
        </is>
      </c>
      <c r="O461" s="3" t="inlineStr">
        <is>
          <t>1. MK-NW-F-041 monthlyContributionsFromOnboarding
2. MK-CF-F-011 savingsByMonth
3. MK-ST-F-052 toNum</t>
        </is>
      </c>
      <c r="P461" s="3" t="n">
        <v>52</v>
      </c>
      <c r="Q461" s="3" t="inlineStr">
        <is>
          <t>1. MK-NW-F-041 monthlyContributionsFromOnboarding
2. MK-CF-F-011 savingsByMonth
3. MK-ST-F-052 toNum
4. MK-CF-F-078 employerMatchMonthly
5. MK-CF-F-092 incomeMonthlyGrid
6. MK-CF-F-132 map
7. MK-ST-F-055 round2
8. MK-CF-F-008 spendByMonth
9. MK-CF-F-175 sumOverEarners
10. MK-CF-F-069 benefitActiveMonths
11. MK-CF-F-072 currentRetirementIncomeMonthly
12. MK-CF-F-065 equityVestWeights
13. MK-CF-F-071 extraIncome
14. MK-ST-F-056 has
15. MK-CF-F-087 monthlyTaxRates
16. MK-CF-F-073 otherIncomeMonth
17. MK-CF-F-181 rateInForce
18. MK-CF-F-068 rentalNetAnnual
19. MK-CF-F-066 rsuAnnual
20. MK-CF-F-060 salaryGrossByMonth
21. MK-CF-F-077 scholarshipByCalendarMonth
22. MK-CF-F-088 taxableByCalendarMonth
23. MK-CF-F-120 pctBaseMonthly
24. MK-CF-F-004 spendBuckets
25. MK-CF-F-173 earnerWages
26. MK-CF-F-075 retirementIncomeMonthly
27. MK-CF-F-062 equityRowValue
28. MK-CF-F-070 benefitAnnual
29. MK-CF-F-090 effectiveRate
30. MK-CF-F-085 filingStatusOf
31. MK-CF-F-089 over65CountOf
32. MK-CF-F-098 progressiveMonthlyTax
33. MK-CF-F-086 stateRateOf
34. MK-CF-F-102 effectiveRateOnGrossFor
35. MK-CF-F-180 enteredLandsAnnual
36. MK-CF-F-082 salaryAnnual
37. MK-CF-F-084 taxableAnnual
38. MK-CF-F-067 rentalList
39. MK-CF-F-063 rowVestYear
40. MK-CF-F-176 sumMonthsOverEarners
41. MK-CF-F-177 wageGrossByMonth
42. MK-CF-F-003 categoryMonthly
43. MK-CF-F-172 hasWage
44. MK-CF-F-101 taxOwedFor
45. MK-CF-F-100 taxableIncomeFor
46. MK-CF-F-074 tipsAnnual
47. MK-CF-F-130 enteredMonthlyRaw
48. MK-CF-F-166 hasMonthlySalaryTable
49. MK-CF-F-167 salaryCalendarYear
50. MK-CF-F-099 deductionFor
51. MK-CF-F-081 salaryActiveMonths
52. MK-CF-F-165 salaryMonths</t>
        </is>
      </c>
      <c r="R461" s="3" t="inlineStr">
        <is>
          <t>1. MK-CF-F-172 hasWage → MK-CF-F-173 earnerWages → MK-CF-F-175 sumOverEarners → MK-CF-F-078 employerMatchMonthly → MK-NW-F-041 monthlyContributionsFromOnboarding → MK-XS-F-030 effectiveAnnualContribution
2. MK-ST-F-052 toNum → MK-NW-F-041 monthlyContributionsFromOnboarding → MK-XS-F-030 effectiveAnnualContribution
3. MK-CF-F-069 benefitActiveMonths → MK-CF-F-092 incomeMonthlyGrid → MK-CF-F-011 savingsByMonth → MK-XS-F-030 effectiveAnnualContribution
4. MK-ST-F-052 toNum → MK-CF-F-075 retirementIncomeMonthly → MK-CF-F-072 currentRetirementIncomeMonthly → MK-CF-F-092 incomeMonthlyGrid → MK-CF-F-011 savingsByMonth → MK-XS-F-030 effectiveAnnualContribution
5. MK-ST-F-052 toNum → MK-CF-F-062 equityRowValue → MK-CF-F-065 equityVestWeights → MK-CF-F-092 incomeMonthlyGrid → MK-CF-F-011 savingsByMonth → MK-XS-F-030 effectiveAnnualContribution
6. MK-CF-F-132 map → MK-CF-F-065 equityVestWeights → MK-CF-F-092 incomeMonthlyGrid → MK-CF-F-011 savingsByMonth → MK-XS-F-030 effectiveAnnualContribution
7. MK-CF-F-069 benefitActiveMonths → MK-CF-F-070 benefitAnnual → MK-CF-F-071 extraIncome → MK-CF-F-092 incomeMonthlyGrid → MK-CF-F-011 savingsByMonth → MK-XS-F-030 effectiveAnnualContribution
8. MK-ST-F-052 toNum → MK-CF-F-070 benefitAnnual → MK-CF-F-071 extraIncome → MK-CF-F-092 incomeMonthlyGrid → MK-CF-F-011 savingsByMonth → MK-XS-F-030 effectiveAnnualContribution
9. … and 5 more paths</t>
        </is>
      </c>
      <c r="S461" s="3" t="inlineStr">
        <is>
          <t>—</t>
        </is>
      </c>
      <c r="T461" s="3" t="inlineStr">
        <is>
          <t>—</t>
        </is>
      </c>
      <c r="U461" s="3" t="inlineStr">
        <is>
          <t>ACTIVE</t>
        </is>
      </c>
      <c r="V461" s="3" t="inlineStr">
        <is>
          <t>2026-08-27</t>
        </is>
      </c>
    </row>
    <row r="462">
      <c r="A462" s="3" t="inlineStr">
        <is>
          <t>MK-XS-F-031</t>
        </is>
      </c>
      <c r="B462" s="3" t="inlineStr">
        <is>
          <t>buildSnapshot</t>
        </is>
      </c>
      <c r="C462" s="3" t="inlineStr">
        <is>
          <t>src/domain/snapshot.ts</t>
        </is>
      </c>
      <c r="D462" s="3" t="n">
        <v>123</v>
      </c>
      <c r="E462" s="3" t="inlineStr">
        <is>
          <t>2 · DISPLAYED</t>
        </is>
      </c>
      <c r="F462" s="3" t="inlineStr">
        <is>
          <t>Build a snapshot from EXPLICIT net-worth rows.</t>
        </is>
      </c>
      <c r="G462" s="6"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462"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462" s="3" t="inlineStr">
        <is>
          <t>READ FROM THE CODE — rendered from the expressions the function runs</t>
        </is>
      </c>
      <c r="J462" s="3" t="inlineStr">
        <is>
          <t>Nothing is handed to it</t>
        </is>
      </c>
      <c r="K462" s="3" t="inlineStr">
        <is>
          <t>NOT DECLARED — the code does not say what it gives back</t>
        </is>
      </c>
      <c r="L462" s="3" t="inlineStr">
        <is>
          <t>NOT FOUND — a screen calls it, but the words printed beside its answer could not be traced automatically. Needs reading.</t>
        </is>
      </c>
      <c r="M462" s="3" t="inlineStr">
        <is>
          <t>1. If current age is missing it uses 35.
2. If target retirement age is missing it uses 65.
3. If plan to age is missing it uses 90.</t>
        </is>
      </c>
      <c r="N462" s="3" t="inlineStr">
        <is>
          <t>Yes</t>
        </is>
      </c>
      <c r="O462" s="3" t="inlineStr">
        <is>
          <t>1. MK-NW-F-037 blendedReturn
2. MK-CF-F-013 budgetFromOnboarding
3. MK-NW-F-039 buildAssetsState
4. MK-CF-F-001 buildBudgetState
5. MK-CF-F-036 buildDebtState
6. MK-PL-F-011 buildGoalsState
7. MK-CF-F-049 buildIncomeState
8. MK-NW-F-065 buildNetWorth
9. MK-PL-F-053 buildRetirementState
10. MK-XS-F-030 effectiveAnnualContribution
11. MK-PL-F-013 goalsFromOnboarding
12. MK-CF-F-076 guaranteedOutsideStreams
13. MK-CF-F-079 incomeFromOnboarding
14. MK-CF-F-132 map
15. MK-XS-F-026 profileFromOnboarding
16. MK-NW-F-033 retirementEarmarkedValue
17. MK-PL-F-049 retirementSpendMonthly
18. MK-ST-F-052 toNum
19. MK-XS-F-020 toReadModel</t>
        </is>
      </c>
      <c r="P462" s="3" t="n">
        <v>107</v>
      </c>
      <c r="Q462" s="3" t="inlineStr">
        <is>
          <t>1. MK-NW-F-037 blendedReturn
2. MK-CF-F-013 budgetFromOnboarding
3. MK-NW-F-039 buildAssetsState
4. MK-CF-F-001 buildBudgetState
5. MK-CF-F-036 buildDebtState
6. MK-PL-F-011 buildGoalsState
7. MK-CF-F-049 buildIncomeState
8. MK-NW-F-065 buildNetWorth
9. MK-PL-F-053 buildRetirementState
10. MK-XS-F-030 effectiveAnnualContribution
11. MK-PL-F-013 goalsFromOnboarding
12. MK-CF-F-076 guaranteedOutsideStreams
13. MK-CF-F-079 incomeFromOnboarding
14. MK-CF-F-132 map
15. MK-XS-F-026 profileFromOnboarding
16. MK-NW-F-033 retirementEarmarkedValue
17. MK-PL-F-049 retirementSpendMonthly
18. MK-ST-F-052 toNum
19. MK-XS-F-020 toReadModel
20. MK-NW-F-034 benchmarkReturn
21. MK-NW-F-032 earmarkedAmount
22. MK-NW-F-031 primaryCarIdOf
23. MK-CF-F-002 plannedMonthlySpend
24. MK-CF-F-004 spendBuckets
25. MK-ST-F-055 round2
26. MK-CF-F-026 actualDebtPayment
27. MK-CF-F-025 minimumDebtService
28. MK-PL-F-012 waterfall
29. MK-CF-F-048 effectiveTaxRate
30. MK-CF-F-046 employerMatchAnnual
31. MK-CF-F-045 grossAnnualBaseline
32. MK-CF-F-161 monthlyGrossOfSource
33. MK-CF-F-098 progressiveMonthlyTax
34. MK-CF-F-129 round4
35. MK-PL-F-050 simulate
36. MK-NW-F-041 monthlyContributionsFromOnboarding
37. MK-CF-F-011 savingsByMonth
38. MK-ST-F-043 newEntityId
39. MK-CF-F-070 benefitAnnual
40. MK-CF-F-072 currentRetirementIncomeMonthly
41. MK-CF-F-078 employerMatchMonthly
42. MK-CF-F-065 equityVestWeights
43. MK-CF-F-067 rentalList
44. MK-CF-F-066 rsuAnnual
45. MK-CF-F-082 salaryAnnual
46. MK-CF-F-074 tipsAnnual
47. MK-XS-F-131 toInt
48. MK-PL-F-047 colFactor
49. MK-XS-F-017 currentAge
50. MK-XS-F-019 retirementHorizonYears
51. MK-XS-F-018 yearsToRetirement
52. MK-NW-F-007 assetKind
53. MK-NW-F-030 earmarkDefault
54. MK-NW-F-011 assetClassOf
55. MK-CF-F-092 incomeMonthlyGrid
56. MK-CF-F-003 categoryMonthly
57. MK-CF-F-024 totalDebtMonthly
58. MK-CF-F-022 paymentShape
59. MK-CF-F-102 effectiveRateOnGrossFor
60. MK-CF-F-044 annualNet
61. MK-CF-F-127 isRental
62. MK-CF-F-101 taxOwedFor
63. MK-CF-F-100 taxableIncomeFor
64. MK-PL-F-074 median
65. MK-PL-F-072 mulberry32
66. MK-PL-F-073 normal
67. MK-PL-F-075 pctOfSorted
68. MK-ST-F-025 rmdStartAgeFromAge
69. MK-CF-F-008 spendByMonth
70. MK-CF-F-069 benefitActiveMonths
71. MK-CF-F-075 retirementIncomeMonthly
72. MK-CF-F-175 sumOverEarners
73. MK-CF-F-062 equityRowValue
74. MK-CF-F-063 rowVestYear
75. MK-CF-F-060 salaryGrossByMonth
76. MK-CF-F-081 salaryActiveMonths
77. MK-NW-F-013 realEstateUseOf
78. MK-NW-F-008 incomeBearingClassOf
79. MK-CF-F-071 extraIncome
80. MK-ST-F-056 has
81. MK-CF-F-087 monthlyTaxRates
82. MK-CF-F-073 otherIncomeMonth
83. MK-CF-F-181 rateInForce
84. MK-CF-F-068 rentalNetAnnual
85. MK-CF-F-077 scholarshipByCalendarMonth
86. MK-CF-F-088 taxableByCalendarMonth
87. MK-CF-F-120 pctBaseMonthly
88. MK-CF-F-023 requiredPayment
89. MK-CF-F-021 defaultPaymentType
90. MK-CF-F-099 deductionFor
91. MK-ST-F-024 rmdStartAge
92. MK-CF-F-173 earnerWages
93. MK-CF-F-176 sumMonthsOverEarners
94. MK-CF-F-177 wageGrossByMonth
95. MK-CF-F-155 cash
96. MK-ST-F-010 nameEvidence
97. MK-CF-F-090 effectiveRate
98. MK-CF-F-085 filingStatusOf
99. MK-CF-F-089 over65CountOf
100. MK-CF-F-086 stateRateOf
101. MK-CF-F-180 enteredLandsAnnual
102. MK-CF-F-084 taxableAnnual
103. MK-CF-F-172 hasWage
104. MK-CF-F-130 enteredMonthlyRaw
105. MK-CF-F-166 hasMonthlySalaryTable
106. MK-CF-F-167 salaryCalendarYear
107. MK-CF-F-165 salaryMonths</t>
        </is>
      </c>
      <c r="R462" s="3" t="inlineStr">
        <is>
          <t>1. MK-NW-F-008 incomeBearingClassOf → MK-NW-F-011 assetClassOf → MK-NW-F-007 assetKind → MK-NW-F-034 benchmarkReturn → MK-NW-F-037 blendedReturn → MK-XS-F-031 buildSnapshot
2. MK-NW-F-008 incomeBearingClassOf → MK-NW-F-011 assetClassOf → MK-NW-F-030 earmarkDefault → MK-NW-F-032 earmarkedAmount → MK-NW-F-037 blendedReturn → MK-XS-F-031 buildSnapshot
3. MK-NW-F-013 realEstateUseOf → MK-NW-F-030 earmarkDefault → MK-NW-F-032 earmarkedAmount → MK-NW-F-037 blendedReturn → MK-XS-F-031 buildSnapshot
4. MK-ST-F-055 round2 → MK-NW-F-032 earmarkedAmount → MK-NW-F-037 blendedReturn → MK-XS-F-031 buildSnapshot
5. MK-CF-F-155 cash → MK-NW-F-008 incomeBearingClassOf → MK-NW-F-011 assetClassOf → MK-NW-F-031 primaryCarIdOf → MK-NW-F-037 blendedReturn → MK-XS-F-031 buildSnapshot
6. MK-ST-F-010 nameEvidence → MK-NW-F-008 incomeBearingClassOf → MK-NW-F-011 assetClassOf → MK-NW-F-031 primaryCarIdOf → MK-NW-F-037 blendedReturn → MK-XS-F-031 buildSnapshot
7. MK-CF-F-069 benefitActiveMonths → MK-CF-F-092 incomeMonthlyGrid → MK-CF-F-002 plannedMonthlySpend → MK-CF-F-013 budgetFromOnboarding → MK-XS-F-031 buildSnapshot
8. MK-CF-F-075 retirementIncomeMonthly → MK-CF-F-072 currentRetirementIncomeMonthly → MK-CF-F-092 incomeMonthlyGrid → MK-CF-F-002 plannedMonthlySpend → MK-CF-F-013 budgetFromOnboarding → MK-XS-F-031 buildSnapshot
9. … and 5 more paths</t>
        </is>
      </c>
      <c r="S462" s="3" t="inlineStr">
        <is>
          <t>—</t>
        </is>
      </c>
      <c r="T462" s="3" t="inlineStr">
        <is>
          <t>—</t>
        </is>
      </c>
      <c r="U462" s="3" t="inlineStr">
        <is>
          <t>ACTIVE</t>
        </is>
      </c>
      <c r="V462" s="3" t="inlineStr">
        <is>
          <t>2026-08-27</t>
        </is>
      </c>
    </row>
    <row r="463">
      <c r="A463" s="3" t="inlineStr">
        <is>
          <t>MK-XS-F-032</t>
        </is>
      </c>
      <c r="B463" s="3" t="inlineStr">
        <is>
          <t>snapshotFromOnboarding</t>
        </is>
      </c>
      <c r="C463" s="3" t="inlineStr">
        <is>
          <t>src/domain/snapshot.ts</t>
        </is>
      </c>
      <c r="D463" s="3" t="n">
        <v>197</v>
      </c>
      <c r="E463" s="3" t="inlineStr">
        <is>
          <t>3 · DEPENDENT (feeds an action only)</t>
        </is>
      </c>
      <c r="F463" s="3" t="inlineStr">
        <is>
          <t>Snapshot from onboarding answers alone — for headless/test callers (and any surface that runs before Net Worth is set up).</t>
        </is>
      </c>
      <c r="G463" s="6" t="inlineStr">
        <is>
          <t>build snapshot(uid, op, econ, assets from onboarding(uid, op).accounts, debts from onboarding(uid, op).debts)</t>
        </is>
      </c>
      <c r="H463" s="3" t="inlineStr">
        <is>
          <t>build snapshot(uid, op, econ, assets from onboarding(uid, op).accounts, debts from onboarding(uid, op).debts).</t>
        </is>
      </c>
      <c r="I463" s="3" t="inlineStr">
        <is>
          <t>PARTLY READ — some of the code is still showing through; needs a hand pass</t>
        </is>
      </c>
      <c r="J463" s="3" t="inlineStr">
        <is>
          <t>1. uid: UserId
2. op: Record&lt;string, any&gt; | null
3. econ: EconomicData</t>
        </is>
      </c>
      <c r="K463" s="3" t="inlineStr">
        <is>
          <t>FinancialSnapshot</t>
        </is>
      </c>
      <c r="L463" s="3" t="inlineStr">
        <is>
          <t>—</t>
        </is>
      </c>
      <c r="M463" s="3" t="inlineStr">
        <is>
          <t>None found in this function — anything it assumes comes from the functions it depends on.</t>
        </is>
      </c>
      <c r="N463" s="3" t="inlineStr">
        <is>
          <t>No</t>
        </is>
      </c>
      <c r="O463" s="3" t="inlineStr">
        <is>
          <t>1. MK-NW-F-040 assetsFromOnboarding
2. MK-XS-F-031 buildSnapshot
3. MK-CF-F-038 debtsFromOnboarding</t>
        </is>
      </c>
      <c r="P463" s="3" t="n">
        <v>111</v>
      </c>
      <c r="Q463" s="3" t="inlineStr">
        <is>
          <t>1. MK-NW-F-040 assetsFromOnboarding
2. MK-XS-F-031 buildSnapshot
3. MK-CF-F-038 debtsFromOnboarding
4. MK-ST-F-043 newEntityId
5. MK-ST-F-052 toNum
6. MK-NW-F-037 blendedReturn
7. MK-CF-F-013 budgetFromOnboarding
8. MK-NW-F-039 buildAssetsState
9. MK-CF-F-001 buildBudgetState
10. MK-CF-F-036 buildDebtState
11. MK-PL-F-011 buildGoalsState
12. MK-CF-F-049 buildIncomeState
13. MK-NW-F-065 buildNetWorth
14. MK-PL-F-053 buildRetirementState
15. MK-XS-F-030 effectiveAnnualContribution
16. MK-PL-F-013 goalsFromOnboarding
17. MK-CF-F-076 guaranteedOutsideStreams
18. MK-CF-F-079 incomeFromOnboarding
19. MK-CF-F-132 map
20. MK-XS-F-026 profileFromOnboarding
21. MK-NW-F-033 retirementEarmarkedValue
22. MK-PL-F-049 retirementSpendMonthly
23. MK-XS-F-020 toReadModel
24. MK-CF-F-037 inferDebtType
25. MK-NW-F-034 benchmarkReturn
26. MK-NW-F-032 earmarkedAmount
27. MK-NW-F-031 primaryCarIdOf
28. MK-CF-F-002 plannedMonthlySpend
29. MK-CF-F-004 spendBuckets
30. MK-ST-F-055 round2
31. MK-CF-F-026 actualDebtPayment
32. MK-CF-F-025 minimumDebtService
33. MK-PL-F-012 waterfall
34. MK-CF-F-048 effectiveTaxRate
35. MK-CF-F-046 employerMatchAnnual
36. MK-CF-F-045 grossAnnualBaseline
37. MK-CF-F-161 monthlyGrossOfSource
38. MK-CF-F-098 progressiveMonthlyTax
39. MK-CF-F-129 round4
40. MK-PL-F-050 simulate
41. MK-NW-F-041 monthlyContributionsFromOnboarding
42. MK-CF-F-011 savingsByMonth
43. MK-CF-F-070 benefitAnnual
44. MK-CF-F-072 currentRetirementIncomeMonthly
45. MK-CF-F-078 employerMatchMonthly
46. MK-CF-F-065 equityVestWeights
47. MK-CF-F-067 rentalList
48. MK-CF-F-066 rsuAnnual
49. MK-CF-F-082 salaryAnnual
50. MK-CF-F-074 tipsAnnual
51. MK-XS-F-131 toInt
52. MK-PL-F-047 colFactor
53. MK-XS-F-017 currentAge
54. MK-XS-F-019 retirementHorizonYears
55. MK-XS-F-018 yearsToRetirement
56. MK-NW-F-007 assetKind
57. MK-NW-F-030 earmarkDefault
58. MK-NW-F-011 assetClassOf
59. MK-CF-F-092 incomeMonthlyGrid
60. MK-CF-F-003 categoryMonthly
61. MK-CF-F-024 totalDebtMonthly
62. MK-CF-F-022 paymentShape
63. MK-CF-F-102 effectiveRateOnGrossFor
64. MK-CF-F-044 annualNet
65. MK-CF-F-127 isRental
66. MK-CF-F-101 taxOwedFor
67. MK-CF-F-100 taxableIncomeFor
68. MK-PL-F-074 median
69. MK-PL-F-072 mulberry32
70. MK-PL-F-073 normal
71. MK-PL-F-075 pctOfSorted
72. MK-ST-F-025 rmdStartAgeFromAge
73. MK-CF-F-008 spendByMonth
74. MK-CF-F-069 benefitActiveMonths
75. MK-CF-F-075 retirementIncomeMonthly
76. MK-CF-F-175 sumOverEarners
77. MK-CF-F-062 equityRowValue
78. MK-CF-F-063 rowVestYear
79. MK-CF-F-060 salaryGrossByMonth
80. MK-CF-F-081 salaryActiveMonths
81. MK-NW-F-013 realEstateUseOf
82. MK-NW-F-008 incomeBearingClassOf
83. MK-CF-F-071 extraIncome
84. MK-ST-F-056 has
85. MK-CF-F-087 monthlyTaxRates
86. MK-CF-F-073 otherIncomeMonth
87. MK-CF-F-181 rateInForce
88. MK-CF-F-068 rentalNetAnnual
89. MK-CF-F-077 scholarshipByCalendarMonth
90. MK-CF-F-088 taxableByCalendarMonth
91. MK-CF-F-120 pctBaseMonthly
92. MK-CF-F-023 requiredPayment
93. MK-CF-F-021 defaultPaymentType
94. MK-CF-F-099 deductionFor
95. MK-ST-F-024 rmdStartAge
96. MK-CF-F-173 earnerWages
97. MK-CF-F-176 sumMonthsOverEarners
98. MK-CF-F-177 wageGrossByMonth
99. MK-CF-F-155 cash
100. MK-ST-F-010 nameEvidence
101. MK-CF-F-090 effectiveRate
102. MK-CF-F-085 filingStatusOf
103. MK-CF-F-089 over65CountOf
104. MK-CF-F-086 stateRateOf
105. MK-CF-F-180 enteredLandsAnnual
106. MK-CF-F-084 taxableAnnual
107. MK-CF-F-172 hasWage
108. MK-CF-F-130 enteredMonthlyRaw
109. MK-CF-F-166 hasMonthlySalaryTable
110. MK-CF-F-167 salaryCalendarYear
111. MK-CF-F-165 salaryMonths</t>
        </is>
      </c>
      <c r="R463" s="3" t="inlineStr">
        <is>
          <t>1. MK-ST-F-043 newEntityId → MK-NW-F-040 assetsFromOnboarding → MK-XS-F-032 snapshotFromOnboarding
2. MK-ST-F-052 toNum → MK-NW-F-040 assetsFromOnboarding → MK-XS-F-032 snapshotFromOnboarding
3. MK-NW-F-011 assetClassOf → MK-NW-F-007 assetKind → MK-NW-F-034 benchmarkReturn → MK-NW-F-037 blendedReturn → MK-XS-F-031 buildSnapshot → MK-XS-F-032 snapshotFromOnboarding
4. MK-NW-F-011 assetClassOf → MK-NW-F-030 earmarkDefault → MK-NW-F-032 earmarkedAmount → MK-NW-F-037 blendedReturn → MK-XS-F-031 buildSnapshot → MK-XS-F-032 snapshotFromOnboarding
5. MK-NW-F-013 realEstateUseOf → MK-NW-F-030 earmarkDefault → MK-NW-F-032 earmarkedAmount → MK-NW-F-037 blendedReturn → MK-XS-F-031 buildSnapshot → MK-XS-F-032 snapshotFromOnboarding
6. MK-ST-F-055 round2 → MK-NW-F-032 earmarkedAmount → MK-NW-F-037 blendedReturn → MK-XS-F-031 buildSnapshot → MK-XS-F-032 snapshotFromOnboarding
7. MK-NW-F-008 incomeBearingClassOf → MK-NW-F-011 assetClassOf → MK-NW-F-031 primaryCarIdOf → MK-NW-F-037 blendedReturn → MK-XS-F-031 buildSnapshot → MK-XS-F-032 snapshotFromOnboarding
8. MK-CF-F-069 benefitActiveMonths → MK-CF-F-092 incomeMonthlyGrid → MK-CF-F-002 plannedMonthlySpend → MK-CF-F-013 budgetFromOnboarding → MK-XS-F-031 buildSnapshot → MK-XS-F-032 snapshotFromOnboarding
9. … and 5 more paths</t>
        </is>
      </c>
      <c r="S463" s="3" t="inlineStr">
        <is>
          <t>—</t>
        </is>
      </c>
      <c r="T463" s="3" t="inlineStr">
        <is>
          <t>—</t>
        </is>
      </c>
      <c r="U463" s="3" t="inlineStr">
        <is>
          <t>ACTIVE</t>
        </is>
      </c>
      <c r="V463" s="3" t="inlineStr">
        <is>
          <t>2026-08-27</t>
        </is>
      </c>
    </row>
    <row r="464">
      <c r="A464" s="3" t="inlineStr">
        <is>
          <t>MK-XS-F-033</t>
        </is>
      </c>
      <c r="B464" s="3" t="inlineStr">
        <is>
          <t>resolveNetWorthRows</t>
        </is>
      </c>
      <c r="C464" s="3" t="inlineStr">
        <is>
          <t>src/domain/snapshot.ts</t>
        </is>
      </c>
      <c r="D464" s="3" t="n">
        <v>225</v>
      </c>
      <c r="E464" s="3" t="inlineStr">
        <is>
          <t>2 · DISPLAYED</t>
        </is>
      </c>
      <c r="F464" s="3" t="inlineStr">
        <is>
          <t>The single rule for which net-worth rows a live UI surface should use, so Home + TopBar + the Net Worth screen never disagree (B-49).</t>
        </is>
      </c>
      <c r="G464" s="6" t="inlineStr">
        <is>
          <t>use live = nw seeded (or live accounts.length &gt; 0 (or live liabilities.length &gt; 0 when missing or zero) when missing or zero)</t>
        </is>
      </c>
      <c r="H464" s="3" t="inlineStr">
        <is>
          <t>Use live is nw seeded (or live accounts.length &gt; 0 (or live liabilities.length &gt; 0 — when missing or zero) — when missing or zero).</t>
        </is>
      </c>
      <c r="I464" s="3" t="inlineStr">
        <is>
          <t>READ FROM THE CODE — rendered from the expressions the function runs</t>
        </is>
      </c>
      <c r="J464" s="3" t="inlineStr">
        <is>
          <t>Nothing is handed to it</t>
        </is>
      </c>
      <c r="K464" s="3" t="inlineStr">
        <is>
          <t>NOT DECLARED — the code does not say what it gives back</t>
        </is>
      </c>
      <c r="L464" s="3" t="inlineStr">
        <is>
          <t>NOT FOUND — a screen calls it, but the words printed beside its answer could not be traced automatically. Needs reading.</t>
        </is>
      </c>
      <c r="M464" s="3" t="inlineStr">
        <is>
          <t>None found in this function — anything it assumes comes from the functions it depends on.</t>
        </is>
      </c>
      <c r="N464" s="3" t="inlineStr">
        <is>
          <t>Yes</t>
        </is>
      </c>
      <c r="O464" s="3" t="inlineStr">
        <is>
          <t>1. MK-NW-F-040 assetsFromOnboarding
2. MK-CF-F-038 debtsFromOnboarding</t>
        </is>
      </c>
      <c r="P464" s="3" t="n">
        <v>5</v>
      </c>
      <c r="Q464" s="3" t="inlineStr">
        <is>
          <t>1. MK-NW-F-040 assetsFromOnboarding
2. MK-CF-F-038 debtsFromOnboarding
3. MK-ST-F-043 newEntityId
4. MK-ST-F-052 toNum
5. MK-CF-F-037 inferDebtType</t>
        </is>
      </c>
      <c r="R464" s="3" t="inlineStr">
        <is>
          <t>1. MK-ST-F-043 newEntityId → MK-NW-F-040 assetsFromOnboarding → MK-XS-F-033 resolveNetWorthRows
2. MK-ST-F-052 toNum → MK-NW-F-040 assetsFromOnboarding → MK-XS-F-033 resolveNetWorthRows
3. MK-CF-F-037 inferDebtType → MK-CF-F-038 debtsFromOnboarding → MK-XS-F-033 resolveNetWorthRows
4. MK-ST-F-043 newEntityId → MK-CF-F-038 debtsFromOnboarding → MK-XS-F-033 resolveNetWorthRows
5. MK-ST-F-052 toNum → MK-CF-F-038 debtsFromOnboarding → MK-XS-F-033 resolveNetWorthRows</t>
        </is>
      </c>
      <c r="S464" s="3" t="inlineStr">
        <is>
          <t>—</t>
        </is>
      </c>
      <c r="T464" s="3" t="inlineStr">
        <is>
          <t>NET_WORTH_ROWS</t>
        </is>
      </c>
      <c r="U464" s="3" t="inlineStr">
        <is>
          <t>ACTIVE</t>
        </is>
      </c>
      <c r="V464" s="3" t="inlineStr">
        <is>
          <t>2026-08-27</t>
        </is>
      </c>
    </row>
    <row r="465">
      <c r="A465" s="3" t="inlineStr">
        <is>
          <t>MK-XS-F-034</t>
        </is>
      </c>
      <c r="B465" s="3" t="inlineStr">
        <is>
          <t>isLockAvailable</t>
        </is>
      </c>
      <c r="C465" s="3" t="inlineStr">
        <is>
          <t>src/services/appLock.ts</t>
        </is>
      </c>
      <c r="D465" s="3" t="n">
        <v>54</v>
      </c>
      <c r="E465" s="3" t="inlineStr">
        <is>
          <t>2 · DISPLAYED</t>
        </is>
      </c>
      <c r="F465" s="3" t="inlineStr">
        <is>
          <t>True only when the device has biometric hardware AND the user has enrolled a biometric/passcode.</t>
        </is>
      </c>
      <c r="G465" s="6" t="inlineStr">
        <is>
          <t>m = load()
false   when has hardware async is missing
the answer = !!has hw and !!enrolled</t>
        </is>
      </c>
      <c r="H465" s="3" t="inlineStr">
        <is>
          <t>M is load(). When has hardware async is missing, it answers false. The answer is !!has hw and !!enrolled.</t>
        </is>
      </c>
      <c r="I465" s="3" t="inlineStr">
        <is>
          <t>READ FROM THE CODE — rendered from the expressions the function runs</t>
        </is>
      </c>
      <c r="J465" s="3" t="inlineStr">
        <is>
          <t>Nothing is handed to it</t>
        </is>
      </c>
      <c r="K465" s="3" t="inlineStr">
        <is>
          <t>Promise&lt;boolean&gt;</t>
        </is>
      </c>
      <c r="L465" s="3" t="inlineStr">
        <is>
          <t>NOT FOUND — a screen calls it, but the words printed beside its answer could not be traced automatically. Needs reading.</t>
        </is>
      </c>
      <c r="M465" s="3" t="inlineStr">
        <is>
          <t>None found in this function — anything it assumes comes from the functions it depends on.</t>
        </is>
      </c>
      <c r="N465" s="3" t="inlineStr">
        <is>
          <t>Yes</t>
        </is>
      </c>
      <c r="O465" s="3" t="inlineStr">
        <is>
          <t>MK-XS-F-132 load</t>
        </is>
      </c>
      <c r="P465" s="3" t="n">
        <v>1</v>
      </c>
      <c r="Q465" s="3" t="inlineStr">
        <is>
          <t>MK-XS-F-132 load</t>
        </is>
      </c>
      <c r="R465" s="3" t="inlineStr">
        <is>
          <t>MK-XS-F-132 load → MK-XS-F-034 isLockAvailable</t>
        </is>
      </c>
      <c r="S465" s="3" t="inlineStr">
        <is>
          <t>—</t>
        </is>
      </c>
      <c r="T465" s="3" t="inlineStr">
        <is>
          <t>—</t>
        </is>
      </c>
      <c r="U465" s="3" t="inlineStr">
        <is>
          <t>ACTIVE</t>
        </is>
      </c>
      <c r="V465" s="3" t="inlineStr">
        <is>
          <t>2026-08-27</t>
        </is>
      </c>
    </row>
    <row r="466">
      <c r="A466" s="3" t="inlineStr">
        <is>
          <t>MK-XS-F-035</t>
        </is>
      </c>
      <c r="B466" s="3" t="inlineStr">
        <is>
          <t>authenticate</t>
        </is>
      </c>
      <c r="C466" s="3" t="inlineStr">
        <is>
          <t>src/services/appLock.ts</t>
        </is>
      </c>
      <c r="D466" s="3" t="n">
        <v>87</v>
      </c>
      <c r="E466" s="3" t="inlineStr">
        <is>
          <t>2 · DISPLAYED</t>
        </is>
      </c>
      <c r="F466" s="3" t="inlineStr">
        <is>
          <t>Prompt for Face ID / Touch ID / device passcode.</t>
        </is>
      </c>
      <c r="G466" s="6" t="inlineStr">
        <is>
          <t>m = load()
false   when authenticate async is missing
res = await authenticate async({ prompt message: reason, disable device fallback: false })
the answer = !!res.success</t>
        </is>
      </c>
      <c r="H466" s="3" t="inlineStr">
        <is>
          <t>M is load(). When authenticate async is missing, it answers false. Res is await authenticate async({ prompt message: reason, disable device fallback: false }). The answer is !!res.success.</t>
        </is>
      </c>
      <c r="I466" s="3" t="inlineStr">
        <is>
          <t>READ FROM THE CODE — rendered from the expressions the function runs</t>
        </is>
      </c>
      <c r="J466" s="3" t="inlineStr">
        <is>
          <t>reason = 'Unlock MoneyKeel'</t>
        </is>
      </c>
      <c r="K466" s="3" t="inlineStr">
        <is>
          <t>Promise&lt;boolean&gt;</t>
        </is>
      </c>
      <c r="L466" s="3" t="inlineStr">
        <is>
          <t>NOT FOUND — a screen calls it, but the words printed beside its answer could not be traced automatically. Needs reading.</t>
        </is>
      </c>
      <c r="M466" s="3" t="inlineStr">
        <is>
          <t>None found in this function — anything it assumes comes from the functions it depends on.</t>
        </is>
      </c>
      <c r="N466" s="3" t="inlineStr">
        <is>
          <t>Yes</t>
        </is>
      </c>
      <c r="O466" s="3" t="inlineStr">
        <is>
          <t>MK-XS-F-132 load</t>
        </is>
      </c>
      <c r="P466" s="3" t="n">
        <v>1</v>
      </c>
      <c r="Q466" s="3" t="inlineStr">
        <is>
          <t>MK-XS-F-132 load</t>
        </is>
      </c>
      <c r="R466" s="3" t="inlineStr">
        <is>
          <t>MK-XS-F-132 load → MK-XS-F-035 authenticate</t>
        </is>
      </c>
      <c r="S466" s="3" t="inlineStr">
        <is>
          <t>—</t>
        </is>
      </c>
      <c r="T466" s="3" t="inlineStr">
        <is>
          <t>—</t>
        </is>
      </c>
      <c r="U466" s="3" t="inlineStr">
        <is>
          <t>ACTIVE</t>
        </is>
      </c>
      <c r="V466" s="3" t="inlineStr">
        <is>
          <t>2026-08-27</t>
        </is>
      </c>
    </row>
    <row r="467">
      <c r="A467" s="3" t="inlineStr">
        <is>
          <t>MK-XS-F-036</t>
        </is>
      </c>
      <c r="B467" s="3" t="inlineStr">
        <is>
          <t>initCrashReporting</t>
        </is>
      </c>
      <c r="C467" s="3" t="inlineStr">
        <is>
          <t>src/services/crashReporter.ts</t>
        </is>
      </c>
      <c r="D467" s="3" t="n">
        <v>57</v>
      </c>
      <c r="E467" s="3" t="inlineStr">
        <is>
          <t>1 · ACTION</t>
        </is>
      </c>
      <c r="F467" s="3" t="inlineStr">
        <is>
          <t>Initialise crash reporting once, at app start.</t>
        </is>
      </c>
      <c r="G467" s="6" t="inlineStr">
        <is>
          <t>dsn = (constants.expo config.extra as any).SENTRY_DSN (or process.env.SENTRY_DSN (or '' when missing or zero) when missing or zero)
s = load sentry()</t>
        </is>
      </c>
      <c r="H467" s="3" t="inlineStr">
        <is>
          <t>Dsn is (constants.expo config.extra as any).SENTRY_DSN (or process.env.SENTRY_DSN (or '' — when missing or zero) — when missing or zero). S is load sentry().</t>
        </is>
      </c>
      <c r="I467" s="3" t="inlineStr">
        <is>
          <t>PARTLY READ — some of the code is still showing through; needs a hand pass</t>
        </is>
      </c>
      <c r="J467" s="3" t="inlineStr">
        <is>
          <t>Nothing is handed to it</t>
        </is>
      </c>
      <c r="K467" s="3" t="inlineStr">
        <is>
          <t>void</t>
        </is>
      </c>
      <c r="L467" s="3" t="inlineStr">
        <is>
          <t>—</t>
        </is>
      </c>
      <c r="M467" s="3" t="inlineStr">
        <is>
          <t>None found in this function — anything it assumes comes from the functions it depends on.</t>
        </is>
      </c>
      <c r="N467" s="3" t="inlineStr">
        <is>
          <t>Yes</t>
        </is>
      </c>
      <c r="O467" s="3" t="inlineStr">
        <is>
          <t>1. MK-XS-F-037 captureException
2. MK-XS-F-134 installGlobalHandler
3. MK-XS-F-133 loadSentry</t>
        </is>
      </c>
      <c r="P467" s="3" t="n">
        <v>3</v>
      </c>
      <c r="Q467" s="3" t="inlineStr">
        <is>
          <t>1. MK-XS-F-037 captureException
2. MK-XS-F-134 installGlobalHandler
3. MK-XS-F-133 loadSentry</t>
        </is>
      </c>
      <c r="R467" s="3" t="inlineStr">
        <is>
          <t>1. MK-XS-F-037 captureException → MK-XS-F-036 initCrashReporting
2. MK-XS-F-037 captureException → MK-XS-F-134 installGlobalHandler → MK-XS-F-036 initCrashReporting
3. MK-XS-F-133 loadSentry → MK-XS-F-036 initCrashReporting</t>
        </is>
      </c>
      <c r="S467" s="3" t="inlineStr">
        <is>
          <t>—</t>
        </is>
      </c>
      <c r="T467" s="3" t="inlineStr">
        <is>
          <t>—</t>
        </is>
      </c>
      <c r="U467" s="3" t="inlineStr">
        <is>
          <t>ACTIVE</t>
        </is>
      </c>
      <c r="V467" s="3" t="inlineStr">
        <is>
          <t>2026-08-27</t>
        </is>
      </c>
    </row>
    <row r="468">
      <c r="A468" s="3" t="inlineStr">
        <is>
          <t>MK-XS-F-037</t>
        </is>
      </c>
      <c r="B468" s="3" t="inlineStr">
        <is>
          <t>captureException</t>
        </is>
      </c>
      <c r="C468" s="3" t="inlineStr">
        <is>
          <t>src/services/crashReporter.ts</t>
        </is>
      </c>
      <c r="D468" s="3" t="n">
        <v>126</v>
      </c>
      <c r="E468" s="3" t="inlineStr">
        <is>
          <t>1 · ACTION</t>
        </is>
      </c>
      <c r="F468" s="3" t="inlineStr">
        <is>
          <t>Report a caught error.</t>
        </is>
      </c>
      <c r="G468" s="6" t="inlineStr">
        <is>
          <t>It records or announces something and returns no figure — no arithmetic of its own.</t>
        </is>
      </c>
      <c r="H468" s="3" t="inlineStr">
        <is>
          <t>It records or announces something and returns no figure — no arithmetic of its own.</t>
        </is>
      </c>
      <c r="I468" s="3" t="inlineStr">
        <is>
          <t>NO ARITHMETIC — there is no formula to state</t>
        </is>
      </c>
      <c r="J468" s="3" t="inlineStr">
        <is>
          <t>1. error: unknown
2. extra?: Extra</t>
        </is>
      </c>
      <c r="K468" s="3" t="inlineStr">
        <is>
          <t>void</t>
        </is>
      </c>
      <c r="L468" s="3" t="inlineStr">
        <is>
          <t>—</t>
        </is>
      </c>
      <c r="M468" s="3" t="inlineStr">
        <is>
          <t>None found in this function — anything it assumes comes from the functions it depends on.</t>
        </is>
      </c>
      <c r="N468" s="3" t="inlineStr">
        <is>
          <t>Yes</t>
        </is>
      </c>
      <c r="O468" s="3" t="inlineStr">
        <is>
          <t>—</t>
        </is>
      </c>
      <c r="P468" s="3" t="n">
        <v>0</v>
      </c>
      <c r="Q468" s="3" t="inlineStr">
        <is>
          <t>None — no dependent function stands behind it</t>
        </is>
      </c>
      <c r="R468" s="3" t="inlineStr">
        <is>
          <t>No dependent function — it reads its inputs and answers</t>
        </is>
      </c>
      <c r="S468" s="3" t="inlineStr">
        <is>
          <t>—</t>
        </is>
      </c>
      <c r="T468" s="3" t="inlineStr">
        <is>
          <t>—</t>
        </is>
      </c>
      <c r="U468" s="3" t="inlineStr">
        <is>
          <t>ACTIVE</t>
        </is>
      </c>
      <c r="V468" s="3" t="inlineStr">
        <is>
          <t>2026-08-27</t>
        </is>
      </c>
    </row>
    <row r="469">
      <c r="A469" s="3" t="inlineStr">
        <is>
          <t>MK-XS-F-038</t>
        </is>
      </c>
      <c r="B469" s="3" t="inlineStr">
        <is>
          <t>setUserScope</t>
        </is>
      </c>
      <c r="C469" s="3" t="inlineStr">
        <is>
          <t>src/services/crashReporter.ts</t>
        </is>
      </c>
      <c r="D469" s="3" t="n">
        <v>154</v>
      </c>
      <c r="E469" s="3" t="inlineStr">
        <is>
          <t>1 · ACTION</t>
        </is>
      </c>
      <c r="F469" s="3" t="inlineStr">
        <is>
          <t>Tag the current user on reports (call after login; pass null on logout).</t>
        </is>
      </c>
      <c r="G469" s="6" t="inlineStr">
        <is>
          <t>It records or announces something and returns no figure — no arithmetic of its own.</t>
        </is>
      </c>
      <c r="H469" s="3" t="inlineStr">
        <is>
          <t>It records or announces something and returns no figure — no arithmetic of its own.</t>
        </is>
      </c>
      <c r="I469" s="3" t="inlineStr">
        <is>
          <t>NO ARITHMETIC — there is no formula to state</t>
        </is>
      </c>
      <c r="J469" s="3" t="inlineStr">
        <is>
          <t>uid: string | null</t>
        </is>
      </c>
      <c r="K469" s="3" t="inlineStr">
        <is>
          <t>void</t>
        </is>
      </c>
      <c r="L469" s="3" t="inlineStr">
        <is>
          <t>—</t>
        </is>
      </c>
      <c r="M469" s="3" t="inlineStr">
        <is>
          <t>None found in this function — anything it assumes comes from the functions it depends on.</t>
        </is>
      </c>
      <c r="N469" s="3" t="inlineStr">
        <is>
          <t>Yes</t>
        </is>
      </c>
      <c r="O469" s="3" t="inlineStr">
        <is>
          <t>—</t>
        </is>
      </c>
      <c r="P469" s="3" t="n">
        <v>0</v>
      </c>
      <c r="Q469" s="3" t="inlineStr">
        <is>
          <t>None — no dependent function stands behind it</t>
        </is>
      </c>
      <c r="R469" s="3" t="inlineStr">
        <is>
          <t>No dependent function — it reads its inputs and answers</t>
        </is>
      </c>
      <c r="S469" s="3" t="inlineStr">
        <is>
          <t>—</t>
        </is>
      </c>
      <c r="T469" s="3" t="inlineStr">
        <is>
          <t>—</t>
        </is>
      </c>
      <c r="U469" s="3" t="inlineStr">
        <is>
          <t>ACTIVE</t>
        </is>
      </c>
      <c r="V469" s="3" t="inlineStr">
        <is>
          <t>2026-08-27</t>
        </is>
      </c>
    </row>
    <row r="470">
      <c r="A470" s="3" t="inlineStr">
        <is>
          <t>MK-XS-F-039</t>
        </is>
      </c>
      <c r="B470" s="3" t="inlineStr">
        <is>
          <t>crashReportingEnabled</t>
        </is>
      </c>
      <c r="C470" s="3" t="inlineStr">
        <is>
          <t>src/services/crashReporter.ts</t>
        </is>
      </c>
      <c r="D470" s="3" t="n">
        <v>180</v>
      </c>
      <c r="E470" s="3" t="inlineStr">
        <is>
          <t>3 · DEPENDENT (feeds an action only)</t>
        </is>
      </c>
      <c r="F470" s="3" t="inlineStr">
        <is>
          <t>Whether reports are actually shipping to Sentry (DSN + SDK present).</t>
        </is>
      </c>
      <c r="G470" s="6" t="inlineStr">
        <is>
          <t>enabled</t>
        </is>
      </c>
      <c r="H470" s="3" t="inlineStr">
        <is>
          <t>enabled.</t>
        </is>
      </c>
      <c r="I470" s="3" t="inlineStr">
        <is>
          <t>READ FROM THE CODE — rendered from the expressions the function runs</t>
        </is>
      </c>
      <c r="J470" s="3" t="inlineStr">
        <is>
          <t>Nothing is handed to it</t>
        </is>
      </c>
      <c r="K470" s="3" t="inlineStr">
        <is>
          <t>boolean</t>
        </is>
      </c>
      <c r="L470" s="3" t="inlineStr">
        <is>
          <t>—</t>
        </is>
      </c>
      <c r="M470" s="3" t="inlineStr">
        <is>
          <t>None found in this function — anything it assumes comes from the functions it depends on.</t>
        </is>
      </c>
      <c r="N470" s="3" t="inlineStr">
        <is>
          <t>No</t>
        </is>
      </c>
      <c r="O470" s="3" t="inlineStr">
        <is>
          <t>—</t>
        </is>
      </c>
      <c r="P470" s="3" t="n">
        <v>0</v>
      </c>
      <c r="Q470" s="3" t="inlineStr">
        <is>
          <t>None — no dependent function stands behind it</t>
        </is>
      </c>
      <c r="R470" s="3" t="inlineStr">
        <is>
          <t>No dependent function — it reads its inputs and answers</t>
        </is>
      </c>
      <c r="S470" s="3" t="inlineStr">
        <is>
          <t>—</t>
        </is>
      </c>
      <c r="T470" s="3" t="inlineStr">
        <is>
          <t>—</t>
        </is>
      </c>
      <c r="U470" s="3" t="inlineStr">
        <is>
          <t>ACTIVE</t>
        </is>
      </c>
      <c r="V470" s="3" t="inlineStr">
        <is>
          <t>2026-08-27</t>
        </is>
      </c>
    </row>
    <row r="471">
      <c r="A471" s="3" t="inlineStr">
        <is>
          <t>MK-XS-F-040</t>
        </is>
      </c>
      <c r="B471" s="3" t="inlineStr">
        <is>
          <t>sendTestReport</t>
        </is>
      </c>
      <c r="C471" s="3" t="inlineStr">
        <is>
          <t>src/services/crashReporter.ts</t>
        </is>
      </c>
      <c r="D471" s="3" t="n">
        <v>202</v>
      </c>
      <c r="E471" s="3" t="inlineStr">
        <is>
          <t>2 · DISPLAYED</t>
        </is>
      </c>
      <c r="F471" s="3" t="inlineStr">
        <is>
          <t>B-L2 verification: send a harmless test event so you can confirm wiring in the Sentry dashboard (works on the production/TestFlight build).</t>
        </is>
      </c>
      <c r="G471" s="6" t="inlineStr">
        <is>
          <t>enabled</t>
        </is>
      </c>
      <c r="H471" s="3" t="inlineStr">
        <is>
          <t>enabled.</t>
        </is>
      </c>
      <c r="I471" s="3" t="inlineStr">
        <is>
          <t>READ FROM THE CODE — rendered from the expressions the function runs</t>
        </is>
      </c>
      <c r="J471" s="3" t="inlineStr">
        <is>
          <t>Nothing is handed to it</t>
        </is>
      </c>
      <c r="K471" s="3" t="inlineStr">
        <is>
          <t>boolean</t>
        </is>
      </c>
      <c r="L471" s="3" t="inlineStr">
        <is>
          <t>"Hide balances" — on the Settings screen, under "Security"</t>
        </is>
      </c>
      <c r="M471" s="3" t="inlineStr">
        <is>
          <t>None found in this function — anything it assumes comes from the functions it depends on.</t>
        </is>
      </c>
      <c r="N471" s="3" t="inlineStr">
        <is>
          <t>Yes</t>
        </is>
      </c>
      <c r="O471" s="3" t="inlineStr">
        <is>
          <t>MK-XS-F-037 captureException</t>
        </is>
      </c>
      <c r="P471" s="3" t="n">
        <v>1</v>
      </c>
      <c r="Q471" s="3" t="inlineStr">
        <is>
          <t>MK-XS-F-037 captureException</t>
        </is>
      </c>
      <c r="R471" s="3" t="inlineStr">
        <is>
          <t>MK-XS-F-037 captureException → MK-XS-F-040 sendTestReport</t>
        </is>
      </c>
      <c r="S471" s="3" t="inlineStr">
        <is>
          <t>—</t>
        </is>
      </c>
      <c r="T471" s="3" t="inlineStr">
        <is>
          <t>—</t>
        </is>
      </c>
      <c r="U471" s="3" t="inlineStr">
        <is>
          <t>ACTIVE</t>
        </is>
      </c>
      <c r="V471" s="3" t="inlineStr">
        <is>
          <t>2026-08-27</t>
        </is>
      </c>
    </row>
    <row r="472">
      <c r="A472" s="3" t="inlineStr">
        <is>
          <t>MK-XS-F-041</t>
        </is>
      </c>
      <c r="B472" s="3" t="inlineStr">
        <is>
          <t>cacheDataKey</t>
        </is>
      </c>
      <c r="C472" s="3" t="inlineStr">
        <is>
          <t>src/services/dataCrypto.ts</t>
        </is>
      </c>
      <c r="D472" s="3" t="n">
        <v>120</v>
      </c>
      <c r="E472" s="3" t="inlineStr">
        <is>
          <t>1 · ACTION</t>
        </is>
      </c>
      <c r="F472" s="3" t="inlineStr">
        <is>
          <t>── DEK lifecycle (the cached, unwrapped key the sync layer uses) ───── Cache the unwrapped DEK (memory + keychain).</t>
        </is>
      </c>
      <c r="G472" s="6" t="inlineStr">
        <is>
          <t>NOT READ YET — the body is not a shape this can render faithfully, so nothing is claimed rather than something being guessed. It needs reading by hand.</t>
        </is>
      </c>
      <c r="H472" s="3" t="inlineStr">
        <is>
          <t>NOT READ YET — the body is not a shape this can render faithfully, so nothing is claimed rather than something being guessed. It needs reading by hand.</t>
        </is>
      </c>
      <c r="I472" s="3" t="inlineStr">
        <is>
          <t>NOT READ — nothing is claimed rather than something guessed</t>
        </is>
      </c>
      <c r="J472" s="3" t="inlineStr">
        <is>
          <t>dek: string</t>
        </is>
      </c>
      <c r="K472" s="3" t="inlineStr">
        <is>
          <t>Promise&lt;void&gt;</t>
        </is>
      </c>
      <c r="L472" s="3" t="inlineStr">
        <is>
          <t>—</t>
        </is>
      </c>
      <c r="M472" s="3" t="inlineStr">
        <is>
          <t>None found in this function — anything it assumes comes from the functions it depends on.</t>
        </is>
      </c>
      <c r="N472" s="3" t="inlineStr">
        <is>
          <t>Yes</t>
        </is>
      </c>
      <c r="O472" s="3" t="inlineStr">
        <is>
          <t>MK-XS-F-136 secureSet</t>
        </is>
      </c>
      <c r="P472" s="3" t="n">
        <v>1</v>
      </c>
      <c r="Q472" s="3" t="inlineStr">
        <is>
          <t>MK-XS-F-136 secureSet</t>
        </is>
      </c>
      <c r="R472" s="3" t="inlineStr">
        <is>
          <t>MK-XS-F-136 secureSet → MK-XS-F-041 cacheDataKey</t>
        </is>
      </c>
      <c r="S472" s="3" t="inlineStr">
        <is>
          <t>—</t>
        </is>
      </c>
      <c r="T472" s="3" t="inlineStr">
        <is>
          <t>—</t>
        </is>
      </c>
      <c r="U472" s="3" t="inlineStr">
        <is>
          <t>ACTIVE</t>
        </is>
      </c>
      <c r="V472" s="3" t="inlineStr">
        <is>
          <t>2026-08-27</t>
        </is>
      </c>
    </row>
    <row r="473">
      <c r="A473" s="3" t="inlineStr">
        <is>
          <t>MK-XS-F-042</t>
        </is>
      </c>
      <c r="B473" s="3" t="inlineStr">
        <is>
          <t>getDataKey</t>
        </is>
      </c>
      <c r="C473" s="3" t="inlineStr">
        <is>
          <t>src/services/dataCrypto.ts</t>
        </is>
      </c>
      <c r="D473" s="3" t="n">
        <v>148</v>
      </c>
      <c r="E473" s="3" t="inlineStr">
        <is>
          <t>3 · DEPENDENT</t>
        </is>
      </c>
      <c r="F473" s="3" t="inlineStr">
        <is>
          <t>The cached DEK (memory → keychain), or null if it hasn't been unwrapped on this install yet.</t>
        </is>
      </c>
      <c r="G473" s="6" t="inlineStr">
        <is>
          <t>cached key   when cached key
cached key</t>
        </is>
      </c>
      <c r="H473" s="3" t="inlineStr">
        <is>
          <t>When cached key, it answers cached key. cached key.</t>
        </is>
      </c>
      <c r="I473" s="3" t="inlineStr">
        <is>
          <t>READ FROM THE CODE — rendered from the expressions the function runs</t>
        </is>
      </c>
      <c r="J473" s="3" t="inlineStr">
        <is>
          <t>Nothing is handed to it</t>
        </is>
      </c>
      <c r="K473" s="3" t="inlineStr">
        <is>
          <t>Promise&lt;string | null&gt;</t>
        </is>
      </c>
      <c r="L473" s="3" t="inlineStr">
        <is>
          <t>—</t>
        </is>
      </c>
      <c r="M473" s="3" t="inlineStr">
        <is>
          <t>None found in this function — anything it assumes comes from the functions it depends on.</t>
        </is>
      </c>
      <c r="N473" s="3" t="inlineStr">
        <is>
          <t>Yes</t>
        </is>
      </c>
      <c r="O473" s="3" t="inlineStr">
        <is>
          <t>MK-XS-F-135 secureGet</t>
        </is>
      </c>
      <c r="P473" s="3" t="n">
        <v>1</v>
      </c>
      <c r="Q473" s="3" t="inlineStr">
        <is>
          <t>MK-XS-F-135 secureGet</t>
        </is>
      </c>
      <c r="R473" s="3" t="inlineStr">
        <is>
          <t>MK-XS-F-135 secureGet → MK-XS-F-042 getDataKey</t>
        </is>
      </c>
      <c r="S473" s="3" t="inlineStr">
        <is>
          <t>—</t>
        </is>
      </c>
      <c r="T473" s="3" t="inlineStr">
        <is>
          <t>—</t>
        </is>
      </c>
      <c r="U473" s="3" t="inlineStr">
        <is>
          <t>ACTIVE</t>
        </is>
      </c>
      <c r="V473" s="3" t="inlineStr">
        <is>
          <t>2026-08-27</t>
        </is>
      </c>
    </row>
    <row r="474">
      <c r="A474" s="3" t="inlineStr">
        <is>
          <t>MK-XS-F-043</t>
        </is>
      </c>
      <c r="B474" s="3" t="inlineStr">
        <is>
          <t>clearDataKey</t>
        </is>
      </c>
      <c r="C474" s="3" t="inlineStr">
        <is>
          <t>src/services/dataCrypto.ts</t>
        </is>
      </c>
      <c r="D474" s="3" t="n">
        <v>172</v>
      </c>
      <c r="E474" s="3" t="inlineStr">
        <is>
          <t>1 · ACTION</t>
        </is>
      </c>
      <c r="F474" s="3" t="inlineStr">
        <is>
          <t>Forget the DEK (on logout / account deletion).</t>
        </is>
      </c>
      <c r="G474" s="6" t="inlineStr">
        <is>
          <t>NOT READ YET — the body is not a shape this can render faithfully, so nothing is claimed rather than something being guessed. It needs reading by hand.</t>
        </is>
      </c>
      <c r="H474" s="3" t="inlineStr">
        <is>
          <t>NOT READ YET — the body is not a shape this can render faithfully, so nothing is claimed rather than something being guessed. It needs reading by hand.</t>
        </is>
      </c>
      <c r="I474" s="3" t="inlineStr">
        <is>
          <t>NOT READ — nothing is claimed rather than something guessed</t>
        </is>
      </c>
      <c r="J474" s="3" t="inlineStr">
        <is>
          <t>Nothing is handed to it</t>
        </is>
      </c>
      <c r="K474" s="3" t="inlineStr">
        <is>
          <t>Promise&lt;void&gt;</t>
        </is>
      </c>
      <c r="L474" s="3" t="inlineStr">
        <is>
          <t>—</t>
        </is>
      </c>
      <c r="M474" s="3" t="inlineStr">
        <is>
          <t>None found in this function — anything it assumes comes from the functions it depends on.</t>
        </is>
      </c>
      <c r="N474" s="3" t="inlineStr">
        <is>
          <t>Yes</t>
        </is>
      </c>
      <c r="O474" s="3" t="inlineStr">
        <is>
          <t>MK-XS-F-137 secureDelete</t>
        </is>
      </c>
      <c r="P474" s="3" t="n">
        <v>1</v>
      </c>
      <c r="Q474" s="3" t="inlineStr">
        <is>
          <t>MK-XS-F-137 secureDelete</t>
        </is>
      </c>
      <c r="R474" s="3" t="inlineStr">
        <is>
          <t>MK-XS-F-137 secureDelete → MK-XS-F-043 clearDataKey</t>
        </is>
      </c>
      <c r="S474" s="3" t="inlineStr">
        <is>
          <t>—</t>
        </is>
      </c>
      <c r="T474" s="3" t="inlineStr">
        <is>
          <t>—</t>
        </is>
      </c>
      <c r="U474" s="3" t="inlineStr">
        <is>
          <t>ACTIVE</t>
        </is>
      </c>
      <c r="V474" s="3" t="inlineStr">
        <is>
          <t>2026-08-27</t>
        </is>
      </c>
    </row>
    <row r="475">
      <c r="A475" s="3" t="inlineStr">
        <is>
          <t>MK-XS-F-044</t>
        </is>
      </c>
      <c r="B475" s="3" t="inlineStr">
        <is>
          <t>generateDataKey</t>
        </is>
      </c>
      <c r="C475" s="3" t="inlineStr">
        <is>
          <t>src/services/dataCrypto.ts</t>
        </is>
      </c>
      <c r="D475" s="3" t="n">
        <v>197</v>
      </c>
      <c r="E475" s="3" t="inlineStr">
        <is>
          <t>3 · DEPENDENT</t>
        </is>
      </c>
      <c r="F475" s="3" t="inlineStr">
        <is>
          <t>── Key generation ─────────────────────────────────────────────────── A fresh random 256-bit data key (hex).</t>
        </is>
      </c>
      <c r="G475" s="6" t="inlineStr">
        <is>
          <t>crypto js.lib.word array.random(32).to string(crypto js.enc.hex)</t>
        </is>
      </c>
      <c r="H475" s="3" t="inlineStr">
        <is>
          <t>crypto js.lib.word array.random(32).to string(crypto js.enc.hex).</t>
        </is>
      </c>
      <c r="I475" s="3" t="inlineStr">
        <is>
          <t>PARTLY READ — some of the code is still showing through; needs a hand pass</t>
        </is>
      </c>
      <c r="J475" s="3" t="inlineStr">
        <is>
          <t>Nothing is handed to it</t>
        </is>
      </c>
      <c r="K475" s="3" t="inlineStr">
        <is>
          <t>string</t>
        </is>
      </c>
      <c r="L475" s="3" t="inlineStr">
        <is>
          <t>—</t>
        </is>
      </c>
      <c r="M475" s="3" t="inlineStr">
        <is>
          <t>None found in this function — anything it assumes comes from the functions it depends on.</t>
        </is>
      </c>
      <c r="N475" s="3" t="inlineStr">
        <is>
          <t>Yes</t>
        </is>
      </c>
      <c r="O475" s="3" t="inlineStr">
        <is>
          <t>—</t>
        </is>
      </c>
      <c r="P475" s="3" t="n">
        <v>0</v>
      </c>
      <c r="Q475" s="3" t="inlineStr">
        <is>
          <t>None — no dependent function stands behind it</t>
        </is>
      </c>
      <c r="R475" s="3" t="inlineStr">
        <is>
          <t>No dependent function — it reads its inputs and answers</t>
        </is>
      </c>
      <c r="S475" s="3" t="inlineStr">
        <is>
          <t>—</t>
        </is>
      </c>
      <c r="T475" s="3" t="inlineStr">
        <is>
          <t>—</t>
        </is>
      </c>
      <c r="U475" s="3" t="inlineStr">
        <is>
          <t>ACTIVE</t>
        </is>
      </c>
      <c r="V475" s="3" t="inlineStr">
        <is>
          <t>2026-08-27</t>
        </is>
      </c>
    </row>
    <row r="476">
      <c r="A476" s="3" t="inlineStr">
        <is>
          <t>MK-XS-F-045</t>
        </is>
      </c>
      <c r="B476" s="3" t="inlineStr">
        <is>
          <t>generateRecoveryCode</t>
        </is>
      </c>
      <c r="C476" s="3" t="inlineStr">
        <is>
          <t>src/services/dataCrypto.ts</t>
        </is>
      </c>
      <c r="D476" s="3" t="n">
        <v>228</v>
      </c>
      <c r="E476" s="3" t="inlineStr">
        <is>
          <t>3 · DEPENDENT</t>
        </is>
      </c>
      <c r="F476" s="3" t="inlineStr">
        <is>
          <t>A human-friendly recovery code, e.g.</t>
        </is>
      </c>
      <c r="G476" s="6" t="inlineStr">
        <is>
          <t>bytes = crypto js.lib.word array.random(20)
words = bytes.words
out = ''
byte = (words[i &gt;&gt;&gt; 2] &gt;&gt;&gt; (24 − (i % 4) × 8)) &amp; 0xff
the answer = (out.match( ÷ .{1,4} ÷ g) as string[]).join('-')</t>
        </is>
      </c>
      <c r="H476" s="3" t="inlineStr">
        <is>
          <t>Bytes is crypto js.lib.word array.random(20). Words is bytes.words. Out is ''. Byte is (words[i &gt;&gt;&gt; 2] &gt;&gt;&gt; (24 minus (i % 4) times 8)) &amp; 0xff. The answer is (out.match( divided by .{1,4} divided by g) as string[]).join('-').</t>
        </is>
      </c>
      <c r="I476" s="3" t="inlineStr">
        <is>
          <t>PARTLY READ — some of the code is still showing through; needs a hand pass</t>
        </is>
      </c>
      <c r="J476" s="3" t="inlineStr">
        <is>
          <t>Nothing is handed to it</t>
        </is>
      </c>
      <c r="K476" s="3" t="inlineStr">
        <is>
          <t>string</t>
        </is>
      </c>
      <c r="L476" s="3" t="inlineStr">
        <is>
          <t>—</t>
        </is>
      </c>
      <c r="M476" s="3" t="inlineStr">
        <is>
          <t>· Uses a built-in i of 0.</t>
        </is>
      </c>
      <c r="N476" s="3" t="inlineStr">
        <is>
          <t>Yes</t>
        </is>
      </c>
      <c r="O476" s="3" t="inlineStr">
        <is>
          <t>—</t>
        </is>
      </c>
      <c r="P476" s="3" t="n">
        <v>0</v>
      </c>
      <c r="Q476" s="3" t="inlineStr">
        <is>
          <t>None — no dependent function stands behind it</t>
        </is>
      </c>
      <c r="R476" s="3" t="inlineStr">
        <is>
          <t>No dependent function — it reads its inputs and answers</t>
        </is>
      </c>
      <c r="S476" s="3" t="inlineStr">
        <is>
          <t>—</t>
        </is>
      </c>
      <c r="T476" s="3" t="inlineStr">
        <is>
          <t>—</t>
        </is>
      </c>
      <c r="U476" s="3" t="inlineStr">
        <is>
          <t>ACTIVE</t>
        </is>
      </c>
      <c r="V476" s="3" t="inlineStr">
        <is>
          <t>2026-08-27</t>
        </is>
      </c>
    </row>
    <row r="477">
      <c r="A477" s="3" t="inlineStr">
        <is>
          <t>MK-XS-F-046</t>
        </is>
      </c>
      <c r="B477" s="3" t="inlineStr">
        <is>
          <t>makeEnvelope</t>
        </is>
      </c>
      <c r="C477" s="3" t="inlineStr">
        <is>
          <t>src/services/dataCrypto.ts</t>
        </is>
      </c>
      <c r="D477" s="3" t="n">
        <v>311</v>
      </c>
      <c r="E477" s="3" t="inlineStr">
        <is>
          <t>3 · DEPENDENT</t>
        </is>
      </c>
      <c r="F477" s="3" t="inlineStr">
        <is>
          <t>Build the stored envelope: the DEK locked by both the password and the recovery code.</t>
        </is>
      </c>
      <c r="G477" s="6" t="inlineStr">
        <is>
          <t>p = wrap with secret(dek, uid, password)
r = wrap with secret(dek, uid, recovery code)</t>
        </is>
      </c>
      <c r="H477" s="3" t="inlineStr">
        <is>
          <t>p = wrap with secret(dek, uid, password); r = wrap with secret(dek, uid, recovery code).</t>
        </is>
      </c>
      <c r="I477" s="3" t="inlineStr">
        <is>
          <t>READ FROM THE CODE — rendered from the expressions the function runs</t>
        </is>
      </c>
      <c r="J477" s="3" t="inlineStr">
        <is>
          <t>1. dek: string
2. uid: string
3. password: string
4. recoveryCode: string</t>
        </is>
      </c>
      <c r="K477" s="3" t="inlineStr">
        <is>
          <t>KeyEnvelope</t>
        </is>
      </c>
      <c r="L477" s="3" t="inlineStr">
        <is>
          <t>—</t>
        </is>
      </c>
      <c r="M477" s="3" t="inlineStr">
        <is>
          <t>None found in this function — anything it assumes comes from the functions it depends on.</t>
        </is>
      </c>
      <c r="N477" s="3" t="inlineStr">
        <is>
          <t>Yes</t>
        </is>
      </c>
      <c r="O477" s="3" t="inlineStr">
        <is>
          <t>MK-XS-F-139 wrapWithSecret</t>
        </is>
      </c>
      <c r="P477" s="3" t="n">
        <v>3</v>
      </c>
      <c r="Q477" s="3" t="inlineStr">
        <is>
          <t>1. MK-XS-F-139 wrapWithSecret
2. MK-XS-F-138 deriveKeyFromSecret
3. MK-XS-F-052 encryptWithKey</t>
        </is>
      </c>
      <c r="R477" s="3" t="inlineStr">
        <is>
          <t>1. MK-XS-F-138 deriveKeyFromSecret → MK-XS-F-139 wrapWithSecret → MK-XS-F-046 makeEnvelope
2. MK-XS-F-052 encryptWithKey → MK-XS-F-139 wrapWithSecret → MK-XS-F-046 makeEnvelope</t>
        </is>
      </c>
      <c r="S477" s="3" t="inlineStr">
        <is>
          <t>—</t>
        </is>
      </c>
      <c r="T477" s="3" t="inlineStr">
        <is>
          <t>—</t>
        </is>
      </c>
      <c r="U477" s="3" t="inlineStr">
        <is>
          <t>ACTIVE</t>
        </is>
      </c>
      <c r="V477" s="3" t="inlineStr">
        <is>
          <t>2026-08-27</t>
        </is>
      </c>
    </row>
    <row r="478">
      <c r="A478" s="3" t="inlineStr">
        <is>
          <t>MK-XS-F-047</t>
        </is>
      </c>
      <c r="B478" s="3" t="inlineStr">
        <is>
          <t>unwrapWithPassword</t>
        </is>
      </c>
      <c r="C478" s="3" t="inlineStr">
        <is>
          <t>src/services/dataCrypto.ts</t>
        </is>
      </c>
      <c r="D478" s="3" t="n">
        <v>334</v>
      </c>
      <c r="E478" s="3" t="inlineStr">
        <is>
          <t>3 · DEPENDENT</t>
        </is>
      </c>
      <c r="F478" s="3" t="inlineStr">
        <is>
          <t>Unlock the DEK with the password (null if the password is wrong / was reset).</t>
        </is>
      </c>
      <c r="G478" s="6" t="inlineStr">
        <is>
          <t>decrypt with key(env.p, derive key from secret(password, uid))   if env.p
nothing   otherwise</t>
        </is>
      </c>
      <c r="H478" s="3" t="inlineStr">
        <is>
          <t>decrypt with key(env.p, derive key from secret(password, uid)) — when env.p; no answer — otherwise.</t>
        </is>
      </c>
      <c r="I478" s="3" t="inlineStr">
        <is>
          <t>READ FROM THE CODE — rendered from the expressions the function runs</t>
        </is>
      </c>
      <c r="J478" s="3" t="inlineStr">
        <is>
          <t>1. env: KeyEnvelope
2. uid: string
3. password: string</t>
        </is>
      </c>
      <c r="K478" s="3" t="inlineStr">
        <is>
          <t>string | null</t>
        </is>
      </c>
      <c r="L478" s="3" t="inlineStr">
        <is>
          <t>—</t>
        </is>
      </c>
      <c r="M478" s="3" t="inlineStr">
        <is>
          <t>None found in this function — anything it assumes comes from the functions it depends on.</t>
        </is>
      </c>
      <c r="N478" s="3" t="inlineStr">
        <is>
          <t>Yes</t>
        </is>
      </c>
      <c r="O478" s="3" t="inlineStr">
        <is>
          <t>1. MK-XS-F-053 decryptWithKey
2. MK-XS-F-138 deriveKeyFromSecret</t>
        </is>
      </c>
      <c r="P478" s="3" t="n">
        <v>3</v>
      </c>
      <c r="Q478" s="3" t="inlineStr">
        <is>
          <t>1. MK-XS-F-053 decryptWithKey
2. MK-XS-F-138 deriveKeyFromSecret
3. MK-XS-F-051 isEncrypted</t>
        </is>
      </c>
      <c r="R478" s="3" t="inlineStr">
        <is>
          <t>1. MK-XS-F-051 isEncrypted → MK-XS-F-053 decryptWithKey → MK-XS-F-047 unwrapWithPassword
2. MK-XS-F-138 deriveKeyFromSecret → MK-XS-F-047 unwrapWithPassword</t>
        </is>
      </c>
      <c r="S478" s="3" t="inlineStr">
        <is>
          <t>—</t>
        </is>
      </c>
      <c r="T478" s="3" t="inlineStr">
        <is>
          <t>—</t>
        </is>
      </c>
      <c r="U478" s="3" t="inlineStr">
        <is>
          <t>ACTIVE</t>
        </is>
      </c>
      <c r="V478" s="3" t="inlineStr">
        <is>
          <t>2026-08-27</t>
        </is>
      </c>
    </row>
    <row r="479">
      <c r="A479" s="3" t="inlineStr">
        <is>
          <t>MK-XS-F-048</t>
        </is>
      </c>
      <c r="B479" s="3" t="inlineStr">
        <is>
          <t>unwrapWithRecovery</t>
        </is>
      </c>
      <c r="C479" s="3" t="inlineStr">
        <is>
          <t>src/services/dataCrypto.ts</t>
        </is>
      </c>
      <c r="D479" s="3" t="n">
        <v>357</v>
      </c>
      <c r="E479" s="3" t="inlineStr">
        <is>
          <t>3 · DEPENDENT</t>
        </is>
      </c>
      <c r="F479" s="3" t="inlineStr">
        <is>
          <t>Unlock the DEK with the recovery code (null if the code is wrong).</t>
        </is>
      </c>
      <c r="G479" s="6" t="inlineStr">
        <is>
          <t>decrypt with key(env.r, derive key from secret(recovery code, uid))   if env.r
nothing   otherwise</t>
        </is>
      </c>
      <c r="H479" s="3" t="inlineStr">
        <is>
          <t>decrypt with key(env.r, derive key from secret(recovery code, uid)) — when env.r; no answer — otherwise.</t>
        </is>
      </c>
      <c r="I479" s="3" t="inlineStr">
        <is>
          <t>READ FROM THE CODE — rendered from the expressions the function runs</t>
        </is>
      </c>
      <c r="J479" s="3" t="inlineStr">
        <is>
          <t>1. env: KeyEnvelope
2. uid: string
3. recoveryCode: string</t>
        </is>
      </c>
      <c r="K479" s="3" t="inlineStr">
        <is>
          <t>string | null</t>
        </is>
      </c>
      <c r="L479" s="3" t="inlineStr">
        <is>
          <t>—</t>
        </is>
      </c>
      <c r="M479" s="3" t="inlineStr">
        <is>
          <t>None found in this function — anything it assumes comes from the functions it depends on.</t>
        </is>
      </c>
      <c r="N479" s="3" t="inlineStr">
        <is>
          <t>Yes</t>
        </is>
      </c>
      <c r="O479" s="3" t="inlineStr">
        <is>
          <t>1. MK-XS-F-053 decryptWithKey
2. MK-XS-F-138 deriveKeyFromSecret</t>
        </is>
      </c>
      <c r="P479" s="3" t="n">
        <v>3</v>
      </c>
      <c r="Q479" s="3" t="inlineStr">
        <is>
          <t>1. MK-XS-F-053 decryptWithKey
2. MK-XS-F-138 deriveKeyFromSecret
3. MK-XS-F-051 isEncrypted</t>
        </is>
      </c>
      <c r="R479" s="3" t="inlineStr">
        <is>
          <t>1. MK-XS-F-051 isEncrypted → MK-XS-F-053 decryptWithKey → MK-XS-F-048 unwrapWithRecovery
2. MK-XS-F-138 deriveKeyFromSecret → MK-XS-F-048 unwrapWithRecovery</t>
        </is>
      </c>
      <c r="S479" s="3" t="inlineStr">
        <is>
          <t>—</t>
        </is>
      </c>
      <c r="T479" s="3" t="inlineStr">
        <is>
          <t>—</t>
        </is>
      </c>
      <c r="U479" s="3" t="inlineStr">
        <is>
          <t>ACTIVE</t>
        </is>
      </c>
      <c r="V479" s="3" t="inlineStr">
        <is>
          <t>2026-08-27</t>
        </is>
      </c>
    </row>
    <row r="480">
      <c r="A480" s="3" t="inlineStr">
        <is>
          <t>MK-XS-F-049</t>
        </is>
      </c>
      <c r="B480" s="3" t="inlineStr">
        <is>
          <t>rewrapPassword</t>
        </is>
      </c>
      <c r="C480" s="3" t="inlineStr">
        <is>
          <t>src/services/dataCrypto.ts</t>
        </is>
      </c>
      <c r="D480" s="3" t="n">
        <v>380</v>
      </c>
      <c r="E480" s="3" t="inlineStr">
        <is>
          <t>3 · DEPENDENT</t>
        </is>
      </c>
      <c r="F480" s="3" t="inlineStr">
        <is>
          <t>Re-lock an existing envelope's password copy under a new password (after a recovery-code restore).</t>
        </is>
      </c>
      <c r="G480" s="6" t="inlineStr">
        <is>
          <t>...env = ...env
p = wrap with secret(dek, uid, new password)</t>
        </is>
      </c>
      <c r="H480" s="3" t="inlineStr">
        <is>
          <t>...env = ...env; p = wrap with secret(dek, uid, new password).</t>
        </is>
      </c>
      <c r="I480" s="3" t="inlineStr">
        <is>
          <t>PARTLY READ — some of the code is still showing through; needs a hand pass</t>
        </is>
      </c>
      <c r="J480" s="3" t="inlineStr">
        <is>
          <t>1. env: KeyEnvelope
2. dek: string
3. uid: string
4. newPassword: string</t>
        </is>
      </c>
      <c r="K480" s="3" t="inlineStr">
        <is>
          <t>KeyEnvelope</t>
        </is>
      </c>
      <c r="L480" s="3" t="inlineStr">
        <is>
          <t>—</t>
        </is>
      </c>
      <c r="M480" s="3" t="inlineStr">
        <is>
          <t>None found in this function — anything it assumes comes from the functions it depends on.</t>
        </is>
      </c>
      <c r="N480" s="3" t="inlineStr">
        <is>
          <t>Yes</t>
        </is>
      </c>
      <c r="O480" s="3" t="inlineStr">
        <is>
          <t>MK-XS-F-139 wrapWithSecret</t>
        </is>
      </c>
      <c r="P480" s="3" t="n">
        <v>3</v>
      </c>
      <c r="Q480" s="3" t="inlineStr">
        <is>
          <t>1. MK-XS-F-139 wrapWithSecret
2. MK-XS-F-138 deriveKeyFromSecret
3. MK-XS-F-052 encryptWithKey</t>
        </is>
      </c>
      <c r="R480" s="3" t="inlineStr">
        <is>
          <t>1. MK-XS-F-138 deriveKeyFromSecret → MK-XS-F-139 wrapWithSecret → MK-XS-F-049 rewrapPassword
2. MK-XS-F-052 encryptWithKey → MK-XS-F-139 wrapWithSecret → MK-XS-F-049 rewrapPassword</t>
        </is>
      </c>
      <c r="S480" s="3" t="inlineStr">
        <is>
          <t>—</t>
        </is>
      </c>
      <c r="T480" s="3" t="inlineStr">
        <is>
          <t>—</t>
        </is>
      </c>
      <c r="U480" s="3" t="inlineStr">
        <is>
          <t>ACTIVE</t>
        </is>
      </c>
      <c r="V480" s="3" t="inlineStr">
        <is>
          <t>2026-08-27</t>
        </is>
      </c>
    </row>
    <row r="481">
      <c r="A481" s="3" t="inlineStr">
        <is>
          <t>MK-XS-F-050</t>
        </is>
      </c>
      <c r="B481" s="3" t="inlineStr">
        <is>
          <t>rewrapRecovery</t>
        </is>
      </c>
      <c r="C481" s="3" t="inlineStr">
        <is>
          <t>src/services/dataCrypto.ts</t>
        </is>
      </c>
      <c r="D481" s="3" t="n">
        <v>403</v>
      </c>
      <c r="E481" s="3" t="inlineStr">
        <is>
          <t>3 · DEPENDENT</t>
        </is>
      </c>
      <c r="F481" s="3" t="inlineStr">
        <is>
          <t>Replace an envelope's recovery copy with a new recovery code (rotate the code).</t>
        </is>
      </c>
      <c r="G481" s="6" t="inlineStr">
        <is>
          <t>...env = ...env
r = wrap with secret(dek, uid, recovery code)</t>
        </is>
      </c>
      <c r="H481" s="3" t="inlineStr">
        <is>
          <t>...env = ...env; r = wrap with secret(dek, uid, recovery code).</t>
        </is>
      </c>
      <c r="I481" s="3" t="inlineStr">
        <is>
          <t>READ FROM THE CODE — rendered from the expressions the function runs</t>
        </is>
      </c>
      <c r="J481" s="3" t="inlineStr">
        <is>
          <t>1. env: KeyEnvelope
2. dek: string
3. uid: string
4. recoveryCode: string</t>
        </is>
      </c>
      <c r="K481" s="3" t="inlineStr">
        <is>
          <t>KeyEnvelope</t>
        </is>
      </c>
      <c r="L481" s="3" t="inlineStr">
        <is>
          <t>—</t>
        </is>
      </c>
      <c r="M481" s="3" t="inlineStr">
        <is>
          <t>None found in this function — anything it assumes comes from the functions it depends on.</t>
        </is>
      </c>
      <c r="N481" s="3" t="inlineStr">
        <is>
          <t>Yes</t>
        </is>
      </c>
      <c r="O481" s="3" t="inlineStr">
        <is>
          <t>MK-XS-F-139 wrapWithSecret</t>
        </is>
      </c>
      <c r="P481" s="3" t="n">
        <v>3</v>
      </c>
      <c r="Q481" s="3" t="inlineStr">
        <is>
          <t>1. MK-XS-F-139 wrapWithSecret
2. MK-XS-F-138 deriveKeyFromSecret
3. MK-XS-F-052 encryptWithKey</t>
        </is>
      </c>
      <c r="R481" s="3" t="inlineStr">
        <is>
          <t>1. MK-XS-F-138 deriveKeyFromSecret → MK-XS-F-139 wrapWithSecret → MK-XS-F-050 rewrapRecovery
2. MK-XS-F-052 encryptWithKey → MK-XS-F-139 wrapWithSecret → MK-XS-F-050 rewrapRecovery</t>
        </is>
      </c>
      <c r="S481" s="3" t="inlineStr">
        <is>
          <t>—</t>
        </is>
      </c>
      <c r="T481" s="3" t="inlineStr">
        <is>
          <t>—</t>
        </is>
      </c>
      <c r="U481" s="3" t="inlineStr">
        <is>
          <t>ACTIVE</t>
        </is>
      </c>
      <c r="V481" s="3" t="inlineStr">
        <is>
          <t>2026-08-27</t>
        </is>
      </c>
    </row>
    <row r="482">
      <c r="A482" s="3" t="inlineStr">
        <is>
          <t>MK-XS-F-051</t>
        </is>
      </c>
      <c r="B482" s="3" t="inlineStr">
        <is>
          <t>isEncrypted</t>
        </is>
      </c>
      <c r="C482" s="3" t="inlineStr">
        <is>
          <t>src/services/dataCrypto.ts</t>
        </is>
      </c>
      <c r="D482" s="3" t="n">
        <v>430</v>
      </c>
      <c r="E482" s="3" t="inlineStr">
        <is>
          <t>3 · DEPENDENT</t>
        </is>
      </c>
      <c r="F482" s="3" t="inlineStr">
        <is>
          <t>── Low-level AES helpers (also used to wrap the DEK) ─────────────────</t>
        </is>
      </c>
      <c r="G482" s="6" t="inlineStr">
        <is>
          <t>typeof v = 'string' and (v as string).starts with(PREFIX)</t>
        </is>
      </c>
      <c r="H482" s="3" t="inlineStr">
        <is>
          <t>typeof v = 'string' and (v as string).starts with(PREFIX).</t>
        </is>
      </c>
      <c r="I482" s="3" t="inlineStr">
        <is>
          <t>PARTLY READ — some of the code is still showing through; needs a hand pass</t>
        </is>
      </c>
      <c r="J482" s="3" t="inlineStr">
        <is>
          <t>v: unknown</t>
        </is>
      </c>
      <c r="K482" s="3" t="inlineStr">
        <is>
          <t>boolean</t>
        </is>
      </c>
      <c r="L482" s="3" t="inlineStr">
        <is>
          <t>—</t>
        </is>
      </c>
      <c r="M482" s="3" t="inlineStr">
        <is>
          <t>None found in this function — anything it assumes comes from the functions it depends on.</t>
        </is>
      </c>
      <c r="N482" s="3" t="inlineStr">
        <is>
          <t>Yes</t>
        </is>
      </c>
      <c r="O482" s="3" t="inlineStr">
        <is>
          <t>—</t>
        </is>
      </c>
      <c r="P482" s="3" t="n">
        <v>0</v>
      </c>
      <c r="Q482" s="3" t="inlineStr">
        <is>
          <t>None — no dependent function stands behind it</t>
        </is>
      </c>
      <c r="R482" s="3" t="inlineStr">
        <is>
          <t>No dependent function — it reads its inputs and answers</t>
        </is>
      </c>
      <c r="S482" s="3" t="inlineStr">
        <is>
          <t>—</t>
        </is>
      </c>
      <c r="T482" s="3" t="inlineStr">
        <is>
          <t>—</t>
        </is>
      </c>
      <c r="U482" s="3" t="inlineStr">
        <is>
          <t>ACTIVE</t>
        </is>
      </c>
      <c r="V482" s="3" t="inlineStr">
        <is>
          <t>2026-08-27</t>
        </is>
      </c>
    </row>
    <row r="483">
      <c r="A483" s="3" t="inlineStr">
        <is>
          <t>MK-XS-F-052</t>
        </is>
      </c>
      <c r="B483" s="3" t="inlineStr">
        <is>
          <t>encryptWithKey</t>
        </is>
      </c>
      <c r="C483" s="3" t="inlineStr">
        <is>
          <t>src/services/dataCrypto.ts</t>
        </is>
      </c>
      <c r="D483" s="3" t="n">
        <v>455</v>
      </c>
      <c r="E483" s="3" t="inlineStr">
        <is>
          <t>3 · DEPENDENT</t>
        </is>
      </c>
      <c r="F483" s="3" t="inlineStr">
        <is>
          <t>NOT DETERMINED — the code carries no note saying what this is for, and it has no row in the old inventory. Needs reading.</t>
        </is>
      </c>
      <c r="G483" s="6" t="inlineStr">
        <is>
          <t>PREFIX + crypto js.AES.encrypt(JSON.stringify(obj), key hex).to string()</t>
        </is>
      </c>
      <c r="H483" s="3" t="inlineStr">
        <is>
          <t>PREFIX plus crypto js.AES.encrypt(JSON.stringify(obj), key hex).to string().</t>
        </is>
      </c>
      <c r="I483" s="3" t="inlineStr">
        <is>
          <t>PARTLY READ — some of the code is still showing through; needs a hand pass</t>
        </is>
      </c>
      <c r="J483" s="3" t="inlineStr">
        <is>
          <t>1. obj: unknown
2. keyHex: string</t>
        </is>
      </c>
      <c r="K483" s="3" t="inlineStr">
        <is>
          <t>string</t>
        </is>
      </c>
      <c r="L483" s="3" t="inlineStr">
        <is>
          <t>—</t>
        </is>
      </c>
      <c r="M483" s="3" t="inlineStr">
        <is>
          <t>None found in this function — anything it assumes comes from the functions it depends on.</t>
        </is>
      </c>
      <c r="N483" s="3" t="inlineStr">
        <is>
          <t>Yes</t>
        </is>
      </c>
      <c r="O483" s="3" t="inlineStr">
        <is>
          <t>—</t>
        </is>
      </c>
      <c r="P483" s="3" t="n">
        <v>0</v>
      </c>
      <c r="Q483" s="3" t="inlineStr">
        <is>
          <t>None — no dependent function stands behind it</t>
        </is>
      </c>
      <c r="R483" s="3" t="inlineStr">
        <is>
          <t>No dependent function — it reads its inputs and answers</t>
        </is>
      </c>
      <c r="S483" s="3" t="inlineStr">
        <is>
          <t>—</t>
        </is>
      </c>
      <c r="T483" s="3" t="inlineStr">
        <is>
          <t>—</t>
        </is>
      </c>
      <c r="U483" s="3" t="inlineStr">
        <is>
          <t>ACTIVE</t>
        </is>
      </c>
      <c r="V483" s="3" t="inlineStr">
        <is>
          <t>2026-08-27</t>
        </is>
      </c>
    </row>
    <row r="484">
      <c r="A484" s="3" t="inlineStr">
        <is>
          <t>MK-XS-F-053</t>
        </is>
      </c>
      <c r="B484" s="3" t="inlineStr">
        <is>
          <t>decryptWithKey</t>
        </is>
      </c>
      <c r="C484" s="3" t="inlineStr">
        <is>
          <t>src/services/dataCrypto.ts</t>
        </is>
      </c>
      <c r="D484" s="3" t="n">
        <v>485</v>
      </c>
      <c r="E484" s="3" t="inlineStr">
        <is>
          <t>3 · DEPENDENT</t>
        </is>
      </c>
      <c r="F484" s="3" t="inlineStr">
        <is>
          <t>Decrypt an 'enc:'-tagged blob.</t>
        </is>
      </c>
      <c r="G484" s="6" t="inlineStr">
        <is>
          <t>nothing   when !is encrypted(blob)
plain = crypto js.AES.decrypt(blob.slice(PREFIX.length), key hex).to string(crypto js.enc.utf8)
the answer:
JSON.parse(plain)   if plain
nothing   otherwise</t>
        </is>
      </c>
      <c r="H484" s="3" t="inlineStr">
        <is>
          <t>When !is encrypted(blob), it answers no answer. Plain is crypto js.AES.decrypt(blob.slice(PREFIX.length), key hex).to string(crypto js.enc.utf8). The answer is JSON.parse(plain) — when plain; no answer — otherwise.</t>
        </is>
      </c>
      <c r="I484" s="3" t="inlineStr">
        <is>
          <t>PARTLY READ — some of the code is still showing through; needs a hand pass</t>
        </is>
      </c>
      <c r="J484" s="3" t="inlineStr">
        <is>
          <t>1. blob: string
2. keyHex: string</t>
        </is>
      </c>
      <c r="K484" s="3" t="inlineStr">
        <is>
          <t>any | null</t>
        </is>
      </c>
      <c r="L484" s="3" t="inlineStr">
        <is>
          <t>—</t>
        </is>
      </c>
      <c r="M484" s="3" t="inlineStr">
        <is>
          <t>None found in this function — anything it assumes comes from the functions it depends on.</t>
        </is>
      </c>
      <c r="N484" s="3" t="inlineStr">
        <is>
          <t>Yes</t>
        </is>
      </c>
      <c r="O484" s="3" t="inlineStr">
        <is>
          <t>MK-XS-F-051 isEncrypted</t>
        </is>
      </c>
      <c r="P484" s="3" t="n">
        <v>1</v>
      </c>
      <c r="Q484" s="3" t="inlineStr">
        <is>
          <t>MK-XS-F-051 isEncrypted</t>
        </is>
      </c>
      <c r="R484" s="3" t="inlineStr">
        <is>
          <t>MK-XS-F-051 isEncrypted → MK-XS-F-053 decryptWithKey</t>
        </is>
      </c>
      <c r="S484" s="3" t="inlineStr">
        <is>
          <t>—</t>
        </is>
      </c>
      <c r="T484" s="3" t="inlineStr">
        <is>
          <t>—</t>
        </is>
      </c>
      <c r="U484" s="3" t="inlineStr">
        <is>
          <t>ACTIVE</t>
        </is>
      </c>
      <c r="V484" s="3" t="inlineStr">
        <is>
          <t>2026-08-27</t>
        </is>
      </c>
    </row>
    <row r="485">
      <c r="A485" s="3" t="inlineStr">
        <is>
          <t>MK-XS-F-054</t>
        </is>
      </c>
      <c r="B485" s="3" t="inlineStr">
        <is>
          <t>encryptForSync</t>
        </is>
      </c>
      <c r="C485" s="3" t="inlineStr">
        <is>
          <t>src/services/dataCrypto.ts</t>
        </is>
      </c>
      <c r="D485" s="3" t="n">
        <v>519</v>
      </c>
      <c r="E485" s="3" t="inlineStr">
        <is>
          <t>3 · DEPENDENT</t>
        </is>
      </c>
      <c r="F485" s="3" t="inlineStr">
        <is>
          <t>── The sync layer's interface (operates on the cached DEK) ─────────── Encrypt a payload with the cached DEK.</t>
        </is>
      </c>
      <c r="G485" s="6" t="inlineStr">
        <is>
          <t>key = await get data key()
the answer:
encrypt with key(obj, key)   if key
nothing   otherwise</t>
        </is>
      </c>
      <c r="H485" s="3" t="inlineStr">
        <is>
          <t>Key is await get data key(). The answer is encrypt with key(obj, key) — when key; no answer — otherwise.</t>
        </is>
      </c>
      <c r="I485" s="3" t="inlineStr">
        <is>
          <t>READ FROM THE CODE — rendered from the expressions the function runs</t>
        </is>
      </c>
      <c r="J485" s="3" t="inlineStr">
        <is>
          <t>obj: unknown</t>
        </is>
      </c>
      <c r="K485" s="3" t="inlineStr">
        <is>
          <t>Promise&lt;string | null&gt;</t>
        </is>
      </c>
      <c r="L485" s="3" t="inlineStr">
        <is>
          <t>—</t>
        </is>
      </c>
      <c r="M485" s="3" t="inlineStr">
        <is>
          <t>None found in this function — anything it assumes comes from the functions it depends on.</t>
        </is>
      </c>
      <c r="N485" s="3" t="inlineStr">
        <is>
          <t>Yes</t>
        </is>
      </c>
      <c r="O485" s="3" t="inlineStr">
        <is>
          <t>1. MK-XS-F-052 encryptWithKey
2. MK-XS-F-042 getDataKey</t>
        </is>
      </c>
      <c r="P485" s="3" t="n">
        <v>3</v>
      </c>
      <c r="Q485" s="3" t="inlineStr">
        <is>
          <t>1. MK-XS-F-052 encryptWithKey
2. MK-XS-F-042 getDataKey
3. MK-XS-F-135 secureGet</t>
        </is>
      </c>
      <c r="R485" s="3" t="inlineStr">
        <is>
          <t>1. MK-XS-F-052 encryptWithKey → MK-XS-F-054 encryptForSync
2. MK-XS-F-135 secureGet → MK-XS-F-042 getDataKey → MK-XS-F-054 encryptForSync</t>
        </is>
      </c>
      <c r="S485" s="3" t="inlineStr">
        <is>
          <t>—</t>
        </is>
      </c>
      <c r="T485" s="3" t="inlineStr">
        <is>
          <t>—</t>
        </is>
      </c>
      <c r="U485" s="3" t="inlineStr">
        <is>
          <t>ACTIVE</t>
        </is>
      </c>
      <c r="V485" s="3" t="inlineStr">
        <is>
          <t>2026-08-27</t>
        </is>
      </c>
    </row>
    <row r="486">
      <c r="A486" s="3" t="inlineStr">
        <is>
          <t>MK-XS-F-055</t>
        </is>
      </c>
      <c r="B486" s="3" t="inlineStr">
        <is>
          <t>decryptFromSync</t>
        </is>
      </c>
      <c r="C486" s="3" t="inlineStr">
        <is>
          <t>src/services/dataCrypto.ts</t>
        </is>
      </c>
      <c r="D486" s="3" t="n">
        <v>549</v>
      </c>
      <c r="E486" s="3" t="inlineStr">
        <is>
          <t>3 · DEPENDENT</t>
        </is>
      </c>
      <c r="F486" s="3" t="inlineStr">
        <is>
          <t>Decrypt a synced value: ciphertext → object; legacy plaintext object → returned as-is; null if it's ciphertext we can't decrypt (no key).</t>
        </is>
      </c>
      <c r="G486" s="6" t="inlineStr">
        <is>
          <t>nothing   when value = nothing
value   when !is encrypted(value)
key = await get data key()
the answer:
decrypt with key(value as string, key)   if key
nothing   otherwise</t>
        </is>
      </c>
      <c r="H486" s="3" t="inlineStr">
        <is>
          <t>When value is missing, it answers no answer. When !is encrypted(value), it answers value. Key is await get data key(). The answer is decrypt with key(value as string, key) — when key; no answer — otherwise.</t>
        </is>
      </c>
      <c r="I486" s="3" t="inlineStr">
        <is>
          <t>READ FROM THE CODE — rendered from the expressions the function runs</t>
        </is>
      </c>
      <c r="J486" s="3" t="inlineStr">
        <is>
          <t>value: unknown</t>
        </is>
      </c>
      <c r="K486" s="3" t="inlineStr">
        <is>
          <t>Promise&lt;any | null&gt;</t>
        </is>
      </c>
      <c r="L486" s="3" t="inlineStr">
        <is>
          <t>—</t>
        </is>
      </c>
      <c r="M486" s="3" t="inlineStr">
        <is>
          <t>None found in this function — anything it assumes comes from the functions it depends on.</t>
        </is>
      </c>
      <c r="N486" s="3" t="inlineStr">
        <is>
          <t>Yes</t>
        </is>
      </c>
      <c r="O486" s="3" t="inlineStr">
        <is>
          <t>1. MK-XS-F-053 decryptWithKey
2. MK-XS-F-042 getDataKey
3. MK-XS-F-051 isEncrypted</t>
        </is>
      </c>
      <c r="P486" s="3" t="n">
        <v>4</v>
      </c>
      <c r="Q486" s="3" t="inlineStr">
        <is>
          <t>1. MK-XS-F-053 decryptWithKey
2. MK-XS-F-042 getDataKey
3. MK-XS-F-051 isEncrypted
4. MK-XS-F-135 secureGet</t>
        </is>
      </c>
      <c r="R486" s="3" t="inlineStr">
        <is>
          <t>1. MK-XS-F-051 isEncrypted → MK-XS-F-053 decryptWithKey → MK-XS-F-055 decryptFromSync
2. MK-XS-F-135 secureGet → MK-XS-F-042 getDataKey → MK-XS-F-055 decryptFromSync
3. MK-XS-F-051 isEncrypted → MK-XS-F-055 decryptFromSync</t>
        </is>
      </c>
      <c r="S486" s="3" t="inlineStr">
        <is>
          <t>—</t>
        </is>
      </c>
      <c r="T486" s="3" t="inlineStr">
        <is>
          <t>—</t>
        </is>
      </c>
      <c r="U486" s="3" t="inlineStr">
        <is>
          <t>ACTIVE</t>
        </is>
      </c>
      <c r="V486" s="3" t="inlineStr">
        <is>
          <t>2026-08-27</t>
        </is>
      </c>
    </row>
    <row r="487">
      <c r="A487" s="3" t="inlineStr">
        <is>
          <t>MK-XS-F-056</t>
        </is>
      </c>
      <c r="B487" s="3" t="inlineStr">
        <is>
          <t>fetchEconomicData</t>
        </is>
      </c>
      <c r="C487" s="3" t="inlineStr">
        <is>
          <t>src/services/economicData.ts</t>
        </is>
      </c>
      <c r="D487" s="3" t="n">
        <v>67</v>
      </c>
      <c r="E487" s="3" t="inlineStr">
        <is>
          <t>3 · DEPENDENT (feeds an action only)</t>
        </is>
      </c>
      <c r="F487" s="3" t="inlineStr">
        <is>
          <t>What are inflation and the 10-year Treasury yield?</t>
        </is>
      </c>
      <c r="G487" s="6" t="inlineStr">
        <is>
          <t>NOT READ YET — the body is not a shape this can render faithfully, so nothing is claimed rather than something being guessed. It needs reading by hand.</t>
        </is>
      </c>
      <c r="H487" s="3" t="inlineStr">
        <is>
          <t>NOT READ YET — the body is not a shape this can render faithfully, so nothing is claimed rather than something being guessed. It needs reading by hand.</t>
        </is>
      </c>
      <c r="I487" s="3" t="inlineStr">
        <is>
          <t>NOT READ — nothing is claimed rather than something guessed</t>
        </is>
      </c>
      <c r="J487" s="3" t="inlineStr">
        <is>
          <t>Nothing is handed to it</t>
        </is>
      </c>
      <c r="K487" s="3" t="inlineStr">
        <is>
          <t>Promise&lt;EconomicData&gt;</t>
        </is>
      </c>
      <c r="L487" s="3" t="inlineStr">
        <is>
          <t>—</t>
        </is>
      </c>
      <c r="M487" s="3" t="inlineStr">
        <is>
          <t>· Uses today's date from the device clock, so the answer changes by itself overnight.</t>
        </is>
      </c>
      <c r="N487" s="3" t="inlineStr">
        <is>
          <t>No</t>
        </is>
      </c>
      <c r="O487" s="3" t="inlineStr">
        <is>
          <t>1. MK-XS-F-140 fetchInflation
2. MK-XS-F-141 fetchTreasuryYield</t>
        </is>
      </c>
      <c r="P487" s="3" t="n">
        <v>2</v>
      </c>
      <c r="Q487" s="3" t="inlineStr">
        <is>
          <t>1. MK-XS-F-140 fetchInflation
2. MK-XS-F-141 fetchTreasuryYield</t>
        </is>
      </c>
      <c r="R487" s="3" t="inlineStr">
        <is>
          <t>1. MK-XS-F-140 fetchInflation → MK-XS-F-056 fetchEconomicData
2. MK-XS-F-141 fetchTreasuryYield → MK-XS-F-056 fetchEconomicData</t>
        </is>
      </c>
      <c r="S487" s="3" t="inlineStr">
        <is>
          <t>—</t>
        </is>
      </c>
      <c r="T487" s="3" t="inlineStr">
        <is>
          <t>ECONOMIC_FIGURES</t>
        </is>
      </c>
      <c r="U487" s="3" t="inlineStr">
        <is>
          <t>ACTIVE</t>
        </is>
      </c>
      <c r="V487" s="3" t="inlineStr">
        <is>
          <t>2026-08-27</t>
        </is>
      </c>
    </row>
    <row r="488">
      <c r="A488" s="3" t="inlineStr">
        <is>
          <t>MK-XS-F-057</t>
        </is>
      </c>
      <c r="B488" s="3" t="inlineStr">
        <is>
          <t>analyzeExpenses</t>
        </is>
      </c>
      <c r="C488" s="3" t="inlineStr">
        <is>
          <t>src/services/economicData.ts</t>
        </is>
      </c>
      <c r="D488" s="3" t="n">
        <v>202</v>
      </c>
      <c r="E488" s="3" t="inlineStr">
        <is>
          <t>4 · BRINGS DATA IN</t>
        </is>
      </c>
      <c r="F488" s="3" t="inlineStr">
        <is>
          <t>What is worth saying about this spending?</t>
        </is>
      </c>
      <c r="G488" s="6" t="inlineStr">
        <is>
          <t>data = await res.json()
the answer = data as expense analysis</t>
        </is>
      </c>
      <c r="H488" s="3" t="inlineStr">
        <is>
          <t>Data is await res.json(). The answer is data as expense analysis.</t>
        </is>
      </c>
      <c r="I488" s="3" t="inlineStr">
        <is>
          <t>PARTLY READ — some of the code is still showing through; needs a hand pass</t>
        </is>
      </c>
      <c r="J488" s="3" t="inlineStr">
        <is>
          <t>Nothing is handed to it</t>
        </is>
      </c>
      <c r="K488" s="3" t="inlineStr">
        <is>
          <t>NOT DECLARED — the code does not say what it gives back</t>
        </is>
      </c>
      <c r="L488" s="3" t="inlineStr">
        <is>
          <t>—</t>
        </is>
      </c>
      <c r="M488" s="3" t="inlineStr">
        <is>
          <t>None found in this function — anything it assumes comes from the functions it depends on.</t>
        </is>
      </c>
      <c r="N488" s="3" t="inlineStr">
        <is>
          <t>No</t>
        </is>
      </c>
      <c r="O488" s="3" t="inlineStr">
        <is>
          <t>—</t>
        </is>
      </c>
      <c r="P488" s="3" t="n">
        <v>0</v>
      </c>
      <c r="Q488" s="3" t="inlineStr">
        <is>
          <t>None — no dependent function stands behind it</t>
        </is>
      </c>
      <c r="R488" s="3" t="inlineStr">
        <is>
          <t>No dependent function — it reads its inputs and answers</t>
        </is>
      </c>
      <c r="S488" s="3" t="inlineStr">
        <is>
          <t>—</t>
        </is>
      </c>
      <c r="T488" s="3" t="inlineStr">
        <is>
          <t>EXPENSE_COMMENTARY</t>
        </is>
      </c>
      <c r="U488" s="3" t="inlineStr">
        <is>
          <t>ACTIVE</t>
        </is>
      </c>
      <c r="V488" s="3" t="inlineStr">
        <is>
          <t>2026-08-27</t>
        </is>
      </c>
    </row>
    <row r="489">
      <c r="A489" s="3" t="inlineStr">
        <is>
          <t>MK-XS-F-058</t>
        </is>
      </c>
      <c r="B489" s="3" t="inlineStr">
        <is>
          <t>parseReceipt</t>
        </is>
      </c>
      <c r="C489" s="3" t="inlineStr">
        <is>
          <t>src/services/receiptScan.ts</t>
        </is>
      </c>
      <c r="D489" s="3" t="n">
        <v>108</v>
      </c>
      <c r="E489" s="3" t="inlineStr">
        <is>
          <t>3 · DEPENDENT</t>
        </is>
      </c>
      <c r="F489" s="3" t="inlineStr">
        <is>
          <t>Heuristic parse of receipt text → total amount + merchant.</t>
        </is>
      </c>
      <c r="G489" s="6"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489"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489" s="3" t="inlineStr">
        <is>
          <t>PARTLY READ — some of the code is still showing through; needs a hand pass</t>
        </is>
      </c>
      <c r="J489" s="3" t="inlineStr">
        <is>
          <t>text: string</t>
        </is>
      </c>
      <c r="K489" s="3" t="inlineStr">
        <is>
          <t>NOT DECLARED — the code does not say what it gives back</t>
        </is>
      </c>
      <c r="L489" s="3" t="inlineStr">
        <is>
          <t>—</t>
        </is>
      </c>
      <c r="M489" s="3" t="inlineStr">
        <is>
          <t>· Leaves some rows out of the answer — check which.</t>
        </is>
      </c>
      <c r="N489" s="3" t="inlineStr">
        <is>
          <t>Yes</t>
        </is>
      </c>
      <c r="O489" s="3" t="inlineStr">
        <is>
          <t>1. MK-CF-F-132 map
2. MK-XS-F-093 stripNonMoney
3. MK-ST-F-052 toNum</t>
        </is>
      </c>
      <c r="P489" s="3" t="n">
        <v>3</v>
      </c>
      <c r="Q489" s="3" t="inlineStr">
        <is>
          <t>1. MK-CF-F-132 map
2. MK-XS-F-093 stripNonMoney
3. MK-ST-F-052 toNum</t>
        </is>
      </c>
      <c r="R489" s="3" t="inlineStr">
        <is>
          <t>1. MK-CF-F-132 map → MK-XS-F-058 parseReceipt
2. MK-XS-F-093 stripNonMoney → MK-XS-F-058 parseReceipt
3. MK-ST-F-052 toNum → MK-XS-F-058 parseReceipt</t>
        </is>
      </c>
      <c r="S489" s="3" t="inlineStr">
        <is>
          <t>—</t>
        </is>
      </c>
      <c r="T489" s="3" t="inlineStr">
        <is>
          <t>READ_A_RECEIPT</t>
        </is>
      </c>
      <c r="U489" s="3" t="inlineStr">
        <is>
          <t>ACTIVE</t>
        </is>
      </c>
      <c r="V489" s="3" t="inlineStr">
        <is>
          <t>2026-08-27</t>
        </is>
      </c>
    </row>
    <row r="490">
      <c r="A490" s="3" t="inlineStr">
        <is>
          <t>MK-XS-F-059</t>
        </is>
      </c>
      <c r="B490" s="3" t="inlineStr">
        <is>
          <t>readFileString</t>
        </is>
      </c>
      <c r="C490" s="3" t="inlineStr">
        <is>
          <t>src/services/fileRead.ts</t>
        </is>
      </c>
      <c r="D490" s="3" t="n">
        <v>22</v>
      </c>
      <c r="E490" s="3" t="inlineStr">
        <is>
          <t>4 · BRINGS DATA IN</t>
        </is>
      </c>
      <c r="F490" s="3" t="inlineStr">
        <is>
          <t>NOT DETERMINED — the code carries no note saying what this is for, and it has no row in the old inventory. Needs reading.</t>
        </is>
      </c>
      <c r="G490" s="6" t="inlineStr">
        <is>
          <t>read as string async(uri, { encoding: encoding = 'base64' ? encoding type.base64 : encoding type.UTF8 })</t>
        </is>
      </c>
      <c r="H490" s="3" t="inlineStr">
        <is>
          <t>read as string async(uri, { encoding: encoding = 'base64' ? encoding type.base64 : encoding type.UTF8 }).</t>
        </is>
      </c>
      <c r="I490" s="3" t="inlineStr">
        <is>
          <t>READ FROM THE CODE — rendered from the expressions the function runs</t>
        </is>
      </c>
      <c r="J490" s="3" t="inlineStr">
        <is>
          <t>1. uri: string
2. encoding: 'utf8' | 'base64' = 'utf8'</t>
        </is>
      </c>
      <c r="K490" s="3" t="inlineStr">
        <is>
          <t>Promise&lt;string&gt;</t>
        </is>
      </c>
      <c r="L490" s="3" t="inlineStr">
        <is>
          <t>—</t>
        </is>
      </c>
      <c r="M490" s="3" t="inlineStr">
        <is>
          <t>None found in this function — anything it assumes comes from the functions it depends on.</t>
        </is>
      </c>
      <c r="N490" s="3" t="inlineStr">
        <is>
          <t>Yes</t>
        </is>
      </c>
      <c r="O490" s="3" t="inlineStr">
        <is>
          <t>—</t>
        </is>
      </c>
      <c r="P490" s="3" t="n">
        <v>0</v>
      </c>
      <c r="Q490" s="3" t="inlineStr">
        <is>
          <t>None — no dependent function stands behind it</t>
        </is>
      </c>
      <c r="R490" s="3" t="inlineStr">
        <is>
          <t>No dependent function — it reads its inputs and answers</t>
        </is>
      </c>
      <c r="S490" s="3" t="inlineStr">
        <is>
          <t>—</t>
        </is>
      </c>
      <c r="T490" s="3" t="inlineStr">
        <is>
          <t>—</t>
        </is>
      </c>
      <c r="U490" s="3" t="inlineStr">
        <is>
          <t>ACTIVE</t>
        </is>
      </c>
      <c r="V490" s="3" t="inlineStr">
        <is>
          <t>2026-08-27</t>
        </is>
      </c>
    </row>
    <row r="491">
      <c r="A491" s="3" t="inlineStr">
        <is>
          <t>MK-XS-F-060</t>
        </is>
      </c>
      <c r="B491" s="3" t="inlineStr">
        <is>
          <t>registerUser</t>
        </is>
      </c>
      <c r="C491" s="3" t="inlineStr">
        <is>
          <t>src/services/firebase.ts</t>
        </is>
      </c>
      <c r="D491" s="3" t="n">
        <v>85</v>
      </c>
      <c r="E491" s="3" t="inlineStr">
        <is>
          <t>2 · DISPLAYED</t>
        </is>
      </c>
      <c r="F491" s="3" t="inlineStr">
        <is>
          <t>Returns the new user AND a one-time recovery code the caller MUST show the user to save.</t>
        </is>
      </c>
      <c r="G491" s="6" t="inlineStr">
        <is>
          <t>cred = await create user with email and password(auth, email, password)
dek = generate data key()
recovery code = generate recovery code()
key envelope = make envelope(dek, cred.user.uid, password, recovery code)
the answer:
user = cred.user
recovery code = recovery code</t>
        </is>
      </c>
      <c r="H491"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491" s="3" t="inlineStr">
        <is>
          <t>READ FROM THE CODE — rendered from the expressions the function runs</t>
        </is>
      </c>
      <c r="J491" s="3" t="inlineStr">
        <is>
          <t>1. email: string
2. password: string
3. name: string
4. onCodeReady?: (code: string) =&gt; void</t>
        </is>
      </c>
      <c r="K491" s="3" t="inlineStr">
        <is>
          <t>NOT DECLARED — the code does not say what it gives back</t>
        </is>
      </c>
      <c r="L491" s="3" t="inlineStr">
        <is>
          <t>NOT FOUND — a screen calls it, but the words printed beside its answer could not be traced automatically. Needs reading.</t>
        </is>
      </c>
      <c r="M491" s="3" t="inlineStr">
        <is>
          <t>None found in this function — anything it assumes comes from the functions it depends on.</t>
        </is>
      </c>
      <c r="N491" s="3" t="inlineStr">
        <is>
          <t>Yes</t>
        </is>
      </c>
      <c r="O491" s="3" t="inlineStr">
        <is>
          <t>1. MK-XS-F-041 cacheDataKey
2. MK-XS-F-044 generateDataKey
3. MK-XS-F-045 generateRecoveryCode
4. MK-XS-F-046 makeEnvelope</t>
        </is>
      </c>
      <c r="P491" s="3" t="n">
        <v>8</v>
      </c>
      <c r="Q491" s="3" t="inlineStr">
        <is>
          <t>1. MK-XS-F-041 cacheDataKey
2. MK-XS-F-044 generateDataKey
3. MK-XS-F-045 generateRecoveryCode
4. MK-XS-F-046 makeEnvelope
5. MK-XS-F-136 secureSet
6. MK-XS-F-139 wrapWithSecret
7. MK-XS-F-138 deriveKeyFromSecret
8. MK-XS-F-052 encryptWithKey</t>
        </is>
      </c>
      <c r="R491" s="3" t="inlineStr">
        <is>
          <t>1. MK-XS-F-136 secureSet → MK-XS-F-041 cacheDataKey → MK-XS-F-060 registerUser
2. MK-XS-F-044 generateDataKey → MK-XS-F-060 registerUser
3. MK-XS-F-045 generateRecoveryCode → MK-XS-F-060 registerUser
4. MK-XS-F-138 deriveKeyFromSecret → MK-XS-F-139 wrapWithSecret → MK-XS-F-046 makeEnvelope → MK-XS-F-060 registerUser
5. MK-XS-F-052 encryptWithKey → MK-XS-F-139 wrapWithSecret → MK-XS-F-046 makeEnvelope → MK-XS-F-060 registerUser</t>
        </is>
      </c>
      <c r="S491" s="3" t="inlineStr">
        <is>
          <t>—</t>
        </is>
      </c>
      <c r="T491" s="3" t="inlineStr">
        <is>
          <t>—</t>
        </is>
      </c>
      <c r="U491" s="3" t="inlineStr">
        <is>
          <t>ACTIVE</t>
        </is>
      </c>
      <c r="V491" s="3" t="inlineStr">
        <is>
          <t>2026-08-27</t>
        </is>
      </c>
    </row>
    <row r="492">
      <c r="A492" s="3" t="inlineStr">
        <is>
          <t>MK-XS-F-061</t>
        </is>
      </c>
      <c r="B492" s="3" t="inlineStr">
        <is>
          <t>resendVerification</t>
        </is>
      </c>
      <c r="C492" s="3" t="inlineStr">
        <is>
          <t>src/services/firebase.ts</t>
        </is>
      </c>
      <c r="D492" s="3" t="n">
        <v>127</v>
      </c>
      <c r="E492" s="3" t="inlineStr">
        <is>
          <t>1 · ACTION</t>
        </is>
      </c>
      <c r="F492" s="3" t="inlineStr">
        <is>
          <t>Resend the verification email to the signed-in user.</t>
        </is>
      </c>
      <c r="G492" s="6" t="inlineStr">
        <is>
          <t>NOT READ YET — the body is not a shape this can render faithfully, so nothing is claimed rather than something being guessed. It needs reading by hand.</t>
        </is>
      </c>
      <c r="H492" s="3" t="inlineStr">
        <is>
          <t>NOT READ YET — the body is not a shape this can render faithfully, so nothing is claimed rather than something being guessed. It needs reading by hand.</t>
        </is>
      </c>
      <c r="I492" s="3" t="inlineStr">
        <is>
          <t>NOT READ — nothing is claimed rather than something guessed</t>
        </is>
      </c>
      <c r="J492" s="3" t="inlineStr">
        <is>
          <t>Nothing is handed to it</t>
        </is>
      </c>
      <c r="K492" s="3" t="inlineStr">
        <is>
          <t>NOT DECLARED — the code does not say what it gives back</t>
        </is>
      </c>
      <c r="L492" s="3" t="inlineStr">
        <is>
          <t>—</t>
        </is>
      </c>
      <c r="M492" s="3" t="inlineStr">
        <is>
          <t>None found in this function — anything it assumes comes from the functions it depends on.</t>
        </is>
      </c>
      <c r="N492" s="3" t="inlineStr">
        <is>
          <t>Yes</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2026-08-27</t>
        </is>
      </c>
    </row>
    <row r="493">
      <c r="A493" s="3" t="inlineStr">
        <is>
          <t>MK-XS-F-062</t>
        </is>
      </c>
      <c r="B493" s="3" t="inlineStr">
        <is>
          <t>refreshEmailVerified</t>
        </is>
      </c>
      <c r="C493" s="3" t="inlineStr">
        <is>
          <t>src/services/firebase.ts</t>
        </is>
      </c>
      <c r="D493" s="3" t="n">
        <v>147</v>
      </c>
      <c r="E493" s="3" t="inlineStr">
        <is>
          <t>2 · DISPLAYED</t>
        </is>
      </c>
      <c r="F493" s="3" t="inlineStr">
        <is>
          <t>Re-check verification status from the server (call after the user clicks the email link).</t>
        </is>
      </c>
      <c r="G493" s="6" t="inlineStr">
        <is>
          <t>false   when auth.current user is missing
!!auth.current user.email verified</t>
        </is>
      </c>
      <c r="H493" s="3" t="inlineStr">
        <is>
          <t>When auth.current user is missing, it answers false. !!auth.current user.email verified.</t>
        </is>
      </c>
      <c r="I493" s="3" t="inlineStr">
        <is>
          <t>READ FROM THE CODE — rendered from the expressions the function runs</t>
        </is>
      </c>
      <c r="J493" s="3" t="inlineStr">
        <is>
          <t>Nothing is handed to it</t>
        </is>
      </c>
      <c r="K493" s="3" t="inlineStr">
        <is>
          <t>Promise&lt;boolean&gt;</t>
        </is>
      </c>
      <c r="L493"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493" s="3" t="inlineStr">
        <is>
          <t>None found in this function — anything it assumes comes from the functions it depends on.</t>
        </is>
      </c>
      <c r="N493" s="3" t="inlineStr">
        <is>
          <t>Yes</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t>
        </is>
      </c>
      <c r="U493" s="3" t="inlineStr">
        <is>
          <t>ACTIVE</t>
        </is>
      </c>
      <c r="V493" s="3" t="inlineStr">
        <is>
          <t>2026-08-27</t>
        </is>
      </c>
    </row>
    <row r="494">
      <c r="A494" s="3" t="inlineStr">
        <is>
          <t>MK-XS-F-063</t>
        </is>
      </c>
      <c r="B494" s="3" t="inlineStr">
        <is>
          <t>isEmailVerified</t>
        </is>
      </c>
      <c r="C494" s="3" t="inlineStr">
        <is>
          <t>src/services/firebase.ts</t>
        </is>
      </c>
      <c r="D494" s="3" t="n">
        <v>167</v>
      </c>
      <c r="E494" s="3" t="inlineStr">
        <is>
          <t>2 · DISPLAYED</t>
        </is>
      </c>
      <c r="F494" s="3" t="inlineStr">
        <is>
          <t>NOT DETERMINED — the code carries no note saying what this is for, and it has no row in the old inventory. Needs reading.</t>
        </is>
      </c>
      <c r="G494" s="6" t="inlineStr">
        <is>
          <t>!!auth.current user.email verified</t>
        </is>
      </c>
      <c r="H494" s="3" t="inlineStr">
        <is>
          <t>!!auth.current user.email verified.</t>
        </is>
      </c>
      <c r="I494" s="3" t="inlineStr">
        <is>
          <t>READ FROM THE CODE — rendered from the expressions the function runs</t>
        </is>
      </c>
      <c r="J494" s="3" t="inlineStr">
        <is>
          <t>Nothing is handed to it</t>
        </is>
      </c>
      <c r="K494" s="3" t="inlineStr">
        <is>
          <t>boolean</t>
        </is>
      </c>
      <c r="L494" s="3" t="inlineStr">
        <is>
          <t>NOT FOUND — a screen calls it, but the words printed beside its answer could not be traced automatically. Needs reading.</t>
        </is>
      </c>
      <c r="M494" s="3" t="inlineStr">
        <is>
          <t>None found in this function — anything it assumes comes from the functions it depends on.</t>
        </is>
      </c>
      <c r="N494" s="3" t="inlineStr">
        <is>
          <t>Yes</t>
        </is>
      </c>
      <c r="O494" s="3" t="inlineStr">
        <is>
          <t>—</t>
        </is>
      </c>
      <c r="P494" s="3" t="n">
        <v>0</v>
      </c>
      <c r="Q494" s="3" t="inlineStr">
        <is>
          <t>None — no dependent function stands behind it</t>
        </is>
      </c>
      <c r="R494" s="3" t="inlineStr">
        <is>
          <t>No dependent function — it reads its inputs and answers</t>
        </is>
      </c>
      <c r="S494" s="3" t="inlineStr">
        <is>
          <t>—</t>
        </is>
      </c>
      <c r="T494" s="3" t="inlineStr">
        <is>
          <t>—</t>
        </is>
      </c>
      <c r="U494" s="3" t="inlineStr">
        <is>
          <t>ACTIVE</t>
        </is>
      </c>
      <c r="V494" s="3" t="inlineStr">
        <is>
          <t>2026-08-27</t>
        </is>
      </c>
    </row>
    <row r="495">
      <c r="A495" s="3" t="inlineStr">
        <is>
          <t>MK-XS-F-064</t>
        </is>
      </c>
      <c r="B495" s="3" t="inlineStr">
        <is>
          <t>currentIdToken</t>
        </is>
      </c>
      <c r="C495" s="3" t="inlineStr">
        <is>
          <t>src/services/firebase.ts</t>
        </is>
      </c>
      <c r="D495" s="3" t="n">
        <v>192</v>
      </c>
      <c r="E495" s="3" t="inlineStr">
        <is>
          <t>3 · DEPENDENT (feeds an action only)</t>
        </is>
      </c>
      <c r="F495" s="3" t="inlineStr">
        <is>
          <t>The email of the account currently signed in to Firebase — the authoritative identity that account-level actions (delete, reauth) operate on.</t>
        </is>
      </c>
      <c r="G495" s="6" t="inlineStr">
        <is>
          <t>NOT READ YET — the body is not a shape this can render faithfully, so nothing is claimed rather than something being guessed. It needs reading by hand.</t>
        </is>
      </c>
      <c r="H495" s="3" t="inlineStr">
        <is>
          <t>NOT READ YET — the body is not a shape this can render faithfully, so nothing is claimed rather than something being guessed. It needs reading by hand.</t>
        </is>
      </c>
      <c r="I495" s="3" t="inlineStr">
        <is>
          <t>NOT READ — nothing is claimed rather than something guessed</t>
        </is>
      </c>
      <c r="J495" s="3" t="inlineStr">
        <is>
          <t>Nothing is handed to it</t>
        </is>
      </c>
      <c r="K495" s="3" t="inlineStr">
        <is>
          <t>Promise&lt;string | null&gt;</t>
        </is>
      </c>
      <c r="L495" s="3" t="inlineStr">
        <is>
          <t>—</t>
        </is>
      </c>
      <c r="M495" s="3" t="inlineStr">
        <is>
          <t>None found in this function — anything it assumes comes from the functions it depends on.</t>
        </is>
      </c>
      <c r="N495" s="3" t="inlineStr">
        <is>
          <t>No</t>
        </is>
      </c>
      <c r="O495" s="3" t="inlineStr">
        <is>
          <t>—</t>
        </is>
      </c>
      <c r="P495" s="3" t="n">
        <v>0</v>
      </c>
      <c r="Q495" s="3" t="inlineStr">
        <is>
          <t>None — no dependent function stands behind it</t>
        </is>
      </c>
      <c r="R495" s="3" t="inlineStr">
        <is>
          <t>No dependent function — it reads its inputs and answers</t>
        </is>
      </c>
      <c r="S495" s="3" t="inlineStr">
        <is>
          <t>—</t>
        </is>
      </c>
      <c r="T495" s="3" t="inlineStr">
        <is>
          <t>—</t>
        </is>
      </c>
      <c r="U495" s="3" t="inlineStr">
        <is>
          <t>ACTIVE</t>
        </is>
      </c>
      <c r="V495" s="3" t="inlineStr">
        <is>
          <t>2026-08-27</t>
        </is>
      </c>
    </row>
    <row r="496">
      <c r="A496" s="3" t="inlineStr">
        <is>
          <t>MK-XS-F-065</t>
        </is>
      </c>
      <c r="B496" s="3" t="inlineStr">
        <is>
          <t>currentUserEmail</t>
        </is>
      </c>
      <c r="C496" s="3" t="inlineStr">
        <is>
          <t>src/services/firebase.ts</t>
        </is>
      </c>
      <c r="D496" s="3" t="n">
        <v>211</v>
      </c>
      <c r="E496" s="3" t="inlineStr">
        <is>
          <t>2 · DISPLAYED</t>
        </is>
      </c>
      <c r="F496" s="3" t="inlineStr">
        <is>
          <t>NOT DETERMINED — the code carries no note saying what this is for, and it has no row in the old inventory. Needs reading.</t>
        </is>
      </c>
      <c r="G496" s="6" t="inlineStr">
        <is>
          <t>auth.current user.email (or nothing when missing)</t>
        </is>
      </c>
      <c r="H496" s="3" t="inlineStr">
        <is>
          <t>auth.current user.email (or no answer — when missing).</t>
        </is>
      </c>
      <c r="I496" s="3" t="inlineStr">
        <is>
          <t>PARTLY READ — some of the code is still showing through; needs a hand pass</t>
        </is>
      </c>
      <c r="J496" s="3" t="inlineStr">
        <is>
          <t>Nothing is handed to it</t>
        </is>
      </c>
      <c r="K496" s="3" t="inlineStr">
        <is>
          <t>string | null</t>
        </is>
      </c>
      <c r="L496" s="3" t="inlineStr">
        <is>
          <t>"Confirm account deletion" — on the Settings screen, under "Account"</t>
        </is>
      </c>
      <c r="M496" s="3" t="inlineStr">
        <is>
          <t>None found in this function — anything it assumes comes from the functions it depends on.</t>
        </is>
      </c>
      <c r="N496" s="3" t="inlineStr">
        <is>
          <t>Yes</t>
        </is>
      </c>
      <c r="O496" s="3" t="inlineStr">
        <is>
          <t>—</t>
        </is>
      </c>
      <c r="P496" s="3" t="n">
        <v>0</v>
      </c>
      <c r="Q496" s="3" t="inlineStr">
        <is>
          <t>None — no dependent function stands behind it</t>
        </is>
      </c>
      <c r="R496" s="3" t="inlineStr">
        <is>
          <t>No dependent function — it reads its inputs and answers</t>
        </is>
      </c>
      <c r="S496" s="3" t="inlineStr">
        <is>
          <t>—</t>
        </is>
      </c>
      <c r="T496" s="3" t="inlineStr">
        <is>
          <t>—</t>
        </is>
      </c>
      <c r="U496" s="3" t="inlineStr">
        <is>
          <t>ACTIVE</t>
        </is>
      </c>
      <c r="V496" s="3" t="inlineStr">
        <is>
          <t>2026-08-27</t>
        </is>
      </c>
    </row>
    <row r="497">
      <c r="A497" s="3" t="inlineStr">
        <is>
          <t>MK-XS-F-066</t>
        </is>
      </c>
      <c r="B497" s="3" t="inlineStr">
        <is>
          <t>loginUser</t>
        </is>
      </c>
      <c r="C497" s="3" t="inlineStr">
        <is>
          <t>src/services/firebase.ts</t>
        </is>
      </c>
      <c r="D497" s="3" t="n">
        <v>243</v>
      </c>
      <c r="E497" s="3" t="inlineStr">
        <is>
          <t>4 · BRINGS DATA IN</t>
        </is>
      </c>
      <c r="F497" s="3" t="inlineStr">
        <is>
          <t>Returns the user plus the unlock status: • needsRecovery=true → the password can't open the data (it was reset); prompt for the recovery code.</t>
        </is>
      </c>
      <c r="G497" s="6"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497"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497" s="3" t="inlineStr">
        <is>
          <t>PARTLY READ — some of the code is still showing through; needs a hand pass</t>
        </is>
      </c>
      <c r="J497" s="3" t="inlineStr">
        <is>
          <t>1. email: string
2. password: string
3. onCodeReady?: (code: string) =&gt; void</t>
        </is>
      </c>
      <c r="K497" s="3" t="inlineStr">
        <is>
          <t>Promise&lt;</t>
        </is>
      </c>
      <c r="L497" s="3" t="inlineStr">
        <is>
          <t>—</t>
        </is>
      </c>
      <c r="M497" s="3" t="inlineStr">
        <is>
          <t>None found in this function — anything it assumes comes from the functions it depends on.</t>
        </is>
      </c>
      <c r="N497" s="3" t="inlineStr">
        <is>
          <t>Yes</t>
        </is>
      </c>
      <c r="O497" s="3" t="inlineStr">
        <is>
          <t>1. MK-XS-F-041 cacheDataKey
2. MK-XS-F-044 generateDataKey
3. MK-XS-F-045 generateRecoveryCode
4. MK-XS-F-046 makeEnvelope
5. MK-XS-F-047 unwrapWithPassword</t>
        </is>
      </c>
      <c r="P497" s="3" t="n">
        <v>11</v>
      </c>
      <c r="Q497" s="3" t="inlineStr">
        <is>
          <t>1. MK-XS-F-041 cacheDataKey
2. MK-XS-F-044 generateDataKey
3. MK-XS-F-045 generateRecoveryCode
4. MK-XS-F-046 makeEnvelope
5. MK-XS-F-047 unwrapWithPassword
6. MK-XS-F-136 secureSet
7. MK-XS-F-139 wrapWithSecret
8. MK-XS-F-053 decryptWithKey
9. MK-XS-F-138 deriveKeyFromSecret
10. MK-XS-F-052 encryptWithKey
11. MK-XS-F-051 isEncrypted</t>
        </is>
      </c>
      <c r="R497" s="3" t="inlineStr">
        <is>
          <t>1. MK-XS-F-136 secureSet → MK-XS-F-041 cacheDataKey → MK-XS-F-066 loginUser
2. MK-XS-F-044 generateDataKey → MK-XS-F-066 loginUser
3. MK-XS-F-045 generateRecoveryCode → MK-XS-F-066 loginUser
4. MK-XS-F-138 deriveKeyFromSecret → MK-XS-F-139 wrapWithSecret → MK-XS-F-046 makeEnvelope → MK-XS-F-066 loginUser
5. MK-XS-F-052 encryptWithKey → MK-XS-F-139 wrapWithSecret → MK-XS-F-046 makeEnvelope → MK-XS-F-066 loginUser
6. MK-XS-F-051 isEncrypted → MK-XS-F-053 decryptWithKey → MK-XS-F-047 unwrapWithPassword → MK-XS-F-066 loginUser
7. MK-XS-F-138 deriveKeyFromSecret → MK-XS-F-047 unwrapWithPassword → MK-XS-F-066 loginUser</t>
        </is>
      </c>
      <c r="S497" s="3" t="inlineStr">
        <is>
          <t>—</t>
        </is>
      </c>
      <c r="T497" s="3" t="inlineStr">
        <is>
          <t>—</t>
        </is>
      </c>
      <c r="U497" s="3" t="inlineStr">
        <is>
          <t>ACTIVE</t>
        </is>
      </c>
      <c r="V497" s="3" t="inlineStr">
        <is>
          <t>2026-08-27</t>
        </is>
      </c>
    </row>
    <row r="498">
      <c r="A498" s="3" t="inlineStr">
        <is>
          <t>MK-XS-F-067</t>
        </is>
      </c>
      <c r="B498" s="3" t="inlineStr">
        <is>
          <t>restoreWithRecoveryCode</t>
        </is>
      </c>
      <c r="C498" s="3" t="inlineStr">
        <is>
          <t>src/services/firebase.ts</t>
        </is>
      </c>
      <c r="D498" s="3" t="n">
        <v>291</v>
      </c>
      <c r="E498" s="3" t="inlineStr">
        <is>
          <t>4 · BRINGS DATA IN</t>
        </is>
      </c>
      <c r="F498" s="3" t="inlineStr">
        <is>
          <t>After a password reset, restore data access with the recovery code, then re-lock the data under the NEW password.</t>
        </is>
      </c>
      <c r="G498" s="6" t="inlineStr">
        <is>
          <t>u = auth.current user
snap = await get doc(doc(db, 'users', uid))
env = (snap.data() as any).key envelope   if snap.exists()
undefined   otherwise
dek = unwrap with recovery(env, uid, recovery code)</t>
        </is>
      </c>
      <c r="H498" s="3" t="inlineStr">
        <is>
          <t>U is auth.current user. Snap is await get doc(doc(db, 'users', uid)). Env is (snap.data() as any).key envelope — when snap.exists(); undefined — otherwise. Dek is unwrap with recovery(env, uid, recovery code).</t>
        </is>
      </c>
      <c r="I498" s="3" t="inlineStr">
        <is>
          <t>PARTLY READ — some of the code is still showing through; needs a hand pass</t>
        </is>
      </c>
      <c r="J498" s="3" t="inlineStr">
        <is>
          <t>1. recoveryCode: string
2. newPassword: string</t>
        </is>
      </c>
      <c r="K498" s="3" t="inlineStr">
        <is>
          <t>Promise&lt;void&gt;</t>
        </is>
      </c>
      <c r="L498" s="3" t="inlineStr">
        <is>
          <t>—</t>
        </is>
      </c>
      <c r="M498" s="3" t="inlineStr">
        <is>
          <t>None found in this function — anything it assumes comes from the functions it depends on.</t>
        </is>
      </c>
      <c r="N498" s="3" t="inlineStr">
        <is>
          <t>Yes</t>
        </is>
      </c>
      <c r="O498" s="3" t="inlineStr">
        <is>
          <t>1. MK-XS-F-041 cacheDataKey
2. MK-XS-F-049 rewrapPassword
3. MK-XS-F-048 unwrapWithRecovery</t>
        </is>
      </c>
      <c r="P498" s="3" t="n">
        <v>9</v>
      </c>
      <c r="Q498" s="3" t="inlineStr">
        <is>
          <t>1. MK-XS-F-041 cacheDataKey
2. MK-XS-F-049 rewrapPassword
3. MK-XS-F-048 unwrapWithRecovery
4. MK-XS-F-136 secureSet
5. MK-XS-F-139 wrapWithSecret
6. MK-XS-F-053 decryptWithKey
7. MK-XS-F-138 deriveKeyFromSecret
8. MK-XS-F-052 encryptWithKey
9. MK-XS-F-051 isEncrypted</t>
        </is>
      </c>
      <c r="R498" s="3" t="inlineStr">
        <is>
          <t>1. MK-XS-F-136 secureSet → MK-XS-F-041 cacheDataKey → MK-XS-F-067 restoreWithRecoveryCode
2. MK-XS-F-138 deriveKeyFromSecret → MK-XS-F-139 wrapWithSecret → MK-XS-F-049 rewrapPassword → MK-XS-F-067 restoreWithRecoveryCode
3. MK-XS-F-052 encryptWithKey → MK-XS-F-139 wrapWithSecret → MK-XS-F-049 rewrapPassword → MK-XS-F-067 restoreWithRecoveryCode
4. MK-XS-F-051 isEncrypted → MK-XS-F-053 decryptWithKey → MK-XS-F-048 unwrapWithRecovery → MK-XS-F-067 restoreWithRecoveryCode
5. MK-XS-F-138 deriveKeyFromSecret → MK-XS-F-048 unwrapWithRecovery → MK-XS-F-067 restoreWithRecoveryCode</t>
        </is>
      </c>
      <c r="S498" s="3" t="inlineStr">
        <is>
          <t>—</t>
        </is>
      </c>
      <c r="T498" s="3" t="inlineStr">
        <is>
          <t>—</t>
        </is>
      </c>
      <c r="U498" s="3" t="inlineStr">
        <is>
          <t>ACTIVE</t>
        </is>
      </c>
      <c r="V498" s="3" t="inlineStr">
        <is>
          <t>2026-08-27</t>
        </is>
      </c>
    </row>
    <row r="499">
      <c r="A499" s="3" t="inlineStr">
        <is>
          <t>MK-XS-F-068</t>
        </is>
      </c>
      <c r="B499" s="3" t="inlineStr">
        <is>
          <t>regenerateRecoveryCode</t>
        </is>
      </c>
      <c r="C499" s="3" t="inlineStr">
        <is>
          <t>src/services/firebase.ts</t>
        </is>
      </c>
      <c r="D499" s="3" t="n">
        <v>326</v>
      </c>
      <c r="E499" s="3" t="inlineStr">
        <is>
          <t>4 · BRINGS DATA IN</t>
        </is>
      </c>
      <c r="F499" s="3" t="inlineStr">
        <is>
          <t>Issue a NEW recovery code for the signed-in user (the old one stops working).</t>
        </is>
      </c>
      <c r="G499" s="6" t="inlineStr">
        <is>
          <t>u = auth.current user
dek = await get data key()
snap = await get doc(doc(db, 'users', uid))
env = snap.exists() and (snap.data() as any).key envelope (or p = ''
r = '' when missing or zero)
recovery code = generate recovery code()
the answer = recovery code</t>
        </is>
      </c>
      <c r="H499" s="3" t="inlineStr">
        <is>
          <t>U is auth.current user. Dek is await get data key(). Snap is await get doc(doc(db, 'users', uid)). Env is snap.exists() and (snap.data() as any).key envelope (or p = ''; r = '' — when missing or zero). Recovery code is generate recovery code(). The answer is recovery code.</t>
        </is>
      </c>
      <c r="I499" s="3" t="inlineStr">
        <is>
          <t>PARTLY READ — some of the code is still showing through; needs a hand pass</t>
        </is>
      </c>
      <c r="J499" s="3" t="inlineStr">
        <is>
          <t>Nothing is handed to it</t>
        </is>
      </c>
      <c r="K499" s="3" t="inlineStr">
        <is>
          <t>Promise&lt;string&gt;</t>
        </is>
      </c>
      <c r="L499" s="3" t="inlineStr">
        <is>
          <t>—</t>
        </is>
      </c>
      <c r="M499" s="3" t="inlineStr">
        <is>
          <t>None found in this function — anything it assumes comes from the functions it depends on.</t>
        </is>
      </c>
      <c r="N499" s="3" t="inlineStr">
        <is>
          <t>Yes</t>
        </is>
      </c>
      <c r="O499" s="3" t="inlineStr">
        <is>
          <t>1. MK-XS-F-045 generateRecoveryCode
2. MK-XS-F-042 getDataKey
3. MK-XS-F-050 rewrapRecovery</t>
        </is>
      </c>
      <c r="P499" s="3" t="n">
        <v>7</v>
      </c>
      <c r="Q499" s="3" t="inlineStr">
        <is>
          <t>1. MK-XS-F-045 generateRecoveryCode
2. MK-XS-F-042 getDataKey
3. MK-XS-F-050 rewrapRecovery
4. MK-XS-F-135 secureGet
5. MK-XS-F-139 wrapWithSecret
6. MK-XS-F-138 deriveKeyFromSecret
7. MK-XS-F-052 encryptWithKey</t>
        </is>
      </c>
      <c r="R499" s="3" t="inlineStr">
        <is>
          <t>1. MK-XS-F-045 generateRecoveryCode → MK-XS-F-068 regenerateRecoveryCode
2. MK-XS-F-135 secureGet → MK-XS-F-042 getDataKey → MK-XS-F-068 regenerateRecoveryCode
3. MK-XS-F-138 deriveKeyFromSecret → MK-XS-F-139 wrapWithSecret → MK-XS-F-050 rewrapRecovery → MK-XS-F-068 regenerateRecoveryCode
4. MK-XS-F-052 encryptWithKey → MK-XS-F-139 wrapWithSecret → MK-XS-F-050 rewrapRecovery → MK-XS-F-068 regenerateRecoveryCode</t>
        </is>
      </c>
      <c r="S499" s="3" t="inlineStr">
        <is>
          <t>—</t>
        </is>
      </c>
      <c r="T499" s="3" t="inlineStr">
        <is>
          <t>—</t>
        </is>
      </c>
      <c r="U499" s="3" t="inlineStr">
        <is>
          <t>ACTIVE</t>
        </is>
      </c>
      <c r="V499" s="3" t="inlineStr">
        <is>
          <t>2026-08-27</t>
        </is>
      </c>
    </row>
    <row r="500">
      <c r="A500" s="3" t="inlineStr">
        <is>
          <t>MK-XS-F-069</t>
        </is>
      </c>
      <c r="B500" s="3" t="inlineStr">
        <is>
          <t>logoutUser</t>
        </is>
      </c>
      <c r="C500" s="3" t="inlineStr">
        <is>
          <t>src/services/firebase.ts</t>
        </is>
      </c>
      <c r="D500" s="3" t="n">
        <v>353</v>
      </c>
      <c r="E500" s="3" t="inlineStr">
        <is>
          <t>1 · ACTION</t>
        </is>
      </c>
      <c r="F500" s="3" t="inlineStr">
        <is>
          <t>NOT DETERMINED — the code carries no note saying what this is for, and it has no row in the old inventory. Needs reading.</t>
        </is>
      </c>
      <c r="G500" s="6" t="inlineStr">
        <is>
          <t>NOT READ YET — the body is not a shape this can render faithfully, so nothing is claimed rather than something being guessed. It needs reading by hand.</t>
        </is>
      </c>
      <c r="H500" s="3" t="inlineStr">
        <is>
          <t>NOT READ YET — the body is not a shape this can render faithfully, so nothing is claimed rather than something being guessed. It needs reading by hand.</t>
        </is>
      </c>
      <c r="I500" s="3" t="inlineStr">
        <is>
          <t>NOT READ — nothing is claimed rather than something guessed</t>
        </is>
      </c>
      <c r="J500" s="3" t="inlineStr">
        <is>
          <t>Nothing is handed to it</t>
        </is>
      </c>
      <c r="K500" s="3" t="inlineStr">
        <is>
          <t>NOT DECLARED — the code does not say what it gives back</t>
        </is>
      </c>
      <c r="L500" s="3" t="inlineStr">
        <is>
          <t>—</t>
        </is>
      </c>
      <c r="M500" s="3" t="inlineStr">
        <is>
          <t>None found in this function — anything it assumes comes from the functions it depends on.</t>
        </is>
      </c>
      <c r="N500" s="3" t="inlineStr">
        <is>
          <t>Yes</t>
        </is>
      </c>
      <c r="O500" s="3" t="inlineStr">
        <is>
          <t>MK-XS-F-043 clearDataKey</t>
        </is>
      </c>
      <c r="P500" s="3" t="n">
        <v>2</v>
      </c>
      <c r="Q500" s="3" t="inlineStr">
        <is>
          <t>1. MK-XS-F-043 clearDataKey
2. MK-XS-F-137 secureDelete</t>
        </is>
      </c>
      <c r="R500" s="3" t="inlineStr">
        <is>
          <t>MK-XS-F-137 secureDelete → MK-XS-F-043 clearDataKey → MK-XS-F-069 logoutUser</t>
        </is>
      </c>
      <c r="S500" s="3" t="inlineStr">
        <is>
          <t>—</t>
        </is>
      </c>
      <c r="T500" s="3" t="inlineStr">
        <is>
          <t>—</t>
        </is>
      </c>
      <c r="U500" s="3" t="inlineStr">
        <is>
          <t>ACTIVE</t>
        </is>
      </c>
      <c r="V500" s="3" t="inlineStr">
        <is>
          <t>2026-08-27</t>
        </is>
      </c>
    </row>
    <row r="501">
      <c r="A501" s="3" t="inlineStr">
        <is>
          <t>MK-XS-F-070</t>
        </is>
      </c>
      <c r="B501" s="3" t="inlineStr">
        <is>
          <t>resetPassword</t>
        </is>
      </c>
      <c r="C501" s="3" t="inlineStr">
        <is>
          <t>src/services/firebase.ts</t>
        </is>
      </c>
      <c r="D501" s="3" t="n">
        <v>373</v>
      </c>
      <c r="E501" s="3" t="inlineStr">
        <is>
          <t>1 · ACTION</t>
        </is>
      </c>
      <c r="F501" s="3" t="inlineStr">
        <is>
          <t>NOT DETERMINED — the code carries no note saying what this is for, and it has no row in the old inventory. Needs reading.</t>
        </is>
      </c>
      <c r="G501" s="6" t="inlineStr">
        <is>
          <t>NOT READ YET — the body is not a shape this can render faithfully, so nothing is claimed rather than something being guessed. It needs reading by hand.</t>
        </is>
      </c>
      <c r="H501" s="3" t="inlineStr">
        <is>
          <t>NOT READ YET — the body is not a shape this can render faithfully, so nothing is claimed rather than something being guessed. It needs reading by hand.</t>
        </is>
      </c>
      <c r="I501" s="3" t="inlineStr">
        <is>
          <t>NOT READ — nothing is claimed rather than something guessed</t>
        </is>
      </c>
      <c r="J501" s="3" t="inlineStr">
        <is>
          <t>email: string</t>
        </is>
      </c>
      <c r="K501" s="3" t="inlineStr">
        <is>
          <t>NOT DECLARED — the code does not say what it gives back</t>
        </is>
      </c>
      <c r="L501" s="3" t="inlineStr">
        <is>
          <t>—</t>
        </is>
      </c>
      <c r="M501" s="3" t="inlineStr">
        <is>
          <t>None found in this function — anything it assumes comes from the functions it depends on.</t>
        </is>
      </c>
      <c r="N501" s="3" t="inlineStr">
        <is>
          <t>Yes</t>
        </is>
      </c>
      <c r="O501" s="3" t="inlineStr">
        <is>
          <t>—</t>
        </is>
      </c>
      <c r="P501" s="3" t="n">
        <v>0</v>
      </c>
      <c r="Q501" s="3" t="inlineStr">
        <is>
          <t>None — no dependent function stands behind it</t>
        </is>
      </c>
      <c r="R501" s="3" t="inlineStr">
        <is>
          <t>No dependent function — it reads its inputs and answers</t>
        </is>
      </c>
      <c r="S501" s="3" t="inlineStr">
        <is>
          <t>—</t>
        </is>
      </c>
      <c r="T501" s="3" t="inlineStr">
        <is>
          <t>—</t>
        </is>
      </c>
      <c r="U501" s="3" t="inlineStr">
        <is>
          <t>ACTIVE</t>
        </is>
      </c>
      <c r="V501" s="3" t="inlineStr">
        <is>
          <t>2026-08-27</t>
        </is>
      </c>
    </row>
    <row r="502">
      <c r="A502" s="3" t="inlineStr">
        <is>
          <t>MK-XS-F-071</t>
        </is>
      </c>
      <c r="B502" s="3" t="inlineStr">
        <is>
          <t>onAuthChange</t>
        </is>
      </c>
      <c r="C502" s="3" t="inlineStr">
        <is>
          <t>src/services/firebase.ts</t>
        </is>
      </c>
      <c r="D502" s="3" t="n">
        <v>392</v>
      </c>
      <c r="E502" s="3" t="inlineStr">
        <is>
          <t>2 · DISPLAYED</t>
        </is>
      </c>
      <c r="F502" s="3" t="inlineStr">
        <is>
          <t>NOT DETERMINED — the code carries no note saying what this is for, and it has no row in the old inventory. Needs reading.</t>
        </is>
      </c>
      <c r="G502" s="6" t="inlineStr">
        <is>
          <t>on auth state changed(auth, callback)</t>
        </is>
      </c>
      <c r="H502" s="3" t="inlineStr">
        <is>
          <t>on auth state changed(auth, callback).</t>
        </is>
      </c>
      <c r="I502" s="3" t="inlineStr">
        <is>
          <t>READ FROM THE CODE — rendered from the expressions the function runs</t>
        </is>
      </c>
      <c r="J502" s="3" t="inlineStr">
        <is>
          <t>callback: (user: any) =&gt; void</t>
        </is>
      </c>
      <c r="K502" s="3" t="inlineStr">
        <is>
          <t>NOT DECLARED — the code does not say what it gives back</t>
        </is>
      </c>
      <c r="L502" s="3" t="inlineStr">
        <is>
          <t>NOT FOUND — a screen calls it, but the words printed beside its answer could not be traced automatically. Needs reading.</t>
        </is>
      </c>
      <c r="M502" s="3" t="inlineStr">
        <is>
          <t>None found in this function — anything it assumes comes from the functions it depends on.</t>
        </is>
      </c>
      <c r="N502" s="3" t="inlineStr">
        <is>
          <t>Yes</t>
        </is>
      </c>
      <c r="O502" s="3" t="inlineStr">
        <is>
          <t>—</t>
        </is>
      </c>
      <c r="P502" s="3" t="n">
        <v>0</v>
      </c>
      <c r="Q502" s="3" t="inlineStr">
        <is>
          <t>None — no dependent function stands behind it</t>
        </is>
      </c>
      <c r="R502" s="3" t="inlineStr">
        <is>
          <t>No dependent function — it reads its inputs and answers</t>
        </is>
      </c>
      <c r="S502" s="3" t="inlineStr">
        <is>
          <t>—</t>
        </is>
      </c>
      <c r="T502" s="3" t="inlineStr">
        <is>
          <t>—</t>
        </is>
      </c>
      <c r="U502" s="3" t="inlineStr">
        <is>
          <t>ACTIVE</t>
        </is>
      </c>
      <c r="V502" s="3" t="inlineStr">
        <is>
          <t>2026-08-27</t>
        </is>
      </c>
    </row>
    <row r="503">
      <c r="A503" s="3" t="inlineStr">
        <is>
          <t>MK-XS-F-072</t>
        </is>
      </c>
      <c r="B503" s="3" t="inlineStr">
        <is>
          <t>deleteAccount</t>
        </is>
      </c>
      <c r="C503" s="3" t="inlineStr">
        <is>
          <t>src/services/firebase.ts</t>
        </is>
      </c>
      <c r="D503" s="3" t="n">
        <v>417</v>
      </c>
      <c r="E503" s="3" t="inlineStr">
        <is>
          <t>1 · ACTION</t>
        </is>
      </c>
      <c r="F503" s="3" t="inlineStr">
        <is>
          <t>Permanently delete the signed-in user's account (App Store Guideline 5.1.1(v)).</t>
        </is>
      </c>
      <c r="G503" s="6" t="inlineStr">
        <is>
          <t>u = auth.current user
cred = email auth provider.credential(email, password)
root = await load user root(uid)</t>
        </is>
      </c>
      <c r="H503" s="3" t="inlineStr">
        <is>
          <t>U is auth.current user. Cred is email auth provider.credential(email, password). Root is await load user root(uid).</t>
        </is>
      </c>
      <c r="I503" s="3" t="inlineStr">
        <is>
          <t>PARTLY READ — some of the code is still showing through; needs a hand pass</t>
        </is>
      </c>
      <c r="J503" s="3" t="inlineStr">
        <is>
          <t>password: string</t>
        </is>
      </c>
      <c r="K503" s="3" t="inlineStr">
        <is>
          <t>Promise&lt;void&gt;</t>
        </is>
      </c>
      <c r="L503" s="3" t="inlineStr">
        <is>
          <t>—</t>
        </is>
      </c>
      <c r="M503" s="3" t="inlineStr">
        <is>
          <t>None found in this function — anything it assumes comes from the functions it depends on.</t>
        </is>
      </c>
      <c r="N503" s="3" t="inlineStr">
        <is>
          <t>Yes</t>
        </is>
      </c>
      <c r="O503" s="3" t="inlineStr">
        <is>
          <t>1. MK-XS-F-035 authenticate
2. MK-XS-F-043 clearDataKey
3. MK-XS-F-079 loadUserRoot</t>
        </is>
      </c>
      <c r="P503" s="3" t="n">
        <v>10</v>
      </c>
      <c r="Q503" s="3" t="inlineStr">
        <is>
          <t>1. MK-XS-F-035 authenticate
2. MK-XS-F-043 clearDataKey
3. MK-XS-F-079 loadUserRoot
4. MK-XS-F-132 load
5. MK-XS-F-137 secureDelete
6. MK-XS-F-055 decryptFromSync
7. MK-XS-F-053 decryptWithKey
8. MK-XS-F-042 getDataKey
9. MK-XS-F-051 isEncrypted
10. MK-XS-F-135 secureGet</t>
        </is>
      </c>
      <c r="R503"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t>
        </is>
      </c>
      <c r="S503" s="3" t="inlineStr">
        <is>
          <t>—</t>
        </is>
      </c>
      <c r="T503" s="3" t="inlineStr">
        <is>
          <t>—</t>
        </is>
      </c>
      <c r="U503" s="3" t="inlineStr">
        <is>
          <t>ACTIVE</t>
        </is>
      </c>
      <c r="V503" s="3" t="inlineStr">
        <is>
          <t>2026-08-27</t>
        </is>
      </c>
    </row>
    <row r="504">
      <c r="A504" s="3" t="inlineStr">
        <is>
          <t>MK-XS-F-073</t>
        </is>
      </c>
      <c r="B504" s="3" t="inlineStr">
        <is>
          <t>saveUserData</t>
        </is>
      </c>
      <c r="C504" s="3" t="inlineStr">
        <is>
          <t>src/services/firebase.ts</t>
        </is>
      </c>
      <c r="D504" s="3" t="n">
        <v>459</v>
      </c>
      <c r="E504" s="3" t="inlineStr">
        <is>
          <t>1 · ACTION</t>
        </is>
      </c>
      <c r="F504" s="3" t="inlineStr">
        <is>
          <t>Sync fields stored ENCRYPTED under users/{uid}.appStateEnc (zero-knowledge — see dataCrypto.ts).</t>
        </is>
      </c>
      <c r="G504" s="6" t="inlineStr">
        <is>
          <t>clean = JSON.parse(JSON.stringify(data ?? {}))
enc = await encrypt for sync(clean)</t>
        </is>
      </c>
      <c r="H504" s="3" t="inlineStr">
        <is>
          <t>Clean is JSON.parse(JSON.stringify(data ?? {})). Enc is await encrypt for sync(clean).</t>
        </is>
      </c>
      <c r="I504" s="3" t="inlineStr">
        <is>
          <t>PARTLY READ — some of the code is still showing through; needs a hand pass</t>
        </is>
      </c>
      <c r="J504" s="3" t="inlineStr">
        <is>
          <t>1. uid: string
2. data: object</t>
        </is>
      </c>
      <c r="K504" s="3" t="inlineStr">
        <is>
          <t>NOT DECLARED — the code does not say what it gives back</t>
        </is>
      </c>
      <c r="L504" s="3" t="inlineStr">
        <is>
          <t>—</t>
        </is>
      </c>
      <c r="M504" s="3" t="inlineStr">
        <is>
          <t>None found in this function — anything it assumes comes from the functions it depends on.</t>
        </is>
      </c>
      <c r="N504" s="3" t="inlineStr">
        <is>
          <t>Yes</t>
        </is>
      </c>
      <c r="O504" s="3" t="inlineStr">
        <is>
          <t>MK-XS-F-054 encryptForSync</t>
        </is>
      </c>
      <c r="P504" s="3" t="n">
        <v>4</v>
      </c>
      <c r="Q504" s="3" t="inlineStr">
        <is>
          <t>1. MK-XS-F-054 encryptForSync
2. MK-XS-F-052 encryptWithKey
3. MK-XS-F-042 getDataKey
4. MK-XS-F-135 secureGet</t>
        </is>
      </c>
      <c r="R504" s="3" t="inlineStr">
        <is>
          <t>1. MK-XS-F-052 encryptWithKey → MK-XS-F-054 encryptForSync → MK-XS-F-073 saveUserData
2. MK-XS-F-135 secureGet → MK-XS-F-042 getDataKey → MK-XS-F-054 encryptForSync → MK-XS-F-073 saveUserData</t>
        </is>
      </c>
      <c r="S504" s="3" t="inlineStr">
        <is>
          <t>—</t>
        </is>
      </c>
      <c r="T504" s="3" t="inlineStr">
        <is>
          <t>—</t>
        </is>
      </c>
      <c r="U504" s="3" t="inlineStr">
        <is>
          <t>ACTIVE</t>
        </is>
      </c>
      <c r="V504" s="3" t="inlineStr">
        <is>
          <t>2026-08-27</t>
        </is>
      </c>
    </row>
    <row r="505">
      <c r="A505" s="3" t="inlineStr">
        <is>
          <t>MK-XS-F-074</t>
        </is>
      </c>
      <c r="B505" s="3" t="inlineStr">
        <is>
          <t>loadUserData</t>
        </is>
      </c>
      <c r="C505" s="3" t="inlineStr">
        <is>
          <t>src/services/firebase.ts</t>
        </is>
      </c>
      <c r="D505" s="3" t="n">
        <v>486</v>
      </c>
      <c r="E505" s="3" t="inlineStr">
        <is>
          <t>4 · BRINGS DATA IN</t>
        </is>
      </c>
      <c r="F505" s="3" t="inlineStr">
        <is>
          <t>NOT DETERMINED — the code carries no note saying what this is for, and it has no row in the old inventory. Needs reading.</t>
        </is>
      </c>
      <c r="G505" s="6" t="inlineStr">
        <is>
          <t>snap = await get doc(doc(db, 'users', uid))
nothing   when !snap.exists()
d = snap.data()
await decrypt from sync(app state enc)   when app state enc ≠ nothing
the answer = app state (or nothing when missing)</t>
        </is>
      </c>
      <c r="H505" s="3" t="inlineStr">
        <is>
          <t>Snap is await get doc(doc(db, 'users', uid)). When !snap.exists(), it answers no answer. D is snap.data(). When app state enc is not no answer, it answers await decrypt from sync(app state enc). The answer is app state (or no answer — when missing).</t>
        </is>
      </c>
      <c r="I505" s="3" t="inlineStr">
        <is>
          <t>PARTLY READ — some of the code is still showing through; needs a hand pass</t>
        </is>
      </c>
      <c r="J505" s="3" t="inlineStr">
        <is>
          <t>uid: string</t>
        </is>
      </c>
      <c r="K505" s="3" t="inlineStr">
        <is>
          <t>Promise&lt;Record&lt;string, any&gt; | null&gt;</t>
        </is>
      </c>
      <c r="L505" s="3" t="inlineStr">
        <is>
          <t>"Restore your data" — on the auth screen</t>
        </is>
      </c>
      <c r="M505" s="3" t="inlineStr">
        <is>
          <t>None found in this function — anything it assumes comes from the functions it depends on.</t>
        </is>
      </c>
      <c r="N505" s="3" t="inlineStr">
        <is>
          <t>Yes</t>
        </is>
      </c>
      <c r="O505" s="3" t="inlineStr">
        <is>
          <t>MK-XS-F-055 decryptFromSync</t>
        </is>
      </c>
      <c r="P505" s="3" t="n">
        <v>5</v>
      </c>
      <c r="Q505" s="3" t="inlineStr">
        <is>
          <t>1. MK-XS-F-055 decryptFromSync
2. MK-XS-F-053 decryptWithKey
3. MK-XS-F-042 getDataKey
4. MK-XS-F-051 isEncrypted
5. MK-XS-F-135 secureGet</t>
        </is>
      </c>
      <c r="R505" s="3" t="inlineStr">
        <is>
          <t>1. MK-XS-F-051 isEncrypted → MK-XS-F-053 decryptWithKey → MK-XS-F-055 decryptFromSync → MK-XS-F-074 loadUserData
2. MK-XS-F-135 secureGet → MK-XS-F-042 getDataKey → MK-XS-F-055 decryptFromSync → MK-XS-F-074 loadUserData
3. MK-XS-F-051 isEncrypted → MK-XS-F-055 decryptFromSync → MK-XS-F-074 loadUserData</t>
        </is>
      </c>
      <c r="S505" s="3" t="inlineStr">
        <is>
          <t>—</t>
        </is>
      </c>
      <c r="T505" s="3" t="inlineStr">
        <is>
          <t>—</t>
        </is>
      </c>
      <c r="U505" s="3" t="inlineStr">
        <is>
          <t>ACTIVE</t>
        </is>
      </c>
      <c r="V505" s="3" t="inlineStr">
        <is>
          <t>2026-08-27</t>
        </is>
      </c>
    </row>
    <row r="506">
      <c r="A506" s="3" t="inlineStr">
        <is>
          <t>MK-XS-F-075</t>
        </is>
      </c>
      <c r="B506" s="3" t="inlineStr">
        <is>
          <t>createInvite</t>
        </is>
      </c>
      <c r="C506" s="3" t="inlineStr">
        <is>
          <t>src/services/firebase.ts</t>
        </is>
      </c>
      <c r="D506" s="3" t="n">
        <v>542</v>
      </c>
      <c r="E506" s="3" t="inlineStr">
        <is>
          <t>2 · DISPLAYED (presentation only)</t>
        </is>
      </c>
      <c r="F506" s="3" t="inlineStr">
        <is>
          <t>Create an invite code pointing at this household's shared data doc.</t>
        </is>
      </c>
      <c r="G506" s="6" t="inlineStr">
        <is>
          <t>code = make invite code()
the answer = code</t>
        </is>
      </c>
      <c r="H506" s="3" t="inlineStr">
        <is>
          <t>Code is make invite code(). The answer is code.</t>
        </is>
      </c>
      <c r="I506" s="3" t="inlineStr">
        <is>
          <t>READ FROM THE CODE — rendered from the expressions the function runs</t>
        </is>
      </c>
      <c r="J506" s="3" t="inlineStr">
        <is>
          <t>1. householdId: string
2. inviterName: string | null</t>
        </is>
      </c>
      <c r="K506" s="3" t="inlineStr">
        <is>
          <t>Promise&lt;string&gt;</t>
        </is>
      </c>
      <c r="L506" s="3" t="inlineStr">
        <is>
          <t>"Vesting schedule" — on the setup questions, which appear on more than one screen</t>
        </is>
      </c>
      <c r="M506" s="3" t="inlineStr">
        <is>
          <t>None found in this function — anything it assumes comes from the functions it depends on.</t>
        </is>
      </c>
      <c r="N506" s="3" t="inlineStr">
        <is>
          <t>Yes</t>
        </is>
      </c>
      <c r="O506" s="3" t="inlineStr">
        <is>
          <t>MK-XS-F-142 makeInviteCode</t>
        </is>
      </c>
      <c r="P506" s="3" t="n">
        <v>1</v>
      </c>
      <c r="Q506" s="3" t="inlineStr">
        <is>
          <t>MK-XS-F-142 makeInviteCode</t>
        </is>
      </c>
      <c r="R506" s="3" t="inlineStr">
        <is>
          <t>MK-XS-F-142 makeInviteCode → MK-XS-F-075 createInvite</t>
        </is>
      </c>
      <c r="S506" s="3" t="inlineStr">
        <is>
          <t>—</t>
        </is>
      </c>
      <c r="T506" s="3" t="inlineStr">
        <is>
          <t>—</t>
        </is>
      </c>
      <c r="U506" s="3" t="inlineStr">
        <is>
          <t>ACTIVE</t>
        </is>
      </c>
      <c r="V506" s="3" t="inlineStr">
        <is>
          <t>2026-08-27</t>
        </is>
      </c>
    </row>
    <row r="507">
      <c r="A507" s="3" t="inlineStr">
        <is>
          <t>MK-XS-F-076</t>
        </is>
      </c>
      <c r="B507" s="3" t="inlineStr">
        <is>
          <t>lookupInvite</t>
        </is>
      </c>
      <c r="C507" s="3" t="inlineStr">
        <is>
          <t>src/services/firebase.ts</t>
        </is>
      </c>
      <c r="D507" s="3" t="n">
        <v>573</v>
      </c>
      <c r="E507" s="3" t="inlineStr">
        <is>
          <t>4 · BRINGS DATA IN</t>
        </is>
      </c>
      <c r="F507" s="3" t="inlineStr">
        <is>
          <t>NOT DETERMINED — the code carries no note saying what this is for, and it has no row in the old inventory. Needs reading.</t>
        </is>
      </c>
      <c r="G507" s="6" t="inlineStr">
        <is>
          <t>snap = await get doc(doc(db, 'invites', code.trim().to upper case()))
nothing   when !snap.exists()
d = snap.data() as any
the answer:
household id = household id
inviter name = inviter name (or nothing when missing)   if household id
nothing   otherwise</t>
        </is>
      </c>
      <c r="H507" s="3" t="inlineStr">
        <is>
          <t>Snap is await get doc(doc(db, 'invites', code.trim().to upper case())). When !snap.exists(), it answers no answer. D is snap.data() as any. The answer is household id = household id; inviter name = inviter name (or no answer when missing) — when household id; no answer — otherwise.</t>
        </is>
      </c>
      <c r="I507" s="3" t="inlineStr">
        <is>
          <t>PARTLY READ — some of the code is still showing through; needs a hand pass</t>
        </is>
      </c>
      <c r="J507" s="3" t="inlineStr">
        <is>
          <t>code: string</t>
        </is>
      </c>
      <c r="K507" s="3" t="inlineStr">
        <is>
          <t>Promise&lt;</t>
        </is>
      </c>
      <c r="L507" s="3" t="inlineStr">
        <is>
          <t>—</t>
        </is>
      </c>
      <c r="M507" s="3" t="inlineStr">
        <is>
          <t>None found in this function — anything it assumes comes from the functions it depends on.</t>
        </is>
      </c>
      <c r="N507" s="3" t="inlineStr">
        <is>
          <t>Yes</t>
        </is>
      </c>
      <c r="O507" s="3" t="inlineStr">
        <is>
          <t>—</t>
        </is>
      </c>
      <c r="P507" s="3" t="n">
        <v>0</v>
      </c>
      <c r="Q507" s="3" t="inlineStr">
        <is>
          <t>None — no dependent function stands behind it</t>
        </is>
      </c>
      <c r="R507" s="3" t="inlineStr">
        <is>
          <t>No dependent function — it reads its inputs and answers</t>
        </is>
      </c>
      <c r="S507" s="3" t="inlineStr">
        <is>
          <t>—</t>
        </is>
      </c>
      <c r="T507" s="3" t="inlineStr">
        <is>
          <t>—</t>
        </is>
      </c>
      <c r="U507" s="3" t="inlineStr">
        <is>
          <t>ACTIVE</t>
        </is>
      </c>
      <c r="V507" s="3" t="inlineStr">
        <is>
          <t>2026-08-27</t>
        </is>
      </c>
    </row>
    <row r="508">
      <c r="A508" s="3" t="inlineStr">
        <is>
          <t>MK-XS-F-077</t>
        </is>
      </c>
      <c r="B508" s="3" t="inlineStr">
        <is>
          <t>setUserHousehold</t>
        </is>
      </c>
      <c r="C508" s="3" t="inlineStr">
        <is>
          <t>src/services/firebase.ts</t>
        </is>
      </c>
      <c r="D508" s="3" t="n">
        <v>596</v>
      </c>
      <c r="E508" s="3" t="inlineStr">
        <is>
          <t>1 · ACTION</t>
        </is>
      </c>
      <c r="F508" s="3" t="inlineStr">
        <is>
          <t>Record household membership on the member's own user doc (survives reinstall/new device).</t>
        </is>
      </c>
      <c r="G508" s="6" t="inlineStr">
        <is>
          <t>It reaches outside the app for data and hands back what came back — no arithmetic of its own.</t>
        </is>
      </c>
      <c r="H508" s="3" t="inlineStr">
        <is>
          <t>It reaches outside the app for data and hands back what came back — no arithmetic of its own.</t>
        </is>
      </c>
      <c r="I508" s="3" t="inlineStr">
        <is>
          <t>NO ARITHMETIC — there is no formula to state</t>
        </is>
      </c>
      <c r="J508" s="3" t="inlineStr">
        <is>
          <t>1. uid: string
2. householdId: string</t>
        </is>
      </c>
      <c r="K508" s="3" t="inlineStr">
        <is>
          <t>Promise&lt;void&gt;</t>
        </is>
      </c>
      <c r="L508" s="3" t="inlineStr">
        <is>
          <t>—</t>
        </is>
      </c>
      <c r="M508" s="3" t="inlineStr">
        <is>
          <t>None found in this function — anything it assumes comes from the functions it depends on.</t>
        </is>
      </c>
      <c r="N508" s="3" t="inlineStr">
        <is>
          <t>Yes</t>
        </is>
      </c>
      <c r="O508" s="3" t="inlineStr">
        <is>
          <t>—</t>
        </is>
      </c>
      <c r="P508" s="3" t="n">
        <v>0</v>
      </c>
      <c r="Q508" s="3" t="inlineStr">
        <is>
          <t>None — no dependent function stands behind it</t>
        </is>
      </c>
      <c r="R508" s="3" t="inlineStr">
        <is>
          <t>No dependent function — it reads its inputs and answers</t>
        </is>
      </c>
      <c r="S508" s="3" t="inlineStr">
        <is>
          <t>—</t>
        </is>
      </c>
      <c r="T508" s="3" t="inlineStr">
        <is>
          <t>—</t>
        </is>
      </c>
      <c r="U508" s="3" t="inlineStr">
        <is>
          <t>ACTIVE</t>
        </is>
      </c>
      <c r="V508" s="3" t="inlineStr">
        <is>
          <t>2026-08-27</t>
        </is>
      </c>
    </row>
    <row r="509">
      <c r="A509" s="3" t="inlineStr">
        <is>
          <t>MK-XS-F-078</t>
        </is>
      </c>
      <c r="B509" s="3" t="inlineStr">
        <is>
          <t>joinHouseholdMembership</t>
        </is>
      </c>
      <c r="C509" s="3" t="inlineStr">
        <is>
          <t>src/services/firebase.ts</t>
        </is>
      </c>
      <c r="D509" s="3" t="n">
        <v>621</v>
      </c>
      <c r="E509" s="3" t="inlineStr">
        <is>
          <t>1 · ACTION</t>
        </is>
      </c>
      <c r="F509" s="3" t="inlineStr">
        <is>
          <t>Claim membership in {householdId} by writing the member doc the security rules gate access on.</t>
        </is>
      </c>
      <c r="G509" s="6" t="inlineStr">
        <is>
          <t>It reaches outside the app for data and hands back what came back — no arithmetic of its own.</t>
        </is>
      </c>
      <c r="H509" s="3" t="inlineStr">
        <is>
          <t>It reaches outside the app for data and hands back what came back — no arithmetic of its own.</t>
        </is>
      </c>
      <c r="I509" s="3" t="inlineStr">
        <is>
          <t>NO ARITHMETIC — there is no formula to state</t>
        </is>
      </c>
      <c r="J509" s="3" t="inlineStr">
        <is>
          <t>1. uid: string
2. householdId: string
3. code: string</t>
        </is>
      </c>
      <c r="K509" s="3" t="inlineStr">
        <is>
          <t>Promise&lt;void&gt;</t>
        </is>
      </c>
      <c r="L509" s="3" t="inlineStr">
        <is>
          <t>—</t>
        </is>
      </c>
      <c r="M509" s="3" t="inlineStr">
        <is>
          <t>None found in this function — anything it assumes comes from the functions it depends on.</t>
        </is>
      </c>
      <c r="N509" s="3" t="inlineStr">
        <is>
          <t>Yes</t>
        </is>
      </c>
      <c r="O509" s="3" t="inlineStr">
        <is>
          <t>—</t>
        </is>
      </c>
      <c r="P509" s="3" t="n">
        <v>0</v>
      </c>
      <c r="Q509" s="3" t="inlineStr">
        <is>
          <t>None — no dependent function stands behind it</t>
        </is>
      </c>
      <c r="R509" s="3" t="inlineStr">
        <is>
          <t>No dependent function — it reads its inputs and answers</t>
        </is>
      </c>
      <c r="S509" s="3" t="inlineStr">
        <is>
          <t>—</t>
        </is>
      </c>
      <c r="T509" s="3" t="inlineStr">
        <is>
          <t>—</t>
        </is>
      </c>
      <c r="U509" s="3" t="inlineStr">
        <is>
          <t>ACTIVE</t>
        </is>
      </c>
      <c r="V509" s="3" t="inlineStr">
        <is>
          <t>2026-08-27</t>
        </is>
      </c>
    </row>
    <row r="510">
      <c r="A510" s="3" t="inlineStr">
        <is>
          <t>MK-XS-F-079</t>
        </is>
      </c>
      <c r="B510" s="3" t="inlineStr">
        <is>
          <t>loadUserRoot</t>
        </is>
      </c>
      <c r="C510" s="3" t="inlineStr">
        <is>
          <t>src/services/firebase.ts</t>
        </is>
      </c>
      <c r="D510" s="3" t="n">
        <v>655</v>
      </c>
      <c r="E510" s="3" t="inlineStr">
        <is>
          <t>4 · BRINGS DATA IN</t>
        </is>
      </c>
      <c r="F510" s="3" t="inlineStr">
        <is>
          <t>The member's own top-level doc fields (householdId + decrypted appState) in one read.</t>
        </is>
      </c>
      <c r="G510" s="6"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510"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510" s="3" t="inlineStr">
        <is>
          <t>PARTLY READ — some of the code is still showing through; needs a hand pass</t>
        </is>
      </c>
      <c r="J510" s="3" t="inlineStr">
        <is>
          <t>uid: string</t>
        </is>
      </c>
      <c r="K510" s="3" t="inlineStr">
        <is>
          <t>Promise&lt;</t>
        </is>
      </c>
      <c r="L510" s="3" t="inlineStr">
        <is>
          <t>—</t>
        </is>
      </c>
      <c r="M510" s="3" t="inlineStr">
        <is>
          <t>None found in this function — anything it assumes comes from the functions it depends on.</t>
        </is>
      </c>
      <c r="N510" s="3" t="inlineStr">
        <is>
          <t>Yes</t>
        </is>
      </c>
      <c r="O510" s="3" t="inlineStr">
        <is>
          <t>MK-XS-F-055 decryptFromSync</t>
        </is>
      </c>
      <c r="P510" s="3" t="n">
        <v>5</v>
      </c>
      <c r="Q510" s="3" t="inlineStr">
        <is>
          <t>1. MK-XS-F-055 decryptFromSync
2. MK-XS-F-053 decryptWithKey
3. MK-XS-F-042 getDataKey
4. MK-XS-F-051 isEncrypted
5. MK-XS-F-135 secureGet</t>
        </is>
      </c>
      <c r="R510" s="3" t="inlineStr">
        <is>
          <t>1. MK-XS-F-051 isEncrypted → MK-XS-F-053 decryptWithKey → MK-XS-F-055 decryptFromSync → MK-XS-F-079 loadUserRoot
2. MK-XS-F-135 secureGet → MK-XS-F-042 getDataKey → MK-XS-F-055 decryptFromSync → MK-XS-F-079 loadUserRoot
3. MK-XS-F-051 isEncrypted → MK-XS-F-055 decryptFromSync → MK-XS-F-079 loadUserRoot</t>
        </is>
      </c>
      <c r="S510" s="3" t="inlineStr">
        <is>
          <t>—</t>
        </is>
      </c>
      <c r="T510" s="3" t="inlineStr">
        <is>
          <t>—</t>
        </is>
      </c>
      <c r="U510" s="3" t="inlineStr">
        <is>
          <t>ACTIVE</t>
        </is>
      </c>
      <c r="V510" s="3" t="inlineStr">
        <is>
          <t>2026-08-27</t>
        </is>
      </c>
    </row>
    <row r="511">
      <c r="A511" s="3" t="inlineStr">
        <is>
          <t>MK-XS-F-080</t>
        </is>
      </c>
      <c r="B511" s="3" t="inlineStr">
        <is>
          <t>submitFeedback</t>
        </is>
      </c>
      <c r="C511" s="3" t="inlineStr">
        <is>
          <t>src/services/firebase.ts</t>
        </is>
      </c>
      <c r="D511" s="3" t="n">
        <v>678</v>
      </c>
      <c r="E511" s="3" t="inlineStr">
        <is>
          <t>1 · ACTION</t>
        </is>
      </c>
      <c r="F511" s="3" t="inlineStr">
        <is>
          <t>NOT DETERMINED — the code carries no note saying what this is for, and it has no row in the old inventory. Needs reading.</t>
        </is>
      </c>
      <c r="G511" s="6" t="inlineStr">
        <is>
          <t>It reaches outside the app for data and hands back what came back — no arithmetic of its own.</t>
        </is>
      </c>
      <c r="H511" s="3" t="inlineStr">
        <is>
          <t>It reaches outside the app for data and hands back what came back — no arithmetic of its own.</t>
        </is>
      </c>
      <c r="I511" s="3" t="inlineStr">
        <is>
          <t>NO ARITHMETIC — there is no formula to state</t>
        </is>
      </c>
      <c r="J511" s="3" t="inlineStr">
        <is>
          <t>Nothing is handed to it</t>
        </is>
      </c>
      <c r="K511" s="3" t="inlineStr">
        <is>
          <t>NOT DECLARED — the code does not say what it gives back</t>
        </is>
      </c>
      <c r="L511" s="3" t="inlineStr">
        <is>
          <t>—</t>
        </is>
      </c>
      <c r="M511" s="3" t="inlineStr">
        <is>
          <t>None found in this function — anything it assumes comes from the functions it depends on.</t>
        </is>
      </c>
      <c r="N511" s="3" t="inlineStr">
        <is>
          <t>Yes</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t>
        </is>
      </c>
      <c r="U511" s="3" t="inlineStr">
        <is>
          <t>ACTIVE</t>
        </is>
      </c>
      <c r="V511" s="3" t="inlineStr">
        <is>
          <t>2026-08-27</t>
        </is>
      </c>
    </row>
    <row r="512">
      <c r="A512" s="3" t="inlineStr">
        <is>
          <t>MK-XS-F-081</t>
        </is>
      </c>
      <c r="B512" s="3" t="inlineStr">
        <is>
          <t>isPlausibleTicker</t>
        </is>
      </c>
      <c r="C512" s="3" t="inlineStr">
        <is>
          <t>src/services/marketData.ts</t>
        </is>
      </c>
      <c r="D512" s="3" t="n">
        <v>98</v>
      </c>
      <c r="E512" s="3" t="inlineStr">
        <is>
          <t>2 · DISPLAYED</t>
        </is>
      </c>
      <c r="F512" s="3" t="inlineStr">
        <is>
          <t>Is a ticker plausibly valid before we spend a network call?</t>
        </is>
      </c>
      <c r="G512" s="6" t="inlineStr">
        <is>
          <t>÷ ^[A − za − z]{1,6}([.\-][A − za − z]{1,4})?$ ÷ .test((ticker ?? '').trim())</t>
        </is>
      </c>
      <c r="H512" s="3" t="inlineStr">
        <is>
          <t>÷ ^[A minus za minus z]{1,6}([.\-][A minus za minus z]{1,4})?$ divided by .test((ticker ?? '').trim()).</t>
        </is>
      </c>
      <c r="I512" s="3" t="inlineStr">
        <is>
          <t>PARTLY READ — some of the code is still showing through; needs a hand pass</t>
        </is>
      </c>
      <c r="J512" s="3" t="inlineStr">
        <is>
          <t>ticker: string</t>
        </is>
      </c>
      <c r="K512" s="3" t="inlineStr">
        <is>
          <t>boolean</t>
        </is>
      </c>
      <c r="L512" s="3" t="inlineStr">
        <is>
          <t>NOT FOUND — a screen calls it, but the words printed beside its answer could not be traced automatically. Needs reading.</t>
        </is>
      </c>
      <c r="M512" s="3" t="inlineStr">
        <is>
          <t>None found in this function — anything it assumes comes from the functions it depends on.</t>
        </is>
      </c>
      <c r="N512" s="3" t="inlineStr">
        <is>
          <t>Yes</t>
        </is>
      </c>
      <c r="O512" s="3" t="inlineStr">
        <is>
          <t>—</t>
        </is>
      </c>
      <c r="P512" s="3" t="n">
        <v>0</v>
      </c>
      <c r="Q512" s="3" t="inlineStr">
        <is>
          <t>None — no dependent function stands behind it</t>
        </is>
      </c>
      <c r="R512" s="3" t="inlineStr">
        <is>
          <t>No dependent function — it reads its inputs and answers</t>
        </is>
      </c>
      <c r="S512" s="3" t="inlineStr">
        <is>
          <t>—</t>
        </is>
      </c>
      <c r="T512" s="3" t="inlineStr">
        <is>
          <t>TICKER_PLAUSIBLE</t>
        </is>
      </c>
      <c r="U512" s="3" t="inlineStr">
        <is>
          <t>ACTIVE</t>
        </is>
      </c>
      <c r="V512" s="3" t="inlineStr">
        <is>
          <t>2026-08-27</t>
        </is>
      </c>
    </row>
    <row r="513">
      <c r="A513" s="3" t="inlineStr">
        <is>
          <t>MK-XS-F-082</t>
        </is>
      </c>
      <c r="B513" s="3" t="inlineStr">
        <is>
          <t>priceFreshness</t>
        </is>
      </c>
      <c r="C513" s="3" t="inlineStr">
        <is>
          <t>src/services/marketData.ts</t>
        </is>
      </c>
      <c r="D513" s="3" t="n">
        <v>122</v>
      </c>
      <c r="E513" s="3" t="inlineStr">
        <is>
          <t>2 · DISPLAYED</t>
        </is>
      </c>
      <c r="F513" s="3" t="inlineStr">
        <is>
          <t>Human freshness of the price cache + whether it's stale enough to warn (markets move daily, so anything older than ~4 days — a long weekend/holiday — is worth a "may be out of date" note).</t>
        </is>
      </c>
      <c r="G513" s="6" t="inlineStr">
        <is>
          <t>age   = now − the moment prices were last fetched
stale = age ≥ 4 days,  or nothing was ever fetched,  or the moment cannot be read</t>
        </is>
      </c>
      <c r="H513"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513" s="3" t="inlineStr">
        <is>
          <t>READ BY HAND 2026-08-26 — checked line by line against the code</t>
        </is>
      </c>
      <c r="J513" s="3" t="inlineStr">
        <is>
          <t>1. fetchedAt: string | null | undefined
2. now: number</t>
        </is>
      </c>
      <c r="K513" s="3" t="inlineStr">
        <is>
          <t>PriceFreshness</t>
        </is>
      </c>
      <c r="L513" s="3" t="inlineStr">
        <is>
          <t>NOT FOUND — a screen calls it, but the words printed beside its answer could not be traced automatically. Needs reading.</t>
        </is>
      </c>
      <c r="M513" s="3" t="inlineStr">
        <is>
          <t>None found in this function — anything it assumes comes from the functions it depends on.</t>
        </is>
      </c>
      <c r="N513" s="3" t="inlineStr">
        <is>
          <t>Yes</t>
        </is>
      </c>
      <c r="O513" s="3" t="inlineStr">
        <is>
          <t>—</t>
        </is>
      </c>
      <c r="P513" s="3" t="n">
        <v>0</v>
      </c>
      <c r="Q513" s="3" t="inlineStr">
        <is>
          <t>None — no dependent function stands behind it</t>
        </is>
      </c>
      <c r="R513" s="3" t="inlineStr">
        <is>
          <t>No dependent function — it reads its inputs and answers</t>
        </is>
      </c>
      <c r="S513" s="3" t="inlineStr">
        <is>
          <t>MK-HM-M-001</t>
        </is>
      </c>
      <c r="T513" s="3" t="inlineStr">
        <is>
          <t>PRICE_FRESHNESS</t>
        </is>
      </c>
      <c r="U513" s="3" t="inlineStr">
        <is>
          <t>ACTIVE</t>
        </is>
      </c>
      <c r="V513" s="3" t="inlineStr">
        <is>
          <t>2026-08-27</t>
        </is>
      </c>
    </row>
    <row r="514">
      <c r="A514" s="3" t="inlineStr">
        <is>
          <t>MK-XS-F-083</t>
        </is>
      </c>
      <c r="B514" s="3" t="inlineStr">
        <is>
          <t>fetchPriceSeries</t>
        </is>
      </c>
      <c r="C514" s="3" t="inlineStr">
        <is>
          <t>src/services/marketData.ts</t>
        </is>
      </c>
      <c r="D514" s="3" t="n">
        <v>155</v>
      </c>
      <c r="E514" s="3" t="inlineStr">
        <is>
          <t>3 · DEPENDENT (feeds an action only)</t>
        </is>
      </c>
      <c r="F514" s="3" t="inlineStr">
        <is>
          <t>Fetch many tickers in parallel; returns only the ones that resolved.</t>
        </is>
      </c>
      <c r="G514" s="6" t="inlineStr">
        <is>
          <t>unique = array.from(new set(tickers.map((t) =&gt; trim().to upper case()).filter(boolean)))
results = await promise.all settled(unique.map((t) =&gt; provider.fetch series(t, range)))
out = {}
r = results[i]
the answer = out</t>
        </is>
      </c>
      <c r="H514" s="3" t="inlineStr">
        <is>
          <t>Unique is array.from(new set(tickers.map((t) =&gt; trim().to upper case()).filter(boolean))). Results is await promise.all settled(unique.map((t) =&gt; provider.fetch series(t, range))). Out is {}. R is results[i]. The answer is out.</t>
        </is>
      </c>
      <c r="I514" s="3" t="inlineStr">
        <is>
          <t>PARTLY READ — some of the code is still showing through; needs a hand pass</t>
        </is>
      </c>
      <c r="J514" s="3" t="inlineStr">
        <is>
          <t>Nothing is handed to it</t>
        </is>
      </c>
      <c r="K514" s="3" t="inlineStr">
        <is>
          <t>NOT DECLARED — the code does not say what it gives back</t>
        </is>
      </c>
      <c r="L514" s="3" t="inlineStr">
        <is>
          <t>—</t>
        </is>
      </c>
      <c r="M514" s="3" t="inlineStr">
        <is>
          <t>· Leaves some rows out of the answer — check which.</t>
        </is>
      </c>
      <c r="N514" s="3" t="inlineStr">
        <is>
          <t>No</t>
        </is>
      </c>
      <c r="O514" s="3" t="inlineStr">
        <is>
          <t>MK-CF-F-132 map</t>
        </is>
      </c>
      <c r="P514" s="3" t="n">
        <v>1</v>
      </c>
      <c r="Q514" s="3" t="inlineStr">
        <is>
          <t>MK-CF-F-132 map</t>
        </is>
      </c>
      <c r="R514" s="3" t="inlineStr">
        <is>
          <t>MK-CF-F-132 map → MK-XS-F-083 fetchPriceSeries</t>
        </is>
      </c>
      <c r="S514" s="3" t="inlineStr">
        <is>
          <t>—</t>
        </is>
      </c>
      <c r="T514" s="3" t="inlineStr">
        <is>
          <t>FETCH_PRICES</t>
        </is>
      </c>
      <c r="U514" s="3" t="inlineStr">
        <is>
          <t>ACTIVE</t>
        </is>
      </c>
      <c r="V514" s="3" t="inlineStr">
        <is>
          <t>2026-08-27</t>
        </is>
      </c>
    </row>
    <row r="515">
      <c r="A515" s="3" t="inlineStr">
        <is>
          <t>MK-XS-F-084</t>
        </is>
      </c>
      <c r="B515" s="3" t="inlineStr">
        <is>
          <t>requestNotificationPermission</t>
        </is>
      </c>
      <c r="C515" s="3" t="inlineStr">
        <is>
          <t>src/services/notifications.ts</t>
        </is>
      </c>
      <c r="D515" s="3" t="n">
        <v>34</v>
      </c>
      <c r="E515" s="3" t="inlineStr">
        <is>
          <t>2 · DISPLAYED</t>
        </is>
      </c>
      <c r="F515" s="3" t="inlineStr">
        <is>
          <t>NOT DETERMINED — the code carries no note saying what this is for, and it has no row in the old inventory. Needs reading.</t>
        </is>
      </c>
      <c r="G515" s="6" t="inlineStr">
        <is>
          <t>false   when device.is device is missing
true   when existing = 'granted'
status = 'granted'</t>
        </is>
      </c>
      <c r="H515" s="3" t="inlineStr">
        <is>
          <t>When device.is device is missing, it answers false. When existing = 'granted', it answers true. status = 'granted'.</t>
        </is>
      </c>
      <c r="I515" s="3" t="inlineStr">
        <is>
          <t>READ FROM THE CODE — rendered from the expressions the function runs</t>
        </is>
      </c>
      <c r="J515" s="3" t="inlineStr">
        <is>
          <t>Nothing is handed to it</t>
        </is>
      </c>
      <c r="K515" s="3" t="inlineStr">
        <is>
          <t>Promise&lt;boolean&gt;</t>
        </is>
      </c>
      <c r="L515" s="3" t="inlineStr">
        <is>
          <t>NOT FOUND — a screen calls it, but the words printed beside its answer could not be traced automatically. Needs reading.</t>
        </is>
      </c>
      <c r="M515" s="3" t="inlineStr">
        <is>
          <t>None found in this function — anything it assumes comes from the functions it depends on.</t>
        </is>
      </c>
      <c r="N515" s="3" t="inlineStr">
        <is>
          <t>Yes</t>
        </is>
      </c>
      <c r="O515" s="3" t="inlineStr">
        <is>
          <t>—</t>
        </is>
      </c>
      <c r="P515" s="3" t="n">
        <v>0</v>
      </c>
      <c r="Q515" s="3" t="inlineStr">
        <is>
          <t>None — no dependent function stands behind it</t>
        </is>
      </c>
      <c r="R515" s="3" t="inlineStr">
        <is>
          <t>No dependent function — it reads its inputs and answers</t>
        </is>
      </c>
      <c r="S515" s="3" t="inlineStr">
        <is>
          <t>—</t>
        </is>
      </c>
      <c r="T515" s="3" t="inlineStr">
        <is>
          <t>—</t>
        </is>
      </c>
      <c r="U515" s="3" t="inlineStr">
        <is>
          <t>ACTIVE</t>
        </is>
      </c>
      <c r="V515" s="3" t="inlineStr">
        <is>
          <t>2026-08-27</t>
        </is>
      </c>
    </row>
    <row r="516">
      <c r="A516" s="3" t="inlineStr">
        <is>
          <t>MK-XS-F-085</t>
        </is>
      </c>
      <c r="B516" s="3" t="inlineStr">
        <is>
          <t>scheduleStreakReminder</t>
        </is>
      </c>
      <c r="C516" s="3" t="inlineStr">
        <is>
          <t>src/services/notifications.ts</t>
        </is>
      </c>
      <c r="D516" s="3" t="n">
        <v>60</v>
      </c>
      <c r="E516" s="3" t="inlineStr">
        <is>
          <t>1 · ACTION</t>
        </is>
      </c>
      <c r="F516" s="3" t="inlineStr">
        <is>
          <t>── Schedule daily streak reminder ─────────────────────────────────</t>
        </is>
      </c>
      <c r="G516" s="6" t="inlineStr">
        <is>
          <t>NOT READ YET — the body is not a shape this can render faithfully, so nothing is claimed rather than something being guessed. It needs reading by hand.</t>
        </is>
      </c>
      <c r="H516" s="3" t="inlineStr">
        <is>
          <t>NOT READ YET — the body is not a shape this can render faithfully, so nothing is claimed rather than something being guessed. It needs reading by hand.</t>
        </is>
      </c>
      <c r="I516" s="3" t="inlineStr">
        <is>
          <t>NOT READ — nothing is claimed rather than something guessed</t>
        </is>
      </c>
      <c r="J516" s="3" t="inlineStr">
        <is>
          <t>Nothing is handed to it</t>
        </is>
      </c>
      <c r="K516" s="3" t="inlineStr">
        <is>
          <t>NOT DECLARED — the code does not say what it gives back</t>
        </is>
      </c>
      <c r="L516" s="3" t="inlineStr">
        <is>
          <t>—</t>
        </is>
      </c>
      <c r="M516" s="3" t="inlineStr">
        <is>
          <t>None found in this function — anything it assumes comes from the functions it depends on.</t>
        </is>
      </c>
      <c r="N516" s="3" t="inlineStr">
        <is>
          <t>No</t>
        </is>
      </c>
      <c r="O516" s="3" t="inlineStr">
        <is>
          <t>—</t>
        </is>
      </c>
      <c r="P516" s="3" t="n">
        <v>0</v>
      </c>
      <c r="Q516" s="3" t="inlineStr">
        <is>
          <t>None — no dependent function stands behind it</t>
        </is>
      </c>
      <c r="R516" s="3" t="inlineStr">
        <is>
          <t>No dependent function — it reads its inputs and answers</t>
        </is>
      </c>
      <c r="S516" s="3" t="inlineStr">
        <is>
          <t>—</t>
        </is>
      </c>
      <c r="T516" s="3" t="inlineStr">
        <is>
          <t>—</t>
        </is>
      </c>
      <c r="U516" s="3" t="inlineStr">
        <is>
          <t>ACTIVE</t>
        </is>
      </c>
      <c r="V516" s="3" t="inlineStr">
        <is>
          <t>2026-08-27</t>
        </is>
      </c>
    </row>
    <row r="517">
      <c r="A517" s="3" t="inlineStr">
        <is>
          <t>MK-XS-F-086</t>
        </is>
      </c>
      <c r="B517" s="3" t="inlineStr">
        <is>
          <t>cancelStreakReminder</t>
        </is>
      </c>
      <c r="C517" s="3" t="inlineStr">
        <is>
          <t>src/services/notifications.ts</t>
        </is>
      </c>
      <c r="D517" s="3" t="n">
        <v>94</v>
      </c>
      <c r="E517" s="3" t="inlineStr">
        <is>
          <t>1 · ACTION</t>
        </is>
      </c>
      <c r="F517" s="3" t="inlineStr">
        <is>
          <t>── Cancel streak reminder (e.g.</t>
        </is>
      </c>
      <c r="G517" s="6" t="inlineStr">
        <is>
          <t>NOT READ YET — the body is not a shape this can render faithfully, so nothing is claimed rather than something being guessed. It needs reading by hand.</t>
        </is>
      </c>
      <c r="H517" s="3" t="inlineStr">
        <is>
          <t>NOT READ YET — the body is not a shape this can render faithfully, so nothing is claimed rather than something being guessed. It needs reading by hand.</t>
        </is>
      </c>
      <c r="I517" s="3" t="inlineStr">
        <is>
          <t>NOT READ — nothing is claimed rather than something guessed</t>
        </is>
      </c>
      <c r="J517" s="3" t="inlineStr">
        <is>
          <t>Nothing is handed to it</t>
        </is>
      </c>
      <c r="K517" s="3" t="inlineStr">
        <is>
          <t>NOT DECLARED — the code does not say what it gives back</t>
        </is>
      </c>
      <c r="L517" s="3" t="inlineStr">
        <is>
          <t>—</t>
        </is>
      </c>
      <c r="M517" s="3" t="inlineStr">
        <is>
          <t>None found in this function — anything it assumes comes from the functions it depends on.</t>
        </is>
      </c>
      <c r="N517" s="3" t="inlineStr">
        <is>
          <t>No</t>
        </is>
      </c>
      <c r="O517" s="3" t="inlineStr">
        <is>
          <t>—</t>
        </is>
      </c>
      <c r="P517" s="3" t="n">
        <v>0</v>
      </c>
      <c r="Q517" s="3" t="inlineStr">
        <is>
          <t>None — no dependent function stands behind it</t>
        </is>
      </c>
      <c r="R517" s="3" t="inlineStr">
        <is>
          <t>No dependent function — it reads its inputs and answers</t>
        </is>
      </c>
      <c r="S517" s="3" t="inlineStr">
        <is>
          <t>—</t>
        </is>
      </c>
      <c r="T517" s="3" t="inlineStr">
        <is>
          <t>—</t>
        </is>
      </c>
      <c r="U517" s="3" t="inlineStr">
        <is>
          <t>ACTIVE</t>
        </is>
      </c>
      <c r="V517" s="3" t="inlineStr">
        <is>
          <t>2026-08-27</t>
        </is>
      </c>
    </row>
    <row r="518">
      <c r="A518" s="3" t="inlineStr">
        <is>
          <t>MK-XS-F-087</t>
        </is>
      </c>
      <c r="B518" s="3" t="inlineStr">
        <is>
          <t>scheduleRmdReminder</t>
        </is>
      </c>
      <c r="C518" s="3" t="inlineStr">
        <is>
          <t>src/services/notifications.ts</t>
        </is>
      </c>
      <c r="D518" s="3" t="n">
        <v>121</v>
      </c>
      <c r="E518" s="3" t="inlineStr">
        <is>
          <t>2 · DISPLAYED</t>
        </is>
      </c>
      <c r="F518" s="3" t="inlineStr">
        <is>
          <t>── Required-withdrawal reminders (FCC Plan r48/r51 — logistics only, no timing advice) ── November 1 nudge ahead of the Dec 31 deadline (this year or a future start year).</t>
        </is>
      </c>
      <c r="G518" s="6" t="inlineStr">
        <is>
          <t>id = `rmd − reminder-${year}`
fire at = the date year, 10, 1, 10, 0, 0
false   when fire at.get time() ≤ date.now()
the answer = true</t>
        </is>
      </c>
      <c r="H518" s="3" t="inlineStr">
        <is>
          <t>Id is `rmd minus reminder-${year}`. Fire at: the date year, 10, 1, 10, 0, 0. When fire at.get time() is at most date.now(), it answers false. The answer is true.</t>
        </is>
      </c>
      <c r="I518" s="3" t="inlineStr">
        <is>
          <t>PARTLY READ — some of the code is still showing through; needs a hand pass</t>
        </is>
      </c>
      <c r="J518" s="3" t="inlineStr">
        <is>
          <t>year: number</t>
        </is>
      </c>
      <c r="K518" s="3" t="inlineStr">
        <is>
          <t>NOT DECLARED — the code does not say what it gives back</t>
        </is>
      </c>
      <c r="L518" s="3" t="inlineStr">
        <is>
          <t>NOT FOUND — a screen calls it, but the words printed beside its answer could not be traced automatically. Needs reading.</t>
        </is>
      </c>
      <c r="M518" s="3" t="inlineStr">
        <is>
          <t>· Uses today's date from the device clock, so the answer changes by itself overnight.</t>
        </is>
      </c>
      <c r="N518" s="3" t="inlineStr">
        <is>
          <t>Yes</t>
        </is>
      </c>
      <c r="O518" s="3" t="inlineStr">
        <is>
          <t>—</t>
        </is>
      </c>
      <c r="P518" s="3" t="n">
        <v>0</v>
      </c>
      <c r="Q518" s="3" t="inlineStr">
        <is>
          <t>None — no dependent function stands behind it</t>
        </is>
      </c>
      <c r="R518" s="3" t="inlineStr">
        <is>
          <t>No dependent function — it reads its inputs and answers</t>
        </is>
      </c>
      <c r="S518" s="3" t="inlineStr">
        <is>
          <t>—</t>
        </is>
      </c>
      <c r="T518" s="3" t="inlineStr">
        <is>
          <t>—</t>
        </is>
      </c>
      <c r="U518" s="3" t="inlineStr">
        <is>
          <t>ACTIVE</t>
        </is>
      </c>
      <c r="V518" s="3" t="inlineStr">
        <is>
          <t>2026-08-27</t>
        </is>
      </c>
    </row>
    <row r="519">
      <c r="A519" s="3" t="inlineStr">
        <is>
          <t>MK-XS-F-088</t>
        </is>
      </c>
      <c r="B519" s="3" t="inlineStr">
        <is>
          <t>sendBudgetAlert</t>
        </is>
      </c>
      <c r="C519" s="3" t="inlineStr">
        <is>
          <t>src/services/notifications.ts</t>
        </is>
      </c>
      <c r="D519" s="3" t="n">
        <v>158</v>
      </c>
      <c r="E519" s="3" t="inlineStr">
        <is>
          <t>1 · ACTION</t>
        </is>
      </c>
      <c r="F519" s="3" t="inlineStr">
        <is>
          <t>── Budget alert (fire immediately) ────────────────────────────────</t>
        </is>
      </c>
      <c r="G519" s="6" t="inlineStr">
        <is>
          <t>NOT READ YET — the body is not a shape this can render faithfully, so nothing is claimed rather than something being guessed. It needs reading by hand.</t>
        </is>
      </c>
      <c r="H519" s="3" t="inlineStr">
        <is>
          <t>NOT READ YET — the body is not a shape this can render faithfully, so nothing is claimed rather than something being guessed. It needs reading by hand.</t>
        </is>
      </c>
      <c r="I519" s="3" t="inlineStr">
        <is>
          <t>NOT READ — nothing is claimed rather than something guessed</t>
        </is>
      </c>
      <c r="J519" s="3" t="inlineStr">
        <is>
          <t>1. category: string
2. pct: number</t>
        </is>
      </c>
      <c r="K519" s="3" t="inlineStr">
        <is>
          <t>NOT DECLARED — the code does not say what it gives back</t>
        </is>
      </c>
      <c r="L519" s="3" t="inlineStr">
        <is>
          <t>—</t>
        </is>
      </c>
      <c r="M519" s="3" t="inlineStr">
        <is>
          <t>· Rounds the answer to a whole number.</t>
        </is>
      </c>
      <c r="N519" s="3" t="inlineStr">
        <is>
          <t>No</t>
        </is>
      </c>
      <c r="O519" s="3" t="inlineStr">
        <is>
          <t>—</t>
        </is>
      </c>
      <c r="P519" s="3" t="n">
        <v>0</v>
      </c>
      <c r="Q519" s="3" t="inlineStr">
        <is>
          <t>None — no dependent function stands behind it</t>
        </is>
      </c>
      <c r="R519" s="3" t="inlineStr">
        <is>
          <t>No dependent function — it reads its inputs and answers</t>
        </is>
      </c>
      <c r="S519" s="3" t="inlineStr">
        <is>
          <t>—</t>
        </is>
      </c>
      <c r="T519" s="3" t="inlineStr">
        <is>
          <t>—</t>
        </is>
      </c>
      <c r="U519" s="3" t="inlineStr">
        <is>
          <t>ACTIVE</t>
        </is>
      </c>
      <c r="V519" s="3" t="inlineStr">
        <is>
          <t>2026-08-27</t>
        </is>
      </c>
    </row>
    <row r="520">
      <c r="A520" s="3" t="inlineStr">
        <is>
          <t>MK-XS-F-089</t>
        </is>
      </c>
      <c r="B520" s="3" t="inlineStr">
        <is>
          <t>scheduleWeeklySummary</t>
        </is>
      </c>
      <c r="C520" s="3" t="inlineStr">
        <is>
          <t>src/services/notifications.ts</t>
        </is>
      </c>
      <c r="D520" s="3" t="n">
        <v>185</v>
      </c>
      <c r="E520" s="3" t="inlineStr">
        <is>
          <t>1 · ACTION</t>
        </is>
      </c>
      <c r="F520" s="3" t="inlineStr">
        <is>
          <t>── Weekly summary notification ────────────────────────────────────</t>
        </is>
      </c>
      <c r="G520" s="6" t="inlineStr">
        <is>
          <t>NOT READ YET — the body is not a shape this can render faithfully, so nothing is claimed rather than something being guessed. It needs reading by hand.</t>
        </is>
      </c>
      <c r="H520" s="3" t="inlineStr">
        <is>
          <t>NOT READ YET — the body is not a shape this can render faithfully, so nothing is claimed rather than something being guessed. It needs reading by hand.</t>
        </is>
      </c>
      <c r="I520" s="3" t="inlineStr">
        <is>
          <t>NOT READ — nothing is claimed rather than something guessed</t>
        </is>
      </c>
      <c r="J520" s="3" t="inlineStr">
        <is>
          <t>Nothing is handed to it</t>
        </is>
      </c>
      <c r="K520" s="3" t="inlineStr">
        <is>
          <t>NOT DECLARED — the code does not say what it gives back</t>
        </is>
      </c>
      <c r="L520" s="3" t="inlineStr">
        <is>
          <t>—</t>
        </is>
      </c>
      <c r="M520" s="3" t="inlineStr">
        <is>
          <t>None found in this function — anything it assumes comes from the functions it depends on.</t>
        </is>
      </c>
      <c r="N520" s="3" t="inlineStr">
        <is>
          <t>No</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2026-08-27</t>
        </is>
      </c>
    </row>
    <row r="521">
      <c r="A521" s="3" t="inlineStr">
        <is>
          <t>MK-XS-F-090</t>
        </is>
      </c>
      <c r="B521" s="3" t="inlineStr">
        <is>
          <t>addNotificationResponseListener</t>
        </is>
      </c>
      <c r="C521" s="3" t="inlineStr">
        <is>
          <t>src/services/notifications.ts</t>
        </is>
      </c>
      <c r="D521" s="3" t="n">
        <v>220</v>
      </c>
      <c r="E521" s="3" t="inlineStr">
        <is>
          <t>3 · DEPENDENT (feeds an action only)</t>
        </is>
      </c>
      <c r="F521" s="3" t="inlineStr">
        <is>
          <t>── Listen for notification taps ───────────────────────────────────</t>
        </is>
      </c>
      <c r="G521" s="6" t="inlineStr">
        <is>
          <t>screen = response.notification.request.content.data.screen as string</t>
        </is>
      </c>
      <c r="H521" s="3" t="inlineStr">
        <is>
          <t>Screen is response.notification.request.content.data.screen as string.</t>
        </is>
      </c>
      <c r="I521" s="3" t="inlineStr">
        <is>
          <t>READ FROM THE CODE — rendered from the expressions the function runs</t>
        </is>
      </c>
      <c r="J521" s="3" t="inlineStr">
        <is>
          <t>Nothing is handed to it</t>
        </is>
      </c>
      <c r="K521" s="3" t="inlineStr">
        <is>
          <t>NOT DECLARED — the code does not say what it gives back</t>
        </is>
      </c>
      <c r="L521" s="3" t="inlineStr">
        <is>
          <t>—</t>
        </is>
      </c>
      <c r="M521" s="3" t="inlineStr">
        <is>
          <t>None found in this function — anything it assumes comes from the functions it depends on.</t>
        </is>
      </c>
      <c r="N521" s="3" t="inlineStr">
        <is>
          <t>No</t>
        </is>
      </c>
      <c r="O521" s="3" t="inlineStr">
        <is>
          <t>—</t>
        </is>
      </c>
      <c r="P521" s="3" t="n">
        <v>0</v>
      </c>
      <c r="Q521" s="3" t="inlineStr">
        <is>
          <t>None — no dependent function stands behind it</t>
        </is>
      </c>
      <c r="R521" s="3" t="inlineStr">
        <is>
          <t>No dependent function — it reads its inputs and answers</t>
        </is>
      </c>
      <c r="S521" s="3" t="inlineStr">
        <is>
          <t>—</t>
        </is>
      </c>
      <c r="T521" s="3" t="inlineStr">
        <is>
          <t>—</t>
        </is>
      </c>
      <c r="U521" s="3" t="inlineStr">
        <is>
          <t>ACTIVE</t>
        </is>
      </c>
      <c r="V521" s="3" t="inlineStr">
        <is>
          <t>2026-08-27</t>
        </is>
      </c>
    </row>
    <row r="522">
      <c r="A522" s="3" t="inlineStr">
        <is>
          <t>MK-XS-F-091</t>
        </is>
      </c>
      <c r="B522" s="3" t="inlineStr">
        <is>
          <t>scheduleSsWindowReminder</t>
        </is>
      </c>
      <c r="C522" s="3" t="inlineStr">
        <is>
          <t>src/services/notifications.ts</t>
        </is>
      </c>
      <c r="D522" s="3" t="n">
        <v>252</v>
      </c>
      <c r="E522" s="3" t="inlineStr">
        <is>
          <t>2 · DISPLAYED</t>
        </is>
      </c>
      <c r="F522" s="3" t="inlineStr">
        <is>
          <t>── Social Security claim-window reminder (design r18, built pre-48 per founder decision) ── Fires the month the claim window opens (their 62nd-birthday month), 10:00 on the 1st.</t>
        </is>
      </c>
      <c r="G522" s="6" t="inlineStr">
        <is>
          <t>id = 'ss − window − reminder'
fire at = the date opens year, opens month1 − 1, 1, 10, 0, 0
false   when fire at.get time() ≤ date.now()
the answer = true</t>
        </is>
      </c>
      <c r="H522" s="3" t="inlineStr">
        <is>
          <t>Id is 'ss minus window minus reminder'. Fire at: the date opens year, opens month1 minus 1, 1, 10, 0, 0. When fire at.get time() is at most date.now(), it answers false. The answer is true.</t>
        </is>
      </c>
      <c r="I522" s="3" t="inlineStr">
        <is>
          <t>PARTLY READ — some of the code is still showing through; needs a hand pass</t>
        </is>
      </c>
      <c r="J522" s="3" t="inlineStr">
        <is>
          <t>1. opensYear: number
2. opensMonth1: number</t>
        </is>
      </c>
      <c r="K522" s="3" t="inlineStr">
        <is>
          <t>NOT DECLARED — the code does not say what it gives back</t>
        </is>
      </c>
      <c r="L522" s="3" t="inlineStr">
        <is>
          <t>NOT FOUND — a screen calls it, but the words printed beside its answer could not be traced automatically. Needs reading.</t>
        </is>
      </c>
      <c r="M522" s="3" t="inlineStr">
        <is>
          <t>· Uses today's date from the device clock, so the answer changes by itself overnight.</t>
        </is>
      </c>
      <c r="N522" s="3" t="inlineStr">
        <is>
          <t>Yes</t>
        </is>
      </c>
      <c r="O522" s="3" t="inlineStr">
        <is>
          <t>—</t>
        </is>
      </c>
      <c r="P522" s="3" t="n">
        <v>0</v>
      </c>
      <c r="Q522" s="3" t="inlineStr">
        <is>
          <t>None — no dependent function stands behind it</t>
        </is>
      </c>
      <c r="R522" s="3" t="inlineStr">
        <is>
          <t>No dependent function — it reads its inputs and answers</t>
        </is>
      </c>
      <c r="S522" s="3" t="inlineStr">
        <is>
          <t>—</t>
        </is>
      </c>
      <c r="T522" s="3" t="inlineStr">
        <is>
          <t>—</t>
        </is>
      </c>
      <c r="U522" s="3" t="inlineStr">
        <is>
          <t>ACTIVE</t>
        </is>
      </c>
      <c r="V522" s="3" t="inlineStr">
        <is>
          <t>2026-08-27</t>
        </is>
      </c>
    </row>
    <row r="523">
      <c r="A523" s="3" t="inlineStr">
        <is>
          <t>MK-XS-F-092</t>
        </is>
      </c>
      <c r="B523" s="3" t="inlineStr">
        <is>
          <t>parseReceiptWithOCR</t>
        </is>
      </c>
      <c r="C523" s="3" t="inlineStr">
        <is>
          <t>src/services/receiptOCR.ts</t>
        </is>
      </c>
      <c r="D523" s="3" t="n">
        <v>40</v>
      </c>
      <c r="E523" s="3" t="inlineStr">
        <is>
          <t>4 · BRINGS DATA IN</t>
        </is>
      </c>
      <c r="F523" s="3" t="inlineStr">
        <is>
          <t>Sends a receipt image to Google Cloud Vision API for OCR, then parses the raw text to extract store, total, date, category.</t>
        </is>
      </c>
      <c r="G523" s="6" t="inlineStr">
        <is>
          <t>the answer = nothing
json = await response.json()
raw text = json.responses.[0].full text annotation.text (or '' when missing or zero)
nothing   when raw text is missing</t>
        </is>
      </c>
      <c r="H523" s="3" t="inlineStr">
        <is>
          <t>The answer is no answer. Json is await response.json(). Raw text is json.responses.[0].full text annotation.text (or '' — when missing or zero). When raw text is missing, it answers no answer.</t>
        </is>
      </c>
      <c r="I523" s="3" t="inlineStr">
        <is>
          <t>PARTLY READ — some of the code is still showing through; needs a hand pass</t>
        </is>
      </c>
      <c r="J523" s="3" t="inlineStr">
        <is>
          <t>imageUri: string</t>
        </is>
      </c>
      <c r="K523" s="3" t="inlineStr">
        <is>
          <t>Promise&lt;ParsedReceipt | null&gt;</t>
        </is>
      </c>
      <c r="L523" s="3" t="inlineStr">
        <is>
          <t>—</t>
        </is>
      </c>
      <c r="M523" s="3" t="inlineStr">
        <is>
          <t>None found in this function — anything it assumes comes from the functions it depends on.</t>
        </is>
      </c>
      <c r="N523" s="3" t="inlineStr">
        <is>
          <t>No</t>
        </is>
      </c>
      <c r="O523" s="3" t="inlineStr">
        <is>
          <t>MK-XS-F-094 parseReceiptText</t>
        </is>
      </c>
      <c r="P523" s="3" t="n">
        <v>4</v>
      </c>
      <c r="Q523" s="3" t="inlineStr">
        <is>
          <t>1. MK-XS-F-094 parseReceiptText
2. MK-XS-F-144 guessCategory
3. MK-CF-F-132 map
4. MK-XS-F-093 stripNonMoney</t>
        </is>
      </c>
      <c r="R523" s="3" t="inlineStr">
        <is>
          <t>1. MK-XS-F-144 guessCategory → MK-XS-F-094 parseReceiptText → MK-XS-F-092 parseReceiptWithOCR
2. MK-CF-F-132 map → MK-XS-F-094 parseReceiptText → MK-XS-F-092 parseReceiptWithOCR
3. MK-XS-F-093 stripNonMoney → MK-XS-F-094 parseReceiptText → MK-XS-F-092 parseReceiptWithOCR</t>
        </is>
      </c>
      <c r="S523" s="3" t="inlineStr">
        <is>
          <t>—</t>
        </is>
      </c>
      <c r="T523" s="3" t="inlineStr">
        <is>
          <t>—</t>
        </is>
      </c>
      <c r="U523" s="3" t="inlineStr">
        <is>
          <t>ACTIVE</t>
        </is>
      </c>
      <c r="V523" s="3" t="inlineStr">
        <is>
          <t>2026-08-27</t>
        </is>
      </c>
    </row>
    <row r="524">
      <c r="A524" s="3" t="inlineStr">
        <is>
          <t>MK-XS-F-093</t>
        </is>
      </c>
      <c r="B524" s="3" t="inlineStr">
        <is>
          <t>stripNonMoney</t>
        </is>
      </c>
      <c r="C524" s="3" t="inlineStr">
        <is>
          <t>src/services/receiptOCR.ts</t>
        </is>
      </c>
      <c r="D524" s="3" t="n">
        <v>109</v>
      </c>
      <c r="E524" s="3" t="inlineStr">
        <is>
          <t>3 · DEPENDENT</t>
        </is>
      </c>
      <c r="F524" s="3" t="inlineStr">
        <is>
          <t>A DATE IS NOT MONEY.</t>
        </is>
      </c>
      <c r="G524" s="6" t="inlineStr">
        <is>
          <t>NOT READ YET — the body is not a shape this can render faithfully, so nothing is claimed rather than something being guessed. It needs reading by hand.</t>
        </is>
      </c>
      <c r="H524" s="3" t="inlineStr">
        <is>
          <t>NOT READ YET — the body is not a shape this can render faithfully, so nothing is claimed rather than something being guessed. It needs reading by hand.</t>
        </is>
      </c>
      <c r="I524" s="3" t="inlineStr">
        <is>
          <t>NOT READ — nothing is claimed rather than something guessed</t>
        </is>
      </c>
      <c r="J524" s="3" t="inlineStr">
        <is>
          <t>line: string</t>
        </is>
      </c>
      <c r="K524" s="3" t="inlineStr">
        <is>
          <t>string</t>
        </is>
      </c>
      <c r="L524" s="3" t="inlineStr">
        <is>
          <t>—</t>
        </is>
      </c>
      <c r="M524" s="3" t="inlineStr">
        <is>
          <t>None found in this function — anything it assumes comes from the functions it depends on.</t>
        </is>
      </c>
      <c r="N524" s="3" t="inlineStr">
        <is>
          <t>Yes</t>
        </is>
      </c>
      <c r="O524" s="3" t="inlineStr">
        <is>
          <t>—</t>
        </is>
      </c>
      <c r="P524" s="3" t="n">
        <v>0</v>
      </c>
      <c r="Q524" s="3" t="inlineStr">
        <is>
          <t>None — no dependent function stands behind it</t>
        </is>
      </c>
      <c r="R524" s="3" t="inlineStr">
        <is>
          <t>No dependent function — it reads its inputs and answers</t>
        </is>
      </c>
      <c r="S524" s="3" t="inlineStr">
        <is>
          <t>—</t>
        </is>
      </c>
      <c r="T524" s="3" t="inlineStr">
        <is>
          <t>—</t>
        </is>
      </c>
      <c r="U524" s="3" t="inlineStr">
        <is>
          <t>ACTIVE</t>
        </is>
      </c>
      <c r="V524" s="3" t="inlineStr">
        <is>
          <t>2026-08-27</t>
        </is>
      </c>
    </row>
    <row r="525">
      <c r="A525" s="3" t="inlineStr">
        <is>
          <t>MK-XS-F-094</t>
        </is>
      </c>
      <c r="B525" s="3" t="inlineStr">
        <is>
          <t>parseReceiptText</t>
        </is>
      </c>
      <c r="C525" s="3" t="inlineStr">
        <is>
          <t>src/services/receiptOCR.ts</t>
        </is>
      </c>
      <c r="D525" s="3" t="n">
        <v>156</v>
      </c>
      <c r="E525" s="3" t="inlineStr">
        <is>
          <t>3 · DEPENDENT (feeds an action only)</t>
        </is>
      </c>
      <c r="F525" s="3" t="inlineStr">
        <is>
          <t>NOT DETERMINED — the code carries no note saying what this is for, and it has no row in the old inventory. Needs reading.</t>
        </is>
      </c>
      <c r="G525" s="6"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525"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525" s="3" t="inlineStr">
        <is>
          <t>PARTLY READ — some of the code is still showing through; needs a hand pass</t>
        </is>
      </c>
      <c r="J525" s="3" t="inlineStr">
        <is>
          <t>text: string</t>
        </is>
      </c>
      <c r="K525" s="3" t="inlineStr">
        <is>
          <t>ParsedReceipt</t>
        </is>
      </c>
      <c r="L525" s="3" t="inlineStr">
        <is>
          <t>—</t>
        </is>
      </c>
      <c r="M525" s="3" t="inlineStr">
        <is>
          <t>1. Uses a built-in strong t of 0.
2. Uses a built-in weak t of 0.
3. Uses a built-in subtotal of 0.
4. Uses a built-in largest safe of 0.
5. Uses today's date from the device clock, so the answer changes by itself overnight.
6. Leaves some rows out of the answer — check which.</t>
        </is>
      </c>
      <c r="N525" s="3" t="inlineStr">
        <is>
          <t>No</t>
        </is>
      </c>
      <c r="O525" s="3" t="inlineStr">
        <is>
          <t>1. MK-XS-F-144 guessCategory
2. MK-CF-F-132 map
3. MK-XS-F-093 stripNonMoney</t>
        </is>
      </c>
      <c r="P525" s="3" t="n">
        <v>3</v>
      </c>
      <c r="Q525" s="3" t="inlineStr">
        <is>
          <t>1. MK-XS-F-144 guessCategory
2. MK-CF-F-132 map
3. MK-XS-F-093 stripNonMoney</t>
        </is>
      </c>
      <c r="R525" s="3" t="inlineStr">
        <is>
          <t>1. MK-XS-F-144 guessCategory → MK-XS-F-094 parseReceiptText
2. MK-CF-F-132 map → MK-XS-F-094 parseReceiptText
3. MK-XS-F-093 stripNonMoney → MK-XS-F-094 parseReceiptText</t>
        </is>
      </c>
      <c r="S525" s="3" t="inlineStr">
        <is>
          <t>—</t>
        </is>
      </c>
      <c r="T525" s="3" t="inlineStr">
        <is>
          <t>—</t>
        </is>
      </c>
      <c r="U525" s="3" t="inlineStr">
        <is>
          <t>ACTIVE</t>
        </is>
      </c>
      <c r="V525" s="3" t="inlineStr">
        <is>
          <t>2026-08-27</t>
        </is>
      </c>
    </row>
    <row r="526">
      <c r="A526" s="3" t="inlineStr">
        <is>
          <t>MK-XS-F-095</t>
        </is>
      </c>
      <c r="B526" s="3" t="inlineStr">
        <is>
          <t>ocrAvailable</t>
        </is>
      </c>
      <c r="C526" s="3" t="inlineStr">
        <is>
          <t>src/services/receiptScan.ts</t>
        </is>
      </c>
      <c r="D526" s="3" t="n">
        <v>27</v>
      </c>
      <c r="E526" s="3" t="inlineStr">
        <is>
          <t>2 · DISPLAYED</t>
        </is>
      </c>
      <c r="F526" s="3" t="inlineStr">
        <is>
          <t>NOT DETERMINED — the code carries no note saying what this is for, and it has no row in the old inventory. Needs reading.</t>
        </is>
      </c>
      <c r="G526" s="6" t="inlineStr">
        <is>
          <t>NOT READ YET — the body is not a shape this can render faithfully, so nothing is claimed rather than something being guessed. It needs reading by hand.</t>
        </is>
      </c>
      <c r="H526" s="3" t="inlineStr">
        <is>
          <t>NOT READ YET — the body is not a shape this can render faithfully, so nothing is claimed rather than something being guessed. It needs reading by hand.</t>
        </is>
      </c>
      <c r="I526" s="3" t="inlineStr">
        <is>
          <t>NOT READ — nothing is claimed rather than something guessed</t>
        </is>
      </c>
      <c r="J526" s="3" t="inlineStr">
        <is>
          <t>Nothing is handed to it</t>
        </is>
      </c>
      <c r="K526" s="3" t="inlineStr">
        <is>
          <t>boolean</t>
        </is>
      </c>
      <c r="L526" s="3" t="inlineStr">
        <is>
          <t>NOT FOUND — a screen calls it, but the words printed beside its answer could not be traced automatically. Needs reading.</t>
        </is>
      </c>
      <c r="M526" s="3" t="inlineStr">
        <is>
          <t>None found in this function — anything it assumes comes from the functions it depends on.</t>
        </is>
      </c>
      <c r="N526" s="3" t="inlineStr">
        <is>
          <t>Yes</t>
        </is>
      </c>
      <c r="O526" s="3" t="inlineStr">
        <is>
          <t>—</t>
        </is>
      </c>
      <c r="P526" s="3" t="n">
        <v>0</v>
      </c>
      <c r="Q526" s="3" t="inlineStr">
        <is>
          <t>None — no dependent function stands behind it</t>
        </is>
      </c>
      <c r="R526" s="3" t="inlineStr">
        <is>
          <t>No dependent function — it reads its inputs and answers</t>
        </is>
      </c>
      <c r="S526" s="3" t="inlineStr">
        <is>
          <t>—</t>
        </is>
      </c>
      <c r="T526" s="3" t="inlineStr">
        <is>
          <t>—</t>
        </is>
      </c>
      <c r="U526" s="3" t="inlineStr">
        <is>
          <t>ACTIVE</t>
        </is>
      </c>
      <c r="V526" s="3" t="inlineStr">
        <is>
          <t>2026-08-27</t>
        </is>
      </c>
    </row>
    <row r="527">
      <c r="A527" s="3" t="inlineStr">
        <is>
          <t>MK-XS-F-096</t>
        </is>
      </c>
      <c r="B527" s="3" t="inlineStr">
        <is>
          <t>pickReceipt</t>
        </is>
      </c>
      <c r="C527" s="3" t="inlineStr">
        <is>
          <t>src/services/receiptScan.ts</t>
        </is>
      </c>
      <c r="D527" s="3" t="n">
        <v>55</v>
      </c>
      <c r="E527" s="3" t="inlineStr">
        <is>
          <t>2 · DISPLAYED</t>
        </is>
      </c>
      <c r="F527" s="3" t="inlineStr">
        <is>
          <t>Capture (camera) or pick (library) a receipt image; returns its uri or null if cancelled/denied.</t>
        </is>
      </c>
      <c r="G527" s="6"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527"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527" s="3" t="inlineStr">
        <is>
          <t>PARTLY READ — some of the code is still showing through; needs a hand pass</t>
        </is>
      </c>
      <c r="J527" s="3" t="inlineStr">
        <is>
          <t>source: 'camera' | 'library'</t>
        </is>
      </c>
      <c r="K527" s="3" t="inlineStr">
        <is>
          <t>Promise&lt;string | null&gt;</t>
        </is>
      </c>
      <c r="L527" s="3" t="inlineStr">
        <is>
          <t>NOT FOUND — a screen calls it, but the words printed beside its answer could not be traced automatically. Needs reading.</t>
        </is>
      </c>
      <c r="M527" s="3" t="inlineStr">
        <is>
          <t>None found in this function — anything it assumes comes from the functions it depends on.</t>
        </is>
      </c>
      <c r="N527" s="3" t="inlineStr">
        <is>
          <t>Yes</t>
        </is>
      </c>
      <c r="O527" s="3" t="inlineStr">
        <is>
          <t>—</t>
        </is>
      </c>
      <c r="P527" s="3" t="n">
        <v>0</v>
      </c>
      <c r="Q527" s="3" t="inlineStr">
        <is>
          <t>None — no dependent function stands behind it</t>
        </is>
      </c>
      <c r="R527" s="3" t="inlineStr">
        <is>
          <t>No dependent function — it reads its inputs and answers</t>
        </is>
      </c>
      <c r="S527" s="3" t="inlineStr">
        <is>
          <t>—</t>
        </is>
      </c>
      <c r="T527" s="3" t="inlineStr">
        <is>
          <t>—</t>
        </is>
      </c>
      <c r="U527" s="3" t="inlineStr">
        <is>
          <t>ACTIVE</t>
        </is>
      </c>
      <c r="V527" s="3" t="inlineStr">
        <is>
          <t>2026-08-27</t>
        </is>
      </c>
    </row>
    <row r="528">
      <c r="A528" s="3" t="inlineStr">
        <is>
          <t>MK-XS-F-097</t>
        </is>
      </c>
      <c r="B528" s="3" t="inlineStr">
        <is>
          <t>ocrReceipt</t>
        </is>
      </c>
      <c r="C528" s="3" t="inlineStr">
        <is>
          <t>src/services/receiptScan.ts</t>
        </is>
      </c>
      <c r="D528" s="3" t="n">
        <v>174</v>
      </c>
      <c r="E528" s="3" t="inlineStr">
        <is>
          <t>2 · DISPLAYED (presentation only)</t>
        </is>
      </c>
      <c r="F528" s="3" t="inlineStr">
        <is>
          <t>NOT DETERMINED — the code carries no note saying what this is for, and it has no row in the old inventory. Needs reading.</t>
        </is>
      </c>
      <c r="G528" s="6" t="inlineStr">
        <is>
          <t>raw = ''   when !ocr available()
res = await mlkit.recognize(uri)
text = res.text (or '' when missing)
the answer:
...parse receipt(text) = ...parse receipt(text)
raw = text</t>
        </is>
      </c>
      <c r="H528" s="3" t="inlineStr">
        <is>
          <t>When !ocr available(), it answers raw = ''. Res is await mlkit.recognize(uri). Text is res.text (or '' — when missing). The answer is ...parse receipt(text) = ...parse receipt(text); raw = text.</t>
        </is>
      </c>
      <c r="I528" s="3" t="inlineStr">
        <is>
          <t>PARTLY READ — some of the code is still showing through; needs a hand pass</t>
        </is>
      </c>
      <c r="J528" s="3" t="inlineStr">
        <is>
          <t>uri: string</t>
        </is>
      </c>
      <c r="K528" s="3" t="inlineStr">
        <is>
          <t>Promise&lt;</t>
        </is>
      </c>
      <c r="L528" s="3" t="inlineStr">
        <is>
          <t>NOT FOUND — a screen calls it, but the words printed beside its answer could not be traced automatically. Needs reading.</t>
        </is>
      </c>
      <c r="M528" s="3" t="inlineStr">
        <is>
          <t>None found in this function — anything it assumes comes from the functions it depends on.</t>
        </is>
      </c>
      <c r="N528" s="3" t="inlineStr">
        <is>
          <t>Yes</t>
        </is>
      </c>
      <c r="O528" s="3" t="inlineStr">
        <is>
          <t>1. MK-XS-F-095 ocrAvailable
2. MK-XS-F-058 parseReceipt</t>
        </is>
      </c>
      <c r="P528" s="3" t="n">
        <v>5</v>
      </c>
      <c r="Q528" s="3" t="inlineStr">
        <is>
          <t>1. MK-XS-F-095 ocrAvailable
2. MK-XS-F-058 parseReceipt
3. MK-CF-F-132 map
4. MK-XS-F-093 stripNonMoney
5. MK-ST-F-052 toNum</t>
        </is>
      </c>
      <c r="R528" s="3" t="inlineStr">
        <is>
          <t>1. MK-XS-F-095 ocrAvailable → MK-XS-F-097 ocrReceipt
2. MK-CF-F-132 map → MK-XS-F-058 parseReceipt → MK-XS-F-097 ocrReceipt
3. MK-XS-F-093 stripNonMoney → MK-XS-F-058 parseReceipt → MK-XS-F-097 ocrReceipt
4. MK-ST-F-052 toNum → MK-XS-F-058 parseReceipt → MK-XS-F-097 ocrReceipt</t>
        </is>
      </c>
      <c r="S528" s="3" t="inlineStr">
        <is>
          <t>—</t>
        </is>
      </c>
      <c r="T528" s="3" t="inlineStr">
        <is>
          <t>—</t>
        </is>
      </c>
      <c r="U528" s="3" t="inlineStr">
        <is>
          <t>ACTIVE</t>
        </is>
      </c>
      <c r="V528" s="3" t="inlineStr">
        <is>
          <t>2026-08-27</t>
        </is>
      </c>
    </row>
    <row r="529">
      <c r="A529" s="3" t="inlineStr">
        <is>
          <t>MK-XS-F-098</t>
        </is>
      </c>
      <c r="B529" s="3" t="inlineStr">
        <is>
          <t>setSyncProviderForTesting</t>
        </is>
      </c>
      <c r="C529" s="3" t="inlineStr">
        <is>
          <t>src/services/sync/index.ts</t>
        </is>
      </c>
      <c r="D529" s="3" t="n">
        <v>66</v>
      </c>
      <c r="E529" s="3" t="inlineStr">
        <is>
          <t>1 · ACTION</t>
        </is>
      </c>
      <c r="F529" s="3" t="inlineStr">
        <is>
          <t>NOT DETERMINED — the code carries no note saying what this is for, and it has no row in the old inventory. Needs reading.</t>
        </is>
      </c>
      <c r="G529" s="6" t="inlineStr">
        <is>
          <t>It records or announces something and returns no figure — no arithmetic of its own.</t>
        </is>
      </c>
      <c r="H529" s="3" t="inlineStr">
        <is>
          <t>It records or announces something and returns no figure — no arithmetic of its own.</t>
        </is>
      </c>
      <c r="I529" s="3" t="inlineStr">
        <is>
          <t>NO ARITHMETIC — there is no formula to state</t>
        </is>
      </c>
      <c r="J529" s="3" t="inlineStr">
        <is>
          <t>p: SyncProvider | null</t>
        </is>
      </c>
      <c r="K529" s="3" t="inlineStr">
        <is>
          <t>NOT DECLARED — the code does not say what it gives back</t>
        </is>
      </c>
      <c r="L529" s="3" t="inlineStr">
        <is>
          <t>—</t>
        </is>
      </c>
      <c r="M529" s="3" t="inlineStr">
        <is>
          <t>None found in this function — anything it assumes comes from the functions it depends on.</t>
        </is>
      </c>
      <c r="N529" s="3" t="inlineStr">
        <is>
          <t>No</t>
        </is>
      </c>
      <c r="O529" s="3" t="inlineStr">
        <is>
          <t>—</t>
        </is>
      </c>
      <c r="P529" s="3" t="n">
        <v>0</v>
      </c>
      <c r="Q529" s="3" t="inlineStr">
        <is>
          <t>None — no dependent function stands behind it</t>
        </is>
      </c>
      <c r="R529" s="3" t="inlineStr">
        <is>
          <t>No dependent function — it reads its inputs and answers</t>
        </is>
      </c>
      <c r="S529" s="3" t="inlineStr">
        <is>
          <t>—</t>
        </is>
      </c>
      <c r="T529" s="3" t="inlineStr">
        <is>
          <t>—</t>
        </is>
      </c>
      <c r="U529" s="3" t="inlineStr">
        <is>
          <t>ACTIVE</t>
        </is>
      </c>
      <c r="V529" s="3" t="inlineStr">
        <is>
          <t>2026-08-27</t>
        </is>
      </c>
    </row>
    <row r="530">
      <c r="A530" s="3" t="inlineStr">
        <is>
          <t>MK-XS-F-099</t>
        </is>
      </c>
      <c r="B530" s="3" t="inlineStr">
        <is>
          <t>activeSyncProvider</t>
        </is>
      </c>
      <c r="C530" s="3" t="inlineStr">
        <is>
          <t>src/services/sync/index.ts</t>
        </is>
      </c>
      <c r="D530" s="3" t="n">
        <v>87</v>
      </c>
      <c r="E530" s="3" t="inlineStr">
        <is>
          <t>2 · DISPLAYED</t>
        </is>
      </c>
      <c r="F530" s="3" t="inlineStr">
        <is>
          <t>The one lookup the UI uses.</t>
        </is>
      </c>
      <c r="G530" s="6" t="inlineStr">
        <is>
          <t>override provider   when override provider ! = undefined
new sandbox sync provider()   if typeof __DEV__ ! = 'undefined' and __DEV__
nothing   otherwise</t>
        </is>
      </c>
      <c r="H530" s="3" t="inlineStr">
        <is>
          <t>When override provider ! = undefined, it answers override provider. new sandbox sync provider() — when typeof __DEV__ ! = 'undefined' and __DEV__; no answer — otherwise.</t>
        </is>
      </c>
      <c r="I530" s="3" t="inlineStr">
        <is>
          <t>PARTLY READ — some of the code is still showing through; needs a hand pass</t>
        </is>
      </c>
      <c r="J530" s="3" t="inlineStr">
        <is>
          <t>Nothing is handed to it</t>
        </is>
      </c>
      <c r="K530" s="3" t="inlineStr">
        <is>
          <t>SyncProvider | null</t>
        </is>
      </c>
      <c r="L530" s="3" t="inlineStr">
        <is>
          <t>NOT FOUND — a screen calls it, but the words printed beside its answer could not be traced automatically. Needs reading.</t>
        </is>
      </c>
      <c r="M530" s="3" t="inlineStr">
        <is>
          <t>None found in this function — anything it assumes comes from the functions it depends on.</t>
        </is>
      </c>
      <c r="N530" s="3" t="inlineStr">
        <is>
          <t>Yes</t>
        </is>
      </c>
      <c r="O530" s="3" t="inlineStr">
        <is>
          <t>—</t>
        </is>
      </c>
      <c r="P530" s="3" t="n">
        <v>0</v>
      </c>
      <c r="Q530" s="3" t="inlineStr">
        <is>
          <t>None — no dependent function stands behind it</t>
        </is>
      </c>
      <c r="R530" s="3" t="inlineStr">
        <is>
          <t>No dependent function — it reads its inputs and answers</t>
        </is>
      </c>
      <c r="S530" s="3" t="inlineStr">
        <is>
          <t>—</t>
        </is>
      </c>
      <c r="T530" s="3" t="inlineStr">
        <is>
          <t>—</t>
        </is>
      </c>
      <c r="U530" s="3" t="inlineStr">
        <is>
          <t>ACTIVE</t>
        </is>
      </c>
      <c r="V530" s="3" t="inlineStr">
        <is>
          <t>2026-08-27</t>
        </is>
      </c>
    </row>
    <row r="531">
      <c r="A531" s="3" t="inlineStr">
        <is>
          <t>MK-XS-F-100</t>
        </is>
      </c>
      <c r="B531" s="3" t="inlineStr">
        <is>
          <t>connectionFreshness</t>
        </is>
      </c>
      <c r="C531" s="3" t="inlineStr">
        <is>
          <t>src/services/sync/index.ts</t>
        </is>
      </c>
      <c r="D531" s="3" t="n">
        <v>129</v>
      </c>
      <c r="E531" s="3" t="inlineStr">
        <is>
          <t>2 · DISPLAYED</t>
        </is>
      </c>
      <c r="F531" s="3" t="inlineStr">
        <is>
          <t>How old a connected account's last successful sync is.</t>
        </is>
      </c>
      <c r="G531" s="6" t="inlineStr">
        <is>
          <t>nothing   when last synced is missing
t = date.parse(last synced)
nothing   when number.is na n(t)
days = max(0, round down((now − t) ÷ 86400000))
label = 'today'
stale = false
days old = 0   when days = 0
label = 'yesterday'
stale = false
days old = 1   when days = 1
the answer:
label = `${days} days old`
stale = days &gt; 3
days old = days</t>
        </is>
      </c>
      <c r="H531" s="3" t="inlineStr">
        <is>
          <t>When last synced is missing, it answers no answer. T is date.parse(last synced). When number.is na n(t), it answers no answer. Days is (now minus t, rounded down divided by 86400000, never below zero). When days = 0, it answers label = 'today'; stale = false; days old = 0. When days = 1, it answers label = 'yesterday'; stale = false; days old = 1. The answer is label = `${days} days old`; stale = days &gt; 3; days old = days.</t>
        </is>
      </c>
      <c r="I531" s="3" t="inlineStr">
        <is>
          <t>PARTLY READ — some of the code is still showing through; needs a hand pass</t>
        </is>
      </c>
      <c r="J531" s="3" t="inlineStr">
        <is>
          <t>1. lastSynced: string | null | undefined
2. now: number = Date.now()</t>
        </is>
      </c>
      <c r="K531" s="3" t="inlineStr">
        <is>
          <t>ConnectionFreshness | null</t>
        </is>
      </c>
      <c r="L531" s="3" t="inlineStr">
        <is>
          <t>NOT FOUND — a screen calls it, but the words printed beside its answer could not be traced automatically. Needs reading.</t>
        </is>
      </c>
      <c r="M531" s="3" t="inlineStr">
        <is>
          <t>· Uses today's date from the device clock, so the answer changes by itself overnight.</t>
        </is>
      </c>
      <c r="N531" s="3" t="inlineStr">
        <is>
          <t>Yes</t>
        </is>
      </c>
      <c r="O531" s="3" t="inlineStr">
        <is>
          <t>—</t>
        </is>
      </c>
      <c r="P531" s="3" t="n">
        <v>0</v>
      </c>
      <c r="Q531" s="3" t="inlineStr">
        <is>
          <t>None — no dependent function stands behind it</t>
        </is>
      </c>
      <c r="R531" s="3" t="inlineStr">
        <is>
          <t>No dependent function — it reads its inputs and answers</t>
        </is>
      </c>
      <c r="S531" s="3" t="inlineStr">
        <is>
          <t>—</t>
        </is>
      </c>
      <c r="T531" s="3" t="inlineStr">
        <is>
          <t>—</t>
        </is>
      </c>
      <c r="U531" s="3" t="inlineStr">
        <is>
          <t>ACTIVE</t>
        </is>
      </c>
      <c r="V531" s="3" t="inlineStr">
        <is>
          <t>2026-08-27</t>
        </is>
      </c>
    </row>
    <row r="532">
      <c r="A532" s="3" t="inlineStr">
        <is>
          <t>MK-XS-F-101</t>
        </is>
      </c>
      <c r="B532" s="3" t="inlineStr">
        <is>
          <t>stAssetId</t>
        </is>
      </c>
      <c r="C532" s="3" t="inlineStr">
        <is>
          <t>src/services/sync/ingest.ts</t>
        </is>
      </c>
      <c r="D532" s="3" t="n">
        <v>54</v>
      </c>
      <c r="E532" s="3" t="inlineStr">
        <is>
          <t>1 · ACTION</t>
        </is>
      </c>
      <c r="F532" s="3" t="inlineStr">
        <is>
          <t>What do we call this connected account internally?</t>
        </is>
      </c>
      <c r="G532" s="6" t="inlineStr">
        <is>
          <t>NOT READ YET — the body is not a shape this can render faithfully, so nothing is claimed rather than something being guessed. It needs reading by hand.</t>
        </is>
      </c>
      <c r="H532" s="3" t="inlineStr">
        <is>
          <t>NOT READ YET — the body is not a shape this can render faithfully, so nothing is claimed rather than something being guessed. It needs reading by hand.</t>
        </is>
      </c>
      <c r="I532" s="3" t="inlineStr">
        <is>
          <t>NOT READ — nothing is claimed rather than something guessed</t>
        </is>
      </c>
      <c r="J532" s="3" t="inlineStr">
        <is>
          <t>snapTradeAccountId: string</t>
        </is>
      </c>
      <c r="K532" s="3" t="inlineStr">
        <is>
          <t>NOT DECLARED — the code does not say what it gives back</t>
        </is>
      </c>
      <c r="L532" s="3" t="inlineStr">
        <is>
          <t>—</t>
        </is>
      </c>
      <c r="M532" s="3" t="inlineStr">
        <is>
          <t>None found in this function — anything it assumes comes from the functions it depends on.</t>
        </is>
      </c>
      <c r="N532" s="3" t="inlineStr">
        <is>
          <t>Yes</t>
        </is>
      </c>
      <c r="O532" s="3" t="inlineStr">
        <is>
          <t>—</t>
        </is>
      </c>
      <c r="P532" s="3" t="n">
        <v>0</v>
      </c>
      <c r="Q532" s="3" t="inlineStr">
        <is>
          <t>None — no dependent function stands behind it</t>
        </is>
      </c>
      <c r="R532" s="3" t="inlineStr">
        <is>
          <t>No dependent function — it reads its inputs and answers</t>
        </is>
      </c>
      <c r="S532" s="3" t="inlineStr">
        <is>
          <t>—</t>
        </is>
      </c>
      <c r="T532" s="3" t="inlineStr">
        <is>
          <t>ACCOUNT_IDENTITY</t>
        </is>
      </c>
      <c r="U532" s="3" t="inlineStr">
        <is>
          <t>ACTIVE</t>
        </is>
      </c>
      <c r="V532" s="3" t="inlineStr">
        <is>
          <t>2026-08-27</t>
        </is>
      </c>
    </row>
    <row r="533">
      <c r="A533" s="3" t="inlineStr">
        <is>
          <t>MK-XS-F-102</t>
        </is>
      </c>
      <c r="B533" s="3" t="inlineStr">
        <is>
          <t>ingestSync</t>
        </is>
      </c>
      <c r="C533" s="3" t="inlineStr">
        <is>
          <t>src/services/sync/ingest.ts</t>
        </is>
      </c>
      <c r="D533" s="3" t="n">
        <v>104</v>
      </c>
      <c r="E533" s="3" t="inlineStr">
        <is>
          <t>3 · DEPENDENT (feeds an action only)</t>
        </is>
      </c>
      <c r="F533" s="3" t="inlineStr">
        <is>
          <t>A broker just sent us data — what changes?</t>
        </is>
      </c>
      <c r="G533" s="6" t="inlineStr">
        <is>
          <t>accounts = [...existing accounts]
seen keys = { ...existing seen keys }
new transactions = []
needs wrapper confirm = []
st = account
guess = map account type(st.raw type, st.account category)
tail = string(st.number).slice(-4)   if st.number
''   otherwise
mask = `••${tail}`   if ÷ ^\d{4}$ ÷ .test(tail)
undefined   otherwise
inst = st.institution name.trim().to lower case()
asset id = prior.asset id (or st asset id(st.id) when missing)
mapped = for each of positions (or none when missing): map position where (m): m is non nullable&lt;typeof m&gt; =&gt; !!m
… the first steps only — the rest of the body needs reading by hand.</t>
        </is>
      </c>
      <c r="H533" s="3" t="inlineStr">
        <is>
          <t>Accounts is [...existing accounts]. Seen keys is { ...existing seen keys }. New transactions is []. Needs wrapper confirm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Mapped is for each of positions (or none — when missing): map position where (m): m is non nullable&lt;typeof m&gt; =&gt; !!m. Only the first steps are shown; the rest of the body needs reading by hand.</t>
        </is>
      </c>
      <c r="I533" s="3" t="inlineStr">
        <is>
          <t>PARTLY READ — some of the code is still showing through; needs a hand pass</t>
        </is>
      </c>
      <c r="J533" s="3" t="inlineStr">
        <is>
          <t>Nothing is handed to it</t>
        </is>
      </c>
      <c r="K533" s="3" t="inlineStr">
        <is>
          <t>NOT DECLARED — the code does not say what it gives back</t>
        </is>
      </c>
      <c r="L533" s="3" t="inlineStr">
        <is>
          <t>—</t>
        </is>
      </c>
      <c r="M533"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Multiplies by 100 — a percentage, or an option contract treated as 100 shares. Worth checking which.
9. Rounds the answer to a whole number.
10. Leaves some rows out of the answer — check which.</t>
        </is>
      </c>
      <c r="N533" s="3" t="inlineStr">
        <is>
          <t>No</t>
        </is>
      </c>
      <c r="O533" s="3" t="inlineStr">
        <is>
          <t>1. MK-XS-F-108 activityKey
2. MK-ST-F-011 classifyHoldingClass
3. MK-CF-F-132 map
4. MK-XS-F-104 mapAccountType
5. MK-XS-F-106 mapOptionHolding
6. MK-XS-F-111 mergeHistoryFrom
7. MK-XS-F-110 netCashSleeve
8. MK-ST-F-043 newEntityId
9. MK-ST-F-022 reconcileAccountTotal
10. MK-XS-F-101 stAssetId
11. MK-ST-F-012 toLedgerRow
12. MK-ST-F-021 toNumber</t>
        </is>
      </c>
      <c r="P533" s="3" t="n">
        <v>21</v>
      </c>
      <c r="Q533" s="3" t="inlineStr">
        <is>
          <t>1. MK-XS-F-108 activityKey
2. MK-ST-F-011 classifyHoldingClass
3. MK-CF-F-132 map
4. MK-XS-F-104 mapAccountType
5. MK-XS-F-106 mapOptionHolding
6. MK-XS-F-111 mergeHistoryFrom
7. MK-XS-F-110 netCashSleeve
8. MK-ST-F-043 newEntityId
9. MK-ST-F-022 reconcileAccountTotal
10. MK-XS-F-101 stAssetId
11. MK-ST-F-012 toLedgerRow
12. MK-ST-F-021 toNumber
13. MK-ST-F-014 importKey
14. MK-ST-F-010 nameEvidence
15. MK-ST-F-056 has
16. MK-XS-F-146 prettyExpiry
17. MK-ST-F-060 verdict
18. MK-ST-F-007 classifyEvent
19. MK-ST-F-058 numberOrUndefined
20. MK-ST-F-018 readMoney
21. MK-ST-F-019 signed</t>
        </is>
      </c>
      <c r="R533" s="3" t="inlineStr">
        <is>
          <t>1. MK-ST-F-014 importKey → MK-XS-F-108 activityKey → MK-XS-F-102 ingestSync
2. MK-ST-F-056 has → MK-ST-F-010 nameEvidence → MK-ST-F-011 classifyHoldingClass → MK-XS-F-102 ingestSync
3. MK-CF-F-132 map → MK-ST-F-010 nameEvidence → MK-ST-F-011 classifyHoldingClass → MK-XS-F-102 ingestSync
4. MK-CF-F-132 map → MK-XS-F-102 ingestSync
5. MK-ST-F-056 has → MK-XS-F-104 mapAccountType → MK-XS-F-102 ingestSync
6. MK-CF-F-132 map → MK-XS-F-146 prettyExpiry → MK-XS-F-106 mapOptionHolding → MK-XS-F-102 ingestSync
7. MK-CF-F-132 map → MK-XS-F-111 mergeHistoryFrom → MK-XS-F-102 ingestSync
8. MK-XS-F-110 netCashSleeve → MK-XS-F-102 ingestSync
9. … and 5 more paths</t>
        </is>
      </c>
      <c r="S533" s="3" t="inlineStr">
        <is>
          <t>—</t>
        </is>
      </c>
      <c r="T533" s="3" t="inlineStr">
        <is>
          <t>SYNC_ONE_ACCOUNT</t>
        </is>
      </c>
      <c r="U533" s="3" t="inlineStr">
        <is>
          <t>ACTIVE</t>
        </is>
      </c>
      <c r="V533" s="3" t="inlineStr">
        <is>
          <t>2026-08-27</t>
        </is>
      </c>
    </row>
    <row r="534">
      <c r="A534" s="3" t="inlineStr">
        <is>
          <t>MK-XS-F-103</t>
        </is>
      </c>
      <c r="B534" s="3" t="inlineStr">
        <is>
          <t>confirmWrapper</t>
        </is>
      </c>
      <c r="C534" s="3" t="inlineStr">
        <is>
          <t>src/services/sync/ingest.ts</t>
        </is>
      </c>
      <c r="D534" s="3" t="n">
        <v>314</v>
      </c>
      <c r="E534" s="3" t="inlineStr">
        <is>
          <t>3 · DEPENDENT (feeds an action only)</t>
        </is>
      </c>
      <c r="F534" s="3" t="inlineStr">
        <is>
          <t>Mark an account's wrapper as USER-CONFIRMED — future syncs never override it.</t>
        </is>
      </c>
      <c r="G534" s="6" t="inlineStr">
        <is>
          <t>for each of accounts: ...each = ...each
kind = kind
tax bucket = tax bucket
wrapper confirmed = true   if asset id = asset id
each   otherwise</t>
        </is>
      </c>
      <c r="H534" s="3" t="inlineStr">
        <is>
          <t>for each of accounts: ...each = ...each; kind = kind; tax bucket = tax bucket; wrapper confirmed = true — when asset id = asset id; each — otherwise.</t>
        </is>
      </c>
      <c r="I534" s="3" t="inlineStr">
        <is>
          <t>READ FROM THE CODE — rendered from the expressions the function runs</t>
        </is>
      </c>
      <c r="J534" s="3" t="inlineStr">
        <is>
          <t>1. accounts: AssetAccount[]
2. assetId: string
3. kind: string
4. taxBucket: AssetAccount['tax_bucket']</t>
        </is>
      </c>
      <c r="K534" s="3" t="inlineStr">
        <is>
          <t>AssetAccount[]</t>
        </is>
      </c>
      <c r="L534" s="3" t="inlineStr">
        <is>
          <t>—</t>
        </is>
      </c>
      <c r="M534" s="3" t="inlineStr">
        <is>
          <t>None found in this function — anything it assumes comes from the functions it depends on.</t>
        </is>
      </c>
      <c r="N534" s="3" t="inlineStr">
        <is>
          <t>No</t>
        </is>
      </c>
      <c r="O534" s="3" t="inlineStr">
        <is>
          <t>MK-CF-F-132 map</t>
        </is>
      </c>
      <c r="P534" s="3" t="n">
        <v>1</v>
      </c>
      <c r="Q534" s="3" t="inlineStr">
        <is>
          <t>MK-CF-F-132 map</t>
        </is>
      </c>
      <c r="R534" s="3" t="inlineStr">
        <is>
          <t>MK-CF-F-132 map → MK-XS-F-103 confirmWrapper</t>
        </is>
      </c>
      <c r="S534" s="3" t="inlineStr">
        <is>
          <t>—</t>
        </is>
      </c>
      <c r="T534" s="3" t="inlineStr">
        <is>
          <t>CONFIRM_TAX_TYPE</t>
        </is>
      </c>
      <c r="U534" s="3" t="inlineStr">
        <is>
          <t>ACTIVE</t>
        </is>
      </c>
      <c r="V534" s="3" t="inlineStr">
        <is>
          <t>2026-08-27</t>
        </is>
      </c>
    </row>
    <row r="535">
      <c r="A535" s="3" t="inlineStr">
        <is>
          <t>MK-XS-F-104</t>
        </is>
      </c>
      <c r="B535" s="3" t="inlineStr">
        <is>
          <t>mapAccountType</t>
        </is>
      </c>
      <c r="C535" s="3" t="inlineStr">
        <is>
          <t>src/services/sync/snaptrade.ts</t>
        </is>
      </c>
      <c r="D535" s="3" t="n">
        <v>124</v>
      </c>
      <c r="E535" s="3" t="inlineStr">
        <is>
          <t>3 · DEPENDENT (feeds an action only)</t>
        </is>
      </c>
      <c r="F535" s="3" t="inlineStr">
        <is>
          <t>What kind of account is this, and how is it taxed?</t>
        </is>
      </c>
      <c r="G535" s="6"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535"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535" s="3" t="inlineStr">
        <is>
          <t>PARTLY READ — some of the code is still showing through; needs a hand pass</t>
        </is>
      </c>
      <c r="J535" s="3" t="inlineStr">
        <is>
          <t>1. rawType: string | null | undefined
2. category?: string | null</t>
        </is>
      </c>
      <c r="K535" s="3" t="inlineStr">
        <is>
          <t>WrapperGuess</t>
        </is>
      </c>
      <c r="L535" s="3" t="inlineStr">
        <is>
          <t>—</t>
        </is>
      </c>
      <c r="M535" s="3" t="inlineStr">
        <is>
          <t>None found in this function — anything it assumes comes from the functions it depends on.</t>
        </is>
      </c>
      <c r="N535" s="3" t="inlineStr">
        <is>
          <t>No</t>
        </is>
      </c>
      <c r="O535" s="3" t="inlineStr">
        <is>
          <t>MK-ST-F-056 has</t>
        </is>
      </c>
      <c r="P535" s="3" t="n">
        <v>1</v>
      </c>
      <c r="Q535" s="3" t="inlineStr">
        <is>
          <t>MK-ST-F-056 has</t>
        </is>
      </c>
      <c r="R535" s="3" t="inlineStr">
        <is>
          <t>MK-ST-F-056 has → MK-XS-F-104 mapAccountType</t>
        </is>
      </c>
      <c r="S535" s="3" t="inlineStr">
        <is>
          <t>—</t>
        </is>
      </c>
      <c r="T535" s="3" t="inlineStr">
        <is>
          <t>ACCOUNT_TAX_TYPE_GUESS</t>
        </is>
      </c>
      <c r="U535" s="3" t="inlineStr">
        <is>
          <t>ACTIVE</t>
        </is>
      </c>
      <c r="V535" s="3" t="inlineStr">
        <is>
          <t>2026-08-27</t>
        </is>
      </c>
    </row>
    <row r="536">
      <c r="A536" s="3" t="inlineStr">
        <is>
          <t>MK-XS-F-105</t>
        </is>
      </c>
      <c r="B536" s="3" t="inlineStr">
        <is>
          <t>mapPosition</t>
        </is>
      </c>
      <c r="C536" s="3" t="inlineStr">
        <is>
          <t>src/services/sync/snaptrade.ts</t>
        </is>
      </c>
      <c r="D536" s="3" t="n">
        <v>218</v>
      </c>
      <c r="E536" s="3" t="inlineStr">
        <is>
          <t>3 · DEPENDENT (feeds an action only)</t>
        </is>
      </c>
      <c r="F536" s="3" t="inlineStr">
        <is>
          <t>B7 (founder brief 2026-08-20): classification lives in the ONE engine — name first, broker tag as fallback only.</t>
        </is>
      </c>
      <c r="G536" s="6" t="inlineStr">
        <is>
          <t>sym = flat symbol(p)
shares = units (or 0 when missing)
nothing   when sym is missing (or shares = 0 when missing or zero)
code = (sym.type.code ?? '').to lower case()
tick = (sym.raw symbol or sym.symbol or '').to upper case()</t>
        </is>
      </c>
      <c r="H536" s="3" t="inlineStr">
        <is>
          <t>Sym is flat symbol(p). Shares is units (or 0 — when missing). When sym is missing (or shares = 0 — when missing or zero), it answers no answer. Code is (sym.type.code ?? '').to lower case(). Tick is (sym.raw symbol or sym.symbol or '').to upper case().</t>
        </is>
      </c>
      <c r="I536" s="3" t="inlineStr">
        <is>
          <t>PARTLY READ — some of the code is still showing through; needs a hand pass</t>
        </is>
      </c>
      <c r="J536" s="3" t="inlineStr">
        <is>
          <t>p: StPosition</t>
        </is>
      </c>
      <c r="K536" s="3" t="inlineStr">
        <is>
          <t>MappedPosition | null</t>
        </is>
      </c>
      <c r="L536" s="3" t="inlineStr">
        <is>
          <t>—</t>
        </is>
      </c>
      <c r="M536" s="3" t="inlineStr">
        <is>
          <t>1. If units is missing it uses 0.
2. If quantity is missing it uses 0.
3. Leaves some rows out of the answer — check which.</t>
        </is>
      </c>
      <c r="N536" s="3" t="inlineStr">
        <is>
          <t>No</t>
        </is>
      </c>
      <c r="O536" s="3" t="inlineStr">
        <is>
          <t>1. MK-ST-F-011 classifyHoldingClass
2. MK-XS-F-145 flatSymbol
3. MK-CF-F-132 map</t>
        </is>
      </c>
      <c r="P536" s="3" t="n">
        <v>5</v>
      </c>
      <c r="Q536" s="3" t="inlineStr">
        <is>
          <t>1. MK-ST-F-011 classifyHoldingClass
2. MK-XS-F-145 flatSymbol
3. MK-CF-F-132 map
4. MK-ST-F-010 nameEvidence
5. MK-ST-F-056 has</t>
        </is>
      </c>
      <c r="R536" s="3" t="inlineStr">
        <is>
          <t>1. MK-ST-F-056 has → MK-ST-F-010 nameEvidence → MK-ST-F-011 classifyHoldingClass → MK-XS-F-105 mapPosition
2. MK-CF-F-132 map → MK-ST-F-010 nameEvidence → MK-ST-F-011 classifyHoldingClass → MK-XS-F-105 mapPosition
3. MK-XS-F-145 flatSymbol → MK-XS-F-105 mapPosition
4. MK-CF-F-132 map → MK-XS-F-105 mapPosition</t>
        </is>
      </c>
      <c r="S536" s="3" t="inlineStr">
        <is>
          <t>—</t>
        </is>
      </c>
      <c r="T536" s="3" t="inlineStr">
        <is>
          <t>CLASS_FROM_BROKER</t>
        </is>
      </c>
      <c r="U536" s="3" t="inlineStr">
        <is>
          <t>ACTIVE</t>
        </is>
      </c>
      <c r="V536" s="3" t="inlineStr">
        <is>
          <t>2026-08-27</t>
        </is>
      </c>
    </row>
    <row r="537">
      <c r="A537" s="3" t="inlineStr">
        <is>
          <t>MK-XS-F-106</t>
        </is>
      </c>
      <c r="B537" s="3" t="inlineStr">
        <is>
          <t>mapOptionHolding</t>
        </is>
      </c>
      <c r="C537" s="3" t="inlineStr">
        <is>
          <t>src/services/sync/snaptrade.ts</t>
        </is>
      </c>
      <c r="D537" s="3" t="n">
        <v>308</v>
      </c>
      <c r="E537" s="3" t="inlineStr">
        <is>
          <t>3 · DEPENDENT (feeds an action only)</t>
        </is>
      </c>
      <c r="F537" s="3" t="inlineStr">
        <is>
          <t>What is this option position worth, and what do we call it?</t>
        </is>
      </c>
      <c r="G537" s="6"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537"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537" s="3" t="inlineStr">
        <is>
          <t>PARTLY READ — some of the code is still showing through; needs a hand pass</t>
        </is>
      </c>
      <c r="J537" s="3" t="inlineStr">
        <is>
          <t>1. o: StOptionHolding
2. multiplier = 100</t>
        </is>
      </c>
      <c r="K537" s="3" t="inlineStr">
        <is>
          <t>MappedOption | null</t>
        </is>
      </c>
      <c r="L537" s="3" t="inlineStr">
        <is>
          <t>—</t>
        </is>
      </c>
      <c r="M537" s="3" t="inlineStr">
        <is>
          <t>1. If units is missing it uses 0.
2. If price is missing it uses 0.
3. Multiplies by 100 — a percentage, or an option contract treated as 100 shares. Worth checking which.
4. Rounds the answer to a whole number.</t>
        </is>
      </c>
      <c r="N537" s="3" t="inlineStr">
        <is>
          <t>No</t>
        </is>
      </c>
      <c r="O537" s="3" t="inlineStr">
        <is>
          <t>MK-XS-F-146 prettyExpiry</t>
        </is>
      </c>
      <c r="P537" s="3" t="n">
        <v>2</v>
      </c>
      <c r="Q537" s="3" t="inlineStr">
        <is>
          <t>1. MK-XS-F-146 prettyExpiry
2. MK-CF-F-132 map</t>
        </is>
      </c>
      <c r="R537" s="3" t="inlineStr">
        <is>
          <t>MK-CF-F-132 map → MK-XS-F-146 prettyExpiry → MK-XS-F-106 mapOptionHolding</t>
        </is>
      </c>
      <c r="S537" s="3" t="inlineStr">
        <is>
          <t>—</t>
        </is>
      </c>
      <c r="T537" s="3" t="inlineStr">
        <is>
          <t>OPTION_HOLDING</t>
        </is>
      </c>
      <c r="U537" s="3" t="inlineStr">
        <is>
          <t>ACTIVE</t>
        </is>
      </c>
      <c r="V537" s="3" t="inlineStr">
        <is>
          <t>2026-08-27</t>
        </is>
      </c>
    </row>
    <row r="538">
      <c r="A538" s="3" t="inlineStr">
        <is>
          <t>MK-XS-F-107</t>
        </is>
      </c>
      <c r="B538" s="3" t="inlineStr">
        <is>
          <t>mapActivityType</t>
        </is>
      </c>
      <c r="C538" s="3" t="inlineStr">
        <is>
          <t>src/services/sync/snaptrade.ts</t>
        </is>
      </c>
      <c r="D538" s="3" t="n">
        <v>370</v>
      </c>
      <c r="E538" s="3" t="inlineStr">
        <is>
          <t>3 · DEPENDENT (feeds an action only)</t>
        </is>
      </c>
      <c r="F538" s="3" t="inlineStr">
        <is>
          <t>A line arrived from the broker. Is this money you paid IN, money you took OUT, or something that happened inside the account?</t>
        </is>
      </c>
      <c r="G538" s="6"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538"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538" s="3" t="inlineStr">
        <is>
          <t>PARTLY READ — some of the code is still showing through; needs a hand pass</t>
        </is>
      </c>
      <c r="J538" s="3" t="inlineStr">
        <is>
          <t>a: StActivity</t>
        </is>
      </c>
      <c r="K538" s="3" t="inlineStr">
        <is>
          <t>MappedActivity</t>
        </is>
      </c>
      <c r="L538" s="3" t="inlineStr">
        <is>
          <t>—</t>
        </is>
      </c>
      <c r="M538" s="3" t="inlineStr">
        <is>
          <t>· If amount is missing it uses 0.</t>
        </is>
      </c>
      <c r="N538" s="3" t="inlineStr">
        <is>
          <t>No</t>
        </is>
      </c>
      <c r="O538" s="3" t="inlineStr">
        <is>
          <t>—</t>
        </is>
      </c>
      <c r="P538" s="3" t="n">
        <v>0</v>
      </c>
      <c r="Q538" s="3" t="inlineStr">
        <is>
          <t>None — no dependent function stands behind it</t>
        </is>
      </c>
      <c r="R538" s="3" t="inlineStr">
        <is>
          <t>No dependent function — it reads its inputs and answers</t>
        </is>
      </c>
      <c r="S538" s="3" t="inlineStr">
        <is>
          <t>—</t>
        </is>
      </c>
      <c r="T538" s="3" t="inlineStr">
        <is>
          <t>TRANSLATE_BROKER_WORD</t>
        </is>
      </c>
      <c r="U538" s="3" t="inlineStr">
        <is>
          <t>ACTIVE</t>
        </is>
      </c>
      <c r="V538" s="3" t="inlineStr">
        <is>
          <t>2026-08-27</t>
        </is>
      </c>
    </row>
    <row r="539">
      <c r="A539" s="3" t="inlineStr">
        <is>
          <t>MK-XS-F-108</t>
        </is>
      </c>
      <c r="B539" s="3" t="inlineStr">
        <is>
          <t>activityKey</t>
        </is>
      </c>
      <c r="C539" s="3" t="inlineStr">
        <is>
          <t>src/services/sync/snaptrade.ts</t>
        </is>
      </c>
      <c r="D539" s="3" t="n">
        <v>451</v>
      </c>
      <c r="E539" s="3" t="inlineStr">
        <is>
          <t>3 · DEPENDENT (feeds an action only)</t>
        </is>
      </c>
      <c r="F539" s="3" t="inlineStr">
        <is>
          <t>── duplicate-proofing ───────────────────────────────────────────────────────────────────────── SnapTrade activity ids can change when they reprocess history, so identity = the composite of everything that makes the row THAT row.</t>
        </is>
      </c>
      <c r="G539" s="6" t="inlineStr">
        <is>
          <t>NOT READ YET — the body is not a shape this can render faithfully, so nothing is claimed rather than something being guessed. It needs reading by hand.</t>
        </is>
      </c>
      <c r="H539" s="3" t="inlineStr">
        <is>
          <t>NOT READ YET — the body is not a shape this can render faithfully, so nothing is claimed rather than something being guessed. It needs reading by hand.</t>
        </is>
      </c>
      <c r="I539" s="3" t="inlineStr">
        <is>
          <t>NOT READ — nothing is claimed rather than something guessed</t>
        </is>
      </c>
      <c r="J539" s="3" t="inlineStr">
        <is>
          <t>1. accountId: string
2. a: StActivity</t>
        </is>
      </c>
      <c r="K539" s="3" t="inlineStr">
        <is>
          <t>string</t>
        </is>
      </c>
      <c r="L539" s="3" t="inlineStr">
        <is>
          <t>—</t>
        </is>
      </c>
      <c r="M539" s="3" t="inlineStr">
        <is>
          <t>None found in this function — anything it assumes comes from the functions it depends on.</t>
        </is>
      </c>
      <c r="N539" s="3" t="inlineStr">
        <is>
          <t>No</t>
        </is>
      </c>
      <c r="O539" s="3" t="inlineStr">
        <is>
          <t>MK-ST-F-014 importKey</t>
        </is>
      </c>
      <c r="P539" s="3" t="n">
        <v>1</v>
      </c>
      <c r="Q539" s="3" t="inlineStr">
        <is>
          <t>MK-ST-F-014 importKey</t>
        </is>
      </c>
      <c r="R539" s="3" t="inlineStr">
        <is>
          <t>MK-ST-F-014 importKey → MK-XS-F-108 activityKey</t>
        </is>
      </c>
      <c r="S539" s="3" t="inlineStr">
        <is>
          <t>—</t>
        </is>
      </c>
      <c r="T539" s="3" t="inlineStr">
        <is>
          <t>ACTIVITY_IDENTITY</t>
        </is>
      </c>
      <c r="U539" s="3" t="inlineStr">
        <is>
          <t>ACTIVE</t>
        </is>
      </c>
      <c r="V539" s="3" t="inlineStr">
        <is>
          <t>2026-08-27</t>
        </is>
      </c>
    </row>
    <row r="540">
      <c r="A540" s="3" t="inlineStr">
        <is>
          <t>MK-XS-F-109</t>
        </is>
      </c>
      <c r="B540" s="3" t="inlineStr">
        <is>
          <t>dedupeActivities</t>
        </is>
      </c>
      <c r="C540" s="3" t="inlineStr">
        <is>
          <t>src/services/sync/snaptrade.ts</t>
        </is>
      </c>
      <c r="D540" s="3" t="n">
        <v>480</v>
      </c>
      <c r="E540" s="3" t="inlineStr">
        <is>
          <t>3 · DEPENDENT (feeds an action only)</t>
        </is>
      </c>
      <c r="F540" s="3" t="inlineStr">
        <is>
          <t>Which of these activities are new since the last sync?</t>
        </is>
      </c>
      <c r="G540" s="6" t="inlineStr">
        <is>
          <t>fresh = []
k = activity key(account id, a)
the answer = fresh</t>
        </is>
      </c>
      <c r="H540" s="3" t="inlineStr">
        <is>
          <t>Fresh is []. K is activity key(account id, a). The answer is fresh.</t>
        </is>
      </c>
      <c r="I540" s="3" t="inlineStr">
        <is>
          <t>READ FROM THE CODE — rendered from the expressions the function runs</t>
        </is>
      </c>
      <c r="J540" s="3" t="inlineStr">
        <is>
          <t>1. accountId: string
2. incoming: StActivity[]
3. seenKeys: Set&lt;string&gt;</t>
        </is>
      </c>
      <c r="K540" s="3" t="inlineStr">
        <is>
          <t>StActivity[]</t>
        </is>
      </c>
      <c r="L540" s="3" t="inlineStr">
        <is>
          <t>—</t>
        </is>
      </c>
      <c r="M540" s="3" t="inlineStr">
        <is>
          <t>None found in this function — anything it assumes comes from the functions it depends on.</t>
        </is>
      </c>
      <c r="N540" s="3" t="inlineStr">
        <is>
          <t>No</t>
        </is>
      </c>
      <c r="O540" s="3" t="inlineStr">
        <is>
          <t>1. MK-XS-F-108 activityKey
2. MK-ST-F-056 has</t>
        </is>
      </c>
      <c r="P540" s="3" t="n">
        <v>3</v>
      </c>
      <c r="Q540" s="3" t="inlineStr">
        <is>
          <t>1. MK-XS-F-108 activityKey
2. MK-ST-F-056 has
3. MK-ST-F-014 importKey</t>
        </is>
      </c>
      <c r="R540" s="3" t="inlineStr">
        <is>
          <t>1. MK-ST-F-014 importKey → MK-XS-F-108 activityKey → MK-XS-F-109 dedupeActivities
2. MK-ST-F-056 has → MK-XS-F-109 dedupeActivities</t>
        </is>
      </c>
      <c r="S540" s="3" t="inlineStr">
        <is>
          <t>—</t>
        </is>
      </c>
      <c r="T540" s="3" t="inlineStr">
        <is>
          <t>ALREADY_SEEN_CHECK</t>
        </is>
      </c>
      <c r="U540" s="3" t="inlineStr">
        <is>
          <t>ACTIVE</t>
        </is>
      </c>
      <c r="V540" s="3" t="inlineStr">
        <is>
          <t>2026-08-27</t>
        </is>
      </c>
    </row>
    <row r="541">
      <c r="A541" s="3" t="inlineStr">
        <is>
          <t>MK-XS-F-110</t>
        </is>
      </c>
      <c r="B541" s="3" t="inlineStr">
        <is>
          <t>netCashSleeve</t>
        </is>
      </c>
      <c r="C541" s="3" t="inlineStr">
        <is>
          <t>src/services/sync/snaptrade.ts</t>
        </is>
      </c>
      <c r="D541" s="3" t="n">
        <v>523</v>
      </c>
      <c r="E541" s="3" t="inlineStr">
        <is>
          <t>3 · DEPENDENT (feeds an action only)</t>
        </is>
      </c>
      <c r="F541" s="3" t="inlineStr">
        <is>
          <t>── the cash sleeve, deduped ─────────────────────────────────────────────────────────────────── SnapTrade counts money-market (cash_equivalent) positions INSIDE balances.cash too.</t>
        </is>
      </c>
      <c r="G541" s="6" t="inlineStr">
        <is>
          <t>net = round((balances cash ?? 0) − mmf, 2 dp)
the answer:
0   if net &lt; 0 and net &gt; -1
net   otherwise</t>
        </is>
      </c>
      <c r="H541" s="3" t="inlineStr">
        <is>
          <t>Net is (balances cash ?? 0) minus mmf, to the cent. The answer is 0 — when net &lt; 0 and net &gt; -1; net — otherwise.</t>
        </is>
      </c>
      <c r="I541" s="3" t="inlineStr">
        <is>
          <t>PARTLY READ — some of the code is still showing through; needs a hand pass</t>
        </is>
      </c>
      <c r="J541" s="3" t="inlineStr">
        <is>
          <t>1. balancesCash: number | null | undefined
2. positions: MappedPosition[]</t>
        </is>
      </c>
      <c r="K541" s="3" t="inlineStr">
        <is>
          <t>number</t>
        </is>
      </c>
      <c r="L541" s="3" t="inlineStr">
        <is>
          <t>—</t>
        </is>
      </c>
      <c r="M541" s="3" t="inlineStr">
        <is>
          <t>1. If price is missing it uses 0.
2. If balances cash is missing it uses 0.
3. Multiplies by 100 — a percentage, or an option contract treated as 100 shares. Worth checking which.
4. Rounds the answer to a whole number.
5. Leaves some rows out of the answer — check which.</t>
        </is>
      </c>
      <c r="N541" s="3" t="inlineStr">
        <is>
          <t>No</t>
        </is>
      </c>
      <c r="O541" s="3" t="inlineStr">
        <is>
          <t>—</t>
        </is>
      </c>
      <c r="P541" s="3" t="n">
        <v>0</v>
      </c>
      <c r="Q541" s="3" t="inlineStr">
        <is>
          <t>None — no dependent function stands behind it</t>
        </is>
      </c>
      <c r="R541" s="3" t="inlineStr">
        <is>
          <t>No dependent function — it reads its inputs and answers</t>
        </is>
      </c>
      <c r="S541" s="3" t="inlineStr">
        <is>
          <t>—</t>
        </is>
      </c>
      <c r="T541" s="3" t="inlineStr">
        <is>
          <t>UNINVESTED_CASH</t>
        </is>
      </c>
      <c r="U541" s="3" t="inlineStr">
        <is>
          <t>ACTIVE</t>
        </is>
      </c>
      <c r="V541" s="3" t="inlineStr">
        <is>
          <t>2026-08-27</t>
        </is>
      </c>
    </row>
    <row r="542">
      <c r="A542" s="3" t="inlineStr">
        <is>
          <t>MK-XS-F-111</t>
        </is>
      </c>
      <c r="B542" s="3" t="inlineStr">
        <is>
          <t>mergeHistoryFrom</t>
        </is>
      </c>
      <c r="C542" s="3" t="inlineStr">
        <is>
          <t>src/services/sync/snaptrade.ts</t>
        </is>
      </c>
      <c r="D542" s="3" t="n">
        <v>562</v>
      </c>
      <c r="E542" s="3" t="inlineStr">
        <is>
          <t>3 · DEPENDENT (feeds an action only)</t>
        </is>
      </c>
      <c r="F542" s="3" t="inlineStr">
        <is>
          <t>FOUNDER RULE 2026-08-04: record how far back the broker's OWN activity feed reaches, so a "past year" income figure can label itself honestly.</t>
        </is>
      </c>
      <c r="G542" s="6" t="inlineStr">
        <is>
          <t>earliest now = the first of dates
existing   when earliest now is missing
earliest now   when existing is missing
the answer:
earliest now   if earliest now &lt; existing
existing   otherwise</t>
        </is>
      </c>
      <c r="H542" s="3" t="inlineStr">
        <is>
          <t>Earliest now: the first of dates. When earliest now is missing, it answers existing. When existing is missing, it answers earliest now. The answer is earliest now — when earliest now &lt; existing; existing — otherwise.</t>
        </is>
      </c>
      <c r="I542" s="3" t="inlineStr">
        <is>
          <t>READ FROM THE CODE — rendered from the expressions the function runs</t>
        </is>
      </c>
      <c r="J542" s="3" t="inlineStr">
        <is>
          <t>1. existing: string | undefined
2. activityDates: (string | null | undefined)[]</t>
        </is>
      </c>
      <c r="K542" s="3" t="inlineStr">
        <is>
          <t>string | undefined</t>
        </is>
      </c>
      <c r="L542" s="3" t="inlineStr">
        <is>
          <t>—</t>
        </is>
      </c>
      <c r="M542" s="3" t="inlineStr">
        <is>
          <t>· Leaves some rows out of the answer — check which.</t>
        </is>
      </c>
      <c r="N542" s="3" t="inlineStr">
        <is>
          <t>No</t>
        </is>
      </c>
      <c r="O542" s="3" t="inlineStr">
        <is>
          <t>MK-CF-F-132 map</t>
        </is>
      </c>
      <c r="P542" s="3" t="n">
        <v>1</v>
      </c>
      <c r="Q542" s="3" t="inlineStr">
        <is>
          <t>MK-CF-F-132 map</t>
        </is>
      </c>
      <c r="R542" s="3" t="inlineStr">
        <is>
          <t>MK-CF-F-132 map → MK-XS-F-111 mergeHistoryFrom</t>
        </is>
      </c>
      <c r="S542" s="3" t="inlineStr">
        <is>
          <t>MK-NW-M-022</t>
        </is>
      </c>
      <c r="T542" s="3" t="inlineStr">
        <is>
          <t>HISTORY_DEPTH</t>
        </is>
      </c>
      <c r="U542" s="3" t="inlineStr">
        <is>
          <t>ACTIVE</t>
        </is>
      </c>
      <c r="V542" s="3" t="inlineStr">
        <is>
          <t>2026-08-27</t>
        </is>
      </c>
    </row>
    <row r="543">
      <c r="A543" s="3" t="inlineStr">
        <is>
          <t>MK-XS-F-112</t>
        </is>
      </c>
      <c r="B543" s="3" t="inlineStr">
        <is>
          <t>relayUrl</t>
        </is>
      </c>
      <c r="C543" s="3" t="inlineStr">
        <is>
          <t>src/services/sync/snaptradeClient.ts</t>
        </is>
      </c>
      <c r="D543" s="3" t="n">
        <v>27</v>
      </c>
      <c r="E543" s="3" t="inlineStr">
        <is>
          <t>3 · DEPENDENT</t>
        </is>
      </c>
      <c r="F543" s="3" t="inlineStr">
        <is>
          <t>NOT DETERMINED — the code carries no note saying what this is for, and it has no row in the old inventory. Needs reading.</t>
        </is>
      </c>
      <c r="G543" s="6" t="inlineStr">
        <is>
          <t>NOT READ YET — the body is not a shape this can render faithfully, so nothing is claimed rather than something being guessed. It needs reading by hand.</t>
        </is>
      </c>
      <c r="H543" s="3" t="inlineStr">
        <is>
          <t>NOT READ YET — the body is not a shape this can render faithfully, so nothing is claimed rather than something being guessed. It needs reading by hand.</t>
        </is>
      </c>
      <c r="I543" s="3" t="inlineStr">
        <is>
          <t>NOT READ — nothing is claimed rather than something guessed</t>
        </is>
      </c>
      <c r="J543" s="3" t="inlineStr">
        <is>
          <t>Nothing is handed to it</t>
        </is>
      </c>
      <c r="K543" s="3" t="inlineStr">
        <is>
          <t>string | null</t>
        </is>
      </c>
      <c r="L543" s="3" t="inlineStr">
        <is>
          <t>—</t>
        </is>
      </c>
      <c r="M543" s="3" t="inlineStr">
        <is>
          <t>None found in this function — anything it assumes comes from the functions it depends on.</t>
        </is>
      </c>
      <c r="N543" s="3" t="inlineStr">
        <is>
          <t>Yes</t>
        </is>
      </c>
      <c r="O543" s="3" t="inlineStr">
        <is>
          <t>—</t>
        </is>
      </c>
      <c r="P543" s="3" t="n">
        <v>0</v>
      </c>
      <c r="Q543" s="3" t="inlineStr">
        <is>
          <t>None — no dependent function stands behind it</t>
        </is>
      </c>
      <c r="R543" s="3" t="inlineStr">
        <is>
          <t>No dependent function — it reads its inputs and answers</t>
        </is>
      </c>
      <c r="S543" s="3" t="inlineStr">
        <is>
          <t>—</t>
        </is>
      </c>
      <c r="T543" s="3" t="inlineStr">
        <is>
          <t>—</t>
        </is>
      </c>
      <c r="U543" s="3" t="inlineStr">
        <is>
          <t>ACTIVE</t>
        </is>
      </c>
      <c r="V543" s="3" t="inlineStr">
        <is>
          <t>2026-08-27</t>
        </is>
      </c>
    </row>
    <row r="544">
      <c r="A544" s="3" t="inlineStr">
        <is>
          <t>MK-XS-F-113</t>
        </is>
      </c>
      <c r="B544" s="3" t="inlineStr">
        <is>
          <t>snaptradeConfigured</t>
        </is>
      </c>
      <c r="C544" s="3" t="inlineStr">
        <is>
          <t>src/services/sync/snaptradeClient.ts</t>
        </is>
      </c>
      <c r="D544" s="3" t="n">
        <v>52</v>
      </c>
      <c r="E544" s="3" t="inlineStr">
        <is>
          <t>1 · ACTION</t>
        </is>
      </c>
      <c r="F544" s="3" t="inlineStr">
        <is>
          <t>NOT DETERMINED — the code carries no note saying what this is for, and it has no row in the old inventory. Needs reading.</t>
        </is>
      </c>
      <c r="G544" s="6" t="inlineStr">
        <is>
          <t>!!relay url()</t>
        </is>
      </c>
      <c r="H544" s="3" t="inlineStr">
        <is>
          <t>!!relay url()</t>
        </is>
      </c>
      <c r="I544" s="3" t="inlineStr">
        <is>
          <t>READ FROM THE CODE — rendered from the expressions the function runs</t>
        </is>
      </c>
      <c r="J544" s="3" t="inlineStr">
        <is>
          <t>Nothing is handed to it</t>
        </is>
      </c>
      <c r="K544" s="3" t="inlineStr">
        <is>
          <t>NOT DECLARED — the code does not say what it gives back</t>
        </is>
      </c>
      <c r="L544" s="3" t="inlineStr">
        <is>
          <t>—</t>
        </is>
      </c>
      <c r="M544" s="3" t="inlineStr">
        <is>
          <t>None found in this function — anything it assumes comes from the functions it depends on.</t>
        </is>
      </c>
      <c r="N544" s="3" t="inlineStr">
        <is>
          <t>Yes</t>
        </is>
      </c>
      <c r="O544" s="3" t="inlineStr">
        <is>
          <t>MK-XS-F-112 relayUrl</t>
        </is>
      </c>
      <c r="P544" s="3" t="n">
        <v>1</v>
      </c>
      <c r="Q544" s="3" t="inlineStr">
        <is>
          <t>MK-XS-F-112 relayUrl</t>
        </is>
      </c>
      <c r="R544" s="3" t="inlineStr">
        <is>
          <t>MK-XS-F-112 relayUrl → MK-XS-F-113 snaptradeConfigured</t>
        </is>
      </c>
      <c r="S544" s="3" t="inlineStr">
        <is>
          <t>—</t>
        </is>
      </c>
      <c r="T544" s="3" t="inlineStr">
        <is>
          <t>—</t>
        </is>
      </c>
      <c r="U544" s="3" t="inlineStr">
        <is>
          <t>ACTIVE</t>
        </is>
      </c>
      <c r="V544" s="3" t="inlineStr">
        <is>
          <t>2026-08-27</t>
        </is>
      </c>
    </row>
    <row r="545">
      <c r="A545" s="3" t="inlineStr">
        <is>
          <t>MK-XS-F-114</t>
        </is>
      </c>
      <c r="B545" s="3" t="inlineStr">
        <is>
          <t>usdCash</t>
        </is>
      </c>
      <c r="C545" s="3" t="inlineStr">
        <is>
          <t>src/services/sync/snaptradeClient.ts</t>
        </is>
      </c>
      <c r="D545" s="3" t="n">
        <v>128</v>
      </c>
      <c r="E545" s="3" t="inlineStr">
        <is>
          <t>3 · DEPENDENT</t>
        </is>
      </c>
      <c r="F545" s="3" t="inlineStr">
        <is>
          <t>USD cash across the balances list (v1 is USD-only; other currencies are ignored, not guessed).</t>
        </is>
      </c>
      <c r="G545" s="6" t="inlineStr">
        <is>
          <t>NOT READ YET — the body is not a shape this can render faithfully, so nothing is claimed rather than something being guessed. It needs reading by hand.</t>
        </is>
      </c>
      <c r="H545" s="3" t="inlineStr">
        <is>
          <t>NOT READ YET — the body is not a shape this can render faithfully, so nothing is claimed rather than something being guessed. It needs reading by hand.</t>
        </is>
      </c>
      <c r="I545" s="3" t="inlineStr">
        <is>
          <t>NOT READ — nothing is claimed rather than something guessed</t>
        </is>
      </c>
      <c r="J545" s="3" t="inlineStr">
        <is>
          <t>balances: HoldingsPayload['balances'] | null | undefined</t>
        </is>
      </c>
      <c r="K545" s="3" t="inlineStr">
        <is>
          <t>number</t>
        </is>
      </c>
      <c r="L545" s="3" t="inlineStr">
        <is>
          <t>—</t>
        </is>
      </c>
      <c r="M545" s="3" t="inlineStr">
        <is>
          <t>1. If cash is missing it uses 0.
2. Leaves some rows out of the answer — check which.</t>
        </is>
      </c>
      <c r="N545" s="3" t="inlineStr">
        <is>
          <t>Yes</t>
        </is>
      </c>
      <c r="O545" s="3" t="inlineStr">
        <is>
          <t>—</t>
        </is>
      </c>
      <c r="P545" s="3" t="n">
        <v>0</v>
      </c>
      <c r="Q545" s="3" t="inlineStr">
        <is>
          <t>None — no dependent function stands behind it</t>
        </is>
      </c>
      <c r="R545" s="3" t="inlineStr">
        <is>
          <t>No dependent function — it reads its inputs and answers</t>
        </is>
      </c>
      <c r="S545" s="3" t="inlineStr">
        <is>
          <t>—</t>
        </is>
      </c>
      <c r="T545" s="3" t="inlineStr">
        <is>
          <t>—</t>
        </is>
      </c>
      <c r="U545" s="3" t="inlineStr">
        <is>
          <t>ACTIVE</t>
        </is>
      </c>
      <c r="V545" s="3" t="inlineStr">
        <is>
          <t>2026-08-27</t>
        </is>
      </c>
    </row>
    <row r="546">
      <c r="A546" s="3" t="inlineStr">
        <is>
          <t>MK-XS-F-115</t>
        </is>
      </c>
      <c r="B546" s="3" t="inlineStr">
        <is>
          <t>shouldDailySync</t>
        </is>
      </c>
      <c r="C546" s="3" t="inlineStr">
        <is>
          <t>src/services/sync/snaptradeSync.ts</t>
        </is>
      </c>
      <c r="D546" s="3" t="n">
        <v>38</v>
      </c>
      <c r="E546" s="3" t="inlineStr">
        <is>
          <t>3 · DEPENDENT</t>
        </is>
      </c>
      <c r="F546" s="3" t="inlineStr">
        <is>
          <t>NOT DETERMINED — the code carries no note saying what this is for, and it has no row in the old inventory. Needs reading.</t>
        </is>
      </c>
      <c r="G546" s="6" t="inlineStr">
        <is>
          <t>true   when last sync at is missing
t = date.parse(last sync at)
the answer = number.is na n(t) (or now − t &gt; 20 × 3600000 when missing or zero)</t>
        </is>
      </c>
      <c r="H546" s="3" t="inlineStr">
        <is>
          <t>When last sync at is missing, it answers true. T is date.parse(last sync at). The answer is number.is na n(t) (or now minus t &gt; 20 times 3600000 — when missing or zero).</t>
        </is>
      </c>
      <c r="I546" s="3" t="inlineStr">
        <is>
          <t>PARTLY READ — some of the code is still showing through; needs a hand pass</t>
        </is>
      </c>
      <c r="J546" s="3" t="inlineStr">
        <is>
          <t>1. lastSyncAt: string | null | undefined
2. now: number = Date.now()</t>
        </is>
      </c>
      <c r="K546" s="3" t="inlineStr">
        <is>
          <t>boolean</t>
        </is>
      </c>
      <c r="L546" s="3" t="inlineStr">
        <is>
          <t>—</t>
        </is>
      </c>
      <c r="M546" s="3" t="inlineStr">
        <is>
          <t>· Uses today's date from the device clock, so the answer changes by itself overnight.</t>
        </is>
      </c>
      <c r="N546" s="3" t="inlineStr">
        <is>
          <t>Yes</t>
        </is>
      </c>
      <c r="O546" s="3" t="inlineStr">
        <is>
          <t>—</t>
        </is>
      </c>
      <c r="P546" s="3" t="n">
        <v>0</v>
      </c>
      <c r="Q546" s="3" t="inlineStr">
        <is>
          <t>None — no dependent function stands behind it</t>
        </is>
      </c>
      <c r="R546" s="3" t="inlineStr">
        <is>
          <t>No dependent function — it reads its inputs and answers</t>
        </is>
      </c>
      <c r="S546" s="3" t="inlineStr">
        <is>
          <t>—</t>
        </is>
      </c>
      <c r="T546" s="3" t="inlineStr">
        <is>
          <t>—</t>
        </is>
      </c>
      <c r="U546" s="3" t="inlineStr">
        <is>
          <t>ACTIVE</t>
        </is>
      </c>
      <c r="V546" s="3" t="inlineStr">
        <is>
          <t>2026-08-27</t>
        </is>
      </c>
    </row>
    <row r="547">
      <c r="A547" s="3" t="inlineStr">
        <is>
          <t>MK-XS-F-116</t>
        </is>
      </c>
      <c r="B547" s="3" t="inlineStr">
        <is>
          <t>runSnapTradeSync</t>
        </is>
      </c>
      <c r="C547" s="3" t="inlineStr">
        <is>
          <t>src/services/sync/snaptradeSync.ts</t>
        </is>
      </c>
      <c r="D547" s="3" t="n">
        <v>145</v>
      </c>
      <c r="E547" s="3" t="inlineStr">
        <is>
          <t>2 · DISPLAYED</t>
        </is>
      </c>
      <c r="F547" s="3" t="inlineStr">
        <is>
          <t>Full sync. Returns the number of accounts synced (0 = nothing connected).</t>
        </is>
      </c>
      <c r="G547" s="6"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547"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547" s="3" t="inlineStr">
        <is>
          <t>PARTLY READ — some of the code is still showing through; needs a hand pass</t>
        </is>
      </c>
      <c r="J547" s="3" t="inlineStr">
        <is>
          <t>1. opts: { force?: boolean } = {}
2. reads the app's stored data</t>
        </is>
      </c>
      <c r="K547" s="3" t="inlineStr">
        <is>
          <t>Promise&lt;number&gt;</t>
        </is>
      </c>
      <c r="L547" s="3" t="inlineStr">
        <is>
          <t>NOT FOUND — a screen calls it, but the words printed beside its answer could not be traced automatically. Needs reading.</t>
        </is>
      </c>
      <c r="M547" s="3" t="inlineStr">
        <is>
          <t>1. Uses today's date from the device clock, so the answer changes by itself overnight.
2. Leaves some rows out of the answer — check which.</t>
        </is>
      </c>
      <c r="N547" s="3" t="inlineStr">
        <is>
          <t>Yes</t>
        </is>
      </c>
      <c r="O547" s="3" t="inlineStr">
        <is>
          <t>1. MK-XS-F-149 allActivities
2. MK-CF-F-132 map
3. MK-XS-F-115 shouldDailySync
4. MK-XS-F-113 snaptradeConfigured
5. MK-XS-F-101 stAssetId
6. MK-XS-F-114 usdCash</t>
        </is>
      </c>
      <c r="P547" s="3" t="n">
        <v>8</v>
      </c>
      <c r="Q547" s="3" t="inlineStr">
        <is>
          <t>1. MK-XS-F-149 allActivities
2. MK-CF-F-132 map
3. MK-XS-F-115 shouldDailySync
4. MK-XS-F-113 snaptradeConfigured
5. MK-XS-F-101 stAssetId
6. MK-XS-F-114 usdCash
7. MK-XS-F-148 unwrapActivities
8. MK-XS-F-112 relayUrl</t>
        </is>
      </c>
      <c r="R547" s="3" t="inlineStr">
        <is>
          <t>1. MK-XS-F-148 unwrapActivities → MK-XS-F-149 allActivities → MK-XS-F-116 runSnapTradeSync
2. MK-CF-F-132 map → MK-XS-F-116 runSnapTradeSync
3. MK-XS-F-115 shouldDailySync → MK-XS-F-116 runSnapTradeSync
4. MK-XS-F-112 relayUrl → MK-XS-F-113 snaptradeConfigured → MK-XS-F-116 runSnapTradeSync
5. MK-XS-F-101 stAssetId → MK-XS-F-116 runSnapTradeSync
6. MK-XS-F-114 usdCash → MK-XS-F-116 runSnapTradeSync</t>
        </is>
      </c>
      <c r="S547" s="3" t="inlineStr">
        <is>
          <t>—</t>
        </is>
      </c>
      <c r="T547" s="3" t="inlineStr">
        <is>
          <t>—</t>
        </is>
      </c>
      <c r="U547" s="3" t="inlineStr">
        <is>
          <t>ACTIVE</t>
        </is>
      </c>
      <c r="V547" s="3" t="inlineStr">
        <is>
          <t>2026-08-27</t>
        </is>
      </c>
    </row>
    <row r="548">
      <c r="A548" s="3" t="inlineStr">
        <is>
          <t>MK-XS-F-118</t>
        </is>
      </c>
      <c r="B548" s="3" t="inlineStr">
        <is>
          <t>prettyDate</t>
        </is>
      </c>
      <c r="C548" s="3" t="inlineStr">
        <is>
          <t>src/domain/gaps/index.ts</t>
        </is>
      </c>
      <c r="D548" s="3" t="n">
        <v>83</v>
      </c>
      <c r="E548" s="3" t="inlineStr">
        <is>
          <t>3 · DEPENDENT</t>
        </is>
      </c>
      <c r="F548" s="3" t="inlineStr">
        <is>
          <t>NOT DETERMINED — the code carries no note saying what this is for, and it has no row in the old inventory. Needs reading.</t>
        </is>
      </c>
      <c r="G548" s="6" t="inlineStr">
        <is>
          <t>d = the date `${iso}-15T12:00:00`   if iso.length = 7
`${iso}T12:00:00`   otherwise
the answer:
iso   if is na n(get time())
to locale date string('en − US', { month: 'short', day: 'numeric' })   otherwise</t>
        </is>
      </c>
      <c r="H548" s="3" t="inlineStr">
        <is>
          <t>D: the date `${iso}-15T12:00:00` — when iso.length = 7; `${iso}T12:00:00` — otherwise. The answer is iso — when is na n(get time()); to locale date string('en minus US', { month: 'short', day: 'numeric' }) — otherwise.</t>
        </is>
      </c>
      <c r="I548" s="3" t="inlineStr">
        <is>
          <t>PARTLY READ — some of the code is still showing through; needs a hand pass</t>
        </is>
      </c>
      <c r="J548" s="3" t="inlineStr">
        <is>
          <t>iso: string</t>
        </is>
      </c>
      <c r="K548" s="3" t="inlineStr">
        <is>
          <t>NOT DECLARED — the code does not say what it gives back</t>
        </is>
      </c>
      <c r="L548" s="3" t="inlineStr">
        <is>
          <t>—</t>
        </is>
      </c>
      <c r="M548" s="3" t="inlineStr">
        <is>
          <t>None found in this function — anything it assumes comes from the functions it depends on.</t>
        </is>
      </c>
      <c r="N548" s="3" t="inlineStr">
        <is>
          <t>Yes</t>
        </is>
      </c>
      <c r="O548" s="3" t="inlineStr">
        <is>
          <t>—</t>
        </is>
      </c>
      <c r="P548" s="3" t="n">
        <v>0</v>
      </c>
      <c r="Q548" s="3" t="inlineStr">
        <is>
          <t>None — no dependent function stands behind it</t>
        </is>
      </c>
      <c r="R548" s="3" t="inlineStr">
        <is>
          <t>No dependent function — it reads its inputs and answers</t>
        </is>
      </c>
      <c r="S548" s="3" t="inlineStr">
        <is>
          <t>—</t>
        </is>
      </c>
      <c r="T548" s="3" t="inlineStr">
        <is>
          <t>—</t>
        </is>
      </c>
      <c r="U548" s="3" t="inlineStr">
        <is>
          <t>ACTIVE</t>
        </is>
      </c>
      <c r="V548" s="3" t="inlineStr">
        <is>
          <t>2026-08-27</t>
        </is>
      </c>
    </row>
    <row r="549">
      <c r="A549" s="3" t="inlineStr">
        <is>
          <t>MK-XS-F-119</t>
        </is>
      </c>
      <c r="B549" s="3" t="inlineStr">
        <is>
          <t>namesFor</t>
        </is>
      </c>
      <c r="C549" s="3" t="inlineStr">
        <is>
          <t>src/domain/gaps/index.ts</t>
        </is>
      </c>
      <c r="D549" s="3" t="n">
        <v>109</v>
      </c>
      <c r="E549" s="3" t="inlineStr">
        <is>
          <t>1 · ACTION</t>
        </is>
      </c>
      <c r="F549" s="3" t="inlineStr">
        <is>
          <t>Founder finding 2026-08-11: this named an account by its INSTITUTION alone, so two Vanguard accounts produced two identical banner lines ("Vanguard last updated Aug 3" twice) with no way to tell which was which.</t>
        </is>
      </c>
      <c r="G549" s="6" t="inlineStr">
        <is>
          <t>account display names(accounts)</t>
        </is>
      </c>
      <c r="H549" s="3" t="inlineStr">
        <is>
          <t>account display names(accounts)</t>
        </is>
      </c>
      <c r="I549" s="3" t="inlineStr">
        <is>
          <t>READ FROM THE CODE — rendered from the expressions the function runs</t>
        </is>
      </c>
      <c r="J549" s="3" t="inlineStr">
        <is>
          <t>accounts: AssetAccount[]</t>
        </is>
      </c>
      <c r="K549" s="3" t="inlineStr">
        <is>
          <t>NOT DECLARED — the code does not say what it gives back</t>
        </is>
      </c>
      <c r="L549" s="3" t="inlineStr">
        <is>
          <t>—</t>
        </is>
      </c>
      <c r="M549" s="3" t="inlineStr">
        <is>
          <t>None found in this function — anything it assumes comes from the functions it depends on.</t>
        </is>
      </c>
      <c r="N549" s="3" t="inlineStr">
        <is>
          <t>Yes</t>
        </is>
      </c>
      <c r="O549" s="3" t="inlineStr">
        <is>
          <t>MK-NW-F-026 accountDisplayNames</t>
        </is>
      </c>
      <c r="P549" s="3" t="n">
        <v>6</v>
      </c>
      <c r="Q549" s="3" t="inlineStr">
        <is>
          <t>1. MK-NW-F-026 accountDisplayNames
2. MK-NW-F-025 accountDisplayName
3. MK-CF-F-132 map
4. MK-NW-F-024 accountLastFour
5. MK-NW-F-012 taxTreatmentOf
6. MK-NW-F-023 wrapperWord</t>
        </is>
      </c>
      <c r="R549" s="3" t="inlineStr">
        <is>
          <t>1. MK-NW-F-024 accountLastFour → MK-NW-F-025 accountDisplayName → MK-NW-F-026 accountDisplayNames → MK-XS-F-119 namesFor
2. MK-NW-F-012 taxTreatmentOf → MK-NW-F-025 accountDisplayName → MK-NW-F-026 accountDisplayNames → MK-XS-F-119 namesFor
3. MK-NW-F-023 wrapperWord → MK-NW-F-025 accountDisplayName → MK-NW-F-026 accountDisplayNames → MK-XS-F-119 namesFor
4. MK-CF-F-132 map → MK-NW-F-026 accountDisplayNames → MK-XS-F-119 namesFor</t>
        </is>
      </c>
      <c r="S549" s="3" t="inlineStr">
        <is>
          <t>—</t>
        </is>
      </c>
      <c r="T549" s="3" t="inlineStr">
        <is>
          <t>—</t>
        </is>
      </c>
      <c r="U549" s="3" t="inlineStr">
        <is>
          <t>ACTIVE</t>
        </is>
      </c>
      <c r="V549" s="3" t="inlineStr">
        <is>
          <t>2026-08-27</t>
        </is>
      </c>
    </row>
    <row r="550">
      <c r="A550" s="3" t="inlineStr">
        <is>
          <t>MK-XS-F-120</t>
        </is>
      </c>
      <c r="B550" s="3" t="inlineStr">
        <is>
          <t>nameOf</t>
        </is>
      </c>
      <c r="C550" s="3" t="inlineStr">
        <is>
          <t>src/domain/gaps/index.ts</t>
        </is>
      </c>
      <c r="D550" s="3" t="n">
        <v>129</v>
      </c>
      <c r="E550" s="3" t="inlineStr">
        <is>
          <t>1 · ACTION</t>
        </is>
      </c>
      <c r="F550" s="3" t="inlineStr">
        <is>
          <t>NOT DETERMINED — the code carries no note saying what this is for, and it has no row in the old inventory. Needs reading.</t>
        </is>
      </c>
      <c r="G550" s="6" t="inlineStr">
        <is>
          <t>NOT READ YET — the body is not a shape this can render faithfully, so nothing is claimed rather than something being guessed. It needs reading by hand.</t>
        </is>
      </c>
      <c r="H550" s="3" t="inlineStr">
        <is>
          <t>NOT READ YET — the body is not a shape this can render faithfully, so nothing is claimed rather than something being guessed. It needs reading by hand.</t>
        </is>
      </c>
      <c r="I550" s="3" t="inlineStr">
        <is>
          <t>NOT READ — nothing is claimed rather than something guessed</t>
        </is>
      </c>
      <c r="J550" s="3" t="inlineStr">
        <is>
          <t>1. a: AssetAccount
2. names: Map&lt;string, string&gt;</t>
        </is>
      </c>
      <c r="K550" s="3" t="inlineStr">
        <is>
          <t>NOT DECLARED — the code does not say what it gives back</t>
        </is>
      </c>
      <c r="L550" s="3" t="inlineStr">
        <is>
          <t>—</t>
        </is>
      </c>
      <c r="M550" s="3" t="inlineStr">
        <is>
          <t>None found in this function — anything it assumes comes from the functions it depends on.</t>
        </is>
      </c>
      <c r="N550" s="3" t="inlineStr">
        <is>
          <t>Yes</t>
        </is>
      </c>
      <c r="O550" s="3" t="inlineStr">
        <is>
          <t>—</t>
        </is>
      </c>
      <c r="P550" s="3" t="n">
        <v>0</v>
      </c>
      <c r="Q550" s="3" t="inlineStr">
        <is>
          <t>None — no dependent function stands behind it</t>
        </is>
      </c>
      <c r="R550" s="3" t="inlineStr">
        <is>
          <t>No dependent function — it reads its inputs and answers</t>
        </is>
      </c>
      <c r="S550" s="3" t="inlineStr">
        <is>
          <t>—</t>
        </is>
      </c>
      <c r="T550" s="3" t="inlineStr">
        <is>
          <t>—</t>
        </is>
      </c>
      <c r="U550" s="3" t="inlineStr">
        <is>
          <t>ACTIVE</t>
        </is>
      </c>
      <c r="V550" s="3" t="inlineStr">
        <is>
          <t>2026-08-27</t>
        </is>
      </c>
    </row>
    <row r="551">
      <c r="A551" s="3" t="inlineStr">
        <is>
          <t>MK-XS-F-121</t>
        </is>
      </c>
      <c r="B551" s="3" t="inlineStr">
        <is>
          <t>isYm</t>
        </is>
      </c>
      <c r="C551" s="3" t="inlineStr">
        <is>
          <t>src/domain/history.ts</t>
        </is>
      </c>
      <c r="D551" s="3" t="n">
        <v>120</v>
      </c>
      <c r="E551" s="3" t="inlineStr">
        <is>
          <t>1 · ACTION</t>
        </is>
      </c>
      <c r="F551" s="3" t="inlineStr">
        <is>
          <t>NOT DETERMINED — the code carries no note saying what this is for, and it has no row in the old inventory. Needs reading.</t>
        </is>
      </c>
      <c r="G551" s="6" t="inlineStr">
        <is>
          <t>NOT READ YET — the body is not a shape this can render faithfully, so nothing is claimed rather than something being guessed. It needs reading by hand.</t>
        </is>
      </c>
      <c r="H551" s="3" t="inlineStr">
        <is>
          <t>NOT READ YET — the body is not a shape this can render faithfully, so nothing is claimed rather than something being guessed. It needs reading by hand.</t>
        </is>
      </c>
      <c r="I551" s="3" t="inlineStr">
        <is>
          <t>NOT READ — nothing is claimed rather than something guessed</t>
        </is>
      </c>
      <c r="J551" s="3" t="inlineStr">
        <is>
          <t>s: unknown</t>
        </is>
      </c>
      <c r="K551" s="3" t="inlineStr">
        <is>
          <t>s is string</t>
        </is>
      </c>
      <c r="L551" s="3" t="inlineStr">
        <is>
          <t>—</t>
        </is>
      </c>
      <c r="M551" s="3" t="inlineStr">
        <is>
          <t>None found in this function — anything it assumes comes from the functions it depends on.</t>
        </is>
      </c>
      <c r="N551" s="3" t="inlineStr">
        <is>
          <t>Yes</t>
        </is>
      </c>
      <c r="O551" s="3" t="inlineStr">
        <is>
          <t>—</t>
        </is>
      </c>
      <c r="P551" s="3" t="n">
        <v>0</v>
      </c>
      <c r="Q551" s="3" t="inlineStr">
        <is>
          <t>None — no dependent function stands behind it</t>
        </is>
      </c>
      <c r="R551" s="3" t="inlineStr">
        <is>
          <t>No dependent function — it reads its inputs and answers</t>
        </is>
      </c>
      <c r="S551" s="3" t="inlineStr">
        <is>
          <t>—</t>
        </is>
      </c>
      <c r="T551" s="3" t="inlineStr">
        <is>
          <t>—</t>
        </is>
      </c>
      <c r="U551" s="3" t="inlineStr">
        <is>
          <t>ACTIVE</t>
        </is>
      </c>
      <c r="V551" s="3" t="inlineStr">
        <is>
          <t>2026-08-27</t>
        </is>
      </c>
    </row>
    <row r="552">
      <c r="A552" s="3" t="inlineStr">
        <is>
          <t>MK-XS-F-122</t>
        </is>
      </c>
      <c r="B552" s="3" t="inlineStr">
        <is>
          <t>n</t>
        </is>
      </c>
      <c r="C552" s="3" t="inlineStr">
        <is>
          <t>src/domain/history.ts</t>
        </is>
      </c>
      <c r="D552" s="3" t="n">
        <v>141</v>
      </c>
      <c r="E552" s="3" t="inlineStr">
        <is>
          <t>1 · ACTION</t>
        </is>
      </c>
      <c r="F552" s="3" t="inlineStr">
        <is>
          <t>NOT DETERMINED — the code carries no note saying what this is for, and it has no row in the old inventory. Needs reading.</t>
        </is>
      </c>
      <c r="G552" s="6" t="inlineStr">
        <is>
          <t>v   if typeof v = 'number' and number.is finite(v)
fallback   otherwise</t>
        </is>
      </c>
      <c r="H552" s="3" t="inlineStr">
        <is>
          <t>v — when typeof v = 'number' and number.is finite(v); fallback — otherwise</t>
        </is>
      </c>
      <c r="I552" s="3" t="inlineStr">
        <is>
          <t>PARTLY READ — some of the code is still showing through; needs a hand pass</t>
        </is>
      </c>
      <c r="J552" s="3" t="inlineStr">
        <is>
          <t>1. v: unknown
2. fallback = 0</t>
        </is>
      </c>
      <c r="K552" s="3" t="inlineStr">
        <is>
          <t>number</t>
        </is>
      </c>
      <c r="L552" s="3" t="inlineStr">
        <is>
          <t>—</t>
        </is>
      </c>
      <c r="M552" s="3" t="inlineStr">
        <is>
          <t>None found in this function — anything it assumes comes from the functions it depends on.</t>
        </is>
      </c>
      <c r="N552" s="3" t="inlineStr">
        <is>
          <t>Yes</t>
        </is>
      </c>
      <c r="O552" s="3" t="inlineStr">
        <is>
          <t>—</t>
        </is>
      </c>
      <c r="P552" s="3" t="n">
        <v>0</v>
      </c>
      <c r="Q552" s="3" t="inlineStr">
        <is>
          <t>None — no dependent function stands behind it</t>
        </is>
      </c>
      <c r="R552" s="3" t="inlineStr">
        <is>
          <t>No dependent function — it reads its inputs and answers</t>
        </is>
      </c>
      <c r="S552" s="3" t="inlineStr">
        <is>
          <t>—</t>
        </is>
      </c>
      <c r="T552" s="3" t="inlineStr">
        <is>
          <t>—</t>
        </is>
      </c>
      <c r="U552" s="3" t="inlineStr">
        <is>
          <t>ACTIVE</t>
        </is>
      </c>
      <c r="V552" s="3" t="inlineStr">
        <is>
          <t>2026-08-27</t>
        </is>
      </c>
    </row>
    <row r="553">
      <c r="A553" s="3" t="inlineStr">
        <is>
          <t>MK-XS-F-123</t>
        </is>
      </c>
      <c r="B553" s="3" t="inlineStr">
        <is>
          <t>base64ToBytes</t>
        </is>
      </c>
      <c r="C553" s="3" t="inlineStr">
        <is>
          <t>src/domain/import/holdingsImport.ts</t>
        </is>
      </c>
      <c r="D553" s="3" t="n">
        <v>59</v>
      </c>
      <c r="E553" s="3" t="inlineStr">
        <is>
          <t>3 · DEPENDENT</t>
        </is>
      </c>
      <c r="F553" s="3" t="inlineStr">
        <is>
          <t>NOT DETERMINED — the code carries no note saying what this is for, and it has no row in the old inventory. Needs reading.</t>
        </is>
      </c>
      <c r="G553" s="6" t="inlineStr">
        <is>
          <t>c = b64.replace( ÷ [^A − za − z0 − 9+ ÷ ] ÷ g, '')
out = []
e1 = B64.index of(c[i]), e2 = B64.index of(c[i + 1]), e3 = B64.index of(c[i + 2]), e4 = B64.index of(c[i + 3])
n = (e1 &lt;&lt; 18) | (e2 &lt;&lt; 12) | ((e3 &amp; 63) &lt;&lt; 6) | (e4 &amp; 63)
the answer = out</t>
        </is>
      </c>
      <c r="H553"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553" s="3" t="inlineStr">
        <is>
          <t>PARTLY READ — some of the code is still showing through; needs a hand pass</t>
        </is>
      </c>
      <c r="J553" s="3" t="inlineStr">
        <is>
          <t>b64: string</t>
        </is>
      </c>
      <c r="K553" s="3" t="inlineStr">
        <is>
          <t>number[]</t>
        </is>
      </c>
      <c r="L553" s="3" t="inlineStr">
        <is>
          <t>—</t>
        </is>
      </c>
      <c r="M553" s="3" t="inlineStr">
        <is>
          <t>· Uses a built-in i of 0.</t>
        </is>
      </c>
      <c r="N553" s="3" t="inlineStr">
        <is>
          <t>Yes</t>
        </is>
      </c>
      <c r="O553" s="3" t="inlineStr">
        <is>
          <t>—</t>
        </is>
      </c>
      <c r="P553" s="3" t="n">
        <v>0</v>
      </c>
      <c r="Q553" s="3" t="inlineStr">
        <is>
          <t>None — no dependent function stands behind it</t>
        </is>
      </c>
      <c r="R553" s="3" t="inlineStr">
        <is>
          <t>No dependent function — it reads its inputs and answers</t>
        </is>
      </c>
      <c r="S553" s="3" t="inlineStr">
        <is>
          <t>—</t>
        </is>
      </c>
      <c r="T553" s="3" t="inlineStr">
        <is>
          <t>—</t>
        </is>
      </c>
      <c r="U553" s="3" t="inlineStr">
        <is>
          <t>ACTIVE</t>
        </is>
      </c>
      <c r="V553" s="3" t="inlineStr">
        <is>
          <t>2026-08-27</t>
        </is>
      </c>
    </row>
    <row r="554">
      <c r="A554" s="3" t="inlineStr">
        <is>
          <t>MK-XS-F-124</t>
        </is>
      </c>
      <c r="B554" s="3" t="inlineStr">
        <is>
          <t>decodeUtf8</t>
        </is>
      </c>
      <c r="C554" s="3" t="inlineStr">
        <is>
          <t>src/domain/import/holdingsImport.ts</t>
        </is>
      </c>
      <c r="D554" s="3" t="n">
        <v>91</v>
      </c>
      <c r="E554" s="3" t="inlineStr">
        <is>
          <t>3 · DEPENDENT</t>
        </is>
      </c>
      <c r="F554" s="3" t="inlineStr">
        <is>
          <t>NOT DETERMINED — the code carries no note saying what this is for, and it has no row in the old inventory. Needs reading.</t>
        </is>
      </c>
      <c r="G554" s="6" t="inlineStr">
        <is>
          <t>s = ''
c = b[i++]
the answer = s</t>
        </is>
      </c>
      <c r="H554" s="3" t="inlineStr">
        <is>
          <t>S is ''. C is b[i++]. The answer is s.</t>
        </is>
      </c>
      <c r="I554" s="3" t="inlineStr">
        <is>
          <t>READ FROM THE CODE — rendered from the expressions the function runs</t>
        </is>
      </c>
      <c r="J554" s="3" t="inlineStr">
        <is>
          <t>1. b: number[]
2. start = 0</t>
        </is>
      </c>
      <c r="K554" s="3" t="inlineStr">
        <is>
          <t>string</t>
        </is>
      </c>
      <c r="L554" s="3" t="inlineStr">
        <is>
          <t>—</t>
        </is>
      </c>
      <c r="M554" s="3" t="inlineStr">
        <is>
          <t>None found in this function — anything it assumes comes from the functions it depends on.</t>
        </is>
      </c>
      <c r="N554" s="3" t="inlineStr">
        <is>
          <t>Yes</t>
        </is>
      </c>
      <c r="O554" s="3" t="inlineStr">
        <is>
          <t>—</t>
        </is>
      </c>
      <c r="P554" s="3" t="n">
        <v>0</v>
      </c>
      <c r="Q554" s="3" t="inlineStr">
        <is>
          <t>None — no dependent function stands behind it</t>
        </is>
      </c>
      <c r="R554" s="3" t="inlineStr">
        <is>
          <t>No dependent function — it reads its inputs and answers</t>
        </is>
      </c>
      <c r="S554" s="3" t="inlineStr">
        <is>
          <t>—</t>
        </is>
      </c>
      <c r="T554" s="3" t="inlineStr">
        <is>
          <t>—</t>
        </is>
      </c>
      <c r="U554" s="3" t="inlineStr">
        <is>
          <t>ACTIVE</t>
        </is>
      </c>
      <c r="V554" s="3" t="inlineStr">
        <is>
          <t>2026-08-27</t>
        </is>
      </c>
    </row>
    <row r="555">
      <c r="A555" s="3" t="inlineStr">
        <is>
          <t>MK-XS-F-125</t>
        </is>
      </c>
      <c r="B555" s="3" t="inlineStr">
        <is>
          <t>decodeUtf16</t>
        </is>
      </c>
      <c r="C555" s="3" t="inlineStr">
        <is>
          <t>src/domain/import/holdingsImport.ts</t>
        </is>
      </c>
      <c r="D555" s="3" t="n">
        <v>121</v>
      </c>
      <c r="E555" s="3" t="inlineStr">
        <is>
          <t>3 · DEPENDENT</t>
        </is>
      </c>
      <c r="F555" s="3" t="inlineStr">
        <is>
          <t>NOT DETERMINED — the code carries no note saying what this is for, and it has no row in the old inventory. Needs reading.</t>
        </is>
      </c>
      <c r="G555" s="6" t="inlineStr">
        <is>
          <t>s = ''
the answer = s</t>
        </is>
      </c>
      <c r="H555" s="3" t="inlineStr">
        <is>
          <t>S is ''. The answer is s.</t>
        </is>
      </c>
      <c r="I555" s="3" t="inlineStr">
        <is>
          <t>READ FROM THE CODE — rendered from the expressions the function runs</t>
        </is>
      </c>
      <c r="J555" s="3" t="inlineStr">
        <is>
          <t>1. b: number[]
2. start: number
3. le: boolean</t>
        </is>
      </c>
      <c r="K555" s="3" t="inlineStr">
        <is>
          <t>string</t>
        </is>
      </c>
      <c r="L555" s="3" t="inlineStr">
        <is>
          <t>—</t>
        </is>
      </c>
      <c r="M555" s="3" t="inlineStr">
        <is>
          <t>None found in this function — anything it assumes comes from the functions it depends on.</t>
        </is>
      </c>
      <c r="N555" s="3" t="inlineStr">
        <is>
          <t>Yes</t>
        </is>
      </c>
      <c r="O555" s="3" t="inlineStr">
        <is>
          <t>—</t>
        </is>
      </c>
      <c r="P555" s="3" t="n">
        <v>0</v>
      </c>
      <c r="Q555" s="3" t="inlineStr">
        <is>
          <t>None — no dependent function stands behind it</t>
        </is>
      </c>
      <c r="R555" s="3" t="inlineStr">
        <is>
          <t>No dependent function — it reads its inputs and answers</t>
        </is>
      </c>
      <c r="S555" s="3" t="inlineStr">
        <is>
          <t>—</t>
        </is>
      </c>
      <c r="T555" s="3" t="inlineStr">
        <is>
          <t>—</t>
        </is>
      </c>
      <c r="U555" s="3" t="inlineStr">
        <is>
          <t>ACTIVE</t>
        </is>
      </c>
      <c r="V555" s="3" t="inlineStr">
        <is>
          <t>2026-08-27</t>
        </is>
      </c>
    </row>
    <row r="556">
      <c r="A556" s="3" t="inlineStr">
        <is>
          <t>MK-XS-F-126</t>
        </is>
      </c>
      <c r="B556" s="3" t="inlineStr">
        <is>
          <t>findCol</t>
        </is>
      </c>
      <c r="C556" s="3" t="inlineStr">
        <is>
          <t>src/domain/import/holdingsImport.ts</t>
        </is>
      </c>
      <c r="D556" s="3" t="n">
        <v>266</v>
      </c>
      <c r="E556" s="3" t="inlineStr">
        <is>
          <t>3 · DEPENDENT</t>
        </is>
      </c>
      <c r="F556" s="3" t="inlineStr">
        <is>
          <t>NOT DETERMINED — the code carries no note saying what this is for, and it has no row in the old inventory. Needs reading.</t>
        </is>
      </c>
      <c r="G556" s="6" t="inlineStr">
        <is>
          <t>i = headers.find index((h) =&gt; re.test(h))
i   when i ≥ 0
the answer = -1</t>
        </is>
      </c>
      <c r="H556" s="3" t="inlineStr">
        <is>
          <t>I is headers.find index((h) =&gt; re.test(h)). When i is at least 0, it answers i. The answer is -1.</t>
        </is>
      </c>
      <c r="I556" s="3" t="inlineStr">
        <is>
          <t>PARTLY READ — some of the code is still showing through; needs a hand pass</t>
        </is>
      </c>
      <c r="J556" s="3" t="inlineStr">
        <is>
          <t>1. headers: string[]
2. patterns: RegExp[]</t>
        </is>
      </c>
      <c r="K556" s="3" t="inlineStr">
        <is>
          <t>number</t>
        </is>
      </c>
      <c r="L556" s="3" t="inlineStr">
        <is>
          <t>—</t>
        </is>
      </c>
      <c r="M556" s="3" t="inlineStr">
        <is>
          <t>None found in this function — anything it assumes comes from the functions it depends on.</t>
        </is>
      </c>
      <c r="N556" s="3" t="inlineStr">
        <is>
          <t>Yes</t>
        </is>
      </c>
      <c r="O556" s="3" t="inlineStr">
        <is>
          <t>—</t>
        </is>
      </c>
      <c r="P556" s="3" t="n">
        <v>0</v>
      </c>
      <c r="Q556" s="3" t="inlineStr">
        <is>
          <t>None — no dependent function stands behind it</t>
        </is>
      </c>
      <c r="R556" s="3" t="inlineStr">
        <is>
          <t>No dependent function — it reads its inputs and answers</t>
        </is>
      </c>
      <c r="S556" s="3" t="inlineStr">
        <is>
          <t>—</t>
        </is>
      </c>
      <c r="T556" s="3" t="inlineStr">
        <is>
          <t>—</t>
        </is>
      </c>
      <c r="U556" s="3" t="inlineStr">
        <is>
          <t>ACTIVE</t>
        </is>
      </c>
      <c r="V556" s="3" t="inlineStr">
        <is>
          <t>2026-08-27</t>
        </is>
      </c>
    </row>
    <row r="557">
      <c r="A557" s="3" t="inlineStr">
        <is>
          <t>MK-XS-F-127</t>
        </is>
      </c>
      <c r="B557" s="3" t="inlineStr">
        <is>
          <t>toIsoDate</t>
        </is>
      </c>
      <c r="C557" s="3" t="inlineStr">
        <is>
          <t>src/domain/import/holdingsImport.ts</t>
        </is>
      </c>
      <c r="D557" s="3" t="n">
        <v>298</v>
      </c>
      <c r="E557" s="3" t="inlineStr">
        <is>
          <t>3 · DEPENDENT</t>
        </is>
      </c>
      <c r="F557" s="3" t="inlineStr">
        <is>
          <t>Normalise a date cell to 'YYYY-MM-DD', or undefined if it isn't a usable date.</t>
        </is>
      </c>
      <c r="G557" s="6" t="inlineStr">
        <is>
          <t>t = (v ?? '').trim()
undefined   when t is missing
m = match( ÷ ^(\d{4})[- ÷ ](\d{1,2})[- ÷ ](\d{1,2})$ ÷ )
`${m[1]}-${m[2].pad start(2, '0')}-${m[3].pad start(2, '0')}`   when m
`${m[3]}-${m[1].pad start(2, '0')}-${m[2].pad start(2, '0')}`   when m
the answer = undefined</t>
        </is>
      </c>
      <c r="H557" s="3" t="inlineStr">
        <is>
          <t>T is (v ?? '').trim(). When t is missing, it answers undefined. M is match( divided by ^(\d{4})[- divided by ](\d{1,2})[- divided by ](\d{1,2})$ divided by ). When m, it answers `${m[1]}-${m[2].pad start(2, '0')}-${m[3].pad start(2, '0')}`. When m, it answers `${m[3]}-${m[1].pad start(2, '0')}-${m[2].pad start(2, '0')}`. The answer is undefined.</t>
        </is>
      </c>
      <c r="I557" s="3" t="inlineStr">
        <is>
          <t>PARTLY READ — some of the code is still showing through; needs a hand pass</t>
        </is>
      </c>
      <c r="J557" s="3" t="inlineStr">
        <is>
          <t>v: string</t>
        </is>
      </c>
      <c r="K557" s="3" t="inlineStr">
        <is>
          <t>string | undefined</t>
        </is>
      </c>
      <c r="L557" s="3" t="inlineStr">
        <is>
          <t>—</t>
        </is>
      </c>
      <c r="M557" s="3" t="inlineStr">
        <is>
          <t>None found in this function — anything it assumes comes from the functions it depends on.</t>
        </is>
      </c>
      <c r="N557" s="3" t="inlineStr">
        <is>
          <t>Yes</t>
        </is>
      </c>
      <c r="O557" s="3" t="inlineStr">
        <is>
          <t>—</t>
        </is>
      </c>
      <c r="P557" s="3" t="n">
        <v>0</v>
      </c>
      <c r="Q557" s="3" t="inlineStr">
        <is>
          <t>None — no dependent function stands behind it</t>
        </is>
      </c>
      <c r="R557" s="3" t="inlineStr">
        <is>
          <t>No dependent function — it reads its inputs and answers</t>
        </is>
      </c>
      <c r="S557" s="3" t="inlineStr">
        <is>
          <t>—</t>
        </is>
      </c>
      <c r="T557" s="3" t="inlineStr">
        <is>
          <t>—</t>
        </is>
      </c>
      <c r="U557" s="3" t="inlineStr">
        <is>
          <t>ACTIVE</t>
        </is>
      </c>
      <c r="V557" s="3" t="inlineStr">
        <is>
          <t>2026-08-27</t>
        </is>
      </c>
    </row>
    <row r="558">
      <c r="A558" s="3" t="inlineStr">
        <is>
          <t>MK-XS-F-128</t>
        </is>
      </c>
      <c r="B558" s="3" t="inlineStr">
        <is>
          <t>cleanTicker</t>
        </is>
      </c>
      <c r="C558" s="3" t="inlineStr">
        <is>
          <t>src/domain/import/holdingsImport.ts</t>
        </is>
      </c>
      <c r="D558" s="3" t="n">
        <v>331</v>
      </c>
      <c r="E558" s="3" t="inlineStr">
        <is>
          <t>3 · DEPENDENT</t>
        </is>
      </c>
      <c r="F558" s="3" t="inlineStr">
        <is>
          <t>A plausible tradeable ticker: 1–10 chars, letters/digits/.-, at least one letter, no spaces.</t>
        </is>
      </c>
      <c r="G558" s="6"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558"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558" s="3" t="inlineStr">
        <is>
          <t>PARTLY READ — some of the code is still showing through; needs a hand pass</t>
        </is>
      </c>
      <c r="J558" s="3" t="inlineStr">
        <is>
          <t>v: string</t>
        </is>
      </c>
      <c r="K558" s="3" t="inlineStr">
        <is>
          <t>string | null</t>
        </is>
      </c>
      <c r="L558" s="3" t="inlineStr">
        <is>
          <t>—</t>
        </is>
      </c>
      <c r="M558" s="3" t="inlineStr">
        <is>
          <t>None found in this function — anything it assumes comes from the functions it depends on.</t>
        </is>
      </c>
      <c r="N558" s="3" t="inlineStr">
        <is>
          <t>Yes</t>
        </is>
      </c>
      <c r="O558" s="3" t="inlineStr">
        <is>
          <t>—</t>
        </is>
      </c>
      <c r="P558" s="3" t="n">
        <v>0</v>
      </c>
      <c r="Q558" s="3" t="inlineStr">
        <is>
          <t>None — no dependent function stands behind it</t>
        </is>
      </c>
      <c r="R558" s="3" t="inlineStr">
        <is>
          <t>No dependent function — it reads its inputs and answers</t>
        </is>
      </c>
      <c r="S558" s="3" t="inlineStr">
        <is>
          <t>—</t>
        </is>
      </c>
      <c r="T558" s="3" t="inlineStr">
        <is>
          <t>—</t>
        </is>
      </c>
      <c r="U558" s="3" t="inlineStr">
        <is>
          <t>ACTIVE</t>
        </is>
      </c>
      <c r="V558" s="3" t="inlineStr">
        <is>
          <t>2026-08-27</t>
        </is>
      </c>
    </row>
    <row r="559">
      <c r="A559" s="3" t="inlineStr">
        <is>
          <t>MK-XS-F-129</t>
        </is>
      </c>
      <c r="B559" s="3" t="inlineStr">
        <is>
          <t>findHeaderRow</t>
        </is>
      </c>
      <c r="C559" s="3" t="inlineStr">
        <is>
          <t>src/domain/import/holdingsImport.ts</t>
        </is>
      </c>
      <c r="D559" s="3" t="n">
        <v>392</v>
      </c>
      <c r="E559" s="3" t="inlineStr">
        <is>
          <t>3 · DEPENDENT</t>
        </is>
      </c>
      <c r="F559" s="3" t="inlineStr">
        <is>
          <t>Find the real positions header — the first row that has BOTH a symbol/ticker AND a quantity/shares column (skips brokerage preambles like "Account Summary" and filter headers).</t>
        </is>
      </c>
      <c r="G559" s="6" t="inlineStr">
        <is>
          <t>h = for each of rows[i]: trim()
has sym = some((c) =&gt; ÷ ^(symbol|ticker)$ ÷ test(c))
has qty = some((c) =&gt; ÷ ^(quantity|shares|qty|units)$ ÷ test(c))
i   when has sym and has qty
the answer = 0</t>
        </is>
      </c>
      <c r="H559" s="3" t="inlineStr">
        <is>
          <t>H is for each of rows[i]: trim(). Has sym is some((c) =&gt; divided by ^(symbol|ticker)$ divided by test(c)). Has qty is some((c) =&gt; divided by ^(quantity|shares|qty|units)$ divided by test(c)). When has sym and has qty, it answers i. The answer is 0.</t>
        </is>
      </c>
      <c r="I559" s="3" t="inlineStr">
        <is>
          <t>PARTLY READ — some of the code is still showing through; needs a hand pass</t>
        </is>
      </c>
      <c r="J559" s="3" t="inlineStr">
        <is>
          <t>rows: string[][]</t>
        </is>
      </c>
      <c r="K559" s="3" t="inlineStr">
        <is>
          <t>number</t>
        </is>
      </c>
      <c r="L559" s="3" t="inlineStr">
        <is>
          <t>—</t>
        </is>
      </c>
      <c r="M559" s="3" t="inlineStr">
        <is>
          <t>· Uses a built-in i of 0.</t>
        </is>
      </c>
      <c r="N559" s="3" t="inlineStr">
        <is>
          <t>Yes</t>
        </is>
      </c>
      <c r="O559" s="3" t="inlineStr">
        <is>
          <t>MK-CF-F-132 map</t>
        </is>
      </c>
      <c r="P559" s="3" t="n">
        <v>1</v>
      </c>
      <c r="Q559" s="3" t="inlineStr">
        <is>
          <t>MK-CF-F-132 map</t>
        </is>
      </c>
      <c r="R559" s="3" t="inlineStr">
        <is>
          <t>MK-CF-F-132 map → MK-XS-F-129 findHeaderRow</t>
        </is>
      </c>
      <c r="S559" s="3" t="inlineStr">
        <is>
          <t>—</t>
        </is>
      </c>
      <c r="T559" s="3" t="inlineStr">
        <is>
          <t>—</t>
        </is>
      </c>
      <c r="U559" s="3" t="inlineStr">
        <is>
          <t>ACTIVE</t>
        </is>
      </c>
      <c r="V559" s="3" t="inlineStr">
        <is>
          <t>2026-08-27</t>
        </is>
      </c>
    </row>
    <row r="560">
      <c r="A560" s="3" t="inlineStr">
        <is>
          <t>MK-XS-F-130</t>
        </is>
      </c>
      <c r="B560" s="3" t="inlineStr">
        <is>
          <t>normInst</t>
        </is>
      </c>
      <c r="C560" s="3" t="inlineStr">
        <is>
          <t>src/domain/import/holdingsImport.ts</t>
        </is>
      </c>
      <c r="D560" s="3" t="n">
        <v>522</v>
      </c>
      <c r="E560" s="3" t="inlineStr">
        <is>
          <t>1 · ACTION</t>
        </is>
      </c>
      <c r="F560" s="3" t="inlineStr">
        <is>
          <t>NOT DETERMINED — the code carries no note saying what this is for, and it has no row in the old inventory. Needs reading.</t>
        </is>
      </c>
      <c r="G560" s="6" t="inlineStr">
        <is>
          <t>(s ?? '').trim().to lower case().replace( ÷ [^a − z0 − 9] ÷ g, '')</t>
        </is>
      </c>
      <c r="H560" s="3" t="inlineStr">
        <is>
          <t>(s ?? '').trim().to lower case().replace( divided by [^a minus z0 minus 9] divided by g, '')</t>
        </is>
      </c>
      <c r="I560" s="3" t="inlineStr">
        <is>
          <t>PARTLY READ — some of the code is still showing through; needs a hand pass</t>
        </is>
      </c>
      <c r="J560" s="3" t="inlineStr">
        <is>
          <t>s?: string</t>
        </is>
      </c>
      <c r="K560" s="3" t="inlineStr">
        <is>
          <t>NOT DECLARED — the code does not say what it gives back</t>
        </is>
      </c>
      <c r="L560" s="3" t="inlineStr">
        <is>
          <t>—</t>
        </is>
      </c>
      <c r="M560" s="3" t="inlineStr">
        <is>
          <t>None found in this function — anything it assumes comes from the functions it depends on.</t>
        </is>
      </c>
      <c r="N560" s="3" t="inlineStr">
        <is>
          <t>Yes</t>
        </is>
      </c>
      <c r="O560" s="3" t="inlineStr">
        <is>
          <t>—</t>
        </is>
      </c>
      <c r="P560" s="3" t="n">
        <v>0</v>
      </c>
      <c r="Q560" s="3" t="inlineStr">
        <is>
          <t>None — no dependent function stands behind it</t>
        </is>
      </c>
      <c r="R560" s="3" t="inlineStr">
        <is>
          <t>No dependent function — it reads its inputs and answers</t>
        </is>
      </c>
      <c r="S560" s="3" t="inlineStr">
        <is>
          <t>—</t>
        </is>
      </c>
      <c r="T560" s="3" t="inlineStr">
        <is>
          <t>—</t>
        </is>
      </c>
      <c r="U560" s="3" t="inlineStr">
        <is>
          <t>ACTIVE</t>
        </is>
      </c>
      <c r="V560" s="3" t="inlineStr">
        <is>
          <t>2026-08-27</t>
        </is>
      </c>
    </row>
    <row r="561">
      <c r="A561" s="3" t="inlineStr">
        <is>
          <t>MK-XS-F-131</t>
        </is>
      </c>
      <c r="B561" s="3" t="inlineStr">
        <is>
          <t>toInt</t>
        </is>
      </c>
      <c r="C561" s="3" t="inlineStr">
        <is>
          <t>src/domain/profile/onboarding.ts</t>
        </is>
      </c>
      <c r="D561" s="3" t="n">
        <v>28</v>
      </c>
      <c r="E561" s="3" t="inlineStr">
        <is>
          <t>3 · DEPENDENT</t>
        </is>
      </c>
      <c r="F561" s="3" t="inlineStr">
        <is>
          <t>NOT DETERMINED — the code carries no note saying what this is for, and it has no row in the old inventory. Needs reading.</t>
        </is>
      </c>
      <c r="G561" s="6" t="inlineStr">
        <is>
          <t>n = parse int(string(v ?? '').replace( ÷ [^0 − 9] ÷ g, ''), 10)
the answer:
n   if number.is finite(n)
nothing   otherwise</t>
        </is>
      </c>
      <c r="H561" s="3" t="inlineStr">
        <is>
          <t>N is parse int(string(v ?? '').replace( divided by [^0 minus 9] divided by g, ''), 10). The answer is n — when number.is finite(n); no answer — otherwise.</t>
        </is>
      </c>
      <c r="I561" s="3" t="inlineStr">
        <is>
          <t>PARTLY READ — some of the code is still showing through; needs a hand pass</t>
        </is>
      </c>
      <c r="J561" s="3" t="inlineStr">
        <is>
          <t>v: any</t>
        </is>
      </c>
      <c r="K561" s="3" t="inlineStr">
        <is>
          <t>number | null</t>
        </is>
      </c>
      <c r="L561" s="3" t="inlineStr">
        <is>
          <t>—</t>
        </is>
      </c>
      <c r="M561" s="3" t="inlineStr">
        <is>
          <t>None found in this function — anything it assumes comes from the functions it depends on.</t>
        </is>
      </c>
      <c r="N561" s="3" t="inlineStr">
        <is>
          <t>Yes</t>
        </is>
      </c>
      <c r="O561" s="3" t="inlineStr">
        <is>
          <t>—</t>
        </is>
      </c>
      <c r="P561" s="3" t="n">
        <v>0</v>
      </c>
      <c r="Q561" s="3" t="inlineStr">
        <is>
          <t>None — no dependent function stands behind it</t>
        </is>
      </c>
      <c r="R561" s="3" t="inlineStr">
        <is>
          <t>No dependent function — it reads its inputs and answers</t>
        </is>
      </c>
      <c r="S561" s="3" t="inlineStr">
        <is>
          <t>—</t>
        </is>
      </c>
      <c r="T561" s="3" t="inlineStr">
        <is>
          <t>—</t>
        </is>
      </c>
      <c r="U561" s="3" t="inlineStr">
        <is>
          <t>ACTIVE</t>
        </is>
      </c>
      <c r="V561" s="3" t="inlineStr">
        <is>
          <t>2026-08-27</t>
        </is>
      </c>
    </row>
    <row r="562">
      <c r="A562" s="3" t="inlineStr">
        <is>
          <t>MK-XS-F-132</t>
        </is>
      </c>
      <c r="B562" s="3" t="inlineStr">
        <is>
          <t>load</t>
        </is>
      </c>
      <c r="C562" s="3" t="inlineStr">
        <is>
          <t>src/services/appLock.ts</t>
        </is>
      </c>
      <c r="D562" s="3" t="n">
        <v>25</v>
      </c>
      <c r="E562" s="3" t="inlineStr">
        <is>
          <t>3 · DEPENDENT</t>
        </is>
      </c>
      <c r="F562" s="3" t="inlineStr">
        <is>
          <t>NOT DETERMINED — the code carries no note saying what this is for, and it has no row in the old inventory. Needs reading.</t>
        </is>
      </c>
      <c r="G562" s="6" t="inlineStr">
        <is>
          <t>LA   when LA
LA</t>
        </is>
      </c>
      <c r="H562" s="3" t="inlineStr">
        <is>
          <t>When LA, it answers LA. LA.</t>
        </is>
      </c>
      <c r="I562" s="3" t="inlineStr">
        <is>
          <t>READ FROM THE CODE — rendered from the expressions the function runs</t>
        </is>
      </c>
      <c r="J562" s="3" t="inlineStr">
        <is>
          <t>Nothing is handed to it</t>
        </is>
      </c>
      <c r="K562" s="3" t="inlineStr">
        <is>
          <t>any</t>
        </is>
      </c>
      <c r="L562" s="3" t="inlineStr">
        <is>
          <t>—</t>
        </is>
      </c>
      <c r="M562" s="3" t="inlineStr">
        <is>
          <t>None found in this function — anything it assumes comes from the functions it depends on.</t>
        </is>
      </c>
      <c r="N562" s="3" t="inlineStr">
        <is>
          <t>Yes</t>
        </is>
      </c>
      <c r="O562" s="3" t="inlineStr">
        <is>
          <t>—</t>
        </is>
      </c>
      <c r="P562" s="3" t="n">
        <v>0</v>
      </c>
      <c r="Q562" s="3" t="inlineStr">
        <is>
          <t>None — no dependent function stands behind it</t>
        </is>
      </c>
      <c r="R562" s="3" t="inlineStr">
        <is>
          <t>No dependent function — it reads its inputs and answers</t>
        </is>
      </c>
      <c r="S562" s="3" t="inlineStr">
        <is>
          <t>—</t>
        </is>
      </c>
      <c r="T562" s="3" t="inlineStr">
        <is>
          <t>—</t>
        </is>
      </c>
      <c r="U562" s="3" t="inlineStr">
        <is>
          <t>ACTIVE</t>
        </is>
      </c>
      <c r="V562" s="3" t="inlineStr">
        <is>
          <t>2026-08-27</t>
        </is>
      </c>
    </row>
    <row r="563">
      <c r="A563" s="3" t="inlineStr">
        <is>
          <t>MK-XS-F-133</t>
        </is>
      </c>
      <c r="B563" s="3" t="inlineStr">
        <is>
          <t>loadSentry</t>
        </is>
      </c>
      <c r="C563" s="3" t="inlineStr">
        <is>
          <t>src/services/crashReporter.ts</t>
        </is>
      </c>
      <c r="D563" s="3" t="n">
        <v>33</v>
      </c>
      <c r="E563" s="3" t="inlineStr">
        <is>
          <t>3 · DEPENDENT</t>
        </is>
      </c>
      <c r="F563" s="3" t="inlineStr">
        <is>
          <t>NOT DETERMINED — the code carries no note saying what this is for, and it has no row in the old inventory. Needs reading.</t>
        </is>
      </c>
      <c r="G563" s="6" t="inlineStr">
        <is>
          <t>NOT READ YET — the body is not a shape this can render faithfully, so nothing is claimed rather than something being guessed. It needs reading by hand.</t>
        </is>
      </c>
      <c r="H563" s="3" t="inlineStr">
        <is>
          <t>NOT READ YET — the body is not a shape this can render faithfully, so nothing is claimed rather than something being guessed. It needs reading by hand.</t>
        </is>
      </c>
      <c r="I563" s="3" t="inlineStr">
        <is>
          <t>NOT READ — nothing is claimed rather than something guessed</t>
        </is>
      </c>
      <c r="J563" s="3" t="inlineStr">
        <is>
          <t>Nothing is handed to it</t>
        </is>
      </c>
      <c r="K563" s="3" t="inlineStr">
        <is>
          <t>any</t>
        </is>
      </c>
      <c r="L563" s="3" t="inlineStr">
        <is>
          <t>—</t>
        </is>
      </c>
      <c r="M563" s="3" t="inlineStr">
        <is>
          <t>None found in this function — anything it assumes comes from the functions it depends on.</t>
        </is>
      </c>
      <c r="N563" s="3" t="inlineStr">
        <is>
          <t>Yes</t>
        </is>
      </c>
      <c r="O563" s="3" t="inlineStr">
        <is>
          <t>—</t>
        </is>
      </c>
      <c r="P563" s="3" t="n">
        <v>0</v>
      </c>
      <c r="Q563" s="3" t="inlineStr">
        <is>
          <t>None — no dependent function stands behind it</t>
        </is>
      </c>
      <c r="R563" s="3" t="inlineStr">
        <is>
          <t>No dependent function — it reads its inputs and answers</t>
        </is>
      </c>
      <c r="S563" s="3" t="inlineStr">
        <is>
          <t>—</t>
        </is>
      </c>
      <c r="T563" s="3" t="inlineStr">
        <is>
          <t>—</t>
        </is>
      </c>
      <c r="U563" s="3" t="inlineStr">
        <is>
          <t>ACTIVE</t>
        </is>
      </c>
      <c r="V563" s="3" t="inlineStr">
        <is>
          <t>2026-08-27</t>
        </is>
      </c>
    </row>
    <row r="564">
      <c r="A564" s="3" t="inlineStr">
        <is>
          <t>MK-XS-F-134</t>
        </is>
      </c>
      <c r="B564" s="3" t="inlineStr">
        <is>
          <t>installGlobalHandler</t>
        </is>
      </c>
      <c r="C564" s="3" t="inlineStr">
        <is>
          <t>src/services/crashReporter.ts</t>
        </is>
      </c>
      <c r="D564" s="3" t="n">
        <v>94</v>
      </c>
      <c r="E564" s="3" t="inlineStr">
        <is>
          <t>1 · ACTION</t>
        </is>
      </c>
      <c r="F564" s="3" t="inlineStr">
        <is>
          <t>NOT DETERMINED — the code carries no note saying what this is for, and it has no row in the old inventory. Needs reading.</t>
        </is>
      </c>
      <c r="G564" s="6" t="inlineStr">
        <is>
          <t>g = global this as any
prev = error utils.get global handler.()</t>
        </is>
      </c>
      <c r="H564" s="3" t="inlineStr">
        <is>
          <t>G is global this as any. Prev is error utils.get global handler.().</t>
        </is>
      </c>
      <c r="I564" s="3" t="inlineStr">
        <is>
          <t>READ FROM THE CODE — rendered from the expressions the function runs</t>
        </is>
      </c>
      <c r="J564" s="3" t="inlineStr">
        <is>
          <t>Nothing is handed to it</t>
        </is>
      </c>
      <c r="K564" s="3" t="inlineStr">
        <is>
          <t>void</t>
        </is>
      </c>
      <c r="L564" s="3" t="inlineStr">
        <is>
          <t>—</t>
        </is>
      </c>
      <c r="M564" s="3" t="inlineStr">
        <is>
          <t>None found in this function — anything it assumes comes from the functions it depends on.</t>
        </is>
      </c>
      <c r="N564" s="3" t="inlineStr">
        <is>
          <t>Yes</t>
        </is>
      </c>
      <c r="O564" s="3" t="inlineStr">
        <is>
          <t>MK-XS-F-037 captureException</t>
        </is>
      </c>
      <c r="P564" s="3" t="n">
        <v>1</v>
      </c>
      <c r="Q564" s="3" t="inlineStr">
        <is>
          <t>MK-XS-F-037 captureException</t>
        </is>
      </c>
      <c r="R564" s="3" t="inlineStr">
        <is>
          <t>MK-XS-F-037 captureException → MK-XS-F-134 installGlobalHandler</t>
        </is>
      </c>
      <c r="S564" s="3" t="inlineStr">
        <is>
          <t>—</t>
        </is>
      </c>
      <c r="T564" s="3" t="inlineStr">
        <is>
          <t>—</t>
        </is>
      </c>
      <c r="U564" s="3" t="inlineStr">
        <is>
          <t>ACTIVE</t>
        </is>
      </c>
      <c r="V564" s="3" t="inlineStr">
        <is>
          <t>2026-08-27</t>
        </is>
      </c>
    </row>
    <row r="565">
      <c r="A565" s="3" t="inlineStr">
        <is>
          <t>MK-XS-F-135</t>
        </is>
      </c>
      <c r="B565" s="3" t="inlineStr">
        <is>
          <t>secureGet</t>
        </is>
      </c>
      <c r="C565" s="3" t="inlineStr">
        <is>
          <t>src/services/dataCrypto.ts</t>
        </is>
      </c>
      <c r="D565" s="3" t="n">
        <v>47</v>
      </c>
      <c r="E565" s="3" t="inlineStr">
        <is>
          <t>4 · BRINGS DATA IN</t>
        </is>
      </c>
      <c r="F565" s="3" t="inlineStr">
        <is>
          <t>NOT DETERMINED — the code carries no note saying what this is for, and it has no row in the old inventory. Needs reading.</t>
        </is>
      </c>
      <c r="G565" s="6" t="inlineStr">
        <is>
          <t>It reaches outside the app for data and hands back what came back — no arithmetic of its own.</t>
        </is>
      </c>
      <c r="H565" s="3" t="inlineStr">
        <is>
          <t>It reaches outside the app for data and hands back what came back — no arithmetic of its own.</t>
        </is>
      </c>
      <c r="I565" s="3" t="inlineStr">
        <is>
          <t>NO ARITHMETIC — there is no formula to state</t>
        </is>
      </c>
      <c r="J565" s="3" t="inlineStr">
        <is>
          <t>name: string</t>
        </is>
      </c>
      <c r="K565" s="3" t="inlineStr">
        <is>
          <t>Promise&lt;string | null&gt;</t>
        </is>
      </c>
      <c r="L565" s="3" t="inlineStr">
        <is>
          <t>—</t>
        </is>
      </c>
      <c r="M565" s="3" t="inlineStr">
        <is>
          <t>None found in this function — anything it assumes comes from the functions it depends on.</t>
        </is>
      </c>
      <c r="N565" s="3" t="inlineStr">
        <is>
          <t>Yes</t>
        </is>
      </c>
      <c r="O565" s="3" t="inlineStr">
        <is>
          <t>—</t>
        </is>
      </c>
      <c r="P565" s="3" t="n">
        <v>0</v>
      </c>
      <c r="Q565" s="3" t="inlineStr">
        <is>
          <t>None — no dependent function stands behind it</t>
        </is>
      </c>
      <c r="R565" s="3" t="inlineStr">
        <is>
          <t>No dependent function — it reads its inputs and answers</t>
        </is>
      </c>
      <c r="S565" s="3" t="inlineStr">
        <is>
          <t>—</t>
        </is>
      </c>
      <c r="T565" s="3" t="inlineStr">
        <is>
          <t>—</t>
        </is>
      </c>
      <c r="U565" s="3" t="inlineStr">
        <is>
          <t>ACTIVE</t>
        </is>
      </c>
      <c r="V565" s="3" t="inlineStr">
        <is>
          <t>2026-08-27</t>
        </is>
      </c>
    </row>
    <row r="566">
      <c r="A566" s="3" t="inlineStr">
        <is>
          <t>MK-XS-F-136</t>
        </is>
      </c>
      <c r="B566" s="3" t="inlineStr">
        <is>
          <t>secureSet</t>
        </is>
      </c>
      <c r="C566" s="3" t="inlineStr">
        <is>
          <t>src/services/dataCrypto.ts</t>
        </is>
      </c>
      <c r="D566" s="3" t="n">
        <v>70</v>
      </c>
      <c r="E566" s="3" t="inlineStr">
        <is>
          <t>1 · ACTION</t>
        </is>
      </c>
      <c r="F566" s="3" t="inlineStr">
        <is>
          <t>NOT DETERMINED — the code carries no note saying what this is for, and it has no row in the old inventory. Needs reading.</t>
        </is>
      </c>
      <c r="G566" s="6" t="inlineStr">
        <is>
          <t>It reaches outside the app for data and hands back what came back — no arithmetic of its own.</t>
        </is>
      </c>
      <c r="H566" s="3" t="inlineStr">
        <is>
          <t>It reaches outside the app for data and hands back what came back — no arithmetic of its own.</t>
        </is>
      </c>
      <c r="I566" s="3" t="inlineStr">
        <is>
          <t>NO ARITHMETIC — there is no formula to state</t>
        </is>
      </c>
      <c r="J566" s="3" t="inlineStr">
        <is>
          <t>1. name: string
2. value: string</t>
        </is>
      </c>
      <c r="K566" s="3" t="inlineStr">
        <is>
          <t>Promise&lt;void&gt;</t>
        </is>
      </c>
      <c r="L566" s="3" t="inlineStr">
        <is>
          <t>—</t>
        </is>
      </c>
      <c r="M566" s="3" t="inlineStr">
        <is>
          <t>None found in this function — anything it assumes comes from the functions it depends on.</t>
        </is>
      </c>
      <c r="N566" s="3" t="inlineStr">
        <is>
          <t>Yes</t>
        </is>
      </c>
      <c r="O566" s="3" t="inlineStr">
        <is>
          <t>—</t>
        </is>
      </c>
      <c r="P566" s="3" t="n">
        <v>0</v>
      </c>
      <c r="Q566" s="3" t="inlineStr">
        <is>
          <t>None — no dependent function stands behind it</t>
        </is>
      </c>
      <c r="R566" s="3" t="inlineStr">
        <is>
          <t>No dependent function — it reads its inputs and answers</t>
        </is>
      </c>
      <c r="S566" s="3" t="inlineStr">
        <is>
          <t>—</t>
        </is>
      </c>
      <c r="T566" s="3" t="inlineStr">
        <is>
          <t>—</t>
        </is>
      </c>
      <c r="U566" s="3" t="inlineStr">
        <is>
          <t>ACTIVE</t>
        </is>
      </c>
      <c r="V566" s="3" t="inlineStr">
        <is>
          <t>2026-08-27</t>
        </is>
      </c>
    </row>
    <row r="567">
      <c r="A567" s="3" t="inlineStr">
        <is>
          <t>MK-XS-F-137</t>
        </is>
      </c>
      <c r="B567" s="3" t="inlineStr">
        <is>
          <t>secureDelete</t>
        </is>
      </c>
      <c r="C567" s="3" t="inlineStr">
        <is>
          <t>src/services/dataCrypto.ts</t>
        </is>
      </c>
      <c r="D567" s="3" t="n">
        <v>93</v>
      </c>
      <c r="E567" s="3" t="inlineStr">
        <is>
          <t>1 · ACTION</t>
        </is>
      </c>
      <c r="F567" s="3" t="inlineStr">
        <is>
          <t>NOT DETERMINED — the code carries no note saying what this is for, and it has no row in the old inventory. Needs reading.</t>
        </is>
      </c>
      <c r="G567" s="6" t="inlineStr">
        <is>
          <t>It reaches outside the app for data and hands back what came back — no arithmetic of its own.</t>
        </is>
      </c>
      <c r="H567" s="3" t="inlineStr">
        <is>
          <t>It reaches outside the app for data and hands back what came back — no arithmetic of its own.</t>
        </is>
      </c>
      <c r="I567" s="3" t="inlineStr">
        <is>
          <t>NO ARITHMETIC — there is no formula to state</t>
        </is>
      </c>
      <c r="J567" s="3" t="inlineStr">
        <is>
          <t>name: string</t>
        </is>
      </c>
      <c r="K567" s="3" t="inlineStr">
        <is>
          <t>Promise&lt;void&gt;</t>
        </is>
      </c>
      <c r="L567" s="3" t="inlineStr">
        <is>
          <t>—</t>
        </is>
      </c>
      <c r="M567" s="3" t="inlineStr">
        <is>
          <t>None found in this function — anything it assumes comes from the functions it depends on.</t>
        </is>
      </c>
      <c r="N567" s="3" t="inlineStr">
        <is>
          <t>Yes</t>
        </is>
      </c>
      <c r="O567" s="3" t="inlineStr">
        <is>
          <t>—</t>
        </is>
      </c>
      <c r="P567" s="3" t="n">
        <v>0</v>
      </c>
      <c r="Q567" s="3" t="inlineStr">
        <is>
          <t>None — no dependent function stands behind it</t>
        </is>
      </c>
      <c r="R567" s="3" t="inlineStr">
        <is>
          <t>No dependent function — it reads its inputs and answers</t>
        </is>
      </c>
      <c r="S567" s="3" t="inlineStr">
        <is>
          <t>—</t>
        </is>
      </c>
      <c r="T567" s="3" t="inlineStr">
        <is>
          <t>—</t>
        </is>
      </c>
      <c r="U567" s="3" t="inlineStr">
        <is>
          <t>ACTIVE</t>
        </is>
      </c>
      <c r="V567" s="3" t="inlineStr">
        <is>
          <t>2026-08-27</t>
        </is>
      </c>
    </row>
    <row r="568">
      <c r="A568" s="3" t="inlineStr">
        <is>
          <t>MK-XS-F-138</t>
        </is>
      </c>
      <c r="B568" s="3" t="inlineStr">
        <is>
          <t>deriveKeyFromSecret</t>
        </is>
      </c>
      <c r="C568" s="3" t="inlineStr">
        <is>
          <t>src/services/dataCrypto.ts</t>
        </is>
      </c>
      <c r="D568" s="3" t="n">
        <v>263</v>
      </c>
      <c r="E568" s="3" t="inlineStr">
        <is>
          <t>3 · DEPENDENT</t>
        </is>
      </c>
      <c r="F568" s="3" t="inlineStr">
        <is>
          <t>── Wrapping (lock/unlock the DEK with a password or recovery code) ───</t>
        </is>
      </c>
      <c r="G568" s="6" t="inlineStr">
        <is>
          <t>crypto js.PBKDF2(secret.trim(), uid, { key size: 256 ÷ 32, iterations: PBKDF2_ITERS }).to string(crypto js.enc.hex)</t>
        </is>
      </c>
      <c r="H568" s="3" t="inlineStr">
        <is>
          <t>crypto js.PBKDF2(secret.trim(), uid, { key size: 256 divided by 32, iterations: PBKDF2_ITERS }).to string(crypto js.enc.hex).</t>
        </is>
      </c>
      <c r="I568" s="3" t="inlineStr">
        <is>
          <t>PARTLY READ — some of the code is still showing through; needs a hand pass</t>
        </is>
      </c>
      <c r="J568" s="3" t="inlineStr">
        <is>
          <t>1. secret: string
2. uid: string</t>
        </is>
      </c>
      <c r="K568" s="3" t="inlineStr">
        <is>
          <t>string</t>
        </is>
      </c>
      <c r="L568" s="3" t="inlineStr">
        <is>
          <t>—</t>
        </is>
      </c>
      <c r="M568" s="3" t="inlineStr">
        <is>
          <t>None found in this function — anything it assumes comes from the functions it depends on.</t>
        </is>
      </c>
      <c r="N568" s="3" t="inlineStr">
        <is>
          <t>Yes</t>
        </is>
      </c>
      <c r="O568" s="3" t="inlineStr">
        <is>
          <t>—</t>
        </is>
      </c>
      <c r="P568" s="3" t="n">
        <v>0</v>
      </c>
      <c r="Q568" s="3" t="inlineStr">
        <is>
          <t>None — no dependent function stands behind it</t>
        </is>
      </c>
      <c r="R568" s="3" t="inlineStr">
        <is>
          <t>No dependent function — it reads its inputs and answers</t>
        </is>
      </c>
      <c r="S568" s="3" t="inlineStr">
        <is>
          <t>—</t>
        </is>
      </c>
      <c r="T568" s="3" t="inlineStr">
        <is>
          <t>—</t>
        </is>
      </c>
      <c r="U568" s="3" t="inlineStr">
        <is>
          <t>ACTIVE</t>
        </is>
      </c>
      <c r="V568" s="3" t="inlineStr">
        <is>
          <t>2026-08-27</t>
        </is>
      </c>
    </row>
    <row r="569">
      <c r="A569" s="3" t="inlineStr">
        <is>
          <t>MK-XS-F-139</t>
        </is>
      </c>
      <c r="B569" s="3" t="inlineStr">
        <is>
          <t>wrapWithSecret</t>
        </is>
      </c>
      <c r="C569" s="3" t="inlineStr">
        <is>
          <t>src/services/dataCrypto.ts</t>
        </is>
      </c>
      <c r="D569" s="3" t="n">
        <v>288</v>
      </c>
      <c r="E569" s="3" t="inlineStr">
        <is>
          <t>3 · DEPENDENT</t>
        </is>
      </c>
      <c r="F569" s="3" t="inlineStr">
        <is>
          <t>NOT DETERMINED — the code carries no note saying what this is for, and it has no row in the old inventory. Needs reading.</t>
        </is>
      </c>
      <c r="G569" s="6" t="inlineStr">
        <is>
          <t>encrypt with key(dek, derive key from secret(secret, uid))</t>
        </is>
      </c>
      <c r="H569" s="3" t="inlineStr">
        <is>
          <t>encrypt with key(dek, derive key from secret(secret, uid)).</t>
        </is>
      </c>
      <c r="I569" s="3" t="inlineStr">
        <is>
          <t>READ FROM THE CODE — rendered from the expressions the function runs</t>
        </is>
      </c>
      <c r="J569" s="3" t="inlineStr">
        <is>
          <t>1. dek: string
2. uid: string
3. secret: string</t>
        </is>
      </c>
      <c r="K569" s="3" t="inlineStr">
        <is>
          <t>string</t>
        </is>
      </c>
      <c r="L569" s="3" t="inlineStr">
        <is>
          <t>—</t>
        </is>
      </c>
      <c r="M569" s="3" t="inlineStr">
        <is>
          <t>None found in this function — anything it assumes comes from the functions it depends on.</t>
        </is>
      </c>
      <c r="N569" s="3" t="inlineStr">
        <is>
          <t>Yes</t>
        </is>
      </c>
      <c r="O569" s="3" t="inlineStr">
        <is>
          <t>1. MK-XS-F-138 deriveKeyFromSecret
2. MK-XS-F-052 encryptWithKey</t>
        </is>
      </c>
      <c r="P569" s="3" t="n">
        <v>2</v>
      </c>
      <c r="Q569" s="3" t="inlineStr">
        <is>
          <t>1. MK-XS-F-138 deriveKeyFromSecret
2. MK-XS-F-052 encryptWithKey</t>
        </is>
      </c>
      <c r="R569" s="3" t="inlineStr">
        <is>
          <t>1. MK-XS-F-138 deriveKeyFromSecret → MK-XS-F-139 wrapWithSecret
2. MK-XS-F-052 encryptWithKey → MK-XS-F-139 wrapWithSecret</t>
        </is>
      </c>
      <c r="S569" s="3" t="inlineStr">
        <is>
          <t>—</t>
        </is>
      </c>
      <c r="T569" s="3" t="inlineStr">
        <is>
          <t>—</t>
        </is>
      </c>
      <c r="U569" s="3" t="inlineStr">
        <is>
          <t>ACTIVE</t>
        </is>
      </c>
      <c r="V569" s="3" t="inlineStr">
        <is>
          <t>2026-08-27</t>
        </is>
      </c>
    </row>
    <row r="570">
      <c r="A570" s="3" t="inlineStr">
        <is>
          <t>MK-XS-F-140</t>
        </is>
      </c>
      <c r="B570" s="3" t="inlineStr">
        <is>
          <t>fetchInflation</t>
        </is>
      </c>
      <c r="C570" s="3" t="inlineStr">
        <is>
          <t>src/services/economicData.ts</t>
        </is>
      </c>
      <c r="D570" s="3" t="n">
        <v>110</v>
      </c>
      <c r="E570" s="3" t="inlineStr">
        <is>
          <t>4 · BRINGS DATA IN</t>
        </is>
      </c>
      <c r="F570" s="3" t="inlineStr">
        <is>
          <t>NOT DETERMINED — the code carries no note saying what this is for, and it has no row in the old inventory. Needs reading.</t>
        </is>
      </c>
      <c r="G570" s="6" t="inlineStr">
        <is>
          <t>res = await fetch(BLS_API + BLS_CPI_SERIES)
json = await res.json()
series = json.results.series.[0].data
latest = parse float(series[0].value)
year ago = parse float(series[12].value)
rate = ((latest − year ago) ÷ year ago) × 100
the answer = round(rate, 2 dp)</t>
        </is>
      </c>
      <c r="H570"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570" s="3" t="inlineStr">
        <is>
          <t>PARTLY READ — some of the code is still showing through; needs a hand pass</t>
        </is>
      </c>
      <c r="J570" s="3" t="inlineStr">
        <is>
          <t>Nothing is handed to it</t>
        </is>
      </c>
      <c r="K570" s="3" t="inlineStr">
        <is>
          <t>Promise&lt;number&gt;</t>
        </is>
      </c>
      <c r="L570" s="3" t="inlineStr">
        <is>
          <t>—</t>
        </is>
      </c>
      <c r="M570" s="3" t="inlineStr">
        <is>
          <t>1. Multiplies by 100 — a percentage, or an option contract treated as 100 shares. Worth checking which.
2. Rounds the answer to a whole number.</t>
        </is>
      </c>
      <c r="N570" s="3" t="inlineStr">
        <is>
          <t>No</t>
        </is>
      </c>
      <c r="O570" s="3" t="inlineStr">
        <is>
          <t>—</t>
        </is>
      </c>
      <c r="P570" s="3" t="n">
        <v>0</v>
      </c>
      <c r="Q570" s="3" t="inlineStr">
        <is>
          <t>None — no dependent function stands behind it</t>
        </is>
      </c>
      <c r="R570" s="3" t="inlineStr">
        <is>
          <t>No dependent function — it reads its inputs and answers</t>
        </is>
      </c>
      <c r="S570" s="3" t="inlineStr">
        <is>
          <t>—</t>
        </is>
      </c>
      <c r="T570" s="3" t="inlineStr">
        <is>
          <t>—</t>
        </is>
      </c>
      <c r="U570" s="3" t="inlineStr">
        <is>
          <t>ACTIVE</t>
        </is>
      </c>
      <c r="V570" s="3" t="inlineStr">
        <is>
          <t>2026-08-27</t>
        </is>
      </c>
    </row>
    <row r="571">
      <c r="A571" s="3" t="inlineStr">
        <is>
          <t>MK-XS-F-141</t>
        </is>
      </c>
      <c r="B571" s="3" t="inlineStr">
        <is>
          <t>fetchTreasuryYield</t>
        </is>
      </c>
      <c r="C571" s="3" t="inlineStr">
        <is>
          <t>src/services/economicData.ts</t>
        </is>
      </c>
      <c r="D571" s="3" t="n">
        <v>153</v>
      </c>
      <c r="E571" s="3" t="inlineStr">
        <is>
          <t>4 · BRINGS DATA IN</t>
        </is>
      </c>
      <c r="F571" s="3" t="inlineStr">
        <is>
          <t>NOT DETERMINED — the code carries no note saying what this is for, and it has no row in the old inventory. Needs reading.</t>
        </is>
      </c>
      <c r="G571" s="6" t="inlineStr">
        <is>
          <t>res = await fetch(TREASURY_API)
csv = await res.text()
rows = csv.trim().split('\n').slice(1)
value = rows[i].split(',')[1].trim()
rate = parse float(value)
the answer = round(rate, 2 dp)</t>
        </is>
      </c>
      <c r="H571" s="3" t="inlineStr">
        <is>
          <t>Res is await fetch(TREASURY_API). Csv is await res.text(). Rows is csv.trim().split('\n').slice(1). Value is rows[i].split(',')[1].trim(). Rate is parse float(value). The answer is rate, to the cent.</t>
        </is>
      </c>
      <c r="I571" s="3" t="inlineStr">
        <is>
          <t>PARTLY READ — some of the code is still showing through; needs a hand pass</t>
        </is>
      </c>
      <c r="J571" s="3" t="inlineStr">
        <is>
          <t>Nothing is handed to it</t>
        </is>
      </c>
      <c r="K571" s="3" t="inlineStr">
        <is>
          <t>Promise&lt;number&gt;</t>
        </is>
      </c>
      <c r="L571" s="3" t="inlineStr">
        <is>
          <t>—</t>
        </is>
      </c>
      <c r="M571" s="3" t="inlineStr">
        <is>
          <t>1. Multiplies by 100 — a percentage, or an option contract treated as 100 shares. Worth checking which.
2. Rounds the answer to a whole number.</t>
        </is>
      </c>
      <c r="N571" s="3" t="inlineStr">
        <is>
          <t>No</t>
        </is>
      </c>
      <c r="O571" s="3" t="inlineStr">
        <is>
          <t>—</t>
        </is>
      </c>
      <c r="P571" s="3" t="n">
        <v>0</v>
      </c>
      <c r="Q571" s="3" t="inlineStr">
        <is>
          <t>None — no dependent function stands behind it</t>
        </is>
      </c>
      <c r="R571" s="3" t="inlineStr">
        <is>
          <t>No dependent function — it reads its inputs and answers</t>
        </is>
      </c>
      <c r="S571" s="3" t="inlineStr">
        <is>
          <t>—</t>
        </is>
      </c>
      <c r="T571" s="3" t="inlineStr">
        <is>
          <t>—</t>
        </is>
      </c>
      <c r="U571" s="3" t="inlineStr">
        <is>
          <t>ACTIVE</t>
        </is>
      </c>
      <c r="V571" s="3" t="inlineStr">
        <is>
          <t>2026-08-27</t>
        </is>
      </c>
    </row>
    <row r="572">
      <c r="A572" s="3" t="inlineStr">
        <is>
          <t>MK-XS-F-142</t>
        </is>
      </c>
      <c r="B572" s="3" t="inlineStr">
        <is>
          <t>makeInviteCode</t>
        </is>
      </c>
      <c r="C572" s="3" t="inlineStr">
        <is>
          <t>src/services/firebase.ts</t>
        </is>
      </c>
      <c r="D572" s="3" t="n">
        <v>520</v>
      </c>
      <c r="E572" s="3" t="inlineStr">
        <is>
          <t>3 · DEPENDENT</t>
        </is>
      </c>
      <c r="F572" s="3" t="inlineStr">
        <is>
          <t>── Household / partner invites ───────────────────────────────────── Partners share ONE data document: all reads/writes go to users/{householdId} where householdId = the inviter's uid.</t>
        </is>
      </c>
      <c r="G572" s="6" t="inlineStr">
        <is>
          <t>alphabet = 'ABCDEFGHJKMNPQRSTUVWXYZ23456789'
the answer = array.from({ length: 6 }, () =&gt; ALPHABET[math.floor(math.random() × ALPHABET.length)]).join('')</t>
        </is>
      </c>
      <c r="H572" s="3" t="inlineStr">
        <is>
          <t>Alphabet is 'ABCDEFGHJKMNPQRSTUVWXYZ23456789'. The answer is array.from({ length: 6 }, () =&gt; ALPHABET[math.floor(math.random() times ALPHABET.length)]).join('').</t>
        </is>
      </c>
      <c r="I572" s="3" t="inlineStr">
        <is>
          <t>PARTLY READ — some of the code is still showing through; needs a hand pass</t>
        </is>
      </c>
      <c r="J572" s="3" t="inlineStr">
        <is>
          <t>Nothing is handed to it</t>
        </is>
      </c>
      <c r="K572" s="3" t="inlineStr">
        <is>
          <t>string</t>
        </is>
      </c>
      <c r="L572" s="3" t="inlineStr">
        <is>
          <t>—</t>
        </is>
      </c>
      <c r="M572" s="3" t="inlineStr">
        <is>
          <t>None found in this function — anything it assumes comes from the functions it depends on.</t>
        </is>
      </c>
      <c r="N572" s="3" t="inlineStr">
        <is>
          <t>Yes</t>
        </is>
      </c>
      <c r="O572" s="3" t="inlineStr">
        <is>
          <t>—</t>
        </is>
      </c>
      <c r="P572" s="3" t="n">
        <v>0</v>
      </c>
      <c r="Q572" s="3" t="inlineStr">
        <is>
          <t>None — no dependent function stands behind it</t>
        </is>
      </c>
      <c r="R572" s="3" t="inlineStr">
        <is>
          <t>No dependent function — it reads its inputs and answers</t>
        </is>
      </c>
      <c r="S572" s="3" t="inlineStr">
        <is>
          <t>—</t>
        </is>
      </c>
      <c r="T572" s="3" t="inlineStr">
        <is>
          <t>—</t>
        </is>
      </c>
      <c r="U572" s="3" t="inlineStr">
        <is>
          <t>ACTIVE</t>
        </is>
      </c>
      <c r="V572" s="3" t="inlineStr">
        <is>
          <t>2026-08-27</t>
        </is>
      </c>
    </row>
    <row r="573">
      <c r="A573" s="3" t="inlineStr">
        <is>
          <t>MK-XS-F-143</t>
        </is>
      </c>
      <c r="B573" s="3" t="inlineStr">
        <is>
          <t>yahooSymbol</t>
        </is>
      </c>
      <c r="C573" s="3" t="inlineStr">
        <is>
          <t>src/services/marketData.ts</t>
        </is>
      </c>
      <c r="D573" s="3" t="n">
        <v>43</v>
      </c>
      <c r="E573" s="3" t="inlineStr">
        <is>
          <t>4 · BRINGS DATA IN</t>
        </is>
      </c>
      <c r="F573" s="3" t="inlineStr">
        <is>
          <t>Map a plain ticker to the provider's symbol convention (crypto needs the -USD pair on Yahoo).</t>
        </is>
      </c>
      <c r="G573" s="6"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573"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573" s="3" t="inlineStr">
        <is>
          <t>PARTLY READ — some of the code is still showing through; needs a hand pass</t>
        </is>
      </c>
      <c r="J573" s="3" t="inlineStr">
        <is>
          <t>ticker: string</t>
        </is>
      </c>
      <c r="K573" s="3" t="inlineStr">
        <is>
          <t>string</t>
        </is>
      </c>
      <c r="L573" s="3" t="inlineStr">
        <is>
          <t>—</t>
        </is>
      </c>
      <c r="M573" s="3" t="inlineStr">
        <is>
          <t>· Uses a built-in i of 0.</t>
        </is>
      </c>
      <c r="N573" s="3" t="inlineStr">
        <is>
          <t>No</t>
        </is>
      </c>
      <c r="O573" s="3" t="inlineStr">
        <is>
          <t>—</t>
        </is>
      </c>
      <c r="P573" s="3" t="n">
        <v>0</v>
      </c>
      <c r="Q573" s="3" t="inlineStr">
        <is>
          <t>None — no dependent function stands behind it</t>
        </is>
      </c>
      <c r="R573" s="3" t="inlineStr">
        <is>
          <t>No dependent function — it reads its inputs and answers</t>
        </is>
      </c>
      <c r="S573" s="3" t="inlineStr">
        <is>
          <t>—</t>
        </is>
      </c>
      <c r="T573" s="3" t="inlineStr">
        <is>
          <t>—</t>
        </is>
      </c>
      <c r="U573" s="3" t="inlineStr">
        <is>
          <t>ACTIVE</t>
        </is>
      </c>
      <c r="V573" s="3" t="inlineStr">
        <is>
          <t>2026-08-27</t>
        </is>
      </c>
    </row>
    <row r="574">
      <c r="A574" s="3" t="inlineStr">
        <is>
          <t>MK-XS-F-144</t>
        </is>
      </c>
      <c r="B574" s="3" t="inlineStr">
        <is>
          <t>guessCategory</t>
        </is>
      </c>
      <c r="C574" s="3" t="inlineStr">
        <is>
          <t>src/services/receiptOCR.ts</t>
        </is>
      </c>
      <c r="D574" s="3" t="n">
        <v>288</v>
      </c>
      <c r="E574" s="3" t="inlineStr">
        <is>
          <t>3 · DEPENDENT (feeds an action only)</t>
        </is>
      </c>
      <c r="F574" s="3" t="inlineStr">
        <is>
          <t>NOT DETERMINED — the code carries no note saying what this is for, and it has no row in the old inventory. Needs reading.</t>
        </is>
      </c>
      <c r="G574" s="6"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574"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574" s="3" t="inlineStr">
        <is>
          <t>PARTLY READ — some of the code is still showing through; needs a hand pass</t>
        </is>
      </c>
      <c r="J574" s="3" t="inlineStr">
        <is>
          <t>1. store: string
2. text: string</t>
        </is>
      </c>
      <c r="K574" s="3" t="inlineStr">
        <is>
          <t>string</t>
        </is>
      </c>
      <c r="L574" s="3" t="inlineStr">
        <is>
          <t>—</t>
        </is>
      </c>
      <c r="M574" s="3" t="inlineStr">
        <is>
          <t>None found in this function — anything it assumes comes from the functions it depends on.</t>
        </is>
      </c>
      <c r="N574" s="3" t="inlineStr">
        <is>
          <t>No</t>
        </is>
      </c>
      <c r="O574" s="3" t="inlineStr">
        <is>
          <t>—</t>
        </is>
      </c>
      <c r="P574" s="3" t="n">
        <v>0</v>
      </c>
      <c r="Q574" s="3" t="inlineStr">
        <is>
          <t>None — no dependent function stands behind it</t>
        </is>
      </c>
      <c r="R574" s="3" t="inlineStr">
        <is>
          <t>No dependent function — it reads its inputs and answers</t>
        </is>
      </c>
      <c r="S574" s="3" t="inlineStr">
        <is>
          <t>—</t>
        </is>
      </c>
      <c r="T574" s="3" t="inlineStr">
        <is>
          <t>—</t>
        </is>
      </c>
      <c r="U574" s="3" t="inlineStr">
        <is>
          <t>ACTIVE</t>
        </is>
      </c>
      <c r="V574" s="3" t="inlineStr">
        <is>
          <t>2026-08-27</t>
        </is>
      </c>
    </row>
    <row r="575">
      <c r="A575" s="3" t="inlineStr">
        <is>
          <t>MK-XS-F-145</t>
        </is>
      </c>
      <c r="B575" s="3" t="inlineStr">
        <is>
          <t>flatSymbol</t>
        </is>
      </c>
      <c r="C575" s="3" t="inlineStr">
        <is>
          <t>src/services/sync/snaptrade.ts</t>
        </is>
      </c>
      <c r="D575" s="3" t="n">
        <v>170</v>
      </c>
      <c r="E575" s="3" t="inlineStr">
        <is>
          <t>3 · DEPENDENT (feeds an action only)</t>
        </is>
      </c>
      <c r="F575" s="3" t="inlineStr">
        <is>
          <t>── positions → our holdings ───────────────────────────────────────────────────────────────────</t>
        </is>
      </c>
      <c r="G575" s="6" t="inlineStr">
        <is>
          <t>s = symbol
nothing   when s is missing
the answer:
symbol   if symbol and typeof symbol = 'object'
s   otherwise</t>
        </is>
      </c>
      <c r="H575" s="3" t="inlineStr">
        <is>
          <t>S is symbol. When s is missing, it answers no answer. The answer is symbol — when symbol and typeof symbol = 'object'; s — otherwise.</t>
        </is>
      </c>
      <c r="I575" s="3" t="inlineStr">
        <is>
          <t>PARTLY READ — some of the code is still showing through; needs a hand pass</t>
        </is>
      </c>
      <c r="J575" s="3" t="inlineStr">
        <is>
          <t>p: StPosition</t>
        </is>
      </c>
      <c r="K575" s="3" t="inlineStr">
        <is>
          <t>StSymbol | null</t>
        </is>
      </c>
      <c r="L575" s="3" t="inlineStr">
        <is>
          <t>—</t>
        </is>
      </c>
      <c r="M575" s="3" t="inlineStr">
        <is>
          <t>None found in this function — anything it assumes comes from the functions it depends on.</t>
        </is>
      </c>
      <c r="N575" s="3" t="inlineStr">
        <is>
          <t>No</t>
        </is>
      </c>
      <c r="O575" s="3" t="inlineStr">
        <is>
          <t>—</t>
        </is>
      </c>
      <c r="P575" s="3" t="n">
        <v>0</v>
      </c>
      <c r="Q575" s="3" t="inlineStr">
        <is>
          <t>None — no dependent function stands behind it</t>
        </is>
      </c>
      <c r="R575" s="3" t="inlineStr">
        <is>
          <t>No dependent function — it reads its inputs and answers</t>
        </is>
      </c>
      <c r="S575" s="3" t="inlineStr">
        <is>
          <t>—</t>
        </is>
      </c>
      <c r="T575" s="3" t="inlineStr">
        <is>
          <t>—</t>
        </is>
      </c>
      <c r="U575" s="3" t="inlineStr">
        <is>
          <t>ACTIVE</t>
        </is>
      </c>
      <c r="V575" s="3" t="inlineStr">
        <is>
          <t>2026-08-27</t>
        </is>
      </c>
    </row>
    <row r="576">
      <c r="A576" s="3" t="inlineStr">
        <is>
          <t>MK-XS-F-146</t>
        </is>
      </c>
      <c r="B576" s="3" t="inlineStr">
        <is>
          <t>prettyExpiry</t>
        </is>
      </c>
      <c r="C576" s="3" t="inlineStr">
        <is>
          <t>src/services/sync/snaptrade.ts</t>
        </is>
      </c>
      <c r="D576" s="3" t="n">
        <v>270</v>
      </c>
      <c r="E576" s="3" t="inlineStr">
        <is>
          <t>3 · DEPENDENT (feeds an action only)</t>
        </is>
      </c>
      <c r="F576" s="3" t="inlineStr">
        <is>
          <t>NOT DETERMINED — the code carries no note saying what this is for, and it has no row in the old inventory. Needs reading.</t>
        </is>
      </c>
      <c r="G576" s="6" t="inlineStr">
        <is>
          <t>`${MONTHS[m − 1]} ${d} ${y}`   if y and m and d
'unknown expiry'   otherwise</t>
        </is>
      </c>
      <c r="H576" s="3" t="inlineStr">
        <is>
          <t>`${MONTHS[m minus 1]} ${d} ${y}` — when y and m and d; 'unknown expiry' — otherwise.</t>
        </is>
      </c>
      <c r="I576" s="3" t="inlineStr">
        <is>
          <t>PARTLY READ — some of the code is still showing through; needs a hand pass</t>
        </is>
      </c>
      <c r="J576" s="3" t="inlineStr">
        <is>
          <t>iso: string | null | undefined</t>
        </is>
      </c>
      <c r="K576" s="3" t="inlineStr">
        <is>
          <t>NOT DECLARED — the code does not say what it gives back</t>
        </is>
      </c>
      <c r="L576" s="3" t="inlineStr">
        <is>
          <t>—</t>
        </is>
      </c>
      <c r="M576" s="3" t="inlineStr">
        <is>
          <t>None found in this function — anything it assumes comes from the functions it depends on.</t>
        </is>
      </c>
      <c r="N576" s="3" t="inlineStr">
        <is>
          <t>No</t>
        </is>
      </c>
      <c r="O576" s="3" t="inlineStr">
        <is>
          <t>MK-CF-F-132 map</t>
        </is>
      </c>
      <c r="P576" s="3" t="n">
        <v>1</v>
      </c>
      <c r="Q576" s="3" t="inlineStr">
        <is>
          <t>MK-CF-F-132 map</t>
        </is>
      </c>
      <c r="R576" s="3" t="inlineStr">
        <is>
          <t>MK-CF-F-132 map → MK-XS-F-146 prettyExpiry</t>
        </is>
      </c>
      <c r="S576" s="3" t="inlineStr">
        <is>
          <t>—</t>
        </is>
      </c>
      <c r="T576" s="3" t="inlineStr">
        <is>
          <t>—</t>
        </is>
      </c>
      <c r="U576" s="3" t="inlineStr">
        <is>
          <t>ACTIVE</t>
        </is>
      </c>
      <c r="V576" s="3" t="inlineStr">
        <is>
          <t>2026-08-27</t>
        </is>
      </c>
    </row>
    <row r="577">
      <c r="A577" s="3" t="inlineStr">
        <is>
          <t>MK-XS-F-147</t>
        </is>
      </c>
      <c r="B577" s="3" t="inlineStr">
        <is>
          <t>call</t>
        </is>
      </c>
      <c r="C577" s="3" t="inlineStr">
        <is>
          <t>src/services/sync/snaptradeClient.ts</t>
        </is>
      </c>
      <c r="D577" s="3" t="n">
        <v>72</v>
      </c>
      <c r="E577" s="3" t="inlineStr">
        <is>
          <t>4 · BRINGS DATA IN</t>
        </is>
      </c>
      <c r="F577" s="3" t="inlineStr">
        <is>
          <t>NOT DETERMINED — the code carries no note saying what this is for, and it has no row in the old inventory. Needs reading.</t>
        </is>
      </c>
      <c r="G577" s="6" t="inlineStr">
        <is>
          <t>url = relay url()
token = await current id token()
data = await res.json().catch(() =&gt; nothing)
the answer = data as T</t>
        </is>
      </c>
      <c r="H577" s="3" t="inlineStr">
        <is>
          <t>Url is relay url(). Token is await current id token(). Data is await res.json().catch(() =&gt; no answer). The answer is data as T.</t>
        </is>
      </c>
      <c r="I577" s="3" t="inlineStr">
        <is>
          <t>PARTLY READ — some of the code is still showing through; needs a hand pass</t>
        </is>
      </c>
      <c r="J577" s="3" t="inlineStr">
        <is>
          <t>1. action: string
2. params: Record&lt;string, unknown&gt; = {}</t>
        </is>
      </c>
      <c r="K577" s="3" t="inlineStr">
        <is>
          <t>Promise&lt;T&gt;</t>
        </is>
      </c>
      <c r="L577" s="3" t="inlineStr">
        <is>
          <t>—</t>
        </is>
      </c>
      <c r="M577" s="3" t="inlineStr">
        <is>
          <t>None found in this function — anything it assumes comes from the functions it depends on.</t>
        </is>
      </c>
      <c r="N577" s="3" t="inlineStr">
        <is>
          <t>No</t>
        </is>
      </c>
      <c r="O577" s="3" t="inlineStr">
        <is>
          <t>1. MK-XS-F-064 currentIdToken
2. MK-XS-F-112 relayUrl</t>
        </is>
      </c>
      <c r="P577" s="3" t="n">
        <v>2</v>
      </c>
      <c r="Q577" s="3" t="inlineStr">
        <is>
          <t>1. MK-XS-F-064 currentIdToken
2. MK-XS-F-112 relayUrl</t>
        </is>
      </c>
      <c r="R577" s="3" t="inlineStr">
        <is>
          <t>1. MK-XS-F-064 currentIdToken → MK-XS-F-147 call
2. MK-XS-F-112 relayUrl → MK-XS-F-147 call</t>
        </is>
      </c>
      <c r="S577" s="3" t="inlineStr">
        <is>
          <t>—</t>
        </is>
      </c>
      <c r="T577" s="3" t="inlineStr">
        <is>
          <t>—</t>
        </is>
      </c>
      <c r="U577" s="3" t="inlineStr">
        <is>
          <t>ACTIVE</t>
        </is>
      </c>
      <c r="V577" s="3" t="inlineStr">
        <is>
          <t>2026-08-27</t>
        </is>
      </c>
    </row>
    <row r="578">
      <c r="A578" s="3" t="inlineStr">
        <is>
          <t>MK-XS-F-148</t>
        </is>
      </c>
      <c r="B578" s="3" t="inlineStr">
        <is>
          <t>unwrapActivities</t>
        </is>
      </c>
      <c r="C578" s="3" t="inlineStr">
        <is>
          <t>src/services/sync/snaptradeSync.ts</t>
        </is>
      </c>
      <c r="D578" s="3" t="n">
        <v>73</v>
      </c>
      <c r="E578" s="3" t="inlineStr">
        <is>
          <t>3 · DEPENDENT</t>
        </is>
      </c>
      <c r="F578" s="3" t="inlineStr">
        <is>
          <t>SnapTrade wraps this endpoint in a pagination envelope {data, pagination:{total}} — LIVE-VERIFIED 2026-07-19 against a real E*TRADE connection (their docs' examples show a bare array; production does not).</t>
        </is>
      </c>
      <c r="G578" s="6"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578"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578" s="3" t="inlineStr">
        <is>
          <t>PARTLY READ — some of the code is still showing through; needs a hand pass</t>
        </is>
      </c>
      <c r="J578" s="3" t="inlineStr">
        <is>
          <t>raw: unknown</t>
        </is>
      </c>
      <c r="K578" s="3" t="inlineStr">
        <is>
          <t>NOT DECLARED — the code does not say what it gives back</t>
        </is>
      </c>
      <c r="L578" s="3" t="inlineStr">
        <is>
          <t>—</t>
        </is>
      </c>
      <c r="M578" s="3" t="inlineStr">
        <is>
          <t>None found in this function — anything it assumes comes from the functions it depends on.</t>
        </is>
      </c>
      <c r="N578" s="3" t="inlineStr">
        <is>
          <t>Yes</t>
        </is>
      </c>
      <c r="O578" s="3" t="inlineStr">
        <is>
          <t>—</t>
        </is>
      </c>
      <c r="P578" s="3" t="n">
        <v>0</v>
      </c>
      <c r="Q578" s="3" t="inlineStr">
        <is>
          <t>None — no dependent function stands behind it</t>
        </is>
      </c>
      <c r="R578" s="3" t="inlineStr">
        <is>
          <t>No dependent function — it reads its inputs and answers</t>
        </is>
      </c>
      <c r="S578" s="3" t="inlineStr">
        <is>
          <t>—</t>
        </is>
      </c>
      <c r="T578" s="3" t="inlineStr">
        <is>
          <t>—</t>
        </is>
      </c>
      <c r="U578" s="3" t="inlineStr">
        <is>
          <t>ACTIVE</t>
        </is>
      </c>
      <c r="V578" s="3" t="inlineStr">
        <is>
          <t>2026-08-27</t>
        </is>
      </c>
    </row>
    <row r="579">
      <c r="A579" s="3" t="inlineStr">
        <is>
          <t>MK-XS-F-149</t>
        </is>
      </c>
      <c r="B579" s="3" t="inlineStr">
        <is>
          <t>allActivities</t>
        </is>
      </c>
      <c r="C579" s="3" t="inlineStr">
        <is>
          <t>src/services/sync/snaptradeSync.ts</t>
        </is>
      </c>
      <c r="D579" s="3" t="n">
        <v>102</v>
      </c>
      <c r="E579" s="3" t="inlineStr">
        <is>
          <t>3 · DEPENDENT</t>
        </is>
      </c>
      <c r="F579" s="3" t="inlineStr">
        <is>
          <t>NOT DETERMINED — the code carries no note saying what this is for, and it has no row in the old inventory. Needs reading.</t>
        </is>
      </c>
      <c r="G579" s="6" t="inlineStr">
        <is>
          <t>out = []
the answer = out</t>
        </is>
      </c>
      <c r="H579" s="3" t="inlineStr">
        <is>
          <t>Out is []. The answer is out.</t>
        </is>
      </c>
      <c r="I579" s="3" t="inlineStr">
        <is>
          <t>READ FROM THE CODE — rendered from the expressions the function runs</t>
        </is>
      </c>
      <c r="J579" s="3" t="inlineStr">
        <is>
          <t>1. accountId: string
2. startDate?: string</t>
        </is>
      </c>
      <c r="K579" s="3" t="inlineStr">
        <is>
          <t>Promise&lt;StActivity[]&gt;</t>
        </is>
      </c>
      <c r="L579" s="3" t="inlineStr">
        <is>
          <t>—</t>
        </is>
      </c>
      <c r="M579" s="3" t="inlineStr">
        <is>
          <t>· Uses a built-in page of 0.</t>
        </is>
      </c>
      <c r="N579" s="3" t="inlineStr">
        <is>
          <t>Yes</t>
        </is>
      </c>
      <c r="O579" s="3" t="inlineStr">
        <is>
          <t>MK-XS-F-148 unwrapActivities</t>
        </is>
      </c>
      <c r="P579" s="3" t="n">
        <v>1</v>
      </c>
      <c r="Q579" s="3" t="inlineStr">
        <is>
          <t>MK-XS-F-148 unwrapActivities</t>
        </is>
      </c>
      <c r="R579" s="3" t="inlineStr">
        <is>
          <t>MK-XS-F-148 unwrapActivities → MK-XS-F-149 allActivities</t>
        </is>
      </c>
      <c r="S579" s="3" t="inlineStr">
        <is>
          <t>—</t>
        </is>
      </c>
      <c r="T579" s="3" t="inlineStr">
        <is>
          <t>—</t>
        </is>
      </c>
      <c r="U579" s="3" t="inlineStr">
        <is>
          <t>ACTIVE</t>
        </is>
      </c>
      <c r="V579" s="3" t="inlineStr">
        <is>
          <t>2026-08-27</t>
        </is>
      </c>
    </row>
    <row r="580">
      <c r="A580" s="3" t="inlineStr">
        <is>
          <t>MK-XS-F-170</t>
        </is>
      </c>
      <c r="B580" s="3" t="inlineStr">
        <is>
          <t>daysSince</t>
        </is>
      </c>
      <c r="C580" s="3" t="inlineStr">
        <is>
          <t>src/domain/gaps/index.ts</t>
        </is>
      </c>
      <c r="D580" s="3" t="n">
        <v>56</v>
      </c>
      <c r="E580" s="3" t="inlineStr">
        <is>
          <t>3 · DEPENDENT</t>
        </is>
      </c>
      <c r="F580" s="3" t="inlineStr">
        <is>
          <t>NOT DETERMINED — the code carries no note saying what this is for, and it has no row in the old inventory. Needs reading.</t>
        </is>
      </c>
      <c r="G580" s="6" t="inlineStr">
        <is>
          <t>nothing   when iso is missing
t = date.parse(string(iso))
the answer:
nothing   if number.is na n(t)
max(0, round down((now − t) ÷ 86400000))   otherwise</t>
        </is>
      </c>
      <c r="H580" s="3" t="inlineStr">
        <is>
          <t>When iso is missing, it answers no answer. T is date.parse(string(iso)). The answer is no answer — when number.is na n(t); (now minus t, rounded down divided by 86400000, never below zero) — otherwise.</t>
        </is>
      </c>
      <c r="I580" s="3" t="inlineStr">
        <is>
          <t>PARTLY READ — some of the code is still showing through; needs a hand pass</t>
        </is>
      </c>
      <c r="J580" s="3" t="inlineStr">
        <is>
          <t>1. iso: string | null | undefined
2. now: number</t>
        </is>
      </c>
      <c r="K580" s="3" t="inlineStr">
        <is>
          <t>number | null</t>
        </is>
      </c>
      <c r="L580" s="3" t="inlineStr">
        <is>
          <t>—</t>
        </is>
      </c>
      <c r="M580" s="3" t="inlineStr">
        <is>
          <t>None found in this function — anything it assumes comes from the functions it depends on.</t>
        </is>
      </c>
      <c r="N580" s="3" t="inlineStr">
        <is>
          <t>Yes</t>
        </is>
      </c>
      <c r="O580" s="3" t="inlineStr">
        <is>
          <t>—</t>
        </is>
      </c>
      <c r="P580" s="3" t="n">
        <v>0</v>
      </c>
      <c r="Q580" s="3" t="inlineStr">
        <is>
          <t>None — no dependent function stands behind it</t>
        </is>
      </c>
      <c r="R580" s="3" t="inlineStr">
        <is>
          <t>No dependent function — it reads its inputs and answers</t>
        </is>
      </c>
      <c r="S580" s="3" t="inlineStr">
        <is>
          <t>—</t>
        </is>
      </c>
      <c r="T580" s="3" t="inlineStr">
        <is>
          <t>—</t>
        </is>
      </c>
      <c r="U580" s="3" t="inlineStr">
        <is>
          <t>ACTIVE</t>
        </is>
      </c>
      <c r="V580" s="3" t="inlineStr">
        <is>
          <t>2026-08-27</t>
        </is>
      </c>
    </row>
    <row r="581">
      <c r="A581" s="3" t="inlineStr">
        <is>
          <t>MK-XS-F-171</t>
        </is>
      </c>
      <c r="B581" s="3" t="inlineStr">
        <is>
          <t>numOrNaN</t>
        </is>
      </c>
      <c r="C581" s="3" t="inlineStr">
        <is>
          <t>src/domain/import/holdingsImport.ts</t>
        </is>
      </c>
      <c r="D581" s="3" t="n">
        <v>241</v>
      </c>
      <c r="E581" s="3" t="inlineStr">
        <is>
          <t>3 · DEPENDENT</t>
        </is>
      </c>
      <c r="F581" s="3" t="inlineStr">
        <is>
          <t>NOT DETERMINED — the code carries no note saying what this is for, and it has no row in the old inventory. Needs reading.</t>
        </is>
      </c>
      <c r="G581" s="6" t="inlineStr">
        <is>
          <t>n = parse float(string(v ?? '').replace( ÷ [$,%\s] ÷ g, '').replace( ÷ [()] ÷ g, ''))
the answer:
n   if number.is finite(n)
na n   otherwise</t>
        </is>
      </c>
      <c r="H581" s="3" t="inlineStr">
        <is>
          <t>N is parse float(string(v ?? '').replace( divided by [$,%\s] divided by g, '').replace( divided by [()] divided by g, '')). The answer is n — when number.is finite(n); na n — otherwise.</t>
        </is>
      </c>
      <c r="I581" s="3" t="inlineStr">
        <is>
          <t>PARTLY READ — some of the code is still showing through; needs a hand pass</t>
        </is>
      </c>
      <c r="J581" s="3" t="inlineStr">
        <is>
          <t>v: string</t>
        </is>
      </c>
      <c r="K581" s="3" t="inlineStr">
        <is>
          <t>number</t>
        </is>
      </c>
      <c r="L581" s="3" t="inlineStr">
        <is>
          <t>—</t>
        </is>
      </c>
      <c r="M581" s="3" t="inlineStr">
        <is>
          <t>None found in this function — anything it assumes comes from the functions it depends on.</t>
        </is>
      </c>
      <c r="N581" s="3" t="inlineStr">
        <is>
          <t>Yes</t>
        </is>
      </c>
      <c r="O581" s="3" t="inlineStr">
        <is>
          <t>—</t>
        </is>
      </c>
      <c r="P581" s="3" t="n">
        <v>0</v>
      </c>
      <c r="Q581" s="3" t="inlineStr">
        <is>
          <t>None — no dependent function stands behind it</t>
        </is>
      </c>
      <c r="R581" s="3" t="inlineStr">
        <is>
          <t>No dependent function — it reads its inputs and answers</t>
        </is>
      </c>
      <c r="S581" s="3" t="inlineStr">
        <is>
          <t>—</t>
        </is>
      </c>
      <c r="T581" s="3" t="inlineStr">
        <is>
          <t>—</t>
        </is>
      </c>
      <c r="U581" s="3" t="inlineStr">
        <is>
          <t>ACTIVE</t>
        </is>
      </c>
      <c r="V581" s="3" t="inlineStr">
        <is>
          <t>2026-08-27</t>
        </is>
      </c>
    </row>
    <row r="582">
      <c r="A582" s="3" t="inlineStr">
        <is>
          <t>MK-XS-F-172</t>
        </is>
      </c>
      <c r="B582" s="3" t="inlineStr">
        <is>
          <t>assetClassForSymbol</t>
        </is>
      </c>
      <c r="C582" s="3" t="inlineStr">
        <is>
          <t>src/domain/import/holdingsImport.ts</t>
        </is>
      </c>
      <c r="D582" s="3" t="n">
        <v>360</v>
      </c>
      <c r="E582" s="3" t="inlineStr">
        <is>
          <t>3 · DEPENDENT</t>
        </is>
      </c>
      <c r="F582" s="3" t="inlineStr">
        <is>
          <t>B7 (founder brief 2026-08-20): classification lives in the ONE engine — this road only adapts.</t>
        </is>
      </c>
      <c r="G582" s="6" t="inlineStr">
        <is>
          <t>classify holding class({ ticker: symbol, name, has security identity: true }).cls</t>
        </is>
      </c>
      <c r="H582" s="3" t="inlineStr">
        <is>
          <t>classify holding class({ ticker: symbol, name, has security identity: true }).cls.</t>
        </is>
      </c>
      <c r="I582" s="3" t="inlineStr">
        <is>
          <t>PARTLY READ — some of the code is still showing through; needs a hand pass</t>
        </is>
      </c>
      <c r="J582" s="3" t="inlineStr">
        <is>
          <t>1. symbol: string
2. name = ''</t>
        </is>
      </c>
      <c r="K582" s="3" t="inlineStr">
        <is>
          <t>AssetClass</t>
        </is>
      </c>
      <c r="L582" s="3" t="inlineStr">
        <is>
          <t>—</t>
        </is>
      </c>
      <c r="M582" s="3" t="inlineStr">
        <is>
          <t>None found in this function — anything it assumes comes from the functions it depends on.</t>
        </is>
      </c>
      <c r="N582" s="3" t="inlineStr">
        <is>
          <t>Yes</t>
        </is>
      </c>
      <c r="O582" s="3" t="inlineStr">
        <is>
          <t>MK-ST-F-011 classifyHoldingClass</t>
        </is>
      </c>
      <c r="P582" s="3" t="n">
        <v>4</v>
      </c>
      <c r="Q582" s="3" t="inlineStr">
        <is>
          <t>1. MK-ST-F-011 classifyHoldingClass
2. MK-ST-F-010 nameEvidence
3. MK-ST-F-056 has
4. MK-CF-F-132 map</t>
        </is>
      </c>
      <c r="R582" s="3" t="inlineStr">
        <is>
          <t>1. MK-ST-F-056 has → MK-ST-F-010 nameEvidence → MK-ST-F-011 classifyHoldingClass → MK-XS-F-172 assetClassForSymbol
2. MK-CF-F-132 map → MK-ST-F-010 nameEvidence → MK-ST-F-011 classifyHoldingClass → MK-XS-F-172 assetClassForSymbol</t>
        </is>
      </c>
      <c r="S582" s="3" t="inlineStr">
        <is>
          <t>—</t>
        </is>
      </c>
      <c r="T582" s="3" t="inlineStr">
        <is>
          <t>—</t>
        </is>
      </c>
      <c r="U582" s="3" t="inlineStr">
        <is>
          <t>ACTIVE</t>
        </is>
      </c>
      <c r="V582" s="3" t="inlineStr">
        <is>
          <t>2026-08-27</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c r="A2" s="4"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c r="A3" s="3" t="inlineStr">
        <is>
          <t>1 · ACTION</t>
        </is>
      </c>
      <c r="B3" s="3" t="n">
        <v>72</v>
      </c>
      <c r="C3" s="3" t="n">
        <v>10</v>
      </c>
      <c r="D3" s="3" t="n">
        <v>0</v>
      </c>
      <c r="E3" s="3" t="n">
        <v>36</v>
      </c>
      <c r="F3" s="3" t="n">
        <v>7</v>
      </c>
    </row>
    <row r="4">
      <c r="A4" s="3" t="inlineStr">
        <is>
          <t>2 · DISPLAYED</t>
        </is>
      </c>
      <c r="B4" s="3" t="n">
        <v>242</v>
      </c>
      <c r="C4" s="3" t="n">
        <v>31</v>
      </c>
      <c r="D4" s="3" t="n">
        <v>0</v>
      </c>
      <c r="E4" s="3" t="n">
        <v>50</v>
      </c>
      <c r="F4" s="3" t="n">
        <v>22</v>
      </c>
    </row>
    <row r="5">
      <c r="A5" s="3" t="inlineStr">
        <is>
          <t>2 · DISPLAYED (presentation only)</t>
        </is>
      </c>
      <c r="B5" s="3" t="n">
        <v>3</v>
      </c>
      <c r="C5" s="3" t="n">
        <v>0</v>
      </c>
      <c r="D5" s="3" t="n">
        <v>0</v>
      </c>
      <c r="E5" s="3" t="n">
        <v>0</v>
      </c>
      <c r="F5" s="3" t="n">
        <v>0</v>
      </c>
    </row>
    <row r="6">
      <c r="A6" s="3" t="inlineStr">
        <is>
          <t>3 · DEPENDENT</t>
        </is>
      </c>
      <c r="B6" s="3" t="n">
        <v>151</v>
      </c>
      <c r="C6" s="3" t="n">
        <v>14</v>
      </c>
      <c r="D6" s="3" t="n">
        <v>0</v>
      </c>
      <c r="E6" s="3" t="n">
        <v>17</v>
      </c>
      <c r="F6" s="3" t="n">
        <v>5</v>
      </c>
    </row>
    <row r="7">
      <c r="A7" s="3" t="inlineStr">
        <is>
          <t>3 · DEPENDENT (feeds an action only)</t>
        </is>
      </c>
      <c r="B7" s="3" t="n">
        <v>96</v>
      </c>
      <c r="C7" s="3" t="n">
        <v>13</v>
      </c>
      <c r="D7" s="3" t="n">
        <v>0</v>
      </c>
      <c r="E7" s="3" t="n">
        <v>19</v>
      </c>
      <c r="F7" s="3" t="n">
        <v>9</v>
      </c>
    </row>
    <row r="8">
      <c r="A8" s="3" t="inlineStr">
        <is>
          <t>4 · BRINGS DATA IN</t>
        </is>
      </c>
      <c r="B8" s="3" t="n">
        <v>15</v>
      </c>
      <c r="C8" s="3" t="n">
        <v>4</v>
      </c>
      <c r="D8" s="3" t="n">
        <v>0</v>
      </c>
      <c r="E8" s="3" t="n">
        <v>1</v>
      </c>
      <c r="F8" s="3" t="n">
        <v>1</v>
      </c>
    </row>
    <row r="9">
      <c r="A9" s="3" t="inlineStr">
        <is>
          <t>USED NOWHERE FOUND</t>
        </is>
      </c>
      <c r="B9" s="3" t="n">
        <v>1</v>
      </c>
      <c r="C9" s="3" t="n">
        <v>0</v>
      </c>
      <c r="D9" s="3" t="n">
        <v>0</v>
      </c>
      <c r="E9" s="3" t="n">
        <v>0</v>
      </c>
      <c r="F9" s="3" t="n">
        <v>0</v>
      </c>
    </row>
    <row r="10">
      <c r="A10" s="7" t="inlineStr">
        <is>
          <t>TOTAL</t>
        </is>
      </c>
      <c r="B10" s="3" t="n">
        <v>580</v>
      </c>
      <c r="C10" s="3" t="n">
        <v>72</v>
      </c>
      <c r="D10" s="3" t="n">
        <v>0</v>
      </c>
      <c r="E10" s="3" t="n">
        <v>123</v>
      </c>
      <c r="F10" s="3" t="n">
        <v>44</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c r="A2" s="4"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c r="A3" s="3" t="inlineStr">
        <is>
          <t>Cashflow</t>
        </is>
      </c>
      <c r="B3" s="3" t="n">
        <v>29</v>
      </c>
      <c r="C3" s="3" t="n">
        <v>0</v>
      </c>
      <c r="D3" s="3" t="n">
        <v>4</v>
      </c>
      <c r="E3" s="3" t="n">
        <v>12</v>
      </c>
      <c r="F3" s="3" t="n">
        <v>13</v>
      </c>
    </row>
    <row r="4">
      <c r="A4" s="3" t="inlineStr">
        <is>
          <t>Home</t>
        </is>
      </c>
      <c r="B4" s="3" t="n">
        <v>4</v>
      </c>
      <c r="C4" s="3" t="n">
        <v>1</v>
      </c>
      <c r="D4" s="3" t="n">
        <v>1</v>
      </c>
      <c r="E4" s="3" t="n">
        <v>0</v>
      </c>
      <c r="F4" s="3" t="n">
        <v>2</v>
      </c>
    </row>
    <row r="5">
      <c r="A5" s="3" t="inlineStr">
        <is>
          <t>Menu</t>
        </is>
      </c>
      <c r="B5" s="3" t="n">
        <v>30</v>
      </c>
      <c r="C5" s="3" t="n">
        <v>0</v>
      </c>
      <c r="D5" s="3" t="n">
        <v>3</v>
      </c>
      <c r="E5" s="3" t="n">
        <v>7</v>
      </c>
      <c r="F5" s="3" t="n">
        <v>20</v>
      </c>
    </row>
    <row r="6">
      <c r="A6" s="3" t="inlineStr">
        <is>
          <t>Networth</t>
        </is>
      </c>
      <c r="B6" s="3" t="n">
        <v>45</v>
      </c>
      <c r="C6" s="3" t="n">
        <v>8</v>
      </c>
      <c r="D6" s="3" t="n">
        <v>16</v>
      </c>
      <c r="E6" s="3" t="n">
        <v>12</v>
      </c>
      <c r="F6" s="3" t="n">
        <v>9</v>
      </c>
    </row>
    <row r="7">
      <c r="A7" s="3" t="inlineStr">
        <is>
          <t>Performance</t>
        </is>
      </c>
      <c r="B7" s="3" t="n">
        <v>12</v>
      </c>
      <c r="C7" s="3" t="n">
        <v>1</v>
      </c>
      <c r="D7" s="3" t="n">
        <v>7</v>
      </c>
      <c r="E7" s="3" t="n">
        <v>3</v>
      </c>
      <c r="F7" s="3" t="n">
        <v>1</v>
      </c>
    </row>
    <row r="8">
      <c r="A8" s="3" t="inlineStr">
        <is>
          <t>Plan</t>
        </is>
      </c>
      <c r="B8" s="3" t="n">
        <v>37</v>
      </c>
      <c r="C8" s="3" t="n">
        <v>1</v>
      </c>
      <c r="D8" s="3" t="n">
        <v>5</v>
      </c>
      <c r="E8" s="3" t="n">
        <v>8</v>
      </c>
      <c r="F8" s="3" t="n">
        <v>23</v>
      </c>
    </row>
    <row r="9">
      <c r="A9" s="3" t="inlineStr">
        <is>
          <t>Shown on more than one screen</t>
        </is>
      </c>
      <c r="B9" s="3" t="n">
        <v>7</v>
      </c>
      <c r="C9" s="3" t="n">
        <v>1</v>
      </c>
      <c r="D9" s="3" t="n">
        <v>1</v>
      </c>
      <c r="E9" s="3" t="n">
        <v>4</v>
      </c>
      <c r="F9" s="3" t="n">
        <v>1</v>
      </c>
    </row>
    <row r="10">
      <c r="A10" s="7" t="inlineStr">
        <is>
          <t>TOTAL</t>
        </is>
      </c>
      <c r="B10" s="3" t="n">
        <v>164</v>
      </c>
      <c r="C10" s="3" t="n">
        <v>12</v>
      </c>
      <c r="D10" s="3" t="n">
        <v>37</v>
      </c>
      <c r="E10" s="3" t="n">
        <v>46</v>
      </c>
      <c r="F10" s="3" t="n">
        <v>69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2026-09-02T17:23:42Z</dcterms:created>
  <dcterms:modified xsi:type="dcterms:W3CDTF">2026-09-02T17:24:10Z</dcterms:modified>
</cp:coreProperties>
</file>