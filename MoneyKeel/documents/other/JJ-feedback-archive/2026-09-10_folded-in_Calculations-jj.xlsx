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lakjain/Vibe_Coding/finwise/MoneyKeel/documents/other/"/>
    </mc:Choice>
  </mc:AlternateContent>
  <xr:revisionPtr revIDLastSave="0" documentId="8_{EC22EAD4-B0FD-6141-A6D1-3D9EAD476CFB}" xr6:coauthVersionLast="47" xr6:coauthVersionMax="47" xr10:uidLastSave="{00000000-0000-0000-0000-000000000000}"/>
  <bookViews>
    <workbookView xWindow="18480" yWindow="8080" windowWidth="20060" windowHeight="17180" firstSheet="1" activeTab="5" xr2:uid="{5A52DCCA-FABB-764B-BB46-015081B4D5B8}"/>
  </bookViews>
  <sheets>
    <sheet name="Fixed_Income" sheetId="1" r:id="rId1"/>
    <sheet name="Stocks_Funds" sheetId="2" r:id="rId2"/>
    <sheet name="Currencies" sheetId="3" r:id="rId3"/>
    <sheet name="Crypto" sheetId="4" r:id="rId4"/>
    <sheet name="Options" sheetId="5" r:id="rId5"/>
    <sheet name="Commodit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4" l="1"/>
  <c r="B12" i="4"/>
  <c r="B14" i="4" s="1"/>
  <c r="B16" i="5"/>
  <c r="B15" i="5"/>
  <c r="B13" i="3"/>
  <c r="B12" i="3"/>
  <c r="B14" i="3" s="1"/>
  <c r="B13" i="2"/>
  <c r="B12" i="2"/>
  <c r="B15" i="1"/>
  <c r="B14" i="1"/>
  <c r="B16" i="1" s="1"/>
  <c r="B17" i="5" l="1"/>
  <c r="B14" i="2"/>
</calcChain>
</file>

<file path=xl/sharedStrings.xml><?xml version="1.0" encoding="utf-8"?>
<sst xmlns="http://schemas.openxmlformats.org/spreadsheetml/2006/main" count="125" uniqueCount="36">
  <si>
    <t>Holding Institution</t>
  </si>
  <si>
    <t>Holding Account Number</t>
  </si>
  <si>
    <t xml:space="preserve">Issuer </t>
  </si>
  <si>
    <t>Quantity</t>
  </si>
  <si>
    <t>Cost Price</t>
  </si>
  <si>
    <t>Current Price</t>
  </si>
  <si>
    <t>Current Value</t>
  </si>
  <si>
    <t xml:space="preserve">Total Cost </t>
  </si>
  <si>
    <t>Purchase Date</t>
  </si>
  <si>
    <t>Maturity Date</t>
  </si>
  <si>
    <t xml:space="preserve">Coupon </t>
  </si>
  <si>
    <t>Frequency of Interest</t>
  </si>
  <si>
    <t>Annual Income</t>
  </si>
  <si>
    <t>Unrealized Gain/Loss</t>
  </si>
  <si>
    <t>Data to Capture</t>
  </si>
  <si>
    <t>Value</t>
  </si>
  <si>
    <t>Dividend</t>
  </si>
  <si>
    <t xml:space="preserve">CUSIP / ISIN / Ticker </t>
  </si>
  <si>
    <t>Face Value</t>
  </si>
  <si>
    <t>Paid Interest</t>
  </si>
  <si>
    <t>Accrued Interest</t>
  </si>
  <si>
    <t>Divident Frequency</t>
  </si>
  <si>
    <t>Currency Code</t>
  </si>
  <si>
    <t>Underlying Stock</t>
  </si>
  <si>
    <t>Strike Price</t>
  </si>
  <si>
    <t>Enpiration Date</t>
  </si>
  <si>
    <t>Option Type</t>
  </si>
  <si>
    <t>Put / Call</t>
  </si>
  <si>
    <t>Source</t>
  </si>
  <si>
    <t>Insitution or User</t>
  </si>
  <si>
    <t>Ticker</t>
  </si>
  <si>
    <t>Insitution or User or Stock Price Data Source</t>
  </si>
  <si>
    <t>Insitution or User or calculated</t>
  </si>
  <si>
    <t>source</t>
  </si>
  <si>
    <t>Crypto Symbol</t>
  </si>
  <si>
    <t>Quantity (quantity offen very small and represented in 8 digits after decimal)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</si>
</sst>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96F6-7514-3C49-AB3B-7A151344CA90}">
  <dimension ref="A1:B27"/>
  <sheetViews>
    <sheetView workbookViewId="0">
      <selection activeCell="D24" sqref="D24"/>
    </sheetView>
  </sheetViews>
  <sheetFormatPr baseColWidth="10" defaultRowHeight="16" x14ac:dyDescent="0.2"/>
  <cols>
    <col min="1" max="1" width="23.1640625" style="1" customWidth="1"/>
    <col min="2" max="2" width="25.83203125" style="1" customWidth="1"/>
    <col min="3" max="16384" width="10.83203125" style="1"/>
  </cols>
  <sheetData>
    <row r="1" spans="1:2" s="4" customFormat="1" x14ac:dyDescent="0.2">
      <c r="A1" s="4" t="s">
        <v>14</v>
      </c>
      <c r="B1" s="4" t="s">
        <v>15</v>
      </c>
    </row>
    <row r="2" spans="1:2" s="4" customFormat="1" x14ac:dyDescent="0.2"/>
    <row r="3" spans="1:2" x14ac:dyDescent="0.2">
      <c r="A3" s="1" t="s">
        <v>0</v>
      </c>
      <c r="B3" s="2"/>
    </row>
    <row r="4" spans="1:2" x14ac:dyDescent="0.2">
      <c r="A4" s="1" t="s">
        <v>1</v>
      </c>
      <c r="B4" s="2"/>
    </row>
    <row r="6" spans="1:2" x14ac:dyDescent="0.2">
      <c r="A6" s="1" t="s">
        <v>2</v>
      </c>
      <c r="B6" s="2"/>
    </row>
    <row r="7" spans="1:2" x14ac:dyDescent="0.2">
      <c r="A7" s="1" t="s">
        <v>17</v>
      </c>
      <c r="B7" s="2"/>
    </row>
    <row r="9" spans="1:2" x14ac:dyDescent="0.2">
      <c r="A9" s="1" t="s">
        <v>18</v>
      </c>
      <c r="B9" s="2"/>
    </row>
    <row r="10" spans="1:2" x14ac:dyDescent="0.2">
      <c r="A10" s="1" t="s">
        <v>3</v>
      </c>
      <c r="B10" s="2"/>
    </row>
    <row r="11" spans="1:2" x14ac:dyDescent="0.2">
      <c r="A11" s="1" t="s">
        <v>4</v>
      </c>
      <c r="B11" s="2"/>
    </row>
    <row r="12" spans="1:2" x14ac:dyDescent="0.2">
      <c r="A12" s="1" t="s">
        <v>5</v>
      </c>
      <c r="B12" s="2"/>
    </row>
    <row r="14" spans="1:2" x14ac:dyDescent="0.2">
      <c r="A14" s="1" t="s">
        <v>6</v>
      </c>
      <c r="B14" s="3">
        <f>B12*B10</f>
        <v>0</v>
      </c>
    </row>
    <row r="15" spans="1:2" x14ac:dyDescent="0.2">
      <c r="A15" s="1" t="s">
        <v>7</v>
      </c>
      <c r="B15" s="3">
        <f>B11*B10</f>
        <v>0</v>
      </c>
    </row>
    <row r="16" spans="1:2" x14ac:dyDescent="0.2">
      <c r="A16" s="1" t="s">
        <v>13</v>
      </c>
      <c r="B16" s="3">
        <f>B14-B15</f>
        <v>0</v>
      </c>
    </row>
    <row r="18" spans="1:2" x14ac:dyDescent="0.2">
      <c r="A18" s="1" t="s">
        <v>8</v>
      </c>
      <c r="B18" s="2"/>
    </row>
    <row r="19" spans="1:2" x14ac:dyDescent="0.2">
      <c r="A19" s="1" t="s">
        <v>9</v>
      </c>
      <c r="B19" s="2"/>
    </row>
    <row r="21" spans="1:2" x14ac:dyDescent="0.2">
      <c r="A21" s="1" t="s">
        <v>10</v>
      </c>
      <c r="B21" s="2"/>
    </row>
    <row r="23" spans="1:2" x14ac:dyDescent="0.2">
      <c r="A23" s="1" t="s">
        <v>11</v>
      </c>
      <c r="B23" s="2"/>
    </row>
    <row r="25" spans="1:2" x14ac:dyDescent="0.2">
      <c r="A25" s="1" t="s">
        <v>12</v>
      </c>
      <c r="B25" s="3"/>
    </row>
    <row r="26" spans="1:2" x14ac:dyDescent="0.2">
      <c r="A26" s="1" t="s">
        <v>19</v>
      </c>
      <c r="B26" s="2"/>
    </row>
    <row r="27" spans="1:2" x14ac:dyDescent="0.2">
      <c r="A27" s="1" t="s">
        <v>20</v>
      </c>
      <c r="B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180A-7ACE-554E-A9CE-8B4DA718EA64}">
  <dimension ref="A1:C22"/>
  <sheetViews>
    <sheetView workbookViewId="0">
      <selection activeCell="C3" sqref="C3"/>
    </sheetView>
  </sheetViews>
  <sheetFormatPr baseColWidth="10" defaultColWidth="25" defaultRowHeight="16" x14ac:dyDescent="0.2"/>
  <cols>
    <col min="1" max="16384" width="25" style="1"/>
  </cols>
  <sheetData>
    <row r="1" spans="1:3" s="4" customFormat="1" x14ac:dyDescent="0.2">
      <c r="A1" s="4" t="s">
        <v>14</v>
      </c>
      <c r="B1" s="4" t="s">
        <v>15</v>
      </c>
      <c r="C1" s="4" t="s">
        <v>28</v>
      </c>
    </row>
    <row r="2" spans="1:3" s="4" customFormat="1" x14ac:dyDescent="0.2"/>
    <row r="3" spans="1:3" x14ac:dyDescent="0.2">
      <c r="A3" s="1" t="s">
        <v>0</v>
      </c>
      <c r="B3" s="2"/>
      <c r="C3" s="1" t="s">
        <v>29</v>
      </c>
    </row>
    <row r="4" spans="1:3" x14ac:dyDescent="0.2">
      <c r="A4" s="1" t="s">
        <v>1</v>
      </c>
      <c r="B4" s="2"/>
      <c r="C4" s="1" t="s">
        <v>29</v>
      </c>
    </row>
    <row r="6" spans="1:3" x14ac:dyDescent="0.2">
      <c r="A6" s="1" t="s">
        <v>30</v>
      </c>
      <c r="B6" s="2"/>
      <c r="C6" s="1" t="s">
        <v>29</v>
      </c>
    </row>
    <row r="8" spans="1:3" x14ac:dyDescent="0.2">
      <c r="A8" s="1" t="s">
        <v>3</v>
      </c>
      <c r="B8" s="2"/>
      <c r="C8" s="1" t="s">
        <v>29</v>
      </c>
    </row>
    <row r="9" spans="1:3" x14ac:dyDescent="0.2">
      <c r="A9" s="1" t="s">
        <v>4</v>
      </c>
      <c r="B9" s="2"/>
      <c r="C9" s="1" t="s">
        <v>29</v>
      </c>
    </row>
    <row r="10" spans="1:3" x14ac:dyDescent="0.2">
      <c r="A10" s="1" t="s">
        <v>5</v>
      </c>
      <c r="B10" s="2"/>
      <c r="C10" s="1" t="s">
        <v>31</v>
      </c>
    </row>
    <row r="12" spans="1:3" x14ac:dyDescent="0.2">
      <c r="A12" s="1" t="s">
        <v>6</v>
      </c>
      <c r="B12" s="3">
        <f>B10*B8</f>
        <v>0</v>
      </c>
    </row>
    <row r="13" spans="1:3" x14ac:dyDescent="0.2">
      <c r="A13" s="1" t="s">
        <v>7</v>
      </c>
      <c r="B13" s="3">
        <f>B9*B8</f>
        <v>0</v>
      </c>
    </row>
    <row r="14" spans="1:3" x14ac:dyDescent="0.2">
      <c r="A14" s="1" t="s">
        <v>13</v>
      </c>
      <c r="B14" s="3">
        <f>B12-B13</f>
        <v>0</v>
      </c>
    </row>
    <row r="16" spans="1:3" x14ac:dyDescent="0.2">
      <c r="A16" s="1" t="s">
        <v>8</v>
      </c>
      <c r="B16" s="2"/>
      <c r="C16" s="1" t="s">
        <v>29</v>
      </c>
    </row>
    <row r="19" spans="1:3" x14ac:dyDescent="0.2">
      <c r="A19" s="1" t="s">
        <v>16</v>
      </c>
      <c r="B19" s="2"/>
      <c r="C19" s="1" t="s">
        <v>29</v>
      </c>
    </row>
    <row r="20" spans="1:3" x14ac:dyDescent="0.2">
      <c r="A20" s="1" t="s">
        <v>21</v>
      </c>
      <c r="B20" s="2"/>
      <c r="C20" s="1" t="s">
        <v>29</v>
      </c>
    </row>
    <row r="22" spans="1:3" x14ac:dyDescent="0.2">
      <c r="A22" s="1" t="s">
        <v>12</v>
      </c>
      <c r="B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BB22-F39A-014C-BD07-FAFB00D26BA3}">
  <dimension ref="A1:C22"/>
  <sheetViews>
    <sheetView workbookViewId="0">
      <selection sqref="A1:XFD1048576"/>
    </sheetView>
  </sheetViews>
  <sheetFormatPr baseColWidth="10" defaultRowHeight="16" x14ac:dyDescent="0.2"/>
  <cols>
    <col min="1" max="1" width="23.1640625" style="1" customWidth="1"/>
    <col min="2" max="2" width="25.83203125" style="1" customWidth="1"/>
    <col min="3" max="3" width="38.1640625" style="1" customWidth="1"/>
    <col min="4" max="16384" width="10.83203125" style="1"/>
  </cols>
  <sheetData>
    <row r="1" spans="1:3" s="4" customFormat="1" x14ac:dyDescent="0.2">
      <c r="A1" s="4" t="s">
        <v>14</v>
      </c>
      <c r="B1" s="4" t="s">
        <v>15</v>
      </c>
      <c r="C1" s="4" t="s">
        <v>33</v>
      </c>
    </row>
    <row r="2" spans="1:3" s="4" customFormat="1" x14ac:dyDescent="0.2"/>
    <row r="3" spans="1:3" x14ac:dyDescent="0.2">
      <c r="A3" s="1" t="s">
        <v>0</v>
      </c>
      <c r="B3" s="2"/>
      <c r="C3" s="1" t="s">
        <v>29</v>
      </c>
    </row>
    <row r="4" spans="1:3" x14ac:dyDescent="0.2">
      <c r="A4" s="1" t="s">
        <v>1</v>
      </c>
      <c r="B4" s="2"/>
      <c r="C4" s="1" t="s">
        <v>29</v>
      </c>
    </row>
    <row r="6" spans="1:3" x14ac:dyDescent="0.2">
      <c r="A6" s="1" t="s">
        <v>22</v>
      </c>
      <c r="B6" s="2"/>
      <c r="C6" s="1" t="s">
        <v>29</v>
      </c>
    </row>
    <row r="8" spans="1:3" x14ac:dyDescent="0.2">
      <c r="A8" s="1" t="s">
        <v>3</v>
      </c>
      <c r="B8" s="2"/>
      <c r="C8" s="1" t="s">
        <v>29</v>
      </c>
    </row>
    <row r="9" spans="1:3" x14ac:dyDescent="0.2">
      <c r="A9" s="1" t="s">
        <v>4</v>
      </c>
      <c r="B9" s="2"/>
      <c r="C9" s="1" t="s">
        <v>29</v>
      </c>
    </row>
    <row r="10" spans="1:3" x14ac:dyDescent="0.2">
      <c r="A10" s="1" t="s">
        <v>5</v>
      </c>
      <c r="B10" s="2"/>
      <c r="C10" s="1" t="s">
        <v>29</v>
      </c>
    </row>
    <row r="12" spans="1:3" x14ac:dyDescent="0.2">
      <c r="A12" s="1" t="s">
        <v>6</v>
      </c>
      <c r="B12" s="3">
        <f>B10*B8</f>
        <v>0</v>
      </c>
    </row>
    <row r="13" spans="1:3" x14ac:dyDescent="0.2">
      <c r="A13" s="1" t="s">
        <v>7</v>
      </c>
      <c r="B13" s="3">
        <f>B9*B8</f>
        <v>0</v>
      </c>
    </row>
    <row r="14" spans="1:3" x14ac:dyDescent="0.2">
      <c r="A14" s="1" t="s">
        <v>13</v>
      </c>
      <c r="B14" s="3">
        <f>B12-B13</f>
        <v>0</v>
      </c>
    </row>
    <row r="16" spans="1:3" x14ac:dyDescent="0.2">
      <c r="A16" s="1" t="s">
        <v>8</v>
      </c>
      <c r="B16" s="2"/>
      <c r="C16" s="1" t="s">
        <v>29</v>
      </c>
    </row>
    <row r="19" spans="1:3" x14ac:dyDescent="0.2">
      <c r="A19" s="1" t="s">
        <v>16</v>
      </c>
      <c r="B19" s="2"/>
      <c r="C19" s="1" t="s">
        <v>29</v>
      </c>
    </row>
    <row r="20" spans="1:3" x14ac:dyDescent="0.2">
      <c r="A20" s="1" t="s">
        <v>21</v>
      </c>
      <c r="B20" s="2"/>
      <c r="C20" s="1" t="s">
        <v>29</v>
      </c>
    </row>
    <row r="22" spans="1:3" x14ac:dyDescent="0.2">
      <c r="A22" s="1" t="s">
        <v>12</v>
      </c>
      <c r="B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5C30-D9BE-094D-ACDD-54A476B5DC9A}">
  <dimension ref="A1:C22"/>
  <sheetViews>
    <sheetView workbookViewId="0">
      <selection activeCell="F16" sqref="F16"/>
    </sheetView>
  </sheetViews>
  <sheetFormatPr baseColWidth="10" defaultRowHeight="16" x14ac:dyDescent="0.2"/>
  <cols>
    <col min="1" max="1" width="23.1640625" style="1" customWidth="1"/>
    <col min="2" max="2" width="25.83203125" style="1" customWidth="1"/>
    <col min="3" max="3" width="38.1640625" style="1" customWidth="1"/>
    <col min="4" max="16384" width="10.83203125" style="1"/>
  </cols>
  <sheetData>
    <row r="1" spans="1:3" s="4" customFormat="1" x14ac:dyDescent="0.2">
      <c r="A1" s="4" t="s">
        <v>14</v>
      </c>
      <c r="B1" s="4" t="s">
        <v>15</v>
      </c>
      <c r="C1" s="4" t="s">
        <v>33</v>
      </c>
    </row>
    <row r="2" spans="1:3" s="4" customFormat="1" x14ac:dyDescent="0.2"/>
    <row r="3" spans="1:3" x14ac:dyDescent="0.2">
      <c r="A3" s="1" t="s">
        <v>0</v>
      </c>
      <c r="B3" s="2"/>
      <c r="C3" s="1" t="s">
        <v>29</v>
      </c>
    </row>
    <row r="4" spans="1:3" x14ac:dyDescent="0.2">
      <c r="A4" s="1" t="s">
        <v>1</v>
      </c>
      <c r="B4" s="2"/>
      <c r="C4" s="1" t="s">
        <v>29</v>
      </c>
    </row>
    <row r="6" spans="1:3" x14ac:dyDescent="0.2">
      <c r="A6" s="1" t="s">
        <v>34</v>
      </c>
      <c r="B6" s="2"/>
      <c r="C6" s="1" t="s">
        <v>29</v>
      </c>
    </row>
    <row r="8" spans="1:3" x14ac:dyDescent="0.2">
      <c r="A8" s="1" t="s">
        <v>35</v>
      </c>
      <c r="B8" s="2"/>
      <c r="C8" s="1" t="s">
        <v>29</v>
      </c>
    </row>
    <row r="9" spans="1:3" x14ac:dyDescent="0.2">
      <c r="A9" s="1" t="s">
        <v>4</v>
      </c>
      <c r="B9" s="2"/>
      <c r="C9" s="1" t="s">
        <v>29</v>
      </c>
    </row>
    <row r="10" spans="1:3" x14ac:dyDescent="0.2">
      <c r="A10" s="1" t="s">
        <v>5</v>
      </c>
      <c r="B10" s="2"/>
      <c r="C10" s="1" t="s">
        <v>29</v>
      </c>
    </row>
    <row r="12" spans="1:3" x14ac:dyDescent="0.2">
      <c r="A12" s="1" t="s">
        <v>6</v>
      </c>
      <c r="B12" s="3">
        <f>B10*B8</f>
        <v>0</v>
      </c>
    </row>
    <row r="13" spans="1:3" x14ac:dyDescent="0.2">
      <c r="A13" s="1" t="s">
        <v>7</v>
      </c>
      <c r="B13" s="3">
        <f>B9*B8</f>
        <v>0</v>
      </c>
    </row>
    <row r="14" spans="1:3" x14ac:dyDescent="0.2">
      <c r="A14" s="1" t="s">
        <v>13</v>
      </c>
      <c r="B14" s="3">
        <f>B12-B13</f>
        <v>0</v>
      </c>
    </row>
    <row r="16" spans="1:3" x14ac:dyDescent="0.2">
      <c r="A16" s="1" t="s">
        <v>8</v>
      </c>
      <c r="B16" s="2"/>
      <c r="C16" s="1" t="s">
        <v>29</v>
      </c>
    </row>
    <row r="19" spans="1:3" x14ac:dyDescent="0.2">
      <c r="A19" s="1" t="s">
        <v>16</v>
      </c>
      <c r="B19" s="2"/>
      <c r="C19" s="1" t="s">
        <v>29</v>
      </c>
    </row>
    <row r="20" spans="1:3" x14ac:dyDescent="0.2">
      <c r="A20" s="1" t="s">
        <v>21</v>
      </c>
      <c r="B20" s="2"/>
      <c r="C20" s="1" t="s">
        <v>29</v>
      </c>
    </row>
    <row r="22" spans="1:3" x14ac:dyDescent="0.2">
      <c r="A22" s="1" t="s">
        <v>12</v>
      </c>
      <c r="B2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26DF-60E9-B34F-93E6-ED5B6A18493C}">
  <dimension ref="A1:C19"/>
  <sheetViews>
    <sheetView workbookViewId="0">
      <selection activeCell="C2" sqref="C2"/>
    </sheetView>
  </sheetViews>
  <sheetFormatPr baseColWidth="10" defaultRowHeight="16" x14ac:dyDescent="0.2"/>
  <cols>
    <col min="1" max="1" width="23.1640625" style="1" customWidth="1"/>
    <col min="2" max="2" width="25.83203125" style="1" customWidth="1"/>
    <col min="3" max="3" width="35.1640625" style="1" customWidth="1"/>
    <col min="4" max="16384" width="10.83203125" style="1"/>
  </cols>
  <sheetData>
    <row r="1" spans="1:3" s="4" customFormat="1" x14ac:dyDescent="0.2">
      <c r="A1" s="4" t="s">
        <v>14</v>
      </c>
      <c r="B1" s="4" t="s">
        <v>15</v>
      </c>
      <c r="C1" s="4" t="s">
        <v>33</v>
      </c>
    </row>
    <row r="2" spans="1:3" s="4" customFormat="1" x14ac:dyDescent="0.2"/>
    <row r="3" spans="1:3" x14ac:dyDescent="0.2">
      <c r="A3" s="1" t="s">
        <v>0</v>
      </c>
      <c r="B3" s="2"/>
      <c r="C3" s="1" t="s">
        <v>29</v>
      </c>
    </row>
    <row r="4" spans="1:3" x14ac:dyDescent="0.2">
      <c r="A4" s="1" t="s">
        <v>1</v>
      </c>
      <c r="B4" s="2"/>
      <c r="C4" s="1" t="s">
        <v>29</v>
      </c>
    </row>
    <row r="6" spans="1:3" x14ac:dyDescent="0.2">
      <c r="A6" s="1" t="s">
        <v>23</v>
      </c>
      <c r="B6" s="2"/>
      <c r="C6" s="1" t="s">
        <v>29</v>
      </c>
    </row>
    <row r="7" spans="1:3" x14ac:dyDescent="0.2">
      <c r="A7" s="1" t="s">
        <v>24</v>
      </c>
      <c r="B7" s="2"/>
      <c r="C7" s="1" t="s">
        <v>29</v>
      </c>
    </row>
    <row r="8" spans="1:3" x14ac:dyDescent="0.2">
      <c r="A8" s="1" t="s">
        <v>25</v>
      </c>
      <c r="B8" s="2"/>
      <c r="C8" s="1" t="s">
        <v>29</v>
      </c>
    </row>
    <row r="9" spans="1:3" x14ac:dyDescent="0.2">
      <c r="A9" s="1" t="s">
        <v>26</v>
      </c>
      <c r="B9" s="2" t="s">
        <v>27</v>
      </c>
      <c r="C9" s="1" t="s">
        <v>29</v>
      </c>
    </row>
    <row r="11" spans="1:3" x14ac:dyDescent="0.2">
      <c r="A11" s="1" t="s">
        <v>3</v>
      </c>
      <c r="B11" s="2"/>
      <c r="C11" s="1" t="s">
        <v>29</v>
      </c>
    </row>
    <row r="12" spans="1:3" x14ac:dyDescent="0.2">
      <c r="A12" s="1" t="s">
        <v>4</v>
      </c>
      <c r="B12" s="2"/>
      <c r="C12" s="1" t="s">
        <v>29</v>
      </c>
    </row>
    <row r="13" spans="1:3" x14ac:dyDescent="0.2">
      <c r="A13" s="1" t="s">
        <v>5</v>
      </c>
      <c r="B13" s="2"/>
      <c r="C13" s="1" t="s">
        <v>29</v>
      </c>
    </row>
    <row r="15" spans="1:3" x14ac:dyDescent="0.2">
      <c r="A15" s="1" t="s">
        <v>6</v>
      </c>
      <c r="B15" s="3">
        <f>B13*B11</f>
        <v>0</v>
      </c>
      <c r="C15" s="1" t="s">
        <v>32</v>
      </c>
    </row>
    <row r="16" spans="1:3" x14ac:dyDescent="0.2">
      <c r="A16" s="1" t="s">
        <v>7</v>
      </c>
      <c r="B16" s="3">
        <f>B12*B11</f>
        <v>0</v>
      </c>
      <c r="C16" s="1" t="s">
        <v>32</v>
      </c>
    </row>
    <row r="17" spans="1:3" x14ac:dyDescent="0.2">
      <c r="A17" s="1" t="s">
        <v>13</v>
      </c>
      <c r="B17" s="3">
        <f>B15-B16</f>
        <v>0</v>
      </c>
      <c r="C17" s="1" t="s">
        <v>32</v>
      </c>
    </row>
    <row r="19" spans="1:3" x14ac:dyDescent="0.2">
      <c r="A19" s="1" t="s">
        <v>8</v>
      </c>
      <c r="B19" s="2"/>
      <c r="C19" s="1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84E8-1FB0-A144-B3E4-082A4EC3DD3B}">
  <dimension ref="A1"/>
  <sheetViews>
    <sheetView tabSelected="1" workbookViewId="0">
      <selection activeCell="G21" sqref="G2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Fixed_Income</vt:lpstr>
      <vt:lpstr>Stocks_Funds</vt:lpstr>
      <vt:lpstr>Currencies</vt:lpstr>
      <vt:lpstr>Crypto</vt:lpstr>
      <vt:lpstr>Options</vt:lpstr>
      <vt:lpstr>Commodities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2026-08-23T03:12:03Z</dcterms:created>
  <dcterms:modified xsi:type="dcterms:W3CDTF">2026-08-25T19:01:15Z</dcterms:modified>
</cp:coreProperties>
</file>