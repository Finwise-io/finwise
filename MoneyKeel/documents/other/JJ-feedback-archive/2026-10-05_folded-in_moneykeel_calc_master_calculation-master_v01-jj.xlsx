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palakjain/Vibe_Coding/finwise/MoneyKeel/documents/other/"/>
    </mc:Choice>
  </mc:AlternateContent>
  <xr:revisionPtr revIDLastSave="0" documentId="8_{A49403EA-C42B-CF46-B34C-5F563F4F810E}" xr6:coauthVersionLast="47" xr6:coauthVersionMax="47" xr10:uidLastSave="{00000000-0000-0000-0000-000000000000}"/>
  <bookViews>
    <workbookView xWindow="0" yWindow="0" windowWidth="33600" windowHeight="19860" xr2:uid="{00000000-000D-0000-FFFF-FFFF00000000}"/>
  </bookViews>
  <sheets>
    <sheet name="Reference" sheetId="1" r:id="rId1"/>
    <sheet name="Specification" sheetId="2" r:id="rId2"/>
    <sheet name="rulings" sheetId="3" r:id="rId3"/>
    <sheet name="capture-list" sheetId="4" r:id="rId4"/>
    <sheet name="multiple_screens" sheetId="5" r:id="rId5"/>
    <sheet name="home" sheetId="6" r:id="rId6"/>
    <sheet name="networth" sheetId="7" r:id="rId7"/>
    <sheet name="performance" sheetId="8" r:id="rId8"/>
    <sheet name="plan" sheetId="9" r:id="rId9"/>
    <sheet name="cashflow" sheetId="10" r:id="rId10"/>
    <sheet name="menu" sheetId="11" r:id="rId11"/>
    <sheet name="inputs" sheetId="12" r:id="rId12"/>
    <sheet name="database" sheetId="13" r:id="rId13"/>
    <sheet name="core_screens" sheetId="14" r:id="rId14"/>
    <sheet name="reconciliation" sheetId="15" r:id="rId15"/>
    <sheet name="engines-old-tab" sheetId="16" r:id="rId16"/>
    <sheet name="functions_from_code" sheetId="17" r:id="rId17"/>
    <sheet name="functions_summary" sheetId="18" r:id="rId18"/>
    <sheet name="functions_per_metric" sheetId="19" r:id="rId19"/>
  </sheets>
  <definedNames>
    <definedName name="_xlnm._FilterDatabase" localSheetId="3" hidden="1">'capture-list'!$A$1:$F$72</definedName>
    <definedName name="_xlnm._FilterDatabase" localSheetId="9" hidden="1">cashflow!$A$1:$AN$62</definedName>
    <definedName name="_xlnm._FilterDatabase" localSheetId="13" hidden="1">core_screens!$A$1:$D$50</definedName>
    <definedName name="_xlnm._FilterDatabase" localSheetId="12" hidden="1">database!$A$1:$G$31</definedName>
    <definedName name="_xlnm._FilterDatabase" localSheetId="15" hidden="1">'engines-old-tab'!$A$1:$F$101</definedName>
    <definedName name="_xlnm._FilterDatabase" localSheetId="16" hidden="1">functions_from_code!$A$1:$Y$633</definedName>
    <definedName name="_xlnm._FilterDatabase" localSheetId="18" hidden="1">functions_per_metric!$A$1:$F$10</definedName>
    <definedName name="_xlnm._FilterDatabase" localSheetId="17" hidden="1">functions_summary!$A$1:$F$9</definedName>
    <definedName name="_xlnm._FilterDatabase" localSheetId="5" hidden="1">home!$A$1:$AN$14</definedName>
    <definedName name="_xlnm._FilterDatabase" localSheetId="11" hidden="1">inputs!$A$1:$J$66</definedName>
    <definedName name="_xlnm._FilterDatabase" localSheetId="10" hidden="1">menu!$A$1:$AN$41</definedName>
    <definedName name="_xlnm._FilterDatabase" localSheetId="4" hidden="1">multiple_screens!$A$1:$AN$8</definedName>
    <definedName name="_xlnm._FilterDatabase" localSheetId="6" hidden="1">networth!$A$1:$AN$54</definedName>
    <definedName name="_xlnm._FilterDatabase" localSheetId="7" hidden="1">performance!$A$1:$AN$17</definedName>
    <definedName name="_xlnm._FilterDatabase" localSheetId="8" hidden="1">plan!$A$1:$AN$44</definedName>
    <definedName name="_xlnm._FilterDatabase" localSheetId="14" hidden="1">reconciliation!$A$1:$E$68</definedName>
    <definedName name="_xlnm._FilterDatabase" localSheetId="0" hidden="1">Reference!$A$1:$B$166</definedName>
    <definedName name="_xlnm._FilterDatabase" localSheetId="2" hidden="1">rulings!$A$1:$K$157</definedName>
    <definedName name="_xlnm._FilterDatabase" localSheetId="1" hidden="1">Specification!$A$1:$D$30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1" i="10" l="1"/>
  <c r="D57" i="10"/>
  <c r="D6" i="10"/>
  <c r="D4" i="10"/>
  <c r="D5" i="9"/>
</calcChain>
</file>

<file path=xl/sharedStrings.xml><?xml version="1.0" encoding="utf-8"?>
<sst xmlns="http://schemas.openxmlformats.org/spreadsheetml/2006/main" count="23263" uniqueCount="8836">
  <si>
    <t>Item</t>
  </si>
  <si>
    <t>Detail</t>
  </si>
  <si>
    <t>COLOUR KEY — what waits on you</t>
  </si>
  <si>
    <t>YELLOW — a question to answer: the question in "Questions for you", and the cell beside it where you answer (start with the question number). BLUE — RETIRED 2026-09-14: a figure's inputs are approved with its row under rule 11, not typed separately into "Inputs — approved list (founder, dated)"; the code's record next to it is the evidence. GREEN — an answer to one of your comments, to read. Set by the build from what the cells hold, so a colour disappears the moment the cell is dealt with. Counts this build: 40 questions · 0 input lists · 25 answers.</t>
  </si>
  <si>
    <t>STANDING DECISION — how numbers are held and shown</t>
  </si>
  <si>
    <t>Every calculation runs at FULL PRECISION — nothing is rounded inside a function (the 244 cents roundings and the four-decimal roundings that used to sit inside the calculation code were removed in one pass on 2026-09-09). Rounding happens ONCE, at display: whole dollars for totals, balances and projections; two decimals for prices, rates, expenses and per-share figures; eight decimals for coin quantities; yields and returns as percents to two decimals. Any other precision is stated on the row. Founder ruling Q49 (2026-09-09), which supersedes both the 2026-08-22 line ('held as a float') and brief Q-56's (2026-08-20) decimal-library reading: the numbers are JavaScript floats carried at full precision.</t>
  </si>
  <si>
    <t>Date file created</t>
  </si>
  <si>
    <t>2026-09-28</t>
  </si>
  <si>
    <t>Date file last modified</t>
  </si>
  <si>
    <t>2026-09-28  (stamped by the build, not typed; unchanged when the file is only read)</t>
  </si>
  <si>
    <t>Objective of this file</t>
  </si>
  <si>
    <t>One row for every figure a person reads on screen, tied to the metric behind it, the function that produces it, and the identifier that joins them — so a wrong number can be traced from the label on screen to its function and formula in a minute. Serves objectives 3 and 4.</t>
  </si>
  <si>
    <t>TAB — Specification</t>
  </si>
  <si>
    <t>Everything a row must carry before its calculation can be written in code, NUMBERED S01 upwards so a piece of work can be named by its number. The last column says where each one stands in this file today.</t>
  </si>
  <si>
    <t>TAB — Reference</t>
  </si>
  <si>
    <t>This tab. What the file is, what each tab holds, what each column means, and what it must comply with.</t>
  </si>
  <si>
    <t>TAB — multiple_screens</t>
  </si>
  <si>
    <t>Figures shown on more than one parent screen. A figure lives here ONCE, with every screen and every label it wears listed, so the same figure can never have two definitions.</t>
  </si>
  <si>
    <t>TAB — home</t>
  </si>
  <si>
    <t>Figures shown only on Home and the screens reached from it.</t>
  </si>
  <si>
    <t>TAB — networth</t>
  </si>
  <si>
    <t>Figures shown only on Net worth and the screens reached from it.</t>
  </si>
  <si>
    <t>TAB — performance</t>
  </si>
  <si>
    <t>Figures shown only on Performance and the screens reached from it.</t>
  </si>
  <si>
    <t>TAB — plan</t>
  </si>
  <si>
    <t>Figures shown only on Plan and the screens reached from it.</t>
  </si>
  <si>
    <t>TAB — cashflow</t>
  </si>
  <si>
    <t>Figures shown only on Cash flow and the screens reached from it.</t>
  </si>
  <si>
    <t>TAB — menu</t>
  </si>
  <si>
    <t>Screens reachable only from the menu, and the figures on them.</t>
  </si>
  <si>
    <t>TAB — engines-old-tab</t>
  </si>
  <si>
    <t>One row per function identifier — the definitive list every dependency and every figure points at. Carries where the function is implemented, what it answers, and which figures reach it.</t>
  </si>
  <si>
    <t>TAB — functions_per_metric</t>
  </si>
  <si>
    <t>By parent screen: how many figures it shows, and how many functions stand behind each one — a single function, two to five, more than five, or none on record.</t>
  </si>
  <si>
    <t>TAB — functions_summary</t>
  </si>
  <si>
    <t>A count per category: how many functions there are, how many are handed nothing at all, how many are handed nothing but reach into the stored data, and how many never say what they give back.</t>
  </si>
  <si>
    <t>TAB — functions_from_code</t>
  </si>
  <si>
    <t>Every function in the calculation code, read from the code itself, sorted into the four categories by what it actually does. 1 ACTION does something and displays nothing. 2 DISPLAYED lands on a screen. 3 DEPENDENT feeds a chain that ends at a screen. 4 BRINGS DATA IN fetches from outside the app. A function that can reach a screen can put a wrong number in front of a person; one that cannot, cannot.</t>
  </si>
  <si>
    <t>TAB — reconciliation</t>
  </si>
  <si>
    <t>The input map checked in BOTH directions: what the inputs tab says uses each input, against what each function actually names in its own input list. Where the two disagree the row says so. The section at the foot lists inputs an function names that appear nowhere on the inputs tab.</t>
  </si>
  <si>
    <t>TAB — core_screens</t>
  </si>
  <si>
    <t>Every screen in the app, its parent, my recommendation on whether it belongs to the 55-70 core, and a column for the founder to decide. Until this is decided, no row in the file can honestly claim to be in scope (S17).</t>
  </si>
  <si>
    <t>TAB — database</t>
  </si>
  <si>
    <t>What the app saves in the cloud: where each thing is stored, what it holds, which figures depend on it, how often it is written and at what grain. Also names what is deliberately NOT saved.</t>
  </si>
  <si>
    <t>TAB — inputs</t>
  </si>
  <si>
    <t>The raw values the functions need before any calculation happens.</t>
  </si>
  <si>
    <t>COLUMN — Function that produces it</t>
  </si>
  <si>
    <t>The function in the code that produces this figure, named plainly. Three honest answers: the function · "worked out on the screen itself" · or "no function on record", which means nothing in the old inventory ever recorded one.</t>
  </si>
  <si>
    <t>COLUMN — Function ID</t>
  </si>
  <si>
    <t>That function's identifier, MK-[family]-F-[number], from the functions_from_code tab.</t>
  </si>
  <si>
    <t>COLUMN — Category / File / Line</t>
  </si>
  <si>
    <t>On the functions tab: which of the four categories the function falls in, and where it lives in the code.</t>
  </si>
  <si>
    <t>COLUMN — Objective — what this function is for</t>
  </si>
  <si>
    <t>Its purpose in one sentence, in the author's own words from the note above it in the code, or from the old inventory. NOT DETERMINED where neither exists.</t>
  </si>
  <si>
    <t>COLUMN — Formula (mathematical) [functions tab]</t>
  </si>
  <si>
    <t>What the function actually computes, written as arithmetic, read out of its own body. A sum written in code as a reduce is shown as Σ; a rounding is shown with the number of decimal places it really uses; a condition is shown as its two answers. Nothing here is inferred from the function NAME — where a body could not be rendered faithfully the cell says so instead of guessing.</t>
  </si>
  <si>
    <t>COLUMN — Formula (in words) [functions tab]</t>
  </si>
  <si>
    <t>The same rule in plain English. It is generated from the SAME expression as the arithmetic beside it, so the two cannot drift apart. Where the formula was read by hand this column is written by hand and says what the rule means, not just what it does.</t>
  </si>
  <si>
    <t>COLUMN — How the formula was read</t>
  </si>
  <si>
    <t>How much to trust the two columns before it. READ BY HAND — checked line by line against the code, and the words say what the rule means. READ FROM THE CODE — rendered from the expressions the function runs, with no code left showing. PARTLY READ — faithful, but some of the code is still showing through and it needs a hand pass. NO ARITHMETIC — it fetches, saves or announces, so there is no formula to state. NOT READ — the body is not a shape the reader can render, and nothing is claimed rather than something guessed.</t>
  </si>
  <si>
    <t>COLUMN — What it gives back (its output)</t>
  </si>
  <si>
    <t>What the function returns. NOT DECLARED means the code does not say, so nothing can check it returns the right kind of thing.</t>
  </si>
  <si>
    <t>COLUMN — Can its answer reach a screen?</t>
  </si>
  <si>
    <t>The question that decides whether a function can put a wrong number in front of a person.</t>
  </si>
  <si>
    <t>COLUMN — Figures that name it</t>
  </si>
  <si>
    <t>Which metric identifiers reach this function. It travels through the old inventory to get there, so it is only as good as that record.</t>
  </si>
  <si>
    <t>COLUMN — Name in the old inventory</t>
  </si>
  <si>
    <t>What the old master called this function, kept only so the link to the earlier file is not lost. The word function is retired.</t>
  </si>
  <si>
    <t>COLUMN — Metric ID</t>
  </si>
  <si>
    <t>The identifier of the figure, per moneykeel_naming_spec_unique-identifier_v01.md. Given once, never changed, never reused.</t>
  </si>
  <si>
    <t>COLUMN — Parent Screen Name</t>
  </si>
  <si>
    <t>One of: Home, Networth, Performance, Cashflow, Plan, Menu. Menu means reachable only from the menu.</t>
  </si>
  <si>
    <t>COLUMN — Secondary Screen Name</t>
  </si>
  <si>
    <t>The screen reached from the parent, or NA when the figure is on the parent screen itself.</t>
  </si>
  <si>
    <t>COLUMN — Name on Screen</t>
  </si>
  <si>
    <t>The label copied exactly as it is worded on screen, including capitals. Where a figure wears different labels on different screens, all are listed.</t>
  </si>
  <si>
    <t>COLUMN — Name of Underlying Metric</t>
  </si>
  <si>
    <t>The metric's name in the code.</t>
  </si>
  <si>
    <t>COLUMN — Name of Underlying Function</t>
  </si>
  <si>
    <t>The function that produces the figure. NOT IN OLD MASTER means the function exists in the code but has no row in the old master file.</t>
  </si>
  <si>
    <t>COLUMN — Inputs it needs (S02)</t>
  </si>
  <si>
    <t>Every input the function reads, named. Carried from the old master where it has a row there.</t>
  </si>
  <si>
    <t>COLUMN — What comes out (S04)</t>
  </si>
  <si>
    <t>Dollars, a percentage, a date, a count; how it is held and how it is shown. Marked "derived by rule" where it was worked out from the label and formula rather than read from the function — those need confirming.</t>
  </si>
  <si>
    <t>COLUMN — What it says when it cannot be computed (S05)</t>
  </si>
  <si>
    <t>The refusal. Written where the function has been read; NOT DETERMINED where it has not, rather than guessed.</t>
  </si>
  <si>
    <t>COLUMN — Grain (S06)</t>
  </si>
  <si>
    <t>One figure per what: holding, account, debt, goal, category, month, or person.</t>
  </si>
  <si>
    <t>COLUMN — Period (S07)</t>
  </si>
  <si>
    <t>As of when, and over what window.</t>
  </si>
  <si>
    <t>COLUMN — Dependency (S11)</t>
  </si>
  <si>
    <t>The functions this one leans on, each named by ITS identifier and by the output it gives. Read from the code itself, never from a document. "None" means the function reads raw inputs only.</t>
  </si>
  <si>
    <t>COLUMN — Secondary calculations and decisions the function makes</t>
  </si>
  <si>
    <t>The judgements an function must make BEFORE its headline figure exists: what class an asset is, what to call it on screen, which units apply, whether a value is fresh. Each of these is a formula of its own and needs its own row.</t>
  </si>
  <si>
    <t>Every function in the code carries one, MK-[family]-F-[number]. The family comes from the folder the code sits in.</t>
  </si>
  <si>
    <t>COLUMN — What it is for</t>
  </si>
  <si>
    <t>The purpose of the function in one sentence, taken from the note written above it in the code, or from the old inventory when the code carries none. NOT DETERMINED where neither exists — never invented.</t>
  </si>
  <si>
    <t>COLUMN — What it is handed / what it gives back</t>
  </si>
  <si>
    <t>Read from the function's own signature: the values passed to it, whether it also reads the stored data, and what it returns. NOT DECLARED means the code does not say what comes back.</t>
  </si>
  <si>
    <t>COLUMN — Where its answer appears</t>
  </si>
  <si>
    <t>In plain English: the words printed beside the answer, which screen they are on, and the section they sit under. NOT FOUND means a screen calls the function but the words could not be traced automatically and need reading.</t>
  </si>
  <si>
    <t>COLUMN — Assumptions it makes</t>
  </si>
  <si>
    <t>What the function takes for granted, in plain English rather than in code: a value used when data is missing, a rate nobody chose on a screen, a year treated as twelve equal months, a cap, rows deliberately left out. Read from the code with the comments stripped out, so it reports what runs rather than what someone wrote about it.</t>
  </si>
  <si>
    <t>COLUMN — Dependent functions</t>
  </si>
  <si>
    <t>A dependent function is one whose output is used by another function, in a chain that ends at a screen. These columns list the dependent functions behind this one: those one step below it, how many there are in total, and all of them however many steps away.</t>
  </si>
  <si>
    <t>COLUMN — The chain, ending in this function</t>
  </si>
  <si>
    <t>Read left to right. The function that shows the answer sits at the END, and everything feeding it comes before it. A loop is marked where a chain turns back on itself. Chains are cut at five levels and eight paths, and say so.</t>
  </si>
  <si>
    <t>COLUMN — The chain of functions behind it</t>
  </si>
  <si>
    <t>The chain that ends in the function producing this figure, read left to right, taken from the functions tab.</t>
  </si>
  <si>
    <t>COLUMN — Assumptions made anywhere in that chain</t>
  </si>
  <si>
    <t>Every assumption made by the producing function OR by any function below it, each named with the identifier of the function that makes it. This is where a figure quietly inherits a rate nobody chose.</t>
  </si>
  <si>
    <t>COLUMN — Same figure as (S16)</t>
  </si>
  <si>
    <t>Where the same figure appears under more than one identifier, the row names the surviving identifier and why. Nothing is deleted: identifiers are never reused, so a folded row stays visible and says what it became.</t>
  </si>
  <si>
    <t>COLUMN — Questions for you (numbered)</t>
  </si>
  <si>
    <t>My open questions about that function or figure, each with a number that never changes. A number is never reused or renumbered, so an answer can always be matched to its question.</t>
  </si>
  <si>
    <t>COLUMN — YOUR ANSWER — use the same number</t>
  </si>
  <si>
    <t>Answer here, starting each answer with the question number. Nothing else in the file needs to line up.</t>
  </si>
  <si>
    <t>COLUMN — Where each finding stands</t>
  </si>
  <si>
    <t>Every finding on this row, and its outcome. OPEN means nothing has closed it — not that it is unproven, but that it is unaddressed. FIXED carries the date. NOT A DEFECT means the finding itself was examined and was wrong; those are kept, never deleted, because erasing them would hide that the audit can be wrong and the next reader could not tell a dismissed finding from a forgotten one. PARTLY FIXED and NAMED-NOT-FIXED say exactly how far it got. What closed each one, and the test that fails if it returns, are in moneykeel_finding_status.py. Added 2026-08-27 at the founder's ruling: a finding without an outcome is half a record.</t>
  </si>
  <si>
    <t>COLUMN — Active or decommissioned</t>
  </si>
  <si>
    <t>ACTIVE means it exists in the code or on a screen today. SUPERSEDED BY names the identifier that replaced it — the same thing under another number, which is then retired and never handed to anything else. DECOMMISSIONED with its date means it was here and is not any more; the row is kept so the number is never reused and earlier work can still be traced. Never blank. Added 2026-08-27.</t>
  </si>
  <si>
    <t>COLUMN — Date last modified</t>
  </si>
  <si>
    <t>The date this ROW last changed — not the date the build last ran. The row's content is hashed and kept, so the date only moves when the content really moves. A row untouched since August still reads August in December, which is the whole point: a date that says today on every row means nothing. Added 2026-08-27.</t>
  </si>
  <si>
    <t>COLUMN — Wrong on screen — build first</t>
  </si>
  <si>
    <t>A finding here changes a NUMBER OR A WORD a person actually reads, on one of the three screens being built first: cash flow This month, cash flow Expenses, and the base-salary income screen. Blank does NOT mean the row is right — most rows carry findings where the FILE is wrong and the app is correct, which is real work but not a wrong number in front of anyone. Marked 2026-08-27 at the founder's request, so the queue is visible on the row rather than in a list somewhere else.</t>
  </si>
  <si>
    <t>COLUMN — Why no function</t>
  </si>
  <si>
    <t>Four answers, never a blank. HAS A FUNCTION. TYPED — the person entered it, none needed, already right. WORKED OUT ON THE SCREEN — the arithmetic is in a screen file and cannot be shared. NO FUNCTION ON RECORD — nothing says what produces it. Added 2026-08-26 because the file reported 69 figures with no function as ONE number, which reads as 69 problems; it is 64 problems of two kinds and 5 rows that are already correct.</t>
  </si>
  <si>
    <t>COLUMN — Formula audit — metric vs the function it names</t>
  </si>
  <si>
    <t>The 2026-08-26 pass: this figure's arithmetic checked against the arithmetic of the function in its Function ID column, and against every other figure naming the same function. Four verdicts. CLASH — the figure states a rule the code does not implement; a real defect. MISNAMED — the formula and the function are about different things. ONE FORMULA — figures that are not the same figure sharing one formula between them. AGREES — the two say the same thing. NOT COMPARABLE — no function is named, so nothing can be checked. Each finding is numbered B01 upwards and names the code file and line it was checked against.</t>
  </si>
  <si>
    <t>COLUMN — Audit finding — 2026-08-25 review</t>
  </si>
  <si>
    <t>What the 2026-08-25 review found wrong, unproved or missing on THIS row, each numbered A01 upwards. A number is given once and never reused, the same rule the questions follow. Findings that belong to the whole file rather than to any one row are listed at the bottom of this tab under AUDIT. Blank means nothing was found on this row by this review — it does not mean the row is right.</t>
  </si>
  <si>
    <t>COLUMN — Errors or findings to address</t>
  </si>
  <si>
    <t>What is known to be wrong or unproved about this figure, in plain English. Blank means nothing is on record yet — not that nothing is wrong.</t>
  </si>
  <si>
    <t>COLUMN — Decisions made (S03)</t>
  </si>
  <si>
    <t>The rulings and assumptions that govern this figure, each marked with WHOSE decision it was: [Founder] his own ruling, [The person] something the user set, [Built in] an assumption nobody chose on a screen — which is usually why a number looks wrong. The standing display and rounding rule applies to every row and is stated at the top of this tab.</t>
  </si>
  <si>
    <t>COLUMN — Formula (mathematical)</t>
  </si>
  <si>
    <t>The rule written as arithmetic, so it can be followed symbol by symbol and checked against the code.</t>
  </si>
  <si>
    <t>COLUMN — Formula (in words)</t>
  </si>
  <si>
    <t>The same rule in plain English, followable by hand. Where the function has a row in the old master this is its wording, carried over; where it does not, it is written here from reading the code.</t>
  </si>
  <si>
    <t>The identifier of that function. Blank where the figure is worked out on the screen itself rather than by an function — which is itself a finding.</t>
  </si>
  <si>
    <t>COLUMN — Your name for it (72-metric file)</t>
  </si>
  <si>
    <t>The founder's own name for the same figure, from METRICS-DELIVERABLE-ANSWERED-2026-08-20.xlsx. This column is the bridge between his vocabulary and the code's.</t>
  </si>
  <si>
    <t>COLUMN — Core screen?</t>
  </si>
  <si>
    <t>Whether the screen is part of the 55-70 core, the agreed first scope. Currently NOT DETERMINED on every row: the core list has never been written down, so no row can honestly claim to be in or out of it.</t>
  </si>
  <si>
    <t>COLUMN — Row status</t>
  </si>
  <si>
    <t>VERIFIED with its date means a person read the screen and confirmed the chain. NOT STARTED means the screen has not been read yet. Nothing in between is claimed.</t>
  </si>
  <si>
    <t>COLUMN — Where the code keeps it</t>
  </si>
  <si>
    <t>The field name the value is stored under in the code. This is the join between a value a person would name — "bond maturity date" — and the code, and it is what makes the next column checkable rather than remembered.</t>
  </si>
  <si>
    <t>COLUMN — Functions that read it</t>
  </si>
  <si>
    <t>Every function whose body touches that field, swept from the code on every build. Replaces the two function columns this tab carried until 2026-08-26: the word function was retired by the vocabulary standard, and neither the function name nor its E identifier could be looked up in the code.</t>
  </si>
  <si>
    <t>COLUMN — Figures it reaches</t>
  </si>
  <si>
    <t>The figures served by the functions above. NONE ON RECORD means those functions are named by no figure in this file — an S21 gap, not proof the input reaches nobody.</t>
  </si>
  <si>
    <t>COLUMN — Input ID</t>
  </si>
  <si>
    <t>The identifier of a raw input, per the same standard.</t>
  </si>
  <si>
    <t>COLUMN — Variable name</t>
  </si>
  <si>
    <t>What the raw value is called.</t>
  </si>
  <si>
    <t>COLUMN — Source</t>
  </si>
  <si>
    <t>Where the value comes from: the person typed it, an institution download, a connected provider, or another function computed it.</t>
  </si>
  <si>
    <t>Complies with — naming</t>
  </si>
  <si>
    <t>MoneyKeel/documents/standards/moneykeel_naming_spec_file-and-folder-naming_v01.md</t>
  </si>
  <si>
    <t>Complies with — identifiers</t>
  </si>
  <si>
    <t>MoneyKeel/documents/standards/moneykeel_naming_spec_unique-identifier_v01.md</t>
  </si>
  <si>
    <t>Complies with — objectives</t>
  </si>
  <si>
    <t>MoneyKeel/documents/standards/moneykeel_calc_spec_objectives-and-verification_v01.md</t>
  </si>
  <si>
    <t>COVERAGE — screens read so far</t>
  </si>
  <si>
    <t>49 of 49. Every screen in the app has been read: the five parent screens, every secondary screen and every menu screen. Twelve screens carry no calculated figure and say so.</t>
  </si>
  <si>
    <t>COVERAGE — what that means</t>
  </si>
  <si>
    <t>Every screen in the app is listed on its tab. Only Home carries figures so far; the rest are marked NOT STARTED. A rising count is not completeness while screens remain unread.</t>
  </si>
  <si>
    <t/>
  </si>
  <si>
    <t>AUDIT — 2026-08-25 review</t>
  </si>
  <si>
    <t>Read against the three standards: the vocabulary, the identifiers, and the objectives-and-verification. These findings belong to the FILE rather than to any one row. The ones that land on rows are in the last column of each screen tab, numbered from the same list, so a number means the same thing wherever it is read.</t>
  </si>
  <si>
    <t>AUDIT A01</t>
  </si>
  <si>
    <t>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</si>
  <si>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AUDIT A48</t>
  </si>
  <si>
    <t>126 of 163 rows read NOT DETERMINED for the decisions that govern the figure and 37 read NOT DETERMINED for what the figure says when it cannot be computed — and every one of those same rows is stamped VERIFIED.</t>
  </si>
  <si>
    <t>AUDIT A02</t>
  </si>
  <si>
    <t>The vocabulary standard retired the word function on 2026-08-25. It is still the working vocabulary of the inputs tab (Which function uses it, Function ID), both function columns of the reconciliation tab, column R of every screen tab, and 20-odd column notes on this tab. Identifier type E is retired and is still being issued live on the inputs tab.</t>
  </si>
  <si>
    <t>AUDIT A03</t>
  </si>
  <si>
    <t>moneykeel_naming_spec_unique-identifier_v01.md still lists type E in its pieces table and does not list type F, while its own examples use MK-PL-F-012. Rule 4 and the worked example are still written in function language.</t>
  </si>
  <si>
    <t>AUDIT A04</t>
  </si>
  <si>
    <t>This tab describes two columns that no longer exist — Name of Underlying Function, Function ID — and names others with (S02), (S04), (S11) suffixes the headers do not carry.</t>
  </si>
  <si>
    <t>AUDIT A22</t>
  </si>
  <si>
    <t>The vocabulary standard names four categories of function. The functions tab has six. "3 · DEPENDENT (feeds an action only)" holds 74 functions and contradicts the standard's own definition of DEPENDENT — a chain that ends at a screen.</t>
  </si>
  <si>
    <t>AUDIT A05</t>
  </si>
  <si>
    <t>The Specification runs S01-S15, S18-S21, then S16 and S17. On a tab whose stated purpose is that a piece of work can be named by its number, the numbers are out of order.</t>
  </si>
  <si>
    <t>AUDIT A07</t>
  </si>
  <si>
    <t>S02 says 59 rows name inputs carrying their identifiers; 77 do. Its second figure — 72 rows naming an input that is on no row of the inputs tab — matches nothing countable in the file, and the reconciliation tab's GAPS section, which S02 points at as the place the gap is counted, is a heading with no rows under it.</t>
  </si>
  <si>
    <t>AUDIT A08</t>
  </si>
  <si>
    <t>S20 says 69 figures name no function, then breaks it down as Plan 23, Menu 20, Cash flow 13, Net worth 9 — which is 65. The functions_per_metric tab carries the missing four: Home 2, Performance 1, shown-on-more-than-one-screen 1.</t>
  </si>
  <si>
    <t>AUDIT A09</t>
  </si>
  <si>
    <t>S12 says COMPLETE for functions, all 455 read from the code. The sweep reads only exported top-level declarations. 88 module-private functions in the same three folders are invisible to it, and 5 exported names that are defined in two files each are collapsed to one row. Rung 1 — every function in the code has a row in the file — is therefore not met, and S12 should read PARTIAL.</t>
  </si>
  <si>
    <t>AUDIT A10</t>
  </si>
  <si>
    <t>The reconciliation gate matches identifiers with MK-[A-Z]{2}-[MEIDS]-\d{3}. That class carries the retired E and has no F. So no function identifier is ever matched, the Function ID column contributes nothing, and check 4 — UNKNOWN FUNCTION, a figure depending on a function that is in no row — has never been able to fire.</t>
  </si>
  <si>
    <t>AUDIT A11</t>
  </si>
  <si>
    <t>The gate's orphan-input check looks for the text NO INPUT ID, which appears nowhere in the file. The builder writes "NOT DETERMINED — no input list on record" and "[NOT AN INPUT — another function's answer]" instead. That check has never fired either.</t>
  </si>
  <si>
    <t>AUDIT A26</t>
  </si>
  <si>
    <t>The 28 screen rows that carry no figure are built one cell short: their core-screen answer is written into "Your name for it (72-metric file)" and their row status into "Core screen?", leaving Row status empty. Two hard-coded pad counts in the builder (17 and 20) against 26 columns.</t>
  </si>
  <si>
    <t>AUDIT A13</t>
  </si>
  <si>
    <t>Four more names are defined in two files each and silently collapsed to one row: classifyHolding (import/holdingsImport.ts and engines/classify.ts), rmdDivisor (decumulation/index.ts and engines/rmd.ts), round2 (_shared/num.ts and engines/money.ts), parseReceipt (services/economicData.ts and services/receiptScan.ts). This is S19 — duplicate calculations in the code — and it is worse than not started, because the file shows one row where there are two implementations.</t>
  </si>
  <si>
    <t>AUDIT A15</t>
  </si>
  <si>
    <t>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t>
  </si>
  <si>
    <t>AUDIT A16</t>
  </si>
  <si>
    <t>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t>
  </si>
  <si>
    <t>AUDIT A17</t>
  </si>
  <si>
    <t>"Uses a built-in i of 0", on 11 functions, is the loop counter — let i = 0.</t>
  </si>
  <si>
    <t>AUDIT A18</t>
  </si>
  <si>
    <t>"Treats a year as twelve equal months" fires on any division by 12, a month index included; "Treats a month as 30 days" fires on any multiplication by 30. Neither is read as arithmetic, so both carry false positives.</t>
  </si>
  <si>
    <t>AUDIT A19</t>
  </si>
  <si>
    <t>A function's body is read from its own line to the start of the next EXPORTED function, so every module-private helper below it is swallowed and its assumptions are attributed upwards. classifyHolding is three lines and only delegates; this file gives it findHeaderRow's loop counter as its assumption.</t>
  </si>
  <si>
    <t>AUDIT A20</t>
  </si>
  <si>
    <t>Comments are stripped before assumptions are read, by design. So an assumption the author stated in prose — the kind a founder would want to see — cannot appear at all, and 241 functions read "None found".</t>
  </si>
  <si>
    <t>AUDIT A21</t>
  </si>
  <si>
    <t>functions_summary shows 0 in "Handed nothing, but reads the stored data" for all 455 functions. The store is detected only as the text useStore or getState() inside the captured body; those folders contain 18 getState() calls and exactly one row carries the phrase. A zero that reads as a finding is a detection gap.</t>
  </si>
  <si>
    <t>AUDIT A24</t>
  </si>
  <si>
    <t>All 48 input rows are stamped VERIFIED 2026-08-22. The reconciliation tab, built from the code three days later, says 9 of them are named by no function at all and 29 more only partly agree. 10 of 48 agree in both directions.</t>
  </si>
  <si>
    <t>AUDIT A25</t>
  </si>
  <si>
    <t>MK-XS-I-010 names two functions and carries no function identifier, and one of the two — "the institution-words table" — is prose, not an identifier. MK-XS-I-002, -008, -009 and -017 each name two functions and carry one identifier. The identifier standard's rule 4 says neither side is allowed to be silent.</t>
  </si>
  <si>
    <t>AUDIT A41</t>
  </si>
  <si>
    <t>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t>
  </si>
  <si>
    <t>PUBLISHED SOURCES — where every statutory figure in the code comes from</t>
  </si>
  <si>
    <t>One row per figure: the publication, the year it applies to, when it was last checked against that publication, and where it sits in the code. The guard fails when a figure is missing here, or when its year has rolled past without a re-check.</t>
  </si>
  <si>
    <t>PUBLISHED SOURCE — TAX_BRACKETS</t>
  </si>
  <si>
    <t>Federal income-tax bands, single filer · IRS Rev. Proc. 2025-32 §4.01 · valid through 2026 · checked 2026-09-01 · src/domain/income/tax.ts · statutory_constants.test.ts types the published figures in by hand and compares</t>
  </si>
  <si>
    <t>PUBLISHED SOURCE — TAX_TABLES</t>
  </si>
  <si>
    <t>Federal bands, standard deduction and 65+ add-on per filing status · IRS Rev. Proc. 2025-32 §§2.15, 4.01 · valid through 2026 · checked 2026-09-01 · src/domain/income/tax.ts · married filing separately derived as half the joint figures (IRC §1)</t>
  </si>
  <si>
    <t>PUBLISHED SOURCE — STANDARD_DEDUCTION</t>
  </si>
  <si>
    <t xml:space="preserve">Standard deduction, single · IRS Rev. Proc. 2025-32 §2.15 · valid through 2026 · checked 2026-09-01 · src/domain/income/tax.ts · </t>
  </si>
  <si>
    <t>PUBLISHED SOURCE — SENIOR_DEDUCTION</t>
  </si>
  <si>
    <t>$6,000 per person 65+, phased out 6% above $75,000 / $150,000 · P.L. 119-21 §70103 (IRC §151(d)(5)) · valid through 2028 · checked 2026-09-08 · src/domain/income/tax.ts · lapses after tax year 2028</t>
  </si>
  <si>
    <t>PUBLISHED SOURCE — TAX_YEAR</t>
  </si>
  <si>
    <t>The tax year the tables above apply to · IRS Rev. Proc. 2025-32 · valid through 2026 · checked 2026-09-01 · src/domain/income/tax.ts · when the calendar year passes this, the tables are stale until re-checked</t>
  </si>
  <si>
    <t>PUBLISHED SOURCE — IRS_LIMITS</t>
  </si>
  <si>
    <t>401(k), IRA and catch-up contribution limits, including the 60–63 super catch-up · IRS Notice 2025-67 (2026 cost-of-living adjustments); SECURE 2.0 Act §109 · valid through 2026 · checked 2026-09-01 · src/domain/income/limits.ts · the notice number is as the founder should confirm against the IRS release</t>
  </si>
  <si>
    <t>PUBLISHED SOURCE — annualHsaLimit</t>
  </si>
  <si>
    <t>HSA limits and the Medicare rule (no contribution once enrolled) · IRS Rev. Proc. 2025-19 (2026 HSA limits); IRC §223(b)(7) · valid through 2026 · checked 2026-09-08 · src/domain/income/limits.ts · the procedure number is as the founder should confirm</t>
  </si>
  <si>
    <t>PUBLISHED SOURCE — fullRetirementAge</t>
  </si>
  <si>
    <t>Social Security full retirement age by birth year · Social Security Act §216(l); SSA retirement-age table · valid through 2099 · checked 2026-09-12 · src/domain/retirement/ssTiming.ts · permanent schedule; the 1938–1954 rows added 2026-09-12 (A39)</t>
  </si>
  <si>
    <t>PUBLISHED SOURCE — ssClaimFactorFor</t>
  </si>
  <si>
    <t>Early-claim reduction (5/9 of 1% a month for 36 months, then 5/12) and delayed credits (2/3 of 1% a month) · Social Security Act §202(q), §202(w) · valid through 2099 · checked 2026-09-12 · src/domain/retirement/ssTiming.ts · months count from 2026-09-12 (A38)</t>
  </si>
  <si>
    <t>PUBLISHED SOURCE — UNIFORM_LIFETIME</t>
  </si>
  <si>
    <t>Required-withdrawal divisors, ages 72 to 120+ · Treas. Reg. §1.401(a)(9)-9 (IRS Publication 590-B, Table III, post-2022) · valid through 2099 · checked 2026-09-01 · Calculation Module code/engines/rmd.ts · typed in whole — no interpolation (A35)</t>
  </si>
  <si>
    <t>PUBLISHED SOURCE — rmdStartAge</t>
  </si>
  <si>
    <t>Required-withdrawal start age by birth year (70½ / 72 / 73 / 75) · SECURE Act 2019 §114; SECURE 2.0 Act 2022 §107 · valid through 2099 · checked 2026-09-12 · Calculation Module code/engines/rmd.ts · the whole schedule from 2026-09-12 (A36)</t>
  </si>
  <si>
    <t>PUBLISHED SOURCE — INFLATION_DEFAULT</t>
  </si>
  <si>
    <t>Default inflation, the 30-year average of consumer prices · Bureau of Labor Statistics, CPI-U, 1996–2025 · valid through 2026 · checked 2026-09-08 · src/domain/retirement/inflation.ts · re-check when the BLS publishes the next full year</t>
  </si>
  <si>
    <t>PUBLISHED SOURCE — ageAttainedInYear</t>
  </si>
  <si>
    <t>The age a contribution limit tests — attained at any time in the calendar year · IRC §414(v)(1) (401(k) catch-up), §219(b)(5)(B) (IRA), §223(b)(3) (HSA) · valid through 2099 · checked 2026-09-12 · src/domain/income/limits.ts · a rule, not a figure: this year − birth year</t>
  </si>
  <si>
    <t>PUBLISHED SOURCE — SS_WAGE_BASE</t>
  </si>
  <si>
    <t>Social Security wage base — 6.2% is withheld up to it · Social Security Administration, 2026 contribution and benefit base (announced October 2025) · valid through 2026 · checked 2026-09-12 · MoneyKeel/functions/cashflow/base-pay.ts · used only in the caveat under the federal-only take-home (G4)</t>
  </si>
  <si>
    <t>PUBLISHED SOURCE — MEDICARE_ADDITIONAL_THRESHOLD</t>
  </si>
  <si>
    <t>Wages above which an employer withholds 0.9% more Medicare tax · IRC §3101(b)(2); IRS Topic 560 · valid through 2099 · checked 2026-09-12 · MoneyKeel/functions/cashflow/base-pay.ts · withholding threshold, regardless of filing status</t>
  </si>
  <si>
    <t>BENCHMARK RETURNS — the per-class figures the projections and the odds run on</t>
  </si>
  <si>
    <t>One row per account kind: the return the code assumes (ASSET_KINDS.ret), where it comes from and over what period (BENCHMARK_META). A row marked ESTIMATE is a flagged guess, not a measured series. Read from the code on every build.</t>
  </si>
  <si>
    <t>BENCHMARK — Checking</t>
  </si>
  <si>
    <t>0.5% a year · Interest checking, ~0% · current · ESTIMATE</t>
  </si>
  <si>
    <t>BENCHMARK — Savings</t>
  </si>
  <si>
    <t>2.4% a year · 3-mo Treasury bill (cash) · 30-yr</t>
  </si>
  <si>
    <t>BENCHMARK — High-yield savings</t>
  </si>
  <si>
    <t>4.2% a year · no benchmark named in the code · — · ESTIMATE</t>
  </si>
  <si>
    <t>BENCHMARK — Money market</t>
  </si>
  <si>
    <t>4.5% a year · no benchmark named in the code · — · ESTIMATE</t>
  </si>
  <si>
    <t>BENCHMARK — CD</t>
  </si>
  <si>
    <t>BENCHMARK — Cash management</t>
  </si>
  <si>
    <t>3.5% a year · no benchmark named in the code · — · ESTIMATE</t>
  </si>
  <si>
    <t>BENCHMARK — Foreign currency</t>
  </si>
  <si>
    <t>0.0% a year · no benchmark named in the code · — · ESTIMATE</t>
  </si>
  <si>
    <t>BENCHMARK — Brokerage</t>
  </si>
  <si>
    <t>8.0% a year · Blended taxable portfolio · 30-yr · ESTIMATE</t>
  </si>
  <si>
    <t>BENCHMARK — Stocks / Funds</t>
  </si>
  <si>
    <t>10.4% a year · S&amp;P 500 total return · 30-yr</t>
  </si>
  <si>
    <t>BENCHMARK — Fixed income</t>
  </si>
  <si>
    <t>4.2% a year · US Aggregate Bond index · 30-yr</t>
  </si>
  <si>
    <t>BENCHMARK — Crypto</t>
  </si>
  <si>
    <t>8.0% a year · No long-run benchmark — set your own · — · ESTIMATE</t>
  </si>
  <si>
    <t>BENCHMARK — Private equity</t>
  </si>
  <si>
    <t>13.0% a year · Cambridge Associates US PE · ~25-yr · ESTIMATE</t>
  </si>
  <si>
    <t>BENCHMARK — Hedge funds</t>
  </si>
  <si>
    <t>6.0% a year · HFRI Fund Weighted Composite · ~10-yr · ESTIMATE</t>
  </si>
  <si>
    <t>BENCHMARK — Gold / commodities</t>
  </si>
  <si>
    <t>8.2% a year · Gold (SPDR GLD) · 30-yr</t>
  </si>
  <si>
    <t>BENCHMARK — Options</t>
  </si>
  <si>
    <t>5.0% a year · no benchmark named in the code · — · ESTIMATE</t>
  </si>
  <si>
    <t>BENCHMARK — Annuities</t>
  </si>
  <si>
    <t>4.5% a year · Typical fixed-annuity rate · current · ESTIMATE</t>
  </si>
  <si>
    <t>BENCHMARK — 529 / College</t>
  </si>
  <si>
    <t>7.0% a year · Age-based 529 blend · assumed · ESTIMATE</t>
  </si>
  <si>
    <t>BENCHMARK — Other</t>
  </si>
  <si>
    <t>5.0% a year · Generic blended estimate · — · ESTIMATE</t>
  </si>
  <si>
    <t>BENCHMARK — 401(k)</t>
  </si>
  <si>
    <t>7.9% a year · no benchmark named in the code · — · ESTIMATE</t>
  </si>
  <si>
    <t>BENCHMARK — Traditional IRA</t>
  </si>
  <si>
    <t>7.9% a year · Assumed 60/40 mix · 30-yr · ESTIMATE</t>
  </si>
  <si>
    <t>BENCHMARK — Roth IRA</t>
  </si>
  <si>
    <t>BENCHMARK — HSA</t>
  </si>
  <si>
    <t>7.9% a year · Invested HSA, assumed 60/40 · 30-yr · ESTIMATE</t>
  </si>
  <si>
    <t>BENCHMARK — Home</t>
  </si>
  <si>
    <t>4.5% a year · Case-Shiller US home price (nominal) · 30-yr</t>
  </si>
  <si>
    <t>FOUNDER COMMENTS 2026-08-26</t>
  </si>
  <si>
    <t>The founder's 20 threaded comments and 7 typed answers on his 2026-08-26 copy (…calculation-master_v01-jj.xlsx) were carried into THIS file on 2026-09-08, each on the metric row and the function row it concerns: the comment in the column 'Founder comment — 2026-08-26' and the checked answer beside it; his typed answers verbatim in 'YOUR ANSWER' (networth rows MK-NW-M-030, -031, -043, -044, -045); new questions for him Q34–Q45 in 'Questions for you'; findings JJ-1 to JJ-4 (wrong numbers found from his comments) in 'Where each finding stands'. Rule: founder comments are never kept in a separate file — they are folded into the master so there is one latest version of everything.</t>
  </si>
  <si>
    <t>STATUTORY TABLE 2026 — federal income tax bands</t>
  </si>
  <si>
    <t>Top of each band (single · married filing jointly · married filing separately · head of household), marginal rate in that band:
10%: $12,400 · $24,800 · $12,400 · $17,700
12%: $50,400 · $100,800 · $50,400 · $67,450
22%: $105,700 · $211,400 · $105,700 · $105,700
24%: $201,775 · $403,550 · $201,775 · $201,775
32%: $256,225 · $512,450 · $256,225 · $256,225
35%: $640,600 · $768,700 · $384,350 · $640,600
37%: above the 35% top.
Source: IRS Rev. Proc. 2025-32 §4.01 (tax year 2026); married filing separately = half the joint figures by statute (IRC §1). Checked 2026-09-08 (second verification G23); in code as TAX_TABLES; typed into statutory_constants.test.ts by hand. Re-check when the year rolls.</t>
  </si>
  <si>
    <t>STATUTORY TABLE 2026 — standard deduction and age-65 add-on</t>
  </si>
  <si>
    <t>Standard deduction: $16,100 single · $32,200 married filing jointly · $16,100 married filing separately · $24,150 head of household. Add-on per person 65 or older: $2,050 single / head of household · $1,650 married (each). Source: IRS Rev. Proc. 2025-32 §3.18. In code as TAX_TABLES.deduction / over65Add (MK-CF-F-099).</t>
  </si>
  <si>
    <t>STATUTORY TABLE 2025–2028 — senior deduction</t>
  </si>
  <si>
    <t>$6,000 per qualifying individual aged 65 or older, on top of the standard deduction and the add-on; reduced by 6% of modified adjusted gross income above $75,000 ($150,000 on a joint return); married persons must file jointly to claim it. Tax years 2025 through 2028 — lapses after. Source: One Big Beautiful Bill Act, P.L. 119-21 §70103 (IRC §151(d)(5)). Added 2026-09-08 on the founder's ruling (second verification G3) — MK-CF-F-187.</t>
  </si>
  <si>
    <t>STATUTORY TABLE 2026 — long-term capital gains bands</t>
  </si>
  <si>
    <t>Taxable income up to which the rate is 0%, then 15% up to, then 20% above: single $49,450 / $545,500 · married filing jointly $98,900 / $613,700 · married filing separately $49,450 / $306,850 · head of household $66,200 / $579,600. Source: IRS Rev. Proc. 2025-32 §3.03. In code as LTCG (MK-CF-F-104).</t>
  </si>
  <si>
    <t>SECOND VERIFICATION — WHERE EACH RULING STANDS (2026-09-08)</t>
  </si>
  <si>
    <t>Founder rulings of 2026-09-08 on the assessment (…assessment_second-verification_v01-jj.xlsx), executed file-and-code, one at a time:
G3 senior deduction — DONE (MK-CF-F-187 new, MK-CF-F-099/100; statutory test; MK-MN-M-027/028). File and code are both updated and they match 100%.
G6 draw-order rates — DONE (MK-PL-F-010 takes the person's own rates; MK-PL-F-081 new gain share; no-data state; rates printed on the sheet).
G8 required-withdrawal basis — DONE (MK-PL-F-080 new; MK-XS-I-061 new input; the screen's message in the founder's words; Plan hub uses the same producer).
G10 HSA and Medicare — DONE (MK-CF-F-055; MK-XS-I-062 new input; the card asks the question at 65+ because no other page captured it).
G13 paycheck guaranteed line — DONE, and it was code too: the future-paycheck card summed the six-source function beside its own savings draw (a double count); now MK-CF-F-076 (four outside sources).
G14 future paycheck row — DONE (file: the three real producers and the draw rule; the screen was right).
G16 legacy-target words — DONE (file: MK-PL-M-008 words now match MK-PL-F-067 and brief Q-41 (2026-08-20)).
G17 simulations — DONE (1,000 everywhere; guard test simulation_paths.test.ts).
G18 period return — DONE (file: value-weighted formula; header rounding line).
G19 debt payment rule — DONE (file: the one rule in both columns).
G20 yield to maturity — DONE (file: the approximation in both columns; 'value' answered).
G21 essentials — DONE on Q47 (MK-CF-F-189 logged average over the months logged, MK-CF-F-190 the one figure with the typed fallback; Net worth cushion, Job safety, Stress test, Insights runway all divide by it and print 'N month average'). One assumption for the founder: the unfinished current month is left out.
G22 organizer taxable income — DONE on Q46 (MK-PL-F-082 four steps, MK-CF-F-188 household 401(k); screen + export show gross income · 401(k) contribution · standard deduction · taxable income). JJ-5 opened: the income grid may take off only the first earner's 401(k) — to verify.
G23 bracket functions — DONE (headers and rows written by hand; the four statutory tables above; the extractor's loop gap still open as a generator fix).
Found while running the gate: TZ-1 — the look-back window (MK-PF-F-022) built its cutoff date through UTC and answered 'nothing' on any device east of Greenwich; fixed to a local calendar date. One screen test pinned a US-local date label; made timezone-independent.
— second batch, ruled 2026-09-08 (18:57) —
G25 statement-amount inputs — DONE (MK-PL-M-017/019 cite MK-XS-I-020 and I-021).
G26 dependency column — DONE (generated from the function registry; guard on retired identifiers).
G27 figures that name a function — DONE (from the screen tabs' Function ID column).
G28 inputs' reach + reconciliation — MECHANISM DONE, FILE NOT RECONCILED (corrected 2026-09-09 after the founder's challenge): the tab now compares by identifier on all 62 inputs, and it shows 59 of 62 disagree. Calling that 'done' was wrong — the check was rebuilt, the agreement was not reached. What closes it: each figure's own input list (column J) still comes from the old inventory; the new column 'Inputs the code reads (from the chain, this build)' beside it shows the code's record, so the 59 can be ruled row by row.
G29 Specification counts + MK-NW-M-006 — DONE (counts read off the file; the section total has its formula).
G30 inflation default — DONE (MK-PL-F-083; 2.5% a year, BLS CPI-U 1996–2025, dated; the feed no longer feeds a calculation).
G32 invented zero — EXPLAINED, waiting on Q48 (on MK-XS-M-001).
G33 units derived by rule — DONE as ruled (S04/S06/S07 say PARTIAL; reading units from the function is open work).
G34 canon words — DONE (master words, three screen labels, build guard).
G35 four mis-rendered functions — DONE (written by hand; caps declared).
G37 floats vs decimals — EXPLAINED, waiting on Q49 (on MK-XS-M-001).
C2 odds row words — DONE. C4 round2 — DONE (two decimals; reclassified).
MECHANISM (so this survives every build): hand-read cells live in moneykeel_overrides.json; hand-read formulas and assumptions in moneykeel_code_formula.py; his own columns are read back by moneykeel_keep.py; the build regenerates everything else from the code.</t>
  </si>
  <si>
    <t>FOUNDER FILES FOLDED IN (2026-09-10)</t>
  </si>
  <si>
    <t>Three of his files from August were read again and written into the file on 2026-09-10, then moved to JJ-feedback-archive: (1) Calculations-jj.xlsx (2026-08-26) — his per-asset-class capture lists, now the capture-list tab, every item mapped to an input, a function, or NOT CAPTURED with the question that decides it; (2) cashflow-thismonth+expenses-screen-jj.xlsx (2026-08-27) — his worked example, now on MK-CF-M-002/004/015/019 with one question back (master Q50); (3) NW-sankey-diagram-jj.jpeg (2026-08-26) — his net-worth flow picture, recorded on the rulings tab ('Net-worth flow diagram'): the category split and the math line are built, a per-figure provenance badge and the foreign-currency conversion are not (Q43). Also jj/onboarding screens-build53.xlsx — 3 of 4 headline phrases in the code; the remaining notes to confirm line by line. Completed 2026-09-12: all twelve notes checked against the code and the file archived; two questions for you stand on the rulings tab, row "Onboarding notes, build 53".</t>
  </si>
  <si>
    <t>JJ FEEDBACK — where his files live</t>
  </si>
  <si>
    <t>His feedback files carry -jj (or sit in a jj/ folder) and are never written by a script. Once every comment in one has been read and written into the original file, the feedback file moves to that folder's JJ-feedback-archive/ with a date prefix — so he always starts from the latest original, and the original and his feedback copy stay consistent (founder, 2026-09-10).</t>
  </si>
  <si>
    <t>No.</t>
  </si>
  <si>
    <t>What is needed</t>
  </si>
  <si>
    <t>Why it is needed</t>
  </si>
  <si>
    <t>Where it stands in this file today</t>
  </si>
  <si>
    <t>SECTION — WHAT THE NUMBER IS</t>
  </si>
  <si>
    <t>S01</t>
  </si>
  <si>
    <t>The formula</t>
  </si>
  <si>
    <t>The actual rules, both as arithmetic and in plain English, followable by hand.</t>
  </si>
  <si>
    <t>COMPLETE — 181 of 181 active figures carry both forms.</t>
  </si>
  <si>
    <t>S02</t>
  </si>
  <si>
    <t>The inputs, one by one</t>
  </si>
  <si>
    <t>Every input named, with its INPUT IDENTIFIER beside it, where it comes from, and what reads it.</t>
  </si>
  <si>
    <t>PARTIAL — the inputs tab was rebuilt against the CODE on 2026-08-26: 60 rows (12 of them raw values nobody had captured before), each naming the field the code stores it under and every function that touches it. 50 of 60 name at least one function; 2 name none at all; 43 reach a figure. The function columns are gone. Still partial on the figures side, which waits on S21.</t>
  </si>
  <si>
    <t>S03</t>
  </si>
  <si>
    <t>The decisions and assumptions applied</t>
  </si>
  <si>
    <t>Each marked with whose decision it was: the founder's, the person's, or built in.</t>
  </si>
  <si>
    <t>PARTIAL — every row carries a cell; 37 name a real decision, 126 read NOT DETERMINED.</t>
  </si>
  <si>
    <t>S04</t>
  </si>
  <si>
    <t>What comes out</t>
  </si>
  <si>
    <t>Dollars, a percentage, a date, a count; its unit and its rounding.</t>
  </si>
  <si>
    <t>PARTIAL — the unit is derived by rule from the label and formula on every figure and marked as derived; it is NOT read from the function that produces it (G33, 2026-09-08). Read as a hint, not a fact.</t>
  </si>
  <si>
    <t>S05</t>
  </si>
  <si>
    <t>What it says when it cannot be computed</t>
  </si>
  <si>
    <t>The exact refusal — where wrong numbers get invented.</t>
  </si>
  <si>
    <t>PARTIAL — 126 of 163 written; 37 read NOT DETERMINED because that function has not been read for its refusal yet.</t>
  </si>
  <si>
    <t>S06</t>
  </si>
  <si>
    <t>The grain</t>
  </si>
  <si>
    <t>One figure per holding, account, debt, goal, category, month or person.</t>
  </si>
  <si>
    <t>PARTIAL — derived by rule on every figure and marked as derived; not read from the function (G33).</t>
  </si>
  <si>
    <t>S07</t>
  </si>
  <si>
    <t>The period</t>
  </si>
  <si>
    <t>SECTION — WHAT PROVES IT</t>
  </si>
  <si>
    <t>S08</t>
  </si>
  <si>
    <t>Worked examples</t>
  </si>
  <si>
    <t>These inputs give this answer. Rung 2 re-runs them through the real function on every build.</t>
  </si>
  <si>
    <t>NOT STARTED — waits on the founder's answers to the numbered questions, since an example needs the rule settled first.</t>
  </si>
  <si>
    <t>S09</t>
  </si>
  <si>
    <t>An example for every case</t>
  </si>
  <si>
    <t>One per case the grid names: missing, degraded, per institution, time-bounded, related events, account type. Rung 3.</t>
  </si>
  <si>
    <t>NOT STARTED — the biggest single piece of work, and it belongs in the per-family detail files rather than here.</t>
  </si>
  <si>
    <t>S10</t>
  </si>
  <si>
    <t>Verification level</t>
  </si>
  <si>
    <t>Which functions are marked for rung 4 and rung 5. Marked by the founder, recommended by me.</t>
  </si>
  <si>
    <t>NOT STARTED — the column does not exist yet.</t>
  </si>
  <si>
    <t>SECTION — WHAT CONNECTS IT</t>
  </si>
  <si>
    <t>S11</t>
  </si>
  <si>
    <t>Which functions a figure depends on</t>
  </si>
  <si>
    <t>Each dependency named by ITS function identifier and by the output it gives, so a chain can be followed without knowing any function by name. Every figure also carries the whole chain and every assumption made anywhere in it.</t>
  </si>
  <si>
    <t>COMPLETE — read from the code itself, not from any document.</t>
  </si>
  <si>
    <t>S12</t>
  </si>
  <si>
    <t>Where it is implemented</t>
  </si>
  <si>
    <t>The file and line that carry it, so file and code can be checked against each other on every build.</t>
  </si>
  <si>
    <t>COMPLETE for functions — file and line for all 631, read from the code on this build. PARTIAL for figures: 48 of 181 active figures name no function.</t>
  </si>
  <si>
    <t>SECTION — GOVERNANCE</t>
  </si>
  <si>
    <t>S13</t>
  </si>
  <si>
    <t>The founder's verdict</t>
  </si>
  <si>
    <t>A row counts as documented only when he has approved it.</t>
  </si>
  <si>
    <t>BUILT 2026-09-09 as the rulings tab (from moneykeel_rulings.json): 155 rulings — CODED 10 · RULED 44 · TESTED 101. VERIFIED is his stage alone; the approval columns on the screen tabs (YOUR ANSWER, Inputs — approved list) are where a row gets his verdict.</t>
  </si>
  <si>
    <t>S14</t>
  </si>
  <si>
    <t>Lifecycle</t>
  </si>
  <si>
    <t>Live, cut, or superseded by another identifier.</t>
  </si>
  <si>
    <t>NOT STARTED.</t>
  </si>
  <si>
    <t>SECTION — NOT ON THE ORIGINAL LIST, STILL NEEDED</t>
  </si>
  <si>
    <t>S15</t>
  </si>
  <si>
    <t>Your name for it, from the 72-metric file</t>
  </si>
  <si>
    <t>The bridge between the founder's vocabulary and the code's.</t>
  </si>
  <si>
    <t>NOT STARTED — 0 of 163 rows.</t>
  </si>
  <si>
    <t>S18</t>
  </si>
  <si>
    <t>The reconciliation function</t>
  </si>
  <si>
    <t>Both records kept independently and checked against each other as a build gate — an input an function names that is on no row, an input declared that no function names, an function identifier that does not exist, an function no metric reaches. Founder, 2026-08-25: never generate one list from the other; agreement by construction hides the orphan.</t>
  </si>
  <si>
    <t>COMPLETE — moneykeel_reconcile.py runs at the end of every build and STOPS it on a structural break: a duplicate identifier, a reference to an function or input that does not exist, a fold pointing nowhere, a question number used twice. Findings that are real but unresolved — orphan and dead inputs — are counted every build rather than failing it, and must reach zero before the module is called done. Today: 0 breaks, 9 open findings.</t>
  </si>
  <si>
    <t>S19</t>
  </si>
  <si>
    <t>Duplicate calculations in the CODE</t>
  </si>
  <si>
    <t>S16 compared the figures on screens, so it could only see functions a figure names. Two functions in different files computing the same thing, named by no figure, are invisible to it — alternativesSummary and alternativesTotal both total the same holdings. A second pass is needed over the 455 functions themselves.</t>
  </si>
  <si>
    <t>S20</t>
  </si>
  <si>
    <t>Figures with no function on record</t>
  </si>
  <si>
    <t>Sixty-nine of the 163 figures name no function in the code. Most were names I assigned while reading a screen, which never had a function behind them. Until each is pointed at a real function, that figure cannot be traced, tested or trusted.</t>
  </si>
  <si>
    <t>OPEN — 48 of 181 active figures name no function; counted per screen on the functions_per_metric tab.</t>
  </si>
  <si>
    <t>S21</t>
  </si>
  <si>
    <t>The identifier inside the code</t>
  </si>
  <si>
    <t>Every link between this file and the code still travels through a column somebody typed in the old inventory. The identifier standard says it belongs in a header inside each code file; until it does, a real function can look undocumented and a stale line can look correct.</t>
  </si>
  <si>
    <t>PARTIAL — every function carries its identifier in a header inside its own file, written by the build (write-headers.py) and checked by its guard. The link from a FIGURE to its function still travels through the inventory map (moneykeel_fn_map.json), not through the screen code.</t>
  </si>
  <si>
    <t>S16</t>
  </si>
  <si>
    <t>The duplication pass</t>
  </si>
  <si>
    <t>Figures that are the same thing under two identifiers.</t>
  </si>
  <si>
    <t>COMPLETE — every group judged one at a time. 11 figures were being shown under 24 identifiers; the 13 folded rows now name the identifier that survives and why. 18 groups were checked and are NOT duplicates — one function legitimately producing several figures — and say so, so the question is not asked twice. Two mis-assigned functions were found and recorded as findings.</t>
  </si>
  <si>
    <t>S24</t>
  </si>
  <si>
    <t>The formula audit — figure against function</t>
  </si>
  <si>
    <t>A figure and the function that produces it must state the same rule. If they do not, one of the two is wrong and nobody knows which, which is exactly the case the objectives standard says work must stop on.</t>
  </si>
  <si>
    <t>OPEN — 94 of the 163 figures name a function and were compared; the other 69 name none and could not be. 51 rows carry a finding: 15 CLASH (the file states a rule the code does not implement), 5 MISNAMED (the formula and the function are about different things), 4 ONE FORMULA (figures that are not the same figure sharing one). 43 rows agree. Every finding was checked against the code file and line, not against the two cells alone.</t>
  </si>
  <si>
    <t>S23</t>
  </si>
  <si>
    <t>The formula on every function</t>
  </si>
  <si>
    <t>A figure can only be checked if the rule behind it can be read. The 163 figures carried a formula; the 455 functions underneath them did not, so there was no way to see HOW a number was worked out.</t>
  </si>
  <si>
    <t>PARTIAL — all 631 functions carry both forms on this build: 23 no arithmetic · 3 not read · 310 partly read · 90 read by hand 2026-08-26 · 205 read from the code.</t>
  </si>
  <si>
    <t>S22</t>
  </si>
  <si>
    <t>The 2026-08-25 audit</t>
  </si>
  <si>
    <t>The last 48 hours of work read back against the three standards, so that what is wrong is on record before more is built on top of it.</t>
  </si>
  <si>
    <t>OPEN — 51 findings, A01 to A51. The ones that land on a figure are in the last column of each screen tab; the ones that belong to the whole file are at the bottom of the Reference tab. A06, A07, A08 and A09 say that the status lines of S01, S02, S20 and S12 above do not match what the file holds — those four are left as they were written rather than quietly re-graded, because changing a status is the founder's call.</t>
  </si>
  <si>
    <t>S17</t>
  </si>
  <si>
    <t>Which screens are the 55-70 core</t>
  </si>
  <si>
    <t>The agreed first scope has never been written down.</t>
  </si>
  <si>
    <t>READY FOR THE FOUNDER — the core_screens tab lists all 49 screens with my recommendation (39 in, 5 out, 5 borderline) and a column for his decision.</t>
  </si>
  <si>
    <t>Ruling</t>
  </si>
  <si>
    <t>Date ruled</t>
  </si>
  <si>
    <t>Where he said it</t>
  </si>
  <si>
    <t>His ruling, in his words</t>
  </si>
  <si>
    <t>Rows and functions it touches</t>
  </si>
  <si>
    <t>STATUS — RULED · CODED · TESTED · VERIFIED</t>
  </si>
  <si>
    <t>What was changed (code and file)</t>
  </si>
  <si>
    <t>Proof — the test that fails if it comes back</t>
  </si>
  <si>
    <t>Date coded</t>
  </si>
  <si>
    <t>Verified by the founder — date and how</t>
  </si>
  <si>
    <t>Notes</t>
  </si>
  <si>
    <t>Four stages, never skipped: RULED — his words recorded, nothing built · CODED — code and file both carry it and agree (the last stage for a file-only ruling) · TESTED — a named test pins it · VERIFIED — he confirmed it, on the device or by approving the row. A ruling that is RULED but not CODED is a promise; CODED but not TESTED is a claim.</t>
  </si>
  <si>
    <t>G3</t>
  </si>
  <si>
    <t>2026-09-08</t>
  </si>
  <si>
    <t>his -jj copy of the second-verification assessment (column I)</t>
  </si>
  <si>
    <t>agree — add the $6,000 senior deduction (65+, 2025–2028)</t>
  </si>
  <si>
    <t>MK-MN-M-027 · MK-MN-M-028 · every tax figure through MK-CF-F-099</t>
  </si>
  <si>
    <t>TESTED</t>
  </si>
  <si>
    <t>MK-CF-F-187 seniorDeductionFor (new) · MK-CF-F-099 deductionFor · MK-CF-F-100 taxableIncomeFor</t>
  </si>
  <si>
    <t>src/__tests__/statutory_constants.test.ts (published figures + worked examples: 66-year-old single on $60,000 → $4,054)</t>
  </si>
  <si>
    <t>G6</t>
  </si>
  <si>
    <t>agree — no built-in tax rates on the draw-order comparison; the person's own rates, or no number with the reason</t>
  </si>
  <si>
    <t>the draw-order steer sheet (no metric row yet — S21)</t>
  </si>
  <si>
    <t>MK-PL-F-010 drawOrderOutcome · MK-PL-F-081 taxableGainShare (new) · DrawSteerSheet</t>
  </si>
  <si>
    <t>src/screens/__tests__/draw_steer_fcc.test.tsx</t>
  </si>
  <si>
    <t>G8</t>
  </si>
  <si>
    <t>revise the message: 'Based on today's balance. Provide last Dec 31st balance …'</t>
  </si>
  <si>
    <t>MK-PL-M-013 · MK-PL-M-015</t>
  </si>
  <si>
    <t>MK-PL-F-080 rmdRequiredThisYear (new) · MK-XS-I-061 (new input) · RequiredWithdrawalsScreen · Plan hub</t>
  </si>
  <si>
    <t>src/domain/decumulation/decumulation.test.ts · src/screens/__tests__/plan_fcc.test.tsx</t>
  </si>
  <si>
    <t>G10</t>
  </si>
  <si>
    <t>show the HSA limit at 65+ only with 'If you are not enrolled in Medicare …' and a place to update it</t>
  </si>
  <si>
    <t>MK-MN-M-003 · MK-MN-M-004 · MK-MN-M-005</t>
  </si>
  <si>
    <t>MK-CF-F-055 annualHsaLimit · MK-XS-I-062 (new input) · ContributionRoomScreen</t>
  </si>
  <si>
    <t>src/domain/income/limits.test.ts · src/screens/__tests__/contribution_room_medicare.test.tsx</t>
  </si>
  <si>
    <t>He asked for a link to an existing page; none captures Medicare, so the question sits on the HSA card. Placement is his to confirm.</t>
  </si>
  <si>
    <t>G13</t>
  </si>
  <si>
    <t>ok — the paycheck's guaranteed line = the four outside sources</t>
  </si>
  <si>
    <t>MK-CF-M-023</t>
  </si>
  <si>
    <t>CashFlowScreen (future paycheck card) → MK-CF-F-076 guaranteedOutsideStreams</t>
  </si>
  <si>
    <t>src/screens/__tests__/cashflow_fcc.test.tsx</t>
  </si>
  <si>
    <t>Was code as well as file: the card summed the six-source function beside its own savings draw.</t>
  </si>
  <si>
    <t>G14</t>
  </si>
  <si>
    <t>question answered: yes, the row named the wrong function; the screen was right</t>
  </si>
  <si>
    <t>MK-CF-M-022</t>
  </si>
  <si>
    <t>file only — the row names MK-CF-F-107 · MK-CF-F-076 · MK-PL-F-050 and states the draw rule</t>
  </si>
  <si>
    <t>the formula-agreement gate · check-rulings-in-file.py (fails if the row loses this)</t>
  </si>
  <si>
    <t>File-only ruling: CODED is its last stage before your VERIFIED mark (objectives standard, "How a ruling is tracked"). TESTED 2026-09-12: the row's expected text is checked against the built file on every build.</t>
  </si>
  <si>
    <t>G16</t>
  </si>
  <si>
    <t>question answered: the legacy-target words on MK-PL-M-008; now match MK-PL-F-067 and brief Q-41 (2026-08-20)</t>
  </si>
  <si>
    <t>MK-PL-M-008</t>
  </si>
  <si>
    <t>file only</t>
  </si>
  <si>
    <t>G17</t>
  </si>
  <si>
    <t>1000 everywhere</t>
  </si>
  <si>
    <t>MK-XS-M-002 · MK-CF-M-022 · every surface that runs the odds</t>
  </si>
  <si>
    <t>MK-PL-F-050 simulate default · snapshot · paycheck · cockpit scenarios</t>
  </si>
  <si>
    <t>src/__tests__/simulation_paths.test.ts (fails on any other count)</t>
  </si>
  <si>
    <t>G18</t>
  </si>
  <si>
    <t>ok — the math column is the value-weighted average</t>
  </si>
  <si>
    <t>MK-XS-M-004</t>
  </si>
  <si>
    <t>file + MK-PF-F-019 header</t>
  </si>
  <si>
    <t>G19</t>
  </si>
  <si>
    <t>ok — one payment rule in both columns</t>
  </si>
  <si>
    <t>MK-NW-M-011</t>
  </si>
  <si>
    <t>G20</t>
  </si>
  <si>
    <t>question answered: 'value' = the bond's current value as entered; the approximation stated in both columns</t>
  </si>
  <si>
    <t>MK-NW-M-026</t>
  </si>
  <si>
    <t>file + MK-NW-F-060 header</t>
  </si>
  <si>
    <t>G21 / Q47</t>
  </si>
  <si>
    <t>his -jj copy of the second-verification assessment (column I) · chat 2026-09-08 (Q47)</t>
  </si>
  <si>
    <t>ok — one producer for essentials per brief Q-21 (2026-08-20); fewer than 12 months logged → the average for the logged months, labelled 'N month average'</t>
  </si>
  <si>
    <t>MK-NW-M-013 · MK-NW-M-014 · MK-MN-M-020 · MK-MN-M-021 · MK-MN-M-024 · MK-MN-M-025 · MK-MN-M-026</t>
  </si>
  <si>
    <t>MK-CF-F-189 essentialsFromLoggedSpending (new) · MK-CF-F-190 essentialsMonthly (new) · four screens · MK-CF-F-010 emergencyTest</t>
  </si>
  <si>
    <t>src/__tests__/g21_essentials.test.ts · src/screens/__tests__/g21_essentials_screens.test.tsx</t>
  </si>
  <si>
    <t>One assumption of mine awaits his word: the unfinished current month is left out unless it is the only month.</t>
  </si>
  <si>
    <t>G22 / Q46</t>
  </si>
  <si>
    <t>his -jj copy of the second-verification assessment (column I) · chat 2026-09-08 (Q46)</t>
  </si>
  <si>
    <t>the tax organizer shows gross income, 401(k) contribution, standard deduction and taxable income</t>
  </si>
  <si>
    <t>MK-MN-M-027 · MK-MN-M-028</t>
  </si>
  <si>
    <t>MK-PL-F-082 taxableIncomeSteps (new) · MK-CF-F-188 householdPreTaxContributionsAnnual (new) · TaxOrganizerScreen + export</t>
  </si>
  <si>
    <t>src/domain/planning/planning.test.ts · src/screens/__tests__/tax_organizer_q46.test.tsx</t>
  </si>
  <si>
    <t>JJ-5 opened: the income grid may take off only the first earner's 401(k) — to verify.</t>
  </si>
  <si>
    <t>G23</t>
  </si>
  <si>
    <t>ok — the bracket loops written by hand; the statutory tables in the file</t>
  </si>
  <si>
    <t>MK-CF-F-101 · MK-CF-F-103 · Reference tab</t>
  </si>
  <si>
    <t>hand-read formulas in moneykeel_code_formula.py; the extractor marks any loop it cannot render</t>
  </si>
  <si>
    <t>the header guard + the formula-agreement gate · check-rulings-in-file.py (fails if the row loses this)</t>
  </si>
  <si>
    <t>G25</t>
  </si>
  <si>
    <t>ok — the statement amount cites MK-XS-I-020 (and I-021 for the claim age)</t>
  </si>
  <si>
    <t>MK-PL-M-017 · MK-PL-M-019</t>
  </si>
  <si>
    <t>2026-09-09</t>
  </si>
  <si>
    <t>G26</t>
  </si>
  <si>
    <t>ok — the dependency column from the live function registry; a check that no row cites a retired identifier</t>
  </si>
  <si>
    <t>every active figure</t>
  </si>
  <si>
    <t>the builder (dep_from_functions) + a build guard</t>
  </si>
  <si>
    <t>the build stops on a retired identifier · check-rulings-in-file.py (fails if the row loses this)</t>
  </si>
  <si>
    <t>G27</t>
  </si>
  <si>
    <t>ok — 'Figures that name it' from the screen tabs' Function ID column</t>
  </si>
  <si>
    <t>every function row</t>
  </si>
  <si>
    <t>the builder</t>
  </si>
  <si>
    <t>the build · check-rulings-in-file.py (fails if the row loses this)</t>
  </si>
  <si>
    <t>G28</t>
  </si>
  <si>
    <t>his -jj copy of the second-verification assessment (column I) · chat 2026-09-09 (the hybrid approach)</t>
  </si>
  <si>
    <t>ok — inputs' reach and the reconciliation by identifier, all inputs; then: the code's record beside each row's claim, he approves rows in batches, the gate compares approved against the code</t>
  </si>
  <si>
    <t>every active figure (150) · 62 inputs</t>
  </si>
  <si>
    <t>CODED — awaiting his approval of rows</t>
  </si>
  <si>
    <t>the sweep (field names, run-time keys, callbacks) · the builder (code record, approval column, reporting gate)</t>
  </si>
  <si>
    <t>the build reports approved-vs-code differences; becomes build-stopping once the record is trusted</t>
  </si>
  <si>
    <t>I called this DONE on 2026-09-08 when only the check had been rebuilt — corrected 2026-09-09. Batch 1 (10 rows) awaits his ruling.</t>
  </si>
  <si>
    <t>G29</t>
  </si>
  <si>
    <t>ok — Specification counts from the build; MK-NW-M-006 carries its formula</t>
  </si>
  <si>
    <t>Specification · MK-NW-M-006</t>
  </si>
  <si>
    <t>the builder + moneykeel_formulas.py</t>
  </si>
  <si>
    <t>G30</t>
  </si>
  <si>
    <t>ok — brief Q-50 (2026-08-20): inflation defaults to the dated 30-year average, adjustable; no feed</t>
  </si>
  <si>
    <t>MK-XS-I-029 · the odds, the snapshot, the cockpit</t>
  </si>
  <si>
    <t>MK-PL-F-083 inflationRateInForce (new) · willItLast · snapshot · RetirementCockpit</t>
  </si>
  <si>
    <t>src/__tests__/inflation_default.test.ts</t>
  </si>
  <si>
    <t>G32 / Q48</t>
  </si>
  <si>
    <t>chat</t>
  </si>
  <si>
    <t>the screen shows $0 with a sentence explaining nothing is entered, and the door; the sentence approved; one mock of the pattern on one screen</t>
  </si>
  <si>
    <t>49 figures on 17 screens + 21 rows with the false division text</t>
  </si>
  <si>
    <t>Mock approved 2026-09-12 (moneykeel_pres_mock_empty-state-pattern_v01.html). One component, EmptyNote (src/components/UI.tsx): '$0' stays, then 'Nothing entered yet.' and the door; one wording per thing in EMPTY_DOORS (src/constants/doors.ts). Built on 46 of the 58 rows: Net worth (hero, Cash, Investments, Debts, the identity line) · Home (investments, the Income cell) · Cash flow (sources, received, the month card, the categories, the this-month inflow and outflow rows, the planned rows, the big-ticket radar) · Performance (day one) · Plan (the paycheck lines) · Roth (from your pre-tax) · Big costs · Goals (the non-monthly budget) · Income summary (both bands, $0 never a dash) · Other investments · Stress test (cash, essentials) · Bonds. A real zero that was entered shows a plain $0 (an account at $0 gets no line). The 58 file cells say what the mock says.</t>
  </si>
  <si>
    <t>src/screens/__tests__/empty_state_q48.test.tsx (the mock's screen, frame 1 and frame 2) · empty_state_q48_screens.test.tsx (the other screens)</t>
  </si>
  <si>
    <t>2026-09-12</t>
  </si>
  <si>
    <t>Not applicable (4 of 58): MK-NW-M-031/032/033/034 — a holding page exists only once a holding was entered, so its $0 means sold, and the screen says so. Not built (8 of 58): MK-NW-M-019/020/021 (Account detail — the classes and income inside one account), MK-CF-M-004 (a past month that predates tracking keeps its own sentence), MK-CF-M-021 (a goal row appears only when a goal is committed), MK-PL-M-023 (the Roth 'Extra tax' row reads '—' until a plan is adopted), MK-MN-M-021 (Job safety asks for the figure in place). Open question: 'Debts' cannot tell an entered none from nothing entered — no 'I have no debts' answer exists; add one (a new input) or accept the line?</t>
  </si>
  <si>
    <t>G33</t>
  </si>
  <si>
    <t>ok — units derived by rule say so; S04/S06/S07 read PARTIAL</t>
  </si>
  <si>
    <t>Specification · every figure's unit column</t>
  </si>
  <si>
    <t>Reading units from the function's return is open work. TESTED 2026-09-12: the row's expected text is checked against the built file on every build.</t>
  </si>
  <si>
    <t>G34</t>
  </si>
  <si>
    <t>ok — one word per concept in the master's words; the screen labels to match; a build check</t>
  </si>
  <si>
    <t>the master's words columns · 'Take-home / month' · 'TAKE-HOME / YEAR' · '(calculated)' · 'check'</t>
  </si>
  <si>
    <t>the builder's canon + BANNED guard · moneykeel_formulas.py · three screens</t>
  </si>
  <si>
    <t>src/__tests__/one_term_per_concept.test.ts + the build guard</t>
  </si>
  <si>
    <t>G35</t>
  </si>
  <si>
    <t>explained and fixed in the file: the four mis-rendered functions written by hand; caps declared</t>
  </si>
  <si>
    <t>MK-CF-F-057 · MK-CF-F-097 · MK-CF-F-087 · MK-CF-F-101</t>
  </si>
  <si>
    <t>hand-read formulas + assumptions in moneykeel_code_formula.py</t>
  </si>
  <si>
    <t>G37 / Q49</t>
  </si>
  <si>
    <t>full precision for calculation; display two decimals unless stated (whole dollars for totals, balances, projections; eight for coin quantities); fix the code in one pass</t>
  </si>
  <si>
    <t>every calculation (307 + 10 rounding sites) · Reference standing decision · the display formatters</t>
  </si>
  <si>
    <t>34 calculation files · useMoney.ts (maskedPrice, coinQuantity) · HoldingDetailScreen · the standard moneykeel_calc_spec_precision-and-display_v01.md</t>
  </si>
  <si>
    <t>src/__tests__/precision_guard.test.ts · golden.test.ts and 12 other suites re-pinned to the cent</t>
  </si>
  <si>
    <t>C2</t>
  </si>
  <si>
    <t>ok — the odds row's words: no band, 1,000 futures, nearest 5</t>
  </si>
  <si>
    <t>MK-XS-M-002</t>
  </si>
  <si>
    <t>File-only ruling: CODED is its last stage before your VERIFIED mark (objectives standard, "How a ruling is tracked"). TESTED 2026-09-12: the row's expected text is checked against the built file on every build. SUPERSEDED IN PART 2026-09-14: the nearest-5 rounding is replaced by "Odds — exact, no rounding"; the 1,000 futures and the removed band stand.</t>
  </si>
  <si>
    <t>C4</t>
  </si>
  <si>
    <t>ok — round2 is two decimals; reclassified</t>
  </si>
  <si>
    <t>MK-ST-F-055 and every chain that reaches it</t>
  </si>
  <si>
    <t>CODED</t>
  </si>
  <si>
    <t>the extractor (rounding idioms) + CATEGORY_OVERRIDES</t>
  </si>
  <si>
    <t>the header guard</t>
  </si>
  <si>
    <t>After Q49 the function is called by no calculation; it serves the display layer.</t>
  </si>
  <si>
    <t>Synonym cluster #1</t>
  </si>
  <si>
    <t>2026-09-03</t>
  </si>
  <si>
    <t>moneykeel_audit_decisions_synonym-clusters_v01-jj.xlsx</t>
  </si>
  <si>
    <t>the money left after everything out → Surplus</t>
  </si>
  <si>
    <t>app copy, every screen carrying the concept</t>
  </si>
  <si>
    <t>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t>
  </si>
  <si>
    <t>src/__tests__/one_term_per_concept.test.ts (reads the canon table, row 1) + the repinned screen tests</t>
  </si>
  <si>
    <t>2026-09-11</t>
  </si>
  <si>
    <t>Synonym cluster #2</t>
  </si>
  <si>
    <t>the retirement success percentage → odds, explained as 'In 78 out of 100 simulated futures, your money lasts to age 90'</t>
  </si>
  <si>
    <t>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t>
  </si>
  <si>
    <t>src/__tests__/one_term_per_concept.test.ts (reads the canon table, row 2) + the repinned screen tests</t>
  </si>
  <si>
    <t>Synonym cluster #3</t>
  </si>
  <si>
    <t>money going out in a month → Expenses (planned / actual / recurring by context); 'Outflow (expenses + debt)' for money leaving; evaluate context, never replace blindly · his answer 2026-09-12: replace with expenses in prose too. Again keep in mind context per my prior response</t>
  </si>
  <si>
    <t>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OPEN FOR YOU: the word 'spending' in running prose — 173 places (e.g. 'Monthly expenses in retirement', 'Stay on top of income and spending', 'GET YOUR EXPENSES IN', 'your logged spending'). Replace with 'expenses' in prose too, or only where it is a label? Say the rule and I list them row by row.</t>
  </si>
  <si>
    <t>src/__tests__/one_term_per_concept.test.ts (reads the canon table, row 3) + the repinned screen tests</t>
  </si>
  <si>
    <t>Your answer 2026-09-12 applied the same day: 'spending' → 'expenses' in every copy string, screen text and comment (191 places, 55 files), verbs kept ('spend down', 'before you spend anything'); grammar fixed where the swap needed it ('What are your average monthly expenses?', 'expenses use your planned amounts', 'your expenses are more than you keep'). Retired in the canon table: expenses, Expenses, EXPENSES.</t>
  </si>
  <si>
    <t>Synonym cluster #4</t>
  </si>
  <si>
    <t>a figure the person gave us → 'you entered'</t>
  </si>
  <si>
    <t>Applied — you told us / you entered / set by you / you typed / captured → you entered ('No guaranteed income entered yet', Roth tax-rate spoken label, Filing status 'On the $X you entered', account-income 'the accounts you entered'); comments too.</t>
  </si>
  <si>
    <t>src/__tests__/one_term_per_concept.test.ts (reads the canon table, row 4) + the repinned screen tests</t>
  </si>
  <si>
    <t>Synonym cluster #5</t>
  </si>
  <si>
    <t>money arriving in a month → take-home; 'Base salary (take-home)', 'Income (take-home)'; cash flow always 'Inflow (income (take-home) + rent)' / Outflow</t>
  </si>
  <si>
    <t>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t>
  </si>
  <si>
    <t>src/__tests__/one_term_per_concept.test.ts (reads the canon table, row 5) + the repinned screen tests</t>
  </si>
  <si>
    <t>Synonym cluster #6</t>
  </si>
  <si>
    <t>cash saved for emergencies → Emergency fund</t>
  </si>
  <si>
    <t>Applied — cushion → emergency fund everywhere, including the rewards badge and the Net-worth spoken label.</t>
  </si>
  <si>
    <t>src/__tests__/one_term_per_concept.test.ts (reads the canon table, row 6) + the repinned screen tests</t>
  </si>
  <si>
    <t>Synonym cluster #7</t>
  </si>
  <si>
    <t>the per-category monthly plan → Budget; review context before replacing</t>
  </si>
  <si>
    <t>Applied in context — 'Your monthly plan' → 'Your budget'; 'your expense plan' → 'your expense budget'; 'Set limits' → 'Set your budget'; 'spending plan' → 'budget'; 'category limits' → 'Edit your budget — each category, with the live surplus math'.</t>
  </si>
  <si>
    <t>src/__tests__/one_term_per_concept.test.ts (reads the canon table, row 7) + the repinned screen tests</t>
  </si>
  <si>
    <t>Q06</t>
  </si>
  <si>
    <t>2026-08-26</t>
  </si>
  <si>
    <t>his -jj master (column W)</t>
  </si>
  <si>
    <t>options: value = contracts × 100 × price unless the broker or the person states otherwise</t>
  </si>
  <si>
    <t>MK-NW-M-030 · MK-XS-I-034</t>
  </si>
  <si>
    <t>src/domain/performance/index.ts — MK-PF-F-031 contractMultiplier: 100 for kind 'options' unless Position.multiplier (MK-XS-I-063) is set; applied in MK-PF-F-004 marketValue and MK-PF-F-002 costBasis so the gain scales with them</t>
  </si>
  <si>
    <t>src/domain/performance/q06_q09_contracts_and_units.test.ts</t>
  </si>
  <si>
    <t>Broker-itemised option_holdings keep the broker's own value (the broker 'states otherwise'). A person-typed multiplier on the holding editor: Q42.</t>
  </si>
  <si>
    <t>Q07</t>
  </si>
  <si>
    <t>crypto quantities to 8 decimals</t>
  </si>
  <si>
    <t>MK-NW-M-031</t>
  </si>
  <si>
    <t>display: coinQuantity (8 dp) on holding detail (2026-09-09, with Q49); storage precision unchanged (floats)</t>
  </si>
  <si>
    <t>precision_guard + holding detail tests</t>
  </si>
  <si>
    <t>Moved to TESTED 2026-09-12: precision_guard.test.ts and holding_detail_fcc.test.tsx already pin the 8-decimal display.</t>
  </si>
  <si>
    <t>Q08</t>
  </si>
  <si>
    <t>a foreign currency is cash held in that currency; no interest or dividend</t>
  </si>
  <si>
    <t>MK-NW-M-030</t>
  </si>
  <si>
    <t>src/domain/assets/index.ts — new kind 'foreign_currency' (Cash section, CASH bucket, return 0, class cash); income/from-accounts.ts skips it (no interest, not 'missing'); Net-worth cash picker offers it</t>
  </si>
  <si>
    <t>src/domain/assets/q08_foreign_currency.test.ts · selectors.test.ts</t>
  </si>
  <si>
    <t>Entered as what it is worth in dollars today — no exchange-rate feed exists (display currency: Q43).</t>
  </si>
  <si>
    <t>Q09</t>
  </si>
  <si>
    <t>always capture the unit beside a quantity</t>
  </si>
  <si>
    <t>src/domain/performance/index.ts — MK-PF-F-032 quantityUnit / MK-PF-F-033 quantityWithUnit; Position.unit (MK-XS-I-064); the Holding-detail Quantity row prints '3 shares', '0.50000000 coins', '2 contracts', '1 ounce'</t>
  </si>
  <si>
    <t>The unit the kind implies stands until a typed unit field is added to the holding editor.</t>
  </si>
  <si>
    <t>A15</t>
  </si>
  <si>
    <t>if round2 rounds to two decimals, fix the file</t>
  </si>
  <si>
    <t>MK-ST-F-055</t>
  </si>
  <si>
    <t>file/extractor (see C4)</t>
  </si>
  <si>
    <t>the header guard · check-rulings-in-file.py (fails if the row loses this)</t>
  </si>
  <si>
    <t>A46</t>
  </si>
  <si>
    <t>if the coupon rate is not available use 0</t>
  </si>
  <si>
    <t>MK-NW-F-063 · the paycheck income lines</t>
  </si>
  <si>
    <t>src/domain/bonds/index.ts MK-NW-F-063 interestIncomeAnnual + src/domain/income/from-accounts.ts MK-CF-F-184: no coupon rate → $0, the line reads 'no coupon rate entered — counted as $0 on $X until one is'; the 4.2% constant deleted in both</t>
  </si>
  <si>
    <t>src/domain/bonds/a46_a47_coupon_and_accrued.test.ts · bonds/income.test.ts · income/from-accounts.test.ts</t>
  </si>
  <si>
    <t>Strict reading: an assumed return (MK-XS-I-028) is not a coupon, so it no longer stands in for one. The 4.2% on the hysa / cd / fixed-income kinds is a benchmark return (Q44), untouched.</t>
  </si>
  <si>
    <t>A47</t>
  </si>
  <si>
    <t>subtract accrued interest when known; say so when not</t>
  </si>
  <si>
    <t>MK-NW-F-059 · MK-NW-M-044</t>
  </si>
  <si>
    <t>AssetAccount.accrued_interest (MK-XS-I-065) → BondInfo.accruedInterest; MK-NW-F-059 currentYield divides by price − accrued when known; MK-NW-F-070 accruedInterestCaveat: 'accrued interest not entered — the yield uses the price as you entered it'; Bonds screen: optional field + the caveat under the yield (MK-NW-M-044)</t>
  </si>
  <si>
    <t>src/domain/bonds/a46_a47_coupon_and_accrued.test.ts</t>
  </si>
  <si>
    <t>Applied to MK-NW-F-059 as ruled; MK-NW-F-060 approxYTM still uses the price as entered — say if it should follow.</t>
  </si>
  <si>
    <t>Bond display rule</t>
  </si>
  <si>
    <t>his -jj master (threaded comment on MK-NW-M-041/042/045)</t>
  </si>
  <si>
    <t>nine facts on a bond; value = current, else cost, else face; else 'need more information'</t>
  </si>
  <si>
    <t>MK-NW-M-041 · MK-NW-M-042 · MK-NW-M-045</t>
  </si>
  <si>
    <t>RULED</t>
  </si>
  <si>
    <t>not coded — five of the nine facts have no field; mock first</t>
  </si>
  <si>
    <t>—</t>
  </si>
  <si>
    <t>Three specifics to settle: Q38.</t>
  </si>
  <si>
    <t>TZ-1</t>
  </si>
  <si>
    <t>found while running the gate</t>
  </si>
  <si>
    <t>the look-back window must be a local calendar date</t>
  </si>
  <si>
    <t>MK-PF-F-022 factorOverMonths</t>
  </si>
  <si>
    <t>src/domain/performance/lookBack.ts</t>
  </si>
  <si>
    <t>Calculation Module code/probes/performance-portfolio.probe.test.ts (passes in every timezone)</t>
  </si>
  <si>
    <t>Synonym cluster #8</t>
  </si>
  <si>
    <t>2026-09-10</t>
  </si>
  <si>
    <t>moneykeel_audit_decisions_synonym-clusters_v02.xlsx (YOUR RULING)</t>
  </si>
  <si>
    <t>Gross should be before any deductions. For example Income before tax is not same as gross as Income Before Tax = Gross Income - 401K - any other deductions such as medical premium.</t>
  </si>
  <si>
    <t>Applied — 'Gross (before tax)' → 'Gross (before any deductions)'; the onboarding cash-flow toggle now reads Gross · Net · Take-home (was 'Available').</t>
  </si>
  <si>
    <t>src/__tests__/one_term_per_concept.test.ts (reads the canon table, row 8) + the repinned screen tests</t>
  </si>
  <si>
    <t>Synonym cluster #9</t>
  </si>
  <si>
    <t>Performance, and Net worth</t>
  </si>
  <si>
    <t>Applied — 'open Net Worth or Investments' → 'open Net worth or Performance'; 'from Portfolio' → 'from Performance'.</t>
  </si>
  <si>
    <t>src/__tests__/one_term_per_concept.test.ts (reads the canon table, row 9) + the repinned screen tests</t>
  </si>
  <si>
    <t>Synonym cluster #10</t>
  </si>
  <si>
    <t>debt and keep debt types. Explain in info dot Debt is amount you owe.</t>
  </si>
  <si>
    <t>Applied — 'WHAT YOU OWE' → 'DEBTS'; 'Amount you owe' / 'Still owed on it' → 'Debt balance'; info dot on the DEBTS band (Net worth): 'Debt is the amount you owe — the balance still to be paid on a mortgage, loan or card, not the monthly payment.' Debt types untouched.</t>
  </si>
  <si>
    <t>src/__tests__/one_term_per_concept.test.ts (reads the canon table, row 10) + the repinned screen tests</t>
  </si>
  <si>
    <t>Synonym cluster #11</t>
  </si>
  <si>
    <t>Stock/fund. Holding but do not just replace position with holding.  Notification, alert message should say - holding liquidated - all shares sold. · his answer 2026-09-12: "Sell all" for selling all bonds or "Sell" for partial sale.</t>
  </si>
  <si>
    <t>Applied — 'Position closed — all shares sold' → 'Holding liquidated — all shares sold'; 'Stocks &amp; funds' / 'Shares and funds' → 'Stocks / Funds'; 'position' NOT swept blindly (its 148 code uses are layout, not copy). OPEN FOR YOU: the Bonds sale sheet's button reads 'Close position' — keep, or 'Sell all'?</t>
  </si>
  <si>
    <t>src/__tests__/one_term_per_concept.test.ts (reads the canon table, row 11) + the repinned screen tests</t>
  </si>
  <si>
    <t>Your answer 2026-09-12 applied: the sale sheet on Bonds and Other investments — 'Sell all' when everything goes, 'Sell' for part; the sheet title '🔻 Sell'; the Account-detail door 'Buy more / Sell ›'; the confirm asks 'Sell all of this bond?' / 'Sell part of this bond?'. Retired: Close position, Record sale, Record a sale.</t>
  </si>
  <si>
    <t>Synonym cluster #12</t>
  </si>
  <si>
    <t>activity</t>
  </si>
  <si>
    <t>Applied — 'month’s transactions ›' → 'month’s activity ›'; 'Check your transactions.' → 'Check your activity.'; 'Records a Debt payment in Activity' → 'Adds a debt payment to Activity'; import sheet 'your transactions' → 'your bank activity'; spoken 'See that month’s activity on the Expenses tab'.</t>
  </si>
  <si>
    <t>src/__tests__/one_term_per_concept.test.ts (reads the canon table, row 12) + the repinned screen tests</t>
  </si>
  <si>
    <t>Synonym cluster #13</t>
  </si>
  <si>
    <t>one-time. Lump-sum does not always mean one-time. What's the intent behind "plan for the lump sum" before you change it to one-time? · his answer 2026-09-12: No monthly payment — the full balance is due on that date.</t>
  </si>
  <si>
    <t>Applied — one-off → one-time everywhere (Base-pay note: 'One-time events like a Roth conversion'). 'Lump sum' left as is, per your question. ANSWER FOR YOU: 'plan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</si>
  <si>
    <t>src/__tests__/one_term_per_concept.test.ts (reads the canon table, row 13) + the repinned screen tests</t>
  </si>
  <si>
    <t>Your answer 2026-09-12 applied: the Bill-calendar spoken label now reads 'No monthly payment — the full balance is due on that date.' Retired: plan for the lump sum.</t>
  </si>
  <si>
    <t>Synonym cluster #14</t>
  </si>
  <si>
    <t>/month, /year · his answer 2026-09-12: /quarter, /week, /2 weeks</t>
  </si>
  <si>
    <t>Applied — /mo → /month, /yr → /year, '$X a month' → '$X/month', 'Gross a year' → 'Gross /year' in visible copy. Spoken (VoiceOver) labels keep 'a month' / 'a year' because '/month' is read aloud as 'slash month'. OPEN FOR YOU: the Income-detail frequency labels also carry '/qtr', '/wk', '/2wk' — write them '/quarter', '/week', '/2 weeks'?</t>
  </si>
  <si>
    <t>src/__tests__/one_term_per_concept.test.ts (reads the canon table, row 14) + the repinned screen tests</t>
  </si>
  <si>
    <t>Your answer 2026-09-12 applied: the Income-detail frequency labels read /quarter, /week, /2 weeks. Retired: /qtr, /wk, /2wk.</t>
  </si>
  <si>
    <t>Synonym cluster #15</t>
  </si>
  <si>
    <t>Will my money last</t>
  </si>
  <si>
    <t>Applied — 'IS MY MONEY LASTING?' (retired lens) and 'YOUR MONEY-LASTS ODDS' (Roth) → 'WILL MY MONEY LAST?'; the spoken label likewise.</t>
  </si>
  <si>
    <t>src/__tests__/one_term_per_concept.test.ts (reads the canon table, row 15) + the repinned screen tests</t>
  </si>
  <si>
    <t>Synonym cluster #16</t>
  </si>
  <si>
    <t>spouse</t>
  </si>
  <si>
    <t>Applied — spouse → spouse in copy and comments: 'Do you manage money with a spouse?', 'Spouse’s name (optional)', the invite screen, Filing status, Cash-flow earner names, the sign-in message. Code values (the 'partner' track id, the partnerName field) unchanged — they are not copy.</t>
  </si>
  <si>
    <t>src/__tests__/one_term_per_concept.test.ts (reads the canon table, row 16) + the repinned screen tests</t>
  </si>
  <si>
    <t>Cash-flow worked example</t>
  </si>
  <si>
    <t>2026-08-27</t>
  </si>
  <si>
    <t>cashflow-thismonth+spending-screen-jj.xlsx</t>
  </si>
  <si>
    <t>This-month screen, Planned: In (take-home) 5,000 · mortgage 2,000 · car 250 · expenses 2,000 · HELOC from the big-ticket radar 200 · credit-card payment entered by hand 200 · surplus 750. Actual: 5,000 · mortgage paid 2,000 · car paid 0 · expenses entered 500 · expenses imported from the card 1,200 · HELOC 200 · card payment 200 · surplus 1,300. Spending: recurring (mortgage 2,000, car 250), planned expenses (gas 200, grocery 900, utilities 200, other 700 = 2,000), radar: card payment 1,200 NOT counted as an expense, HELOC 200 counted, card payment entered by hand 200 counted.</t>
  </si>
  <si>
    <t>MK-CF-M-002 · MK-CF-M-004 · MK-CF-M-015 · MK-CF-M-019 · MK-CF-O-003 thisMonth · MK-CF-O-002 spending</t>
  </si>
  <si>
    <t>the This-month + Expenses mock v06 (2026-08-27) and the radar rule in MoneyKeel/functions/cashflow/spending.ts ('a credit-card or HELOC payment is always a radar item; recurring debt never') were built from it; the master's rows carried none of it until 2026-09-10</t>
  </si>
  <si>
    <t>src/screens/__tests__/cashflow_fcc.test.tsx (the This-month arithmetic)</t>
  </si>
  <si>
    <t>One question back (master Q50): your planned surplus 750 = 5,000 − 2,000 − 250 − 2,000, and your actual 1,300 = 5,000 − 2,000 − 0 − 500 − 1,200 — neither subtracts the HELOC 200 or the card payment 200 that the expenses section says are counted as expenses. Which is right: in the surplus, or not?</t>
  </si>
  <si>
    <t>Net-worth flow diagram</t>
  </si>
  <si>
    <t>NW-sankey-diagram-jj.jpeg</t>
  </si>
  <si>
    <t>Sources (Chase checking/savings, Vanguard IRA/brokerage, Fidelity 401k, Wise EUR account, Zillow home estimate, mortgage servicer, manual collectibles) → categories (cash &amp; liquid $15k, investments $354k, real estate &amp; assets $452k, mortgage debt $412k, revolving debt $6k) → total assets $821,000 and total liabilities $418,000 → the net-worth engine → net worth $395,152; provenance badges on figures (imported · calculated · assumed 7% equity return · grand-prob); an FX rate 1.0925 on the EUR account.</t>
  </si>
  <si>
    <t>MK-XS-M-001 · MK-NW-M-004 · MK-NW-M-005 · MK-NW-M-007 · MK-NW-M-009 · MK-NW-M-017</t>
  </si>
  <si>
    <t>CODED — in part</t>
  </si>
  <si>
    <t>The category split and the assets − debts = net worth line are the Net worth screen (mock v06). Provenance per account exists (connected · imported · manual) and the canon words 'you entered' / 'calculated'; a per-figure badge on the Net worth screen and the exchange-rate conversion for a foreign-currency account are NOT built (Q43).</t>
  </si>
  <si>
    <t>src/screens/__tests__/NetWorthScreen.test.tsx (the split and the math line)</t>
  </si>
  <si>
    <t>2026-08-04</t>
  </si>
  <si>
    <t>Recorded 2026-09-10; it had never been written into the file.</t>
  </si>
  <si>
    <t>Onboarding notes, build 53</t>
  </si>
  <si>
    <t>2026-08</t>
  </si>
  <si>
    <t>MoneyKeel/documents/other/jj/onboarding screens-build53.xlsx</t>
  </si>
  <si>
    <t>Twelve notes on the onboarding screens: the tagline card ('Your finance command center', four bullets on what the app does), 'Customize your command center' (primary goals, where are you these days), 'Let's get your numbers in' (connect your first account).</t>
  </si>
  <si>
    <t>the onboarding flow (moneykeel_pres_spec_onboarding-flow_v03.html)</t>
  </si>
  <si>
    <t>All twelve notes checked against the code 2026-09-12: 'Your finance command center' + four bullets (tagline card) · 'Customize your command center' (primary goals, where are you these days) · 'Let's get your real numbers in.' (Home with no money data, HomeScreen.tsx) · the three doors in one wording everywhere (src/constants/doors.ts: 'Connect your bank ›', 'Import a file from your brokerage ›', 'Add something by hand ›') · 'Or answer guided setup questions ›' · 'Pick up where you left off →'. Two notes differ from the code: your note says 'connect your first account' where the door says 'Connect your bank'; and 'circular loop' — two words, no screen named.</t>
  </si>
  <si>
    <t>src/screens/__tests__/first_run_lens.test.tsx (Home's connect door equals the one list of ways in) · src/navigation/__tests__/routeGuard.test.ts (the guided-setup door stays open — the loop cannot come back)</t>
  </si>
  <si>
    <t>Both questions closed 2026-09-14. (1) His answer: "Connect your bank" — Home was the one screen still saying 'Connect your first account ›'; it now takes the words from src/constants/doors.ts, the onboarding spec is v02, and canon row 17 retires the old words. (2) 'circular loop' needed no answer from him: it is Home's first-run block, where 'Or answer guided setup questions ›' and 'Pick up where you left off →' both bounced straight back to Home, so the guided setup could never be reached. The route guard was fixed on 2026-08-28 and shipped in Build 54 (commit 6e360fb), and routeGuard.test.ts holds it. The question should not have been asked: the answer was already written in the code.</t>
  </si>
  <si>
    <t>Brief R1</t>
  </si>
  <si>
    <t>2026-08-20</t>
  </si>
  <si>
    <t>Brief — decisions on the 56 open questions (2026-08-20), tallied against the code 2026-09-12</t>
  </si>
  <si>
    <t>never the word "safe" — kills "safe to spend" and "safe withdrawal rate"</t>
  </si>
  <si>
    <t>every screen</t>
  </si>
  <si>
    <t>PlanHubScreen rateWords (no "safe"); "safe to spend" cut with the metric; the builder's BANNED-word guard</t>
  </si>
  <si>
    <t>build guard (BANNED words) + one_term_per_concept.test.ts</t>
  </si>
  <si>
    <t>2026-09-12 (tallied)</t>
  </si>
  <si>
    <t>Brief R2</t>
  </si>
  <si>
    <t>an unknown input produces no number and a reason — never a default</t>
  </si>
  <si>
    <t>every figure</t>
  </si>
  <si>
    <t>A46 (no coupon → $0, named); Q48 empty state ($0 — nothing entered yet, mock pending); the 4.2% defaults deleted</t>
  </si>
  <si>
    <t>A46 tests</t>
  </si>
  <si>
    <t>Still open: the kind-level benchmark returns (ASSET_KINDS ret) act as assumed growth — Q44.</t>
  </si>
  <si>
    <t>Brief R3</t>
  </si>
  <si>
    <t>show the fact, not the verdict — no grading</t>
  </si>
  <si>
    <t>ratios and figures</t>
  </si>
  <si>
    <t>odds shown without a verdict band; Tips "Overspent by" is a fact</t>
  </si>
  <si>
    <t>Still graded: Goals debt-to-income colours good / caution / red (GoalsScreen dti.status). Your call: cut the grading?</t>
  </si>
  <si>
    <t>Brief R4</t>
  </si>
  <si>
    <t>a tax figure requires a YEAR — net worth shows no tax</t>
  </si>
  <si>
    <t>MK-NW-M-036 area</t>
  </si>
  <si>
    <t>HoldingDetailScreen: the estimated-tax line cut (brief §C Q12)</t>
  </si>
  <si>
    <t>src/screens/__tests__/holding_detail_fcc.test.tsx</t>
  </si>
  <si>
    <t>Brief R5</t>
  </si>
  <si>
    <t>class and liquidity are separate fields</t>
  </si>
  <si>
    <t>asset records</t>
  </si>
  <si>
    <t>not built — no liquidity field exists (see Brief D1)</t>
  </si>
  <si>
    <t>Brief R6</t>
  </si>
  <si>
    <t>full precision throughout, round once at display</t>
  </si>
  <si>
    <t>every function</t>
  </si>
  <si>
    <t>executed as Q49 / G37 on 2026-09-09</t>
  </si>
  <si>
    <t>src/__tests__/precision_guard.test.ts</t>
  </si>
  <si>
    <t>Brief R7</t>
  </si>
  <si>
    <t>source always, date only when stale</t>
  </si>
  <si>
    <t>every published figure</t>
  </si>
  <si>
    <t>valueFreshness dates on balances; inflation default carries source + checked date</t>
  </si>
  <si>
    <t>Kind-A figures (tax bands, deduction, SS factors, RMD table) name no source in the FILE — finding A41 open.</t>
  </si>
  <si>
    <t>Brief R8</t>
  </si>
  <si>
    <t>one mechanism per shape: amount + start year + end year + growth rate</t>
  </si>
  <si>
    <t>loan payments, part-time income, health premiums</t>
  </si>
  <si>
    <t>not built — see Brief D7 (part-time, health premiums)</t>
  </si>
  <si>
    <t>Brief B1</t>
  </si>
  <si>
    <t>flat pensions are being inflated — a fixed-versus-inflating flag per stream; Social Security inflates, pensions and annuities flat</t>
  </si>
  <si>
    <t>MK-PL-M-… will-it-last inputs</t>
  </si>
  <si>
    <t>RetirementCockpit.tsx:130 — streams carry inflates; Social Security true, pension/annuity flat</t>
  </si>
  <si>
    <t>src/domain/invariants.test.ts</t>
  </si>
  <si>
    <t>Brief B2</t>
  </si>
  <si>
    <t>Social Security factors anchored at 67 — full-retirement-age table by birth year; the input is the statement (FRA) amount</t>
  </si>
  <si>
    <t>MK-PL-… ssTiming</t>
  </si>
  <si>
    <t>src/domain/retirement/ssTiming.ts fullRetirementAge + FULL_RETIREMENT_AGE; RetirementCockpit:98 ssMonthly = statement amount at FRA</t>
  </si>
  <si>
    <t>src/__tests__/ray_numbers_probe.test.ts· src/__tests__/statutory_constants.test.ts· src/domain/retirement/ssTiming.test.ts</t>
  </si>
  <si>
    <t>Brief B3</t>
  </si>
  <si>
    <t>the legacy target comes off the pot while working too, not only once retired</t>
  </si>
  <si>
    <t>will-it-last inputs</t>
  </si>
  <si>
    <t>RetirementCockpit.tsx:68 spendableEgg = nestEgg − bequest, unconditional (B3 comment at :123)</t>
  </si>
  <si>
    <t>src/__tests__/edge_extremes.test.ts· src/__tests__/golden.test.ts· src/domain/retirement/col.test.ts</t>
  </si>
  <si>
    <t>Brief B4</t>
  </si>
  <si>
    <t>RMD start age by birth-year rule, one dated table, Roth 401(k) exempt, no duplicate literal</t>
  </si>
  <si>
    <t>MK-PL-F-… decumulation</t>
  </si>
  <si>
    <t>src/domain/decumulation rmdStartAgeFor (birth-year rule) — the one place</t>
  </si>
  <si>
    <t>src/__tests__/state_contract.test.ts· src/domain/decumulation/decumulation.test.ts</t>
  </si>
  <si>
    <t>Brief B5</t>
  </si>
  <si>
    <t>withdrawals and RMDs are not guaranteed income — paycheck lists each line; the plan input is outside money only</t>
  </si>
  <si>
    <t>MK-CF-M-… paycheck · will-it-last</t>
  </si>
  <si>
    <t>guaranteedOutsideStreams (G13, 2026-09-08); the paycheck lists Social Security, pension, withdrawal, RMD separately</t>
  </si>
  <si>
    <t>src/screens/__tests__/build43_feedback.test.tsx</t>
  </si>
  <si>
    <t>Brief B6</t>
  </si>
  <si>
    <t>odds: more than 400 paths, nearest 5, no best-to-worst band</t>
  </si>
  <si>
    <t>MK-PL-M-… odds</t>
  </si>
  <si>
    <t>1,000 paths (seed 42); rounded to 5 (C2); the band removed</t>
  </si>
  <si>
    <t>src/screens/__tests__/cashflow_fcc.test.tsx· src/screens/__tests__/will_it_last_detail.test.tsx</t>
  </si>
  <si>
    <t>SUPERSEDED IN PART 2026-09-14: nearest 5 replaced by "Odds — exact, no rounding".</t>
  </si>
  <si>
    <t>Brief B7</t>
  </si>
  <si>
    <t>money-market: name-first classification on every road, broker tag as fallback; a class change between syncs is kept and flagged</t>
  </si>
  <si>
    <t>MK-NW-… classes</t>
  </si>
  <si>
    <t>assetClassOf → incomeBearingClassOf(label) first; class_flag on Position; class_source user wins</t>
  </si>
  <si>
    <t>src/__tests__/e2e_walk_2026_08_11.test.tsx· src/__tests__/founder_2026_08_11.test.tsx· src/domain/assets/reclassify.test.ts</t>
  </si>
  <si>
    <t>Brief B8</t>
  </si>
  <si>
    <t>decimal arithmetic — full precision, round once</t>
  </si>
  <si>
    <t>executed as Q49 (2026-09-09): full-precision JavaScript numbers, rounding once at display</t>
  </si>
  <si>
    <t>Corrected 2026-09-12: the ledger and money functions (Calculation Module code/engines/money.ts, decimal.ts) have run on an exact decimal type since 2026-08-20 (Track 0); the app's domain code keeps JavaScript numbers at full precision and rounds once (Q49). Say if the domain should move to the decimal type too — a separate build.</t>
  </si>
  <si>
    <t>Brief C</t>
  </si>
  <si>
    <t>14 metrics cut: tax-loss harvesting, cash drag, age of money, savings rate, safe to spend, personal inflation, sequence buffer, drift, funded ratio, risk measures, look-through, fund fees, embedded tax, employer-stock flag</t>
  </si>
  <si>
    <t>the 14 metric rows</t>
  </si>
  <si>
    <t>none of the 14 is on a screen; cash drag and embedded tax carry a dated CUT comment; the savings-rate function remains for the budget only</t>
  </si>
  <si>
    <t>src/screens/__tests__/insights_screen.test.tsx · holding_detail_fcc.test.tsx</t>
  </si>
  <si>
    <t>Brief C — deferred</t>
  </si>
  <si>
    <t>deferred, not dropped: forward income (Q18), budget rollover (Q28), non-USD holdings (Q25 — store the currency field now)</t>
  </si>
  <si>
    <t>not built; the currency field is not stored (Q08 gave foreign currency a cash kind valued in dollars; the code is Q43)</t>
  </si>
  <si>
    <t>Brief D1</t>
  </si>
  <si>
    <t>liquidity tiers — Liquid / Sellable / Locked / Not spendable; liquid net worth = first tier; retirement tagged by age</t>
  </si>
  <si>
    <t>net-worth figures</t>
  </si>
  <si>
    <t>not built</t>
  </si>
  <si>
    <t>Brief D2</t>
  </si>
  <si>
    <t>hand-entered revaluations marked; market-priced entries spread evenly across the gap; house/car booked on the day</t>
  </si>
  <si>
    <t>change walk · returns</t>
  </si>
  <si>
    <t>Brief D3</t>
  </si>
  <si>
    <t>both boundary days inside; beginning value = close of the day before the start; Dietz weights over the inclusive count</t>
  </si>
  <si>
    <t>MK-PF-… window returns</t>
  </si>
  <si>
    <t>Calculation Module code/engines/window-return.ts — beginningAsOf = the day before the start</t>
  </si>
  <si>
    <t>src/screens/__tests__/coverage_line.test.tsx</t>
  </si>
  <si>
    <t>Brief D4</t>
  </si>
  <si>
    <t>return stays money-weighted; thresholds in one module; timing-sensitivity band replaces the 10% gate; refuse when the denominator ≤ 0</t>
  </si>
  <si>
    <t>MK-PF-… return</t>
  </si>
  <si>
    <t>window-return.ts dateless-flow share threshold; PerformanceScreen:342 the band refusal shows the dollar walk</t>
  </si>
  <si>
    <t>Brief D5</t>
  </si>
  <si>
    <t>the Plaid overlap — both versions side by side, the person chooses per transaction; stable pair identity; unmatched rows kept and flagged</t>
  </si>
  <si>
    <t>imports</t>
  </si>
  <si>
    <t>not built as a choice — the sync dedupes on a stable row identity (snaptrade.ts) so re-ingesting never doubles money; no side-by-side screen</t>
  </si>
  <si>
    <t>Brief D6</t>
  </si>
  <si>
    <t>affordability replaces safe-to-spend: recurring cost with an end date; one-off purchase against liquid assets and months of cover</t>
  </si>
  <si>
    <t>cash flow</t>
  </si>
  <si>
    <t>Brief D7 — inflation lever</t>
  </si>
  <si>
    <t>default to the dated 30-year average, editable</t>
  </si>
  <si>
    <t>MK-PL-F-083</t>
  </si>
  <si>
    <t>executed as G30 (2026-09-08)</t>
  </si>
  <si>
    <t>src/domain/retirement/inflation</t>
  </si>
  <si>
    <t>Brief D7 — the rest</t>
  </si>
  <si>
    <t>property sale/purchase as two events · stepped part-time income · pre-65 health premiums as a spread · owner tag you/spouse/joint with a full-value joint column · survivor inputs · insurance labels (SIPC clause) · amber box sorted by money · expense-to-income ratio (TTM) · pacing method stated · debt-to-asset · debt-payments-to-income denominator stated</t>
  </si>
  <si>
    <t>not built: property events, part-time steps, health premiums, owner tag, survivor inputs, insurance labels, expense-to-income ratio, debt-to-asset. Partly there: the unclassified section (amber), the pace card (method not stated on screen), debt-to-income on Goals (graded — see R3)</t>
  </si>
  <si>
    <t>Brief E1</t>
  </si>
  <si>
    <t>state tax in the capital-gains figure — one tab said missing, one said included</t>
  </si>
  <si>
    <t>MK-NW-M-036/037</t>
  </si>
  <si>
    <t>the code applies NO state tax to capital gains (capGains, performance/index.ts); the file must say "federal only"</t>
  </si>
  <si>
    <t>File fix: the master row to state federal only.</t>
  </si>
  <si>
    <t>Brief E2 · E4 · E5 · E6 · E12</t>
  </si>
  <si>
    <t>status disagreements, work-list generation, engine counts, tab references, the PINNED word — all in the old metrics deliverable</t>
  </si>
  <si>
    <t>the old METRICS-DELIVERABLE file</t>
  </si>
  <si>
    <t>CODED — superseded</t>
  </si>
  <si>
    <t>the master is built from the code since 2026-08-26 (identifiers, headers, formula agreement); the old file and its statuses are retired</t>
  </si>
  <si>
    <t>build-moneykeel-master.py · check-formula-agreement.py</t>
  </si>
  <si>
    <t>Brief E3</t>
  </si>
  <si>
    <t>"money-weighted" names two things — rename PORTFOLIO_RETURN to value-weighted; reserve money-weighted for the IRR</t>
  </si>
  <si>
    <t>MK-PF-M-… return</t>
  </si>
  <si>
    <t>not done: moneyWeightedReturn (bisection IRR) and the value-weighted average both still read "money-weighted" (findings A12, B06)</t>
  </si>
  <si>
    <t>Needs your decision with A12/B06: which method is THE return.</t>
  </si>
  <si>
    <t>Brief E7</t>
  </si>
  <si>
    <t>the long-term rule is "more than one year", not twelve whole months</t>
  </si>
  <si>
    <t>MK-NW-M-036</t>
  </si>
  <si>
    <t>capGains: long-term begins the day after the first anniversary (performance/index.ts:325) — the code is right; the file wording (B10) still says ≥ 365 whole days</t>
  </si>
  <si>
    <t>src/domain/performance/performance.test.ts· src/domain/scenarios.test.ts· src/screens/__tests__/draw_steer_fcc.test.tsx</t>
  </si>
  <si>
    <t>File fix pending (B10).</t>
  </si>
  <si>
    <t>Brief E8</t>
  </si>
  <si>
    <t>over-65 additional standard deduction</t>
  </si>
  <si>
    <t>MK-CF-F-187</t>
  </si>
  <si>
    <t>executed as G3 (2026-09-08)</t>
  </si>
  <si>
    <t>src/domain/income/tax tests</t>
  </si>
  <si>
    <t>Brief E9</t>
  </si>
  <si>
    <t>married bands are not double the single ones at the top</t>
  </si>
  <si>
    <t>MK-CF-F-… tax</t>
  </si>
  <si>
    <t>tax.ts TAX_TABLES: the married table is explicit (37% threshold $768,700), never derived by doubling</t>
  </si>
  <si>
    <t>MoneyKeel/functions/cashflow/base-pay.test.ts· src/__tests__/adversarial_pass.test.tsx· src/__tests__/state_contract.test.ts</t>
  </si>
  <si>
    <t>Brief E10</t>
  </si>
  <si>
    <t>state tax applies to taxable income, never gross</t>
  </si>
  <si>
    <t>tax.ts:104 and :338 — the state rate multiplies taxable income</t>
  </si>
  <si>
    <t>Brief E11</t>
  </si>
  <si>
    <t>both ledger reconciliation assertions (holdings + cash = the broker total; re-ingest never doubles money)</t>
  </si>
  <si>
    <t>sync</t>
  </si>
  <si>
    <t>snaptrade.ts stable row identity; the sync dedupe registry</t>
  </si>
  <si>
    <t>Calculation Module code/probes/reconciliation-golden.probe.test.ts (both assertions, golden files) · the sync dedupe tests</t>
  </si>
  <si>
    <t>Corrected 2026-09-12: both assertions were built and golden-tested on 2026-08-20 (Track 1 step 5).</t>
  </si>
  <si>
    <t>G2</t>
  </si>
  <si>
    <t>his -jj copy of the second-verification assessment (column I), 2026-09-12</t>
  </si>
  <si>
    <t>agree — long-term means MORE than one year; exactly one year is short-term</t>
  </si>
  <si>
    <t>MK-NW-M-036 · MK-NW-M-037 · MK-PF-F-006</t>
  </si>
  <si>
    <t>the code was right (capGains tests the day after the first anniversary); both formula columns on the two rows corrected 2026-09-12</t>
  </si>
  <si>
    <t>src/domain/performance/performance.test.ts · check-rulings-in-file.py</t>
  </si>
  <si>
    <t>G5</t>
  </si>
  <si>
    <t>agree — the file must say 2.5% is divided by 100 before use</t>
  </si>
  <si>
    <t>MK-PL-F-067 willItLastInputs</t>
  </si>
  <si>
    <t>the code was consistent ((inflationRate ?? 2.5) / 100); the assumption now says so on the function row</t>
  </si>
  <si>
    <t>src/domain/retirement/inflation tests · check-rulings-in-file.py</t>
  </si>
  <si>
    <t>G7</t>
  </si>
  <si>
    <t>agree — no flat 22% inside the odds; every caller passes its own effective rate. His question: what if a caller has no rate to pass?</t>
  </si>
  <si>
    <t>MK-PL-F-050 simulate · MK-PL-F-067</t>
  </si>
  <si>
    <t>the 0.22 default deleted (retirement/index.ts): no rate → no tax applied, and the row says so; the one real caller (willItLastInputs) always passes the person's own rate; the 10%–60% clamp and the 60% cap declared</t>
  </si>
  <si>
    <t>src/domain/retirement/g7_no_default_tax_rate.test.ts</t>
  </si>
  <si>
    <t>ANSWER: a caller with no rate gets NO tax on withdrawals — not a guess — and the assumption on the row says so. In practice the rate is always computable from filing status and income, which the odds path already does.</t>
  </si>
  <si>
    <t>G11</t>
  </si>
  <si>
    <t>agree — a missing maturity date is unknown, not "due now"</t>
  </si>
  <si>
    <t>MK-NW-M-025 · MK-NW-M-026 · MK-NW-F-058 · MK-NW-F-060 · MK-NW-F-064</t>
  </si>
  <si>
    <t>yearsToMaturity → nothing when the date is missing or unreadable; approxYTM, bondRateSensitivity and priceAtYield refuse in turn; the two rows say so</t>
  </si>
  <si>
    <t>src/domain/bonds/g11_no_maturity.test.ts · check-rulings-in-file.py</t>
  </si>
  <si>
    <t>G12</t>
  </si>
  <si>
    <t>agree; ensure compliance with the synonym ruling</t>
  </si>
  <si>
    <t>MK-CF-M-004 · MK-CF-M-019 · MK-XS-M-007</t>
  </si>
  <si>
    <t>the month's outflow (expenses + debt paid) now comes from ONE function, MK-CF-F-194 monthOutflow (MoneyKeel/functions/cashflow/this-month.ts), not from the screen; the labels read 'Outflow (expenses + debt)' and 'Outflow (expenses)' per cluster #3</t>
  </si>
  <si>
    <t>MoneyKeel/functions/cashflow/month-outflow.test.ts · cashflow_fcc.test.tsx</t>
  </si>
  <si>
    <t>MK-CF-M-004 names MK-CF-F-194 from 2026-09-12.</t>
  </si>
  <si>
    <t>G15</t>
  </si>
  <si>
    <t>agree — the words must say the statement amount is at the person's OWN full retirement age</t>
  </si>
  <si>
    <t>MK-PL-M-008 · MK-PL-M-011 · MK-PL-M-029</t>
  </si>
  <si>
    <t>the code was right; the three rows' words now state the schedule (66 to 67 by birth year) and the SSA reduction and credit formula</t>
  </si>
  <si>
    <t>src/domain/retirement/ssTiming.test.ts · check-rulings-in-file.py</t>
  </si>
  <si>
    <t>G24</t>
  </si>
  <si>
    <t>ok — the per-class benchmark table (value, source, period) on the Reference tab; the generator fixed</t>
  </si>
  <si>
    <t>Reference tab · MK-NW-F-035 · MK-NW-F-037</t>
  </si>
  <si>
    <t>the Reference tab prints BENCHMARK — &lt;kind&gt;: return · source · period · ESTIMATE, read from ASSET_KINDS and BENCHMARK_META on every build; the rounding and ×100 phrases fixed 2026-09-08 (C4)</t>
  </si>
  <si>
    <t>check-rulings-in-file.py</t>
  </si>
  <si>
    <t>G36</t>
  </si>
  <si>
    <t>ok — state the months-left convention; move the division off the screen</t>
  </si>
  <si>
    <t>MK-MN-M-003 · MK-MN-M-004 · MK-MN-M-005 · MK-MN-M-029</t>
  </si>
  <si>
    <t>MK-CF-F-195 monthsLeftInYear and MK-CF-F-196 perMonthToFill in src/domain/income/limits.ts (the current month counts; December → 1); the Contribution-room screen calls them; the four rows say so</t>
  </si>
  <si>
    <t>src/domain/income/g36_months_left.test.ts · check-rulings-in-file.py</t>
  </si>
  <si>
    <t>C1</t>
  </si>
  <si>
    <t>ok — keep both engines (money-weighted and window return are different figures); fix the file row</t>
  </si>
  <si>
    <t>MK-XS-M-004 · MK-PF-F-019</t>
  </si>
  <si>
    <t>the row corrected under G18; both functions stay, each row describing its own figure</t>
  </si>
  <si>
    <t>check-rulings-in-file.py (G18)</t>
  </si>
  <si>
    <t>Which method is THE return on the Performance screen stays your decision (A12 / E3).</t>
  </si>
  <si>
    <t>C3</t>
  </si>
  <si>
    <t>ok — the file names the real classes; Unclassified counts as investments</t>
  </si>
  <si>
    <t>MK-XS-M-003 · MK-NW-F-021</t>
  </si>
  <si>
    <t>no silent drop (the code includes the mixed class); the row's maths now lists Stocks / Funds, Bonds &amp; CDs, Alternatives, Unclassified</t>
  </si>
  <si>
    <t>G1</t>
  </si>
  <si>
    <t>agree — every contribution limit uses the age attained in the calendar year (this year − birth year), the IRS test</t>
  </si>
  <si>
    <t>MK-CF-F-053 · MK-CF-F-054 · MK-CF-F-055 · the onboarding 401(k) step · the Contribution-room screen</t>
  </si>
  <si>
    <t>ageAttainedInYear in src/domain/income/limits.ts; the onboarding 401(k) step and the Contribution-room screen both use it (the onboarding step used the birthday-aware age and offered $8,000 where the law gives $11,250); the convention stated on the three limit rows; the rule in the published-sources register</t>
  </si>
  <si>
    <t>src/domain/income/g1_age_attained_in_year.test.ts · guard_d4_published_sources.test.ts · check-rulings-in-file.py</t>
  </si>
  <si>
    <t>ANSWER to his question: the three limit functions are the 401(k), IRA and HSA limits by age — MK-CF-F-053, -054, -055.</t>
  </si>
  <si>
    <t>G4</t>
  </si>
  <si>
    <t>his -jj copy of the second-verification assessment (column I) and chat, 2026-09-12</t>
  </si>
  <si>
    <t>the caveat under the federal-only take-home must name its subject and use the real withholding: 6.2% up to the wage base, 1.45% on all, 0.9% more above $200,000 — "Let's not assume that reader knows what statement is referring to. Always be explicit."</t>
  </si>
  <si>
    <t>MK-CF-O-001 basePay (shortBy) · the Base-pay screen · mock income-end-to-end v07</t>
  </si>
  <si>
    <t>payrollTaxWithheld in MoneyKeel/functions/cashflow/base-pay.ts (SS_WAGE_BASE $184,500, MEDICARE_ADDITIONAL_THRESHOLD $200,000), summed per earner for shortBy; the sentence on the Base-pay screen and in the mock now opens "The take-home above is higher than it will really be, by roughly $X a month."; the mock's $1,460 (which did not follow from its own $138,000) is $880; the mock's household band now equals the card's take-home</t>
  </si>
  <si>
    <t>MoneyKeel/functions/cashflow/payroll-tax.test.ts · guard_d4_published_sources.test.ts</t>
  </si>
  <si>
    <t>The flat 7.65% was never deducted from take-home (Gemini's claim was false); only the caveat's figure was overstated above the wage base.</t>
  </si>
  <si>
    <t>G9</t>
  </si>
  <si>
    <t>chat, 2026-09-12 ("ask for it")</t>
  </si>
  <si>
    <t>ask for the birth month (already asked, required); one age convention PER PURPOSE — every rule and projection runs on the age attained in the calendar year; what a person reads about themselves and Social Security timing use the birthday-aware age; no stand-in month</t>
  </si>
  <si>
    <t>MK-XS-F-017 currentAge · MK-PL-F-067 willItLastInputs · the Retirement cockpit · the onboarding age helper</t>
  </si>
  <si>
    <t>the onboarding asks month + year (both required). Two helpers, each named for its purpose: ageFromProfile / ageAttainedInYear (year-attained) for every rule, limit, withdrawal start and the plan's calendar-year stepping; ageToday / ageTodayFromProfile (birthday-aware with the month, year-attained without, nothing without a year) for what the person reads and for Social Security timing (SsTimingScreen). The June stand-in is gone.</t>
  </si>
  <si>
    <t>src/domain/profile/g9_age_convention.test.ts</t>
  </si>
  <si>
    <t>Stand-ins remain where the birth year is MISSING: the cockpit assumes 45, Insights 45, the cash-flow model and the draw steer 68, the onboarding helper 35/65 — an open R2 item on the workplan for your call.</t>
  </si>
  <si>
    <t>Orchestrator rule 1</t>
  </si>
  <si>
    <t>2026-09-13</t>
  </si>
  <si>
    <t>chat, 2026-09-13 ("I like your recommendations. Let's create a plan.")</t>
  </si>
  <si>
    <t>one question, one orchestrator — orchestrators are grouped by the question a screen asks (what am I worth · will my money last · what did my pay come to this month), never by data type; an orchestrator composes dependent functions and hands out figures, and does no arithmetic of its own; the same question asked on different screens is answered by the same orchestrator — a screen never gets its own copy (founder, 2026-09-13: "same question on different screen — same orchestrator")</t>
  </si>
  <si>
    <t>moneykeel_calc_spec_one-door-per-question_v01.md § The design rules · the orchestrator map (to be built) · every MK-XX-O-NNN row</t>
  </si>
  <si>
    <t>Becomes a guard when the loop is built (spec § Closing the loop, steps 1–3 and 5) — until then it is a rule on paper.</t>
  </si>
  <si>
    <t>Orchestrator rule 2</t>
  </si>
  <si>
    <t>one concept, one function — a concept is computed by exactly one dependent function, called over whatever set it is asked about (total assets over all accounts, and over one institution's accounts, is the same function); a total and the sum of its parts are pinned by an invariant test, never assumed</t>
  </si>
  <si>
    <t>Orchestrator rule 3</t>
  </si>
  <si>
    <t>orchestrators do not call orchestrators — a figure two questions need is a dependent function both call; a screen that needs two questions answered calls two orchestrators</t>
  </si>
  <si>
    <t>Orchestrator rule 4</t>
  </si>
  <si>
    <t>inputs assembled once per family — one function builds the person's state for a family and every orchestrator in that family reads it; no orchestrator and no screen assembles its own</t>
  </si>
  <si>
    <t>Orchestrator rule 5</t>
  </si>
  <si>
    <t>screens compute nothing — a figure derived on screen from two others (a share, a difference, a percentage) is a function with a row, however small</t>
  </si>
  <si>
    <t>Orchestrator rule 6</t>
  </si>
  <si>
    <t>shared dependent functions are allowed and are recorded on every orchestrator row whose closure holds them; the closure is generated from the code, never typed</t>
  </si>
  <si>
    <t>Orchestrator rule 7</t>
  </si>
  <si>
    <t>a door hands out figures and the walk behind them; it is named MK-&lt;family&gt;-O-NNN plus a verb-noun, the form the four cash-flow doors already use</t>
  </si>
  <si>
    <t>Orchestrator rule 8</t>
  </si>
  <si>
    <t>action functions and bring-data-in functions sit outside every orchestrator, and each is listed as such so the closure check has nothing unexplained</t>
  </si>
  <si>
    <t>Orchestrator rule 9</t>
  </si>
  <si>
    <t>completeness is proven three ways before a question is closed — every figure rendered on a screen is claimed by one row (figure census from the rendered screens, not from reading); every displayed or dependent function is inside at least one orchestrator's closure; every orchestrator is named by at least one row and imported by at least one screen file</t>
  </si>
  <si>
    <t>Orchestrator rule 10</t>
  </si>
  <si>
    <t>the map before the code — no orchestrator is built before its row on the orchestrator map is approved by the founder; grouping conflicts go to him one row each, by identifier, with a recommendation</t>
  </si>
  <si>
    <t>Orchestrator rule 11</t>
  </si>
  <si>
    <t>2026-09-14</t>
  </si>
  <si>
    <t>chat, 2026-09-14 ("go ahead and execute on step 1, 2, 3")</t>
  </si>
  <si>
    <t>a door DECLARES each figure it hands out beside the code that computes it (identifier, the words on screen, unit, formula in plain English, inputs, decisions, refusal); a screen prints a figure ONLY by its identifier; and the master file's figure rows are PRINTED from those declarations rather than typed, so the file and the code cannot disagree</t>
  </si>
  <si>
    <t>MK-CF-M-030…046 · moneykeel_calc_spec_one-door-per-question_v01.md § Rule 11</t>
  </si>
  <si>
    <t>MoneyKeel/functions/_figure-spec.ts · MoneyKeel/functions/figures.ts · src/components/figure.ts · build-moneykeel-master.py (declared_for · declared_row)</t>
  </si>
  <si>
    <t>src/__tests__/figure_register_export.test.ts (every declaration complete, register written) · src/__tests__/guard_figures_declared.test.ts (the ratchet) · src/__tests__/photograph_figures.test.tsx (byte-identical: no figure changed)</t>
  </si>
  <si>
    <t>17 figures declared on the two income doors; the other 164 rows stay in the builder's hand-typed lists and only fall from here.</t>
  </si>
  <si>
    <t>Door wording — Connect your bank</t>
  </si>
  <si>
    <t>chat, 2026-09-14 ("connect your bank")</t>
  </si>
  <si>
    <t>connect your bank</t>
  </si>
  <si>
    <t>src/constants/doors.ts (the one list of ways in) · Home first-run block · Sharpen your plan · What counts toward retirement · moneykeel_pres_spec_onboarding-flow_v03.html</t>
  </si>
  <si>
    <t>HomeScreen.tsx reads its connect door from DOORS instead of typing 'Connect your first account ›'; canon row 17 retires the old words across the app</t>
  </si>
  <si>
    <t>src/screens/__tests__/first_run_lens.test.tsx · src/__tests__/one_term_per_concept.test.ts (canon row 17)</t>
  </si>
  <si>
    <t>From his build-53 onboarding note, which said 'connect your first account' where the door already said 'Connect your bank ›'. Superseded the same day by 'One door, one term — the ways to add an account': the connect door becomes 'Link it (read-only)' once that mock is approved and built.</t>
  </si>
  <si>
    <t>Door — Add something by hand</t>
  </si>
  <si>
    <t>chat, 2026-09-14 ("love it. do it.")</t>
  </si>
  <si>
    <t>love it. do it.</t>
  </si>
  <si>
    <t>src/constants/doors.ts · Home first-run block · Sharpen your plan · What counts toward retirement · Add account · moneykeel_pres_spec_onboarding-flow_v03.html</t>
  </si>
  <si>
    <t>One destination: the door opens the Add account form in one tap on all three screens (Home took it to the Net worth tab). One wording: the line under it is the shared list's, 'Your home, savings, or an account with no login.' Nothing lost from setup: the first account saved by hand also creates the rows for accounts named during setup, which until now only the Net worth tab did.</t>
  </si>
  <si>
    <t>src/__tests__/guard_one_list_of_doors.test.ts (no screen types a door itself) · src/screens/__tests__/first_run_lens.test.tsx (Home's door opens /add-account) · src/screens/__tests__/add_by_hand_prefill.test.tsx (setup rows appear once, from any door)</t>
  </si>
  <si>
    <t>The recommendation he approved: one destination, one wording, nothing lost from setup.</t>
  </si>
  <si>
    <t>One door, one term — the ways to add an account</t>
  </si>
  <si>
    <t>chat, 2026-09-14 ("one door one term rule - so change on all.")</t>
  </si>
  <si>
    <t>one door one term rule - so change on all.</t>
  </si>
  <si>
    <t>src/constants/doors.ts · Home first-run block · Sharpen your plan · Plan tab, What counts toward retirement · Net worth first day · Net worth add sheet · Connect an account screen · Performance · MoneyKeel/documents/home-screen/moneykeel_pres_mock_ways-to-add-an-account_v10.html</t>
  </si>
  <si>
    <t>Net worth built (v08): ADD_ACCOUNT_DOORS + ADD_ACCOUNT_QUESTION in src/constants/doors.ts, the first day, the add sheet's title, '＋ Add an account'. Home, Sharpen your plan and the Plan tab still read DOORS; the Link an account screen and Performance are owed (guard_add_account_doors)</t>
  </si>
  <si>
    <t>src/__tests__/guard_add_account_doors.test.ts · src/screens/__tests__/networth_v08.test.tsx</t>
  </si>
  <si>
    <t>The three doors read "Link it (read-only)", "Add by hand" and "Import from a file" on every screen, under the heading "How do you want to add an account?" — the words he chose from the Net worth add sheet, and the heading he asked for because "it" named nothing. Supersedes the same morning's "Connect your bank". A screen change, so the mock comes first (standing order 2026-07-19): MoneyKeel/documents/home-screen/moneykeel_pres_mock_ways-to-add-an-account_v10.html. Nothing is built until he approves it.</t>
  </si>
  <si>
    <t>Screen title size — 20 points</t>
  </si>
  <si>
    <t>chat, 2026-09-14</t>
  </si>
  <si>
    <t>standard size 20</t>
  </si>
  <si>
    <t>every screen's title text (the h1 and every style that plays that part)</t>
  </si>
  <si>
    <t>src/screens/*.tsx — h1 on 32 screens (CashFlowScreen 30→20, the 24s→20), PerformanceScreen investTitle, NetWorthScreen introTitle and wizTitle, OnboardingScreen heading, FirstRunScreen introH1, AuthScreen cardTitle: 38 styles set to 20</t>
  </si>
  <si>
    <t>src/__tests__/guard_screen_title_size.test.ts — fails if any screen title is not 20 points; seen failing when GoalsScreen h1 was put back to 24</t>
  </si>
  <si>
    <t>Every screen title is 20 points (Typography lg). Today 31 screens use 24, Cash flow 30, Will it last and Look back 20. Coded the same day with a guard test. Figures that look like titles stay as they are: Will it last headline (the odds), Month detail headline, Required withdrawals bigLine, Home heroBig.</t>
  </si>
  <si>
    <t>Screen titles — not required on every screen</t>
  </si>
  <si>
    <t>I take back title not need for every screen.</t>
  </si>
  <si>
    <t>all screens</t>
  </si>
  <si>
    <t>Withdraws the same day's "we cannot have screen without title". The Net worth tab keeps no title. Nothing to code.</t>
  </si>
  <si>
    <t>MoneyKeel at the top of every screen</t>
  </si>
  <si>
    <t>Your Import from a file screen did not look similar to Net worth because you did not have "MoneyKeel" at the top which every other screen has.</t>
  </si>
  <si>
    <t>the pushed screens: Import from File, Add by hand, Link an account, the step before signing in, Sharpen your plan and every other screen without the top bar</t>
  </si>
  <si>
    <t>In the app today only the five tab screens (and sign-in and first-run) show MoneyKeel at the top; every pushed screen has a native bar or none. Drawn on every pushed screen in mock v10, with ‹ Back in place of Menu, for approval before it is built.</t>
  </si>
  <si>
    <t>Odds — exact, no rounding</t>
  </si>
  <si>
    <t>chat, 2026-09-14 (on Net worth mock v07)</t>
  </si>
  <si>
    <t>per the latest ruling use exact everywhere no rounding for odds</t>
  </si>
  <si>
    <t>every surface that shows the odds · MK-XS-M-002 · MK-PL-F-025 displayOdds · the precision standard (its 'nearest 5' line)</t>
  </si>
  <si>
    <t>simulate (MK-PL-F-050) returns the exact share of futures; displayOdds (MK-PL-F-025) removes only floating-point noise; the suggested target and required saving walk down to the smallest amount that holds 80%; spend-more's losing count adds to 100</t>
  </si>
  <si>
    <t>src/domain/retirement/odds_exact.test.ts · src/__tests__/brief_figures_guard.test.ts · june_numbers_probe · ray_numbers_probe · spendMore.test · target_rounding.test</t>
  </si>
  <si>
    <t>Supersedes Brief B6 (2026-08-20) and C2 (2026-09-08), which both said nearest 5. Drawn in Net worth mock v08; the app and the file change together once v08 is approved. CONSEQUENCES, measured 2026-09-14: amounts found by holding 80% moved (June's draw $4,155 → $4,140); Ray's claim at 70 reads 79.5%, under the line; the Retirement cockpit shows 13.3% where Home and Plan show 13.9% for the working household, and 87.8 where they show 93.2 for the retired one — the rounding had hidden that disagreement (workplan).</t>
  </si>
  <si>
    <t>Return on cash + investments — two decimals</t>
  </si>
  <si>
    <t>Return on cash - use 2 decimals</t>
  </si>
  <si>
    <t>MK-NW-M-002 · the Net worth change line</t>
  </si>
  <si>
    <t>investableChangePct (src/domain/history.ts) keeps full precision — it had rounded to one decimal inside the function; NetWorthScreen prints two decimals; master MK-NW-M-002 unit says two decimals</t>
  </si>
  <si>
    <t>src/screens/__tests__/networth_v08.test.tsx · src/__tests__/mock_match_dump.test.tsx · src/domain/history.test.ts</t>
  </si>
  <si>
    <t>The precision standard (Q49) already says two decimals for returns; the master row and the app said one. Drawn in v08.</t>
  </si>
  <si>
    <t>Tight ⚠ beside the emergency fund — kept</t>
  </si>
  <si>
    <t>tight besides emergency funds - keep it</t>
  </si>
  <si>
    <t>MK-NW-M-013 · the Emergency fund card</t>
  </si>
  <si>
    <t>no change — the word stays</t>
  </si>
  <si>
    <t>src/__tests__/mock_match_dump.test.tsx ('Tight ⚠')</t>
  </si>
  <si>
    <t>A named exception to Brief R3 (show the fact, not the verdict).</t>
  </si>
  <si>
    <t>Source chip — Linked, date only when stale</t>
  </si>
  <si>
    <t>connected only unless stale</t>
  </si>
  <si>
    <t>src/components/SourceChip.tsx · every account row</t>
  </si>
  <si>
    <t>src/components/SourceChip.tsx: '🔗 Linked', and '🔗 Linked · N days old' only when stale</t>
  </si>
  <si>
    <t>src/screens/__tests__/networth_v08.test.tsx · src/screens/__tests__/build47_walk.test.tsx</t>
  </si>
  <si>
    <t>Applies Brief R7 (source always, date only when stale) to the chip.</t>
  </si>
  <si>
    <t>Linked / Link again</t>
  </si>
  <si>
    <t>connected / reconnected - change to linked / link again</t>
  </si>
  <si>
    <t>every screen: the source chip, the fix sheet's Reconnect button, and the words for an account that is linked</t>
  </si>
  <si>
    <t>SourceChip, the missing-data rows and fix sheet (src/domain/gaps, DataGapsBanner), Settings 'Linked accounts', Home's broken-link line, the broker notes, sourceWording; canon row 18 retires Connected · / Reconnect / Connection paused / Connected accounts / re-login / re-linking</t>
  </si>
  <si>
    <t>src/__tests__/one_term_per_concept.test.ts (canon row 18) · founder_2026_08_11.test.tsx · build47_walk.test.tsx · user_walk_2026_07_18.test.tsx · snaptrade_connect_fcc.test.tsx</t>
  </si>
  <si>
    <t>One term per concept: the door says 'Link it (read-only)', so an account that went through it is 'Linked' and the repair is 'Link again'. A canon row is added when it is built. Not changed: 'Disconnect' in Settings (not ruled) — to the founder.</t>
  </si>
  <si>
    <t>Headings — dark bars and light-green bars</t>
  </si>
  <si>
    <t>full green bars - dark bars for section headings and light green for sub-headings</t>
  </si>
  <si>
    <t>Net worth · the screen standard §2.3</t>
  </si>
  <si>
    <t>Said about Net worth's five bars. Open: whether it also replaces the quiet section labels on the Plan tab (2026-08-13 rule).</t>
  </si>
  <si>
    <t>Net worth first day — no duplicated doors</t>
  </si>
  <si>
    <t>State C - what you own section has 'add account three times, + how you want to add an account - too much duplication</t>
  </si>
  <si>
    <t>Net worth first day (state C)</t>
  </si>
  <si>
    <t>NetWorthScreen first day: one line 'Nothing entered yet. How do you want to add an account?' and ADD_ACCOUNT_DOORS once; Debts the same one line</t>
  </si>
  <si>
    <t>src/screens/__tests__/networth_v08.test.tsx</t>
  </si>
  <si>
    <t>Drawn in v08: one line and one set of doors under What you own; the same fix applied to Debts.</t>
  </si>
  <si>
    <t>Performance — day one rebuilt from the broker's own records</t>
  </si>
  <si>
    <t>2026-09-25</t>
  </si>
  <si>
    <t>chat, 2026-09-25 (on Performance mock v11)</t>
  </si>
  <si>
    <t>Yes rebuild - day one history</t>
  </si>
  <si>
    <t>Performance day one · the value line · the beginning value</t>
  </si>
  <si>
    <t>Calculation Module code/engines/rebuild-history.ts (rebuildDays, rebuildableFrom) + store action rebuildLinkedHistory: a LINKED account's holdings are walked back through its own transactions and priced at each day's close, back to its first record; hand-entered accounts and cash keep their honest start; a day we cannot price is left empty; rebuilt days are marked origin 'reconstructed' and never replace an observed day</t>
  </si>
  <si>
    <t>Calculation Module code/engines/__tests__/rebuild-history.test.ts (14 tests)</t>
  </si>
  <si>
    <t>His words: “Why day 1 we are not able to import historic data on account and show past records? Currently, what app will show will not match the account, and confuse user.”</t>
  </si>
  <si>
    <t>Performance — one meaning of return</t>
  </si>
  <si>
    <t>chat, 2026-09-25 (his question about the E*TRADE account header)</t>
  </si>
  <si>
    <t>why income when % is calculated using wealth generated?</t>
  </si>
  <si>
    <t>Performance summary · account header · window selector</t>
  </si>
  <si>
    <t>figuresFor() in PerformanceScreen: every window's return is wealth generated ÷ the money working (Modified Dietz), the same figure the selector, the summary and the walk all read. The price-only, holding-weighted figure is gone; a window with nothing behind it shows —, never +0.00%</t>
  </si>
  <si>
    <t>src/screens/__tests__/invest_fcc.test.tsx</t>
  </si>
  <si>
    <t>The old summary Return counted price change only while Wealth generated beside it counted dividends and interest.</t>
  </si>
  <si>
    <t>Performance — the window selector is one control</t>
  </si>
  <si>
    <t>chat, 2026-09-25</t>
  </si>
  <si>
    <t>Can it be done like one row with dividers for different periods? … cannot see since when? and what %?</t>
  </si>
  <si>
    <t>Performance window selector</t>
  </si>
  <si>
    <t>WindowSelector in PerformanceScreen: one tray, the chosen window on a white card, hairline dividers between the resting windows, 42-point segments, two lines each (the window with its date above its own return). Five windows: Since · 1M · This year · 1Y · 2Y — 3M, 6M and the initialism YTD are gone</t>
  </si>
  <si>
    <t>src/screens/__tests__/invest_fcc.test.tsx · src/screens/__tests__/performance_window_chips.test.tsx</t>
  </si>
  <si>
    <t>A 12-point radius on a 26-point-tall chip draws a semicircle; the app's radio buttons are 42 tall. Five windows carrying returns need 434-492 points against the 362 a phone gives, so the return sits on a second line.</t>
  </si>
  <si>
    <t>Performance — the screen is the approved design and nothing else</t>
  </si>
  <si>
    <t>chat, 2026-09-25 (approval of mock v14)</t>
  </si>
  <si>
    <t>approved. save and built it</t>
  </si>
  <si>
    <t>Performance main</t>
  </si>
  <si>
    <t>The older Invest sections are removed: Your return, Honest comparison, Winners &amp; laggards, Look ahead / Look back, Your investments, and Add investment / Import / Record / Activity. Walks are titled by ACCOUNT and cover investment accounts only (a home no longer gets one). The value line has a Y axis and is drawn only from days the record holds.</t>
  </si>
  <si>
    <t>Build 53 opened on the past year and back-solved beginnings (−$448,028 on his 2026-08-17 screenshot); it also gave his home its own walk.</t>
  </si>
  <si>
    <t>A return over a window longer than a year is a yearly rate, and says so</t>
  </si>
  <si>
    <t>2Y - should not be annualized - it should be return over two years. I trust that's the standard. double check what financial insititutions do. → (after the check) Your recommendation approved. Add it to standards.</t>
  </si>
  <si>
    <t>Performance window selector · summary · category earnings</t>
  </si>
  <si>
    <t>figuresFor() returns the window total AND the yearly rate (compound, over the window's own length). The segment shows the yearly rate with “a year” under it; the summary states both: “+15.10% over the two years, which is +7.30% a year”. A window of a year or less is never annualised.</t>
  </si>
  <si>
    <t>Checked first: GIPS forbids annualising under a year and annualises above it; brokerage statements match; Fidelity warns cumulative returns of different lengths must not be compared. Standard: moneykeel_calc_spec_precision-and-display_v01.md § A return over a window longer than one year.</t>
  </si>
  <si>
    <t>Plan Q1 — extra saving is the eighth glance row</t>
  </si>
  <si>
    <t>2026-09-26</t>
  </si>
  <si>
    <t>chat, 2026-09-26: “Plan - Q1 - 8 - your recommendation approved”</t>
  </si>
  <si>
    <t>Q1 — Should extra saving each month be an eighth row in “Your plan at a glance”? → yes</t>
  </si>
  <si>
    <t>Plan · Retire</t>
  </si>
  <si>
    <t>Your plan at a glance carries “What do you save each month?”, both frames</t>
  </si>
  <si>
    <t>MoneyKeel/documents/plan/moneykeel_pres_mock_plan_v06.html</t>
  </si>
  <si>
    <t>Drawn in v06 on 2026-09-26; not built — the Plan tab’s code waits on its doors.</t>
  </si>
  <si>
    <t>Plan Q2 — the seven facts save as you type</t>
  </si>
  <si>
    <t>Q2 — save as you type, or drafts you confirm? → save as you type</t>
  </si>
  <si>
    <t>Unchanged from v4; the line under the decisions says so</t>
  </si>
  <si>
    <t>Plan Q3 — past target the dial caps at 100%</t>
  </si>
  <si>
    <t>Q3 — cap or overfill past the target? → cap, numeral still reads the true 114%</t>
  </si>
  <si>
    <t>State 6, past-target card</t>
  </si>
  <si>
    <t>Plan Q4 — day one offers our target and says whose it is</t>
  </si>
  <si>
    <t>Q4 — where does the suggested target sit? → on day one’s target row too, in the same words</t>
  </si>
  <si>
    <t>Day one target row: $1,400,000 · ours (the pot that reaches 80% odds at 1,000 futures; the 2026-08-14 ruling’s $1,250,000 came from 400 runs)</t>
  </si>
  <si>
    <t>Plan Q5 — the mortgage row says what it cannot answer</t>
  </si>
  <si>
    <t>Q5 — the mortgage odds placeholder → build the second simulation first; until then the row states today’s odds and stops</t>
  </si>
  <si>
    <t>Cash flow · Debt frames; the placeholder subtraction is gone</t>
  </si>
  <si>
    <t>Plan Q6 — what the hero says about money and tax</t>
  </si>
  <si>
    <t>Q6 — future dollars and tax. FIRST ANSWER (mine, and wrong): “today’s money, after tax”. HIS CORRECTION, 2026-09-26: “does this even make sense to you? … I thought I already made decision in the past … to keep retirement number pre-tax, as we cannot determine tax accurately. The lengthly explanation is horrible.”</t>
  </si>
  <si>
    <t>The hero stays EXACTLY as Build 53 shipped it and v4 drew it — “$909,152 of your $2,000,000 target nest egg — short $1,090,848”. Nothing about tax is printed: per G6 (2026-09-08) and G7 (2026-09-12) the plan’s figures are BEFORE tax except the required withdrawal at his own rate. The present-value question (the subtraction crosses two years’ money, as the shipped code does) stays open as one line, off the screen.</t>
  </si>
  <si>
    <t>Superseded my own first answer the same day. The ledger is not a place to leave a claim he has contradicted.</t>
  </si>
  <si>
    <t>Plan Q7 — one odds number everywhere</t>
  </si>
  <si>
    <t>Q7 — the cockpit disagrees with Home and Plan → one number, computed once, read everywhere</t>
  </si>
  <si>
    <t>Code fix in the Plan build; nothing to draw</t>
  </si>
  <si>
    <t>Plan Q8 — Ray stops treating 80% as crossed</t>
  </si>
  <si>
    <t>Q8 — Ray at 79.5% (78.9% at 1,000 futures) → the copy stops treating 80% as a line he crosses</t>
  </si>
  <si>
    <t>His hero and his claim row: about 70 → about 79 out of 100, better and still short</t>
  </si>
  <si>
    <t>A rate in a sentence carries /year, not “a year”</t>
  </si>
  <si>
    <t>chat, 2026-09-26</t>
  </si>
  <si>
    <t>go with (a) the sentence becomes “+7.30%/year” — canon-literal</t>
  </si>
  <si>
    <t>Performance summary · canon row 14</t>
  </si>
  <si>
    <t>The summary reads “+15.10% over the two years, which is +7.30%/year” and the segment carries “/year”. A spoken label still says “a year”, which the canon keeps.</t>
  </si>
  <si>
    <t>The canon guard reads copy as it renders</t>
  </si>
  <si>
    <t>chat, 2026-09-26: “fix canon guard”</t>
  </si>
  <si>
    <t>fix canon guard</t>
  </si>
  <si>
    <t>one_term_per_concept</t>
  </si>
  <si>
    <t>The guard also reads JSX children joined with their expression boundaries and templates reduced to head + “}” + literals, so an entry written with punctuation (row 14’s “} a year”) can match; identifiers inside expressions cannot raise a false alarm and spoken labels are exempt. Turning it on found 26 real violations across 14 files, all fixed.</t>
  </si>
  <si>
    <t>src/__tests__/one_term_per_concept.test.ts</t>
  </si>
  <si>
    <t>The guard had reported the app clean on a pattern it structurally could not see.</t>
  </si>
  <si>
    <t>Net worth and Home print percentages to two decimals</t>
  </si>
  <si>
    <t>chat, 2026-09-26: “fix decimel error on NW screens”</t>
  </si>
  <si>
    <t>fix decimal error on NW screens</t>
  </si>
  <si>
    <t>Net worth debt APR · the cushion · Home hero return</t>
  </si>
  <si>
    <t>The debt APR shows two decimals (6.35%, not 6.4%). The cushion keeps one decimal and says why in the code, as Q49 requires of a stated exception. Home’s hero return also moved to two decimals. The 48 remaining one-decimal percentages are held by a ratchet.</t>
  </si>
  <si>
    <t>src/__tests__/one_decimal_percent_ratchet.test.ts</t>
  </si>
  <si>
    <t>Q-NW-1 — one question, one function</t>
  </si>
  <si>
    <t>2026-09-27</t>
  </si>
  <si>
    <t>orchestrator map, Map tab, Q-NW-1, column YOUR ANSWER</t>
  </si>
  <si>
    <t>Yes - for home, NW tab, and insights. Not sure where on alternatives screen is the question "what am I worth" - provide more context?</t>
  </si>
  <si>
    <t>MK-XS-M-001 Net worth · MK-XS-M-003 YOUR INVESTMENTS · MK-HM-M-001 prices updated &lt;when&gt; · MK-HM-M-002 Your net worth just crossed X · MK-NW-M-001 Change in net worth +$X · MK-NW-M-002 Return on cash + investments · MK-NW-M-003 the trend line · MK-NW-M-004 WHAT YOU OWN · MK-NW-M-005 CASH · MK-NW-M-006 🏠 PERSONAL PROPERTY · MK-NW-M-007 class rows — by class, institution or type · MK-NW-M-008 each account and its balance · MK-NW-M-009 DEBTS · MK-NW-M-010 each debt and what is left on it · MK-NW-M-011 minimum monthly payment on a debt · MK-NW-M-012 Monthly debt payments · MK-NW-M-016 Net worth so far (setup) · MK-NW-M-017 Assets $X − Debts $Y = Net worth $Z · MK-MN-M-016 Total invested · Cash total · Investable total · MK-MN-M-022 the total value of these investments</t>
  </si>
  <si>
    <t>The question he answered: What am I worth — in total, by class, by institution, by tax bucket, and how it has moved</t>
  </si>
  <si>
    <t>Q-NW-2 — one question, one function</t>
  </si>
  <si>
    <t>orchestrator map, Map tab, Q-NW-2, column YOUR ANSWER</t>
  </si>
  <si>
    <t>yes</t>
  </si>
  <si>
    <t>MK-NW-M-018 Market value · MK-NW-M-019 Income · MK-NW-M-020 each asset class inside the account · MK-NW-M-021 Income: &lt;amount&gt; on a holding row · MK-NW-M-022 ACTIVITY — n records · MK-NW-M-038 We keep the total at $X · MK-NW-M-039 $X of $Y itemized · remainder · MK-NW-M-040 each holding and its value</t>
  </si>
  <si>
    <t>The question he answered: What is this one account worth, what is inside it, and what happened in it</t>
  </si>
  <si>
    <t>Q-NW-4 — one question, one function</t>
  </si>
  <si>
    <t>orchestrator map, Map tab, Q-NW-4, column YOUR ANSWER</t>
  </si>
  <si>
    <t>Yes - for bonds question only. Is there a similar question for CDs as CD rates don't move and one can do nothing if CD rates move.</t>
  </si>
  <si>
    <t>MK-NW-M-023 Face value · MK-NW-M-024 Interest payments · MK-NW-M-025 Matures · MK-NW-M-026 Yield if held to maturity · MK-NW-M-027 Yield on today's value · MK-NW-M-028 Rates rise 1% → value roughly $X–$Y · MK-NW-M-041 total value of your bonds · MK-NW-M-042 n bonds · face $X · MK-NW-M-043 COUPON · MK-NW-M-044 AVG YIELD · MK-NW-M-045 each bond — face, coupon, yield</t>
  </si>
  <si>
    <t>The question he answered: What are my bonds worth, what do they pay, and what happens if rates move</t>
  </si>
  <si>
    <t>Q-NW-5 — one question, one function</t>
  </si>
  <si>
    <t>orchestrator map, Map tab, Q-NW-5, column YOUR ANSWER</t>
  </si>
  <si>
    <t>Yes.</t>
  </si>
  <si>
    <t>MK-NW-M-013 EMERGENCY FUND — X.X months · MK-NW-M-014 of essentials covered by your cash — $X cash ÷ $Y/month essentials · MK-MN-M-020 N months of essentials is $X ($Y/month) · MK-MN-M-021 Using $X/month from your logged expenses · MK-MN-M-024 You could cover a $X hit · MK-MN-M-025 You'd have $X left — about N months of essentials · MK-MN-M-026 your $X/month of essentials</t>
  </si>
  <si>
    <t>The question he answered: How long would my cash cover my essentials — the cushion, a job loss, a sudden hit</t>
  </si>
  <si>
    <t>Q-PF-1 — one question, one function</t>
  </si>
  <si>
    <t>orchestrator map, Map tab, Q-PF-1, column YOUR ANSWER</t>
  </si>
  <si>
    <t>MK-XS-M-004 ▲ up/▼ down $X (Y%) this month · Return · YOUR RETURN · MK-PF-M-001 Ending value · MK-PF-M-002 Wealth generated · MK-PF-M-003 HOW $X BECAME $Y · ALL ACCOUNTS · MK-PF-M-004 Ending market value (per account) · MK-PF-M-005 each account and its ending value · MK-PF-M-006 WHAT EACH CATEGORY EARNED — RETURN · MK-PF-M-007 All categories · MK-PF-M-008 HONEST COMPARISON · MK-PF-M-009 Return (money-weighted, when the record covers it)</t>
  </si>
  <si>
    <t>The question he answered: How are my investments doing — the change walk, each account's return, the honest comparison</t>
  </si>
  <si>
    <t>Q-PL-1 — one question, one function</t>
  </si>
  <si>
    <t>orchestrator map, Map tab, Q-PL-1, column YOUR ANSWER</t>
  </si>
  <si>
    <t>MK-XS-M-002 Will my money last / Is my money lasting (odds) · MK-NW-M-015 YOUR RETIREMENT PLAN — on track for $X by age Y · MK-PL-M-001 ✓ What you have — already in: N accounts, $X counted · MK-PL-M-002 Your odds — can't work them out yet. Add &lt;what&gt; below. · MK-PL-M-007 SAVED SCENARIOS (n) · MK-PL-M-008 What you have (nest egg) · MK-PL-M-009 Monthly expenses in retirement · MK-PL-M-010 Guaranteed income — $X/mo from age Y · MK-PL-M-011 Monthly saving until then · MK-PL-M-025 +$X/mo (the saving dial) · MK-PL-M-026 $X → $Y (nest egg before and after) · MK-PL-M-027 the difference the change makes · MK-PL-M-033 your $X grows to $Y by age N at Z%/yr · MK-PL-M-034 At Z% return, your money lasts past age N · MK-PL-M-035 Retire at age (the dial) · MK-MN-M-001 each big cost and its year · MK-MN-M-002 the total of your big costs</t>
  </si>
  <si>
    <t>The question he answered: Will my money last — the odds, the nest egg, what a change does to them</t>
  </si>
  <si>
    <t>Q-PL-2 — one question, one function</t>
  </si>
  <si>
    <t>orchestrator map, Map tab, Q-PL-2, column YOUR ANSWER</t>
  </si>
  <si>
    <t>MK-PL-M-003 YOUR RETIREMENT PAYCHECK — each guaranteed source · MK-PL-M-004 = Guaranteed · MK-PL-M-005 + Draw from savings · MK-PL-M-006 Your paycheck $X/mo · MK-PL-M-018 You receive $X/mo ✓ · MK-PL-M-032 incl. Social Security $X/mo from age N · MK-CF-M-011 YOUR SOURCES — Social Security · pension · MK-CF-M-022 YOUR FUTURE PAYCHECK — At &lt;age&gt;: ~$X / mo · MK-CF-M-023 YOUR FUTURE PAYCHECK — Social Security · pension · MK-CF-M-024 each source of guaranteed income</t>
  </si>
  <si>
    <t>The question he answered: What will my retirement paycheck be — guaranteed income plus the draw from savings</t>
  </si>
  <si>
    <t>Q-PL-6 — one question, one function</t>
  </si>
  <si>
    <t>orchestrator map, Map tab, Q-PL-6, column YOUR ANSWER</t>
  </si>
  <si>
    <t>MK-PL-M-028 each goal and its monthly amount · MK-PL-M-029 Retirement saving — $X/mo now → $Y/mo · MK-PL-M-030 Extra on debt $X/mo · MK-PL-M-031 paid off &lt;month&gt; · saves $X · MK-MN-M-008 typical free cash to save $X/mo · MK-MN-M-009 each goal — $X of $Y · $Z to go · MK-MN-M-010 your non-monthly budget · MK-CF-M-021 &lt;goal&gt; · from your Plan</t>
  </si>
  <si>
    <t>The question he answered: Can I afford my goals — each goal, the monthly amount, what it does to retirement and to debt</t>
  </si>
  <si>
    <t>Q-CF-1 — one question, one function</t>
  </si>
  <si>
    <t>orchestrator map, Map tab, Q-CF-1, column YOUR ANSWER</t>
  </si>
  <si>
    <t>No. Base Pay is one component of total income or income summary and not the same. Have your checked underlying function? Are two functions calculating save thing?</t>
  </si>
  <si>
    <t>MK-XS-M-006 Income · In (received) · In (take-home) · MK-CF-M-006 YOUR SOURCES — Base salary · MK-CF-M-007 YOUR SOURCES — Self-employment · MK-CF-M-008 YOUR SOURCES — Bonus · MK-CF-M-009 YOUR SOURCES — Stock vesting (equity) · MK-CF-M-010 YOUR SOURCES — Rental property · MK-CF-M-027 each income source and its amount · MK-CF-M-029 YOUR BASE PAY — your tax band, on everything you are taxed on · MK-MN-M-011 TAKE-HOME / YEAR · MK-MN-M-012 Gross / year · MK-MN-M-013 Take-home / month · MK-MN-M-014 Employer 401(k) match · MK-CF-M-030 Each person’s pay · MK-CF-M-031 Take-home · MK-CF-M-032 Federal tax bracket · MK-CF-M-033 Calculated federal tax · MK-CF-M-034 Your 401(k)s · MK-CF-M-035 The take-home above is higher than it will really be · MK-CF-M-036 Everything else taken out · MK-CF-M-037 Take-home each month · MK-CF-M-038 each source of take-home · MK-CF-M-039 its own month, never spread · MK-CF-M-040 is not here — it is reinvested where it is earned · MK-CF-M-041 What it is taxed on · MK-CF-M-042 each taxed source · MK-CF-M-043 Federal tax bracket · MK-CF-M-044 Calculated federal tax · MK-CF-M-045 Social Security takes 6.2% of a wage up to · MK-CF-M-046 Medicare 1.45% of everything, 0.9% more above</t>
  </si>
  <si>
    <t>The question he answered: What do I earn and what do I take home — every source, each earner, the tax band</t>
  </si>
  <si>
    <t>Q-CF-2 — one question, one function</t>
  </si>
  <si>
    <t>orchestrator map, Map tab, Q-CF-2, column YOUR ANSWER</t>
  </si>
  <si>
    <t>MK-XS-M-005 Spent so far · Spent $X of $Y left to spend this month · MK-XS-M-007 Left / Over · left to spend this month · MK-HM-M-004 &lt;n&gt;% spent · day n of m · MK-CF-M-001 Expected in · MK-CF-M-002 Planned out · incl. &lt;big bill&gt; · MK-CF-M-003 = Planned surplus · MK-CF-M-004 Out (spent + debt) · MK-CF-M-005 = Surplus · MK-CF-M-013 &lt;MONTH&gt; · $X SPENT · MK-CF-M-014 each expense and its amount · MK-CF-M-015 BY CATEGORY VS PLAN — $X of $Y · MK-CF-M-018 THIS MONTH — In (take-home) · MK-CF-M-019 THIS MONTH — Out (bills + debt) · MK-CF-M-020 THIS MONTH — free to use · MK-CF-M-025 what came in and went out that month · MK-MN-M-007 $X of $Y this month · over by $Z · MK-CF-M-047 Expected inflow · MK-CF-M-048 Planned outflow (expenses + debt) · MK-CF-M-049 = Planned surplus · MK-CF-M-050 each planned line · MK-CF-M-051 Inflow · MK-CF-M-052 Outflow (expenses + debt) · MK-CF-M-053 = Surplus · MK-CF-M-054 each received line</t>
  </si>
  <si>
    <t>The question he answered: How much have I spent this month, against the plan, and what is left</t>
  </si>
  <si>
    <t>Q-CF-3 — one question, one function</t>
  </si>
  <si>
    <t>orchestrator map, Map tab, Q-CF-3, column YOUR ANSWER</t>
  </si>
  <si>
    <t>MK-CF-M-012 RECEIVED · &lt;month&gt; — each payment · MK-CF-M-016 BIG-TICKET RADAR — &lt;bill&gt; · due &lt;month&gt; · MK-CF-M-017 well above your usual &lt;category&gt; · MK-CF-M-026 the months a paycheck lands · MK-CF-M-028 each bill and the day it falls · MK-MN-M-030 $X left &lt;account&gt; on &lt;date&gt;</t>
  </si>
  <si>
    <t>The question he answered: Which bills and paychecks are coming, and which look out of the ordinary</t>
  </si>
  <si>
    <t>Q-CF-4 — one question, one function</t>
  </si>
  <si>
    <t>orchestrator map, Map tab, Q-CF-4, column YOUR ANSWER</t>
  </si>
  <si>
    <t>MK-MN-M-003 $X left / up to $Y · MK-MN-M-004 about $X of the $Y limit · MK-MN-M-005 about $X/mo for the rest of the year · MK-MN-M-029 each contribution and its amount</t>
  </si>
  <si>
    <t>The question he answered: How much room is left in my 401(k), IRA and HSA this year, and what fills it</t>
  </si>
  <si>
    <t>Q-HM-1 — one question, one function</t>
  </si>
  <si>
    <t>orchestrator map, Map tab, Q-HM-1, column YOUR ANSWER</t>
  </si>
  <si>
    <t>MK-HM-M-003 Needs your attention (1, 2, 3) · MK-MN-M-015 each insight and the dollars behind it</t>
  </si>
  <si>
    <t>The question he answered: What needs my attention — the ranked insights and the dollars behind each</t>
  </si>
  <si>
    <t>Asset class</t>
  </si>
  <si>
    <t>Data to capture — his words</t>
  </si>
  <si>
    <t>Where it is today (input or function)</t>
  </si>
  <si>
    <t>STATUS — this row</t>
  </si>
  <si>
    <t>Open item that decides it</t>
  </si>
  <si>
    <t>Fixed income</t>
  </si>
  <si>
    <t>Holding Institution</t>
  </si>
  <si>
    <t>MK-XS-I-003 institution name</t>
  </si>
  <si>
    <t>CAPTURED</t>
  </si>
  <si>
    <t>Holding Account Number</t>
  </si>
  <si>
    <t>NOT CAPTURED</t>
  </si>
  <si>
    <t>new</t>
  </si>
  <si>
    <t>A connected account keeps the last four digits (the mask); nothing stores the number for a typed account.</t>
  </si>
  <si>
    <t>Issuer</t>
  </si>
  <si>
    <t>Q38 (2026-09-08)</t>
  </si>
  <si>
    <t>The institution field stands in for the issuer today.</t>
  </si>
  <si>
    <t>CUSIP / ISIN / Ticker</t>
  </si>
  <si>
    <t>Stocks carry a ticker; a bond record carries none.</t>
  </si>
  <si>
    <t>Face Value</t>
  </si>
  <si>
    <t>MK-XS-I-011 bond face value</t>
  </si>
  <si>
    <t>Quantity</t>
  </si>
  <si>
    <t>Q38 (1) (2026-09-08)</t>
  </si>
  <si>
    <t>Number of bonds versus total face — your answer decides the field.</t>
  </si>
  <si>
    <t>Cost Price</t>
  </si>
  <si>
    <t>Current Price</t>
  </si>
  <si>
    <t>Q38 (3) (2026-09-08)</t>
  </si>
  <si>
    <t>Current Value</t>
  </si>
  <si>
    <t>MK-XS-I-001 / MK-XS-I-049 (the balance entered)</t>
  </si>
  <si>
    <t>Total Cost</t>
  </si>
  <si>
    <t>derived — quantity × cost, once both exist</t>
  </si>
  <si>
    <t>DERIVED — blocked</t>
  </si>
  <si>
    <t>Unrealized Gain/Loss</t>
  </si>
  <si>
    <t>derived — current value − total cost</t>
  </si>
  <si>
    <t>Purchase Date</t>
  </si>
  <si>
    <t>Stocks keep a purchase date per lot (MK-XS-I-007); bonds do not.</t>
  </si>
  <si>
    <t>Maturity Date</t>
  </si>
  <si>
    <t>MK-XS-I-013 bond maturity date</t>
  </si>
  <si>
    <t>Coupon</t>
  </si>
  <si>
    <t>MK-XS-I-012 bond coupon rate</t>
  </si>
  <si>
    <t>Frequency of Interest</t>
  </si>
  <si>
    <t>Needed for accrued interest and the paid-interest calendar.</t>
  </si>
  <si>
    <t>Annual Income</t>
  </si>
  <si>
    <t>derived — MK-NW-F-057 annualCoupon (face × rate; matured bonds to be excluded, JJ-3)</t>
  </si>
  <si>
    <t>DERIVED</t>
  </si>
  <si>
    <t>Paid Interest</t>
  </si>
  <si>
    <t>derived — the ledger's INTEREST rows for the bond</t>
  </si>
  <si>
    <t>Q38 (2) (2026-09-08)</t>
  </si>
  <si>
    <t>'earned interest' in your bond rule.</t>
  </si>
  <si>
    <t>Accrued Interest</t>
  </si>
  <si>
    <t>A47 (2026-08-26)</t>
  </si>
  <si>
    <t>Stocks / funds</t>
  </si>
  <si>
    <t>Ticker</t>
  </si>
  <si>
    <t>the holding's own ticker — its identity, not an input row</t>
  </si>
  <si>
    <t>MK-XS-I-004 holding quantity</t>
  </si>
  <si>
    <t>MK-XS-I-007 purchase price per lot</t>
  </si>
  <si>
    <t>MK-XS-I-005 holding price</t>
  </si>
  <si>
    <t>derived — MK-PF-F-004 marketValue</t>
  </si>
  <si>
    <t>derived — MK-PF-F-002 costBasis</t>
  </si>
  <si>
    <t>derived — MK-PF-F-005 unrealizedGain</t>
  </si>
  <si>
    <t>MK-XS-I-007 purchase date per lot</t>
  </si>
  <si>
    <t>Dividend</t>
  </si>
  <si>
    <t>the ledger's DIVIDEND rows (MK-XS-I-008 · MK-XS-I-009) → MK-NW-M-034</t>
  </si>
  <si>
    <t>Divident Frequency</t>
  </si>
  <si>
    <t>derived — the dividend and interest income functions</t>
  </si>
  <si>
    <t>Currencies</t>
  </si>
  <si>
    <t>Currency Code</t>
  </si>
  <si>
    <t>Q43 · Q09 (2026-09-08)</t>
  </si>
  <si>
    <t>No unit on the quantity today (finding S32).</t>
  </si>
  <si>
    <t>MK-XS-I-004 (no unit)</t>
  </si>
  <si>
    <t>CAPTURED — no unit</t>
  </si>
  <si>
    <t>Q09 (2026-09-08)</t>
  </si>
  <si>
    <t>MK-XS-I-007</t>
  </si>
  <si>
    <t>MK-XS-I-005 — no exchange rate</t>
  </si>
  <si>
    <t>CAPTURED — no rate</t>
  </si>
  <si>
    <t>Q43 (2026-09-08)</t>
  </si>
  <si>
    <t>derived — not converted to dollars today</t>
  </si>
  <si>
    <t>derived</t>
  </si>
  <si>
    <t>n/a — your ruling Q08 (2026-08-26): a currency held is cash in that currency; no dividend, no income</t>
  </si>
  <si>
    <t>N/A</t>
  </si>
  <si>
    <t>Crypto</t>
  </si>
  <si>
    <t>Crypto Symbol</t>
  </si>
  <si>
    <t>the holding's own ticker (BTC, ETH mapped to the feed's pairs)</t>
  </si>
  <si>
    <t>Quantity (8 digits after the decimal)</t>
  </si>
  <si>
    <t>MK-XS-I-004 — shown to 8 decimals since 2026-09-09 (your Q07)</t>
  </si>
  <si>
    <t>MK-XS-I-005</t>
  </si>
  <si>
    <t>derived — MK-PF-F-004</t>
  </si>
  <si>
    <t>derived — MK-PF-F-002</t>
  </si>
  <si>
    <t>derived — MK-PF-F-005</t>
  </si>
  <si>
    <t>n/a for a coin</t>
  </si>
  <si>
    <t>n/a</t>
  </si>
  <si>
    <t>Options</t>
  </si>
  <si>
    <t>MK-XS-I-003</t>
  </si>
  <si>
    <t>Underlying Stock</t>
  </si>
  <si>
    <t>MK-XS-I-034 option positions</t>
  </si>
  <si>
    <t>Strike Price</t>
  </si>
  <si>
    <t>MK-XS-I-034</t>
  </si>
  <si>
    <t>Expiration Date</t>
  </si>
  <si>
    <t>Option Type</t>
  </si>
  <si>
    <t>MK-XS-I-034 (put or call)</t>
  </si>
  <si>
    <t>MK-XS-I-034 contracts — the ×100 rule not applied</t>
  </si>
  <si>
    <t>CAPTURED — rule pending</t>
  </si>
  <si>
    <t>Q42 · your Q06 (2026-08-26)</t>
  </si>
  <si>
    <t>derived — MK-PF-F-004, no contract multiplier today</t>
  </si>
  <si>
    <t>DERIVED — wrong until Q42</t>
  </si>
  <si>
    <t>Q42 (2026-09-08)</t>
  </si>
  <si>
    <t>Commodities</t>
  </si>
  <si>
    <t>(no rows in your file)</t>
  </si>
  <si>
    <t>your answer to master Q13</t>
  </si>
  <si>
    <t>GLD is a fund; physical metal is the only genuinely new thing.</t>
  </si>
  <si>
    <t>Metric ID</t>
  </si>
  <si>
    <t>Parent Screen Name</t>
  </si>
  <si>
    <t>Secondary Screen Name</t>
  </si>
  <si>
    <t>Name on Screen</t>
  </si>
  <si>
    <t>Name of Underlying Metric</t>
  </si>
  <si>
    <t>Function that produces it</t>
  </si>
  <si>
    <t>Function ID</t>
  </si>
  <si>
    <t>Formula (mathematical)</t>
  </si>
  <si>
    <t>Formula (in words)</t>
  </si>
  <si>
    <t>Inputs it needs</t>
  </si>
  <si>
    <t>What comes out — unit and rounding</t>
  </si>
  <si>
    <t>Grain — one figure per what</t>
  </si>
  <si>
    <t>Period — as of when, over what window</t>
  </si>
  <si>
    <t>Dependency — function ID → the output it uses</t>
  </si>
  <si>
    <t>The chain of functions behind it</t>
  </si>
  <si>
    <t>Assumptions made anywhere in that chain</t>
  </si>
  <si>
    <t>Secondary calculations and decisions the function makes</t>
  </si>
  <si>
    <t>Errors or findings to address</t>
  </si>
  <si>
    <t>Decisions made</t>
  </si>
  <si>
    <t>Same figure as (S16)</t>
  </si>
  <si>
    <t>Questions for you (numbered)</t>
  </si>
  <si>
    <t>YOUR ANSWER — use the same number</t>
  </si>
  <si>
    <t>Your name for it (72-metric file)</t>
  </si>
  <si>
    <t>Core screen?</t>
  </si>
  <si>
    <t>Row status</t>
  </si>
  <si>
    <t>Audit finding — 2026-08-25 review</t>
  </si>
  <si>
    <t>Formula audit — metric vs the function it names (2026-08-26)</t>
  </si>
  <si>
    <t>Why no function</t>
  </si>
  <si>
    <t>Wrong on screen — build first</t>
  </si>
  <si>
    <t>Where each finding stands</t>
  </si>
  <si>
    <t>Active or decommissioned</t>
  </si>
  <si>
    <t>Date last modified</t>
  </si>
  <si>
    <t>Founder comment — 2026-08-26 (the column it was written on)</t>
  </si>
  <si>
    <t>Answer to the founder comment — checked against the code, 2026-09-08 (what the code does · verdict · fix)</t>
  </si>
  <si>
    <t>Inputs the code reads (from the chain, this build)</t>
  </si>
  <si>
    <t>Inputs — as claimed before 2026-09-09 (old inventory)</t>
  </si>
  <si>
    <t>Inputs — approved list (founder, dated)</t>
  </si>
  <si>
    <t>ROW VERIFIED — founder, date and how</t>
  </si>
  <si>
    <t>Home · Plan · Cashflow</t>
  </si>
  <si>
    <t>NA</t>
  </si>
  <si>
    <t>Will my money last / Is my money lasting (odds)</t>
  </si>
  <si>
    <t>wil.chance</t>
  </si>
  <si>
    <t>selectWillItLast</t>
  </si>
  <si>
    <t>1. MK-PL-F-068
2. MK-PL-F-050</t>
  </si>
  <si>
    <t>run 1,000 futures; in each year: balance ← balance × (1 + random return) − (expenses − guaranteed income);  odds = futures that never run out ÷ 1,000</t>
  </si>
  <si>
    <t>If age, expenses and a pot are all known, run 1,000 simulated futures and report the share in which the money never runs out, exactly — no rounding (founder, 2026-09-14); 1,000 futures give it to a tenth. Otherwise report that it could not be answered — NOT a confident zero. The best-to-worst band was removed (founder decision, fix B6); this row no longer describes one.</t>
  </si>
  <si>
    <t>1. everything → WILL_IT_LAST_INPUTS  [NOT AN INPUT — another function’s answer; see the dependency column]
2. is a range wanted → withBand  [NOT AN INPUT — a setting or a filter, not data anyone supplies]</t>
  </si>
  <si>
    <t>Percent · exact, no rounding — 1,000 futures give it to a tenth (founder, 2026-09-14)  [derived by rule — confirm]</t>
  </si>
  <si>
    <t>No odds at all until the three facts are answered. A sample is shown in their place, labelled as a sample, never as the person's own number.</t>
  </si>
  <si>
    <t>One figure per person — or per household when two people share one record  [derived by rule — confirm]</t>
  </si>
  <si>
    <t>As of today, from the latest figures held  [derived by rule — confirm]</t>
  </si>
  <si>
    <t>1. MK-PL-F-066 (displayOdds) → number
2. MK-PL-F-079 (numOrZero) → n; };
3. MK-NW-F-033 (retirementEarmarkedValue) → number
4. MK-PL-F-049 (retirementSpendMonthly) → number
5. MK-PL-F-050 (simulate) → NOT DECLARED — the code does not say what it gives back
6. MK-PL-F-067 (willItLastInputs) → RetirementInputs | null
7. MK-CF-F-132 (map) → NOT DECLARED — the code does not say what it gives back
8. MK-PL-F-074 (median) → number
9. MK-PL-F-072 (mulberry32) → NOT DECLARED — the code does not say what it gives back
10. MK-XS-F-122 (n) → number
11. MK-PL-F-073 (normal) → number
12. MK-PL-F-075 (pctOfSorted) → number
13. MK-ST-F-025 (rmdStartAgeFromAge) → number</t>
  </si>
  <si>
    <t>1. MK-PL-F-066 displayOdds → MK-PL-F-068 selectWillItLast
2. MK-XS-F-122 n → MK-PL-F-079 numOrZero → MK-PL-F-068 selectWillItLast
3. MK-NW-F-008 incomeBearingClassOf → MK-NW-F-011 assetClassOf → MK-NW-F-030 earmarkDefault → MK-NW-F-032 earmarkedAmount → MK-NW-F-033 retirementEarmarkedValue → MK-PL-F-068 selectWillItLast
4. MK-NW-F-013 realEstateUseOf → MK-NW-F-030 earmarkDefault → MK-NW-F-032 earmarkedAmount → MK-NW-F-033 retirementEarmarkedValue → MK-PL-F-068 selectWillItLast
5. MK-CF-F-155 cash → MK-NW-F-008 incomeBearingClassOf → MK-NW-F-011 assetClassOf → MK-NW-F-031 primaryCarIdOf → MK-NW-F-033 retirementEarmarkedValue → MK-PL-F-068 selectWillItLast
6. MK-ST-F-010 nameEvidence → MK-NW-F-008 incomeBearingClassOf → MK-NW-F-011 assetClassOf → MK-NW-F-031 primaryCarIdOf → MK-NW-F-033 retirementEarmarkedValue → MK-PL-F-068 selectWillItLast
7. MK-PL-F-047 colFactor → MK-PL-F-049 retirementSpendMonthly → MK-PL-F-068 selectWillItLast
8. MK-NW-F-011 assetClassOf → MK-NW-F-030 earmarkDefault → MK-NW-F-032 earmarkedAmount → MK-PL-F-001 taxBucketSplit → MK-PL-F-049 retirementSpendMonthly → MK-PL-F-068 selectWillItLast
9. … and 5 more paths</t>
  </si>
  <si>
    <t>1. MK-PL-F-066 — Rounds the answer to 6 decimal places.
2. MK-PL-F-050 — If paths is missing it uses 1000.
3. MK-PL-F-050 — If seed is missing it uses 12345.
4. MK-PL-F-050 — If now year is missing it uses 2026.
5. MK-PL-F-050 — If contribution growth is missing it uses 0.
6. MK-PL-F-050 — If pre tax share is missing it uses 0.
7. MK-PL-F-050 — If monthly is missing it counts as zero, so nothing recorded and a real zero look the same.
8. MK-PL-F-050 — If one off by year[off] is missing it counts as zero, so nothing recorded and a real zero look the same.
9. MK-PL-F-050 — If recurring by year[y] is missing it counts as zero, so nothing recorded and a real zero look the same.
10. MK-PL-F-050 — If contrib by year[y] is missing it counts as zero, so nothing recorded and a real zero look the same.
11. MK-PL-F-050 — Uses a built-in successes of 0.
12. MK-PL-F-050 — Turns a monthly figure into a year by multiplying by twelve.
13. MK-PL-F-050 — Never lets off fall below 0.
14. MK-PL-F-050 — Never lets balance fall below 0.
15. MK-PL-F-050 — Never lets required withdrawal tax rate fall below 0.
16. MK-PL-F-050 — The tax on pre-tax withdrawals is the rate the caller passes, capped at 60%; when no rate is passed NO tax is applied and the result says so — never a built-in 22% (G7, founder 2026-09-12).
17. MK-PL-F-050 — Founder ruling 2026-09-08 (G17): one count, 1,000 futures, on every surface; the guard test simulation_paths.test.ts fails on any other number.
18. MK-PL-F-067 — If social security claim age is missing it uses 67.
19. MK-PL-F-067 — If monthly is missing it uses 0.
20. MK-PL-F-067 — If salary growth is missing it uses 0.
21. MK-PL-F-067 — Turns a monthly figure into a year by multiplying by twelve.
22. MK-PL-F-067 — Uses today's date from the device clock, so the answer changes by itself overnight.
23. MK-PL-F-067 — Rounds the answer to a whole number.
24. MK-PL-F-067 — The current age is birthday-aware when the birth month is known, else the year-attained age (G9, 2026-09-12).
25. MK-PL-F-067 — Inflation: the percent figure entered (2.5) is divided by 100 before use — 0.025 a year (G5). The effective tax rate on pre-tax withdrawals is the person's own, from filing status and income (income floored at $30,000), clamped between 10% and 60% (G7 / G35).
… and 41 more, on the functions tab</t>
  </si>
  <si>
    <t>The odds shown on Home, Plan and Cash flow are rounded to the nearest 5, while the compare tables still show them exact. One figure, two precisions — founder's open question.</t>
  </si>
  <si>
    <t>[Founder] One thousand futures, and the odds are rounded to the nearest 5. A genuine 100 or 0 is shown literally; 98 shows as 95, never as 100 (fix B6). The best-to-worst band was removed.
[Built in] The assumed rate of return, which the person can change on the cockpit.</t>
  </si>
  <si>
    <t>Q19 — The odds are rounded to the nearest 5 on screen but shown exact in the compare tables. Round everywhere, or show exact everywhere?</t>
  </si>
  <si>
    <t>show exact everywhere</t>
  </si>
  <si>
    <t>NOT DETERMINED</t>
  </si>
  <si>
    <t>VERIFIED 2026-08-22</t>
  </si>
  <si>
    <t>1. A28 — Three contradictions on one row. The maths says 1,000 futures; the assumptions say the code falls back to 500 when the path count is missing. The words describe a best-to-worst range; the decision says that band was removed. The maths shows no rounding, the decision says nearest 5, the assumption says whole number.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</si>
  <si>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B13 [MISNAMED] — The figure is the thousand-futures simulation. The function it names, MK-PL-F-068 selectWillItLast, is the GATE that decides whether the question can be answered at all — it checks an age, a expenses figure and a nest egg are present. The simulation is a different function and is named on no row of this file.</t>
  </si>
  <si>
    <t>HAS A FUNCTION — traceable from the screen to the code.</t>
  </si>
  <si>
    <t>A28 — FIXED 2026-09-08
B13 — FIXED 2026-09-12
G17 / C2 — CLOSED 2026-09-08: the function default (MK-PL-F-050) and every caller — will-it-last, the snapshot (was 500), the paycheck (was 300), the cockpit scenarios (was 400) — now run 1,000 futures; guard test simulation_paths.test.ts. File and code are both updated and they match 100%.
C2 — CLOSED 2026-09-08: the words no longer describe the removed band; the count is 1,000 everywhere (G17); the unit column already says nearest 5. File only.
G28 batch 1 (2026-09-09) — NEEDS READING. The row claimed only 'another function's answer'; the code record lists 40 inputs — the odds do depend on nearly everything (balances, ages, expenses, Social Security, pension, return, inflation, big costs). A few look like over-inclusion from the static chain (MK-XS-I-016 debt minimum payment, MK-XS-I-041/042 debt payment shape, MK-XS-I-034 option positions). Proposed: I read MK-PL-F-067 and its chain by hand and bring the exact list next batch.</t>
  </si>
  <si>
    <t>ACTIVE</t>
  </si>
  <si>
    <t>1. MK-XS-I-001 account balance — read by MK-NW-F-031, MK-NW-F-032, MK-ST-F-027
2. MK-XS-I-002 account type (taxable, pre-tax, Roth) — read by MK-NW-F-004, MK-NW-F-011, MK-NW-F-035, MK-NW-F-037, MK-PL-F-001
3. MK-XS-I-004 holding quantity (shares) — read by MK-CF-F-062, MK-ST-F-027
4. MK-XS-I-005 holding price — read by MK-ST-F-027
5. MK-XS-I-007 purchase price and date (per lot) — read by MK-ST-F-027
6. MK-XS-I-013 bond maturity date — read by MK-NW-F-011, MK-ST-F-010
7. MK-XS-I-017 birth year — read by MK-CF-F-089, MK-CF-F-197, MK-PL-F-057, MK-PL-F-058, MK-PL-F-060, MK-PL-F-067, MK
8. MK-XS-I-018 retirement age — read by MK-PL-F-049, MK-PL-F-050, MK-PL-F-067
9. MK-XS-I-019 monthly expenses in retirement — read by MK-PL-F-049
10. MK-XS-I-020 Social Security monthly amount — read by MK-CF-F-072, MK-CF-F-075, MK-CF-F-076, MK-PL-F-060, MK-PL-F-067
11. MK-XS-I-021 Social Security claim age — read by MK-PL-F-058, MK-PL-F-060, MK-PL-F-067
12. MK-XS-I-022 pension monthly amount — read by MK-CF-F-072, MK-CF-F-075, MK-CF-F-076, MK-PL-F-049
13. MK-XS-I-023 salary and other income — read by MK-CF-F-074, MK-CF-F-082, MK-CF-F-083, MK-CF-F-165, MK-CF-F-172
14. MK-XS-I-024 logged expenses — read by MK-CF-F-067, MK-CF-F-068
15. MK-XS-I-026 big costs (amount and year) — read by MK-PL-F-065, MK-PL-F-067
16. MK-XS-I-028 assumed return — read by MK-PL-F-049, MK-PL-F-050, MK-PL-F-067
17. MK-XS-I-029 inflation rate — read by MK-PL-F-049, MK-PL-F-050, MK-PL-F-065, MK-PL-F-067
18. MK-XS-I-030 tax filing status and age — read by MK-CF-F-085, MK-CF-F-089, MK-CF-F-099, MK-CF-F-100, MK-CF-F-101, MK-CF-F-102, MK
19. MK-XS-I-031 daily and monthly snapshots — read by MK-ST-F-036
20. MK-XS-I-034 option positions — contracts, strike, expiry, put or call — read by MK-CF-F-062
21. MK-XS-I-035 annuity income — read by MK-CF-F-072, MK-CF-F-075, MK-CF-F-076, MK-NW-F-035, MK-PL-F-049
22. MK-XS-I-036 other guaranteed income — read by MK-CF-F-072, MK-CF-F-075, MK-CF-F-076, MK-PL-F-049, MK-PL-F-050, MK-PL-F-067
23. MK-XS-I-037 required-withdrawal income stream (ri_rmd) — read by MK-CF-F-075
24. MK-XS-I-038 withdrawal income stream (ri_withdrawals) — read by MK-CF-F-075
25. MK-XS-I-039 how often each income arrives — read by MK-CF-F-071, MK-CF-F-072, MK-CF-F-074, MK-CF-F-075, MK-CF-F-076, MK-CF-F-130
26. MK-XS-I-040 whether a stream is already being received — read by MK-CF-F-072
27. MK-XS-I-043 their own retirement contribution — read by MK-CF-F-178, MK-NW-F-041, MK-PL-F-049, MK-PL-F-050, MK-PL-F-067
28. MK-XS-I-044 the person’s own plan overrides — read by MK-PL-F-049, MK-PL-F-065, MK-PL-F-067, MK-PL-F-068
29. MK-XS-I-045 where they will live in retirement — read by MK-PL-F-049
30. MK-XS-I-046 how the employer match is expressed — percent or dollars — read by MK-CF-F-178
31. MK-XS-I-047 money to leave behind — read by MK-PL-F-067
32. MK-XS-I-048 the person’s own asset-class answer — read by MK-NW-F-011, MK-ST-F-027
33. MK-XS-I-050 the share of an account earmarked for retirement — read by MK-NW-F-032
34. MK-XS-I-051 what an account actually returned over the last twelve months — read by MK-NW-F-004
35. MK-XS-I-055 the wrapper an account sits in — ISA, 401(k), IRA and the rest — read by MK-CF-F-075, MK-CF-F-076, MK-NW-F-011, MK-NW-F-030, MK-NW-F-031, MK-NW-F-034, MK
36. MK-XS-I-060 how a person is paid — weekly, fortnightly, monthly — read by MK-CF-F-130
[the code's record, this build — evidence for the ruling, not the row's statement: it cannot see inputs handed in as arguments, and it counts every branch below the producer]</t>
  </si>
  <si>
    <t>(the claim now stands in 'Inputs it needs' until the row is approved)</t>
  </si>
  <si>
    <t>WAITING ON YOU — question Q19 · RULED, NOT CODED (Q-PL-1 — one question, one function)</t>
  </si>
  <si>
    <t>Home · Performance</t>
  </si>
  <si>
    <t>▲ up/▼ down $X (Y%) this month · Return · YOUR RETURN</t>
  </si>
  <si>
    <t>youReturn / shownReturn</t>
  </si>
  <si>
    <t>portfolioPeriodReturn</t>
  </si>
  <si>
    <t>MK-PF-F-019</t>
  </si>
  <si>
    <t>return = Σ over usable holdings of (period return × market value) ÷ Σ over usable holdings of (market value)   — usable = holdings with a period return and a market value &gt; 0; rounded to 4 decimal places; nothing when the usable total is 0</t>
  </si>
  <si>
    <t>Weight each holding's return by how much money is in it, and add: Σ(return × value) ÷ Σ(value).
Money-weighted, not an equal average: $90,000 up 10% and $10,000 flat is +9%, where averaging the two would say +5% and be badly wrong.
A holding with no return is dropped from BOTH the top and the bottom of the sum, so it neither drags the answer down nor distorts the weights.
Nothing usable → nothing, never 0%.
This is a PRICE-based return. It does not know when you added money, which is what PERSONAL_RETURN answers — the two will differ, and both are right about different questions.</t>
  </si>
  <si>
    <t>1. each holding's return → rows[].periodReturn  [NOT AN INPUT — another function’s answer; see the dependency column]
2. its value → rows[].marketValue  [NOT AN INPUT — another function’s answer; see the dependency column]</t>
  </si>
  <si>
    <t>Percent · one decimal shown  [derived by rule — confirm]</t>
  </si>
  <si>
    <t>No usable return (no price history, or no holding with a value) → the return line is not shown; never 0%. A real 0% return shows 0%.</t>
  </si>
  <si>
    <t>One figure per month  [derived by rule — confirm]</t>
  </si>
  <si>
    <t>This calendar month, to today  [derived by rule — confirm]</t>
  </si>
  <si>
    <t>MK-PF-F-004 (marketValue) → number</t>
  </si>
  <si>
    <t>1. MK-PF-F-031 contractMultiplier → MK-PF-F-004 marketValue → MK-PF-F-019 portfolioPeriodReturn
2. MK-PF-F-001 totalShares → MK-PF-F-004 marketValue → MK-PF-F-019 portfolioPeriodReturn</t>
  </si>
  <si>
    <t>1. MK-PF-F-019 — Second verification G18, 2026-09-08: this is the value-weighted average of holding returns, not a Dietz return.
2. MK-PF-F-001 — If shares is missing it counts as zero, so nothing recorded and a real zero look the same.</t>
  </si>
  <si>
    <t>NOT DETERMINED — no assumption recorded for this figure yet.</t>
  </si>
  <si>
    <t>1. A27 — The maths column states Modified Dietz — (ending - beginning - net money in) over (beginning + flows weighted by when they arrived). The words column states something else entirely — Sum(return x value) / Sum(value), a value-weighted average of holding returns. Two different formulas for one figure, and the second is not a money-weighted return whatever the words call it.
2. A14 — This file states three different formulas for what it calls a return: Sum(return x value) / Sum(value), Modified Dietz, and earned / average value held. Three methods give three answers. One of them has to be the definition.
3. A12 — moneyWeightedReturn is defined twice and the two are different methods: src/domain/performance/moneyWeighted.ts:80 solves an internal rate of return by bisection; Calculation Module code/engines/window-return.ts:69 is Modified Dietz. Both are called the money-weighted return. Only the first has a row in this file; the sweep keeps whichever folder it walks first and drops the other in silence.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</si>
  <si>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B06 [CLASH] — Two different return methods. The file states Modified Dietz — (ending − beginning − net money in) ÷ (beginning + flows weighted by when they arrived). The code (portfolioPeriodReturn) is Σ(each holding's return × its value) ÷ Σ(value), a value-weighted AVERAGE of holding returns. Different methods give different answers, and neither is what the other says. Also finding A27.</t>
  </si>
  <si>
    <t>A27 — FIXED 2026-09-08
A14 — OPEN — YOUR DECISION 2026-09-12
A12 — OPEN — YOUR DECISION 2026-09-12
B06 — OPEN — YOUR DECISION 2026-09-12
G18 — CLOSED 2026-09-08: the math column said a Dietz return; the code (MK-PF-F-019) and the words are the value-weighted average — the math column now says so; the function header's rounding line corrected (4 decimals, not whole number). The money-weighted function stays a separate figure.
G32 / Q48 — 2026-09-09: the 'division with nothing on the bottom' boilerplate is gone; this cell now states the row's real refusal. Where it says 'built', the screen already does it; the rest follow the empty-state mock.
G28 batch 1 (2026-09-09) — FILE INCOMPLETE. MK-PF-F-019 (portfolioPeriodReturn) weights each holding's return by its market value, which needs MK-XS-I-004 (quantity); the price series arrives as an argument, so MK-XS-I-005 (price) is a true input the code record cannot see. Proposed approved list: MK-XS-I-004 · MK-XS-I-005.</t>
  </si>
  <si>
    <t>1. MK-XS-I-004 holding quantity (shares) — read by MK-PF-F-001, MK-PF-F-004
2. MK-XS-I-055 the wrapper an account sits in — ISA, 401(k), IRA and the rest — read by MK-PF-F-031
3. MK-XS-I-063 option contract multiplier — 100 unless the broker or the person states otherwise — read by MK-PF-F-004, MK-PF-F-031
[the code's record, this build — evidence for the ruling, not the row's statement: it cannot see inputs handed in as arguments, and it counts every branch below the producer]</t>
  </si>
  <si>
    <t>RULED, NOT CODED (Q-PF-1 — one question, one function) · OPEN FINDING A12, A14, B06</t>
  </si>
  <si>
    <t>MK-XS-M-005</t>
  </si>
  <si>
    <t>Home · Cashflow</t>
  </si>
  <si>
    <t>Spent so far · Spent $X of $Y left to spend this month</t>
  </si>
  <si>
    <t>bva.spent_total</t>
  </si>
  <si>
    <t>budgetVsActual</t>
  </si>
  <si>
    <t>MK-CF-F-014</t>
  </si>
  <si>
    <t>spent(bucket) = Σ(expenses dated in this month in that bucket, debt payments excluded);  remaining = planned − spent</t>
  </si>
  <si>
    <t>Adds up this month’s logged expenses by bucket and sets each against what was planned. Debt payments are deliberately left out, because debt is tracked on its own.</t>
  </si>
  <si>
    <t>NOT DETERMINED — no input list on record for this function</t>
  </si>
  <si>
    <t>US dollars · held to the cent · shown as whole dollars  [derived by rule — confirm]</t>
  </si>
  <si>
    <t>$0, and under it the one line "Nothing entered yet. Log your expenses ›" (mock approved 2026-09-12). A real zero that was entered shows a plain $0 with no line.</t>
  </si>
  <si>
    <t>1. MK-CF-F-132 (map) → NOT DECLARED — the code does not say what it gives back
2. MK-CF-F-004 (spendBuckets) → NOT DECLARED — the code does not say what it gives back
3. MK-ST-F-052 (toNum) → number
4. MK-CF-F-191 (ym) → NOT DECLARED — the code does not say what it gives back</t>
  </si>
  <si>
    <t>1. MK-CF-F-132 map → MK-CF-F-014 budgetVsActual
2. MK-CF-F-069 benefitActiveMonths → MK-CF-F-092 incomeMonthlyGrid → MK-CF-F-120 pctBaseMonthly → MK-CF-F-003 categoryMonthly → MK-CF-F-004 spendBuckets → MK-CF-F-014 budgetVsActual
3. MK-CF-F-072 currentRetirementIncomeMonthly → MK-CF-F-092 incomeMonthlyGrid → MK-CF-F-120 pctBaseMonthly → MK-CF-F-003 categoryMonthly → MK-CF-F-004 spendBuckets → MK-CF-F-014 budgetVsActual
4. MK-CF-F-065 equityVestWeights → MK-CF-F-092 incomeMonthlyGrid → MK-CF-F-120 pctBaseMonthly → MK-CF-F-003 categoryMonthly → MK-CF-F-004 spendBuckets → MK-CF-F-014 budgetVsActual
5. MK-CF-F-071 extraIncome → MK-CF-F-092 incomeMonthlyGrid → MK-CF-F-120 pctBaseMonthly → MK-CF-F-003 categoryMonthly → MK-CF-F-004 spendBuckets → MK-CF-F-014 budgetVsActual
6. MK-ST-F-056 has → MK-CF-F-092 incomeMonthlyGrid → MK-CF-F-120 pctBaseMonthly → MK-CF-F-003 categoryMonthly → MK-CF-F-004 spendBuckets → MK-CF-F-014 budgetVsActual
7. MK-CF-F-132 map → MK-CF-F-092 incomeMonthlyGrid → MK-CF-F-120 pctBaseMonthly → MK-CF-F-003 categoryMonthly → MK-CF-F-004 spendBuckets → MK-CF-F-014 budgetVsActual
8. MK-CF-F-087 monthlyTaxRates → MK-CF-F-092 incomeMonthlyGrid → MK-CF-F-120 pctBaseMonthly → MK-CF-F-003 categoryMonthly → MK-CF-F-004 spendBuckets → MK-CF-F-014 budgetVsActual
9. … and 5 more paths</t>
  </si>
  <si>
    <t>1. MK-CF-F-014 — Uses today's date from the device clock, so the answer changes by itself overnight.
2. MK-CF-F-003 — Turns a monthly figure into a year by multiplying by twelve.
3. MK-CF-F-092 — Uses today's date from the device clock, so the answer changes by itself overnight.
4. MK-CF-F-065 — Uses a built-in total v of 0.
5. MK-CF-F-087 — Uses today's date from the device clock, so the answer changes by itself overnight.
6. MK-CF-F-181 — Turns a monthly figure into a year by multiplying by twelve.
7. MK-CF-F-181 — Rounds the answer to a whole number.
8. MK-CF-F-068 — Turns a monthly figure into a year by multiplying by twelve.
9. MK-CF-F-088 — Uses today's date from the device clock, so the answer changes by itself overnight.
10. MK-CF-F-088 — Never lets t fall below 0.
11. MK-PL-F-012 — If emergency gap is missing it uses 0.
12. MK-PL-F-012 — If toxic debt is missing it uses 0.
13. MK-PL-F-012 — If employer match monthly is missing it uses 0.
14. MK-PL-F-012 — Never lets surplus fall below 0.
15. MK-PL-F-012 — Never lets need fall below 0.
16. MK-CF-F-008 — Treats a year as twelve equal months.
17. MK-CF-F-008 — Turns a monthly figure into a year by multiplying by twelve.
18. MK-CF-F-089 — Uses today's date from the device clock, so the answer changes by itself overnight.
19. MK-CF-F-098 — Never lets g fall below 0.
20. MK-CF-F-098 — Never lets state rate fall below 0.
21. MK-CF-F-180 — Uses a built-in total of 0.
22. MK-CF-F-082 — Uses today's date from the device clock, so the answer changes by itself overnight.
23. MK-CF-F-084 — Turns a monthly figure into a year by multiplying by twelve.
24. MK-CF-F-084 — Uses today's date from the device clock, so the answer changes by itself overnight.
25. MK-CF-F-063 — Uses today's date from the device clock, so the answer changes by itself overnight.
… and 17 more, on the functions tab</t>
  </si>
  <si>
    <t>1. A18 — "Treats a year as twelve equal months" fires on any division by 12, a month index included; "Treats a month as 30 days" fires on any multiplication by 30. Neither is read as arithmetic, so both carry false positives.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</si>
  <si>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B26 [CLASH] — TWO DEFINITIONS OF "PLANNED" ON ONE CARD. This month shows "Out (bills + debt)" from the dated grid (cell.outflow) and, four rows below, "of $X planned" from spendBuckets — the itemised categories only. With no categories set the second is ZERO while the first is the whole month, so the card reads "Out $8,321 ... Spent $45 of $0 planned". The pace bar is measured against nothing. plannedMonthlySpend (MK-CF-F-002) is the canonical planned figure and the screen does not call it. CashFlowScreen.tsx:588 and :598.</t>
  </si>
  <si>
    <t>B26 — This month · Expenses — the pace bar measures against nothing when no categories are set</t>
  </si>
  <si>
    <t>B26 — OPEN — RE-VERIFY ON DEVICE 2026-09-12
G32 / Q48 — RULED 2026-09-09: $0 stays, with the sentence '$0 — nothing entered yet.' and this row's door ('Log your expenses ›'). File written; the screen follows the approved empty-state mock (one pattern, one screen), then every screen.
G28 batch 1 (2026-09-09) — NEEDS READING. The claim listed nothing; the code record lists 21 inputs for 'Spent so far', including holding quantities and option positions, which a expenses figure should not depend on. Either MK-CF-F-014 (budgetVsActual) reaches the income grid and from there into the holdings — a real, questionable dependency — or the static chain is counting a branch this figure never runs. This is the first candidate for 'the app reads what it should not'; I read it by hand next batch.</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</si>
  <si>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MK-CF-F-088, MK-CF-F-092, MK-CF-F-165, MK
6. MK-XS-I-024 logged expenses — read by MK-CF-F-014, MK-CF-F-067, MK-CF-F-068
7. MK-XS-I-027 goals (target, saved, date) — read by MK-PL-F-012
8. MK-XS-I-030 tax filing status and age — read by MK-CF-F-085, MK-CF-F-089, MK-CF-F-098, MK-CF-F-099, MK-CF-F-100, MK-CF-F-101, MK
9. MK-XS-I-031 daily and monthly snapshots — read by MK-ST-F-036
10. MK-XS-I-032 expenses categories the person set up — read by MK-CF-F-004, MK-CF-F-008, MK-CF-F-014
11. MK-XS-I-034 option positions — contracts, strike, expiry, put or call — read by MK-CF-F-062
12. MK-XS-I-035 annuity income — read by MK-CF-F-072, MK-CF-F-075
13. MK-XS-I-036 other guaranteed income — read by MK-CF-F-072, MK-CF-F-075
14. MK-XS-I-037 required-withdrawal income stream (ri_rmd) — read by MK-CF-F-075
15. MK-XS-I-038 withdrawal income stream (ri_withdrawals) — read by MK-CF-F-075
16. MK-XS-I-039 how often each income arrives — read by MK-CF-F-071, MK-CF-F-072, MK-CF-F-074, MK-CF-F-075, MK-CF-F-130, MK-CF-F-180
17. MK-XS-I-040 whether a stream is already being received — read by MK-CF-F-072
18. MK-XS-I-043 their own retirement contribution — read by MK-CF-F-088, MK-CF-F-092, MK-CF-F-181
19. MK-XS-I-055 the wrapper an account sits in — ISA, 401(k), IRA and the rest — read by MK-CF-F-075
20. MK-XS-I-059 the month a bonus lands — read by MK-CF-F-088, MK-CF-F-092
21. MK-XS-I-060 how a person is paid — weekly, fortnightly, monthly — read by MK-CF-F-130
22. MK-XS-I-064 the unit beside a quantity — shares, coins, contracts, ounces or units — read by MK-CF-F-003, MK-CF-F-008
[the code's record, this build — evidence for the ruling, not the row's statement: it cannot see inputs handed in as arguments, and it counts every branch below the producer]</t>
  </si>
  <si>
    <t>RULED, NOT CODED (Q-CF-2 — one question, one function) · OPEN FINDING B26</t>
  </si>
  <si>
    <t>MK-XS-M-006</t>
  </si>
  <si>
    <t>Income · In (received) · In (take-home)</t>
  </si>
  <si>
    <t>thisMonthNet</t>
  </si>
  <si>
    <t>incomeMonthlyGrid</t>
  </si>
  <si>
    <t>MK-CF-F-092</t>
  </si>
  <si>
    <t>money in month m = salary(m) + tips(m) + self-employment(m) + rental after costs(m) + investment income(m) + other income(m) + bonus(m) + signing bonus(m) + equity vesting(m) + benefits(m) + family support(m) − withholding(m) − pre-tax contributions(m)</t>
  </si>
  <si>
    <t>Builds twelve months of money in, one month at a time. Salary comes from the per-month table, equity lands in the months it vests, the bonus lands in its own month, and each month has its own withholding rate.</t>
  </si>
  <si>
    <t>$0, and under it the one line "Nothing entered yet. Add your income ›" (mock approved 2026-09-12). A real zero that was entered shows a plain $0 with no line.</t>
  </si>
  <si>
    <t>1. MK-CF-F-069 (benefitActiveMonths) → number[]
2. MK-CF-F-072 (currentRetirementIncomeMonthly) → number
3. MK-CF-F-065 (equityVestWeights) → number[] | null
4. MK-CF-F-071 (extraIncome) → NOT DECLARED — the code does not say what it gives back
5. MK-ST-F-056 (has) → NOT DECLARED — the code does not say what it gives back
6. MK-CF-F-132 (map) → NOT DECLARED — the code does not say what it gives back
7. MK-CF-F-087 (monthlyTaxRates) → number[]
8. MK-CF-F-073 (otherIncomeMonth) → number
9. MK-CF-F-181 (rateInForce) → RateInForce
10. MK-CF-F-068 (rentalNetAnnual) → number
11. MK-CF-F-066 (rsuAnnual) → number
12. MK-CF-F-060 (salaryGrossByMonth) → number[]
13. MK-CF-F-077 (scholarshipByCalendarMonth) → number[]
14. MK-CF-F-088 (taxableByCalendarMonth) → number[]
15. MK-ST-F-052 (toNum) → number
16. MK-PL-F-012 (waterfall) → NOT DECLARED — the code does not say what it gives back</t>
  </si>
  <si>
    <t>1. MK-CF-F-069 benefitActiveMonths → MK-CF-F-092 incomeMonthlyGrid
2. MK-XS-F-122 n → MK-ST-F-052 toNum → MK-CF-F-075 retirementIncomeMonthly → MK-CF-F-072 currentRetirementIncomeMonthly → MK-CF-F-092 incomeMonthlyGrid
3. MK-XS-F-122 n → MK-ST-F-052 toNum → MK-CF-F-062 equityRowValue → MK-CF-F-065 equityVestWeights → MK-CF-F-092 incomeMonthlyGrid
4. MK-CF-F-132 map → MK-CF-F-065 equityVestWeights → MK-CF-F-092 incomeMonthlyGrid
5. MK-CF-F-069 benefitActiveMonths → MK-CF-F-070 benefitAnnual → MK-CF-F-071 extraIncome → MK-CF-F-092 incomeMonthlyGrid
6. MK-XS-F-122 n → MK-ST-F-052 toNum → MK-CF-F-070 benefitAnnual → MK-CF-F-071 extraIncome → MK-CF-F-092 incomeMonthlyGrid
7. MK-ST-F-039 on → MK-CF-F-071 extraIncome → MK-CF-F-092 incomeMonthlyGrid
8. MK-XS-F-122 n → MK-ST-F-052 toNum → MK-CF-F-071 extraIncome → MK-CF-F-092 incomeMonthlyGrid
9. … and 5 more paths</t>
  </si>
  <si>
    <t>1. MK-CF-F-092 — Uses today's date from the device clock, so the answer changes by itself overnight.
2. MK-CF-F-065 — Uses a built-in total v of 0.
3. MK-CF-F-087 — Uses today's date from the device clock, so the answer changes by itself overnight.
4. MK-CF-F-181 — Turns a monthly figure into a year by multiplying by twelve.
5. MK-CF-F-181 — Rounds the answer to a whole number.
6. MK-CF-F-068 — Turns a monthly figure into a year by multiplying by twelve.
7. MK-CF-F-088 — Uses today's date from the device clock, so the answer changes by itself overnight.
8. MK-CF-F-088 — Never lets t fall below 0.
9. MK-PL-F-012 — If emergency gap is missing it uses 0.
10. MK-PL-F-012 — If toxic debt is missing it uses 0.
11. MK-PL-F-012 — If employer match monthly is missing it uses 0.
12. MK-PL-F-012 — Never lets surplus fall below 0.
13. MK-PL-F-012 — Never lets need fall below 0.
14. MK-CF-F-089 — Uses today's date from the device clock, so the answer changes by itself overnight.
15. MK-CF-F-098 — Never lets g fall below 0.
16. MK-CF-F-098 — Never lets state rate fall below 0.
17. MK-CF-F-180 — Uses a built-in total of 0.
18. MK-CF-F-082 — Uses today's date from the device clock, so the answer changes by itself overnight.
19. MK-CF-F-084 — Turns a monthly figure into a year by multiplying by twelve.
20. MK-CF-F-084 — Uses today's date from the device clock, so the answer changes by itself overnight.
21. MK-CF-F-063 — Uses today's date from the device clock, so the answer changes by itself overnight.
22. MK-CF-F-176 — If r[i] is missing it counts as zero, so nothing recorded and a real zero look the same.
23. MK-CF-F-177 — Uses today's date from the device clock, so the answer changes by itself overnight.
24. MK-CF-F-101 — Never lets state rate fall below 0.
25. MK-CF-F-101 — The 2026 bands per filing status are the Reference tab's statutory table (IRS Rev. Proc. 2025-32 §4.01), checked by statutory_constants.test.ts.
… and 13 more, on the functions tab</t>
  </si>
  <si>
    <t>THE SURVIVING IDENTIFIER for this figure. Folded in: MK-CF-M-018. Money in this month. "In (take-home)" on Cash flow is the same figure as "Income" on Home.</t>
  </si>
  <si>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</si>
  <si>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B27 [CLASH] — TAKE-HOME TYPED BY THE PERSON IS NOT WHAT THEY SEE. When salaryMode is "takehome" the app grosses the entered figure up (grossFromNet, tax.ts:172), then taxes it back down. grossFromNet adds back TAX ONLY — but take-home already has the 401(k) out of it, so the contribution is removed twice. Someone typing $4,818 a month with $20,000 a year going into a 401(k) is shown $3,351 — $1,467 a month adrift. Pre-existing; B05 improved it by $200 and left the cause. The founder's ruling 2026-08-27: what is entered as take-home IS take-home, used as typed, never grossed up.
2. B34 [CLASH] — INTEREST AND DIVIDENDS ARE COUNTED AS MONEY YOU CAN SPEND. invAnnual flows through extraIncome into ex.taxableMonthly, which lands in incomeMonthlyGrid (src/domain/income/onboarding.ts:1386) — the grid that produces TAKE-HOME. But dividends and interest are normally reinvested; they never reach the bank account. So every surplus, every runway and every savings figure is too generous by that amount — $250 a month on $3,000 a year. They are TAXABLE and they are not SPENDABLE, and the app has only one bucket for both. [Founder 2026-08-27] They belong in what income is taxed on, never in what lands.
3. B25 [CLASH] — The money-in formula lists salary, tips, rental ÷ 12, bonus and equity vesting. The code (incomeMonthlyGrid) also adds a SIGNING BONUS. A whole income source is missing from the file's arithmetic.</t>
  </si>
  <si>
    <t>B27 — Base salary · This month — take-home shown up to $1,600/mo adrift from what was typed
B34 — This month · Expenses — dividends counted as spendable, so surplus reads $250/mo too high</t>
  </si>
  <si>
    <t>B27 — FIXED 2026-09-01
B34 — OPEN — YOUR DECISION 2026-09-12
B25 — FIXED 2026-09-12
G32 / Q48 — 2026-09-09: the 'division with nothing on the bottom' boilerplate is gone; this cell now states the row's real refusal. Where it says 'built', the screen already does it; the rest follow the empty-state mock.
G28 batch 1 (2026-09-09) — NEEDS READING — same shape as MK-XS-M-005: MK-CF-F-092 (incomeMonthlyGrid) is shown reading holding quantity and option positions. Take-home should not depend on holdings; to be read by hand.</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</si>
  <si>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MK-CF-F-088, MK-CF-F-092, MK-CF-F-165, MK
6. MK-XS-I-024 logged expenses — read by MK-CF-F-067, MK-CF-F-068
7. MK-XS-I-027 goals (target, saved, date) — read by MK-PL-F-012
8. MK-XS-I-030 tax filing status and age — read by MK-CF-F-085, MK-CF-F-089, MK-CF-F-098, MK-CF-F-099, MK-CF-F-100, MK-CF-F-101, MK
9. MK-XS-I-031 daily and monthly snapshots — read by MK-ST-F-036
10. MK-XS-I-034 option positions — contracts, strike, expiry, put or call — read by MK-CF-F-062
11. MK-XS-I-035 annuity income — read by MK-CF-F-072, MK-CF-F-075
12. MK-XS-I-036 other guaranteed income — read by MK-CF-F-072, MK-CF-F-075
13. MK-XS-I-037 required-withdrawal income stream (ri_rmd) — read by MK-CF-F-075
14. MK-XS-I-038 withdrawal income stream (ri_withdrawals) — read by MK-CF-F-075
15. MK-XS-I-039 how often each income arrives — read by MK-CF-F-071, MK-CF-F-072, MK-CF-F-074, MK-CF-F-075, MK-CF-F-130, MK-CF-F-180
16. MK-XS-I-040 whether a stream is already being received — read by MK-CF-F-072
17. MK-XS-I-043 their own retirement contribution — read by MK-CF-F-088, MK-CF-F-092, MK-CF-F-181
18. MK-XS-I-055 the wrapper an account sits in — ISA, 401(k), IRA and the rest — read by MK-CF-F-075
19. MK-XS-I-059 the month a bonus lands — read by MK-CF-F-088, MK-CF-F-092
20. MK-XS-I-060 how a person is paid — weekly, fortnightly, monthly — read by MK-CF-F-130
[the code's record, this build — evidence for the ruling, not the row's statement: it cannot see inputs handed in as arguments, and it counts every branch below the producer]</t>
  </si>
  <si>
    <t>RULED, NOT CODED (Q-CF-1 — one question, one function) · OPEN FINDING B34</t>
  </si>
  <si>
    <t>MK-XS-M-007</t>
  </si>
  <si>
    <t>Left / Over · left to spend this month</t>
  </si>
  <si>
    <t>left</t>
  </si>
  <si>
    <t>Worked out on the screen itself — no function behind it</t>
  </si>
  <si>
    <t>left to spend = money in this month − spent so far</t>
  </si>
  <si>
    <t>Worked out on the screen itself, with no function behind it — a place a second definition can appear.</t>
  </si>
  <si>
    <t>Inherits the refusal of the figures it is built from: if either side is missing, this line is not shown.</t>
  </si>
  <si>
    <t>No function on record — nothing to chain</t>
  </si>
  <si>
    <t>No function on record — assumptions unknown</t>
  </si>
  <si>
    <t>B24 [NOT COMPARABLE] — This figure names no function, so its formula cannot be checked against anything. 69 of the 163 figures are in this position — the audit covers the 94 that name one.</t>
  </si>
  <si>
    <t>WORKED OUT ON THE SCREEN — the arithmetic lives in a screen file, so it cannot be shared. A second screen needing the same figure writes it again, which is how two screens come to disagree, and none of it is tested. Lift it into a named function with a formula and a test. Guard D1 would catch this; D1 is not built.</t>
  </si>
  <si>
    <t>No finding on this row. That is not a statement that the row is right — only that nothing has been written against it.</t>
  </si>
  <si>
    <t>No function on record — nothing to read from
[the code's record, this build — evidence for the ruling, not the row's statement: it cannot see inputs handed in as arguments, and it counts every branch below the producer]</t>
  </si>
  <si>
    <t>RULED, NOT CODED (Q-CF-2 — one question, one function)</t>
  </si>
  <si>
    <t>MK-XS-M-001</t>
  </si>
  <si>
    <t>/home · /analytics</t>
  </si>
  <si>
    <t>Net worth</t>
  </si>
  <si>
    <t>net_worth</t>
  </si>
  <si>
    <t>theNetWorth</t>
  </si>
  <si>
    <t>MK-NW-O-003</t>
  </si>
  <si>
    <t>the sum of every account’s value, minus the sum of every debt’s balance</t>
  </si>
  <si>
    <t>MK-NW-I-001 your accounts
MK-NW-I-002 your debts</t>
  </si>
  <si>
    <t>dollars, whole</t>
  </si>
  <si>
    <t>$0, and under it the one line "Nothing entered yet. Add your accounts ›" (mock approved 2026-09-12). A real zero that was entered shows a plain $0 with no line.</t>
  </si>
  <si>
    <t>one figure per household</t>
  </si>
  <si>
    <t>as of today</t>
  </si>
  <si>
    <t>1. MK-NW-F-029 (assetAllocation) → Record&lt;AssetClass, number&gt;
2. MK-NW-F-039 (buildAssetsState) → AssetsState
3. MK-CF-F-036 (buildDebtState) → DebtState
4. MK-NW-F-065 (buildNetWorth) → NetWorthState
5. MK-CF-F-155 (cash) → number
6. MK-NW-F-016 (cashTotal) → number
7. MK-XS-F-180 (declareFigures) → T
8. MK-NW-F-022 (investableAssets) → number
9. MK-XS-F-010 (investableChangePct) → NOT DECLARED — the code does not say what it gives back
10. MK-NW-F-021 (investmentsTotal) → number
11. MK-CF-F-132 (map) → NOT DECLARED — the code does not say what it gives back
12. MK-CF-F-023 (requiredPayment) → number
13. MK-XS-F-005 (trendPoints) → NOT DECLARED — the code does not say what it gives back
14. MK-XS-F-175 (uid) → NOT DECLARED — the code does not say what it gives back</t>
  </si>
  <si>
    <t>Declared by MK-NW-O-003 theNetWorth</t>
  </si>
  <si>
    <t>NONE RECORDED — the declaration names none.</t>
  </si>
  <si>
    <t>Home and the Net worth tab print THIS figure. They each built their own before 2026-09-27.</t>
  </si>
  <si>
    <t>Q48 — G32, the invented zero. WHAT IS WRONG: 54 figures — net worth itself among them — say 'Adds up to $0 when there is nothing to add', so a person who has entered nothing and a person whose accounts genuinely sum to $0 see the same $0. Your own rule (Hunt 5) forbids an invented figure. On 22 more rows the refusal text talks about 'a division with nothing on the bottom' where there is no division (MK-XS-M-006, MK-CF-M-006/007/008, MK-MN-M-011/012/013 are sums). THE FIX I PROPOSE, as one rule: when nothing has been entered the figure is NOT shown as $0 — the card shows its door ('Add your accounts ›', the wording the Net worth cushion already uses); a real $0 (entered, adds to nothing) still shows $0. Then I write the 54 refusal texts and the 22 corrected ones row by row and put them in front of you in batches, so you approve the rows, not the policy. Approve the rule?  [ANSWERED 2026-09-09 — see YOUR ANSWER]
Q49 — G37, floats versus decimals. TWO OF YOUR OWN STATEMENTS CONFLICT: the Reference tab's standing decision (2026-08-22) says 'every number is held as a float internally, rounding once at the edge'; your ruling brief Q-56 (2026-08-20) says full-precision DECIMAL end to end, rounded once at display. Today the code is floats (JavaScript numbers) with cents rounding at many points, so it matches the 22 August line and not brief Q-56 (2026-08-20). THE QUESTION: which stands? (a) the float line stands and brief Q-56 (2026-08-20) is marked superseded, dated — nothing to build; or (b) brief Q-56 (2026-08-20) stands, the Reference line is marked superseded, and decimal arithmetic on the money paths becomes scheduled work (finding B8). My recommendation: (a) for now — the sums are to the cent and a decimal library is a large change for no wrong number on screen today.  [ANSWERED 2026-09-09 — see YOUR ANSWER]</t>
  </si>
  <si>
    <t>Q48: Screen shows zero with a statement explaining zero as nothing is entered and here is the door. (1) approved [the sentence '$0 — nothing entered yet.' with the row's door; a real entered zero = plain $0]. (2) one mock of the pattern on one screen. (answered in chat, 2026-09-09)
Q49: For purpose of calculation keep full decimals, and for purpose of display use 2 decimals unless explicitly stated. For example, crypto holdings are typically displayed using 8 decimals. (1) recommendation approved [whole dollars for totals, balances, projections; two decimals for prices, rates, expenses, per-share; eight for coin quantities; percents to two decimals]. (2) use all decimals for calculation, and fix the code in one pass. (answered in chat, 2026-09-09)</t>
  </si>
  <si>
    <t>DECLARED IN THE CODE (rule 11) — printed from the door, not typed. RULED 2026-09-27</t>
  </si>
  <si>
    <t>G26 — CLOSED 2026-09-08: the Dependency column on every active figure is generated from the function registry (each function one step below the producer, by its identifier, and what it hands up); a build guard now fails on any retired function identifier.
G27 — CLOSED 2026-09-08: 'Figures that name it' on the functions tab is derived from the screen tabs' Function ID column.
G28 — MECHANISM DONE 2026-09-08, FILE STILL OPEN (corrected 2026-09-09): the reconciliation tab now compares by identifier on all 62 inputs and reports 59 disagreements — 31 partly agree, 18 reached but not declared, 5 declared but not reached, 5 neither. The rows' own input lists come from the old inventory; the code's record now sits beside them in 'Inputs the code reads (from the chain, this build)' for a row-by-row ruling.
G29 — CLOSED 2026-09-08: the Specification counts are read off the file as built; MK-NW-M-006 carries its formula.
G33 — CLOSED 2026-09-08 as ruled: S04, S06 and S07 read PARTIAL — the unit, grain and period are derived by rule and say so; reading them from the function is still open work.
G34 — CLOSED 2026-09-08: one word per concept in the master's words columns (take-home · calculated · draw from savings · check), the three screen labels changed to match, and a build guard fails on a banned word.
G30 — CLOSED 2026-09-08: inflation defaults to the dated 30-year average (MK-PL-F-083), adjustable on the cockpit, no feed.
G32 — waiting on Q48 (the rule for the invented zero). G37 — waiting on Q49 (floats or decimals).
G32 / Q48 — RULED 2026-09-09: $0 stays, with the sentence '$0 — nothing entered yet.' and this row's door ('Add your accounts ›'). File written; the screen follows the approved empty-state mock (one pattern, one screen), then every screen.
G28 batch 1 (2026-09-09) — FILE RIGHT, code record blind. The row claims MK-XS-I-001 (account balance) and MK-XS-I-014 (debt balance); the code record says none because MK-NW-F-065 (buildNetWorth) is handed two totals that MK-NW-F-040 and MK-CF-F-036 compute from those inputs. Proposed approved list: MK-XS-I-001 · MK-XS-I-014.
Your comment, 2026-09-14, in 'Inputs — approved list': "Not sure what you want me to approve?" — ANSWER: that column asked you to type the input identifiers this figure rests on. For net worth those are MK-XS-I-001 (account balance) and MK-XS-I-014 (debt balance), and the row already names both. It was batch 1 of ten rows in the inputs check (G28). You do not need to do it. Under rule 11 a figure's inputs are part of its row, so you approve them when you rule on the row. The separate ask is retired on all ten rows of batch 1. Your comment stays on the row exactly as you wrote it, and the build no longer reads it as an approval.</t>
  </si>
  <si>
    <t>1. MK-XS-I-001 account balance — read by MK-CF-F-111, MK-CF-F-133, MK-CF-F-134, MK-CF-F-136, MK-NW-F-015, MK-NW-F-016, MK
2. MK-XS-I-002 account type (taxable, pre-tax, Roth) — read by MK-CF-F-134, MK-CF-F-136, MK-NW-F-011, MK-NW-F-040, MK-NW-F-054, MK-XS-F-174, MK
3. MK-XS-I-003 institution name — read by MK-NW-O-003
4. MK-XS-I-004 holding quantity (shares) — read by MK-CF-F-111, MK-CF-F-116, MK-CF-F-138, MK-CF-F-139, MK-NW-F-027, MK-PF-F-001, MK
5. MK-XS-I-005 holding price — read by MK-NW-F-027, MK-PF-F-009, MK-PF-F-034, MK-ST-F-027, MK-ST-F-028, MK-ST-F-073, MK
6. MK-XS-I-006 price fetched at — read by MK-XS-F-174, MK-XS-F-175
7. MK-XS-I-007 purchase price and date (per lot) — read by MK-CF-F-138, MK-PF-F-002, MK-PF-F-013, MK-ST-F-027, MK-ST-F-028, MK-XS-F-174, MK
8. MK-XS-I-008 transaction amount — read by MK-CF-F-109, MK-CF-F-111, MK-ST-F-072
9. MK-XS-I-009 transaction date — read by MK-CF-F-109, MK-CF-F-138, MK-ST-F-071, MK-ST-F-073
10. MK-XS-I-010 transaction words (the institution's own wording) — read by MK-CF-F-109, MK-NW-F-027, MK-NW-F-054, MK-XS-F-174, MK-XS-F-175
11. MK-XS-I-013 bond maturity date — read by MK-NW-F-011, MK-NW-F-053, MK-ST-F-010
12. MK-XS-I-014 debt balance — read by MK-CF-F-036, MK-CF-F-038, MK-NW-O-003
13. MK-XS-I-015 debt interest rate — read by MK-CF-F-036, MK-CF-F-038
14. MK-XS-I-016 debt minimum payment — read by MK-CF-F-023, MK-CF-F-025, MK-CF-F-038
15. MK-XS-I-017 birth year — read by MK-CF-F-089
16. MK-XS-I-018 retirement age — read by MK-XS-F-174, MK-XS-F-175
17. MK-XS-I-020 Social Security monthly amount — read by MK-CF-F-072, MK-CF-F-075, MK-XS-F-174, MK-XS-F-175
18. MK-XS-I-021 Social Security claim age — read by MK-XS-F-174, MK-XS-F-175
19. MK-XS-I-022 pension monthly amount — read by MK-CF-F-072, MK-CF-F-075
20. MK-XS-I-024 logged expenses — read by MK-CF-F-109, MK-CF-F-150, MK-CF-F-151, MK-CF-F-153, MK-ST-F-071, MK-ST-F-072, MK
21. MK-XS-I-026 big costs (amount and year) — read by MK-XS-F-174, MK-XS-F-175
22. MK-XS-I-027 goals (target, saved, date) — read by MK-PL-F-013, MK-XS-F-174, MK-XS-F-175
23. MK-XS-I-028 assumed return — read by MK-NW-F-039, MK-NW-F-040
24. MK-XS-I-029 inflation rate — read by MK-XS-F-174, MK-XS-F-175
25. MK-XS-I-030 tax filing status and age — read by MK-CF-F-085, MK-CF-F-089, MK-CF-F-097, MK-CF-F-099, MK-CF-F-100, MK-CF-F-101, MK
26. MK-XS-I-031 daily and monthly snapshots — read by MK-ST-F-028, MK-ST-F-030, MK-ST-F-035, MK-ST-F-072, MK-ST-F-073, MK-XS-F-005, MK
27. MK-XS-I-034 option positions — contracts, strike, expiry, put or call — read by MK-NW-F-027
28. MK-XS-I-035 annuity income — read by MK-CF-F-072, MK-CF-F-075
29. MK-XS-I-036 other guaranteed income — read by MK-CF-F-072, MK-CF-F-075
30. MK-XS-I-037 required-withdrawal income stream (ri_rmd) — read by MK-CF-F-075
31. MK-XS-I-038 withdrawal income stream (ri_withdrawals) — read by MK-CF-F-075
32. MK-XS-I-039 how often each income arrives — read by MK-CF-F-072, MK-CF-F-075, MK-CF-F-186, MK-XS-F-174, MK-XS-F-175
33. MK-XS-I-040 whether a stream is already being received — read by MK-CF-F-072
34. MK-XS-I-041 the payment the person chose to make on a debt — read by MK-CF-F-023
35. MK-XS-I-042 how a stream is paid — monthly, yearly or one lump — read by MK-CF-F-021, MK-CF-F-022, MK-CF-F-023, MK-CF-F-025, MK-CF-F-149, MK-CF-F-150, MK
36. MK-XS-I-044 the person’s own plan overrides — read by MK-XS-F-174, MK-XS-F-175
37. MK-XS-I-048 the person’s own asset-class answer — read by MK-NW-F-011, MK-NW-F-027, MK-NW-F-054, MK-NW-O-003, MK-ST-F-027, MK-ST-F-028, MK
38. MK-XS-I-055 the wrapper an account sits in — ISA, 401(k), IRA and the rest — read by MK-CF-F-075, MK-CF-F-138, MK-NW-F-011, MK-NW-F-040, MK-NW-F-053, MK-NW-O-003, MK
39. MK-XS-I-056 how a holding was classified, and by whom — read by MK-XS-F-175
40. MK-XS-I-060 how a person is paid — weekly, fortnightly, monthly — read by MK-CF-F-185, MK-CF-F-186
41. MK-XS-I-063 option contract multiplier — 100 unless the broker or the person states otherwise — read by MK-PF-F-002, MK-PF-F-004, MK-PF-F-031
42. MK-XS-I-064 the unit beside a quantity — shares, coins, contracts, ounces or units — read by MK-NW-O-003
[the code's record, this build — evidence for the ruling, not the row's statement: it cannot see inputs handed in as arguments, and it counts every branch below the producer]</t>
  </si>
  <si>
    <t>Not sure what you want me to approve?</t>
  </si>
  <si>
    <t>RULED, NOT CODED (Q-NW-1 — one question, one function)</t>
  </si>
  <si>
    <t>MK-XS-M-003</t>
  </si>
  <si>
    <t>YOUR INVESTMENTS</t>
  </si>
  <si>
    <t>your_investments</t>
  </si>
  <si>
    <t>investments = Σ(balance of each account whose class ∈ {Stocks / Funds, Bonds &amp; CDs, Alternatives, Unclassified})</t>
  </si>
  <si>
    <t>the sum of every account whose class is stocks, bonds or alternatives</t>
  </si>
  <si>
    <t>MK-NW-I-001 your accounts</t>
  </si>
  <si>
    <t>G32 / Q48 — RULED 2026-09-09: $0 stays, with the sentence '$0 — nothing entered yet.' and this row's door ('Add your accounts ›'). File written; the screen follows the approved empty-state mock (one pattern, one screen), then every screen.
G28 batch 1 (2026-09-09) — FILE INCOMPLETE. MK-NW-F-021 (investmentsTotal) sums account values that are themselves built from holdings and their classification, so it truly reads MK-XS-I-002 (account type), MK-XS-I-004 (quantity), MK-XS-I-005 (price), MK-XS-I-007 (lots), MK-XS-I-013 (bond maturity) and MK-XS-I-055 (wrapper) on top of the claimed MK-XS-I-001 and MK-XS-I-048. Proposed approved list: those eight.</t>
  </si>
  <si>
    <t>MK-HM-M-001</t>
  </si>
  <si>
    <t>Home</t>
  </si>
  <si>
    <t>prices updated &lt;when&gt;</t>
  </si>
  <si>
    <t>freshness</t>
  </si>
  <si>
    <t>priceFreshness</t>
  </si>
  <si>
    <t>MK-XS-F-082</t>
  </si>
  <si>
    <t>age = now − the moment prices were last fetched;  stale when age &gt; the freshness limit</t>
  </si>
  <si>
    <t>Time since the last successful fetch, in words. Four days or more → stale. Four, because a long weekend or a holiday can put three days between two perfectly normal updates, and a false alarm teaches people to ignore the real one.
Never fetched, unreadable, or dated in the future → STALE. Silence is not good news.</t>
  </si>
  <si>
    <t>1. when it was fetched → fetchedAt  [MK-XS-I-006]
2. now → now  [NOT AN INPUT — a setting or a filter, not data anyone supplies]</t>
  </si>
  <si>
    <t>US dollars per unit · held to 8 decimal places · decimals shown  [derived by rule — confirm]</t>
  </si>
  <si>
    <t>With no priced holdings there is no freshness to report and the line does not appear.</t>
  </si>
  <si>
    <t>None — it reads its inputs and answers</t>
  </si>
  <si>
    <t>No dependent function — it reads its inputs and answers</t>
  </si>
  <si>
    <t>None found anywhere in this chain</t>
  </si>
  <si>
    <t>DECIDES the moment a price stops being current.</t>
  </si>
  <si>
    <t>Prices are never synced, so freshness is per device. Two devices can legitimately disagree about how current a value is.</t>
  </si>
  <si>
    <t>Q22 — How old is too old for a price before the screen warns? Today it is a fixed limit in the code; you have never set it.</t>
  </si>
  <si>
    <t>AGREES — the figure's arithmetic and the arithmetic of the function it names say the same thing. Checked 2026-08-26.</t>
  </si>
  <si>
    <t>MK-XS-I-006 price fetched at — read by MK-XS-F-082
[the code's record, this build — evidence for the ruling, not the row's statement: it cannot see inputs handed in as arguments, and it counts every branch below the producer]</t>
  </si>
  <si>
    <t>WAITING ON YOU — question Q22 · RULED, NOT CODED (Q-NW-1 — one question, one function)</t>
  </si>
  <si>
    <t>MK-HM-M-002</t>
  </si>
  <si>
    <t>Your net worth just crossed X</t>
  </si>
  <si>
    <t>milestone</t>
  </si>
  <si>
    <t>milestoneCrossed</t>
  </si>
  <si>
    <t>MK-HM-F-004</t>
  </si>
  <si>
    <t>crossed when net worth ≥ the next round mark above the highest mark already seen</t>
  </si>
  <si>
    <t>Notices when net worth passes a round number for the first time, and remembers the highest one already shown so the same milestone is never announced twice.</t>
  </si>
  <si>
    <t>NOT DETERMINED — this function has not been read for its refusal yet.</t>
  </si>
  <si>
    <t>MK-HM-F-003 (milestoneFloor) → number</t>
  </si>
  <si>
    <t>MK-HM-F-003 milestoneFloor → MK-HM-F-004 milestoneCrossed</t>
  </si>
  <si>
    <t>MK-HM-F-003 — Uses a built-in floor of 0.</t>
  </si>
  <si>
    <t>NONE — no function in this chain reads a stored input the sweep knows
[the code's record, this build — evidence for the ruling, not the row's statement: it cannot see inputs handed in as arguments, and it counts every branch below the producer]</t>
  </si>
  <si>
    <t>MK-HM-M-003</t>
  </si>
  <si>
    <t>Needs your attention (1, 2, 3)</t>
  </si>
  <si>
    <t>topInsights</t>
  </si>
  <si>
    <t>NOT ON RECORD — no function is recorded for this figure</t>
  </si>
  <si>
    <t>each insight scores its own dollars at stake; the list = the highest few, ranked</t>
  </si>
  <si>
    <t>Works out what is worth saying today, puts a dollar amount against each, and shows the few that matter most.</t>
  </si>
  <si>
    <t>THE SAME FIGURE AS MK-MN-M-015 — The insights list. Home shows the top three of the same list the Insights screen shows in full.</t>
  </si>
  <si>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</si>
  <si>
    <t>SUPERSEDED BY MK-MN-M-015 — the same figure under another identifier. This number is retired and is never handed to anything else.</t>
  </si>
  <si>
    <t>RULED, NOT CODED (Q-HM-1 — one question, one function)</t>
  </si>
  <si>
    <t>MK-HM-M-004</t>
  </si>
  <si>
    <t>&lt;n&gt;% spent · day n of m</t>
  </si>
  <si>
    <t>pctSpent</t>
  </si>
  <si>
    <t>share spent = spent so far ÷ money in this month</t>
  </si>
  <si>
    <t>/account-detail</t>
  </si>
  <si>
    <t>NOT STARTED — screen not yet read</t>
  </si>
  <si>
    <t>/add-account</t>
  </si>
  <si>
    <t>READ 2026-08-22 — no calculated figure on this screen</t>
  </si>
  <si>
    <t>/bonds</t>
  </si>
  <si>
    <t>/connect</t>
  </si>
  <si>
    <t>/holding-detail</t>
  </si>
  <si>
    <t>/import-holdings</t>
  </si>
  <si>
    <t>/look-back</t>
  </si>
  <si>
    <t>/onboarding</t>
  </si>
  <si>
    <t>/performance</t>
  </si>
  <si>
    <t>READ 2026-08-22 — the same screen as /invest, reached by a second route</t>
  </si>
  <si>
    <t>MK-NW-M-001</t>
  </si>
  <si>
    <t>Networth</t>
  </si>
  <si>
    <t>Change in net worth +$X</t>
  </si>
  <si>
    <t>changeThisYear</t>
  </si>
  <si>
    <t>trendPoints</t>
  </si>
  <si>
    <t>MK-XS-F-005</t>
  </si>
  <si>
    <t>change = net worth at the latest point − net worth at the chosen earlier date, both read from the trend series (MK-XS-F-005); the subtraction itself is done on the Net-worth screen — no function on record (build-spec D1)</t>
  </si>
  <si>
    <t>Monthly snapshots and daily points merged into one series and sorted by their date text. A month ("2026-07") sorts before its own days ("2026-07-04"), which is what makes plain text sorting safe.
A daily value that is not a real date or not a real number is ignored rather than drawn as zero.
No history → an empty series, NOT a flat line at zero.
THE LIMIT THAT MATTERS, and it is the mechanism behind the founder's F15: a daily point is ONE NUMBER — total net worth. There is no per-account daily history anywhere in the app, so "what was my Vanguard account worth in April" has no answer to read, and a beginning value gets BACK-SOLVED from today minus whatever the ledger claims happened. It also only ever starts the day the app was first opened: an account connected today has no yesterday, whatever the market did before that.</t>
  </si>
  <si>
    <t>1. monthly snapshots → monthly  [MK-XS-I-031]
2. daily points → daily  [MK-XS-I-031]</t>
  </si>
  <si>
    <t>A line needs at least two points; with one, the point is shown and the line is not drawn.</t>
  </si>
  <si>
    <t>1. MK-CF-F-132 (map) → NOT DECLARED — the code does not say what it gives back
2. MK-XS-F-009 (readHistory) → MonthlySnapshot[]</t>
  </si>
  <si>
    <t>1. MK-CF-F-132 map → MK-XS-F-005 trendPoints
2. MK-CF-F-132 map → MK-XS-F-009 readHistory → MK-XS-F-005 trendPoints
3. MK-XS-F-121 isYm → MK-XS-F-008 normalizeSnapshot → MK-XS-F-009 readHistory → MK-XS-F-005 trendPoints
4. MK-XS-F-122 n → MK-XS-F-008 normalizeSnapshot → MK-XS-F-009 readHistory → MK-XS-F-005 trendPoints
5. MK-CF-F-148 inMonth → MK-CF-F-151 actualSpending → MK-CF-O-002 spending → MK-XS-F-008 normalizeSnapshot → MK-XS-F-009 readHistory → MK-XS-F-005 trendPoints
6. MK-ST-F-052 toNum → MK-CF-F-151 actualSpending → MK-CF-O-002 spending → MK-XS-F-008 normalizeSnapshot → MK-XS-F-009 readHistory → MK-XS-F-005 trendPoints
7. MK-CF-F-191 ym → MK-CF-F-151 actualSpending → MK-CF-O-002 spending → MK-XS-F-008 normalizeSnapshot → MK-XS-F-009 readHistory → MK-XS-F-005 trendPoints
8. MK-ST-F-056 has → MK-CF-F-150 debtPaymentsCountedAsExpenses → MK-CF-O-002 spending → MK-XS-F-008 normalizeSnapshot → MK-XS-F-009 readHistory → MK-XS-F-005 trendPoints
9. … and 4 more paths</t>
  </si>
  <si>
    <t>1. MK-CF-F-150 — Uses a built-in s h o w f i r s t of 5.
2. MK-CF-F-023 — If monthly payment is missing it uses 0.</t>
  </si>
  <si>
    <t>The daily and monthly points are synced, but the DAILY RECORD they are checked against is not. On a second device the trend survives and the walk behind it does not.</t>
  </si>
  <si>
    <t>Q32 — The trend survives on a new device but the walk behind it does not. Should the trend say so, or show quietly?</t>
  </si>
  <si>
    <t>1. B23 [MISNAMED] — The formula has two halves: the series, and the change over the year. The function it names (trendPoints) only builds and sorts the series. The subtraction that makes the headline change is done somewhere with no function on record.</t>
  </si>
  <si>
    <t>B23 — FIXED 2026-09-12
G28 batch 1 (2026-09-09) — FILE INCOMPLETE, probably. MK-XS-F-005 (the net-worth walk) is shown reading MK-XS-I-016/041/042 (debt payment, chosen payment, payment shape) and MK-XS-I-024 (logged expenses) beside the claimed MK-XS-I-031 (snapshots) — the walk explains the change by what went in and out, so payments and expenses are plausible inputs. Proposed: approve the five, unless you want the walk read by hand first.</t>
  </si>
  <si>
    <t>1. MK-XS-I-016 debt minimum payment — read by MK-CF-F-023
2. MK-XS-I-024 logged expenses — read by MK-CF-F-150, MK-CF-F-151, MK-CF-F-153
3. MK-XS-I-031 daily and monthly snapshots — read by MK-XS-F-005, MK-XS-F-009
4. MK-XS-I-041 the payment the person chose to make on a debt — read by MK-CF-F-023
5. MK-XS-I-042 how a stream is paid — monthly, yearly or one lump — read by MK-CF-F-021, MK-CF-F-022, MK-CF-F-023, MK-CF-F-149, MK-CF-F-150, MK-CF-F-152
[the code's record, this build — evidence for the ruling, not the row's statement: it cannot see inputs handed in as arguments, and it counts every branch below the producer]</t>
  </si>
  <si>
    <t>WAITING ON YOU — question Q32 · RULED, NOT CODED (Q-NW-1 — one question, one function)</t>
  </si>
  <si>
    <t>MK-NW-M-003</t>
  </si>
  <si>
    <t>the trend line</t>
  </si>
  <si>
    <t>series</t>
  </si>
  <si>
    <t>the line is the recorded net worth at each point;  change over the year = net worth today − net worth at the first point of the year</t>
  </si>
  <si>
    <t>B23 — FIXED 2026-09-12
G28 batch 1 (2026-09-09) — Same as MK-NW-M-001 (the same producer, MK-XS-F-005).</t>
  </si>
  <si>
    <t>MK-NW-M-006</t>
  </si>
  <si>
    <t>🏠 PERSONAL PROPERTY</t>
  </si>
  <si>
    <t>sectionTotals</t>
  </si>
  <si>
    <t>personal property = Σ balance of every account whose class is personal property (vehicles, valuables — not real estate)</t>
  </si>
  <si>
    <t>Adds up the balances of every account whose class is personal property — vehicles and valuables. Real estate is its own section. Written by hand 2026-09-08 (G29): this section total is computed on the screen itself.</t>
  </si>
  <si>
    <t>CORRECTED 2026-08-25 — this row used to name ACCOUNT_SHARE_OF_TOTAL. Personal property is its own total, worked out on the screen, not a share of a total.</t>
  </si>
  <si>
    <t>1. A06 — S01 says COMPLETE, 163 of 163 carry both forms of the formula. MK-NW-M-006 carries neither. It is 162 of 163.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</si>
  <si>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A06 — FIXED 2026-09-08</t>
  </si>
  <si>
    <t>MK-NW-M-008</t>
  </si>
  <si>
    <t>each account and its balance</t>
  </si>
  <si>
    <t>a.balance</t>
  </si>
  <si>
    <t>accountClassBreakdown</t>
  </si>
  <si>
    <t>MK-NW-F-027</t>
  </si>
  <si>
    <t>for one account: value in class k = balance × weight(k), where Σ weight(k) = 1</t>
  </si>
  <si>
    <t>WHY IT EXISTS. Your Vanguard account is not one thing. It might hold a CD, a money-market fund, some shares, and a little uninvested cash. Showing it as one lump under a single heading would be wrong four ways at once.
HOW IT SPLITS. Start with the uninvested cash. Then place each holding by reading its NAME first — a money-market fund goes with the shares, a CD goes with the bonds — and only fall back to the broker's own label when the name tells us nothing.
THE LEFTOVER. Add the pieces up and they rarely match the broker's total to the penny. What to do with the difference matters more than it sounds.
A WORKED EXAMPLE, AND IT IS YOUR OWN FINDING. Say the account totals $10,100 and holds one CD worth $10,000. There is $100 unaccounted for. The app used to add it to the biggest holding — so your $100 of spare cash was reported as MORE CD. You asked "why is cash added to CD and not cash?", and you were right: it is money sitting there, not another certificate you own. A small positive leftover is now cash.
(If the pieces come to MORE than the broker's total, that is a pricing quirk rather than money, and it goes to the largest holding — putting it in cash would show you a negative cash balance, which reads worse than a rounding nudge.)</t>
  </si>
  <si>
    <t>1. the account → a  [MK-XS-I-001]
2. its total → balance  [MK-XS-I-001]
3. uninvested → cash_balance  [MK-XS-I-001]
4. holdings → positions[]  [MK-XS-I-004]
5. options → option_holdings[]  [MK-XS-I-034]</t>
  </si>
  <si>
    <t>A count · whole units, except crypto which keeps its fractions  [derived by rule — confirm]</t>
  </si>
  <si>
    <t>One figure per account  [derived by rule — confirm]</t>
  </si>
  <si>
    <t>1. MK-NW-F-011 (assetClassOf) → AssetClass
2. MK-CF-F-155 (cash) → number
3. MK-NW-F-008 (incomeBearingClassOf) → AssetClass | null</t>
  </si>
  <si>
    <t>1. MK-XS-F-122 n → MK-CF-F-155 cash → MK-NW-F-008 incomeBearingClassOf → MK-NW-F-011 assetClassOf → MK-NW-F-027 accountClassBreakdown
2. MK-ST-F-027 accountId → MK-XS-F-147 call → MK-ST-F-010 nameEvidence → MK-NW-F-008 incomeBearingClassOf → MK-NW-F-011 assetClassOf → MK-NW-F-027 accountClassBreakdown
3. MK-XS-F-064 currentIdToken → MK-XS-F-147 call → MK-ST-F-010 nameEvidence → MK-NW-F-008 incomeBearingClassOf → MK-NW-F-011 assetClassOf → MK-NW-F-027 accountClassBreakdown
4. MK-XS-F-112 relayUrl → MK-XS-F-147 call → MK-ST-F-010 nameEvidence → MK-NW-F-008 incomeBearingClassOf → MK-NW-F-011 assetClassOf → MK-NW-F-027 accountClassBreakdown
5. MK-ST-F-056 has → MK-ST-F-010 nameEvidence → MK-NW-F-008 incomeBearingClassOf → MK-NW-F-011 assetClassOf → MK-NW-F-027 accountClassBreakdown
6. MK-CF-F-132 map → MK-ST-F-010 nameEvidence → MK-NW-F-008 incomeBearingClassOf → MK-NW-F-011 assetClassOf → MK-NW-F-027 accountClassBreakdown
7. MK-XS-F-122 n → MK-CF-F-155 cash → MK-NW-F-027 accountClassBreakdown
8. MK-XS-F-122 n → MK-CF-F-155 cash → MK-NW-F-008 incomeBearingClassOf → MK-NW-F-027 accountClassBreakdown
9. … and 4 more paths</t>
  </si>
  <si>
    <t>1. MK-NW-F-027 — If cash balance is missing it uses 0.
2. MK-NW-F-027 — If shares is missing it counts as zero, so nothing recorded and a real zero look the same.
3. MK-NW-F-027 — If value is missing it counts as zero, so nothing recorded and a real zero look the same.
4. MK-NW-F-027 — If balance is missing it counts as zero, so nothing recorded and a real zero look the same.</t>
  </si>
  <si>
    <t>DECIDES which class each holding inside one account belongs to, then how much of the account total sits in each.</t>
  </si>
  <si>
    <t>Reported by the 54-item audit as one of the places a total and its parts can disagree; the reconciliation assertion now catches it, but the screen has no way to say so yet.</t>
  </si>
  <si>
    <t>Q14 — What should a MIXED account be called on screen, when it holds several classes at once?</t>
  </si>
  <si>
    <t>1. A50 — The import road calls the classification function without the institution type, the institution sub-type or the person's own answer, and hard-codes hasSecurityIdentity to true (src/domain/import/holdingsImport.ts:137). So the function's first two rules — the person's own answer outranks the institution, and a fund the institution itself declares to be money-market — cannot fire on an imported holding, which is the road most holdings arrive by.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</si>
  <si>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B15 [MISNAMED] — The formula claims to split ANY account into its classes — value in class k = balance × weight(k). The first line of the function it names (accountClassBreakdown) is "nothing when the account is not CONNECTED". For a typed or imported account it answers nothing, and the formula does not say so.</t>
  </si>
  <si>
    <t>A50 — OPEN since 2026-08-26 — nothing has closed this. It is not known to be wrong; it is known to be unaddressed.
B15 — FIXED 2026-08-27
G32 / Q48 — RULED 2026-09-09: $0 stays, with the sentence '$0 — nothing entered yet.' and this row's door ('Add your accounts ›'). File written; the screen follows the approved empty-state mock (one pattern, one screen), then every screen.</t>
  </si>
  <si>
    <t>1. MK-XS-I-001 account balance — read by MK-NW-F-027, MK-ST-F-027
2. MK-XS-I-002 account type (taxable, pre-tax, Roth) — read by MK-NW-F-011
3. MK-XS-I-004 holding quantity (shares) — read by MK-NW-F-027, MK-ST-F-027
4. MK-XS-I-005 holding price — read by MK-NW-F-027, MK-ST-F-027
5. MK-XS-I-007 purchase price and date (per lot) — read by MK-ST-F-027
6. MK-XS-I-010 transaction words (the institution's own wording) — read by MK-NW-F-027
7. MK-XS-I-013 bond maturity date — read by MK-NW-F-011, MK-ST-F-010
8. MK-XS-I-034 option positions — contracts, strike, expiry, put or call — read by MK-NW-F-027
9. MK-XS-I-048 the person’s own asset-class answer — read by MK-NW-F-011, MK-NW-F-027, MK-ST-F-027
10. MK-XS-I-055 the wrapper an account sits in — ISA, 401(k), IRA and the rest — read by MK-NW-F-011
[the code's record, this build — evidence for the ruling, not the row's statement: it cannot see inputs handed in as arguments, and it counts every branch below the producer]</t>
  </si>
  <si>
    <t>WAITING ON YOU — question Q14 · RULED, NOT CODED (Q-NW-1 — one question, one function) · OPEN FINDING A50</t>
  </si>
  <si>
    <t>MK-NW-M-015</t>
  </si>
  <si>
    <t>YOUR RETIREMENT PLAN — on track for $X by age Y</t>
  </si>
  <si>
    <t>pathAhead</t>
  </si>
  <si>
    <t>projectNestEgg</t>
  </si>
  <si>
    <t>MK-PL-F-055</t>
  </si>
  <si>
    <t>pot = balance × (1 + r)^n + Σ(contribution × (1 + r)^(n − year)),  n = years to retirement</t>
  </si>
  <si>
    <t>TWO FIGURES, no random runs anywhere in this one — it is the straight-line check beside the 1,000-run odds.
WHAT YOU WILL HAVE. Today's pot grown at your expected return for the years until you retire, plus every year's saving grown for however many years it has left. Worked at 6%: $600,000 today over 7 years becomes $902,000; $24,000 saved each of those years adds about $201,000; $1,103,000 in all.
WHAT YOU WILL NEED — the target pot. Walk every retirement year one at a time, from the year you retire to the age you plan to. In each year: take that year's expenses, take off the guaranteed income you receive that year, and that difference is what the pot must hand you. Bring each of those amounts back to a retirement-year value by dividing by your expected return once for every year you have to wait for it. Add them all up. That total is the pot that pays for the whole plan.
Two rules ride along: expenses rises with inflation every year, and so does Social Security, but a pension stays flat.
WHY THE NUMBER IS SMALLER THAN THE SUM OF THE EXPENSES. Money you do not need until year fifteen keeps earning until then, so you need less than fifteen years' expenses set aside today.
MONEY IS NEEDED AT THE START OF ITS YEAR. The first retirement year's expenses is not discounted at all — January's groceries cannot be paid out of December's growth. Some published calculators charge each year at its END, which gives every year one more year of growth and reports a target about (1 + return) / (1 + inflation) smaller — roughly 3% lower at a 6% return and 2.5% inflation. Neither is wrong; ours is the cautious side, and the difference is a timing convention, not a disagreement about the arithmetic.
HOW IT DIFFERS FROM THE 25 x YARDSTICK reported by the odds function: this one knows how long you plan for and what your money earns; the yardstick knows neither.</t>
  </si>
  <si>
    <t>the same inputs → inp  [MK-XS-I-001]</t>
  </si>
  <si>
    <t>Age in whole years  [derived by rule — confirm]</t>
  </si>
  <si>
    <t>No figure when there is nothing to grow, or when retirement is not ahead of the person.</t>
  </si>
  <si>
    <t>From today to the retirement age in the plan  [derived by rule — confirm]</t>
  </si>
  <si>
    <t>1. MK-CF-F-132 (map) → NOT DECLARED — the code does not say what it gives back
2. MK-PL-F-050 (simulate) → NOT DECLARED — the code does not say what it gives back</t>
  </si>
  <si>
    <t>1. MK-CF-F-132 map → MK-PL-F-055 projectNestEgg
2. MK-CF-F-132 map → MK-PL-F-050 simulate → MK-PL-F-055 projectNestEgg
3. MK-PL-F-074 median → MK-PL-F-050 simulate → MK-PL-F-055 projectNestEgg
4. MK-PL-F-072 mulberry32 → MK-PL-F-050 simulate → MK-PL-F-055 projectNestEgg
5. MK-XS-F-122 n → MK-PL-F-050 simulate → MK-PL-F-055 projectNestEgg
6. MK-PL-F-073 normal → MK-PL-F-050 simulate → MK-PL-F-055 projectNestEgg
7. MK-PL-F-075 pctOfSorted → MK-PL-F-050 simulate → MK-PL-F-055 projectNestEgg
8. MK-ST-F-056 has → MK-ST-F-024 rmdStartAge → MK-ST-F-025 rmdStartAgeFromAge → MK-PL-F-050 simulate → MK-PL-F-055 projectNestEgg</t>
  </si>
  <si>
    <t>1. MK-PL-F-055 — If contribution growth is missing it uses 0.
2. MK-PL-F-055 — If monthly is missing it counts as zero, so nothing recorded and a real zero look the same.
3. MK-PL-F-055 — Uses a built-in need of 0.
4. MK-PL-F-055 — Turns a monthly figure into a year by multiplying by twelve.
5. MK-PL-F-055 — A contribution is treated as arriving at the END of its year, so it compounds for one year fewer than a start-of-year contribution would — the answer differs by a factor of (1 + r) between the two readings (A44 / B11). Contributions grow at their own rate, which is ZERO when nobody sets one. r is a nominal return; inflation is applied elsewhere.
6. MK-PL-F-050 — If paths is missing it uses 1000.
7. MK-PL-F-050 — If seed is missing it uses 12345.
8. MK-PL-F-050 — If now year is missing it uses 2026.
9. MK-PL-F-050 — If contribution growth is missing it uses 0.
10. MK-PL-F-050 — If pre tax share is missing it uses 0.
11. MK-PL-F-050 — If monthly is missing it counts as zero, so nothing recorded and a real zero look the same.
12. MK-PL-F-050 — If one off by year[off] is missing it counts as zero, so nothing recorded and a real zero look the same.
13. MK-PL-F-050 — If recurring by year[y] is missing it counts as zero, so nothing recorded and a real zero look the same.
14. MK-PL-F-050 — If contrib by year[y] is missing it counts as zero, so nothing recorded and a real zero look the same.
15. MK-PL-F-050 — Uses a built-in successes of 0.
16. MK-PL-F-050 — Turns a monthly figure into a year by multiplying by twelve.
17. MK-PL-F-050 — Never lets off fall below 0.
18. MK-PL-F-050 — Never lets balance fall below 0.
19. MK-PL-F-050 — Never lets required withdrawal tax rate fall below 0.
20. MK-PL-F-050 — The tax on pre-tax withdrawals is the rate the caller passes, capped at 60%; when no rate is passed NO tax is applied and the result says so — never a built-in 22% (G7, founder 2026-09-12).
21. MK-PL-F-050 — Founder ruling 2026-09-08 (G17): one count, 1,000 futures, on every surface; the guard test simulation_paths.test.ts fails on any other number.
22. MK-PL-F-075 — Rounds the answer to a whole number.
23. MK-ST-F-024 — When the birth year is missing the start age is taken as 73 — the rule for those born 1951–1959, the middle of the 55–70 audience (A36). The whole schedule is coded: 70½ before 1949, 72 for 1949–1950, 73 for 1951–1959, 75 from 1960.</t>
  </si>
  <si>
    <t>The Net worth screen builds this projection WITHOUT the person's big costs, while Cash flow, Budget, Goals and Social Security timing all include them. Same person, same day, two different nest eggs. Seen in the code; not yet confirmed on screen.</t>
  </si>
  <si>
    <t>[Founder] The recommended nest egg is 25× the yearly expenses not covered by guaranteed income, counted from the start of the retirement year — which is why it differs from an outside calculator.
[Built in] The assumed rate of return, which the person can change on the cockpit.
[The person] The retirement age in their plan.</t>
  </si>
  <si>
    <t>THE SAME FIGURE AS MK-PL-M-033 — The projected pot at retirement, shown on Net worth as "on track for $X by age Y" and on the cockpit as "your $X grows to $Y". One figure, two screens — the founder spotted this one himself.</t>
  </si>
  <si>
    <t>Q18 — Net worth projects the pot WITHOUT your big costs; Cash flow, Budget, Goals and Social Security timing all include them. Which is right for the Net worth screen?</t>
  </si>
  <si>
    <t>1. A44 — Retirement pot: the file writes pot = balance × (1+r)^n + Σ(contribution × (1+r)^(n−year)) and stops there. Three things the code settles and the file does not: a contribution is treated as arriving at the END of its year, which changes the answer by a factor of (1+r) against the other reading; contributions grow at their own rate, which DEFAULTS TO ZERO when nobody sets one; and r is a nominal return, with inflation applied to the expenses side rather than here — so whether the headline is in today's money depends on a convention stated nowhere. (projectNestEgg, src/domain/retirement/index.ts:324.)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</si>
  <si>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B11 [CLASH] — The file writes the pot as balance × (1+r)^n + Σ(contribution × (1+r)^(n−year)). The code (projectNestEgg) also grows each year's contribution at its own rate, (1+g)^y, and compounds it for (n − y − 1) years — an END-of-year contribution. Neither the growth rate nor the year convention is in the file, and the convention alone moves the answer by a factor of (1+r). Also finding A44.</t>
  </si>
  <si>
    <t>B11 — This month — the future-paycheck figure omits contribution growth the code applies</t>
  </si>
  <si>
    <t>A44 — NOT A DEFECT 2026-08-26
B11 — FIXED 2026-09-12</t>
  </si>
  <si>
    <t>SUPERSEDED BY MK-PL-M-033 — the same figure under another identifier. This number is retired and is never handed to anything else.</t>
  </si>
  <si>
    <t>1. MK-XS-I-017 birth year — read by MK-ST-F-024
2. MK-XS-I-018 retirement age — read by MK-PL-F-050, MK-PL-F-055
3. MK-XS-I-028 assumed return — read by MK-PL-F-050, MK-PL-F-055
4. MK-XS-I-029 inflation rate — read by MK-PL-F-050, MK-PL-F-055
5. MK-XS-I-036 other guaranteed income — read by MK-PL-F-050, MK-PL-F-055
6. MK-XS-I-043 their own retirement contribution — read by MK-PL-F-050, MK-PL-F-055
[the code's record, this build — evidence for the ruling, not the row's statement: it cannot see inputs handed in as arguments, and it counts every branch below the producer]</t>
  </si>
  <si>
    <t>WAITING ON YOU — question Q18 · RULED, NOT CODED (Q-PL-1 — one question, one function)</t>
  </si>
  <si>
    <t>MK-NW-M-016</t>
  </si>
  <si>
    <t>Net worth so far (setup)</t>
  </si>
  <si>
    <t>nw.net_worth</t>
  </si>
  <si>
    <t>buildNetWorth</t>
  </si>
  <si>
    <t>MK-NW-F-065</t>
  </si>
  <si>
    <t>net worth = Σ(all asset balances) − Σ(all debt balances)</t>
  </si>
  <si>
    <t>total assets − total debts, computed here and never stored as a third number that could disagree with its own two halves.
Owing more than you own gives a REAL negative — it is never floored at zero, because someone early in a mortgage genuinely has a negative net worth and hiding it would be a lie about their position.</t>
  </si>
  <si>
    <t>1. everything owned → grossAssets  [MK-XS-I-001]
2. everything owed → grossDebt  [MK-XS-I-014]</t>
  </si>
  <si>
    <t>Adds up to $0 when there is nothing to add. Zero and "nothing recorded yet" look identical on screen — worth a decision.</t>
  </si>
  <si>
    <t>MK-XS-F-175 (uid) → NOT DECLARED — the code does not say what it gives back</t>
  </si>
  <si>
    <t>1. MK-ST-F-027 accountId → MK-XS-F-175 uid → MK-NW-F-065 buildNetWorth
2. MK-CF-F-137 findPos → MK-CF-F-138 addLot → MK-CF-F-111 applyTransaction → MK-XS-F-175 uid → MK-NW-F-065 buildNetWorth
3. MK-CF-F-132 map → MK-CF-F-138 addLot → MK-CF-F-111 applyTransaction → MK-XS-F-175 uid → MK-NW-F-065 buildNetWorth
4. MK-ST-F-043 newEntityId → MK-CF-F-138 addLot → MK-CF-F-111 applyTransaction → MK-XS-F-175 uid → MK-NW-F-065 buildNetWorth
5. MK-CF-F-134 usesSleeve → MK-CF-F-136 bumpCash → MK-CF-F-111 applyTransaction → MK-XS-F-175 uid → MK-NW-F-065 buildNetWorth
6. MK-CF-F-137 findPos → MK-CF-F-111 applyTransaction → MK-XS-F-175 uid → MK-NW-F-065 buildNetWorth
7. MK-CF-F-132 map → MK-CF-F-111 applyTransaction → MK-XS-F-175 uid → MK-NW-F-065 buildNetWorth
8. MK-CF-F-137 findPos → MK-CF-F-139 removeShares → MK-CF-F-111 applyTransaction → MK-XS-F-175 uid → MK-NW-F-065 buildNetWorth
9. … and 4 more paths</t>
  </si>
  <si>
    <t>1. MK-XS-F-175 — If length is missing it uses 0.
2. MK-XS-F-175 — If change amount is missing it uses 0.
3. MK-XS-F-175 — If allocated by month[ym] is missing it uses 0.
4. MK-XS-F-175 — If ym] is missing it uses 0.
5. MK-XS-F-175 — If saved is missing it counts as zero, so nothing recorded and a real zero look the same.
6. MK-XS-F-175 — Uses a built-in total of 0.
7. MK-XS-F-175 — Uses today's date from the device clock, so the answer changes by itself overnight.
8. MK-XS-F-175 — Rounds the answer to two decimals (cents).
9. MK-CF-F-111 — If shares is missing it counts as zero, so nothing recorded and a real zero look the same.
10. MK-CF-F-111 — If price is missing it counts as zero, so nothing recorded and a real zero look the same.
11. MK-CF-F-111 — If amount is missing it counts as zero, so nothing recorded and a real zero look the same.
12. MK-CF-F-111 — If balance is missing it counts as zero, so nothing recorded and a real zero look the same.
13. MK-ST-F-028 — If balance is missing it uses 0.
14. MK-ST-F-028 — If shares is missing it counts as zero, so nothing recorded and a real zero look the same.
15. MK-ST-F-028 — If cost per share is missing it counts as zero, so nothing recorded and a real zero look the same.
16. MK-ST-F-028 — Uses a built-in d a i l y y e a r s of 2.
17. MK-CF-F-112 — Uses today's date from the device clock, so the answer changes by itself overnight.
18. MK-ST-F-043 — Uses today's date from the device clock, so the answer changes by itself overnight.
19. MK-ST-F-073 — Uses a built-in cursor of 0.
20. MK-NW-F-054 — Uses a built-in changed of 0.
21. MK-XS-F-174 — If cash balance is missing it counts as zero, so nothing recorded and a real zero look the same.
22. MK-CF-F-109 — If amount is missing it uses 0.
23. MK-CF-F-109 — Uses today's date from the device clock, so the answer changes by itself overnight.
24. MK-CF-F-136 — If length is missing it uses 0.
25. MK-CF-F-136 — If cash balance is missing it counts as zero, so nothing recorded and a real zero look the same.
… and 25 more, on the functions tab</t>
  </si>
  <si>
    <t>[Founder] Assets minus debts, computed each time and never stored as a third number that could disagree with its own halves. A genuine negative is shown, never floored at zero.</t>
  </si>
  <si>
    <t>THE SAME FIGURE AS MK-XS-M-001 — Net worth. "Net worth so far" during setup is the same figure as the headline, mid-way through entry.</t>
  </si>
  <si>
    <t>SUPERSEDED BY MK-XS-M-001 — the same figure under another identifier. This number is retired and is never handed to anything else.</t>
  </si>
  <si>
    <t>1. MK-XS-I-001 account balance — read by MK-CF-F-111, MK-CF-F-133, MK-CF-F-134, MK-CF-F-136, MK-NW-F-040, MK-ST-F-027, MK
2. MK-XS-I-002 account type (taxable, pre-tax, Roth) — read by MK-CF-F-134, MK-CF-F-136, MK-NW-F-040, MK-NW-F-054, MK-XS-F-174, MK-XS-F-175
3. MK-XS-I-004 holding quantity (shares) — read by MK-CF-F-111, MK-CF-F-116, MK-CF-F-138, MK-CF-F-139, MK-PF-F-001, MK-PF-F-002, MK
4. MK-XS-I-005 holding price — read by MK-PF-F-009, MK-PF-F-034, MK-ST-F-027, MK-ST-F-028, MK-ST-F-073, MK-XS-F-174
5. MK-XS-I-006 price fetched at — read by MK-XS-F-174, MK-XS-F-175
6. MK-XS-I-007 purchase price and date (per lot) — read by MK-CF-F-138, MK-PF-F-002, MK-PF-F-013, MK-ST-F-027, MK-ST-F-028, MK-XS-F-174, MK
7. MK-XS-I-008 transaction amount — read by MK-CF-F-109, MK-CF-F-111, MK-ST-F-072
8. MK-XS-I-009 transaction date — read by MK-CF-F-109, MK-CF-F-138, MK-ST-F-071, MK-ST-F-073
9. MK-XS-I-010 transaction words (the institution's own wording) — read by MK-CF-F-109, MK-NW-F-054, MK-XS-F-174, MK-XS-F-175
10. MK-XS-I-013 bond maturity date — read by MK-NW-F-053, MK-ST-F-010
11. MK-XS-I-014 debt balance — read by MK-CF-F-038
12. MK-XS-I-015 debt interest rate — read by MK-CF-F-038
13. MK-XS-I-016 debt minimum payment — read by MK-CF-F-038
14. MK-XS-I-017 birth year — read by MK-CF-F-089
15. MK-XS-I-018 retirement age — read by MK-XS-F-174, MK-XS-F-175
16. MK-XS-I-020 Social Security monthly amount — read by MK-CF-F-072, MK-CF-F-075, MK-XS-F-174, MK-XS-F-175
17. MK-XS-I-021 Social Security claim age — read by MK-XS-F-174, MK-XS-F-175
18. MK-XS-I-022 pension monthly amount — read by MK-CF-F-072, MK-CF-F-075
19. MK-XS-I-024 logged expenses — read by MK-CF-F-109, MK-ST-F-071, MK-ST-F-072, MK-ST-F-073, MK-XS-F-174, MK-XS-F-175
20. MK-XS-I-026 big costs (amount and year) — read by MK-XS-F-174, MK-XS-F-175
21. MK-XS-I-027 goals (target, saved, date) — read by MK-PL-F-013, MK-XS-F-174, MK-XS-F-175
22. MK-XS-I-028 assumed return — read by MK-NW-F-040
23. MK-XS-I-029 inflation rate — read by MK-XS-F-174, MK-XS-F-175
24. MK-XS-I-030 tax filing status and age — read by MK-CF-F-085, MK-CF-F-089, MK-CF-F-097, MK-CF-F-099, MK-CF-F-100, MK-CF-F-101, MK
25. MK-XS-I-031 daily and monthly snapshots — read by MK-ST-F-028, MK-ST-F-030, MK-ST-F-035, MK-ST-F-072, MK-ST-F-073, MK-XS-F-174, MK
26. MK-XS-I-035 annuity income — read by MK-CF-F-072, MK-CF-F-075
27. MK-XS-I-036 other guaranteed income — read by MK-CF-F-072, MK-CF-F-075
28. MK-XS-I-037 required-withdrawal income stream (ri_rmd) — read by MK-CF-F-075
29. MK-XS-I-038 withdrawal income stream (ri_withdrawals) — read by MK-CF-F-075
30. MK-XS-I-039 how often each income arrives — read by MK-CF-F-072, MK-CF-F-075, MK-CF-F-186, MK-XS-F-174, MK-XS-F-175
31. MK-XS-I-040 whether a stream is already being received — read by MK-CF-F-072
32. MK-XS-I-044 the person’s own plan overrides — read by MK-XS-F-174, MK-XS-F-175
33. MK-XS-I-048 the person’s own asset-class answer — read by MK-NW-F-054, MK-ST-F-027, MK-ST-F-028, MK-ST-F-073, MK-XS-F-175
34. MK-XS-I-055 the wrapper an account sits in — ISA, 401(k), IRA and the rest — read by MK-CF-F-075, MK-CF-F-138, MK-NW-F-040, MK-NW-F-053, MK-PF-F-013, MK-PF-F-031, MK
35. MK-XS-I-056 how a holding was classified, and by whom — read by MK-XS-F-175
36. MK-XS-I-060 how a person is paid — weekly, fortnightly, monthly — read by MK-CF-F-185, MK-CF-F-186
37. MK-XS-I-063 option contract multiplier — 100 unless the broker or the person states otherwise — read by MK-PF-F-002, MK-PF-F-004, MK-PF-F-031
[the code's record, this build — evidence for the ruling, not the row's statement: it cannot see inputs handed in as arguments, and it counts every branch below the producer]</t>
  </si>
  <si>
    <t>/itemize</t>
  </si>
  <si>
    <t>MK-NW-M-002</t>
  </si>
  <si>
    <t>/analytics</t>
  </si>
  <si>
    <t>Return on cash + investments</t>
  </si>
  <si>
    <t>return_on_cash__investments</t>
  </si>
  <si>
    <t>today’s investable total ÷ the first investable figure recorded on or after that day, minus 1</t>
  </si>
  <si>
    <t>MK-NW-I-001 your accounts
MK-NW-I-003 the recorded history</t>
  </si>
  <si>
    <t>a percentage, two decimals</t>
  </si>
  <si>
    <t>The record does not reach back that far, so it shows nothing rather than a made-up change.</t>
  </si>
  <si>
    <t>No recorded day on or after the baseline → no figure. A movement from a day nobody recorded is not a movement.</t>
  </si>
  <si>
    <t>Q17 — "Return on cash + investments" counts money you paid in as a gain. Is the LABEL wrong, or the FORMULA? Fixing the formula means removing deposits and withdrawals before measuring.</t>
  </si>
  <si>
    <t>G28 batch 1 (2026-09-09) — FILE RIGHT, code record blind. MK-XS-F-010 is handed the snapshot series (MK-XS-I-031) by its caller. Proposed approved list: MK-XS-I-031.</t>
  </si>
  <si>
    <t>WAITING ON YOU — question Q17 · RULED, NOT CODED (Q-NW-1 — one question, one function)</t>
  </si>
  <si>
    <t>MK-NW-M-004</t>
  </si>
  <si>
    <t>WHAT YOU OWN</t>
  </si>
  <si>
    <t>what_you_own</t>
  </si>
  <si>
    <t>the sum of every account’s value</t>
  </si>
  <si>
    <t>G32 / Q48 — RULED 2026-09-09: $0 stays, with the sentence '$0 — nothing entered yet.' and this row's door ('Add your accounts ›'). File written; the screen follows the approved empty-state mock (one pattern, one screen), then every screen.</t>
  </si>
  <si>
    <t>MK-NW-M-005</t>
  </si>
  <si>
    <t>/analytics · /insights</t>
  </si>
  <si>
    <t>CASH</t>
  </si>
  <si>
    <t>cash</t>
  </si>
  <si>
    <t>cash = Σ(balance of each account whose class = Cash) + Σ over CONNECTED accounts of (the cash slice of the account's class breakdown)</t>
  </si>
  <si>
    <t>Add up the balances of every account whose class is Cash — under the founder's 2026-08-04 rule that means checking, savings, high-yield savings and the uninvested sweep at a broker, and NOT money-market funds, which pay dividends and are measured with the investments. A CONNECTED account that holds several classes at once adds only its cash slice.</t>
  </si>
  <si>
    <t>A CD and a money-market fund are NOT cash: they are bonds and funds, because they pay interest and dividends that must be measured (founder, 2026-08-04).</t>
  </si>
  <si>
    <t>G32 / Q48 — RULED 2026-09-09: $0 stays, with the sentence '$0 — nothing entered yet.' and this row's door ('Add your accounts ›'). File written; the screen follows the approved empty-state mock (one pattern, one screen), then every screen.
G28 batch 1 (2026-09-09) — PARTLY. MK-NW-F-016 (cashTotal) sums the accounts whose class is cash, and the class comes from MK-NW-F-011 (assetClassOf), which reads MK-XS-I-002 (type), MK-XS-I-055 (wrapper) and MK-XS-I-013 (maturity) — those three are true inputs the claim missed. MK-XS-I-010 (transaction words) and MK-XS-I-034 (options) in the code record look like over-inclusion. Proposed approved list: MK-XS-I-001 · MK-XS-I-048 · MK-XS-I-002 · MK-XS-I-055 · MK-XS-I-013; the other two to be read.</t>
  </si>
  <si>
    <t>MK-NW-M-007</t>
  </si>
  <si>
    <t>class rows — by class, institution or type</t>
  </si>
  <si>
    <t>class_rows__by_class_institution_or_type</t>
  </si>
  <si>
    <t>each account’s value booked to its class, added up by class</t>
  </si>
  <si>
    <t>one class</t>
  </si>
  <si>
    <t>Q10 — What order of evidence decides an asset's class? Draft: the institution's own class field, then the shape of the identifier (option symbols, nine-character bond numbers, currency codes), then words in the name, then ask you.
Q11 — When nothing matches: refuse the line and ask, or park it as unclassified? Parking keeps the totals right and hides a gap; refusing is honest and stops the import.
Q12 — Does the person's own answer always win and stick, even when the next sync disagrees? That is today's rule for holdings — confirm it holds for every class.
Q13 — Commodities: is a fund that tracks gold (GLD) simply a fund with a "commodity" label for allocation, and do you want PHYSICAL metal — weight, unit, purity, storage, spot price — supported at launch?</t>
  </si>
  <si>
    <t>WAITING ON YOU — question Q10, Q11, Q12, Q13 · RULED, NOT CODED (Q-NW-1 — one question, one function)</t>
  </si>
  <si>
    <t>MK-NW-M-009</t>
  </si>
  <si>
    <t>DEBTS</t>
  </si>
  <si>
    <t>debts</t>
  </si>
  <si>
    <t>the sum of every debt’s remaining balance</t>
  </si>
  <si>
    <t>MK-NW-I-002 your debts</t>
  </si>
  <si>
    <t>$0, and under it the one line "Nothing entered yet. Add your debts ›" (mock approved 2026-09-12). A real zero that was entered shows a plain $0 with no line.</t>
  </si>
  <si>
    <t>G32 / Q48 — RULED 2026-09-09: $0 stays, with the sentence '$0 — nothing entered yet.' and this row's door ('Add your debts ›'). File written; the screen follows the approved empty-state mock (one pattern, one screen), then every screen.</t>
  </si>
  <si>
    <t>MK-NW-M-010</t>
  </si>
  <si>
    <t>each debt and what is left on it</t>
  </si>
  <si>
    <t>each_debt_and_what_is_left_on_it</t>
  </si>
  <si>
    <t>the remaining balance you entered, lowered by each payment logged</t>
  </si>
  <si>
    <t>The balance still owed on the debt, as recorded — an input, no arithmetic.</t>
  </si>
  <si>
    <t>one debt</t>
  </si>
  <si>
    <t>minimum monthly payment on a debt</t>
  </si>
  <si>
    <t>minimum_monthly_payment_on_a_debt</t>
  </si>
  <si>
    <t>required payment = 0 when the debt is due in full; otherwise the larger of the stated minimum and the payment the person chose (the stated minimum alone when no payment was chosen)</t>
  </si>
  <si>
    <t>the LARGER of the minimum you entered and any monthly payment you set — a debt due in full has no monthly payment at all</t>
  </si>
  <si>
    <t>dollars, whole a month</t>
  </si>
  <si>
    <t>No minimum entered.</t>
  </si>
  <si>
    <t>a month</t>
  </si>
  <si>
    <t>FOUNDER RULING G19 (2026-09-08): one payment rule, the larger of the stated minimum and the payment set — the same words in both formula columns.</t>
  </si>
  <si>
    <t>G19 — CLOSED 2026-09-08: the math column's 'interest + 1% of balance' rule existed nowhere in the code and is gone; both columns now state the one rule MK-CF-F-023 applies. No code change.</t>
  </si>
  <si>
    <t>MK-NW-M-012</t>
  </si>
  <si>
    <t>/analytics · /home</t>
  </si>
  <si>
    <t>Monthly debt payments</t>
  </si>
  <si>
    <t>monthly_debt_payments</t>
  </si>
  <si>
    <t>MK-CF-F-024</t>
  </si>
  <si>
    <t>monthly debt payments = Σ over debts of (required payment) — due-in-full debts count 0</t>
  </si>
  <si>
    <t>the sum of each debt’s required payment</t>
  </si>
  <si>
    <t>MK-CF-F-023 (requiredPayment) → number</t>
  </si>
  <si>
    <t>1. MK-XS-I-016 debt minimum payment — read by MK-CF-F-023
2. MK-XS-I-041 the payment the person chose to make on a debt — read by MK-CF-F-023
3. MK-XS-I-042 how a stream is paid — monthly, yearly or one lump — read by MK-CF-F-021, MK-CF-F-022, MK-CF-F-023
[the code's record, this build — evidence for the ruling, not the row's statement: it cannot see inputs handed in as arguments, and it counts every branch below the producer]</t>
  </si>
  <si>
    <t>MK-NW-M-013</t>
  </si>
  <si>
    <t>/analytics · /jobsafety</t>
  </si>
  <si>
    <t>EMERGENCY FUND — X.X months</t>
  </si>
  <si>
    <t>emergency_fund__xx_months</t>
  </si>
  <si>
    <t>essentialsMonthly</t>
  </si>
  <si>
    <t>MK-CF-F-190</t>
  </si>
  <si>
    <t>cushion in months = cash ÷ essentials a month, where essentials a month = the average of logged expenses over the months logged (MK-CF-F-189), else the typed figure</t>
  </si>
  <si>
    <t>Cash on hand divided by what a month costs. What a month costs is the average of everything logged over the months that have entries in the last twelve finished months — mortgage and big items included — and the card says how many months it stands on: '$21,000 cash ÷ $3,000/mo essentials — 7 month average'. With nothing logged the typed figure serves and the card says 'you entered'.</t>
  </si>
  <si>
    <t>1. every logged expense → expenses [MK-XS-I-024]
2. the typed fallback → typed monthly expenses / essentials [MK-XS-I-025]
3. cash on hand → the Cash class [MK-XS-I-001]</t>
  </si>
  <si>
    <t>a number of months</t>
  </si>
  <si>
    <t>No essentials figure yet — it says so rather than dividing by nothing.</t>
  </si>
  <si>
    <t>MK-CF-F-189 (essentialsFromLoggedSpending) → EssentialsAverage | null</t>
  </si>
  <si>
    <t>Declared by MK-NW-O-004 theEmergencyFund</t>
  </si>
  <si>
    <t>ONE essentials figure across all three screens (his ruling G21, 2026-09-08): the average of what has been logged, over the months logged.</t>
  </si>
  <si>
    <t>ONE essentials figure across all three screens (his ruling G21, 2026-09-08): the average of what has been logged, over the months logged.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</si>
  <si>
    <t>Q47 — Essentials a month (G21, ruling brief Q-21 (2026-08-20)): when fewer than 12 months of expenses are logged, use the months that exist and say 'average of N months' on screen (recommended), or fall back to the essentials figure the person typed at setup (MK-XS-I-025) and say so? And is the very first month (a partial month) left out?  [ANSWERED 2026-09-08 — see YOUR ANSWER]</t>
  </si>
  <si>
    <t>Q47: for fewer than 12 months logged show average for logged duration, and update words on screen from TTM to show the logged duration. If 7 month detail is logged show "xxx - 7 month average". (answered in chat, 2026-09-08)</t>
  </si>
  <si>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t>
  </si>
  <si>
    <t>MK-XS-I-024 logged expenses — read by MK-CF-F-189, MK-CF-F-190
[the code's record, this build — evidence for the ruling, not the row's statement: it cannot see inputs handed in as arguments, and it counts every branch below the producer]</t>
  </si>
  <si>
    <t>RULED, NOT CODED (Q-NW-5 — one question, one function)</t>
  </si>
  <si>
    <t>MK-NW-M-014</t>
  </si>
  <si>
    <t>of essentials covered by your cash — $X cash ÷ $Y/month essentials</t>
  </si>
  <si>
    <t>of_essentials_covered_by_your_cash__x_ca</t>
  </si>
  <si>
    <t>1. cashTotal
2. essentialsMonthly</t>
  </si>
  <si>
    <t>1. MK-NW-F-016
2. MK-CF-F-190</t>
  </si>
  <si>
    <t>months of cushion = cash ÷ essentials a month (MK-CF-F-190)</t>
  </si>
  <si>
    <t>Add up the balances of every account whose class is Cash (the founder's 2026-08-04 rule: checking, savings, high-yield savings and the uninvested sweep at a broker — not money-market funds). Divide by the one essentials figure: the logged average over the months logged, labelled; the typed figure only when nothing is logged.</t>
  </si>
  <si>
    <t>a sentence</t>
  </si>
  <si>
    <t>No essentials figure (nothing logged and nothing typed) → the cushion shows its door: 'tell us what a typical month costs and this becomes a real number' (already built). No cash → the card is hidden.</t>
  </si>
  <si>
    <t>1. MK-NW-F-027 (accountClassBreakdown) → Record&lt;AssetClass, number&gt; | null
2. MK-NW-F-011 (assetClassOf) → AssetClass
3. MK-CF-F-189 (essentialsFromLoggedSpending) → EssentialsAverage | null</t>
  </si>
  <si>
    <t>NONE RECORDED — the declaration names none.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</si>
  <si>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2026-09-09: the 'division with nothing on the bottom' boilerplate is gone; this cell now states the row's real refusal. Where it says 'built', the screen already does it; the rest follow the empty-state mock.</t>
  </si>
  <si>
    <t>1. MK-XS-I-001 account balance — read by MK-NW-F-016, MK-NW-F-027, MK-ST-F-027
2. MK-XS-I-002 account type (taxable, pre-tax, Roth) — read by MK-NW-F-011
3. MK-XS-I-004 holding quantity (shares) — read by MK-NW-F-027, MK-ST-F-027
4. MK-XS-I-005 holding price — read by MK-NW-F-027, MK-ST-F-027
5. MK-XS-I-007 purchase price and date (per lot) — read by MK-ST-F-027
6. MK-XS-I-010 transaction words (the institution's own wording) — read by MK-NW-F-027
7. MK-XS-I-013 bond maturity date — read by MK-NW-F-011, MK-ST-F-010
8. MK-XS-I-024 logged expenses — read by MK-CF-F-189, MK-CF-F-190
9. MK-XS-I-034 option positions — contracts, strike, expiry, put or call — read by MK-NW-F-027
10. MK-XS-I-048 the person’s own asset-class answer — read by MK-NW-F-011, MK-NW-F-027, MK-ST-F-027
11. MK-XS-I-055 the wrapper an account sits in — ISA, 401(k), IRA and the rest — read by MK-NW-F-011
[the code's record, this build — evidence for the ruling, not the row's statement: it cannot see inputs handed in as arguments, and it counts every branch below the producer]</t>
  </si>
  <si>
    <t>MK-NW-M-017</t>
  </si>
  <si>
    <t>Assets $X − Debts $Y = Net worth $Z</t>
  </si>
  <si>
    <t>assets_x__debts_y__net_worth_z</t>
  </si>
  <si>
    <t>assets, debts, and assets minus debts</t>
  </si>
  <si>
    <t>MK-NW-M-018</t>
  </si>
  <si>
    <t>Market value</t>
  </si>
  <si>
    <t>market_value</t>
  </si>
  <si>
    <t>theAccount</t>
  </si>
  <si>
    <t>the account’s balance — for a linked account the broker’s own figure, for one entered by hand the value entered</t>
  </si>
  <si>
    <t>The balance as last recorded for the account (MK-XS-I-001) — or, for a live-priced account, today's price × the quantity held. The "as of" beside it is how old that balance is (MK-NW-F-003 valueFreshness: months between the date the value was set and today; six months or more → stale; nothing for a live-priced account).</t>
  </si>
  <si>
    <t>An account with no value shows nothing rather than $0.</t>
  </si>
  <si>
    <t>one account</t>
  </si>
  <si>
    <t>Declared by MK-NW-O-002 theAccount</t>
  </si>
  <si>
    <t>ONE string for this figure: the band, the trio and the Total row all print it, so one screen cannot show three roundings of one number.</t>
  </si>
  <si>
    <t>RULED, NOT CODED (Q-NW-2 — one question, one function)</t>
  </si>
  <si>
    <t>MK-NW-M-019</t>
  </si>
  <si>
    <t>Income</t>
  </si>
  <si>
    <t>income</t>
  </si>
  <si>
    <t>MK-NW-O-002</t>
  </si>
  <si>
    <t>the sum of the dividend and interest rows the ledger holds for this account</t>
  </si>
  <si>
    <t>MK-NW-I-001 your accounts
MK-NW-I-004 the activity records</t>
  </si>
  <si>
    <t>1. MK-NW-F-027 (accountClassBreakdown) → Record&lt;AssetClass, number&gt; | null
2. MK-CF-F-132 (map) → NOT DECLARED — the code does not say what it gives back
3. MK-ST-F-013 (personalFlowTotals) → PersonalFlowTotals
4. MK-ST-F-021 (toNumber) → number | null</t>
  </si>
  <si>
    <t>Never estimated. A broker that shares no income records leaves this blank rather than showing a made-up $0.</t>
  </si>
  <si>
    <t>Q15 — An institution word we do not recognise: refuse the line and ask you, or book it as unclassified with no direction? The old sign-guess is what minted the $1.4 million.</t>
  </si>
  <si>
    <t>G32 / Q48 — RULED 2026-09-09: $0 stays, with the sentence '$0 — nothing entered yet.' and this row's door ('Add your income ›'). File written; the screen follows the approved empty-state mock (one pattern, one screen), then every screen.</t>
  </si>
  <si>
    <t>1. MK-XS-I-001 account balance — read by MK-NW-F-027, MK-NW-O-002, MK-ST-F-027
2. MK-XS-I-002 account type (taxable, pre-tax, Roth) — read by MK-NW-F-011
3. MK-XS-I-004 holding quantity (shares) — read by MK-NW-F-027, MK-ST-F-027
4. MK-XS-I-005 holding price — read by MK-NW-F-027, MK-ST-F-027
5. MK-XS-I-007 purchase price and date (per lot) — read by MK-ST-F-027
6. MK-XS-I-010 transaction words (the institution's own wording) — read by MK-NW-F-027, MK-ST-F-013
7. MK-XS-I-013 bond maturity date — read by MK-NW-F-011, MK-ST-F-010
8. MK-XS-I-024 logged expenses — read by MK-NW-O-002
9. MK-XS-I-034 option positions — contracts, strike, expiry, put or call — read by MK-NW-F-027
10. MK-XS-I-048 the person’s own asset-class answer — read by MK-NW-F-011, MK-NW-F-027, MK-ST-F-027
11. MK-XS-I-055 the wrapper an account sits in — ISA, 401(k), IRA and the rest — read by MK-NW-F-011
[the code's record, this build — evidence for the ruling, not the row's statement: it cannot see inputs handed in as arguments, and it counts every branch below the producer]</t>
  </si>
  <si>
    <t>WAITING ON YOU — question Q15 · RULED, NOT CODED (Q-NW-2 — one question, one function)</t>
  </si>
  <si>
    <t>MK-NW-M-020</t>
  </si>
  <si>
    <t>each asset class inside the account</t>
  </si>
  <si>
    <t>each_asset_class_inside_the_account</t>
  </si>
  <si>
    <t>the cash sleeve, plus each holding’s shares × its last price, added up by class</t>
  </si>
  <si>
    <t>$0, and under it the one line "Nothing entered yet. Add a holding ›" (mock approved 2026-09-12). A real zero that was entered shows a plain $0 with no line.</t>
  </si>
  <si>
    <t>one class in one account</t>
  </si>
  <si>
    <t>Only a LINKED account has an inside to read. A hand-entered lump has none until someone itemises it.</t>
  </si>
  <si>
    <t>G32 / Q48 — RULED 2026-09-09: $0 stays, with the sentence '$0 — nothing entered yet.' and this row's door ('Add a holding ›'). File written; the screen follows the approved empty-state mock (one pattern, one screen), then every screen.</t>
  </si>
  <si>
    <t>MK-NW-M-021</t>
  </si>
  <si>
    <t>Income: &lt;amount&gt; on a holding row</t>
  </si>
  <si>
    <t>income_amount_on_a_holding_row</t>
  </si>
  <si>
    <t>the dividend and interest rows whose ticker IS this holding’s ticker; nothing when the record names no holding</t>
  </si>
  <si>
    <t>MK-NW-I-004 the activity records</t>
  </si>
  <si>
    <t>one holding</t>
  </si>
  <si>
    <t>FOUNDER FINDING 2026-08-11: a record with no ticker names no holding. It used to match every non-stock holding, so a CD showed dividends it cannot pay and two CDs showed one figure twice. Untickered income is counted at the ACCOUNT level instead, where it belongs.</t>
  </si>
  <si>
    <t>MK-NW-M-022</t>
  </si>
  <si>
    <t>ACTIVITY — n records</t>
  </si>
  <si>
    <t>activity__n_records</t>
  </si>
  <si>
    <t>the count of ledger rows for this account</t>
  </si>
  <si>
    <t>The number of activity records held for this account — a count, no arithmetic. The "since" date beside it is the earliest record date (MK-XS-F-111).</t>
  </si>
  <si>
    <t>a count</t>
  </si>
  <si>
    <t>None yet — the section keeps its heading and says so.</t>
  </si>
  <si>
    <t>MK-NW-M-023</t>
  </si>
  <si>
    <t>Face value</t>
  </si>
  <si>
    <t>face_value</t>
  </si>
  <si>
    <t>theBonds</t>
  </si>
  <si>
    <t>MK-NW-O-001</t>
  </si>
  <si>
    <t>the face value you entered</t>
  </si>
  <si>
    <t>$0, and under it the one line "Nothing entered yet. Add a bond ›" (mock approved 2026-09-12). A real zero that was entered shows a plain $0 with no line.</t>
  </si>
  <si>
    <t>one bond</t>
  </si>
  <si>
    <t>1. MK-ST-F-027 (accountId) → string
2. MK-NW-F-057 (annualCoupon) → number
3. MK-NW-F-056 (bondInfo) → BondInfo
4. MK-NW-F-064 (bondRateSensitivity) → RateSensitivity | null
5. MK-NW-F-061 (bondSummary) → BondSummary
6. MK-XS-F-180 (declareFigures) → T
7. MK-NW-F-055 (isBond) → boolean
8. MK-CF-F-132 (map) → NOT DECLARED — the code does not say what it gives back
9. MK-NW-F-072 (rowOf) → BondRow</t>
  </si>
  <si>
    <t>Declared by MK-NW-O-001 theBonds</t>
  </si>
  <si>
    <t>Q01 — Is Quantity for a bond the FACE amount (e.g. 227,000) with the price quoted per $100 of face, or the number of bonds? It decides how value and gain are worked out.</t>
  </si>
  <si>
    <t>G32 / Q48 — RULED 2026-09-09: $0 stays, with the sentence '$0 — nothing entered yet.' and this row's door ('Add a bond ›'). File written; the screen follows the approved empty-state mock (one pattern, one screen), then every screen.</t>
  </si>
  <si>
    <t>1. MK-XS-I-001 account balance — read by MK-NW-F-056, MK-NW-O-001, MK-ST-F-027
2. MK-XS-I-002 account type (taxable, pre-tax, Roth) — read by MK-NW-F-011
3. MK-XS-I-003 institution name — read by MK-NW-F-071, MK-NW-F-072
4. MK-XS-I-004 holding quantity (shares) — read by MK-ST-F-027
5. MK-XS-I-005 holding price — read by MK-ST-F-027
6. MK-XS-I-007 purchase price and date (per lot) — read by MK-ST-F-027
7. MK-XS-I-011 bond face value — read by MK-NW-F-056, MK-NW-F-057, MK-NW-F-060, MK-NW-F-061, MK-NW-F-064, MK-NW-F-069, MK
8. MK-XS-I-012 bond coupon rate — read by MK-NW-F-056, MK-NW-F-057, MK-NW-F-064, MK-NW-F-071, MK-NW-F-072
9. MK-XS-I-013 bond maturity date — read by MK-NW-F-011, MK-NW-F-056, MK-NW-F-058, MK-NW-F-060, MK-NW-F-061, MK-NW-F-069, MK
10. MK-XS-I-048 the person’s own asset-class answer — read by MK-NW-F-011, MK-ST-F-027
11. MK-XS-I-049 bond price — what the bond is worth today — read by MK-NW-F-056, MK-NW-F-057, MK-NW-F-059, MK-NW-F-060, MK-NW-F-061, MK-NW-F-064, MK
12. MK-XS-I-055 the wrapper an account sits in — ISA, 401(k), IRA and the rest — read by MK-NW-F-011
13. MK-XS-I-064 the unit beside a quantity — shares, coins, contracts, ounces or units — read by MK-NW-O-001
14. MK-XS-I-065 accrued interest on a bond — interest earned since the last coupon — read by MK-NW-F-056, MK-NW-F-059, MK-NW-F-070, MK-NW-F-072
[the code's record, this build — evidence for the ruling, not the row's statement: it cannot see inputs handed in as arguments, and it counts every branch below the producer]</t>
  </si>
  <si>
    <t>WAITING ON YOU — question Q01 · RULED, NOT CODED (Q-NW-4 — one question, one function)</t>
  </si>
  <si>
    <t>MK-NW-M-024</t>
  </si>
  <si>
    <t>Interest payments</t>
  </si>
  <si>
    <t>interest_payments</t>
  </si>
  <si>
    <t>coupon rate, and face value × coupon rate</t>
  </si>
  <si>
    <t>No coupon rate entered.</t>
  </si>
  <si>
    <t>Q04 — "Annual income" on a bond: the last twelve months actually received, or the forward estimate from today\'s coupon? Both are defensible and they differ.</t>
  </si>
  <si>
    <t>WAITING ON YOU — question Q04 · RULED, NOT CODED (Q-NW-4 — one question, one function)</t>
  </si>
  <si>
    <t>MK-NW-M-025</t>
  </si>
  <si>
    <t>Matures</t>
  </si>
  <si>
    <t>matures</t>
  </si>
  <si>
    <t>years to maturity = (maturity date − today) ÷ 365.25 days;  already past → 0;  NO maturity date, or an unreadable one → no answer (nothing is invented)</t>
  </si>
  <si>
    <t>Maturity date minus today, in years (365.25 days to the year). Anything already past → 0. No maturity date, or one that cannot be read → NO answer: the years, the yield to maturity and the rate sensitivity all refuse, and the screen asks for the date.</t>
  </si>
  <si>
    <t>No maturity date → the 'Matures' line is not shown; a matured bond shows '(matured)'.</t>
  </si>
  <si>
    <t>G32 / Q48 — 2026-09-09: the 'division with nothing on the bottom' boilerplate is gone; this cell now states the row's real refusal. Where it says 'built', the screen already does it; the rest follow the empty-state mock.</t>
  </si>
  <si>
    <t>RULED, NOT CODED (Q-NW-4 — one question, one function)</t>
  </si>
  <si>
    <t>Yield if held to maturity</t>
  </si>
  <si>
    <t>yield_if_held_to_maturity</t>
  </si>
  <si>
    <t>yield to maturity ≈ (annual coupon + (face − value) ÷ years left) ÷ ((face + value) ÷ 2)   — the straight-line approximation, rounded to 4 decimal places; value = the bond's current value as entered (the balance), on the same total basis as face</t>
  </si>
  <si>
    <t>Adds the pull back to face value to the running income:
(annual coupon + (face − value) ÷ years left) ÷ ((face + value) ÷ 2).
A bond bought below face gains as it matures, so this comes out above the current yield. Already matured, no value, or NO MATURITY DATE → no answer, never zero (G11).
Answer to the founder's question (2026-09-08, asked again 2026-09-12): 'value' is the bond's CURRENT VALUE as you entered it on the Bonds screen ("what it's worth now") — a dollar total for the whole holding, on the same total basis as face; when you leave it blank the face value stands in. Accrued interest (A47) is subtracted for the CURRENT yield only, not here.</t>
  </si>
  <si>
    <t>Matured, or no maturity date — it refuses rather than divide by nothing.</t>
  </si>
  <si>
    <t>An approximation, and labelled an estimate on screen.</t>
  </si>
  <si>
    <t>Q05 — Accrued interest: do we work it out ourselves — which needs a day-count rule per bond type — or only show what the institution gives us?</t>
  </si>
  <si>
    <t>G20 — CLOSED 2026-09-08: the math column claimed the exact root-solve; the code (MK-NW-F-060) is the approximation, now stated in both columns and labelled; the function header's rounding line corrected (4 decimals). No code change.</t>
  </si>
  <si>
    <t>WAITING ON YOU — question Q05 · RULED, NOT CODED (Q-NW-4 — one question, one function)</t>
  </si>
  <si>
    <t>MK-NW-M-027</t>
  </si>
  <si>
    <t>Yield on today's value</t>
  </si>
  <si>
    <t>yield_on_todays_value</t>
  </si>
  <si>
    <t>coupon ÷ today’s value</t>
  </si>
  <si>
    <t>No value today.</t>
  </si>
  <si>
    <t>MK-NW-M-028</t>
  </si>
  <si>
    <t>Rates rise 1% → value roughly $X–$Y</t>
  </si>
  <si>
    <t>rates_rise_1__value_roughly_xy</t>
  </si>
  <si>
    <t>MK-NW-F-064</t>
  </si>
  <si>
    <t>value at (yield − 1%) and value at (yield + 1%), each = Σ coupon ÷ (1 + y)^t + face ÷ (1 + y)^n over the whole remaining years;  shown as the range between the two</t>
  </si>
  <si>
    <t>price it again at (yield to maturity ± 1%), and show a band of ±1% around that</t>
  </si>
  <si>
    <t>Refused for a CD, for a matured bond, and for anything with no coupon or no maturity — and for a CD it says plainly why nothing happens.</t>
  </si>
  <si>
    <t>1. MK-NW-F-060 (approxYTM) → number | null
2. MK-NW-F-069 (priceAtYield) → number</t>
  </si>
  <si>
    <t>An estimate, and it wears the estimate label.
FOUNDER 2026-09-27: a CD gets no estimate. It is not traded, so its value does not move with rates; the screen says that instead. KEEP — the app does not ask whether a CD is a bank one or a brokered one.</t>
  </si>
  <si>
    <t>1. MK-XS-I-011 bond face value — read by MK-NW-F-057, MK-NW-F-060, MK-NW-F-064, MK-NW-F-069
2. MK-XS-I-012 bond coupon rate — read by MK-NW-F-057, MK-NW-F-064
3. MK-XS-I-013 bond maturity date — read by MK-NW-F-058, MK-NW-F-060, MK-NW-F-069
4. MK-XS-I-049 bond price — what the bond is worth today — read by MK-NW-F-057, MK-NW-F-060, MK-NW-F-064, MK-NW-F-069
[the code's record, this build — evidence for the ruling, not the row's statement: it cannot see inputs handed in as arguments, and it counts every branch below the producer]</t>
  </si>
  <si>
    <t>MK-NW-M-029</t>
  </si>
  <si>
    <t>CURRENT PRICE · LIVE</t>
  </si>
  <si>
    <t>current_price__live</t>
  </si>
  <si>
    <t>theHolding</t>
  </si>
  <si>
    <t>MK-NW-O-005</t>
  </si>
  <si>
    <t>the last close the price feed holds for this ticker</t>
  </si>
  <si>
    <t>MK-NW-I-005 the price feed</t>
  </si>
  <si>
    <t>dollars, two decimals</t>
  </si>
  <si>
    <t>No price — the screen shows what you paid instead, and says so.</t>
  </si>
  <si>
    <t>1. MK-NW-F-002 (alternativesSummary) → AltSummary
2. MK-NW-F-037 (blendedReturn) → number
3. MK-XS-F-180 (declareFigures) → T</t>
  </si>
  <si>
    <t>Declared by MK-NW-O-005 theHolding</t>
  </si>
  <si>
    <t>A price that has gone stale says its age rather than passing as today’s.</t>
  </si>
  <si>
    <t>DECLARED IN THE CODE (rule 11) — printed from the door, not typed. RULED 2026-09-28</t>
  </si>
  <si>
    <t>[Formula (mathematical)] Is the formula embedded directly in the code and not as a separate function? Live price was to be sourced from Yahoo or similar engine.</t>
  </si>
  <si>
    <t>Yes to both. The price is the last daily close from Yahoo Finance's chart feed (free, no key) — MK-XS-F-143 (yahooSymbol) and the fetch beside it. No function is named 'current price': the screen shows the latest close carried on the holding's performance row and adds ' · LIVE' only when the last fetch is fresh; stale → 'prices may be out of date (…)'. Exception: bonds have no live pricing — the value is what you entered. VERDICT: comment right; the row is blank because of S21, not because the figure is untraceable. FIX (file): F/G = 'the last close in the price series — MK-XS-F-143 (Yahoo feed)'; J = MK-XS-I-005 (holding price) + MK-XS-I-006 (price fetched at); L = 'no feed or no series → shows what you paid, says NO LIVE PRICE'. FIX (code): none.</t>
  </si>
  <si>
    <t>1. MK-XS-I-001 account balance — read by MK-NW-F-002, MK-NW-F-031, MK-NW-F-032, MK-ST-F-027
2. MK-XS-I-002 account type (taxable, pre-tax, Roth) — read by MK-NW-F-001, MK-NW-F-011, MK-NW-F-037
3. MK-XS-I-004 holding quantity (shares) — read by MK-ST-F-027
4. MK-XS-I-005 holding price — read by MK-ST-F-027
5. MK-XS-I-007 purchase price and date (per lot) — read by MK-ST-F-027
6. MK-XS-I-013 bond maturity date — read by MK-NW-F-001, MK-NW-F-011, MK-ST-F-010
7. MK-XS-I-048 the person’s own asset-class answer — read by MK-NW-F-011, MK-ST-F-027
8. MK-XS-I-050 the share of an account earmarked for retirement — read by MK-NW-F-032
9. MK-XS-I-055 the wrapper an account sits in — ISA, 401(k), IRA and the rest — read by MK-NW-F-001, MK-NW-F-002, MK-NW-F-011, MK-NW-F-030, MK-NW-F-031, MK-NW-F-034, MK
10. MK-XS-I-064 the unit beside a quantity — shares, coins, contracts, ounces or units — read by MK-NW-O-005
[the code's record, this build — evidence for the ruling, not the row's statement: it cannot see inputs handed in as arguments, and it counts every branch below the producer]</t>
  </si>
  <si>
    <t>WAITING ON YOU — answer to read</t>
  </si>
  <si>
    <t>Current value</t>
  </si>
  <si>
    <t>current_value</t>
  </si>
  <si>
    <t>shares × today’s price</t>
  </si>
  <si>
    <t>MK-NW-I-001 your accounts
MK-NW-I-005 the price feed</t>
  </si>
  <si>
    <t>No price — it shows what you paid, labelled as that.</t>
  </si>
  <si>
    <t>r30: with NO price it shows what you paid, never a zero — a holding priced at zero would quietly shrink your whole portfolio.</t>
  </si>
  <si>
    <t>Q42 — Options (your Q06): 'stated otherwise' = a multiplier field on the position, default 100, filled by the broker's feed and editable by you — confirm?
Q43 — Foreign currency (your Q08/Q09): show in US dollars converted at the rate fetched with the prices, with the rate and date stated ('converted at 1 CHF = $1.12 on Sep 8') — recommended — or in the native currency with a label?
Q44 — Your A46 (coupon rate missing → 0) covers MK-NW-F-063 and the paycheck income lines. Two separate cases, NOT covered unless you say so: (c) the 4.2% EXPECTED RETURN on the fixed-income / high-yield-savings / CD kinds used in projections — keep or 0? (d) the 4% target-return fallback when a bond is added without a coupon — keep, or use the coupon only?</t>
  </si>
  <si>
    <t>Q06: value is contracts * 100 *price unless stated otherwise by broker or user.
Q07: 8 decimals is what coinbase uses. So use 8 decimals.
Q08: cash held as an institution in that currency. For example USD used to buy CHF is held in CHF in brokerage account at an institution. There is no interest or dividend for currencies held.
(typed 2026-08-26)</t>
  </si>
  <si>
    <t>Q06 / Q07 / Q08 — ANSWERED 2026-08-26 (see column W), NOT YET IN CODE: no contract multiplier, no quantity rounding, no currency conversion. Open.</t>
  </si>
  <si>
    <t>[Dependency — function ID → the output it uses] why dependency on engine and not function?</t>
  </si>
  <si>
    <t>That column was generated from the old inventory's function names (retired MK-XX-E identifiers), not the live function registry — 63 active rows, 202 citations; the same defect is G26 in the second-verification assessment. The live chain (column P) already says it right: MK-PF-F-001 (totalShares) → the unit count; MK-ST-F-055 (round2) → cents. VERDICT: file/generator defect, code untouched. FIX (file): regenerate column O from the F/O registry on all 63 rows; add a file-side check that no active row cites an E identifier. FIX (code): none.
YOUR TYPED ANSWERS (Q06/Q07/Q08), checked: Q06 — NOT APPLIED: market value (MK-PF-F-004) = units × price with no contract multiplier, so an option position can read one hundredth of its value (the ledger normalises a TRADE; the holdings path does not). Fix (code): a multiplier on the position, default 100 for contracts, filled by sync and editable; marketValue uses it; test: 3 contracts at $2.50 = $750. Fix (file): H = 'value = units × price × multiplier (100 for an option contract unless the broker or you state another)'; MK-XS-I-034 updated. Confirm the mechanism: Q42. · Q07 — nothing rounds a quantity today (summed and printed raw); executes with Q09: coin quantities stored and shown to 8 decimals. · Q08 — a currency position = cash in that currency, no income lines; today a non-USD account is never converted — sync keeps the prior balance and there is no exchange-rate input (no identifier). Display rule to settle: brief Q-43 (2026-08-20).</t>
  </si>
  <si>
    <t>WAITING ON YOU — question Q42, Q43, Q44 · WAITING ON YOU — answer to read · TESTED, NOT VERIFIED (Q06, Q08)</t>
  </si>
  <si>
    <t>Quantity — n shares</t>
  </si>
  <si>
    <t>quantity__n_shares</t>
  </si>
  <si>
    <t>quantity = Σ(shares on each lot);  a sale of shares REMOVES them from the lots (never a negative lot);  a sale entered as a dollar amount with no shares lowers the account balance instead</t>
  </si>
  <si>
    <t>the shares of every lot still held, added up</t>
  </si>
  <si>
    <t>Q09: Yes, we should always capture units. Worth checking is CHF is held in account, is value displayed in CHF or USD? If USD, we need to make sure to capture Foreign exchange rate to do the conversion.
(typed 2026-08-26)</t>
  </si>
  <si>
    <t>Q09 — ANSWERED 2026-08-26 (see column W), NOT YET IN CODE: no unit on the quantity field. Open — the parent of Q06/Q07/Q08.
G32 / Q48 — RULED 2026-09-09: $0 stays, with the sentence '$0 — nothing entered yet.' and this row's door ('Add a holding ›'). File written; the screen follows the approved empty-state mock (one pattern, one screen), then every screen.</t>
  </si>
  <si>
    <t>[YOUR ANSWER, column W] Q09 typed 2026-08-26 — see W on this row.</t>
  </si>
  <si>
    <t>YOUR TYPED ANSWER (Q09), checked: NOT DONE — one quantity field holds shares, contracts, coins, face units and currency units with nothing marking which (column S). Fix (code): a 'unit' on the position (shares | contracts | coins | currency) set by sync, import and the editor; valuation keyed on it (× 100 for contracts; 8 decimals for coins; currency → cash). Fix (file): new input row 'unit' (ID to assign); K keyed on it; Q06/Q07/Q08 rules reference it. The parent of Q06/Q07/Q08 — build first. No new ruling.</t>
  </si>
  <si>
    <t>WAITING ON YOU — answer to read · TESTED, NOT VERIFIED (Q07, Q09)</t>
  </si>
  <si>
    <t>MK-NW-M-032</t>
  </si>
  <si>
    <t>Price paid (average)</t>
  </si>
  <si>
    <t>price_paid_average</t>
  </si>
  <si>
    <t>MK-PF-F-003</t>
  </si>
  <si>
    <t>average price paid = cost basis ÷ shares held  (cost basis = Σ shares × cost per share across the lots)</t>
  </si>
  <si>
    <t>Cost basis divided by the shares held across every lot — the average price paid per share.</t>
  </si>
  <si>
    <t>1. MK-PF-F-002 (costBasis) → number
2. MK-PF-F-001 (totalShares) → number</t>
  </si>
  <si>
    <t>Kept unrounded inside, rounded once at display (Q49) — rounding it early moved the total it multiplies back into.</t>
  </si>
  <si>
    <t>Q34 — Approve the exact wording for the average-price rule (info dot + column Q): 'Shares with no recorded purchase price are left out of the average. N of your shares are in that position.' — and the refusal: 'Average not available — none of these shares has a recorded price.'</t>
  </si>
  <si>
    <t>JJ-1 — WRONG NUMBER ON SCREEN, found 2026-09-08 from the founder's comment: the average divides by shares that have no recorded cost. Open until the named function ships and this row's F/G/H/L/Q are rewritten.
G32 / Q48 — RULED 2026-09-09: $0 stays, with the sentence '$0 — nothing entered yet.' and this row's door ('Add a holding ›'). File written; the screen follows the approved empty-state mock (one pattern, one screen), then every screen.</t>
  </si>
  <si>
    <t>[Formula (in words)] if price or share quantity not available it is eliminated from average calculation? Make sure total paid divided by quantity does not include quantity for which price is not listed or is zero. And info dot should call it out under assumptions that if price or quantity is not provided or zero it is excluded from average price calculation.</t>
  </si>
  <si>
    <t>NO — today those shares STAY in the divisor. Total paid (MK-PF-F-002 costBasis) adds shares × (cost, or 0 when missing); the screen divides that by ALL shares (MK-PF-F-001 totalShares), inline, with no function. Example: 100 shares at $10 + 50 shares with no recorded cost → Total paid $1,000, average shown $6.67 (1,000 ÷ 150) instead of $10. A connected lot whose broker gives no cost is stored at cost $0 — same effect. No info dot, no assumption line. Column T on this row already records your decision that a no-cost lot is skipped — the code honours it for the total, not for the average. VERDICT: WRONG NUMBER ON SCREEN (finding JJ-1). FIX (code): one named function (averagePricePaid) = Σ(shares × cost) ÷ Σ(shares) over lots WITH a recorded cost &gt; 0; refusal when none; the screen calls it; info-dot assumption line; test on the example. FIX (file): F/G → the new function (ID to assign); H/I = that rule; L = the refusal; Q = the assumption line; B16 closes. Your wording to approve: Q34.</t>
  </si>
  <si>
    <t>1. MK-XS-I-004 holding quantity (shares) — read by MK-PF-F-001, MK-PF-F-002, MK-PF-F-003
2. MK-XS-I-007 purchase price and date (per lot) — read by MK-PF-F-002, MK-PF-F-003
3. MK-XS-I-055 the wrapper an account sits in — ISA, 401(k), IRA and the rest — read by MK-PF-F-031
4. MK-XS-I-063 option contract multiplier — 100 unless the broker or the person states otherwise — read by MK-PF-F-002, MK-PF-F-031
[the code's record, this build — evidence for the ruling, not the row's statement: it cannot see inputs handed in as arguments, and it counts every branch below the producer]</t>
  </si>
  <si>
    <t>WAITING ON YOU — question Q34 · WAITING ON YOU — answer to read</t>
  </si>
  <si>
    <t>MK-NW-M-033</t>
  </si>
  <si>
    <t>Total paid</t>
  </si>
  <si>
    <t>total_paid</t>
  </si>
  <si>
    <t>the cost of every lot still held, added up</t>
  </si>
  <si>
    <t>[Formula audit (B16)] Where is Total Price versus Price Paid (Average) displayed in the app? Are we trying to tell two different things to user and need to fix formulas or are we saying same thing and calling it differently?</t>
  </si>
  <si>
    <t>Two different things, both on /holding-detail: 'Price paid (average)' = per share (total ÷ shares, 3 decimals, top table); 'Total paid' = the sum of every lot (under WHAT YOU BOUGHT). The FILE is wrong: it names the same function (costBasis) for both, and costBasis only produces the total; the average has no function of its own (MK-PF-F-003 avgCost exists but is unused — it clips to cents and the screen wants 3 decimals). VERDICT: two figures, correctly two labels; file defect B16. FIX (file): M-033 keeps MK-PF-F-002; M-032 points at the average function from JJ-1; retire or repurpose MK-PF-F-003. FIX (code): covered by JJ-1.</t>
  </si>
  <si>
    <t>MK-NW-M-034</t>
  </si>
  <si>
    <t>Dividends received (12 mo)</t>
  </si>
  <si>
    <t>dividends_received_12_mo</t>
  </si>
  <si>
    <t>the DIVIDEND records naming this ticker, dated within the last year</t>
  </si>
  <si>
    <t>A record that names no ticker belongs to no holding — the same rule the account page carries.</t>
  </si>
  <si>
    <t>Q35 — Approve the exact label and the canon phrase for the twelve-month window. Proposed: 'Dividends received (trailing twelve months)' here, and 'trailing twelve months' in the other four places (spelled out — no initialism).
Q36 — Dividends on this card: THIS account only, matching 'Realized from sales' beside it? Recommended: yes.</t>
  </si>
  <si>
    <t>JJ-2 — found 2026-09-08: inline on the screen, summed across every account, 365-day window mislabelled 'this calendar month'. Open.
G32 / Q48 — RULED 2026-09-09: $0 stays, with the sentence '$0 — nothing entered yet.' and this row's door ('Add your income ›'). File written; the screen follows the approved empty-state mock (one pattern, one screen), then every screen.</t>
  </si>
  <si>
    <t>1. [Name on Screen] Screen should say Trailing Twelve Months and not just 12 months.
2. [Formula audit (B24)] Is it calculated directly in the code without any function?</t>
  </si>
  <si>
    <t>1. Agree — and the app says this one idea five ways today: '(12 mo)' on holding detail; 'past 12 months' on account detail; 'over the last 12 months' and '% last 12 mo' on the Retirement cockpit; 'last 12 months + bond coupons' on Income manager. (Look back's '12 months ago' is a different concept — a point in time — and stays.) One-term-per-concept: one phrase everywhere, the losers into the guard in the same commit. VERDICT: copy ruling — synonym cluster #17. FIX (file): D = the ruled label; N = 'the 365 days ending today' (today's cell says 'this calendar month' — wrong). FIX (code): replace the five strings; retire '12 mo' / 'last 12 months' / 'past 12 months'. Exact label to approve: Q35.
2. Yes — calculated inline on the screen: adds the ledger's DIVIDEND rows for this ticker dated within the last 365 days (device clock). Two more things wrong: (1) it sums across EVERY account holding the ticker, while 'Realized from sales' two lines below is filtered to THIS account — a ticker held at two brokers shows both brokers' dividends under one account's holding; (2) the window is 365 days and column N says 'this calendar month'. VERDICT: no function + a cross-account mismatch on the same card (finding JJ-2). FIX (code): lift into a named, tested function filtered by account like the realized line. FIX (file): F/G = the new function (ID to assign); H = 'Σ amount of DIVIDEND rows for this ticker in this account within the 365 days ending today'; J = MK-XS-I-008, MK-XS-I-009; L = 'no dividend rows → $0 — nothing received' (a real zero). Per-account scope to confirm: Q36.</t>
  </si>
  <si>
    <t>WAITING ON YOU — question Q35, Q36 · WAITING ON YOU — answer to read</t>
  </si>
  <si>
    <t>MK-NW-M-035</t>
  </si>
  <si>
    <t>Realized gain from your buys and sells</t>
  </si>
  <si>
    <t>realized_gain_from_your_buys_and_sells</t>
  </si>
  <si>
    <t>for each sale: what it sold for, less what those shares cost</t>
  </si>
  <si>
    <t>Nothing sold yet.</t>
  </si>
  <si>
    <t>Q37 — For a connected account: log an 'Opening holding' row per broker lot at first sync (dated the lot's purchase date, at the broker's cost) so every later sale is covered — recommended — or keep 'not counted + say so' for pre-history purchases?</t>
  </si>
  <si>
    <t>[Formula (mathematical)] The feed from an institution is likely to show quantity held net of sales. So, how do you determine the total quantity before sale?</t>
  </si>
  <si>
    <t>It never uses the feed's holdings. It rebuilds the position from the LEDGER: every buy row for that ticker in that account (BUY, or 'Opening holding') is queued oldest-first; each sale takes shares from the oldest queued buys (first in, first out); basis = those shares × their buy price; gain = shares covered × sale price − basis, to the cent; a second total for sales dated this calendar year. Where the buy rows come from: a connected account's activity history is written into the ledger as BUY/SELL rows with shares and price; a hand-entered holding logs one 'Opening holding' row per lot when it is added. GAP, declared on screen and never guessed: shares bought BEFORE the activity history begins have no buy row, so that sale is not counted and the screen says 'N sales had no recorded purchase, so its gain isn't counted.' Sync does NOT log opening rows for the lots it brings in, although the broker supplies a cost per lot. VERDICT: method sound; one gap worth closing. FIX (file): H/I = the full rule above (today's cell stops at 'oldest first'). FIX (code, if you rule yes in Q37): at first sync log an 'Opening holding' row per broker lot at the broker's cost, so every later sale is covered.</t>
  </si>
  <si>
    <t>WAITING ON YOU — question Q37 · WAITING ON YOU — answer to read</t>
  </si>
  <si>
    <t>Gain — long-term (held over 1 yr)</t>
  </si>
  <si>
    <t>gain__longterm_held_over_1_yr</t>
  </si>
  <si>
    <t>per lot: gain = shares × (price − cost per share);  long-term if the lot was held MORE than one year — from the day after the first anniversary of purchase — otherwise short-term;  a lot with no cost recorded is skipped</t>
  </si>
  <si>
    <t>Each LOT is judged on its OWN purchase date, not the position's: held MORE than one year — the day after the first anniversary — → long-term, otherwise short-term (a lot bought on 1 January and sold on 1 January the next year is still short-term). Gain per lot = shares × (price − cost per share). A lot with no cost recorded is SKIPPED, not treated as free shares. An unreadable purchase date is treated as SHORT-term, the cautious side.</t>
  </si>
  <si>
    <t>No price today — no gain is stated at all.</t>
  </si>
  <si>
    <t>Q20 — A lot with no recorded purchase price is skipped, so its gain is simply absent. Should the screen SAY so — "gain not counted for N shares, no purchase price on record" — rather than quietly reporting less?</t>
  </si>
  <si>
    <t>WAITING ON YOU — question Q20 · RULED, NOT CODED (Brief E1)</t>
  </si>
  <si>
    <t>MK-NW-M-037</t>
  </si>
  <si>
    <t>Gain — short-term (under 1 yr)</t>
  </si>
  <si>
    <t>gain__shortterm_under_1_yr</t>
  </si>
  <si>
    <t>TESTED, NOT VERIFIED (G2)</t>
  </si>
  <si>
    <t>MK-NW-M-038</t>
  </si>
  <si>
    <t>We keep the total at $X</t>
  </si>
  <si>
    <t>we_keep_the_total_at_x</t>
  </si>
  <si>
    <t>the lump account’s balance, unchanged by itemising</t>
  </si>
  <si>
    <t>Nothing to itemise.</t>
  </si>
  <si>
    <t>Itemising describes what is inside an account; it never changes what the account is worth.</t>
  </si>
  <si>
    <t>MK-NW-M-039</t>
  </si>
  <si>
    <t>$X of $Y itemized · remainder</t>
  </si>
  <si>
    <t>x_of_y_itemized__remainder</t>
  </si>
  <si>
    <t>the sum of the items entered; the remainder is the balance minus that sum</t>
  </si>
  <si>
    <t>Nothing entered yet — it reads $0 of the balance.</t>
  </si>
  <si>
    <t>MK-NW-M-040</t>
  </si>
  <si>
    <t>each holding and its value</t>
  </si>
  <si>
    <t>each_holding_and_its_value</t>
  </si>
  <si>
    <t>the value entered for each item</t>
  </si>
  <si>
    <t>Nothing entered yet.</t>
  </si>
  <si>
    <t>MK-NW-M-041</t>
  </si>
  <si>
    <t>total value of your bonds</t>
  </si>
  <si>
    <t>total_value_of_your_bonds</t>
  </si>
  <si>
    <t>the sum of each bond account’s balance</t>
  </si>
  <si>
    <t>Q03 — Certificates of deposit: under Fixed Income, or their own class? They carry a term, a rate and an early-withdrawal penalty that a bond does not.
Q38 — Your bond display rule, three specifics before the mock: (1) 'quantity' for a bond = the number of bonds (each of face $1,000), or the total face amount? (2) 'earned interest' = the INTEREST rows recorded in the ledger for this bond — the only source we have — yes? (3) 'current price' = price per $100 of face as brokers quote it, or the dollar value of the position? Then I mock the bond card and screen before any code.</t>
  </si>
  <si>
    <t>Bond display rule — RULED 2026-08-26 (nine facts; value current → cost → face; else 'need more information'), NOT YET BUILT: five of the nine facts have no field and no identifier. Mock first; three specifics in brief Q-38 (2026-08-20).
G32 / Q48 — RULED 2026-09-09: $0 stays, with the sentence '$0 — nothing entered yet.' and this row's door ('Add a bond ›'). File written; the screen follows the approved empty-state mock (one pattern, one screen), then every screen.</t>
  </si>
  <si>
    <t>1. [Name of Underlying Metric] Is totalValue = sum of (current value of each bond) or sum of (total value of each bond)
2. [Formula (in words)] why is function computing yield, when coupon rate should be direct input from institution, file or user?
3. [Assumptions made anywhere in that chain]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t>
  </si>
  <si>
    <t>1. Sum of each bond's VALUE field — the account balance, i.e. the current value you entered for that bond (or the broker's balance for a connected one). Not face, not cost. Missing value → 0 (one of the three 'counts as zero' lines in column Q). A bond has no 'cost' field today, so your fallback rule (current → cost → face) cannot run yet — see the Q42 comment on this row. VERDICT: answered; the cell holds a variable name, not an answer. FIX (file): E = 'the current value entered for each bond, added up'; F/G → MK-NW-F-061 (bondSummary) — the real producer; today's cell names bondInfo. FIX (code): none until the bond design change.
2. The coupon RATE is an input — MK-XS-I-012 (bond coupon rate), typed or from the download; nothing computes it. What the code computes is the YIELD, which depends on what the bond is worth today: current yield = annual coupon ÷ current value (MK-NW-F-059); yield to maturity ≈ (coupon + (face − value) ÷ years left) ÷ ((face + value) ÷ 2) (MK-NW-F-060). This row's words are wrong: the row is a sum of values and its words column carries bondInfo's note about yields, copied from the wrong function. VERDICT: code right; file words wrong. FIX (file): I = 'Adds up the current value of every bond you hold.' FIX (code): none.
3. This is a design change, not a fix — your ruling is recorded here. What a bond record holds today: face value (MK-XS-I-011), coupon rate (MK-XS-I-012), maturity date (MK-XS-I-013), current value (the balance — MK-XS-I-001 / MK-XS-I-049), issuer = the institution field, tax bucket. NOT held anywhere, no identifiers yet: quantity (number of bonds), cost paid, current price per bond, accrued interest, earned interest. Missing data today → counted as zero (face, coupon, value) — the three lines in column Q. The Bonds screen shows per bond: name, value, face, coupon %, matures (years) or (matured), $/yr coupon, yield, yield to maturity. VERDICT: ruling received; needs a mock first (standing order 2026-07-19) and five new fields with identifiers assigned per the identifier standard. FIX (file, after the mock is approved): M-041/M-042/M-045 rewritten; five new input rows; column Q loses the 'counts as zero' lines and gains the refusal rule. FIX (code): five fields on the bond record + editor + import mapping; value rule current → cost → face; refusal 'Need more information'. Three specifics to settle first: brief Q-38 (2026-08-20).</t>
  </si>
  <si>
    <t>WAITING ON YOU — question Q03, Q38 · WAITING ON YOU — answer to read · RULED, NOT CODED (Bond display rule, Q-NW-4 — one question, one function)</t>
  </si>
  <si>
    <t>MK-NW-M-042</t>
  </si>
  <si>
    <t>n bonds · face $X</t>
  </si>
  <si>
    <t>n_bonds__face_x</t>
  </si>
  <si>
    <t>count of bond accounts, and the sum of their face values</t>
  </si>
  <si>
    <t>1. [Assumptions made anywhere in that chain]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2. [Inputs it needs] Input should be MK-XS-I-011 bond face value and not MK-XS-I-004</t>
  </si>
  <si>
    <t>1. Same ruling as on MK-NW-M-041 — see that row for the full answer and brief Q-38 (2026-08-20).
2. Agree. The figure is the face values added up → reads MK-XS-I-011 (bond face value). MK-XS-I-004 is 'holding quantity (shares)' — wrong for a bond. The 'n' is a count of bond records — not an input; the row should say so. The producer is MK-NW-F-061 (bondSummary: count + totalFace), not bondInfo. VERDICT: comment right — file defect. FIX (file): J = '1. face value of each bond → face [MK-XS-I-011] · 2. the number of bond records — a count, not an input'; F/G → MK-NW-F-061. FIX (code): none.</t>
  </si>
  <si>
    <t>WAITING ON YOU — answer to read · RULED, NOT CODED (Bond display rule, Q-NW-4 — one question, one function)</t>
  </si>
  <si>
    <t>MK-NW-M-043</t>
  </si>
  <si>
    <t>COUPON</t>
  </si>
  <si>
    <t>coupon</t>
  </si>
  <si>
    <t>for each bond: face value × coupon rate; then added up</t>
  </si>
  <si>
    <t>dollars, whole a year</t>
  </si>
  <si>
    <t>a year</t>
  </si>
  <si>
    <t>Q39 — On a matured bond: show '$0/yr · matured' on the coupon line (recommended), or hide the line?
Q40 — Approve the one label for face × coupon rate (replaces 'COUPON / YR', '$X/yr coupon', 'Interest payments'). Your wording: 'Calculated annual interest'. Alternative in the pay-card pattern ('Base salary (take-home)'): 'Annual interest (calculated)'. Which?</t>
  </si>
  <si>
    <t>A15 - What the function is currently used as? Function to round off to 2 decimal? If yes, fix it. Column H and M on the functions tab are saying two different things none of which is making sense.
A46:If coupon rate is not available use 0.
(typed 2026-08-26)</t>
  </si>
  <si>
    <t>JJ-3 — WRONG NUMBER ON SCREEN, found 2026-09-08: a matured bond still earns its coupon in MK-NW-F-057 / F-061 / F-063. Open.
A46 — RULED 2026-08-26 (coupon rate missing → 0), NOT YET IN CODE: still 4.2% in MK-NW-F-063 and the paycheck income lines (JJ-4). Open.
C4 / A15 — CLOSED 2026-09-08: MK-ST-F-055 (round2) now reads 'Rounds the answer to two decimals (cents)' on every chain that reaches it — the extractor recognises the rounding idiom; the false 'whole number' and '×100' lines are gone; the function is reclassified 3 · DEPENDENT.</t>
  </si>
  <si>
    <t>1. [Formula (mathematical)] Should also account for maturity as if bond has matured app should not be calculating coupon
2. [Inputs it needs] maturity date should also be input
3. [Assumptions made anywhere in that chain] does MK-ST-F-055 round to 2 decimal digits or found to whole number? Two contradicting statements?
4. [Same figure as (S16)] Since the formula is to calculate annual interest it should be labelled as "Calculated Annual interest" and not interest payments or coupon/yr. This does not tell that this is the interest received YTD or anything.</t>
  </si>
  <si>
    <t>1. Today it does not. Annual coupon (MK-NW-F-057) = face × rate with no look at the maturity date, and everything built on it inherits that: the Bonds screen total COUPON / YR (MK-NW-F-061), each bond's '$X/yr coupon' line — even beside the word '(matured)' — the account-detail 'Interest payments' row (MK-NW-M-024), and interest income for the future paycheck (MK-NW-F-063). Example: a matured $10,000 bond at 5% still adds $500/yr to coupon income and to investment income. VERDICT: WRONG NUMBER ON SCREEN for any matured bond (finding JJ-3). FIX (code): annualCoupon takes the maturity date and today; returns 0 once matured; summary and income functions inherit; tests: day before / day of / day after maturity. FIX (file): MK-NW-F-057 formula = 'face × coupon rate while today is before the maturity date; 0 once matured'; J on M-043 / M-024 / M-045 adds MK-XS-I-013; same on MK-NW-F-061 and MK-NW-F-063. Display on a matured bond to rule: Q39.
2. Agree — it becomes an input with JJ-3: MK-XS-I-013 (bond maturity date), already on the inputs tab. FIX (file): J adds MK-XS-I-013.
3. Two decimals (cents): MK-ST-F-055 round2 is round(n × 100) ÷ 100 — the '× 100' is the rounding scale, not a percentage or an option contract. Both lines in the file are false — my finding A15 (Reference tab) and the reviewers' C4/G23/G24/G35: the header generator cannot read that idiom, and the false pair is carried onto every chain that reaches round2 (40-plus rows). Your typed A15 answer ('if it rounds to 2 decimals, fix it') — confirmed: the fix is the file/generator; the code is right. FIX (file): generator fix + re-extract — the two lines become one, 'Rounds to two decimals (cents)', wherever MK-ST-F-055 appears. FIX (code): none.
4. Agree: one figure, three labels today — 'COUPON / YR' (Bonds screen summary), '$X/yr coupon' (each bond line), 'Interest payments — 4.50%/yr · $450/yr' (account detail, MK-NW-M-024). The figure is what the bond PROMISES per year (face × rate), not what was received; 'calculated' is already the canon word for an app-computed figure. VERDICT: copy ruling — one label for one figure. FIX (file): D on M-024 and M-043 = the ruled label. FIX (code): replace the three strings; retire 'COUPON / YR' and 'Interest payments' in the guard. Exact label to approve: Q40.
YOUR TYPED ANSWERS (A15, A46), checked: A15 — see item 3 above (two decimals; fix the file/generator). A46 — STILL 4.2% in two places: MK-NW-F-063 (interestIncomeAnnual: a bond fund with no rate earns balance × 4.2% or its target return) and the account-income lines for the paycheck (same 4.2%, flagged 'assumed'). Fix (code): fallback 0 + the line text 'no rate recorded'; test: bond fund with no rate → $0 interest, shown as such. Fix (file): MK-NW-F-063 and the income-line function: assumption = 'coupon rate missing → 0'; A46 closes. Two OTHER 4.2%/4% figures are a different concept (expected return, not coupon) and are not covered unless you say so: Q44.</t>
  </si>
  <si>
    <t>WAITING ON YOU — question Q39, Q40 · WAITING ON YOU — answer to read · RULED, NOT CODED (Q-NW-4 — one question, one function)</t>
  </si>
  <si>
    <t>MK-NW-M-044</t>
  </si>
  <si>
    <t>AVG YIELD</t>
  </si>
  <si>
    <t>avg_yield</t>
  </si>
  <si>
    <t>the coupon each pays ÷ what each is worth today, weighted by value</t>
  </si>
  <si>
    <t>A bond with no price today is left out rather than counted at zero.</t>
  </si>
  <si>
    <t>Q45 — Approve the caveat when accrued interest is not recorded: 'Yield uses the value you entered. If that value includes accrued interest, the true yield is slightly higher.'</t>
  </si>
  <si>
    <t>A47: If accrued interest information is available formula should be updated to subtract accrued interest, and if accrued interest in not available it should state on the screen (might be over stated if accrued interest in included in current bond value).
(typed 2026-08-26)</t>
  </si>
  <si>
    <t>A47 — RULED 2026-08-26 (subtract accrued interest when recorded; caveat when not), NOT YET IN CODE: no accrued-interest field exists. Open, sequenced after the bond fields (brief Q-38 (2026-08-20)).</t>
  </si>
  <si>
    <t>[What comes out — unit and rounding] yield should always be two decimal digits</t>
  </si>
  <si>
    <t>The Bonds screen already shows two decimals for AVG YIELD, each bond's 'yield' and 'Yield to maturity'. Account detail shows ONE decimal for 'Yield if held to maturity' (MK-NW-M-026) and 'Yield on today's value' (MK-NW-M-027). This cell ('one decimal shown [derived by rule — confirm]') is wrong for the Bonds screen. Coverage: 5 places — 3 already two decimals, 2 to fix. VERDICT: ruling received; 2 of 5 places still wrong. FIX (code): account detail's two yield rows to two decimals + a display test. FIX (file): K on M-044, M-045, M-026, M-027 = 'Percent · two decimals shown'. No further ruling — executes on your go.
YOUR TYPED ANSWER (A47), checked: no accrued-interest field exists (see the bond ruling on MK-NW-M-041), so nothing can be subtracted yet and no caveat is shown. One correction on direction: current yield = coupon ÷ value; a value that INCLUDES accrued interest is larger, so the yield reads slightly LOW (understated), not high — the fix is the same either way. Fix (code, after the bond fields exist): MK-NW-F-059 subtracts accrued interest when recorded; caveat when absent. Fix (file): MK-NW-F-059 formula = 'coupon ÷ (value − accrued interest when recorded)'; L = the caveat; A47 closes. Caveat wording to approve: Q45.</t>
  </si>
  <si>
    <t>WAITING ON YOU — question Q45 · WAITING ON YOU — answer to read · RULED, NOT CODED (Q-NW-4 — one question, one function)</t>
  </si>
  <si>
    <t>MK-NW-M-045</t>
  </si>
  <si>
    <t>each bond — face, coupon, yield</t>
  </si>
  <si>
    <t>each_bond__face_coupon_yield</t>
  </si>
  <si>
    <t>face value · coupon rate · coupon ÷ today’s value</t>
  </si>
  <si>
    <t>A bond fund has no face value or maturity, so it shows none.</t>
  </si>
  <si>
    <t>Q02 — How should a bond be NAMED on screen? Draft: "US Treasury 4.25% Nov 2029", with the identifying number shown as a detail rather than the headline. Approve or rewrite.
Q41 — One date format for maturity everywhere: 'Jan 15, 2030' (recommended) or '2030-01-15'? And NEXT MATURITY on the summary: full date, or year only as today?</t>
  </si>
  <si>
    <t>A46:If coupon rate is not available use 0.
(typed 2026-08-26)</t>
  </si>
  <si>
    <t>A46 — RULED 2026-08-26, NOT YET IN CODE (JJ-4). Open.</t>
  </si>
  <si>
    <t>1. [Assumptions made anywhere in that chain]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2. [Inputs it needs] screen should display maturity date as well</t>
  </si>
  <si>
    <t>1. Same ruling as on MK-NW-M-041 — see that row for the full answer and brief Q-38 (2026-08-20).
2. It already does, in two formats: Bonds screen line 'matures Jan 15, 2030 (3.4y)'; account detail 'Matures 2030-01-15 (4 years away)'; the summary cell NEXT MATURITY shows only the year. Two date formats for one fact is a one-term breach. This row's J omits MK-XS-I-013. VERDICT: displayed; format inconsistent; input list incomplete. FIX (file): J adds MK-XS-I-013 (bond maturity date); D lists 'maturity' among the facts shown. FIX (code): one date format on both screens and the summary cell. Format to rule: brief Q-41 (2026-08-20).
YOUR TYPED ANSWER (A46) — same as on MK-NW-M-043: still 4.2% in MK-NW-F-063 and the income lines; fix and Q44 recorded there.</t>
  </si>
  <si>
    <t>WAITING ON YOU — question Q02, Q41 · WAITING ON YOU — answer to read · RULED, NOT CODED (Bond display rule, Q-NW-4 — one question, one function)</t>
  </si>
  <si>
    <t>MK-NW-M-046</t>
  </si>
  <si>
    <t>N months at your planned spend</t>
  </si>
  <si>
    <t>n_months_at_your_planned_spend</t>
  </si>
  <si>
    <t>theEmergencyFund</t>
  </si>
  <si>
    <t>MK-NW-O-004</t>
  </si>
  <si>
    <t>your cash ÷ (everything you budget for a month + the debt payments you cannot stop)</t>
  </si>
  <si>
    <t>MK-NW-I-001 your accounts
MK-NW-I-002 your debts
MK-CF-I-001 your logged expenses</t>
  </si>
  <si>
    <t>No expense figure yet — it shows nothing rather than dividing by nothing.</t>
  </si>
  <si>
    <t>FOUNDER 2026-09-28: "give both numbers." The figure above it is what you could not stop paying; this one is the life you plan to live. Neither is the whole truth alone, so the screen shows both.</t>
  </si>
  <si>
    <t>NOTHING OPEN</t>
  </si>
  <si>
    <t>MK-NW-M-047</t>
  </si>
  <si>
    <t>Both include $X/month of debt payments you cannot stop</t>
  </si>
  <si>
    <t>both_include_xmonth_of_debt_payments_you</t>
  </si>
  <si>
    <t>the required payment on every debt — except a mortgage, when a Rent / Mortgage budget already carries it</t>
  </si>
  <si>
    <t>No debts entered — the line does not appear at all.</t>
  </si>
  <si>
    <t>FOUNDER 2026-09-28: "What about credit card debt, HELOC, car loan?" They were in NEITHER figure. You can skip dinner out; you cannot skip a car payment.
A mortgage is never counted twice: where the Rent / Mortgage budget carries it, its minimum is left out.</t>
  </si>
  <si>
    <t>MK-NW-M-048</t>
  </si>
  <si>
    <t>your planned spend, with the debt payments in it</t>
  </si>
  <si>
    <t>your_planned_spend_with_the_debt_payment</t>
  </si>
  <si>
    <t>everything you budget for a month + the debt payments you cannot stop</t>
  </si>
  <si>
    <t>MK-NW-I-002 your debts
MK-CF-I-001 your logged expenses</t>
  </si>
  <si>
    <t>No expense figure yet.</t>
  </si>
  <si>
    <t>MK-PF-M-006</t>
  </si>
  <si>
    <t>Performance</t>
  </si>
  <si>
    <t>WHAT EACH CATEGORY EARNED — RETURN</t>
  </si>
  <si>
    <t>b.earned / b.ret</t>
  </si>
  <si>
    <t>buildPerformance</t>
  </si>
  <si>
    <t>MK-PF-F-014</t>
  </si>
  <si>
    <t>per account: ending;  per category: earned = Σ(ending − beginning − net money in);  return = earned ÷ average value held</t>
  </si>
  <si>
    <t>For each holding: fetch its price series; work out value, cost and gain from its lots; then choose HOW to measure its period return —
• bought BEFORE the period started → the ordinary period return from the price series
• bought DURING the period → return since purchase instead, and the row is marked as shortened, because measuring a full year on something owned for a month would be nonsense
The benchmark is measured over THE SAME window, shortened the same way, so the comparison is like for like. Beat-by is simply one minus the other, and is left blank when either side is missing.</t>
  </si>
  <si>
    <t>1. the holdings → positions  [MK-XS-I-004]
2. prices → priceOf(ticker)  [MK-XS-I-005]
3. the chosen chip → period  [NOT AN INPUT — a setting or a filter, not data anyone supplies]
4. today → now  [NOT AN INPUT — a setting or a filter, not data anyone supplies]</t>
  </si>
  <si>
    <t>One figure per category  [derived by rule — confirm]</t>
  </si>
  <si>
    <t>The window the person chose on screen  [derived by rule — confirm]</t>
  </si>
  <si>
    <t>1. MK-PF-F-013 (benchmarkTicker) → string
2. MK-PF-F-002 (costBasis) → number
3. MK-PF-F-012 (earliestPurchaseDate) → string | null
4. MK-PF-F-009 (latestClose) → number | null
5. MK-CF-F-132 (map) → NOT DECLARED — the code does not say what it gives back
6. MK-PF-F-004 (marketValue) → number
7. MK-ST-F-053 (money) → string
8. MK-PF-F-010 (periodReturn) → number | null
9. MK-PF-F-011 (periodReturnSince) → number | null
10. MK-PF-F-008 (startDateFor) → Date
11. MK-PF-F-007 (totalROI) → number | null
12. MK-PF-F-005 (unrealizedGain) → number</t>
  </si>
  <si>
    <t>1. MK-ST-F-047 activeCurrency → MK-ST-F-048 currencySymbol → MK-ST-F-049 formatMoney → MK-ST-F-053 money → MK-PF-F-013 benchmarkTicker → MK-PF-F-014 buildPerformance
2. MK-XS-F-122 n → MK-ST-F-049 formatMoney → MK-ST-F-053 money → MK-PF-F-013 benchmarkTicker → MK-PF-F-014 buildPerformance
3. MK-ST-F-039 on → MK-ST-F-049 formatMoney → MK-ST-F-053 money → MK-PF-F-013 benchmarkTicker → MK-PF-F-014 buildPerformance
4. MK-XS-F-122 n → MK-ST-F-053 money → MK-PF-F-013 benchmarkTicker → MK-PF-F-014 buildPerformance
5. MK-PF-F-031 contractMultiplier → MK-PF-F-002 costBasis → MK-PF-F-014 buildPerformance
6. MK-CF-F-132 map → MK-PF-F-012 earliestPurchaseDate → MK-PF-F-014 buildPerformance
7. MK-PF-F-009 latestClose → MK-PF-F-014 buildPerformance
8. MK-CF-F-132 map → MK-PF-F-014 buildPerformance
9. … and 5 more paths</t>
  </si>
  <si>
    <t>1. MK-PF-F-014 — Uses today's date from the device clock, so the answer changes by itself overnight.
2. MK-PF-F-002 — If shares is missing it counts as zero, so nothing recorded and a real zero look the same.
3. MK-PF-F-002 — If cost per share is missing it counts as zero, so nothing recorded and a real zero look the same.
4. MK-PF-F-010 — Uses today's date from the device clock, so the answer changes by itself overnight.
5. MK-PF-F-011 — Uses today's date from the device clock, so the answer changes by itself overnight.
6. MK-PF-F-001 — If shares is missing it counts as zero, so nothing recorded and a real zero look the same.
7. MK-ST-F-049 — Rounds the answer to a whole number.</t>
  </si>
  <si>
    <t>1. A14 — This file states three different formulas for what it calls a return: Sum(return x value) / Sum(value), Modified Dietz, and earned / average value held. Three methods give three answers. One of them has to be the definition.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</si>
  <si>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A14 — OPEN — YOUR DECISION 2026-09-12
G32 / Q48 — RULED 2026-09-09: $0 stays, with the sentence '$0 — nothing entered yet.' and this row's door ('Add your accounts ›'). File written; the screen follows the approved empty-state mock (one pattern, one screen), then every screen.</t>
  </si>
  <si>
    <t>1. MK-XS-I-004 holding quantity (shares) — read by MK-PF-F-001, MK-PF-F-002, MK-PF-F-004
2. MK-XS-I-005 holding price — read by MK-PF-F-009, MK-PF-F-010, MK-PF-F-011, MK-PF-F-014, MK-PF-F-029
3. MK-XS-I-007 purchase price and date (per lot) — read by MK-PF-F-002, MK-PF-F-005, MK-PF-F-007, MK-PF-F-012, MK-PF-F-013, MK-PF-F-014
4. MK-XS-I-055 the wrapper an account sits in — ISA, 401(k), IRA and the rest — read by MK-PF-F-013, MK-PF-F-014, MK-PF-F-031
5. MK-XS-I-063 option contract multiplier — 100 unless the broker or the person states otherwise — read by MK-PF-F-002, MK-PF-F-004, MK-PF-F-031
[the code's record, this build — evidence for the ruling, not the row's statement: it cannot see inputs handed in as arguments, and it counts every branch below the producer]</t>
  </si>
  <si>
    <t>RULED, NOT CODED (Q-PF-1 — one question, one function) · OPEN FINDING A14</t>
  </si>
  <si>
    <t>MK-PF-M-007</t>
  </si>
  <si>
    <t>All categories</t>
  </si>
  <si>
    <t>total</t>
  </si>
  <si>
    <t>MK-PF-M-008</t>
  </si>
  <si>
    <t>HONEST COMPARISON</t>
  </si>
  <si>
    <t>benchPort</t>
  </si>
  <si>
    <t>portfolioBenchReturn</t>
  </si>
  <si>
    <t>MK-PF-F-020</t>
  </si>
  <si>
    <t>benchmark return = Σ(weight of each class × that class’s index return over the same window)</t>
  </si>
  <si>
    <t>The same money-weighted blend, over each holding's own benchmark rather than the holding itself. Blending the benchmarks the same way is what makes "you beat it by" a fair statement rather than a comparison against a single index nobody holds.</t>
  </si>
  <si>
    <t>1. each holding's benchmark return → rows[].benchReturn  [NOT AN INPUT — another function’s answer; see the dependency column]
2. its value → rows[].marketValue  [NOT AN INPUT — another function’s answer; see the dependency column]</t>
  </si>
  <si>
    <t>1. MK-PF-F-031 contractMultiplier → MK-PF-F-004 marketValue → MK-PF-F-020 portfolioBenchReturn
2. MK-PF-F-001 totalShares → MK-PF-F-004 marketValue → MK-PF-F-020 portfolioBenchReturn</t>
  </si>
  <si>
    <t>MK-PF-F-001 — If shares is missing it counts as zero, so nothing recorded and a real zero look the same.</t>
  </si>
  <si>
    <t>Q33 — Which index should each asset class be compared against, and should the person be able to change it?</t>
  </si>
  <si>
    <t>No finding on this row. That is not a statement that the row is right — only that nothing has been written against it.
G32 / Q48 — RULED 2026-09-09: $0 stays, with the sentence '$0 — nothing entered yet.' and this row's door ('Add your accounts ›'). File written; the screen follows the approved empty-state mock (one pattern, one screen), then every screen.</t>
  </si>
  <si>
    <t>WAITING ON YOU — question Q33 · RULED, NOT CODED (Q-PF-1 — one question, one function)</t>
  </si>
  <si>
    <t>MK-PF-M-009</t>
  </si>
  <si>
    <t>Return (money-weighted, when the record covers it)</t>
  </si>
  <si>
    <t>mw.rate</t>
  </si>
  <si>
    <t>r = (EMV − BMV − F) ÷ (BMV + Σ(Fᵢ × wᵢ)),  wᵢ = (days in window − days before flow i) ÷ days in window</t>
  </si>
  <si>
    <t>A return that accounts for WHEN money moved in or out: each flow is weighted by how much of the window it was invested for. Refused, with the dollar walk shown instead, when the timing matters too much for one percentage to be honest.</t>
  </si>
  <si>
    <t>REFUSES when the timing of money moving in or out drives the percentage more than the investments do, and shows the dollar walk instead. Also refuses when the starting value is zero or negative.</t>
  </si>
  <si>
    <t>[Founder] When the timing of money moving in or out drives the percentage more than the investments do, the figure is REFUSED and the dollar walk is shown instead.</t>
  </si>
  <si>
    <t>1. A14 — This file states three different formulas for what it calls a return: Sum(return x value) / Sum(value), Modified Dietz, and earned / average value held. Three methods give three answers. One of them has to be the definition.
2. A12 — moneyWeightedReturn is defined twice and the two are different methods: src/domain/performance/moneyWeighted.ts:80 solves an internal rate of return by bisection; Calculation Module code/engines/window-return.ts:69 is Modified Dietz. Both are called the money-weighted return. Only the first has a row in this file; the sweep keeps whichever folder it walks first and drops the other in silence.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</si>
  <si>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A14 — OPEN — YOUR DECISION 2026-09-12
A12 — OPEN — YOUR DECISION 2026-09-12</t>
  </si>
  <si>
    <t>RULED, NOT CODED (Q-PF-1 — one question, one function) · OPEN FINDING A12, A14</t>
  </si>
  <si>
    <t>MK-PF-M-001</t>
  </si>
  <si>
    <t>/invest</t>
  </si>
  <si>
    <t>Ending value</t>
  </si>
  <si>
    <t>ending_value</t>
  </si>
  <si>
    <t>thePerformance</t>
  </si>
  <si>
    <t>MK-ST-F-031</t>
  </si>
  <si>
    <t>ending value = Σ over the accounts in scope of (snapshot value on the end date)</t>
  </si>
  <si>
    <t>the sum of every investment account’s value today</t>
  </si>
  <si>
    <t>Nothing invested yet.</t>
  </si>
  <si>
    <t>1. MK-ST-F-027 (accountId) → string
2. MK-CF-F-155 (cash) → number
3. MK-ST-F-056 (has) → NOT DECLARED — the code does not say what it gives back
4. MK-ST-F-033 (onOrBefore) → T | null</t>
  </si>
  <si>
    <t>Declared by MK-PF-O-001 thePerformance</t>
  </si>
  <si>
    <t>1. MK-XS-I-001 account balance — read by MK-ST-F-027
2. MK-XS-I-004 holding quantity (shares) — read by MK-ST-F-027
3. MK-XS-I-005 holding price — read by MK-ST-F-027
4. MK-XS-I-007 purchase price and date (per lot) — read by MK-ST-F-027
5. MK-XS-I-031 daily and monthly snapshots — read by MK-ST-F-031
6. MK-XS-I-048 the person’s own asset-class answer — read by MK-ST-F-027
[the code's record, this build — evidence for the ruling, not the row's statement: it cannot see inputs handed in as arguments, and it counts every branch below the producer]</t>
  </si>
  <si>
    <t>RULED, NOT CODED (Q-PF-1 — one question, one function)</t>
  </si>
  <si>
    <t>MK-PF-M-002</t>
  </si>
  <si>
    <t>Wealth generated</t>
  </si>
  <si>
    <t>wealth_generated</t>
  </si>
  <si>
    <t>MK-PF-O-001</t>
  </si>
  <si>
    <t>wealth generated = ending value − beginning value − net money in  (money in = deposits and transfers in − withdrawals and transfers out over the window)</t>
  </si>
  <si>
    <t>ending − beginning − what you put in + what you took out</t>
  </si>
  <si>
    <t>MK-NW-I-001 your accounts
MK-NW-I-004 the activity records
MK-NW-I-003 the recorded history</t>
  </si>
  <si>
    <t>The record cannot reach the start of this window, so there is nothing honest to subtract from.</t>
  </si>
  <si>
    <t>ONE MEANING OF RETURN (B-97, 2026-09-25): dividends and interest are part of this, so the return beside it counts them too.</t>
  </si>
  <si>
    <t>MK-PF-M-003</t>
  </si>
  <si>
    <t>HOW $X BECAME $Y · ALL ACCOUNTS</t>
  </si>
  <si>
    <t>how_x_became_y__all_accounts</t>
  </si>
  <si>
    <t>beginning + contributions − withdrawals + wealth generated = ending, by construction</t>
  </si>
  <si>
    <t>MK-NW-I-003 the recorded history
MK-NW-I-004 the activity records</t>
  </si>
  <si>
    <t>No beginning to walk from.</t>
  </si>
  <si>
    <t>Whatever the records cannot explain lands in the change-in-value line rather than being silently dropped.</t>
  </si>
  <si>
    <t>MK-PF-M-004</t>
  </si>
  <si>
    <t>Ending market value (per account)</t>
  </si>
  <si>
    <t>ending_market_value_per_account</t>
  </si>
  <si>
    <t>ending market value (this account) = snapshot value of the account on the end date</t>
  </si>
  <si>
    <t>the sum of that account’s holdings, at today’s prices, plus its cash</t>
  </si>
  <si>
    <t>Nothing in it.</t>
  </si>
  <si>
    <t>MK-PF-M-005</t>
  </si>
  <si>
    <t>each account and its ending value</t>
  </si>
  <si>
    <t>each_account_and_its_ending_value</t>
  </si>
  <si>
    <t>each investment account’s value, named by the account</t>
  </si>
  <si>
    <t>Named by ACCOUNT, not by institution — two accounts at one broker must be tellable apart (founder screenshot, 2026-08-17).</t>
  </si>
  <si>
    <t>MK-PF-M-010</t>
  </si>
  <si>
    <t>Left in &lt;fund&gt; it became $X (up/down $Y, Z%)</t>
  </si>
  <si>
    <t>left_in_fund_it_became_x_updown_y_z</t>
  </si>
  <si>
    <t>theLookBack</t>
  </si>
  <si>
    <t>MK-PF-O-002</t>
  </si>
  <si>
    <t>the amount × (the fund’s price today ÷ its price at the start of the window)</t>
  </si>
  <si>
    <t>No price history over the whole window — the screen shows nothing rather than a shortened one.</t>
  </si>
  <si>
    <t>Declared by MK-PF-O-002 theLookBack</t>
  </si>
  <si>
    <t>Price changes only — dividends are not in it, and the screen says so.</t>
  </si>
  <si>
    <t>MK-PF-M-011</t>
  </si>
  <si>
    <t>Moved to &lt;fund&gt; it would be $X</t>
  </si>
  <si>
    <t>moved_to_fund_it_would_be_x</t>
  </si>
  <si>
    <t>the amount × (the other fund’s price today ÷ its price at the start of the window)</t>
  </si>
  <si>
    <t>No price history for the other fund over the whole window.</t>
  </si>
  <si>
    <t>A road not taken, priced from real history — never a projection forward.</t>
  </si>
  <si>
    <t>MK-PF-M-012</t>
  </si>
  <si>
    <t>Difference: $X more/less if you had moved</t>
  </si>
  <si>
    <t>difference_x_moreless_if_you_had_moved</t>
  </si>
  <si>
    <t>what it would have become, less what it did become</t>
  </si>
  <si>
    <t>Either fund missing its history means no difference is stated.</t>
  </si>
  <si>
    <t>MK-PL-M-001</t>
  </si>
  <si>
    <t>Plan</t>
  </si>
  <si>
    <t>✓ What you have — already in: N accounts, $X counted</t>
  </si>
  <si>
    <t>door.credit.total</t>
  </si>
  <si>
    <t>planDoor</t>
  </si>
  <si>
    <t>MK-PL-F-026</t>
  </si>
  <si>
    <t>missing = the inputs with no answer;  counted = Σ(balances already in)</t>
  </si>
  <si>
    <t>Three things are needed: their age, what they expect to spend, and money that actually counts toward retirement.
THAT LAST ONE IS A FOUNDER FINDING (2026-08-11). It used to accept ANY account with a balance, so someone whose only asset was the home they live in looked complete here — and then produced no odds at all, because the odds run on the money counted toward retirement, and a primary home is not. The question this asks now means the same thing the odds mean.</t>
  </si>
  <si>
    <t>1. their age → birthYear or age  [MK-XS-I-017]
2. what they spend → monthlySpending  [MK-XS-I-024]
3. money that counts toward retirement → NEST_EGG  [NOT AN INPUT — another function’s answer; see the dependency column]</t>
  </si>
  <si>
    <t>This function IS the refusal: it names what is missing and what is already counted.</t>
  </si>
  <si>
    <t>MK-NW-F-033 (retirementEarmarkedValue) → number</t>
  </si>
  <si>
    <t>1. MK-NW-F-008 incomeBearingClassOf → MK-NW-F-011 assetClassOf → MK-NW-F-030 earmarkDefault → MK-NW-F-032 earmarkedAmount → MK-NW-F-033 retirementEarmarkedValue → MK-PL-F-026 planDoor
2. MK-NW-F-013 realEstateUseOf → MK-NW-F-030 earmarkDefault → MK-NW-F-032 earmarkedAmount → MK-NW-F-033 retirementEarmarkedValue → MK-PL-F-026 planDoor
3. MK-CF-F-155 cash → MK-NW-F-008 incomeBearingClassOf → MK-NW-F-011 assetClassOf → MK-NW-F-031 primaryCarIdOf → MK-NW-F-033 retirementEarmarkedValue → MK-PL-F-026 planDoor
4. MK-ST-F-010 nameEvidence → MK-NW-F-008 incomeBearingClassOf → MK-NW-F-011 assetClassOf → MK-NW-F-031 primaryCarIdOf → MK-NW-F-033 retirementEarmarkedValue → MK-PL-F-026 planDoor</t>
  </si>
  <si>
    <t>1. MK-PL-F-026 — If balance is missing it counts as zero, so nothing recorded and a real zero look the same.
2. MK-NW-F-032 — If balance is missing it counts as zero, so nothing recorded and a real zero look the same.
3. MK-NW-F-032 — Caps percent at 100.
4. MK-NW-F-031 — If balance is missing it counts as zero, so nothing recorded and a real zero look the same.</t>
  </si>
  <si>
    <t>1. MK-XS-I-001 account balance — read by MK-NW-F-031, MK-NW-F-032, MK-PL-F-026, MK-ST-F-027
2. MK-XS-I-002 account type (taxable, pre-tax, Roth) — read by MK-NW-F-011
3. MK-XS-I-004 holding quantity (shares) — read by MK-ST-F-027
4. MK-XS-I-005 holding price — read by MK-ST-F-027
5. MK-XS-I-007 purchase price and date (per lot) — read by MK-ST-F-027
6. MK-XS-I-013 bond maturity date — read by MK-NW-F-011, MK-ST-F-010
7. MK-XS-I-017 birth year — read by MK-PL-F-026
8. MK-XS-I-048 the person’s own asset-class answer — read by MK-NW-F-011, MK-ST-F-027
9. MK-XS-I-050 the share of an account earmarked for retirement — read by MK-NW-F-032
10. MK-XS-I-055 the wrapper an account sits in — ISA, 401(k), IRA and the rest — read by MK-NW-F-011, MK-NW-F-030, MK-NW-F-031, MK-PL-F-026
[the code's record, this build — evidence for the ruling, not the row's statement: it cannot see inputs handed in as arguments, and it counts every branch below the producer]</t>
  </si>
  <si>
    <t>RULED, NOT CODED (Q-PL-1 — one question, one function)</t>
  </si>
  <si>
    <t>MK-PL-M-002</t>
  </si>
  <si>
    <t>Your odds — can't work them out yet. Add &lt;what&gt; below.</t>
  </si>
  <si>
    <t>door.missing</t>
  </si>
  <si>
    <t>MK-PL-M-003</t>
  </si>
  <si>
    <t>YOUR RETIREMENT PAYCHECK — each guaranteed source</t>
  </si>
  <si>
    <t>g.amount</t>
  </si>
  <si>
    <t>for each month: guaranteed total = Σ(streams live that month);  paycheck = guaranteed total + draw from savings</t>
  </si>
  <si>
    <t>Builds the retirement paycheck month by month: what is guaranteed that month, plus what can safely be drawn from savings.</t>
  </si>
  <si>
    <t>$0, and under it the one line "Nothing entered yet. Set up your plan ›" (mock approved 2026-09-12). A real zero that was entered shows a plain $0 with no line.</t>
  </si>
  <si>
    <t>No finding on this row. That is not a statement that the row is right — only that nothing has been written against it.
G32 / Q48 — RULED 2026-09-09: $0 stays, with the sentence '$0 — nothing entered yet.' and this row's door ('Set up your plan ›'). File written; the screen follows the approved empty-state mock (one pattern, one screen), then every screen.</t>
  </si>
  <si>
    <t>RULED, NOT CODED (Q-PL-2 — one question, one function)</t>
  </si>
  <si>
    <t>MK-PL-M-004</t>
  </si>
  <si>
    <t>payMonth.guaranteedTotal</t>
  </si>
  <si>
    <t>1. A49 — This row carries no name on screen, on a tab whose stated rule is that the label is copied exactly as it is worded on screen.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</si>
  <si>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A49 — FIXED 2026-09-12
G32 / Q48 — RULED 2026-09-09: $0 stays, with the sentence '$0 — nothing entered yet.' and this row's door ('Set up your plan ›'). File written; the screen follows the approved empty-state mock (one pattern, one screen), then every screen.</t>
  </si>
  <si>
    <t>MK-PL-M-005</t>
  </si>
  <si>
    <t>+ Draw from savings</t>
  </si>
  <si>
    <t>payMonth.safeDraw</t>
  </si>
  <si>
    <t>MK-PL-M-006</t>
  </si>
  <si>
    <t>Your paycheck $X/mo</t>
  </si>
  <si>
    <t>paycheckTotal</t>
  </si>
  <si>
    <t>paycheck = guaranteed income + draw from savings</t>
  </si>
  <si>
    <t>MK-PL-M-007</t>
  </si>
  <si>
    <t>SAVED SCENARIOS (n)</t>
  </si>
  <si>
    <t>scenarios.length</t>
  </si>
  <si>
    <t>count of scenarios saved</t>
  </si>
  <si>
    <t>How many what-if scenarios have been saved.</t>
  </si>
  <si>
    <t>/will-it-last</t>
  </si>
  <si>
    <t>What you have (nest egg)</t>
  </si>
  <si>
    <t>inp.start_balance</t>
  </si>
  <si>
    <t>willItLastInputs</t>
  </si>
  <si>
    <t>MK-PL-F-067</t>
  </si>
  <si>
    <t>the inputs one plan is built from: what is held, what will be spent, what is guaranteed, and what is still being saved</t>
  </si>
  <si>
    <t>Gather everything the odds need. The person's own choices override every default, one by one.
NO AGE MEANS NO ANSWER — the odds are never computed from a guessed age.
SOCIAL SECURITY USES THE CHECK THE CHOSEN CLAIM AGE ACTUALLY PAYS. The figure on a statement is the amount at YOUR full retirement age — 66 to 67 by birth year (66 for 1943–1954, two months more a year for 1955–1959, 67 from 1960). Claiming before it reduces the check by the SSA formula — 5/9 of 1% a month for the first 36 months early, 5/12 of 1% a month beyond — and claiming after it adds 2/3 of 1% a month up to 70. Using the statement figure regardless would overstate guaranteed income for everyone claiming early.
Not eligible means ZERO guaranteed income, not a default.
A LEGACY TARGET — money someone means to leave behind — is taken off the pot from the day it is set: spendable pot = max(0, nest egg − legacy target), whether the person is working or retired (founder decision brief Q-41 (2026-08-20), 2026-08-20; the function does exactly this).</t>
  </si>
  <si>
    <t>1. their age → birthYear  [MK-XS-I-017]
2. the pot → NEST_EGG  [NOT AN INPUT — another function’s answer; see the dependency column]
3. return and swing → EXPECTED_RETURN_BLENDED, EXPECTED_SWING_BLENDED  [NOT AN INPUT — another function’s answer; see the dependency column]
4. expenses → RETIREMENT_SPENDING  [MK-XS-I-024]
5. guaranteed income → RETIREMENT_INCOME, SS_BENEFIT_AT_AGE  [NOT AN INPUT — another function’s answer; see the dependency column]
6. money to leave behind → legacyTarget  [MK-XS-I-047]
7. their own overrides → the Plan screen  [MK-XS-I-044]</t>
  </si>
  <si>
    <t>1. MK-CF-F-197 (ageAttainedInYear) → number | null
2. MK-XS-F-179 (ageToday) → number | null
3. MK-NW-F-037 (blendedReturn) → number
4. MK-NW-F-035 (blendedVolatility) → number
5. MK-CF-F-102 (effectiveRateOnGrossFor) → number
6. MK-CF-F-085 (filingStatusOf) → import('./tax').FilingStatus
7. MK-CF-F-076 (guaranteedOutsideStreams) → GuaranteedStream[]
8. MK-PL-F-083 (inflationRateInForce) → InflationInForce
9. MK-CF-F-132 (map) → NOT DECLARED — the code does not say what it gives back
10. MK-NW-F-041 (monthlyContributionsFromOnboarding) → number
11. MK-PL-F-079 (numOrZero) → n; };
12. MK-CF-F-089 (over65CountOf) → number
13. MK-NW-F-004 (portfolioActualReturn) → number | null
14. MK-NW-F-033 (retirementEarmarkedValue) → number
15. MK-PL-F-049 (retirementSpendMonthly) → number
16. MK-PL-F-060 (ssBenefitAt) → number
17. MK-CF-F-086 (stateRateOf) → number
18. MK-PL-F-001 (taxBucketSplit) → BucketSplit
19. MK-CF-F-083 (totalGrossAnnual) → number
20. MK-PL-F-065 (volOf) → NOT DECLARED — the code does not say what it gives back</t>
  </si>
  <si>
    <t>1. MK-CF-F-197 ageAttainedInYear → MK-PL-F-067 willItLastInputs
2. MK-XS-F-017 currentAge → MK-XS-F-179 ageToday → MK-PL-F-067 willItLastInputs
3. MK-NW-F-008 incomeBearingClassOf → MK-NW-F-011 assetClassOf → MK-NW-F-007 assetKind → MK-NW-F-034 benchmarkReturn → MK-NW-F-037 blendedReturn → MK-PL-F-067 willItLastInputs
4. MK-XS-F-122 n → MK-CF-F-155 cash → MK-NW-F-007 assetKind → MK-NW-F-034 benchmarkReturn → MK-NW-F-037 blendedReturn → MK-PL-F-067 willItLastInputs
5. MK-NW-F-008 incomeBearingClassOf → MK-NW-F-011 assetClassOf → MK-NW-F-030 earmarkDefault → MK-NW-F-032 earmarkedAmount → MK-NW-F-037 blendedReturn → MK-PL-F-067 willItLastInputs
6. MK-NW-F-013 realEstateUseOf → MK-NW-F-030 earmarkDefault → MK-NW-F-032 earmarkedAmount → MK-NW-F-037 blendedReturn → MK-PL-F-067 willItLastInputs
7. MK-CF-F-155 cash → MK-NW-F-008 incomeBearingClassOf → MK-NW-F-011 assetClassOf → MK-NW-F-031 primaryCarIdOf → MK-NW-F-037 blendedReturn → MK-PL-F-067 willItLastInputs
8. MK-ST-F-010 nameEvidence → MK-NW-F-008 incomeBearingClassOf → MK-NW-F-011 assetClassOf → MK-NW-F-031 primaryCarIdOf → MK-NW-F-037 blendedReturn → MK-PL-F-067 willItLastInputs
9. … and 5 more paths</t>
  </si>
  <si>
    <t>1. MK-PL-F-067 — If social security claim age is missing it uses 67.
2. MK-PL-F-067 — If monthly is missing it uses 0.
3. MK-PL-F-067 — If salary growth is missing it uses 0.
4. MK-PL-F-067 — Turns a monthly figure into a year by multiplying by twelve.
5. MK-PL-F-067 — Uses today's date from the device clock, so the answer changes by itself overnight.
6. MK-PL-F-067 — Rounds the answer to a whole number.
7. MK-PL-F-067 — The current age is birthday-aware when the birth month is known, else the year-attained age (G9, 2026-09-12).
8. MK-PL-F-067 — Inflation: the percent figure entered (2.5) is divided by 100 before use — 0.025 a year (G5). The effective tax rate on pre-tax withdrawals is the person's own, from filing status and income (income floored at $30,000), clamped between 10% and 60% (G7 / G35).
9. MK-CF-F-197 — Uses today's date from the device clock, so the answer changes by itself overnight.
10. MK-CF-F-197 — The IRS convention for limits: a person attains an age at any point in the calendar year, so this year − birth year — not the birthday-aware age used for display (G1 / G9).
11. MK-XS-F-179 — Uses today's date from the device clock, so the answer changes by itself overnight.
12. MK-XS-F-179 — G9 (founder, 2026-09-12): birthday-aware when the birth month is known (the onboarding asks for it), the year-attained age when only the year is known, nothing when the birth year is unknown — never a stand-in month or age. Limits use the year-attained age instead (G1).
13. MK-NW-F-035 — If v is missing it uses 12%.
14. MK-PL-F-083 — Founder ruling brief Q-50 (2026-08-20), executed 2026-09-08 (G30): the default is the dated 30-year average — 2.5% a year, Bureau of Labor Statistics CPI-U 1996–2025, checked 2026-09-08 — never a live feed; the person's own rate outranks it.
15. MK-CF-F-089 — Uses today's date from the device clock, so the answer changes by itself overnight.
16. MK-PL-F-060 — If statement monthly is missing it counts as zero, so nothing recorded and a real zero look the same.
17. MK-CF-F-083 — Turns a monthly figure into a year by multiplying by twelve.
18. MK-CF-F-083 — Uses today's date from the device clock, so the answer changes by itself overnight.
19. MK-PL-F-065 — Never lets the answer fall below 5% or rise above 20%.
20. MK-XS-F-017 — Uses today's date from the device clock, so the answer changes by itself overnight.
21. MK-NW-F-034 — If return is missing it uses 6%.
22. MK-NW-F-032 — If balance is missing it counts as zero, so nothing recorded and a real zero look the same.
23. MK-NW-F-032 — Caps percent at 100.
24. MK-NW-F-031 — If balance is missing it counts as zero, so nothing recorded and a real zero look the same.
25. MK-CF-F-101 — Never lets state rate fall below 0.
… and 40 more, on the functions tab</t>
  </si>
  <si>
    <t>No finding on this row. That is not a statement that the row is right — only that nothing has been written against it.
G16 — CLOSED 2026-09-08. The words to fix were this row's 'Formula (in words)': 'A LEGACY TARGET … is taken off the pot, but ONLY once they are retired.' They now read: taken off from the day it is set, spendable pot = max(0, nest egg − legacy target) — which is what MK-PL-F-067 does and what brief Q-41 (2026-08-20) ruled. ('check' in the same cell → 'check'.) No code change. G15 (the age-67 / 70% sentence in the same cell) is still open — not yet ruled.</t>
  </si>
  <si>
    <t>1. MK-XS-I-001 account balance — read by MK-NW-F-031, MK-NW-F-032, MK-ST-F-027
2. MK-XS-I-002 account type (taxable, pre-tax, Roth) — read by MK-NW-F-004, MK-NW-F-011, MK-NW-F-035, MK-NW-F-037, MK-PL-F-001
3. MK-XS-I-004 holding quantity (shares) — read by MK-CF-F-062, MK-ST-F-027
4. MK-XS-I-005 holding price — read by MK-ST-F-027
5. MK-XS-I-007 purchase price and date (per lot) — read by MK-ST-F-027
6. MK-XS-I-013 bond maturity date — read by MK-NW-F-011, MK-ST-F-010
7. MK-XS-I-017 birth year — read by MK-CF-F-089, MK-CF-F-197, MK-PL-F-057, MK-PL-F-058, MK-PL-F-060, MK-PL-F-067, MK
8. MK-XS-I-018 retirement age — read by MK-PL-F-049, MK-PL-F-050, MK-PL-F-067
9. MK-XS-I-019 monthly expenses in retirement — read by MK-PL-F-049
10. MK-XS-I-020 Social Security monthly amount — read by MK-CF-F-072, MK-CF-F-075, MK-CF-F-076, MK-PL-F-060, MK-PL-F-067
11. MK-XS-I-021 Social Security claim age — read by MK-PL-F-058, MK-PL-F-060, MK-PL-F-067
12. MK-XS-I-022 pension monthly amount — read by MK-CF-F-072, MK-CF-F-075, MK-CF-F-076, MK-PL-F-049
13. MK-XS-I-023 salary and other income — read by MK-CF-F-074, MK-CF-F-082, MK-CF-F-083, MK-CF-F-165, MK-CF-F-172
14. MK-XS-I-024 logged expenses — read by MK-CF-F-067, MK-CF-F-068
15. MK-XS-I-026 big costs (amount and year) — read by MK-PL-F-065, MK-PL-F-067
16. MK-XS-I-028 assumed return — read by MK-PL-F-049, MK-PL-F-050, MK-PL-F-067
17. MK-XS-I-029 inflation rate — read by MK-PL-F-049, MK-PL-F-050, MK-PL-F-065, MK-PL-F-067
18. MK-XS-I-030 tax filing status and age — read by MK-CF-F-085, MK-CF-F-089, MK-CF-F-099, MK-CF-F-100, MK-CF-F-101, MK-CF-F-102, MK
19. MK-XS-I-031 daily and monthly snapshots — read by MK-ST-F-036
20. MK-XS-I-034 option positions — contracts, strike, expiry, put or call — read by MK-CF-F-062
21. MK-XS-I-035 annuity income — read by MK-CF-F-072, MK-CF-F-075, MK-CF-F-076, MK-NW-F-035, MK-PL-F-049
22. MK-XS-I-036 other guaranteed income — read by MK-CF-F-072, MK-CF-F-075, MK-CF-F-076, MK-PL-F-049, MK-PL-F-050, MK-PL-F-067
23. MK-XS-I-037 required-withdrawal income stream (ri_rmd) — read by MK-CF-F-075
24. MK-XS-I-038 withdrawal income stream (ri_withdrawals) — read by MK-CF-F-075
25. MK-XS-I-039 how often each income arrives — read by MK-CF-F-071, MK-CF-F-072, MK-CF-F-074, MK-CF-F-075, MK-CF-F-076, MK-CF-F-130
26. MK-XS-I-040 whether a stream is already being received — read by MK-CF-F-072
27. MK-XS-I-043 their own retirement contribution — read by MK-CF-F-178, MK-NW-F-041, MK-PL-F-049, MK-PL-F-050, MK-PL-F-067
28. MK-XS-I-044 the person’s own plan overrides — read by MK-PL-F-049, MK-PL-F-065, MK-PL-F-067
29. MK-XS-I-045 where they will live in retirement — read by MK-PL-F-049
30. MK-XS-I-046 how the employer match is expressed — percent or dollars — read by MK-CF-F-178
31. MK-XS-I-047 money to leave behind — read by MK-PL-F-067
32. MK-XS-I-048 the person’s own asset-class answer — read by MK-NW-F-011, MK-ST-F-027
33. MK-XS-I-050 the share of an account earmarked for retirement — read by MK-NW-F-032
34. MK-XS-I-051 what an account actually returned over the last twelve months — read by MK-NW-F-004
35. MK-XS-I-055 the wrapper an account sits in — ISA, 401(k), IRA and the rest — read by MK-CF-F-075, MK-CF-F-076, MK-NW-F-011, MK-NW-F-030, MK-NW-F-031, MK-NW-F-034, MK
36. MK-XS-I-060 how a person is paid — weekly, fortnightly, monthly — read by MK-CF-F-130
[the code's record, this build — evidence for the ruling, not the row's statement: it cannot see inputs handed in as arguments, and it counts every branch below the producer]</t>
  </si>
  <si>
    <t>MK-PL-M-009</t>
  </si>
  <si>
    <t>Monthly expenses in retirement</t>
  </si>
  <si>
    <t>inp.retire_monthly_spend_today</t>
  </si>
  <si>
    <t>retirementSpendMonthly</t>
  </si>
  <si>
    <t>MK-PL-F-049</t>
  </si>
  <si>
    <t>expenses in retirement a month = what is spent today × the share expected to continue</t>
  </si>
  <si>
    <t>What the person said they expect to spend, adjusted for where they plan to live. Stated in TODAY'S dollars — the simulation inflates it to each future year, so inflating it here as well would count inflation twice.</t>
  </si>
  <si>
    <t>1. the answer → the retirement-expenses question  [MK-XS-I-024]
2. where they will live → the location answer  [MK-XS-I-045]</t>
  </si>
  <si>
    <t>1. MK-PL-F-047 (colFactor) → ColMatch
2. MK-PL-F-001 (taxBucketSplit) → BucketSplit
3. MK-ST-F-052 (toNum) → number</t>
  </si>
  <si>
    <t>1. MK-PL-F-047 colFactor → MK-PL-F-049 retirementSpendMonthly
2. MK-NW-F-008 incomeBearingClassOf → MK-NW-F-011 assetClassOf → MK-NW-F-030 earmarkDefault → MK-NW-F-032 earmarkedAmount → MK-PL-F-001 taxBucketSplit → MK-PL-F-049 retirementSpendMonthly
3. MK-NW-F-013 realEstateUseOf → MK-NW-F-030 earmarkDefault → MK-NW-F-032 earmarkedAmount → MK-PL-F-001 taxBucketSplit → MK-PL-F-049 retirementSpendMonthly
4. MK-XS-F-122 n → MK-ST-F-052 toNum → MK-PL-F-049 retirementSpendMonthly</t>
  </si>
  <si>
    <t>1. MK-NW-F-032 — If balance is missing it counts as zero, so nothing recorded and a real zero look the same.
2. MK-NW-F-032 — Caps percent at 100.</t>
  </si>
  <si>
    <t>[The person] The retirement age in their plan.</t>
  </si>
  <si>
    <t>1. MK-XS-I-001 account balance — read by MK-NW-F-032, MK-ST-F-027
2. MK-XS-I-002 account type (taxable, pre-tax, Roth) — read by MK-NW-F-011, MK-PL-F-001
3. MK-XS-I-004 holding quantity (shares) — read by MK-ST-F-027
4. MK-XS-I-005 holding price — read by MK-ST-F-027
5. MK-XS-I-007 purchase price and date (per lot) — read by MK-ST-F-027
6. MK-XS-I-013 bond maturity date — read by MK-NW-F-011, MK-ST-F-010
7. MK-XS-I-018 retirement age — read by MK-PL-F-049
8. MK-XS-I-019 monthly expenses in retirement — read by MK-PL-F-049
9. MK-XS-I-022 pension monthly amount — read by MK-PL-F-049
10. MK-XS-I-028 assumed return — read by MK-PL-F-049
11. MK-XS-I-029 inflation rate — read by MK-PL-F-049
12. MK-XS-I-035 annuity income — read by MK-PL-F-049
13. MK-XS-I-036 other guaranteed income — read by MK-PL-F-049
14. MK-XS-I-043 their own retirement contribution — read by MK-PL-F-049
15. MK-XS-I-044 the person’s own plan overrides — read by MK-PL-F-049
16. MK-XS-I-045 where they will live in retirement — read by MK-PL-F-049
17. MK-XS-I-048 the person’s own asset-class answer — read by MK-NW-F-011, MK-ST-F-027
18. MK-XS-I-050 the share of an account earmarked for retirement — read by MK-NW-F-032
19. MK-XS-I-055 the wrapper an account sits in — ISA, 401(k), IRA and the rest — read by MK-NW-F-011, MK-NW-F-030, MK-PL-F-049
[the code's record, this build — evidence for the ruling, not the row's statement: it cannot see inputs handed in as arguments, and it counts every branch below the producer]</t>
  </si>
  <si>
    <t>MK-PL-M-010</t>
  </si>
  <si>
    <t>Guaranteed income — $X/mo from age Y</t>
  </si>
  <si>
    <t>inp.guaranteed_monthly_income</t>
  </si>
  <si>
    <t>each stream grows on its own rule: Social Security rises with inflation, a fixed pension does not</t>
  </si>
  <si>
    <t>Each guaranteed stream grows on its own rule: Social Security rises with inflation, a fixed pension stays flat. They are never grown together.</t>
  </si>
  <si>
    <t>[Founder] Each stream grows on its own rule: Social Security rises with inflation, a fixed pension stays flat. They are never inflated together (fix B1).
[Founder] brief Q-50 (2026-08-20): inflation defaults to the 30-year average of consumer prices — 2.5% a year (Bureau of Labor Statistics CPI-U, 1996–2025), fixed and dated, stated on screen, and the person can change it on the cockpit. No live feed feeds a calculation (G30, executed 2026-09-08).</t>
  </si>
  <si>
    <t>MK-PL-M-011</t>
  </si>
  <si>
    <t>Monthly saving until then</t>
  </si>
  <si>
    <t>inp.annual_contrib</t>
  </si>
  <si>
    <t>THE SURVIVING IDENTIFIER for this figure. Folded in: MK-PL-M-029. What is being saved each month towards retirement — "Monthly saving until then" and "Retirement saving $X/mo now".</t>
  </si>
  <si>
    <t>MK-PL-M-012</t>
  </si>
  <si>
    <t>/required-withdrawals</t>
  </si>
  <si>
    <t>Yours starts in &lt;year&gt; (age N)</t>
  </si>
  <si>
    <t>rmdStartAgeFor(age)</t>
  </si>
  <si>
    <t>start age = 73 for those born 1951–1959, 75 for those born 1960 or later;  Roth 401(k) is exempt</t>
  </si>
  <si>
    <t>The age required withdrawals begin, from one dated table: 73 for those born 1951 to 1959, 75 for those born in 1960 or later. A Roth 401(k) is exempt.</t>
  </si>
  <si>
    <t>This calendar year, to today  [derived by rule — confirm]</t>
  </si>
  <si>
    <t>[Founder] The same one dated table, after both earlier copies were deleted.</t>
  </si>
  <si>
    <t>1. A36 — Required-withdrawal start age: this file says 73 for those born 1951-1959 and 75 for 1960 or later. The code returns 73 for EVERY birth year below 1960, and 73 again when the birth year is missing. Neither side names the age 72 (and 70 and a half) start ages that apply to earlier birth years, and neither says what should happen when the birth year is unknown rather than quietly assuming one.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</si>
  <si>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A36 — FIXED 2026-09-12
A41 — OPEN since 2026-08-26 — nothing has closed this. It is not known to be wrong; it is known to be unaddressed.</t>
  </si>
  <si>
    <t>OPEN FINDING A41 · CODED, NOT TESTED (finding A36 names no test)</t>
  </si>
  <si>
    <t>MK-PL-M-013</t>
  </si>
  <si>
    <t>Required $X</t>
  </si>
  <si>
    <t>required</t>
  </si>
  <si>
    <t>rmdRequiredThisYear</t>
  </si>
  <si>
    <t>MK-PL-F-080</t>
  </si>
  <si>
    <t>required this year = (last 31 December's pre-tax balance, when entered; otherwise today's pre-tax balance) ÷ the life-expectancy factor for this age</t>
  </si>
  <si>
    <t>The amount the law requires to be taken out this year: last 31 December's pre-tax balance divided by the life-expectancy factor for the person's age. If that balance has not been entered, today's balance is used and the screen says: 'Based on today's balance. Enter your pre-tax balance on Dec 31, &lt;last year&gt; to calculate it exactly — the law bases the required withdrawal on last Dec 31's balance.'</t>
  </si>
  <si>
    <t>1. today's pre-tax balance → the PRE_TAX bucket of every account [MK-XS-I-001]
2. last 31 December's pre-tax balance → rmdPriorYearEndPreTax [MK-XS-I-061]
3. age → birth year [MK-XS-I-017]</t>
  </si>
  <si>
    <t>Not yet at the start age → the explainer, no figure. No pre-tax accounts → 'Add your retirement accounts'.</t>
  </si>
  <si>
    <t>MK-PL-F-007 (rmdAtAge) → number</t>
  </si>
  <si>
    <t>[Founder] One dated table. Start age is 73 for those born 1951–1959 and 75 for those born 1960 or later; a Roth 401(k) is exempt (fix B4).
[Founder] G8, 2026-09-08: the year's figure stands on last 31 December's balance when the person enters it; until then today's balance, stated in those words on the screen.</t>
  </si>
  <si>
    <t>Q31 — Required withdrawals are estimated from balances we hold. When an institution states its own required figure, does theirs win?</t>
  </si>
  <si>
    <t>1. A35 — The required-withdrawal divisor table lists ages 73-90, 92, 95 and 100 and interpolates the rest. Ages 93, 94, 97, 98 and 99 do not equal the published IRS Uniform Lifetime divisors. On a $500,000 pre-tax balance the required amount comes out short by $184 at 94, $811 at 97, $926 at 98 and $1,066 at 99. Taking less than the required amount is penalised by the IRS, so this errs in the direction that costs the person money.
2. A37 — The required withdrawal uses the Uniform Lifetime table for everybody. The Joint Life and Last Survivor table applies when the sole beneficiary is a spouse more than ten years younger, and gives a smaller required amount. Not named anywhere in the file.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</si>
  <si>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A35 — FIXED 2026-09-01
A37 — OPEN — DECLARED 2026-09-12
A41 — OPEN since 2026-08-26 — nothing has closed this. It is not known to be wrong; it is known to be unaddressed.
G8 — CLOSED 2026-09-08: one producer (MK-PL-F-080) for the this-year figure on the screen and the Plan hub; the balance basis is stated on screen in the founder's words; new input MK-XS-I-061. File and code are both updated and they match 100%.</t>
  </si>
  <si>
    <t>MK-XS-I-061 pre-tax balance on 31 December last year — read by MK-PL-F-080
[the code's record, this build — evidence for the ruling, not the row's statement: it cannot see inputs handed in as arguments, and it counts every branch below the producer]</t>
  </si>
  <si>
    <t>WAITING ON YOU — question Q31 · TESTED, NOT VERIFIED (G8) · OPEN FINDING A37, A41</t>
  </si>
  <si>
    <t>MK-PL-M-014</t>
  </si>
  <si>
    <t>Taken so far $X · still to take</t>
  </si>
  <si>
    <t>taken / still</t>
  </si>
  <si>
    <t>still to take = required this year − taken so far</t>
  </si>
  <si>
    <t>MK-PL-M-015</t>
  </si>
  <si>
    <t>YEAR BY YEAR (ESTIMATES) — each year and amount</t>
  </si>
  <si>
    <t>r.amount</t>
  </si>
  <si>
    <t>first row = this year's required withdrawal (MK-PL-F-080); later rows = the pre-tax balance grown at the expected return to each year ÷ that year's factor</t>
  </si>
  <si>
    <t>The first row is this year's figure (see MK-PL-M-013 — last 31 December's balance when entered, today's otherwise). Every later row is a projection: today's balance grown at the expected return to that year, divided by that year's life-expectancy factor — the screen says these move with the balance and the IRS table.</t>
  </si>
  <si>
    <t>Nothing before the start age for that birth year. A Roth 401(k) is exempt and says so.</t>
  </si>
  <si>
    <t>[Founder] One dated table. Start age is 73 for those born 1951–1959 and 75 for those born 1960 or later; a Roth 401(k) is exempt (fix B4).</t>
  </si>
  <si>
    <t>A35 — FIXED 2026-09-01
A37 — OPEN — DECLARED 2026-09-12
A41 — OPEN since 2026-08-26 — nothing has closed this. It is not known to be wrong; it is known to be unaddressed.
G8 — CLOSED 2026-09-08 for the first row (MK-PL-F-080); later rows are projections from today's balance and now say so here.</t>
  </si>
  <si>
    <t>TESTED, NOT VERIFIED (G8) · OPEN FINDING A37, A41</t>
  </si>
  <si>
    <t>MK-PL-M-016</t>
  </si>
  <si>
    <t>BASED ON THESE ACCOUNTS — each balance</t>
  </si>
  <si>
    <t>valueFreshness</t>
  </si>
  <si>
    <t>value = the balance last recorded;  age = today − date it was recorded</t>
  </si>
  <si>
    <t>1. the account → a  [MK-XS-I-001]
2. when the value was set → value_as_of  [MK-XS-I-033]
3. today → now  [NOT AN INPUT — a setting or a filter, not data anyone supplies]</t>
  </si>
  <si>
    <t>Always answers, but carries the age of the figure and warns once it is stale.</t>
  </si>
  <si>
    <t>1. MK-NW-F-003 — Turns a monthly figure into a year by multiplying by twelve.
2. MK-NW-F-003 — Uses today's date from the device clock, so the answer changes by itself overnight.</t>
  </si>
  <si>
    <t>DECIDES whether a stated value is fresh enough to show without a warning.</t>
  </si>
  <si>
    <t>THE SAME FIGURE AS MK-NW-M-018 — An account's value. The balance listed under required withdrawals is the same figure as Market value on account detail.</t>
  </si>
  <si>
    <t>Q23 — Same question for a value you typed by hand: after how long should the app ask you to check it?</t>
  </si>
  <si>
    <t>1. B14 [MISNAMED] — The figure is "the balance last recorded". The function it names, MK-NW-F-003 valueFreshness, answers HOW OLD that balance is — and answers nothing at all for a live-priced account. It does not produce the value. The age half of the formula matches; the value half has no function behind it.</t>
  </si>
  <si>
    <t>B14 — FIXED 2026-09-12</t>
  </si>
  <si>
    <t>SUPERSEDED BY MK-NW-M-018 — the same figure under another identifier. This number is retired and is never handed to anything else.</t>
  </si>
  <si>
    <t>WAITING ON YOU — question Q23 · CODED, NOT TESTED (finding B14 names no test)</t>
  </si>
  <si>
    <t>MK-PL-M-017</t>
  </si>
  <si>
    <t>/ss-timing</t>
  </si>
  <si>
    <t>Monthly check (today's dollars)</t>
  </si>
  <si>
    <t>A.guaranteedMonthly</t>
  </si>
  <si>
    <t>ssBenefitAt</t>
  </si>
  <si>
    <t>MK-PL-F-060</t>
  </si>
  <si>
    <t>benefit at claim age = the statement amount at full retirement age × the claim factor for that age</t>
  </si>
  <si>
    <t>Statement monthly amount × the claim factor for (claim age, birth year), rounded to whole dollars.</t>
  </si>
  <si>
    <t>1. statement amount at their full retirement age (typed from their ssa.gov statement) → statement monthly  [MK-XS-I-020]
2. claim age (the slider) → the factor's input  [MK-XS-I-021]
3. birth year (setup) → the anchor  [MK-XS-I-017]</t>
  </si>
  <si>
    <t>Without a statement amount a worked example is shown, labelled as an example throughout.</t>
  </si>
  <si>
    <t>MK-PL-F-058 (ssClaimFactorFor) → number</t>
  </si>
  <si>
    <t>MK-PL-F-057 fullRetirementAge → MK-PL-F-058 ssClaimFactorFor → MK-PL-F-060 ssBenefitAt</t>
  </si>
  <si>
    <t>1. MK-PL-F-060 — If statement monthly is missing it counts as zero, so nothing recorded and a real zero look the same.
2. MK-PL-F-058 — Turns a monthly figure into a year by multiplying by twelve.
3. MK-PL-F-058 — Caps early at 36.
4. MK-PL-F-058 — Rounds the answer to a whole number.</t>
  </si>
  <si>
    <t>[Founder] The amount a person types from their statement is the amount at THEIR full retirement age, not at 62 and not at 70 (fix B2). The full-retirement age itself comes from a birth-year table, to the month.
[The person] The claim age they set, and the statement amount they typed.
[The person] The retirement age in their plan.</t>
  </si>
  <si>
    <t>1. A38 — Social Security claim factor: this file's rule is stated per month. The code rounds the claim age to a whole year before counting months, so claiming at 62 and six months is priced as 63 — 3.3% of the benefit, about $83 a month for life on a $2,500 benefit. The code's own note above the function says "month-precise".
2. A39 — Full retirement age: the code returns 66 for every birth year at or below 1954. The published ages are 65 for 1937 and earlier and 65 plus two to ten months for 1938-1942. Outside the 55-70 group, but it is a silent wrong answer rather than a refusal.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</si>
  <si>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A38 — FIXED 2026-09-12
A39 — FIXED 2026-09-12
A41 — OPEN since 2026-08-26 — nothing has closed this. It is not known to be wrong; it is known to be unaddressed.
G25 — CLOSED 2026-09-08: the inputs column cited MK-XS-I-008 (a transaction amount) and MK-XS-I-018 (retirement age) for the statement figure; it now cites MK-XS-I-020 alone, with the claim age as MK-XS-I-021. File only; no code change.</t>
  </si>
  <si>
    <t>1. MK-XS-I-017 birth year — read by MK-PL-F-057, MK-PL-F-058, MK-PL-F-060
2. MK-XS-I-020 Social Security monthly amount — read by MK-PL-F-060
3. MK-XS-I-021 Social Security claim age — read by MK-PL-F-058, MK-PL-F-060
[the code's record, this build — evidence for the ruling, not the row's statement: it cannot see inputs handed in as arguments, and it counts every branch below the producer]</t>
  </si>
  <si>
    <t>TESTED, NOT VERIFIED (G25) · OPEN FINDING A41</t>
  </si>
  <si>
    <t>MK-PL-M-018</t>
  </si>
  <si>
    <t>You receive $X/mo ✓</t>
  </si>
  <si>
    <t>op.ri_ss</t>
  </si>
  <si>
    <t>currentRetirementIncomeMonthly</t>
  </si>
  <si>
    <t>MK-CF-F-072</t>
  </si>
  <si>
    <t>guaranteed income now = Σ(streams already being received)</t>
  </si>
  <si>
    <t>Zero unless the person said retirement income is one of their current sources; otherwise the same total as above.
The distinction stops a future pension being counted as money arriving now — which would overstate today's income and flatter every current figure built on it.</t>
  </si>
  <si>
    <t>1. do they receive it now → incomeSources  [MK-XS-I-040]
2. the amounts → retirementIncomeMonthly  [MK-XS-I-008]</t>
  </si>
  <si>
    <t>MK-CF-F-075 (retirementIncomeMonthly) → number</t>
  </si>
  <si>
    <t>MK-XS-F-122 n → MK-ST-F-052 toNum → MK-CF-F-075 retirementIncomeMonthly → MK-CF-F-072 currentRetirementIncomeMonthly</t>
  </si>
  <si>
    <t>THE SAME FIGURE AS MK-CF-M-011 — Guaranteed income being received now. Shown four ways: "You receive $X/mo" on Social Security timing, "incl. Social Security $X/mo" on the cockpit, as a source on Cash flow, and as a list on Monthly income. One figure, four identifiers.</t>
  </si>
  <si>
    <t>SUPERSEDED BY MK-CF-M-011 — the same figure under another identifier. This number is retired and is never handed to anything else.</t>
  </si>
  <si>
    <t>1. MK-XS-I-020 Social Security monthly amount — read by MK-CF-F-072, MK-CF-F-075
2. MK-XS-I-022 pension monthly amount — read by MK-CF-F-072, MK-CF-F-075
3. MK-XS-I-035 annuity income — read by MK-CF-F-072, MK-CF-F-075
4. MK-XS-I-036 other guaranteed income — read by MK-CF-F-072, MK-CF-F-075
5. MK-XS-I-037 required-withdrawal income stream (ri_rmd) — read by MK-CF-F-075
6. MK-XS-I-038 withdrawal income stream (ri_withdrawals) — read by MK-CF-F-075
7. MK-XS-I-039 how often each income arrives — read by MK-CF-F-072, MK-CF-F-075
8. MK-XS-I-040 whether a stream is already being received — read by MK-CF-F-072
9. MK-XS-I-055 the wrapper an account sits in — ISA, 401(k), IRA and the rest — read by MK-CF-F-075
[the code's record, this build — evidence for the ruling, not the row's statement: it cannot see inputs handed in as arguments, and it counts every branch below the producer]</t>
  </si>
  <si>
    <t>MK-PL-M-019</t>
  </si>
  <si>
    <t>Claiming at N pays $X a month</t>
  </si>
  <si>
    <t>r.monthly</t>
  </si>
  <si>
    <t>1. ssClaimFactorFor
2. ssBenefitAt</t>
  </si>
  <si>
    <t>1. MK-PL-F-058
2. MK-PL-F-060</t>
  </si>
  <si>
    <t>factor = 1 − 5/9% per month for the first 36 months early, − 5/12% per month beyond that; + 2/3% per month for each month claimed late up to 70</t>
  </si>
  <si>
    <t>Months between the claim age and the full retirement age. Early: minus 5/9 of 1% per month for the first 36 months, minus 5/12 of 1% per month beyond. Late: plus 2/3 of 1% per month (8% a year) to 70. At the full retirement age exactly: 100%. · Statement monthly amount × the claim factor for (claim age, birth year), rounded to whole dollars.</t>
  </si>
  <si>
    <t>1. claim age (the slider, 62–70) → months early or late vs their full retirement age  [MK-XS-I-021]
2. birth year (their setup answer) → the full retirement age it anchors to  [MK-XS-I-017]
3. statement amount at their full retirement age (typed from their ssa.gov statement) → statement monthly  [MK-XS-I-020]</t>
  </si>
  <si>
    <t>1. MK-PL-F-057 (fullRetirementAge) → number
2. MK-PL-F-058 (ssClaimFactorFor) → number</t>
  </si>
  <si>
    <t>1. MK-PL-F-057 fullRetirementAge → MK-PL-F-058 ssClaimFactorFor
2. MK-PL-F-057 fullRetirementAge → MK-PL-F-058 ssClaimFactorFor → MK-PL-F-060 ssBenefitAt</t>
  </si>
  <si>
    <t>1. MK-PL-F-058 — Turns a monthly figure into a year by multiplying by twelve.
2. MK-PL-F-058 — Caps early at 36.
3. MK-PL-F-058 — Rounds the answer to a whole number.
4. MK-PL-F-060 — If statement monthly is missing it counts as zero, so nothing recorded and a real zero look the same.</t>
  </si>
  <si>
    <t>[Founder] The amount a person types from their statement is the amount at THEIR full retirement age, not at 62 and not at 70 (fix B2). The full-retirement age itself comes from a birth-year table, to the month.
[The person] The claim age they set, and the statement amount they typed.</t>
  </si>
  <si>
    <t>MK-PL-M-020</t>
  </si>
  <si>
    <t>about $X in total by age N</t>
  </si>
  <si>
    <t>r.lifetime</t>
  </si>
  <si>
    <t>lifetime total = monthly benefit × 12 × (life expectancy − claim age)</t>
  </si>
  <si>
    <t>The monthly Social Security check multiplied out to a life expectancy, so claiming early and claiming late can be compared in total dollars.</t>
  </si>
  <si>
    <t>[Built in] A life-expectancy figure the person never chose.
[The person] The claim age they set, and the statement amount they typed.</t>
  </si>
  <si>
    <t>1. A40 — Lifetime Social Security = monthly x 12 x (life expectancy - claim age): no inflation and no discounting, while the retirement paycheck on another screen grows Social Security with inflation. Two assumptions about one stream, and this is the figure people use to choose a claim age.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</si>
  <si>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A40 — OPEN — DECLARED 2026-09-12
A41 — OPEN since 2026-08-26 — nothing has closed this. It is not known to be wrong; it is known to be unaddressed.</t>
  </si>
  <si>
    <t>OPEN FINDING A40, A41</t>
  </si>
  <si>
    <t>MK-PL-M-021</t>
  </si>
  <si>
    <t>Showing example numbers (a $X/mo statement)</t>
  </si>
  <si>
    <t>exampleStmt</t>
  </si>
  <si>
    <t>a stated example amount, shown labelled as an example</t>
  </si>
  <si>
    <t>A worked example shown in place of a real Social Security statement, always labelled as such.</t>
  </si>
  <si>
    <t>MK-PL-M-022</t>
  </si>
  <si>
    <t>/roth</t>
  </si>
  <si>
    <t>Convert to Roth this year (&lt;year&gt;)</t>
  </si>
  <si>
    <t>A.rothConversionThisYear</t>
  </si>
  <si>
    <t>Typed by the person — no function behind it</t>
  </si>
  <si>
    <t>the value typed by the person</t>
  </si>
  <si>
    <t>A number the person entered; no calculation.</t>
  </si>
  <si>
    <t>Nothing to compute — the person either entered it or has not, and the screen shows it only when they have.</t>
  </si>
  <si>
    <t>TYPED — none needed. The person entered this number; nothing calculates it and nothing should. This row is already right and needs no work.</t>
  </si>
  <si>
    <t>MK-PL-M-023</t>
  </si>
  <si>
    <t>Extra tax next April (calculated) — about $X</t>
  </si>
  <si>
    <t>taxCost</t>
  </si>
  <si>
    <t>extra tax ≈ Σ over bands of (amount converted falling in that band × its rate)</t>
  </si>
  <si>
    <t>The extra tax a Roth conversion would cause: the converted amount is stacked on top of this year's income and taxed band by band.</t>
  </si>
  <si>
    <t>1. A42 — Roth conversion tax is stated as approximately the sum over bands. Three things that decide whether a conversion is worth doing for someone aged 55-70 are named nowhere: that the conversion stacks on top of existing ordinary income, the IRMAA surcharge on Medicare premiums two years later, and the share of Social Security that becomes taxable as a result.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</si>
  <si>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A42 — OPEN — DECLARED 2026-09-12
A41 — OPEN since 2026-08-26 — nothing has closed this. It is not known to be wrong; it is known to be unaddressed.
G32 / Q48 — RULED 2026-09-09: $0 stays, with the sentence '$0 — nothing entered yet.' and this row's door ('Set up your plan ›'). File written; the screen follows the approved empty-state mock (one pattern, one screen), then every screen.</t>
  </si>
  <si>
    <t>OPEN FINDING A41, A42</t>
  </si>
  <si>
    <t>MK-PL-M-024</t>
  </si>
  <si>
    <t>from your pre-tax $X</t>
  </si>
  <si>
    <t>preTax</t>
  </si>
  <si>
    <t>pre-tax balance = Σ(balance of accounts whose tax type = pre-tax)</t>
  </si>
  <si>
    <t>Adds the balances of accounts whose money has not been taxed yet — the pot a Roth move would come from.</t>
  </si>
  <si>
    <t>MK-PL-M-025</t>
  </si>
  <si>
    <t>/what-if</t>
  </si>
  <si>
    <t>+$X/mo (the saving dial)</t>
  </si>
  <si>
    <t>addMonthly</t>
  </si>
  <si>
    <t>MK-PL-M-026</t>
  </si>
  <si>
    <t>$X → $Y (nest egg before and after)</t>
  </si>
  <si>
    <t>result.before.egg / result.after.egg</t>
  </si>
  <si>
    <t>MK-PL-M-027</t>
  </si>
  <si>
    <t>the difference the change makes</t>
  </si>
  <si>
    <t>result.after.egg - result.before.egg</t>
  </si>
  <si>
    <t>difference = pot after the change − pot before it</t>
  </si>
  <si>
    <t>MK-PL-M-028</t>
  </si>
  <si>
    <t>/multi-goal</t>
  </si>
  <si>
    <t>each goal and its monthly amount</t>
  </si>
  <si>
    <t>d.monthlyAmount</t>
  </si>
  <si>
    <t>the values typed by the person</t>
  </si>
  <si>
    <t>Amounts the person entered; no calculation.</t>
  </si>
  <si>
    <t>One figure per goal  [derived by rule — confirm]</t>
  </si>
  <si>
    <t>RULED, NOT CODED (Q-PL-6 — one question, one function)</t>
  </si>
  <si>
    <t>MK-PL-M-029</t>
  </si>
  <si>
    <t>Retirement saving — $X/mo now → $Y/mo</t>
  </si>
  <si>
    <t>A.contribMonthly / retirementMo</t>
  </si>
  <si>
    <t>THE SAME FIGURE AS MK-PL-M-011 — What is being saved each month towards retirement — "Monthly saving until then" and "Retirement saving $X/mo now".</t>
  </si>
  <si>
    <t>SUPERSEDED BY MK-PL-M-011 — the same figure under another identifier. This number is retired and is never handed to anything else.</t>
  </si>
  <si>
    <t>MK-PL-M-030</t>
  </si>
  <si>
    <t>Extra on debt $X/mo</t>
  </si>
  <si>
    <t>extraDebt</t>
  </si>
  <si>
    <t>One figure per debt, and one total per person  [derived by rule — confirm]</t>
  </si>
  <si>
    <t>CORRECTED 2026-08-25 — this row used to name DEBT_PICTURE. "Extra on debt $X/mo" is an amount the person chose on a dial, not a figure that function produces.</t>
  </si>
  <si>
    <t>MK-PL-M-031</t>
  </si>
  <si>
    <t>paid off &lt;month&gt; · saves $X</t>
  </si>
  <si>
    <t>weighed.debtPayoff</t>
  </si>
  <si>
    <t>MK-CF-F-034</t>
  </si>
  <si>
    <t>each month: balance ← balance × (1 + rate ÷ 12) − payment, until balance ≤ 0;  payoff month = the first month it does</t>
  </si>
  <si>
    <t>Runs every debt forward month by month in the chosen order — highest rate first (avalanche) or smallest balance first (snowball): interest is added, the payment is taken off, and when one debt clears its payment rolls into the next. The month the last balance reaches zero is the payoff date; the interest saved is against paying minimums only.</t>
  </si>
  <si>
    <t>No debt, or no extra payment chosen → the line is not shown; never a $0 saving.</t>
  </si>
  <si>
    <t>1. MK-CF-F-132 (map) → NOT DECLARED — the code does not say what it gives back
2. MK-CF-F-022 (paymentShape) → NonNullable&lt;Debt['payment_type']&gt;</t>
  </si>
  <si>
    <t>1. A43 — Debt payoff: this file's formula is one balance rolled forward at the rate over twelve until it clears. The code (src/domain/debt/index.ts:140) also orders debts by avalanche or snowball, rolls a cleared debt's payment into the next, defers loans whose first payment has not arrived, settles due-in-full debts as dated lumps, clears at a one-cent tolerance and gives up at 600 months with a never-pays-off flag. None of that is in the file, and the roll-over is what makes the answer right.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</si>
  <si>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A43 — FIXED 2026-09-12
G32 / Q48 — 2026-09-09: the 'division with nothing on the bottom' boilerplate is gone; this cell now states the row's real refusal. Where it says 'built', the screen already does it; the rest follow the empty-state mock.</t>
  </si>
  <si>
    <t>1. MK-XS-I-014 debt balance — read by MK-CF-F-034
2. MK-XS-I-015 debt interest rate — read by MK-CF-F-034
3. MK-XS-I-016 debt minimum payment — read by MK-CF-F-034
4. MK-XS-I-042 how a stream is paid — monthly, yearly or one lump — read by MK-CF-F-021, MK-CF-F-022, MK-CF-F-034
5. MK-XS-I-053 the month a debt is first paid — read by MK-CF-F-034
6. MK-XS-I-054 the date a debt is due to be paid off in full — read by MK-CF-F-034
[the code's record, this build — evidence for the ruling, not the row's statement: it cannot see inputs handed in as arguments, and it counts every branch below the producer]</t>
  </si>
  <si>
    <t>MK-PL-M-032</t>
  </si>
  <si>
    <t>/retirement</t>
  </si>
  <si>
    <t>incl. Social Security $X/mo from age N</t>
  </si>
  <si>
    <t>ssIncome</t>
  </si>
  <si>
    <t>MK-PL-M-033</t>
  </si>
  <si>
    <t>your $X grows to $Y by age N at Z%/yr</t>
  </si>
  <si>
    <t>nestEgg / scProjected</t>
  </si>
  <si>
    <t>The last twelve months  [derived by rule — confirm]</t>
  </si>
  <si>
    <t>THE SURVIVING IDENTIFIER for this figure. Folded in: MK-NW-M-015. The projected pot at retirement, shown on Net worth as "on track for $X by age Y" and on the cockpit as "your $X grows to $Y". One figure, two screens — the founder spotted this one himself.</t>
  </si>
  <si>
    <t>MK-PL-M-034</t>
  </si>
  <si>
    <t>At Z% return, your money lasts past age N</t>
  </si>
  <si>
    <t>scDeplete</t>
  </si>
  <si>
    <t>If age, expenses and a pot are all known, run the simulation and report the chance. Otherwise report that it could not be answered — NOT a confident zero.
The best-to-worst range re-runs the same plan at a lower and a higher return, so it reads as a range rather than a promise. It always contains the headline figure, and it is repeatable.</t>
  </si>
  <si>
    <t>B13 — FIXED 2026-09-12</t>
  </si>
  <si>
    <t>MK-PL-M-035</t>
  </si>
  <si>
    <t>Retire at age (the dial)</t>
  </si>
  <si>
    <t>rAge</t>
  </si>
  <si>
    <t>the age set by the person</t>
  </si>
  <si>
    <t>An age the person set on a dial; no calculation.</t>
  </si>
  <si>
    <t>MK-PL-M-036</t>
  </si>
  <si>
    <t>/education</t>
  </si>
  <si>
    <t>the future total cost of school</t>
  </si>
  <si>
    <t>plan.futureTotalCost</t>
  </si>
  <si>
    <t>MK-PL-F-033</t>
  </si>
  <si>
    <t>future cost = today’s cost × (1 + education inflation)^years;  monthly needed = gap ÷ months until school starts</t>
  </si>
  <si>
    <t>Grows each school year's cost by education inflation to the year it is paid, and grows today's savings at the assumed return to the start. The monthly amount is the LEVEL contribution whose future value at the start closes the gap — an annuity at the assumed return ÷ 12, so money saved between now and the first term does earn a return.</t>
  </si>
  <si>
    <t>No school cost, or no years to go → the projection is not shown; never a $0 cost.</t>
  </si>
  <si>
    <t>MK-XS-F-122 (n) → number</t>
  </si>
  <si>
    <t>[Founder] brief Q-50 (2026-08-20): inflation defaults to the 30-year average of consumer prices — 2.5% a year (Bureau of Labor Statistics CPI-U, 1996–2025), fixed and dated, stated on screen, and the person can change it on the cockpit. No live feed feeds a calculation (G30, executed 2026-09-08).</t>
  </si>
  <si>
    <t>Q26 — What education inflation rate should the college projection use, and should it be visible and editable on the screen?</t>
  </si>
  <si>
    <t>1. A45 — Education saving: monthly needed = gap over months assumes no return whatever on money saved between now and the first term, while the retirement pot on another screen compounds its contributions. Two treatments of the same idea, and this one overstates what the person must put aside.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</si>
  <si>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A45 — FIXED 2026-09-12
G32 / Q48 — 2026-09-09: the 'division with nothing on the bottom' boilerplate is gone; this cell now states the row's real refusal. Where it says 'built', the screen already does it; the rest follow the empty-state mock.</t>
  </si>
  <si>
    <t>WAITING ON YOU — question Q26 · CODED, NOT TESTED (finding A45 names no test)</t>
  </si>
  <si>
    <t>MK-PL-M-037</t>
  </si>
  <si>
    <t>$X/mo set aside closes the $Y gap</t>
  </si>
  <si>
    <t>plan.monthlyNeeded / plan.gap</t>
  </si>
  <si>
    <t>No gap (already covered) → 'covered', not $0/mo; no school cost → not shown.</t>
  </si>
  <si>
    <t>CODED, NOT TESTED (finding A45 names no test)</t>
  </si>
  <si>
    <t>/sharpen</t>
  </si>
  <si>
    <t>MK-CF-M-001</t>
  </si>
  <si>
    <t>Cashflow</t>
  </si>
  <si>
    <t>Expected in</t>
  </si>
  <si>
    <t>cell.inflow</t>
  </si>
  <si>
    <t>for month m: expected in = Σ(income landing in m);  planned out = Σ(bills and planned expenses dated in m);  planned surplus = expected in − planned out</t>
  </si>
  <si>
    <t>Lays the year out month by month so a month with a big bill in it can be seen before it arrives.</t>
  </si>
  <si>
    <t>No finding on this row. That is not a statement that the row is right — only that nothing has been written against it.
G32 / Q48 — RULED 2026-09-09: $0 stays, with the sentence '$0 — nothing entered yet.' and this row's door ('Add your income ›'). File written; the screen follows the approved empty-state mock (one pattern, one screen), then every screen.</t>
  </si>
  <si>
    <t>MK-CF-M-002</t>
  </si>
  <si>
    <t>Planned out · incl. &lt;big bill&gt;</t>
  </si>
  <si>
    <t>cell.outflow</t>
  </si>
  <si>
    <t>$0, and under it the one line "Nothing entered yet. Add your bills ›" (mock approved 2026-09-12). A real zero that was entered shows a plain $0 with no line.</t>
  </si>
  <si>
    <t>NOT DETERMINED — no assumption recorded for this figure yet.
[Founder] 2026-08-27 worked example (his cash-flow screen sheet): Planned — In (take-home) 5,000 · mortgage 2,000 · car 250 · expenses 2,000 · HELOC (from the big-ticket radar) 200 · credit-card payment (entered by hand) 200 → surplus 750. Actual — 5,000 · mortgage paid 2,000 · car paid 0 · expenses entered 500 · expenses imported from the card 1,200 · HELOC 200 · card payment 200 → surplus 1,300. A credit-card PAYMENT is not an expense (the card's imported transactions already are); a HELOC payment is counted as an expense; recurring debt is never a radar item, a card or HELOC payment always is (the rule in MK-CF-O-002).</t>
  </si>
  <si>
    <t>No finding on this row. That is not a statement that the row is right — only that nothing has been written against it.
G32 / Q48 — RULED 2026-09-09: $0 stays, with the sentence '$0 — nothing entered yet.' and this row's door ('Add your bills ›'). File written; the screen follows the approved empty-state mock (one pattern, one screen), then every screen.</t>
  </si>
  <si>
    <t>MK-CF-M-003</t>
  </si>
  <si>
    <t>cell.net</t>
  </si>
  <si>
    <t>planned surplus = expected in − planned out</t>
  </si>
  <si>
    <t>A49 — FIXED 2026-09-12</t>
  </si>
  <si>
    <t>MK-CF-M-004</t>
  </si>
  <si>
    <t>Out (spent + debt)</t>
  </si>
  <si>
    <t>out</t>
  </si>
  <si>
    <t>MK-CF-F-194</t>
  </si>
  <si>
    <t>outflow = expenses this month + debt actually paid this month  (a month with a saved snapshot: its expenses + debt paid; a month without one: the expenses logged so far)</t>
  </si>
  <si>
    <t>This month's outflow: everything logged as an expense plus every debt payment actually made — from one function (MK-CF-F-194 monthOutflow), never added on the screen. The label says what is inside: "Outflow (expenses + debt)".</t>
  </si>
  <si>
    <t>Q50 — Your 2026-08-27 worked example: planned surplus 750 = 5,000 − 2,000 − 250 − 2,000 and actual 1,300 = 5,000 − 2,000 − 0 − 500 − 1,200 — neither subtracts the HELOC 200 or the card payment 200 that your expenses section says are counted as expenses. Which is right for the surplus line: count them (planned 350, actual 900) or not (750, 1,300)?</t>
  </si>
  <si>
    <t>count them</t>
  </si>
  <si>
    <t>No finding on this row. That is not a statement that the row is right — only that nothing has been written against it.
G32 / Q48 — RULED 2026-09-09: $0 stays, with the sentence '$0 — nothing entered yet.' and this row's door ('Log your expenses ›'). File written; the screen follows the approved empty-state mock (one pattern, one screen), then every screen.</t>
  </si>
  <si>
    <t>WAITING ON YOU — question Q50 · RULED, NOT CODED (Q-CF-2 — one question, one function)</t>
  </si>
  <si>
    <t>MK-CF-M-005</t>
  </si>
  <si>
    <t>inn - out</t>
  </si>
  <si>
    <t>surplus = money in − money out</t>
  </si>
  <si>
    <t>MK-CF-M-006</t>
  </si>
  <si>
    <t>YOUR SOURCES — Base salary</t>
  </si>
  <si>
    <t>op.baseSalary</t>
  </si>
  <si>
    <t>totalGrossAnnual</t>
  </si>
  <si>
    <t>MK-CF-O-004</t>
  </si>
  <si>
    <t>gross a year = salary + self-employment + bonus + equity vesting + rental + other;  take-home /month = (gross − tax withheld − pre-tax contributions) ÷ 12</t>
  </si>
  <si>
    <t>Salary + tips + bonus + a signing amount + vesting equity + net rental income + other income (recurring and one-off, taxable and not) + retirement income currently being received.
This is the figure every tax calculation and every savings-capacity figure is built on, which is why each part above has its own row.</t>
  </si>
  <si>
    <t>each part → its own function above  [NOT AN INPUT — another function’s answer; see the dependency column]</t>
  </si>
  <si>
    <t>1. MK-CF-O-001 (basePay) → BasePay
2. MK-CF-F-173 (earnerWages) → EarnerWage[]
3. MK-CF-F-179 (entryFromWage) → BasePayEntry
4. MK-CF-F-071 (extraIncome) → NOT DECLARED — the code does not say what it gives back
5. MK-CF-F-085 (filingStatusOf) → import('./tax').FilingStatus
6. MK-CF-F-092 (incomeMonthlyGrid) → NOT DECLARED — the code does not say what it gives back
7. MK-CF-F-132 (map) → NOT DECLARED — the code does not say what it gives back
8. MK-CF-F-103 (marginalBracketFor) → number
9. MK-CF-F-089 (over65CountOf) → number
10. MK-CF-F-181 (rateInForce) → RateInForce
11. MK-CF-F-068 (rentalNetAnnual) → number
12. MK-CF-F-082 (salaryAnnual) → number
13. MK-CF-F-084 (taxableAnnual) → number
14. MK-ST-F-052 (toNum) → number</t>
  </si>
  <si>
    <t>1. MK-XS-F-122 n → MK-ST-F-052 toNum → MK-CF-F-075 retirementIncomeMonthly → MK-CF-F-072 currentRetirementIncomeMonthly → MK-CF-F-083 totalGrossAnnual
2. MK-CF-F-069 benefitActiveMonths → MK-CF-F-070 benefitAnnual → MK-CF-F-071 extraIncome → MK-CF-F-083 totalGrossAnnual
3. MK-XS-F-122 n → MK-ST-F-052 toNum → MK-CF-F-070 benefitAnnual → MK-CF-F-071 extraIncome → MK-CF-F-083 totalGrossAnnual
4. MK-ST-F-039 on → MK-CF-F-071 extraIncome → MK-CF-F-083 totalGrossAnnual
5. MK-XS-F-122 n → MK-ST-F-052 toNum → MK-CF-F-071 extraIncome → MK-CF-F-083 totalGrossAnnual
6. MK-CF-F-132 map → MK-CF-F-067 rentalList → MK-CF-F-068 rentalNetAnnual → MK-CF-F-083 totalGrossAnnual
7. MK-XS-F-122 n → MK-ST-F-052 toNum → MK-CF-F-067 rentalList → MK-CF-F-068 rentalNetAnnual → MK-CF-F-083 totalGrossAnnual
8. MK-XS-F-122 n → MK-ST-F-052 toNum → MK-CF-F-062 equityRowValue → MK-CF-F-066 rsuAnnual → MK-CF-F-083 totalGrossAnnual
9. … and 5 more paths</t>
  </si>
  <si>
    <t>1. MK-CF-F-083 — Turns a monthly figure into a year by multiplying by twelve.
2. MK-CF-F-083 — Uses today's date from the device clock, so the answer changes by itself overnight.
3. MK-CF-F-068 — Turns a monthly figure into a year by multiplying by twelve.
4. MK-CF-F-082 — Uses today's date from the device clock, so the answer changes by itself overnight.
5. MK-CF-F-074 — Uses today's date from the device clock, so the answer changes by itself overnight.
6. MK-CF-F-063 — Uses today's date from the device clock, so the answer changes by itself overnight.
7. MK-CF-F-081 — Uses today's date from the device clock, so the answer changes by itself overnight.
8. MK-CF-F-176 — If r[i] is missing it counts as zero, so nothing recorded and a real zero look the same.
9. MK-CF-F-177 — Uses today's date from the device clock, so the answer changes by itself overnight.
10. MK-CF-F-130 — If salary freq] is missing it uses 12.
11. MK-ST-F-036 — If cash is missing it uses 0.
12. MK-CF-F-167 — Uses today's date from the device clock, so the answer changes by itself overnight.
13. MK-CF-F-165 — Uses today's date from the device clock, so the answer changes by itself overnight.</t>
  </si>
  <si>
    <t>1. B27 [CLASH] — TAKE-HOME TYPED BY THE PERSON IS NOT WHAT THEY SEE. When salaryMode is "takehome" the app grosses the entered figure up (grossFromNet, tax.ts:172), then taxes it back down. grossFromNet adds back TAX ONLY — but take-home already has the 401(k) out of it, so the contribution is removed twice. Someone typing $4,818 a month with $20,000 a year going into a 401(k) is shown $3,351 — $1,467 a month adrift. Pre-existing; B05 improved it by $200 and left the cause. The founder's ruling 2026-08-27: what is entered as take-home IS take-home, used as typed, never grossed up.
2. B30 [CLASH] — THE QUESTION DOES NOT SAY WHAT IT MEANS. The income screen offers a Gross / Take-home toggle and asks "Take-home pay each month". Most people read take-home as AFTER TAX; the app stores it as after tax AND after the 401(k) — its own code calls that "available" and keeps a separate "net (after tax)" concept the question never offers. So someone entering an after-tax figure has their 401(k) removed a second time. Founder wording 2026-08-27: ask for "the amount that lands in your bank account", which nobody confuses.
3. B29 [CLASH] — THE EMPLOYER MATCH IS WRITTEN THREE TIMES. employerMatchMonthly exists in src/domain/income/onboarding.ts:936 AND src/onboarding/modules.tsx:372, and the same expression is written inline a third time at modules.tsx:821. They agree today and nothing keeps them agreeing. Invisible to the file because src/onboarding is not one of the three folders the function sweep reads — one of 77 functions doing arithmetic outside them.
4. B31 [CLASH] — NOBODY HAS EVER SET A FILING STATUS. filingStatusOf reads op.filingStatus, no screen anywhere writes it, so the fallback fires every time and EVERYONE is taxed as a single filer — including the couple who just told the app they have a spouse. Five surfaces read it and all five get single: every month's withholding rate, the effective rate, the Roth conversion, the retirement tax rate, and the base-pay estimate. On $84,000 a married couple is shown $328 a month less than lands in their bank; at $200,000 it is $866. The app already asks whether they have a spouse and still taxes them alone.
5. B32 [CLASH] — THE HOUSEHOLD'S INCOME IS ONE PERSON'S. Net worth is a household, the debts are a household, the expenses is a household — the income is not. There is exactly one salary field, and whoEarns (You / Spouse / Both) only LABELS whose it is; there is no second amount anywhere, and none of the extra-income fields is a second wage. So a couple sees one income against two people's expenses and two people's debts, and their surplus reads far worse than it is on every screen that uses it. Separately, the joint tax bracket is worked out from that one income: on $84,000 with a spouse earning $54,000 the marginal band should be 22% and reads 12%, which alone puts take-home $168 a month too high.
6. B33 [CLASH] — THE OVER-65 ADDITION COUNTS ONE PERSON ON A JOINT RETURN. over65CountOf reads the person's own birth year and returns 0 or 1 — a couple where both are 65 or older is counted as one, so the standard deduction is short by $1,650. Recorded in the 2026-08-20 brief as deliberately conservative because a partner's age was never captured; the filing-status question is where it can be captured, which removes the reason.
7. B17 [ONE FORMULA] — Seven figures share one formula and one function, totalGrossAnnual, which returns GROSS A YEAR and nothing else: "take-home /year", "Gross / year", "Take-home / month", and the four per-source rows (Base salary, Self-employment, Bonus, each income source). Neither net figure is what the function returns, and a single source is not the total. Six of the seven need their own formula.</t>
  </si>
  <si>
    <t>B27 — Base salary · This month — take-home shown up to $1,600/mo adrift from what was typed
B30 — Base salary — the question invites the wrong figure, which is then double-deducted
B29 — Base salary — three copies of the match arithmetic, free to drift apart
B31 — Base salary · This month — every couple taxed as a single filer, $328–$866/mo too low
B32 — Base salary · This month · Expenses — the household's income is one person's, so the surplus reads far worse than it is
B33 — Base salary — a couple both over 65 is counted as one, $1,650 of deduction short</t>
  </si>
  <si>
    <t>B27 — FIXED 2026-09-01
B30 — FIXED 2026-09-11
B29 — FIXED 2026-08-27
B31 — FIXED 2026-08-27
B32 — FIXED 2026-09-01
B33 — FIXED 2026-09-08
B17 — FIXED 2026-09-12
G32 / Q48 — 2026-09-09: the 'division with nothing on the bottom' boilerplate is gone; this cell now states the row's real refusal. Where it says 'built', the screen already does it; the rest follow the empty-state mock.</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</si>
  <si>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MK-CF-F-088, MK-CF-F-092, MK-CF-F-165, MK
6. MK-XS-I-024 logged expenses — read by MK-CF-F-067, MK-CF-F-068, MK-HM-F-006
7. MK-XS-I-027 goals (target, saved, date) — read by MK-HM-F-006, MK-PL-F-012
8. MK-XS-I-030 tax filing status and age — read by MK-CF-F-085, MK-CF-F-089, MK-CF-F-098, MK-CF-F-099, MK-CF-F-100, MK-CF-F-101, MK
9. MK-XS-I-031 daily and monthly snapshots — read by MK-ST-F-035, MK-ST-F-036
10. MK-XS-I-034 option positions — contracts, strike, expiry, put or call — read by MK-CF-F-062
11. MK-XS-I-035 annuity income — read by MK-CF-F-072, MK-CF-F-075
12. MK-XS-I-036 other guaranteed income — read by MK-CF-F-072, MK-CF-F-075
13. MK-XS-I-037 required-withdrawal income stream (ri_rmd) — read by MK-CF-F-075
14. MK-XS-I-038 withdrawal income stream (ri_withdrawals) — read by MK-CF-F-075
15. MK-XS-I-039 how often each income arrives — read by MK-CF-F-071, MK-CF-F-072, MK-CF-F-074, MK-CF-F-075, MK-CF-F-130, MK-CF-F-179, MK
16. MK-XS-I-040 whether a stream is already being received — read by MK-CF-F-072
17. MK-XS-I-043 their own retirement contribution — read by MK-CF-F-088, MK-CF-F-092, MK-CF-F-179, MK-CF-F-181
18. MK-XS-I-055 the wrapper an account sits in — ISA, 401(k), IRA and the rest — read by MK-CF-F-075
19. MK-XS-I-059 the month a bonus lands — read by MK-CF-F-088, MK-CF-F-092
20. MK-XS-I-060 how a person is paid — weekly, fortnightly, monthly — read by MK-CF-F-130
21. MK-XS-I-064 the unit beside a quantity — shares, coins, contracts, ounces or units — read by MK-CF-F-171
[the code's record, this build — evidence for the ruling, not the row's statement: it cannot see inputs handed in as arguments, and it counts every branch below the producer]</t>
  </si>
  <si>
    <t>RULED, NOT CODED (Q-CF-1 — one question, one function)</t>
  </si>
  <si>
    <t>MK-CF-M-029</t>
  </si>
  <si>
    <t>YOUR BASE PAY — your tax band, on everything you are taxed on</t>
  </si>
  <si>
    <t>band</t>
  </si>
  <si>
    <t>effectiveRate</t>
  </si>
  <si>
    <t>MK-CF-F-090</t>
  </si>
  <si>
    <t>MK-CF-F-181 (rateInForce) → RateInForce</t>
  </si>
  <si>
    <t>1. MK-ST-F-056 has → MK-CF-F-172 hasWage → MK-CF-F-173 earnerWages → MK-CF-F-181 rateInForce → MK-CF-F-090 effectiveRate
2. MK-CF-F-099 deductionFor → MK-CF-F-100 taxableIncomeFor → MK-CF-F-101 taxOwedFor → MK-CF-F-102 effectiveRateOnGrossFor → MK-CF-F-181 rateInForce → MK-CF-F-090 effectiveRate
3. MK-ST-F-056 has → MK-CF-F-172 hasWage → MK-CF-F-173 earnerWages → MK-CF-F-180 enteredLandsAnnual → MK-CF-F-181 rateInForce → MK-CF-F-090 effectiveRate
4. MK-XS-F-122 n → MK-ST-F-052 toNum → MK-CF-F-180 enteredLandsAnnual → MK-CF-F-181 rateInForce → MK-CF-F-090 effectiveRate
5. MK-CF-F-085 filingStatusOf → MK-CF-F-181 rateInForce → MK-CF-F-090 effectiveRate
6. MK-XS-F-122 n → MK-ST-F-052 toNum → MK-CF-F-089 over65CountOf → MK-CF-F-181 rateInForce → MK-CF-F-090 effectiveRate
7. MK-CF-F-173 earnerWages → MK-CF-F-176 sumMonthsOverEarners → MK-CF-F-060 salaryGrossByMonth → MK-CF-F-082 salaryAnnual → MK-CF-F-181 rateInForce → MK-CF-F-090 effectiveRate
8. MK-CF-F-132 map → MK-CF-F-176 sumMonthsOverEarners → MK-CF-F-060 salaryGrossByMonth → MK-CF-F-082 salaryAnnual → MK-CF-F-181 rateInForce → MK-CF-F-090 effectiveRate
9. … and 4 more paths</t>
  </si>
  <si>
    <t>1. MK-CF-F-181 — Turns a monthly figure into a year by multiplying by twelve.
2. MK-CF-F-181 — Rounds the answer to a whole number.
3. MK-CF-F-180 — Uses a built-in total of 0.
4. MK-CF-F-089 — Uses today's date from the device clock, so the answer changes by itself overnight.
5. MK-CF-F-082 — Uses today's date from the device clock, so the answer changes by itself overnight.
6. MK-CF-F-084 — Turns a monthly figure into a year by multiplying by twelve.
7. MK-CF-F-084 — Uses today's date from the device clock, so the answer changes by itself overnight.
8. MK-CF-F-101 — Never lets state rate fall below 0.
9. MK-CF-F-101 — The 2026 bands per filing status are the Reference tab's statutory table (IRS Rev. Proc. 2025-32 §4.01), checked by statutory_constants.test.ts.
10. MK-CF-F-068 — Turns a monthly figure into a year by multiplying by twelve.
11. MK-CF-F-074 — Uses today's date from the device clock, so the answer changes by itself overnight.
12. MK-CF-F-176 — If r[i] is missing it counts as zero, so nothing recorded and a real zero look the same.
13. MK-CF-F-177 — Uses today's date from the device clock, so the answer changes by itself overnight.
14. MK-CF-F-063 — Uses today's date from the device clock, so the answer changes by itself overnight.
15. MK-CF-F-081 — Uses today's date from the device clock, so the answer changes by itself overnight.
16. MK-CF-F-099 — Never lets over65 fall below 0.
17. MK-CF-F-099 — 2026 standard deduction $16,100 single · $32,200 married · $16,100 filing separately · $24,150 head of household; 65+ add-on $2,050 single / head of household · $1,650 per person married (IRS Rev. Proc. 2025-32 §3.18).
18. MK-CF-F-099 — Plus the senior deduction of MK-CF-F-187 — $6,000 per person 65+, phased out 6% above $75,000 / $150,000, tax years 2025–2028 (P.L. 119-21 §70103).
19. MK-CF-F-130 — If salary freq] is missing it uses 12.
20. MK-ST-F-036 — If cash is missing it uses 0.
21. MK-CF-F-167 — Uses today's date from the device clock, so the answer changes by itself overnight.
22. MK-CF-F-187 — Never lets over65 fall below 0.
23. MK-CF-F-187 — Uses the published figures: $6,000 per person 65+, phased out at 6% above $75,000 ($150,000 joint), 2025–2028 (P.L. 119-21 §70103; checked 2026-09-08; lapses after 2028 — the statutory test fails when the tax year rolls past it).
24. MK-CF-F-187 — Takes the income handed to it as modified adjusted gross income — the untaxed part of Social Security and other adjustments are not modelled.
25. MK-CF-F-187 — Income not known → 0, never a guessed deduction.
… and 1 more, on the functions tab</t>
  </si>
  <si>
    <t>DECOMMISSIONED 2026-08-28 — it was here and is not any more. Kept so the number is never reused and earlier work can still be traced.</t>
  </si>
  <si>
    <t>2026-08-28</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</si>
  <si>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MK-CF-F-165, MK-CF-F-172, MK-CF-F-181
6. MK-XS-I-024 logged expenses — read by MK-CF-F-067, MK-CF-F-068
7. MK-XS-I-030 tax filing status and age — read by MK-CF-F-085, MK-CF-F-089, MK-CF-F-099, MK-CF-F-100, MK-CF-F-101, MK-CF-F-102, MK
8. MK-XS-I-031 daily and monthly snapshots — read by MK-ST-F-036
9. MK-XS-I-034 option positions — contracts, strike, expiry, put or call — read by MK-CF-F-062
10. MK-XS-I-035 annuity income — read by MK-CF-F-072, MK-CF-F-075
11. MK-XS-I-036 other guaranteed income — read by MK-CF-F-072, MK-CF-F-075
12. MK-XS-I-037 required-withdrawal income stream (ri_rmd) — read by MK-CF-F-075
13. MK-XS-I-038 withdrawal income stream (ri_withdrawals) — read by MK-CF-F-075
14. MK-XS-I-039 how often each income arrives — read by MK-CF-F-071, MK-CF-F-072, MK-CF-F-074, MK-CF-F-075, MK-CF-F-130, MK-CF-F-180
15. MK-XS-I-040 whether a stream is already being received — read by MK-CF-F-072
16. MK-XS-I-043 their own retirement contribution — read by MK-CF-F-181
17. MK-XS-I-055 the wrapper an account sits in — ISA, 401(k), IRA and the rest — read by MK-CF-F-075
18. MK-XS-I-060 how a person is paid — weekly, fortnightly, monthly — read by MK-CF-F-130
[the code's record, this build — evidence for the ruling, not the row's statement: it cannot see inputs handed in as arguments, and it counts every branch below the producer]</t>
  </si>
  <si>
    <t>MK-CF-M-007</t>
  </si>
  <si>
    <t>YOUR SOURCES — Self-employment</t>
  </si>
  <si>
    <t>op.seAmount</t>
  </si>
  <si>
    <t>1. B17 [ONE FORMULA] — Seven figures share one formula and one function, totalGrossAnnual, which returns GROSS A YEAR and nothing else: "take-home /year", "Gross / year", "Take-home / month", and the four per-source rows (Base salary, Self-employment, Bonus, each income source). Neither net figure is what the function returns, and a single source is not the total. Six of the seven need their own formula.</t>
  </si>
  <si>
    <t>B17 — FIXED 2026-09-12
G32 / Q48 — 2026-09-09: the 'division with nothing on the bottom' boilerplate is gone; this cell now states the row's real refusal. Where it says 'built', the screen already does it; the rest follow the empty-state mock.</t>
  </si>
  <si>
    <t>MK-CF-M-008</t>
  </si>
  <si>
    <t>YOUR SOURCES — Bonus</t>
  </si>
  <si>
    <t>op.bonusAnnual</t>
  </si>
  <si>
    <t>MK-CF-M-009</t>
  </si>
  <si>
    <t>YOUR SOURCES — Stock vesting (equity)</t>
  </si>
  <si>
    <t>rsuTotal</t>
  </si>
  <si>
    <t>equity a year ÷ the vest months it lands in, by the stated weights</t>
  </si>
  <si>
    <t>Spreads stock that vests across the months it actually vests in, rather than smoothing it over the year.</t>
  </si>
  <si>
    <t>No finding on this row. That is not a statement that the row is right — only that nothing has been written against it.
G32 / Q48 — 2026-09-09: the 'division with nothing on the bottom' boilerplate is gone; this cell now states the row's real refusal. Where it says 'built', the screen already does it; the rest follow the empty-state mock.</t>
  </si>
  <si>
    <t>MK-CF-M-010</t>
  </si>
  <si>
    <t>YOUR SOURCES — Rental property</t>
  </si>
  <si>
    <t>rentalTotal</t>
  </si>
  <si>
    <t>rentalNetAnnual</t>
  </si>
  <si>
    <t>MK-CF-F-068</t>
  </si>
  <si>
    <t>rental take-home /year = rent received − running costs</t>
  </si>
  <si>
    <t>(income − costs) each month, added across properties, × 12.
A property that costs more than it earns REDUCES income rather than being floored at zero — a loss-making rental is a real fact about a plan.</t>
  </si>
  <si>
    <t>each rental → rentalList  [MK-XS-I-023]</t>
  </si>
  <si>
    <t>MK-CF-F-067 (rentalList) → NOT DECLARED — the code does not say what it gives back</t>
  </si>
  <si>
    <t>1. MK-CF-F-132 map → MK-CF-F-067 rentalList → MK-CF-F-068 rentalNetAnnual
2. MK-XS-F-122 n → MK-ST-F-052 toNum → MK-CF-F-067 rentalList → MK-CF-F-068 rentalNetAnnual</t>
  </si>
  <si>
    <t>MK-CF-F-068 — Turns a monthly figure into a year by multiplying by twelve.</t>
  </si>
  <si>
    <t>1. B20 [CLASH] — The file says "rental take-home /year = rent received − running costs". The code (rentalNetAnnual) is Σ(income − expenses) × 12 — the inputs are MONTHLY and the twelve is what makes it a year. As written, the file's formula gives a month and calls it a year.</t>
  </si>
  <si>
    <t>B20 — FIXED 2026-08-27</t>
  </si>
  <si>
    <t>MK-XS-I-024 logged expenses — read by MK-CF-F-067, MK-CF-F-068
[the code's record, this build — evidence for the ruling, not the row's statement: it cannot see inputs handed in as arguments, and it counts every branch below the producer]</t>
  </si>
  <si>
    <t>MK-CF-M-011</t>
  </si>
  <si>
    <t>YOUR SOURCES — Social Security · pension</t>
  </si>
  <si>
    <t>guaranteed</t>
  </si>
  <si>
    <t>THE SURVIVING IDENTIFIER for this figure. Folded in: MK-PL-M-018, MK-PL-M-032, MK-CF-M-024. Guaranteed income being received now. Shown four ways: "You receive $X/mo" on Social Security timing, "incl. Social Security $X/mo" on the cockpit, as a source on Cash flow, and as a list on Monthly income. One figure, four identifiers.</t>
  </si>
  <si>
    <t>MK-CF-M-012</t>
  </si>
  <si>
    <t>RECEIVED · &lt;month&gt; — each payment</t>
  </si>
  <si>
    <t>i.amount</t>
  </si>
  <si>
    <t>each payment recorded this month, with its date and source</t>
  </si>
  <si>
    <t>Lists what has actually been received this month, rather than what was expected.</t>
  </si>
  <si>
    <t>RULED, NOT CODED (Q-CF-3 — one question, one function)</t>
  </si>
  <si>
    <t>MK-CF-M-013</t>
  </si>
  <si>
    <t>&lt;MONTH&gt; · $X SPENT</t>
  </si>
  <si>
    <t>spent</t>
  </si>
  <si>
    <t>spendBuckets</t>
  </si>
  <si>
    <t>MK-CF-F-004</t>
  </si>
  <si>
    <t>spent in a bucket = Σ(expenses this month in that bucket);  debt payments are excluded</t>
  </si>
  <si>
    <t>If the person answered category by category, total each category into its bucket. If they gave three summary figures instead, use those. Nothing answered is zero — never a guessed household average, which would put a number in their plan that nobody chose.</t>
  </si>
  <si>
    <t>1. the categories → spendCats  [MK-XS-I-032]
2. or the three summary figures → b_fixed, b_nonmonthly, b_flexible  [NOT AN INPUT — another function’s answer; see the dependency column]</t>
  </si>
  <si>
    <t>1. MK-CF-F-003 (categoryMonthly) → number
2. MK-ST-F-052 (toNum) → number</t>
  </si>
  <si>
    <t>1. MK-CF-F-069 benefitActiveMonths → MK-CF-F-092 incomeMonthlyGrid → MK-CF-F-120 pctBaseMonthly → MK-CF-F-003 categoryMonthly → MK-CF-F-004 spendBuckets
2. MK-CF-F-075 retirementIncomeMonthly → MK-CF-F-072 currentRetirementIncomeMonthly → MK-CF-F-092 incomeMonthlyGrid → MK-CF-F-120 pctBaseMonthly → MK-CF-F-003 categoryMonthly → MK-CF-F-004 spendBuckets
3. MK-CF-F-062 equityRowValue → MK-CF-F-065 equityVestWeights → MK-CF-F-092 incomeMonthlyGrid → MK-CF-F-120 pctBaseMonthly → MK-CF-F-003 categoryMonthly → MK-CF-F-004 spendBuckets
4. MK-CF-F-132 map → MK-CF-F-065 equityVestWeights → MK-CF-F-092 incomeMonthlyGrid → MK-CF-F-120 pctBaseMonthly → MK-CF-F-003 categoryMonthly → MK-CF-F-004 spendBuckets
5. MK-CF-F-070 benefitAnnual → MK-CF-F-071 extraIncome → MK-CF-F-092 incomeMonthlyGrid → MK-CF-F-120 pctBaseMonthly → MK-CF-F-003 categoryMonthly → MK-CF-F-004 spendBuckets
6. MK-ST-F-039 on → MK-CF-F-071 extraIncome → MK-CF-F-092 incomeMonthlyGrid → MK-CF-F-120 pctBaseMonthly → MK-CF-F-003 categoryMonthly → MK-CF-F-004 spendBuckets
7. MK-ST-F-052 toNum → MK-CF-F-071 extraIncome → MK-CF-F-092 incomeMonthlyGrid → MK-CF-F-120 pctBaseMonthly → MK-CF-F-003 categoryMonthly → MK-CF-F-004 spendBuckets
8. MK-ST-F-056 has → MK-CF-F-092 incomeMonthlyGrid → MK-CF-F-120 pctBaseMonthly → MK-CF-F-003 categoryMonthly → MK-CF-F-004 spendBuckets
9. … and 5 more paths</t>
  </si>
  <si>
    <t>1. MK-CF-F-003 — Turns a monthly figure into a year by multiplying by twelve.
2. MK-CF-F-092 — Uses today's date from the device clock, so the answer changes by itself overnight.
3. MK-CF-F-065 — Uses a built-in total v of 0.
4. MK-CF-F-087 — Uses today's date from the device clock, so the answer changes by itself overnight.
5. MK-CF-F-181 — Turns a monthly figure into a year by multiplying by twelve.
6. MK-CF-F-181 — Rounds the answer to a whole number.
7. MK-CF-F-068 — Turns a monthly figure into a year by multiplying by twelve.
8. MK-CF-F-088 — Uses today's date from the device clock, so the answer changes by itself overnight.
9. MK-CF-F-088 — Never lets t fall below 0.
10. MK-PL-F-012 — If emergency gap is missing it uses 0.
11. MK-PL-F-012 — If toxic debt is missing it uses 0.
12. MK-PL-F-012 — If employer match monthly is missing it uses 0.
13. MK-PL-F-012 — Never lets surplus fall below 0.
14. MK-PL-F-012 — Never lets need fall below 0.
15. MK-CF-F-008 — Treats a year as twelve equal months.
16. MK-CF-F-008 — Turns a monthly figure into a year by multiplying by twelve.
17. MK-CF-F-089 — Uses today's date from the device clock, so the answer changes by itself overnight.
18. MK-CF-F-098 — Never lets g fall below 0.
19. MK-CF-F-098 — Never lets state rate fall below 0.
20. MK-CF-F-180 — Uses a built-in total of 0.
21. MK-CF-F-082 — Uses today's date from the device clock, so the answer changes by itself overnight.
22. MK-CF-F-084 — Turns a monthly figure into a year by multiplying by twelve.
23. MK-CF-F-084 — Uses today's date from the device clock, so the answer changes by itself overnight.
24. MK-CF-F-063 — Uses today's date from the device clock, so the answer changes by itself overnight.
25. MK-CF-F-176 — If r[i] is missing it counts as zero, so nothing recorded and a real zero look the same.
… and 16 more, on the functions tab</t>
  </si>
  <si>
    <t>1. B02 [CLASH] — The file says "spent in a bucket = Σ(expenses this month in that bucket)". The code (spendBuckets, src/domain/budget/index.ts:72) reads the PLANNED categories the person set up, or the older planned fields — it never looks at a logged expense at all. Planned is being shown where spent is promised. One of these figures is labelled "Using $X/mo from your LOGGED expenses" on screen, which makes it a wrong word in front of the person as well as a wrong number. This is the same class as bug B-24.</t>
  </si>
  <si>
    <t>B02 — NOT A DEFECT 2026-08-26
G32 / Q48 — RULED 2026-09-09: $0 stays, with the sentence '$0 — nothing entered yet.' and this row's door ('Log your expenses ›'). File written; the screen follows the approved empty-state mock (one pattern, one screen), then every screen.</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</si>
  <si>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MK-CF-F-088, MK-CF-F-092, MK-CF-F-165, MK
6. MK-XS-I-024 logged expenses — read by MK-CF-F-067, MK-CF-F-068
7. MK-XS-I-027 goals (target, saved, date) — read by MK-PL-F-012
8. MK-XS-I-030 tax filing status and age — read by MK-CF-F-085, MK-CF-F-089, MK-CF-F-098, MK-CF-F-099, MK-CF-F-100, MK-CF-F-101, MK
9. MK-XS-I-031 daily and monthly snapshots — read by MK-ST-F-036
10. MK-XS-I-032 expenses categories the person set up — read by MK-CF-F-004, MK-CF-F-008
11. MK-XS-I-034 option positions — contracts, strike, expiry, put or call — read by MK-CF-F-062
12. MK-XS-I-035 annuity income — read by MK-CF-F-072, MK-CF-F-075
13. MK-XS-I-036 other guaranteed income — read by MK-CF-F-072, MK-CF-F-075
14. MK-XS-I-037 required-withdrawal income stream (ri_rmd) — read by MK-CF-F-075
15. MK-XS-I-038 withdrawal income stream (ri_withdrawals) — read by MK-CF-F-075
16. MK-XS-I-039 how often each income arrives — read by MK-CF-F-071, MK-CF-F-072, MK-CF-F-074, MK-CF-F-075, MK-CF-F-130, MK-CF-F-180
17. MK-XS-I-040 whether a stream is already being received — read by MK-CF-F-072
18. MK-XS-I-043 their own retirement contribution — read by MK-CF-F-088, MK-CF-F-092, MK-CF-F-181
19. MK-XS-I-055 the wrapper an account sits in — ISA, 401(k), IRA and the rest — read by MK-CF-F-075
20. MK-XS-I-059 the month a bonus lands — read by MK-CF-F-088, MK-CF-F-092
21. MK-XS-I-060 how a person is paid — weekly, fortnightly, monthly — read by MK-CF-F-130
22. MK-XS-I-064 the unit beside a quantity — shares, coins, contracts, ounces or units — read by MK-CF-F-003, MK-CF-F-008
[the code's record, this build — evidence for the ruling, not the row's statement: it cannot see inputs handed in as arguments, and it counts every branch below the producer]</t>
  </si>
  <si>
    <t>MK-CF-M-014</t>
  </si>
  <si>
    <t>each expense and its amount</t>
  </si>
  <si>
    <t>e.amount</t>
  </si>
  <si>
    <t>MK-CF-M-015</t>
  </si>
  <si>
    <t>BY CATEGORY VS PLAN — $X of $Y</t>
  </si>
  <si>
    <t>b.spent / b.planned</t>
  </si>
  <si>
    <t>plannedMonthlySpend</t>
  </si>
  <si>
    <t>MK-CF-F-002</t>
  </si>
  <si>
    <t>planned a month = Σ(each category’s planned amount);  remaining = planned − spent</t>
  </si>
  <si>
    <t>The LARGER of two answers: the categories added up, or the single monthly figure they typed.
The larger wins deliberately. Someone may answer both and the two rarely agree, and understating expenses is the direction that FLATTERS a plan — it makes the odds look better than they are. Taking the larger errs toward the cautious side.</t>
  </si>
  <si>
    <t>1. the categories → SPENDING_BY_KIND  [MK-XS-I-032]
2. the single figure → monthlySpending  [MK-XS-I-024, MK-XS-I-030]</t>
  </si>
  <si>
    <t>1. MK-CF-F-092 (incomeMonthlyGrid) → NOT DECLARED — the code does not say what it gives back
2. MK-CF-F-004 (spendBuckets) → NOT DECLARED — the code does not say what it gives back
3. MK-XS-F-027 (takeHomeMonthly) → number
4. MK-ST-F-052 (toNum) → number</t>
  </si>
  <si>
    <t>1. MK-CF-F-069 benefitActiveMonths → MK-CF-F-092 incomeMonthlyGrid → MK-CF-F-002 plannedMonthlySpend
2. MK-XS-F-122 n → MK-ST-F-052 toNum → MK-CF-F-075 retirementIncomeMonthly → MK-CF-F-072 currentRetirementIncomeMonthly → MK-CF-F-092 incomeMonthlyGrid → MK-CF-F-002 plannedMonthlySpend
3. MK-XS-F-122 n → MK-ST-F-052 toNum → MK-CF-F-062 equityRowValue → MK-CF-F-065 equityVestWeights → MK-CF-F-092 incomeMonthlyGrid → MK-CF-F-002 plannedMonthlySpend
4. MK-CF-F-132 map → MK-CF-F-065 equityVestWeights → MK-CF-F-092 incomeMonthlyGrid → MK-CF-F-002 plannedMonthlySpend
5. MK-CF-F-069 benefitActiveMonths → MK-CF-F-070 benefitAnnual → MK-CF-F-071 extraIncome → MK-CF-F-092 incomeMonthlyGrid → MK-CF-F-002 plannedMonthlySpend
6. MK-XS-F-122 n → MK-ST-F-052 toNum → MK-CF-F-070 benefitAnnual → MK-CF-F-071 extraIncome → MK-CF-F-092 incomeMonthlyGrid → MK-CF-F-002 plannedMonthlySpend
7. MK-ST-F-039 on → MK-CF-F-071 extraIncome → MK-CF-F-092 incomeMonthlyGrid → MK-CF-F-002 plannedMonthlySpend
8. MK-XS-F-122 n → MK-ST-F-052 toNum → MK-CF-F-071 extraIncome → MK-CF-F-092 incomeMonthlyGrid → MK-CF-F-002 plannedMonthlySpend
9. … and 5 more paths</t>
  </si>
  <si>
    <t>1. MK-CF-F-092 — Uses today's date from the device clock, so the answer changes by itself overnight.
2. MK-CF-F-065 — Uses a built-in total v of 0.
3. MK-CF-F-087 — Uses today's date from the device clock, so the answer changes by itself overnight.
4. MK-CF-F-181 — Turns a monthly figure into a year by multiplying by twelve.
5. MK-CF-F-181 — Rounds the answer to a whole number.
6. MK-CF-F-068 — Turns a monthly figure into a year by multiplying by twelve.
7. MK-CF-F-088 — Uses today's date from the device clock, so the answer changes by itself overnight.
8. MK-CF-F-088 — Never lets t fall below 0.
9. MK-PL-F-012 — If emergency gap is missing it uses 0.
10. MK-PL-F-012 — If toxic debt is missing it uses 0.
11. MK-PL-F-012 — If employer match monthly is missing it uses 0.
12. MK-PL-F-012 — Never lets surplus fall below 0.
13. MK-PL-F-012 — Never lets need fall below 0.
14. MK-CF-F-003 — Turns a monthly figure into a year by multiplying by twelve.
15. MK-CF-F-089 — Uses today's date from the device clock, so the answer changes by itself overnight.
16. MK-CF-F-098 — Never lets g fall below 0.
17. MK-CF-F-098 — Never lets state rate fall below 0.
18. MK-CF-F-180 — Uses a built-in total of 0.
19. MK-CF-F-082 — Uses today's date from the device clock, so the answer changes by itself overnight.
20. MK-CF-F-084 — Turns a monthly figure into a year by multiplying by twelve.
21. MK-CF-F-084 — Uses today's date from the device clock, so the answer changes by itself overnight.
22. MK-CF-F-063 — Uses today's date from the device clock, so the answer changes by itself overnight.
23. MK-CF-F-176 — If r[i] is missing it counts as zero, so nothing recorded and a real zero look the same.
24. MK-CF-F-177 — Uses today's date from the device clock, so the answer changes by itself overnight.
25. MK-CF-F-008 — Treats a year as twelve equal months.
… and 16 more, on the functions tab</t>
  </si>
  <si>
    <t>THE SURVIVING IDENTIFIER for this figure. Folded in: MK-MN-M-007. Expenses against plan for a category — the same comparison on Cash flow and on the expense screen. CONFIRM: the expense screen adds the amount being typed, which may make it a different figure.</t>
  </si>
  <si>
    <t>B26 — OPEN — RE-VERIFY ON DEVICE 2026-09-12
G32 / Q48 — RULED 2026-09-09: $0 stays, with the sentence '$0 — nothing entered yet.' and this row's door ('Log your expenses ›'). File written; the screen follows the approved empty-state mock (one pattern, one screen), then every screen.</t>
  </si>
  <si>
    <t>MK-CF-M-016</t>
  </si>
  <si>
    <t>BIG-TICKET RADAR — &lt;bill&gt; · due &lt;month&gt;</t>
  </si>
  <si>
    <t>b.amount</t>
  </si>
  <si>
    <t>a bill is flagged when its amount is large relative to a typical month and it falls within the horizon shown</t>
  </si>
  <si>
    <t>Points out the big one-off bills coming up, so they are not a surprise.</t>
  </si>
  <si>
    <t>1. B28 [CLASH] — THE BIG-TICKET RADAR IS BACKWARDS. It flags any bill over $500 from the grid, and debt payments join the grid as bills — so the MORTGAGE is flagged every single month, which teaches people to ignore the section. Meanwhile an unusual credit-card payment is tested against the mean of ALL logged "Debt payment" expenses — mortgage, car and card averaged together — so a $1,850 payment against a usual $195 is compared to a bar near $3,120 and stays QUIET. It shows the payment that never changes and hides the one that does. CashFlowScreen.tsx:462.</t>
  </si>
  <si>
    <t>B28 — Expenses — the radar flags the mortgage monthly and hides an unusual card payment</t>
  </si>
  <si>
    <t>B28 — FIXED 2026-08-27</t>
  </si>
  <si>
    <t>MK-CF-M-017</t>
  </si>
  <si>
    <t>well above your usual &lt;category&gt;</t>
  </si>
  <si>
    <t>flagged when an expense is well above the usual amount for its category</t>
  </si>
  <si>
    <t>Marks a single expense that sits well above what that category normally costs.</t>
  </si>
  <si>
    <t>MK-CF-M-018</t>
  </si>
  <si>
    <t>THIS MONTH — In (take-home)</t>
  </si>
  <si>
    <t>inflow</t>
  </si>
  <si>
    <t>A division: with nothing on the bottom there is no answer, and the line must not appear as zero. NOT YET CONFIRMED against the function.</t>
  </si>
  <si>
    <t>THE SAME FIGURE AS MK-XS-M-006 — Money in this month. "In (take-home)" on Cash flow is the same figure as "Income" on Home.</t>
  </si>
  <si>
    <t>B27 — FIXED 2026-09-01
B34 — OPEN — YOUR DECISION 2026-09-12
B25 — FIXED 2026-09-12</t>
  </si>
  <si>
    <t>SUPERSEDED BY MK-XS-M-006 — the same figure under another identifier. This number is retired and is never handed to anything else.</t>
  </si>
  <si>
    <t>RULED, NOT CODED (Q-CF-2 — one question, one function) · OPEN FINDING B34</t>
  </si>
  <si>
    <t>MK-CF-M-019</t>
  </si>
  <si>
    <t>THIS MONTH — Out (bills + debt)</t>
  </si>
  <si>
    <t>outflow</t>
  </si>
  <si>
    <t>1. spendBuckets
2. requiredPayment</t>
  </si>
  <si>
    <t>1. MK-CF-F-004
2. MK-CF-F-023</t>
  </si>
  <si>
    <t>money out = Σ(expenses this month) + Σ(required debt payments)</t>
  </si>
  <si>
    <t>If the person answered category by category, total each category into its bucket. If they gave three summary figures instead, use those. Nothing answered is zero — never a guessed household average, which would put a number in their plan that nobody chose. · Due in full → 0. It is a dated bill, and calling it a monthly payment overstates what a person is committed to. Otherwise the LARGER of the minimum and whatever payment they have chosen, so overpaying on purpose shows up.</t>
  </si>
  <si>
    <t>1. the categories → spendCats  [MK-XS-I-032]
2. or the three summary figures → b_fixed, b_nonmonthly, b_flexible  [NOT AN INPUT — another function’s answer; see the dependency column]
3. shape → paymentShape  [MK-XS-I-042]
4. minimum → minimum_monthly_payment  [MK-XS-I-016]
5. chosen → monthly_payment  [MK-XS-I-041]</t>
  </si>
  <si>
    <t>1. MK-CF-F-003 (categoryMonthly) → number
2. MK-ST-F-052 (toNum) → number
3. MK-CF-F-022 (paymentShape) → NonNullable&lt;Debt['payment_type']&gt;</t>
  </si>
  <si>
    <t>1. MK-CF-F-069 benefitActiveMonths → MK-CF-F-092 incomeMonthlyGrid → MK-CF-F-120 pctBaseMonthly → MK-CF-F-003 categoryMonthly → MK-CF-F-004 spendBuckets
2. MK-CF-F-075 retirementIncomeMonthly → MK-CF-F-072 currentRetirementIncomeMonthly → MK-CF-F-092 incomeMonthlyGrid → MK-CF-F-120 pctBaseMonthly → MK-CF-F-003 categoryMonthly → MK-CF-F-004 spendBuckets
3. MK-CF-F-062 equityRowValue → MK-CF-F-065 equityVestWeights → MK-CF-F-092 incomeMonthlyGrid → MK-CF-F-120 pctBaseMonthly → MK-CF-F-003 categoryMonthly → MK-CF-F-004 spendBuckets
4. MK-CF-F-132 map → MK-CF-F-065 equityVestWeights → MK-CF-F-092 incomeMonthlyGrid → MK-CF-F-120 pctBaseMonthly → MK-CF-F-003 categoryMonthly → MK-CF-F-004 spendBuckets
5. MK-CF-F-070 benefitAnnual → MK-CF-F-071 extraIncome → MK-CF-F-092 incomeMonthlyGrid → MK-CF-F-120 pctBaseMonthly → MK-CF-F-003 categoryMonthly → MK-CF-F-004 spendBuckets
6. MK-ST-F-039 on → MK-CF-F-071 extraIncome → MK-CF-F-092 incomeMonthlyGrid → MK-CF-F-120 pctBaseMonthly → MK-CF-F-003 categoryMonthly → MK-CF-F-004 spendBuckets
7. MK-ST-F-052 toNum → MK-CF-F-071 extraIncome → MK-CF-F-092 incomeMonthlyGrid → MK-CF-F-120 pctBaseMonthly → MK-CF-F-003 categoryMonthly → MK-CF-F-004 spendBuckets
8. MK-ST-F-056 has → MK-CF-F-092 incomeMonthlyGrid → MK-CF-F-120 pctBaseMonthly → MK-CF-F-003 categoryMonthly → MK-CF-F-004 spendBuckets
9. … and 5 more paths
10. MK-CF-F-021 defaultPaymentType → MK-CF-F-022 paymentShape → MK-CF-F-023 requiredPayment</t>
  </si>
  <si>
    <t>1. MK-CF-F-003 — Turns a monthly figure into a year by multiplying by twelve.
2. MK-CF-F-092 — Uses today's date from the device clock, so the answer changes by itself overnight.
3. MK-CF-F-065 — Uses a built-in total v of 0.
4. MK-CF-F-087 — Uses today's date from the device clock, so the answer changes by itself overnight.
5. MK-CF-F-181 — Turns a monthly figure into a year by multiplying by twelve.
6. MK-CF-F-181 — Rounds the answer to a whole number.
7. MK-CF-F-068 — Turns a monthly figure into a year by multiplying by twelve.
8. MK-CF-F-088 — Uses today's date from the device clock, so the answer changes by itself overnight.
9. MK-CF-F-088 — Never lets t fall below 0.
10. MK-PL-F-012 — If emergency gap is missing it uses 0.
11. MK-PL-F-012 — If toxic debt is missing it uses 0.
12. MK-PL-F-012 — If employer match monthly is missing it uses 0.
13. MK-PL-F-012 — Never lets surplus fall below 0.
14. MK-PL-F-012 — Never lets need fall below 0.
15. MK-CF-F-008 — Treats a year as twelve equal months.
16. MK-CF-F-008 — Turns a monthly figure into a year by multiplying by twelve.
17. MK-CF-F-089 — Uses today's date from the device clock, so the answer changes by itself overnight.
18. MK-CF-F-098 — Never lets g fall below 0.
19. MK-CF-F-098 — Never lets state rate fall below 0.
20. MK-CF-F-180 — Uses a built-in total of 0.
21. MK-CF-F-082 — Uses today's date from the device clock, so the answer changes by itself overnight.
22. MK-CF-F-084 — Turns a monthly figure into a year by multiplying by twelve.
23. MK-CF-F-084 — Uses today's date from the device clock, so the answer changes by itself overnight.
24. MK-CF-F-063 — Uses today's date from the device clock, so the answer changes by itself overnight.
25. MK-CF-F-176 — If r[i] is missing it counts as zero, so nothing recorded and a real zero look the same.
… and 17 more, on the functions tab</t>
  </si>
  <si>
    <t>1. B01 [CLASH] — The file says the required payment is "the stated minimum, or interest + 1% of balance when none is stated". The code (requiredPayment, src/domain/debt/index.ts:44) is the LARGER of the stated minimum and the payment the person chose, falling back to the stated minimum — and ZERO for a debt due in full as a lump. There is no interest term and no 1% anywhere in the debt code. The file describes a rule that was never built.
2. B02 [CLASH] — The file says "spent in a bucket = Σ(expenses this month in that bucket)". The code (spendBuckets, src/domain/budget/index.ts:72) reads the PLANNED categories the person set up, or the older planned fields — it never looks at a logged expense at all. Planned is being shown where spent is promised. One of these figures is labelled "Using $X/mo from your LOGGED expenses" on screen, which makes it a wrong word in front of the person as well as a wrong number. This is the same class as bug B-24.</t>
  </si>
  <si>
    <t>B01 — This month — a debt with no stated minimum shows $0/mo and prefills the pay dialog with $0</t>
  </si>
  <si>
    <t>B01 — FIXED 2026-09-08
B02 — NOT A DEFECT 2026-08-26
G32 / Q48 — RULED 2026-09-09: $0 stays, with the sentence '$0 — nothing entered yet.' and this row's door ('Add your bills ›'). File written; the screen follows the approved empty-state mock (one pattern, one screen), then every screen.</t>
  </si>
  <si>
    <t>1. MK-XS-I-004 holding quantity (shares) — read by MK-CF-F-062
2. MK-XS-I-016 debt minimum payment — read by MK-CF-F-023
3. MK-XS-I-017 birth year — read by MK-CF-F-089
4. MK-XS-I-020 Social Security monthly amount — read by MK-CF-F-072, MK-CF-F-075
5. MK-XS-I-022 pension monthly amount — read by MK-CF-F-072, MK-CF-F-075
6. MK-XS-I-023 salary and other income — read by MK-CF-F-074, MK-CF-F-082, MK-CF-F-084, MK-CF-F-088, MK-CF-F-092, MK-CF-F-165, MK
7. MK-XS-I-024 logged expenses — read by MK-CF-F-067, MK-CF-F-068
8. MK-XS-I-027 goals (target, saved, date) — read by MK-PL-F-012
9. MK-XS-I-030 tax filing status and age — read by MK-CF-F-085, MK-CF-F-089, MK-CF-F-098, MK-CF-F-099, MK-CF-F-100, MK-CF-F-101, MK
10. MK-XS-I-031 daily and monthly snapshots — read by MK-ST-F-036
11. MK-XS-I-032 expenses categories the person set up — read by MK-CF-F-004, MK-CF-F-008
12. MK-XS-I-034 option positions — contracts, strike, expiry, put or call — read by MK-CF-F-062
13. MK-XS-I-035 annuity income — read by MK-CF-F-072, MK-CF-F-075
14. MK-XS-I-036 other guaranteed income — read by MK-CF-F-072, MK-CF-F-075
15. MK-XS-I-037 required-withdrawal income stream (ri_rmd) — read by MK-CF-F-075
16. MK-XS-I-038 withdrawal income stream (ri_withdrawals) — read by MK-CF-F-075
17. MK-XS-I-039 how often each income arrives — read by MK-CF-F-071, MK-CF-F-072, MK-CF-F-074, MK-CF-F-075, MK-CF-F-130, MK-CF-F-180
18. MK-XS-I-040 whether a stream is already being received — read by MK-CF-F-072
19. MK-XS-I-041 the payment the person chose to make on a debt — read by MK-CF-F-023
20. MK-XS-I-042 how a stream is paid — monthly, yearly or one lump — read by MK-CF-F-021, MK-CF-F-022, MK-CF-F-023
21. MK-XS-I-043 their own retirement contribution — read by MK-CF-F-088, MK-CF-F-092, MK-CF-F-181
22. MK-XS-I-055 the wrapper an account sits in — ISA, 401(k), IRA and the rest — read by MK-CF-F-075
23. MK-XS-I-059 the month a bonus lands — read by MK-CF-F-088, MK-CF-F-092
24. MK-XS-I-060 how a person is paid — weekly, fortnightly, monthly — read by MK-CF-F-130
25. MK-XS-I-064 the unit beside a quantity — shares, coins, contracts, ounces or units — read by MK-CF-F-003, MK-CF-F-008
[the code's record, this build — evidence for the ruling, not the row's statement: it cannot see inputs handed in as arguments, and it counts every branch below the producer]</t>
  </si>
  <si>
    <t>MK-CF-M-020</t>
  </si>
  <si>
    <t>THIS MONTH — free to use</t>
  </si>
  <si>
    <t>free</t>
  </si>
  <si>
    <t>free to use = money in − money out − Σ(monthly amounts the Plan committed)</t>
  </si>
  <si>
    <t>MK-CF-M-021</t>
  </si>
  <si>
    <t>&lt;goal&gt; · from your Plan</t>
  </si>
  <si>
    <t>c.monthlyAmount</t>
  </si>
  <si>
    <t>Σ(monthly amount of each goal the Plan has committed to)</t>
  </si>
  <si>
    <t>The monthly amounts the Plan has already promised to goals, so cash flow can show what is genuinely free.</t>
  </si>
  <si>
    <t>$0, and under it the one line "Nothing entered yet. Add a goal ›" (mock approved 2026-09-12). A real zero that was entered shows a plain $0 with no line.</t>
  </si>
  <si>
    <t>No finding on this row. That is not a statement that the row is right — only that nothing has been written against it.
G32 / Q48 — RULED 2026-09-09: $0 stays, with the sentence '$0 — nothing entered yet.' and this row's door ('Add a goal ›'). File written; the screen follows the approved empty-state mock (one pattern, one screen), then every screen.</t>
  </si>
  <si>
    <t>YOUR FUTURE PAYCHECK — At &lt;age&gt;: ~$X / mo</t>
  </si>
  <si>
    <t>projection.monthly</t>
  </si>
  <si>
    <t>1. buildPaycheckYear (the draw from savings)
2. guaranteedOutsideStreams (summed)
3. simulate (the projected pot it draws from)</t>
  </si>
  <si>
    <t>1. MK-CF-F-107
2. MK-CF-F-076
3. MK-PL-F-050</t>
  </si>
  <si>
    <t>monthly at retirement = guaranteed outside income a month (MK-CF-F-076) + draw from savings a month (MK-CF-F-107)
draw from savings = the largest level monthly draw from the projected pot that keeps the odds of the money lasting at or above 80, found by binary search over seeded runs of MK-PL-F-050
projected pot = simulate(the plan's inputs).projected_at_retirement — the pot at the retirement age, from MK-PL-F-050</t>
  </si>
  <si>
    <t>Two lines make the figure. The first is outside money at retirement — Social Security, pension, annuity, other — converted to monthly. The second is the draw from savings: the biggest steady monthly amount the projected pot can hand over while the odds of it lasting stay at 80 or better; the app searches for that amount by re-running the plan. The pot itself is what today's savings and the years of contributions grow to by the retirement age, in the same simulation the odds use. Shown as '~$X / mo' with the estimate label because every part of it is projected. Answer to the founder's question (2026-09-08): yes — the row named the pot function (projectNestEgg) as if it produced a monthly figure; the screen never used it for this card. Fixed here; the screen was right.</t>
  </si>
  <si>
    <t>1. MK-XS-F-004 (buildDatedGrid) → DatedGrid
2. MK-CF-F-105 (guaranteedRows) → GuaranteedRow[]
3. MK-CF-F-132 (map) → NOT DECLARED — the code does not say what it gives back
4. MK-NW-F-033 (retirementEarmarkedValue) → number
5. MK-CF-F-106 (solveSafeDraw) → number
6. MK-ST-F-052 (toNum) → number
7. MK-PL-F-074 (median) → number
8. MK-PL-F-072 (mulberry32) → NOT DECLARED — the code does not say what it gives back
9. MK-XS-F-122 (n) → number
10. MK-PL-F-073 (normal) → number
11. MK-PL-F-075 (pctOfSorted) → number
12. MK-ST-F-025 (rmdStartAgeFromAge) → number</t>
  </si>
  <si>
    <t>A44 — NOT A DEFECT 2026-08-26
B11 — FIXED 2026-09-12
G17 — the draw from savings behind this figure now runs 1,000 futures (was 300). Closed 2026-09-08.
G14 — CLOSED 2026-09-08: the row now names the three real producers and states the draw rule. File matches code; no code change.</t>
  </si>
  <si>
    <t>1. MK-XS-I-001 account balance — read by MK-NW-F-031, MK-NW-F-032, MK-ST-F-027
2. MK-XS-I-002 account type (taxable, pre-tax, Roth) — read by MK-NW-F-011
3. MK-XS-I-004 holding quantity (shares) — read by MK-CF-F-062, MK-ST-F-027
4. MK-XS-I-005 holding price — read by MK-ST-F-027
5. MK-XS-I-007 purchase price and date (per lot) — read by MK-ST-F-027
6. MK-XS-I-013 bond maturity date — read by MK-NW-F-011, MK-ST-F-010
7. MK-XS-I-014 debt balance — read by MK-XS-F-004
8. MK-XS-I-016 debt minimum payment — read by MK-CF-F-023
9. MK-XS-I-017 birth year — read by MK-CF-F-089, MK-ST-F-024
10. MK-XS-I-018 retirement age — read by MK-CF-F-106, MK-PL-F-050
11. MK-XS-I-020 Social Security monthly amount — read by MK-CF-F-072, MK-CF-F-075, MK-CF-F-076
12. MK-XS-I-022 pension monthly amount — read by MK-CF-F-072, MK-CF-F-075, MK-CF-F-076
13. MK-XS-I-023 salary and other income — read by MK-CF-F-074, MK-CF-F-082, MK-CF-F-084, MK-CF-F-088, MK-CF-F-092, MK-CF-F-165, MK
14. MK-XS-I-024 logged expenses — read by MK-CF-F-067, MK-CF-F-068, MK-CF-F-107, MK-XS-F-004
15. MK-XS-I-026 big costs (amount and year) — read by MK-XS-F-004
16. MK-XS-I-027 goals (target, saved, date) — read by MK-PL-F-012
17. MK-XS-I-028 assumed return — read by MK-CF-F-106, MK-PL-F-050
18. MK-XS-I-029 inflation rate — read by MK-CF-F-106, MK-PL-F-050
19. MK-XS-I-030 tax filing status and age — read by MK-CF-F-085, MK-CF-F-089, MK-CF-F-098, MK-CF-F-099, MK-CF-F-100, MK-CF-F-101, MK
20. MK-XS-I-031 daily and monthly snapshots — read by MK-ST-F-036
21. MK-XS-I-032 expenses categories the person set up — read by MK-CF-F-004, MK-CF-F-008, MK-XS-F-004
22. MK-XS-I-034 option positions — contracts, strike, expiry, put or call — read by MK-CF-F-062
23. MK-XS-I-035 annuity income — read by MK-CF-F-072, MK-CF-F-075, MK-CF-F-076
24. MK-XS-I-036 other guaranteed income — read by MK-CF-F-072, MK-CF-F-075, MK-CF-F-076, MK-PL-F-050
25. MK-XS-I-037 required-withdrawal income stream (ri_rmd) — read by MK-CF-F-075
26. MK-XS-I-038 withdrawal income stream (ri_withdrawals) — read by MK-CF-F-075
27. MK-XS-I-039 how often each income arrives — read by MK-CF-F-071, MK-CF-F-072, MK-CF-F-074, MK-CF-F-075, MK-CF-F-076, MK-CF-F-105, MK
28. MK-XS-I-040 whether a stream is already being received — read by MK-CF-F-072, MK-CF-F-105
29. MK-XS-I-041 the payment the person chose to make on a debt — read by MK-CF-F-023
30. MK-XS-I-042 how a stream is paid — monthly, yearly or one lump — read by MK-CF-F-021, MK-CF-F-022, MK-CF-F-023, MK-XS-F-004
31. MK-XS-I-043 their own retirement contribution — read by MK-CF-F-088, MK-CF-F-092, MK-CF-F-106, MK-CF-F-181, MK-PL-F-050
32. MK-XS-I-048 the person’s own asset-class answer — read by MK-NW-F-011, MK-ST-F-027
33. MK-XS-I-050 the share of an account earmarked for retirement — read by MK-NW-F-032
34. MK-XS-I-052 the day of the month a debt payment is due — read by MK-XS-F-004
35. MK-XS-I-053 the month a debt is first paid — read by MK-XS-F-004
36. MK-XS-I-054 the date a debt is due to be paid off in full — read by MK-XS-F-004
37. MK-XS-I-055 the wrapper an account sits in — ISA, 401(k), IRA and the rest — read by MK-CF-F-075, MK-CF-F-076, MK-CF-F-107, MK-NW-F-011, MK-NW-F-030, MK-NW-F-031, MK
38. MK-XS-I-059 the month a bonus lands — read by MK-CF-F-088, MK-CF-F-092, MK-XS-F-004
39. MK-XS-I-060 how a person is paid — weekly, fortnightly, monthly — read by MK-CF-F-130
40. MK-XS-I-064 the unit beside a quantity — shares, coins, contracts, ounces or units — read by MK-CF-F-003, MK-CF-F-008, MK-XS-F-004
[the code's record, this build — evidence for the ruling, not the row's statement: it cannot see inputs handed in as arguments, and it counts every branch below the producer]</t>
  </si>
  <si>
    <t>YOUR FUTURE PAYCHECK — Social Security · pension</t>
  </si>
  <si>
    <t>projection.guaranteed</t>
  </si>
  <si>
    <t>guaranteedOutsideStreams (summed)</t>
  </si>
  <si>
    <t>MK-CF-F-076</t>
  </si>
  <si>
    <t>guaranteed income a month = Social Security + pension + annuity + other stated income — the four OUTSIDE sources, each converted to a monthly figure</t>
  </si>
  <si>
    <t>Add Social Security, pension, annuity and other stated retirement income — each converted to a monthly figure from however it was entered (yearly, quarterly, monthly). Planned withdrawals and the required withdrawal are NOT in this line: the card prints 'Draw from savings' beside it, and counting a savings draw twice is what founder decision brief Q-38 (2026-08-20) forbids.</t>
  </si>
  <si>
    <t>1. Social Security → ri_ss [MK-XS-I-020]
2. pension → ri_pension [MK-XS-I-022]
3. annuity → ri_annuities [MK-XS-I-035]
4. other → ri_other [MK-XS-I-036]
5. how often each arrives → the matching frequency [MK-XS-I-039]</t>
  </si>
  <si>
    <t>MK-ST-F-052 (toNum) → number</t>
  </si>
  <si>
    <t>MK-XS-F-122 n → MK-ST-F-052 toNum → MK-CF-F-075 retirementIncomeMonthly</t>
  </si>
  <si>
    <t>NOT DETERMINED — no assumption recorded for this figure yet.
[Founder] brief Q-38 (2026-08-20): the paycheck DISPLAY shows every line; the plan's guaranteed INPUT — and this card's guaranteed line, which sits beside a savings draw — takes outside money only.</t>
  </si>
  <si>
    <t>No finding on this row. That is not a statement that the row is right — only that nothing has been written against it.
G13 — CLOSED 2026-09-08, and it was CODE as well as file: the card read the six-source function (MK-CF-F-075, withdrawals and required withdrawal included) beside its own 'Draw from savings' line — a double count. The screen now sums MK-CF-F-076 (four outside sources); this row names it. File and code are both updated and they match 100%.</t>
  </si>
  <si>
    <t>1. MK-XS-I-020 Social Security monthly amount — read by MK-CF-F-076
2. MK-XS-I-022 pension monthly amount — read by MK-CF-F-076
3. MK-XS-I-035 annuity income — read by MK-CF-F-076
4. MK-XS-I-036 other guaranteed income — read by MK-CF-F-076
5. MK-XS-I-039 how often each income arrives — read by MK-CF-F-076
6. MK-XS-I-055 the wrapper an account sits in — ISA, 401(k), IRA and the rest — read by MK-CF-F-076
[the code's record, this build — evidence for the ruling, not the row's statement: it cannot see inputs handed in as arguments, and it counts every branch below the producer]</t>
  </si>
  <si>
    <t>MK-CF-M-024</t>
  </si>
  <si>
    <t>/monthly-income</t>
  </si>
  <si>
    <t>each source of guaranteed income</t>
  </si>
  <si>
    <t>MK-CF-M-025</t>
  </si>
  <si>
    <t>/month-detail</t>
  </si>
  <si>
    <t>what came in and went out that month</t>
  </si>
  <si>
    <t>cell</t>
  </si>
  <si>
    <t>see the by-month grid</t>
  </si>
  <si>
    <t>The month-by-month view of money in and money out.</t>
  </si>
  <si>
    <t>MK-CF-M-026</t>
  </si>
  <si>
    <t>/paycheck-months</t>
  </si>
  <si>
    <t>the months a paycheck lands</t>
  </si>
  <si>
    <t>payYear</t>
  </si>
  <si>
    <t>paycheck a month = guaranteed income + the draw from savings</t>
  </si>
  <si>
    <t>Builds the monthly paycheck in retirement: what is guaranteed that month, plus what can be drawn from savings without breaking the plan.</t>
  </si>
  <si>
    <t>Months · one decimal  [derived by rule — confirm]</t>
  </si>
  <si>
    <t>[Founder] Withdrawals, including required ones, are NOT counted as guaranteed income — counting money coming out of the pot as income would count the same dollars twice (fix B5).</t>
  </si>
  <si>
    <t>Q30 — The draw from savings is shown as one figure a month. Should it hold steady in today's dollars, or rise with inflation each year?</t>
  </si>
  <si>
    <t>rise with inflation each year</t>
  </si>
  <si>
    <t>WAITING ON YOU — question Q30 · RULED, NOT CODED (Q-CF-3 — one question, one function)</t>
  </si>
  <si>
    <t>MK-CF-M-027</t>
  </si>
  <si>
    <t>/income-manager</t>
  </si>
  <si>
    <t>each income source and its amount</t>
  </si>
  <si>
    <t>sources</t>
  </si>
  <si>
    <t>MK-CF-M-028</t>
  </si>
  <si>
    <t>/bill-calendar</t>
  </si>
  <si>
    <t>each bill and the day it falls</t>
  </si>
  <si>
    <t>bills</t>
  </si>
  <si>
    <t>each bill falls on its stated day;  the month’s bills = Σ(amounts due in that month)</t>
  </si>
  <si>
    <t>Places each recurring bill on the day of the month it falls, so the shape of the month can be seen.</t>
  </si>
  <si>
    <t>MK-CF-M-030</t>
  </si>
  <si>
    <t>/base-pay</t>
  </si>
  <si>
    <t>Each person’s pay</t>
  </si>
  <si>
    <t>each_persons_pay</t>
  </si>
  <si>
    <t>basePay</t>
  </si>
  <si>
    <t>MK-CF-O-001</t>
  </si>
  <si>
    <t>gross a year = the sum of every earner’s wage, each annualised from the rhythm they are paid in</t>
  </si>
  <si>
    <t>MK-CF-I-001 wage
MK-CF-I-002 how often it is paid
MK-XS-I-021 spouse wage</t>
  </si>
  <si>
    <t>Shows $0 until a wage is entered; the screen offers the door to enter one.</t>
  </si>
  <si>
    <t>1. MK-ST-F-035 (covers) → boolean
2. MK-CF-F-171 (earnerPay) → EarnerPay
3. MK-CF-F-132 (map) → NOT DECLARED — the code does not say what it gives back
4. MK-CF-F-103 (marginalBracketFor) → number
5. MK-ST-F-053 (money) → string
6. MK-HM-F-006 (money0) → NOT DECLARED — the code does not say what it gives back
7. MK-XS-F-122 (n) → number
8. MK-CF-F-198 (payrollTaxWithheld) → number
9. MK-CF-F-181 (rateInForce) → RateInForce</t>
  </si>
  <si>
    <t>Declared by MK-CF-O-001 basePay</t>
  </si>
  <si>
    <t>A wage entered for a rhythm is annualised by that rhythm, never by a flat twelve.</t>
  </si>
  <si>
    <t>DECLARED IN THE CODE (rule 11) — printed from the door, not typed. RULED 2026-09-14</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</si>
  <si>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MK-CF-F-165, MK-CF-F-172, MK-CF-F-181
6. MK-XS-I-024 logged expenses — read by MK-CF-F-067, MK-CF-F-068, MK-HM-F-006
7. MK-XS-I-027 goals (target, saved, date) — read by MK-HM-F-006
8. MK-XS-I-030 tax filing status and age — read by MK-CF-F-085, MK-CF-F-089, MK-CF-F-099, MK-CF-F-100, MK-CF-F-101, MK-CF-F-102, MK
9. MK-XS-I-031 daily and monthly snapshots — read by MK-ST-F-035, MK-ST-F-036
10. MK-XS-I-034 option positions — contracts, strike, expiry, put or call — read by MK-CF-F-062
11. MK-XS-I-035 annuity income — read by MK-CF-F-072, MK-CF-F-075
12. MK-XS-I-036 other guaranteed income — read by MK-CF-F-072, MK-CF-F-075
13. MK-XS-I-037 required-withdrawal income stream (ri_rmd) — read by MK-CF-F-075
14. MK-XS-I-038 withdrawal income stream (ri_withdrawals) — read by MK-CF-F-075
15. MK-XS-I-039 how often each income arrives — read by MK-CF-F-071, MK-CF-F-072, MK-CF-F-074, MK-CF-F-075, MK-CF-F-130, MK-CF-F-180
16. MK-XS-I-040 whether a stream is already being received — read by MK-CF-F-072
17. MK-XS-I-043 their own retirement contribution — read by MK-CF-F-181
18. MK-XS-I-055 the wrapper an account sits in — ISA, 401(k), IRA and the rest — read by MK-CF-F-075
19. MK-XS-I-060 how a person is paid — weekly, fortnightly, monthly — read by MK-CF-F-130
20. MK-XS-I-064 the unit beside a quantity — shares, coins, contracts, ounces or units — read by MK-CF-F-171
[the code's record, this build — evidence for the ruling, not the row's statement: it cannot see inputs handed in as arguments, and it counts every branch below the producer]</t>
  </si>
  <si>
    <t>MK-CF-M-031</t>
  </si>
  <si>
    <t>/base-pay · /cashflow</t>
  </si>
  <si>
    <t>Take-home</t>
  </si>
  <si>
    <t>takehome</t>
  </si>
  <si>
    <t>for one earner: what they entered, or their gross less federal tax less their own 401(k). For the household: the sum of the earners’ figures, never a second calculation.</t>
  </si>
  <si>
    <t>MK-CF-I-001 wage
MK-CF-I-003 take-home as entered
MK-CF-I-004 401(k) contribution
MK-CF-I-005 tax rate as entered</t>
  </si>
  <si>
    <t>Shows $0 until a wage is entered.</t>
  </si>
  <si>
    <t>Federal income tax only when it is calculated — no Social Security, Medicare or state tax (MK-CF-D-001).</t>
  </si>
  <si>
    <t>ONE figure over two sets: one earner, and the household — so a total and its parts cannot disagree (rule 2). It wears ≈ whenever the figure was calculated rather than entered.</t>
  </si>
  <si>
    <t>MK-CF-M-032</t>
  </si>
  <si>
    <t>Federal tax bracket</t>
  </si>
  <si>
    <t>federal_tax_bracket</t>
  </si>
  <si>
    <t>the published bracket the household’s gross falls in, for their filing status</t>
  </si>
  <si>
    <t>MK-CF-M-030 gross a year
MK-XS-I-024 filing status</t>
  </si>
  <si>
    <t>a percentage, whole</t>
  </si>
  <si>
    <t>The row is not shown until a wage is entered.</t>
  </si>
  <si>
    <t>Filing status is assumed to be jointly when two people earn and nobody has said (MK-CF-D-004).</t>
  </si>
  <si>
    <t>MK-CF-M-033</t>
  </si>
  <si>
    <t>Calculated federal tax</t>
  </si>
  <si>
    <t>calculated_federal_tax</t>
  </si>
  <si>
    <t>tax a month = federal tax on (gross less the standard deduction, at the published bands) ÷ 12</t>
  </si>
  <si>
    <t>MK-CF-M-030 gross a year
MK-XS-I-024 filing status
MK-XS-I-025 how many are over 65</t>
  </si>
  <si>
    <t>The row appears only when the figure is ours; an entered take-home already has tax inside it.</t>
  </si>
  <si>
    <t>Assumes the standard deduction, never itemised (MK-CF-D-002).</t>
  </si>
  <si>
    <t>MK-CF-M-034</t>
  </si>
  <si>
    <t>Your 401(k)s</t>
  </si>
  <si>
    <t>your_401ks</t>
  </si>
  <si>
    <t>401(k) a month = the sum of every earner’s own contribution, the employer’s match excluded</t>
  </si>
  <si>
    <t>MK-CF-I-004 401(k) contribution</t>
  </si>
  <si>
    <t>The row is hidden when nobody contributes.</t>
  </si>
  <si>
    <t>The employer’s match is not counted here — it is not taken out of take-home (MK-CF-D-003).</t>
  </si>
  <si>
    <t>MK-CF-M-035</t>
  </si>
  <si>
    <t>The take-home above is higher than it will really be</t>
  </si>
  <si>
    <t>the_takehome_above_is_higher_than_it_wil</t>
  </si>
  <si>
    <t>overstated by = Σ over earners of (Social Security 6.2% of the wage up to the wage base + Medicare 1.45% of the whole wage + 0.9% of the wage above the additional-tax threshold) ÷ 12</t>
  </si>
  <si>
    <t>MK-CF-I-001 wage
MK-ST-I-030 Social Security wage base
MK-ST-I-031 Medicare additional-tax threshold</t>
  </si>
  <si>
    <t>The warning appears only when the take-home is ours and estimated.</t>
  </si>
  <si>
    <t>State tax is not in this figure, because we do not know their state (MK-CF-D-005).</t>
  </si>
  <si>
    <t>MK-CF-M-036</t>
  </si>
  <si>
    <t>Everything else taken out</t>
  </si>
  <si>
    <t>everything_else_taken_out</t>
  </si>
  <si>
    <t>for one earner: everything else = (their gross a year − their 401(k) a year − their take-home /year) ÷ 12. For the household: the sum of the earners’ figures, never a second subtraction.</t>
  </si>
  <si>
    <t>MK-CF-I-001 wage
MK-CF-I-003 take-home as entered
MK-CF-I-004 401(k) contribution</t>
  </si>
  <si>
    <t>The row is hidden for anyone whose take-home was calculated rather than entered; the household row is hidden unless every earner entered one.</t>
  </si>
  <si>
    <t>Shown only when the person entered their own take-home, so the difference is theirs and not ours.
The household figure is the sum of the earners’, so a total and its parts cannot disagree (rule 2).</t>
  </si>
  <si>
    <t>ONE figure over two sets: one earner, and the household. Moved off the screen into this door on 2026-09-14 — the base-pay card used to do the subtraction itself (rule 5).</t>
  </si>
  <si>
    <t>MK-CF-M-037</t>
  </si>
  <si>
    <t>/income-summary</t>
  </si>
  <si>
    <t>Take-home each month</t>
  </si>
  <si>
    <t>takehome_each_month</t>
  </si>
  <si>
    <t>incomeSummary</t>
  </si>
  <si>
    <t>take-home a usual month = Σ of every source’s take-home in a usual month; a source that lands in one month of the year is not spread across twelve</t>
  </si>
  <si>
    <t>MK-CF-M-031 household take-home
MK-CF-I-006 other income
MK-CF-I-007 rental income
MK-CF-I-008 retirement income</t>
  </si>
  <si>
    <t>Shows $0 on a fresh account, with the door to enter income — never a dash.</t>
  </si>
  <si>
    <t>Declared by MK-CF-O-004 incomeSummary</t>
  </si>
  <si>
    <t>A once-a-year source keeps its own month and is shown separately, never averaged in.</t>
  </si>
  <si>
    <t>MK-CF-M-038</t>
  </si>
  <si>
    <t>each source of take-home</t>
  </si>
  <si>
    <t>each_source_of_takehome</t>
  </si>
  <si>
    <t>one line per source: the earner’s take-home, or the source’s monthly amount</t>
  </si>
  <si>
    <t>MK-CF-M-031 household take-home
MK-CF-I-006 other income
MK-CF-I-007 rental income</t>
  </si>
  <si>
    <t>The list is replaced by the door to enter income when nothing is entered.</t>
  </si>
  <si>
    <t>MK-CF-M-039</t>
  </si>
  <si>
    <t>its own month, never spread</t>
  </si>
  <si>
    <t>its_own_month_never_spread</t>
  </si>
  <si>
    <t>the standout month = the source whose whole year lands in a single month, with that amount and that month</t>
  </si>
  <si>
    <t>MK-CF-I-009 bonus
MK-CF-I-010 equity vesting</t>
  </si>
  <si>
    <t>The line is hidden when no source behaves this way.</t>
  </si>
  <si>
    <t>A lump that lands once is never averaged across the year (founder, 2026-08-28).</t>
  </si>
  <si>
    <t>MK-CF-M-040</t>
  </si>
  <si>
    <t>is not here — it is reinvested where it is earned</t>
  </si>
  <si>
    <t>is_not_here__it_is_reinvested_where_it_i</t>
  </si>
  <si>
    <t>taxed but not landed = interest and dividends earned inside accounts, which stay where they are earned</t>
  </si>
  <si>
    <t>MK-CF-I-011 interest and dividends</t>
  </si>
  <si>
    <t>The sentence is hidden when there is none.</t>
  </si>
  <si>
    <t>MK-CF-M-041</t>
  </si>
  <si>
    <t>What it is taxed on</t>
  </si>
  <si>
    <t>what_it_is_taxed_on</t>
  </si>
  <si>
    <t>gross a year = Σ of every taxable source over the year, wages included at gross</t>
  </si>
  <si>
    <t>MK-CF-M-030 gross a year
MK-CF-I-006 other income
MK-CF-I-007 rental income
MK-CF-I-011 interest and dividends</t>
  </si>
  <si>
    <t>Shows $0 on a fresh account, with the door to enter income.</t>
  </si>
  <si>
    <t>MK-CF-M-042</t>
  </si>
  <si>
    <t>each taxed source</t>
  </si>
  <si>
    <t>each_taxed_source</t>
  </si>
  <si>
    <t>one line per taxable source, at its yearly amount</t>
  </si>
  <si>
    <t>MK-CF-M-041 gross a year</t>
  </si>
  <si>
    <t>MK-CF-M-043</t>
  </si>
  <si>
    <t>the published bracket that the whole year’s gross falls in, for their filing status</t>
  </si>
  <si>
    <t>MK-CF-M-041 gross a year
MK-XS-I-024 filing status</t>
  </si>
  <si>
    <t>The row is not shown until income is entered.</t>
  </si>
  <si>
    <t>The same concept as MK-CF-M-032 on the base-pay screen, over a wider base: that one counts wages, this one counts every source. Conflict C-5 on the orchestrator map asks whether they stay two figures.</t>
  </si>
  <si>
    <t>MK-CF-M-044</t>
  </si>
  <si>
    <t>tax a year = the rate in force × the year’s gross; when it is ours, federal tax on gross less the standard deduction at the published bands</t>
  </si>
  <si>
    <t>MK-CF-M-041 gross a year
MK-CF-I-005 tax rate as entered
MK-XS-I-024 filing status</t>
  </si>
  <si>
    <t>When it is ours it assumes the standard deduction and is federal only (MK-CF-D-002).</t>
  </si>
  <si>
    <t>MK-CF-M-045</t>
  </si>
  <si>
    <t>Social Security takes 6.2% of a wage up to</t>
  </si>
  <si>
    <t>social_security_takes_62_of_a_wage_up_to</t>
  </si>
  <si>
    <t>the published wage base for the tax year</t>
  </si>
  <si>
    <t>MK-ST-I-030 Social Security wage base</t>
  </si>
  <si>
    <t>Never absent — it is a published figure, not a calculation.</t>
  </si>
  <si>
    <t>Published figure — the source and the year it applies to are on the master file’s Reference tab (guard D4).</t>
  </si>
  <si>
    <t>MK-CF-M-046</t>
  </si>
  <si>
    <t>Medicare 1.45% of everything, 0.9% more above</t>
  </si>
  <si>
    <t>medicare_145_of_everything_09_more_above</t>
  </si>
  <si>
    <t>the published additional-Medicare-tax threshold for the tax year</t>
  </si>
  <si>
    <t>MK-ST-I-031 Medicare additional-tax threshold</t>
  </si>
  <si>
    <t>MK-CF-M-047</t>
  </si>
  <si>
    <t>/cashflow · /month-detail</t>
  </si>
  <si>
    <t>Expected inflow</t>
  </si>
  <si>
    <t>expected_inflow</t>
  </si>
  <si>
    <t>thisMonth</t>
  </si>
  <si>
    <t>MK-CF-O-003</t>
  </si>
  <si>
    <t>expected inflow = Σ of every income source that lands in this month, at its take-home amount; a source that lands once a year counts only in the month it lands</t>
  </si>
  <si>
    <t>MK-CF-M-037 take-home each month
MK-CF-I-006 other income
MK-CF-I-007 rental income
MK-CF-I-008 retirement income</t>
  </si>
  <si>
    <t>Shows $0 until income is entered, with the door to enter it.</t>
  </si>
  <si>
    <t>one figure per household per month</t>
  </si>
  <si>
    <t>1. MK-CF-F-005 (actualMonthFlow) → MonthBlock
2. MK-CF-F-156 (plannedMonthFlow) → MonthBlock</t>
  </si>
  <si>
    <t>Declared by MK-CF-O-003 thisMonth</t>
  </si>
  <si>
    <t>A month is a real calendar month, never a twelfth of a year (founder, 2026-08-28).</t>
  </si>
  <si>
    <t>1. Is this row right — the words on screen, the formula, the inputs, the decisions and what it says when it cannot be computed? Say yes, or say what changes.</t>
  </si>
  <si>
    <t>DRAFT — declared in the code and printed here, WAITING FOR YOUR VERDICT before the screens move behind the door (rule 10)</t>
  </si>
  <si>
    <t>1. MK-XS-I-004 holding quantity (shares) — read by MK-CF-F-062
2. MK-XS-I-016 debt minimum payment — read by MK-CF-F-023
3. MK-XS-I-017 birth year — read by MK-CF-F-089
4. MK-XS-I-020 Social Security monthly amount — read by MK-CF-F-072, MK-CF-F-075
5. MK-XS-I-022 pension monthly amount — read by MK-CF-F-072, MK-CF-F-075
6. MK-XS-I-023 salary and other income — read by MK-CF-F-074, MK-CF-F-082, MK-CF-F-084, MK-CF-F-088, MK-CF-F-092, MK-CF-F-165, MK
7. MK-XS-I-024 logged expenses — read by MK-CF-F-005, MK-CF-F-067, MK-CF-F-068, MK-CF-F-157
8. MK-XS-I-027 goals (target, saved, date) — read by MK-PL-F-012
9. MK-XS-I-030 tax filing status and age — read by MK-CF-F-085, MK-CF-F-089, MK-CF-F-098, MK-CF-F-099, MK-CF-F-100, MK-CF-F-101, MK
10. MK-XS-I-031 daily and monthly snapshots — read by MK-ST-F-036
11. MK-XS-I-032 expenses categories the person set up — read by MK-CF-F-004, MK-CF-F-008
12. MK-XS-I-034 option positions — contracts, strike, expiry, put or call — read by MK-CF-F-062
13. MK-XS-I-035 annuity income — read by MK-CF-F-072, MK-CF-F-075
14. MK-XS-I-036 other guaranteed income — read by MK-CF-F-072, MK-CF-F-075
15. MK-XS-I-037 required-withdrawal income stream (ri_rmd) — read by MK-CF-F-075
16. MK-XS-I-038 withdrawal income stream (ri_withdrawals) — read by MK-CF-F-075
17. MK-XS-I-039 how often each income arrives — read by MK-CF-F-071, MK-CF-F-072, MK-CF-F-074, MK-CF-F-075, MK-CF-F-130, MK-CF-F-180
18. MK-XS-I-040 whether a stream is already being received — read by MK-CF-F-072
19. MK-XS-I-041 the payment the person chose to make on a debt — read by MK-CF-F-023
20. MK-XS-I-042 how a stream is paid — monthly, yearly or one lump — read by MK-CF-F-021, MK-CF-F-022, MK-CF-F-023
21. MK-XS-I-043 their own retirement contribution — read by MK-CF-F-088, MK-CF-F-092, MK-CF-F-181
22. MK-XS-I-055 the wrapper an account sits in — ISA, 401(k), IRA and the rest — read by MK-CF-F-005, MK-CF-F-075, MK-CF-F-156
23. MK-XS-I-059 the month a bonus lands — read by MK-CF-F-088, MK-CF-F-092
24. MK-XS-I-060 how a person is paid — weekly, fortnightly, monthly — read by MK-CF-F-130
25. MK-XS-I-064 the unit beside a quantity — shares, coins, contracts, ounces or units — read by MK-CF-F-003, MK-CF-F-008, MK-CF-F-157
[the code's record, this build — evidence for the ruling, not the row's statement: it cannot see inputs handed in as arguments, and it counts every branch below the producer]</t>
  </si>
  <si>
    <t>WAITING ON YOU — row to approve: say yes in YOUR ANSWER, or say what changes · RULED, NOT CODED (Q-CF-2 — one question, one function)</t>
  </si>
  <si>
    <t>MK-CF-M-048</t>
  </si>
  <si>
    <t>Planned outflow (expenses + debt)</t>
  </si>
  <si>
    <t>planned_outflow_expenses__debt</t>
  </si>
  <si>
    <t>planned outflow = planned everyday expenses + Σ of the debt payments due this month + Σ of the big bills that fall in this month</t>
  </si>
  <si>
    <t>MK-CF-I-012 planned expenses
MK-CF-I-013 debt payment
MK-CF-I-014 big bill</t>
  </si>
  <si>
    <t>Shows $0 until expenses or debts are entered.</t>
  </si>
  <si>
    <t>A debt payment is counted as an outflow, not as saving (founder, 2026-06-21).
A bill that falls once a year is shown in its own month, never spread.</t>
  </si>
  <si>
    <t>MK-CF-M-049</t>
  </si>
  <si>
    <t>planned_surplus</t>
  </si>
  <si>
    <t>planned surplus = expected inflow − planned outflow</t>
  </si>
  <si>
    <t>MK-CF-M-047 expected inflow
MK-CF-M-048 planned outflow</t>
  </si>
  <si>
    <t>Shows $0 until both sides are entered.</t>
  </si>
  <si>
    <t>The Cash flow screen used to subtract this itself (rule 5). It is the door’s figure now.</t>
  </si>
  <si>
    <t>MK-CF-M-050</t>
  </si>
  <si>
    <t>each planned line</t>
  </si>
  <si>
    <t>each_planned_line</t>
  </si>
  <si>
    <t>one line per source or commitment that falls in this month, at its amount for this month</t>
  </si>
  <si>
    <t>The list is replaced by the door to enter income or expenses when nothing is entered.</t>
  </si>
  <si>
    <t>one figure per line per month</t>
  </si>
  <si>
    <t>MK-CF-M-051</t>
  </si>
  <si>
    <t>/cashflow · /month-detail · /home</t>
  </si>
  <si>
    <t>Inflow</t>
  </si>
  <si>
    <t>inflow so far = Σ of the income recorded as received in this month up to today</t>
  </si>
  <si>
    <t>MK-CF-I-015 income recorded as received</t>
  </si>
  <si>
    <t>Shows $0 until something is recorded as received.</t>
  </si>
  <si>
    <t>Nothing is assumed to have arrived; a source counts only once it is recorded (founder, 2026-08-28).</t>
  </si>
  <si>
    <t>The words beside it name what is inside it — "Inflow (income (take-home) + rent)" — his cluster 5 ruling of 2026-09-10.</t>
  </si>
  <si>
    <t>MK-CF-M-052</t>
  </si>
  <si>
    <t>Outflow (expenses + debt)</t>
  </si>
  <si>
    <t>outflow_expenses__debt</t>
  </si>
  <si>
    <t>outflow so far = expenses logged so far this month + Σ of the debt payments due this month</t>
  </si>
  <si>
    <t>MK-CF-I-016 logged expense
MK-CF-I-013 debt payment</t>
  </si>
  <si>
    <t>Shows $0 until an expense is logged or a debt is entered.</t>
  </si>
  <si>
    <t>Debt payments are counted in full for the month, logged or not, because they are committed.</t>
  </si>
  <si>
    <t>MK-CF-M-053</t>
  </si>
  <si>
    <t>surplus</t>
  </si>
  <si>
    <t>surplus so far = inflow so far − outflow so far</t>
  </si>
  <si>
    <t>MK-CF-M-051 inflow so far
MK-CF-M-052 outflow so far</t>
  </si>
  <si>
    <t>Shows $0 until something is recorded.</t>
  </si>
  <si>
    <t>MK-CF-M-054</t>
  </si>
  <si>
    <t>each received line</t>
  </si>
  <si>
    <t>each_received_line</t>
  </si>
  <si>
    <t>one line per payment recorded as received in this month, at its amount</t>
  </si>
  <si>
    <t>The list is replaced by the door to record income when nothing is recorded.</t>
  </si>
  <si>
    <t>one figure per payment</t>
  </si>
  <si>
    <t>MK-MN-M-001</t>
  </si>
  <si>
    <t>Menu</t>
  </si>
  <si>
    <t>/big-costs</t>
  </si>
  <si>
    <t>each big cost and its year</t>
  </si>
  <si>
    <t>c.amount</t>
  </si>
  <si>
    <t>total = Σ(each big cost);  each one lands in the year it is dated</t>
  </si>
  <si>
    <t>Adds up the one-off costs the person has told us about, each sitting in the year it is expected.</t>
  </si>
  <si>
    <t>$0, and under it the one line "Nothing entered yet. Add a big cost ›" (mock approved 2026-09-12). A real zero that was entered shows a plain $0 with no line.</t>
  </si>
  <si>
    <t>No finding on this row. That is not a statement that the row is right — only that nothing has been written against it.
G32 / Q48 — RULED 2026-09-09: $0 stays, with the sentence '$0 — nothing entered yet.' and this row's door ('Add a big cost ›'). File written; the screen follows the approved empty-state mock (one pattern, one screen), then every screen.</t>
  </si>
  <si>
    <t>MK-MN-M-002</t>
  </si>
  <si>
    <t>the total of your big costs</t>
  </si>
  <si>
    <t>MK-MN-M-003</t>
  </si>
  <si>
    <t>/contribution-room</t>
  </si>
  <si>
    <t>$X left / up to $Y</t>
  </si>
  <si>
    <t>room / limit</t>
  </si>
  <si>
    <t>1. k401Headroom (the 401(k) card)
2. annualIraLimit (the IRA card)
3. annualHsaLimit (the HSA card)</t>
  </si>
  <si>
    <t>1. MK-CF-F-056
2. MK-CF-F-054
3. MK-CF-F-055
4. MK-CF-F-196
5. MK-CF-F-195</t>
  </si>
  <si>
    <t>room left = the year’s limit − what has already gone in;  per month = room left ÷ months left in the year</t>
  </si>
  <si>
    <t>Takes the year's legal limit for the account, subtracts what has already gone in, and divides what is left by the months remaining — the CURRENT month counts as remaining, so December divides by 1 (G36, founder 2026-09-12; monthsLeftInYear and perMonthToFill in src/domain/income/limits.ts, no arithmetic on the screen).</t>
  </si>
  <si>
    <t>No contribution entered → 'up to $X' (the full-year cap), never '$X left'; the note says contributions are not tracked (built).</t>
  </si>
  <si>
    <t>MK-CF-F-195 (monthsLeftInYear) → number</t>
  </si>
  <si>
    <t>NOT DETERMINED — no assumption recorded for this figure yet.
[Founder] G10, 2026-09-08 — the HSA card at 65+: the limit is shown only with the words 'If you are not enrolled in Medicare'; enrolled (MK-XS-I-062, asked on the card) → no contribution allowed, shown as $0 with the reason (IRS Publication 969).</t>
  </si>
  <si>
    <t>No finding on this row. That is not a statement that the row is right — only that nothing has been written against it.
G10 — CLOSED 2026-09-08: MK-CF-F-055 takes the Medicare answer; the card asks the question at 65+ (no other page captured it — the founder asked for a link to an existing page; none exists, so the question sits on the card itself). File and code are both updated and they match 100%.
G32 / Q48 — 2026-09-09: the 'division with nothing on the bottom' boilerplate is gone; this cell now states the row's real refusal. Where it says 'built', the screen already does it; the rest follow the empty-state mock.</t>
  </si>
  <si>
    <t>RULED, NOT CODED (Q-CF-4 — one question, one function)</t>
  </si>
  <si>
    <t>MK-MN-M-004</t>
  </si>
  <si>
    <t>about $X of the $Y limit</t>
  </si>
  <si>
    <t>used / limit</t>
  </si>
  <si>
    <t>No contribution entered → the 'about $X of the limit' line is not shown; 'up to $X' stands.</t>
  </si>
  <si>
    <t>MK-MN-M-005</t>
  </si>
  <si>
    <t>about $X/mo for the rest of the year</t>
  </si>
  <si>
    <t>perMonth</t>
  </si>
  <si>
    <t>1. MK-CF-F-196
2. MK-CF-F-195</t>
  </si>
  <si>
    <t>per month = round((room left ÷ months left) ÷ 100) × 100;  months left = max(1, 12 − month index) — the current month counts</t>
  </si>
  <si>
    <t>Per month = room left ÷ the months remaining in the year, the current month counted (December → 1), rounded to $100 for display — perMonthToFill in src/domain/income/limits.ts (G36). No longer worked out on the screen.</t>
  </si>
  <si>
    <t>No finding on this row. That is not a statement that the row is right — only that nothing has been written against it.
G10 — CLOSED 2026-09-08: MK-CF-F-055 takes the Medicare answer; the card asks the question at 65+ (no other page captured it — the founder asked for a link to an existing page; none exists, so the question sits on the card itself). File and code are both updated and they match 100%.</t>
  </si>
  <si>
    <t>MK-MN-M-006</t>
  </si>
  <si>
    <t>/credit</t>
  </si>
  <si>
    <t>$X of $Y used — the line marks 30%</t>
  </si>
  <si>
    <t>bal / lim</t>
  </si>
  <si>
    <t>use = balance ÷ credit limit</t>
  </si>
  <si>
    <t>The balance on the card against its limit — the share of the line being used.</t>
  </si>
  <si>
    <t>No card limit → no percentage; the line says 'add your card's limit'. A real $0 balance shows 0% used.</t>
  </si>
  <si>
    <t>MK-MN-M-007</t>
  </si>
  <si>
    <t>/expense</t>
  </si>
  <si>
    <t>$X of $Y this month · over by $Z</t>
  </si>
  <si>
    <t>catSpend / catBudget</t>
  </si>
  <si>
    <t>THE SAME FIGURE AS MK-CF-M-015 — Expenses against plan for a category — the same comparison on Cash flow and on the expense screen. CONFIRM: the expense screen adds the amount being typed, which may make it a different figure.</t>
  </si>
  <si>
    <t>SUPERSEDED BY MK-CF-M-015 — the same figure under another identifier. This number is retired and is never handed to anything else.</t>
  </si>
  <si>
    <t>MK-MN-M-008</t>
  </si>
  <si>
    <t>/goals</t>
  </si>
  <si>
    <t>typical free cash to save $X/mo</t>
  </si>
  <si>
    <t>capacity.avg</t>
  </si>
  <si>
    <t>typical free cash a month = median over recent months of (money in − money out)</t>
  </si>
  <si>
    <t>Looks at recent months and takes the typical amount left after money in and money out — what could realistically be saved, not the best month.</t>
  </si>
  <si>
    <t>Needs recent months to speak. With too few it says so rather than offering a figure from one month.</t>
  </si>
  <si>
    <t>Q27 — "Typical free cash to save" uses the middle of recent months. How many months should it look back, and should a one-off windfall be excluded?</t>
  </si>
  <si>
    <t>WAITING ON YOU — question Q27 · RULED, NOT CODED (Q-PL-6 — one question, one function)</t>
  </si>
  <si>
    <t>MK-MN-M-009</t>
  </si>
  <si>
    <t>each goal — $X of $Y · $Z to go</t>
  </si>
  <si>
    <t>g.saved / g.target</t>
  </si>
  <si>
    <t>goalStatus</t>
  </si>
  <si>
    <t>MK-PL-F-023</t>
  </si>
  <si>
    <t>to go = target − saved;  progress = saved ÷ target</t>
  </si>
  <si>
    <t>What has been put aside against the target, and what is still to go.</t>
  </si>
  <si>
    <t>No goal → the list is empty and shows Add a goal ›; a goal with no target shows no percentage.</t>
  </si>
  <si>
    <t>MK-PL-F-020 (requiredMonthly) → number | null</t>
  </si>
  <si>
    <t>MK-XS-I-027 goals (target, saved, date) — read by MK-PL-F-018, MK-PL-F-019, MK-PL-F-020, MK-PL-F-023
[the code's record, this build — evidence for the ruling, not the row's statement: it cannot see inputs handed in as arguments, and it counts every branch below the producer]</t>
  </si>
  <si>
    <t>MK-MN-M-010</t>
  </si>
  <si>
    <t>your non-monthly budget</t>
  </si>
  <si>
    <t>sinkBasis</t>
  </si>
  <si>
    <t>nonMonthlyBasis</t>
  </si>
  <si>
    <t>MK-CF-F-007</t>
  </si>
  <si>
    <t>set aside a month = Σ(each non-monthly cost ÷ months until it falls due)</t>
  </si>
  <si>
    <t>Takes the costs that do not arrive monthly and spreads each one across the months until it falls due.</t>
  </si>
  <si>
    <t>1. MK-XS-I-032 expenses categories the person set up — read by MK-CF-F-007
2. MK-XS-I-064 the unit beside a quantity — shares, coins, contracts, ounces or units — read by MK-CF-F-007
[the code's record, this build — evidence for the ruling, not the row's statement: it cannot see inputs handed in as arguments, and it counts every branch below the producer]</t>
  </si>
  <si>
    <t>MK-MN-M-011</t>
  </si>
  <si>
    <t>/income-detail</t>
  </si>
  <si>
    <t>TAKE-HOME / YEAR</t>
  </si>
  <si>
    <t>state.total_net_annual</t>
  </si>
  <si>
    <t>MK-MN-M-012</t>
  </si>
  <si>
    <t>Gross / year</t>
  </si>
  <si>
    <t>state.total_gross_annual</t>
  </si>
  <si>
    <t>MK-MN-M-013</t>
  </si>
  <si>
    <t>Take-home / month</t>
  </si>
  <si>
    <t>state.net_monthly_income</t>
  </si>
  <si>
    <t>MK-MN-M-014</t>
  </si>
  <si>
    <t>Employer 401(k) match</t>
  </si>
  <si>
    <t>state.employer_match_annual</t>
  </si>
  <si>
    <t>employerMatchMonthly</t>
  </si>
  <si>
    <t>MK-CF-F-078</t>
  </si>
  <si>
    <t>match a year = the employer’s stated rate × pay, capped at the stated limit</t>
  </si>
  <si>
    <t>Either a percentage of what the person contributes to their 401(k), or a flat monthly amount — whichever way they described it.</t>
  </si>
  <si>
    <t>1. the match → employerMatchValue  [NOT AN INPUT — another function’s answer; see the dependency column]
2. percent or dollars → employerMatchMode  [MK-XS-I-046]
3. their own contribution → c_401k  [MK-XS-I-043]</t>
  </si>
  <si>
    <t>1. MK-CF-F-175 (sumOverEarners) → number
2. MK-CF-F-178 (wageMatchMonthly) → number</t>
  </si>
  <si>
    <t>1. MK-ST-F-056 has → MK-CF-F-172 hasWage → MK-CF-F-173 earnerWages → MK-CF-F-175 sumOverEarners → MK-CF-F-078 employerMatchMonthly
2. MK-XS-F-122 n → MK-ST-F-052 toNum → MK-CF-F-178 wageMatchMonthly → MK-CF-F-078 employerMatchMonthly</t>
  </si>
  <si>
    <t>1. B29 [CLASH] — THE EMPLOYER MATCH IS WRITTEN THREE TIMES. employerMatchMonthly exists in src/domain/income/onboarding.ts:936 AND src/onboarding/modules.tsx:372, and the same expression is written inline a third time at modules.tsx:821. They agree today and nothing keeps them agreeing. Invisible to the file because src/onboarding is not one of the three folders the function sweep reads — one of 77 functions doing arithmetic outside them.
2. B04 [CLASH] — The file says "match a year = the employer's stated rate × PAY, capped at the stated limit". The code (employerMatchMonthly, src/domain/income/onboarding.ts:263) is the rate applied to the person's OWN 401(k) contribution, not to pay; it is a MONTH, not a year; and there is NO CAP in it at all. Three differences on one row, and the missing cap is the one that overstates the match.</t>
  </si>
  <si>
    <t>B29 — Base salary — three copies of the match arithmetic, free to drift apart</t>
  </si>
  <si>
    <t>B29 — FIXED 2026-08-27
B04 — FIXED 2026-08-27</t>
  </si>
  <si>
    <t>1. MK-XS-I-023 salary and other income — read by MK-CF-F-172
2. MK-XS-I-043 their own retirement contribution — read by MK-CF-F-178
3. MK-XS-I-046 how the employer match is expressed — percent or dollars — read by MK-CF-F-178
[the code's record, this build — evidence for the ruling, not the row's statement: it cannot see inputs handed in as arguments, and it counts every branch below the producer]</t>
  </si>
  <si>
    <t>MK-MN-M-015</t>
  </si>
  <si>
    <t>/insights</t>
  </si>
  <si>
    <t>each insight and the dollars behind it</t>
  </si>
  <si>
    <t>shareOf(v)</t>
  </si>
  <si>
    <t>THE SURVIVING IDENTIFIER for this figure. Folded in: MK-HM-M-003. The insights list. Home shows the top three of the same list the Insights screen shows in full.</t>
  </si>
  <si>
    <t>MK-MN-M-017</t>
  </si>
  <si>
    <t>/insurance</t>
  </si>
  <si>
    <t>the life-cover gap</t>
  </si>
  <si>
    <t>need.gap</t>
  </si>
  <si>
    <t>need = income to replace × years + debts + goals + final expenses;  gap = need − cover already held</t>
  </si>
  <si>
    <t>Adds the income that would need replacing for the chosen number of years to debts, goals and final expenses, then subtracts cover already held.</t>
  </si>
  <si>
    <t>Q25 — How many years of income should the default life-cover estimate replace, and does it assume the mortgage is cleared?</t>
  </si>
  <si>
    <t>WAITING ON YOU — question Q25</t>
  </si>
  <si>
    <t>MK-MN-M-018</t>
  </si>
  <si>
    <t>Income replacement (N yrs)</t>
  </si>
  <si>
    <t>need.incomeReplacement</t>
  </si>
  <si>
    <t>MK-MN-M-019</t>
  </si>
  <si>
    <t>+ Debts, goals &amp; final expenses · Total need</t>
  </si>
  <si>
    <t>need.total</t>
  </si>
  <si>
    <t>MK-MN-M-027</t>
  </si>
  <si>
    <t>/tax-organizer</t>
  </si>
  <si>
    <t>each taxable line and its amount</t>
  </si>
  <si>
    <t>l.amount</t>
  </si>
  <si>
    <t>1. taxOrganizer
2. taxableIncomeSteps</t>
  </si>
  <si>
    <t>1. MK-PL-F-031
2. MK-PL-F-082</t>
  </si>
  <si>
    <t>gross income = Σ income lines of a taxable type
401(k) contribution = every earner's monthly 401(k) × 12   [MK-CF-F-188]
standard deduction = base figure for the filing status + 65+ add-on per person + senior deduction (phased out on gross − 401(k))   [MK-CF-F-099]
taxable income = max(0, gross income − 401(k) contribution − standard deduction)</t>
  </si>
  <si>
    <t>Four lines, in the order a return shows them: everything earned of a taxable type; less the household's pre-tax 401(k) contributions; less the standard deduction ($16,100 single · $32,200 married · $24,150 head of household, plus $2,050 / $1,650 per person 65+, plus the $6,000-per-person senior deduction phased out above $75,000 / $150,000 for 2025–2028 — the line says when the additions are in it); what is left is taxable income. Non-taxable income is listed separately. Example: $120,000 salary, $20,000 into the 401(k), single → $120,000 · − $20,000 · − $16,100 · $83,900.</t>
  </si>
  <si>
    <t>1. the organizer's income lines [MK-XS-I-023 and the other income inputs]
2. each earner's 401(k) contribution [MK-XS-I-043]
3. how they file and who is 65+ [MK-XS-I-030]</t>
  </si>
  <si>
    <t>1. MK-CF-F-070 (benefitAnnual) → number
2. MK-CF-F-072 (currentRetirementIncomeMonthly) → number
3. MK-CF-F-090 (effectiveRate) → number
4. MK-ST-F-056 (has) → NOT DECLARED — the code does not say what it gives back
5. MK-CF-F-132 (map) → NOT DECLARED — the code does not say what it gives back
6. MK-CF-F-068 (rentalNetAnnual) → number
7. MK-CF-F-066 (rsuAnnual) → number
8. MK-CF-F-082 (salaryAnnual) → number
9. MK-PL-F-082 (taxableIncomeSteps) → TaxableIncomeSteps
10. MK-CF-F-074 (tipsAnnual) → number
11. MK-ST-F-052 (toNum) → number
12. MK-CF-F-099 (deductionFor) → number
13. MK-CF-F-085 (filingStatusOf) → import('./tax').FilingStatus
14. MK-CF-F-188 (householdPreTaxContributionsAnnual) → number
15. MK-ST-F-039 (on) → ()
16. MK-CF-F-089 (over65CountOf) → number
17. MK-CF-F-187 (seniorDeductionFor) → number</t>
  </si>
  <si>
    <t>MK-CF-F-187 seniorDeductionFor → MK-CF-F-099 deductionFor → MK-CF-F-100 taxableIncomeFor</t>
  </si>
  <si>
    <t>1. MK-CF-F-099 — Never lets over65 fall below 0.
2. MK-CF-F-099 — 2026 standard deduction $16,100 single · $32,200 married · $16,100 filing separately · $24,150 head of household; 65+ add-on $2,050 single / head of household · $1,650 per person married (IRS Rev. Proc. 2025-32 §3.18).
3. MK-CF-F-099 — Plus the senior deduction of MK-CF-F-187 — $6,000 per person 65+, phased out 6% above $75,000 / $150,000, tax years 2025–2028 (P.L. 119-21 §70103).
4. MK-CF-F-187 — Never lets over65 fall below 0.
5. MK-CF-F-187 — Uses the published figures: $6,000 per person 65+, phased out at 6% above $75,000 ($150,000 joint), 2025–2028 (P.L. 119-21 §70103; checked 2026-09-08; lapses after 2028 — the statutory test fails when the tax year rolls past it).
6. MK-CF-F-187 — Takes the income handed to it as modified adjusted gross income — the untaxed part of Social Security and other adjustments are not modelled.
7. MK-CF-F-187 — Income not known → 0, never a guessed deduction.</t>
  </si>
  <si>
    <t>[Founder] Explicit tables per filing status. A married band is not twice the single band — the 37% band starts at $768,700, not at double the single figure.
[Founder] Q46, 2026-09-08: the tax organizer shows gross income, the 401(k) contribution, the standard deduction and taxable income.</t>
  </si>
  <si>
    <t>Q24 — State tax is applied to taxable accounts only. Do you want a state rate captured per person, or to keep the single blended figure we use now?
Q46 — Tax organizer 'Taxable income' (G22): (a) show the three steps — income of taxable types → less pre-tax contributions → less the standard deduction (with the 65+ and senior deductions) → taxable income — from one new function, this row naming it (recommended); or (b) keep the arithmetic and relabel the figure 'Income of taxable types (before deductions)'. Which?  [ANSWERED 2026-09-08 — see YOUR ANSWER]</t>
  </si>
  <si>
    <t>Q46: Tax organizer should show — gross income, 401(k) contribution, standard deduction, and taxable income. (answered in chat, 2026-09-08)</t>
  </si>
  <si>
    <t>1. B05 [CLASH] — The file said taxable income = gross − pre-tax contributions − the deduction, and the code (taxableByCalendarMonth, src/domain/income/onboarding.ts) never took the 401(k) off. Tax was charged on money that never reached the person — $4,400 a year too much on a $120,000 salary putting in $20,000 — and because the withholding rate is worked out as tax ÷ that same base, the error reached take-home, monthly surplus, planned spend, essentials, the emergency test, savings by month and the whole snapshot: 17 functions in all. NOW: the contribution comes off before tax, in the one function that owns the taxable base, only in a month with pay, never below zero. incomeMonthlyGrid had a line-for-line COPY of that arithmetic; it now calls the shared function, because the rate is divided by one copy and applied to the other and fixing one alone gave a different wrong answer. The grid's own "amount -= c401k" line is gone — with the subtraction moved before tax, subtracting again took it twice. Pinned by five laws in b05_pretax_401k.test.ts, four of which fail on the old code.</t>
  </si>
  <si>
    <t>B05 — FIXED 2026-08-26
G3 — CLOSED 2026-09-08: the senior deduction is in MK-CF-F-099 via the new MK-CF-F-187; a 66-year-old single on $60,000 now pays $4,054 federal, not $4,774. File and code are both updated and they match 100%. NOTE: the assumption lists on the 40-plus downstream figures pick this up at the next rebuild of the functions tab.
G22, explained (2026-09-08). WHAT THE REVIEWERS SAW: this row says taxable income = gross − pre-tax contributions − deduction. The function the row names, MK-CF-F-100 (taxableIncomeFor), does gross − deduction only — the 401(k) is not taken off. And finding B05 was recorded as fixed with the note 'the contribution now comes off before tax, in the one function'. WHAT I VERIFIED IN THE CODE: B05's fix landed in the MONTHLY INCOME GRID (taxableByCalendarMonth, tests in b05_pretax_401k.test.ts) — so the tax the person actually pays on the base-pay card and in take-home DOES take the 401(k) off. That part is right. The tax ORGANIZER (this screen) is different: its 'Taxable income' total is the sum of its taxable-type lines — wages at full gross, interest, rental, retirement income — with NO 401(k) taken off and NO standard deduction; it never calls MK-CF-F-100 at all. So three things are wrong: (1) this row names a function the screen does not use; (2) the figure on screen is really 'income of taxable types, before any deduction', not taxable income; (3) B05's closure note describes the grid, not this function. EXAMPLE: $120,000 salary, $20,000 into the 401(k), single, nothing else. The organizer shows Taxable income $120,000. A tax return would show $100,000 of wages (the 401(k) never appears in box 1) less the $16,100 standard deduction = $83,900 taxable. The organizer overstates it by $36,100. THE FIX I PROPOSE: the organizer shows the three steps a return shows — income of taxable types $120,000 → less pre-tax contributions $20,000 → less the standard deduction (with the 65+ and senior deductions) $16,100 → taxable income $83,900 — produced by ONE new function that this row then names; 'Non-taxable' stays as it is; B05's note re-scoped to the grid. Your ruling: Q46.
G22 / Q46 — CLOSED 2026-09-08: new MK-PL-F-082 (the four steps) and MK-CF-F-188 (household 401(k), every earner); the screen and the exported summary show the four lines; the one figure the screen used to call 'Taxable income' was gross income of taxable types. B05's closure note re-scoped: its fix lives in the monthly income grid, not in MK-CF-F-100. File and code are both updated and they match 100%.
OPEN, found while doing this (JJ-5, to verify): the monthly income grid takes off only the FIRST earner's 401(k) (onboarding.ts, taxableByCalendarMonth) — a partner's contribution may still be taxed in take-home; MK-CF-F-171 earnerPay may already handle it per earner. Not changed today.
G23 — CLOSED 2026-09-08: MK-CF-F-101 and MK-CF-F-103 carry the band loop written by hand in the file and in the code header; the four 2026 statutory tables sit on the Reference tab with their source; any other loop the extractor cannot render is now marked '[LOOP … read by hand]' instead of printing a false final answer.
G35 — CLOSED 2026-09-08 (file only; the code was right): MK-CF-F-057 rothVsTraditional ('tax-free' had been rendered as a subtraction), MK-CF-F-097 grossFromNet (the halving search, not a lone midpoint) and MK-CF-F-087 monthlyTaxRates (the 60% cap declared) are written by hand; MK-CF-F-101's 15% state-rate cap is declared.</t>
  </si>
  <si>
    <t>1. MK-XS-I-001 account balance — read by MK-PL-F-031
2. MK-XS-I-002 account type (taxable, pre-tax, Roth) — read by MK-PL-F-031
3. MK-XS-I-003 institution name — read by MK-PL-F-031
4. MK-XS-I-004 holding quantity (shares) — read by MK-CF-F-062
5. MK-XS-I-017 birth year — read by MK-CF-F-089
6. MK-XS-I-020 Social Security monthly amount — read by MK-CF-F-072, MK-CF-F-075
7. MK-XS-I-022 pension monthly amount — read by MK-CF-F-072, MK-CF-F-075, MK-PL-F-031
8. MK-XS-I-023 salary and other income — read by MK-CF-F-074, MK-CF-F-082, MK-CF-F-084, MK-CF-F-165, MK-CF-F-172, MK-CF-F-181, MK
9. MK-XS-I-024 logged expenses — read by MK-CF-F-067, MK-CF-F-068
10. MK-XS-I-030 tax filing status and age — read by MK-CF-F-085, MK-CF-F-089, MK-CF-F-099, MK-CF-F-100, MK-CF-F-101, MK-CF-F-102, MK
11. MK-XS-I-031 daily and monthly snapshots — read by MK-ST-F-036
12. MK-XS-I-034 option positions — contracts, strike, expiry, put or call — read by MK-CF-F-062
13. MK-XS-I-035 annuity income — read by MK-CF-F-072, MK-CF-F-075
14. MK-XS-I-036 other guaranteed income — read by MK-CF-F-072, MK-CF-F-075
15. MK-XS-I-037 required-withdrawal income stream (ri_rmd) — read by MK-CF-F-075
16. MK-XS-I-038 withdrawal income stream (ri_withdrawals) — read by MK-CF-F-075
17. MK-XS-I-039 how often each income arrives — read by MK-CF-F-071, MK-CF-F-072, MK-CF-F-074, MK-CF-F-075, MK-CF-F-130, MK-CF-F-180, MK
18. MK-XS-I-040 whether a stream is already being received — read by MK-CF-F-072
19. MK-XS-I-043 their own retirement contribution — read by MK-CF-F-181, MK-CF-F-188, MK-PL-F-031
20. MK-XS-I-055 the wrapper an account sits in — ISA, 401(k), IRA and the rest — read by MK-CF-F-075, MK-PL-F-031
21. MK-XS-I-060 how a person is paid — weekly, fortnightly, monthly — read by MK-CF-F-130
[the code's record, this build — evidence for the ruling, not the row's statement: it cannot see inputs handed in as arguments, and it counts every branch below the producer]</t>
  </si>
  <si>
    <t>WAITING ON YOU — question Q24 · TESTED, NOT VERIFIED (G22 / Q46, G3)</t>
  </si>
  <si>
    <t>MK-MN-M-028</t>
  </si>
  <si>
    <t>Gross income · 401(k) contribution · Standard deduction · Taxable income · Non-taxable</t>
  </si>
  <si>
    <t>org.taxableTotal</t>
  </si>
  <si>
    <t>B05 — FIXED 2026-08-26
G3 — CLOSED 2026-09-08: the senior deduction is in MK-CF-F-099 via the new MK-CF-F-187; a 66-year-old single on $60,000 now pays $4,054 federal, not $4,774. File and code are both updated and they match 100%. NOTE: the assumption lists on the 40-plus downstream figures pick this up at the next rebuild of the functions tab.
G22, explained (2026-09-08). WHAT THE REVIEWERS SAW: this row says taxable income = gross − pre-tax contributions − deduction. The function the row names, MK-CF-F-100 (taxableIncomeFor), does gross − deduction only — the 401(k) is not taken off. And finding B05 was recorded as fixed with the note 'the contribution now comes off before tax, in the one function'. WHAT I VERIFIED IN THE CODE: B05's fix landed in the MONTHLY INCOME GRID (taxableByCalendarMonth, tests in b05_pretax_401k.test.ts) — so the tax the person actually pays on the base-pay card and in take-home DOES take the 401(k) off. That part is right. The tax ORGANIZER (this screen) is different: its 'Taxable income' total is the sum of its taxable-type lines — wages at full gross, interest, rental, retirement income — with NO 401(k) taken off and NO standard deduction; it never calls MK-CF-F-100 at all. So three things are wrong: (1) this row names a function the screen does not use; (2) the figure on screen is really 'income of taxable types, before any deduction', not taxable income; (3) B05's closure note describes the grid, not this function. EXAMPLE: $120,000 salary, $20,000 into the 401(k), single, nothing else. The organizer shows Taxable income $120,000. A tax return would show $100,000 of wages (the 401(k) never appears in box 1) less the $16,100 standard deduction = $83,900 taxable. The organizer overstates it by $36,100. THE FIX I PROPOSE: the organizer shows the three steps a return shows — income of taxable types $120,000 → less pre-tax contributions $20,000 → less the standard deduction (with the 65+ and senior deductions) $16,100 → taxable income $83,900 — produced by ONE new function that this row then names; 'Non-taxable' stays as it is; B05's note re-scoped to the grid. Your ruling: Q46.
G22 / Q46 — CLOSED 2026-09-08: new MK-PL-F-082 (the four steps) and MK-CF-F-188 (household 401(k), every earner); the screen and the exported summary show the four lines; the one figure the screen used to call 'Taxable income' was gross income of taxable types. B05's closure note re-scoped: its fix lives in the monthly income grid, not in MK-CF-F-100. File and code are both updated and they match 100%.
OPEN, found while doing this (JJ-5, to verify): the monthly income grid takes off only the FIRST earner's 401(k) (onboarding.ts, taxableByCalendarMonth) — a partner's contribution may still be taxed in take-home; MK-CF-F-171 earnerPay may already handle it per earner. Not changed today.</t>
  </si>
  <si>
    <t>TESTED, NOT VERIFIED (G22 / Q46, G3)</t>
  </si>
  <si>
    <t>MK-MN-M-029</t>
  </si>
  <si>
    <t>each contribution and its amount</t>
  </si>
  <si>
    <t xml:space="preserve">
4. MK-CF-F-196
5. MK-CF-F-195</t>
  </si>
  <si>
    <t>No contribution entered → the RETIREMENT CONTRIBUTIONS card is not shown; never a $0 line.</t>
  </si>
  <si>
    <t>MK-MN-M-030</t>
  </si>
  <si>
    <t>/worth-a-look</t>
  </si>
  <si>
    <t>$X left &lt;account&gt; on &lt;date&gt;</t>
  </si>
  <si>
    <t>f.amount</t>
  </si>
  <si>
    <t>flagged when money left an account and has not arrived anywhere else</t>
  </si>
  <si>
    <t>Notices money leaving an account so it can be asked about rather than quietly lost.</t>
  </si>
  <si>
    <t>/auth</t>
  </si>
  <si>
    <t>/estate</t>
  </si>
  <si>
    <t>/first-run</t>
  </si>
  <si>
    <t>/income</t>
  </si>
  <si>
    <t>/jobsafety</t>
  </si>
  <si>
    <t>/other-investments</t>
  </si>
  <si>
    <t>/rewards</t>
  </si>
  <si>
    <t>/settings</t>
  </si>
  <si>
    <t>/stress-test</t>
  </si>
  <si>
    <t>/tips</t>
  </si>
  <si>
    <t>MK-MN-M-016</t>
  </si>
  <si>
    <t>Total invested · Cash total · Investable total</t>
  </si>
  <si>
    <t>total_invested__cash_total__investable_t</t>
  </si>
  <si>
    <t>investments, cash, and everything that is not a house or a car</t>
  </si>
  <si>
    <t>Insights took these its own way before 2026-09-27; his ruling on Q-NW-1 made all three screens read one answer.</t>
  </si>
  <si>
    <t>MK-MN-M-020</t>
  </si>
  <si>
    <t>N months of essentials is $X ($Y/month)</t>
  </si>
  <si>
    <t>n_months_of_essentials_is_x_ymonth</t>
  </si>
  <si>
    <t>essentialsFromLoggedSpending (through Job safety)</t>
  </si>
  <si>
    <t>MK-CF-F-189</t>
  </si>
  <si>
    <t>runway in months = cash ÷ essentials a month; target = months wanted × essentials a month; essentials a month = the typed figure on this screen if given, else the logged average (MK-CF-F-189)</t>
  </si>
  <si>
    <t>How many months of essential bills the money on hand would cover with no pay coming in. The essentials figure is what the person types on this screen; until they do, the average of their logged expenses over the months logged — 'Using $3,000/mo — 7 month average of your logged spending'.</t>
  </si>
  <si>
    <t>No essentials figure → the screen asks 'What do your essential bills come to in a typical month?' (built); no months chosen → 6.</t>
  </si>
  <si>
    <t>1. MK-ST-F-056 (has) → NOT DECLARED — the code does not say what it gives back
2. MK-XS-F-122 (n) → number
3. MK-ST-F-052 (toNum) → number
4. MK-CF-F-191 (ym) → NOT DECLARED — the code does not say what it gives back</t>
  </si>
  <si>
    <t>Q28 — How many months of essentials should the app treat as safe by default — and is that number yours to set per person, or one figure for everyone?</t>
  </si>
  <si>
    <t>MK-XS-I-024 logged expenses — read by MK-CF-F-189
[the code's record, this build — evidence for the ruling, not the row's statement: it cannot see inputs handed in as arguments, and it counts every branch below the producer]</t>
  </si>
  <si>
    <t>WAITING ON YOU — question Q28 · RULED, NOT CODED (Q-NW-5 — one question, one function)</t>
  </si>
  <si>
    <t>MK-MN-M-021</t>
  </si>
  <si>
    <t>Using $X/month from your logged expenses</t>
  </si>
  <si>
    <t>using_xmonth_from_your_logged_expenses</t>
  </si>
  <si>
    <t>essentialsFromLoggedSpending</t>
  </si>
  <si>
    <t>baseline = the average of logged expenses over the months logged, mortgage and big items included; label = 'N month average'</t>
  </si>
  <si>
    <t>The logged baseline shown before the person types their own: everything logged, averaged over the months that have entries in the last twelve finished months, with the number of months said in words. (It used to be this month's spend alone, from the onboarding buckets.)</t>
  </si>
  <si>
    <t>The label names the basis so nobody has to guess whether it is one month or a year (his ruling G21).</t>
  </si>
  <si>
    <t>The label names the basis so nobody has to guess whether it is one month or a year (his ruling G21).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</si>
  <si>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RULED 2026-09-09: $0 stays, with the sentence '$0 — nothing entered yet.' and this row's door ('Log your expenses ›'). File written; the screen follows the approved empty-state mock (one pattern, one screen), then every screen.</t>
  </si>
  <si>
    <t>MK-MN-M-022</t>
  </si>
  <si>
    <t>the total value of these investments</t>
  </si>
  <si>
    <t>the_total_value_of_these_investments</t>
  </si>
  <si>
    <t>the sum of every account whose class is alternatives</t>
  </si>
  <si>
    <t>$0, and under it the one line "Nothing entered yet. Add an investment ›" (mock approved 2026-09-12). A real zero that was entered shows a plain $0 with no line.</t>
  </si>
  <si>
    <t>It is the Alternatives SLICE of net worth and must equal what the Net worth tab shows for that class — which is why it sits behind this door (founder, 2026-09-27: "ok").</t>
  </si>
  <si>
    <t>G32 / Q48 — RULED 2026-09-09: $0 stays, with the sentence '$0 — nothing entered yet.' and this row's door ('Add an investment ›'). File written; the screen follows the approved empty-state mock (one pattern, one screen), then every screen.</t>
  </si>
  <si>
    <t>MK-MN-M-023</t>
  </si>
  <si>
    <t>EST. GROWTH</t>
  </si>
  <si>
    <t>est_growth</t>
  </si>
  <si>
    <t>theAlternativesOutlook</t>
  </si>
  <si>
    <t>MK-NW-O-006</t>
  </si>
  <si>
    <t>each holding’s value × the historical benchmark for its kind, added up</t>
  </si>
  <si>
    <t>1. MK-PF-F-006 (capGains) → CapGains
2. MK-PF-F-002 (costBasis) → number
3. MK-XS-F-180 (declareFigures) → T
4. MK-PF-F-004 (marketValue) → number
5. MK-PF-F-028 (realizedFromLedger) → NOT DECLARED — the code does not say what it gives back
6. MK-PF-F-001 (totalShares) → number</t>
  </si>
  <si>
    <t>Declared by MK-NW-O-006 theAlternativesOutlook</t>
  </si>
  <si>
    <t>An ESTIMATE, and it wears the estimate label: a historical benchmark for the KIND of thing held, never a promise about this holding.
FOUNDER 2026-09-27 ("ok"): split out of "what am I worth". The Alternatives TOTAL belongs there because it must equal what the Net worth tab shows for that class; a projection does not.</t>
  </si>
  <si>
    <t>1. MK-XS-I-004 holding quantity (shares) — read by MK-NW-O-006, MK-PF-F-001, MK-PF-F-002, MK-PF-F-004, MK-PF-F-006, MK-PF-F-028
2. MK-XS-I-005 holding price — read by MK-NW-O-006
3. MK-XS-I-007 purchase price and date (per lot) — read by MK-NW-O-006, MK-PF-F-002, MK-PF-F-006
4. MK-XS-I-009 transaction date — read by MK-NW-O-006, MK-PF-F-028
5. MK-XS-I-024 logged expenses — read by MK-NW-O-006, MK-PF-F-028
6. MK-XS-I-048 the person’s own asset-class answer — read by MK-NW-O-006
7. MK-XS-I-055 the wrapper an account sits in — ISA, 401(k), IRA and the rest — read by MK-PF-F-031
8. MK-XS-I-063 option contract multiplier — 100 unless the broker or the person states otherwise — read by MK-PF-F-002, MK-PF-F-004, MK-PF-F-031
9. MK-XS-I-064 the unit beside a quantity — shares, coins, contracts, ounces or units — read by MK-NW-O-006
[the code's record, this build — evidence for the ruling, not the row's statement: it cannot see inputs handed in as arguments, and it counts every branch below the producer]</t>
  </si>
  <si>
    <t>MK-MN-M-024</t>
  </si>
  <si>
    <t>You could cover a $X hit</t>
  </si>
  <si>
    <t>you_could_cover_a_x_hit</t>
  </si>
  <si>
    <t>emergencyTest (with the essentials figure from essentialsMonthly)</t>
  </si>
  <si>
    <t>MK-CF-F-010 (← MK-CF-F-190)</t>
  </si>
  <si>
    <t>cash after = cash − the shock; runway after = cash after ÷ essentials a month, where essentials a month = MK-CF-F-190 (logged average, else the typed categories)</t>
  </si>
  <si>
    <t>Takes a one-off hit out of the cash on hand and shows what would be left and how many months of essentials it would cover — dividing by the same essentials figure the other cards use, labelled with the months it stands on.</t>
  </si>
  <si>
    <t>1. MK-CF-F-155 (cash) → number
2. MK-CF-F-009 (monthlyEssentials) → number
3. MK-CF-F-189 (essentialsFromLoggedSpending) → EssentialsAverage | null</t>
  </si>
  <si>
    <t>Q29 — What size of shock should the test use by default, and should it be a fixed dollar figure or a share of the person's expenses?</t>
  </si>
  <si>
    <t>G21 — SCOPED 2026-09-08, not yet built (your 'ok'). One producer for 'essentials a month' per ruling brief Q-21 (2026-08-20): the trailing-year average of ACTUAL logged expenses,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expenses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RULED 2026-09-09: $0 stays, with the sentence '$0 — nothing entered yet.' and this row's door ('Add your accounts ›'). File written; the screen follows the approved empty-state mock (one pattern, one screen), then every screen.</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</si>
  <si>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MK-CF-F-088, MK-CF-F-092, MK-CF-F-165, MK
6. MK-XS-I-024 logged expenses — read by MK-CF-F-067, MK-CF-F-068, MK-CF-F-189, MK-CF-F-190
7. MK-XS-I-025 typical monthly essentials — read by MK-CF-F-009, MK-CF-F-010
8. MK-XS-I-027 goals (target, saved, date) — read by MK-PL-F-012
9. MK-XS-I-030 tax filing status and age — read by MK-CF-F-085, MK-CF-F-089, MK-CF-F-098, MK-CF-F-099, MK-CF-F-100, MK-CF-F-101, MK
10. MK-XS-I-031 daily and monthly snapshots — read by MK-ST-F-036
11. MK-XS-I-032 expenses categories the person set up — read by MK-CF-F-004, MK-CF-F-008, MK-CF-F-009
12. MK-XS-I-034 option positions — contracts, strike, expiry, put or call — read by MK-CF-F-062
13. MK-XS-I-035 annuity income — read by MK-CF-F-072, MK-CF-F-075
14. MK-XS-I-036 other guaranteed income — read by MK-CF-F-072, MK-CF-F-075
15. MK-XS-I-037 required-withdrawal income stream (ri_rmd) — read by MK-CF-F-075
16. MK-XS-I-038 withdrawal income stream (ri_withdrawals) — read by MK-CF-F-075
17. MK-XS-I-039 how often each income arrives — read by MK-CF-F-071, MK-CF-F-072, MK-CF-F-074, MK-CF-F-075, MK-CF-F-130, MK-CF-F-180
18. MK-XS-I-040 whether a stream is already being received — read by MK-CF-F-072
19. MK-XS-I-043 their own retirement contribution — read by MK-CF-F-088, MK-CF-F-092, MK-CF-F-181
20. MK-XS-I-055 the wrapper an account sits in — ISA, 401(k), IRA and the rest — read by MK-CF-F-075
21. MK-XS-I-059 the month a bonus lands — read by MK-CF-F-088, MK-CF-F-092
22. MK-XS-I-060 how a person is paid — weekly, fortnightly, monthly — read by MK-CF-F-130
23. MK-XS-I-064 the unit beside a quantity — shares, coins, contracts, ounces or units — read by MK-CF-F-003, MK-CF-F-008, MK-CF-F-009
[the code's record, this build — evidence for the ruling, not the row's statement: it cannot see inputs handed in as arguments, and it counts every branch below the producer]</t>
  </si>
  <si>
    <t>WAITING ON YOU — question Q29 · RULED, NOT CODED (Q-NW-5 — one question, one function)</t>
  </si>
  <si>
    <t>MK-MN-M-025</t>
  </si>
  <si>
    <t>You'd have $X left — about N months of essentials</t>
  </si>
  <si>
    <t>youd_have_x_left__about_n_months_of_esse</t>
  </si>
  <si>
    <t>runway after = max(0, cash − shock) ÷ essentials a month (MK-CF-F-190)</t>
  </si>
  <si>
    <t>'You'd have $X left — about N months of essentials ($Y/mo — 7 month average).'</t>
  </si>
  <si>
    <t>MK-MN-M-026</t>
  </si>
  <si>
    <t>your $X/month of essentials</t>
  </si>
  <si>
    <t>your_xmonth_of_essentials</t>
  </si>
  <si>
    <t>essentials a month = the logged average over the months logged (MK-CF-F-189), else the typed categories (monthlyEssentials)</t>
  </si>
  <si>
    <t>'Covering your $Y/mo of essentials (7 month average) with no paycheck coming in.' The larger-of rule (plannedMonthlySpend) no longer produces this figure.</t>
  </si>
  <si>
    <t>Input ID</t>
  </si>
  <si>
    <t>Variable name</t>
  </si>
  <si>
    <t>Source</t>
  </si>
  <si>
    <t>Where the code keeps it</t>
  </si>
  <si>
    <t>Functions that read it</t>
  </si>
  <si>
    <t>Figures it reaches</t>
  </si>
  <si>
    <t>MK-XS-I-001</t>
  </si>
  <si>
    <t>account balance</t>
  </si>
  <si>
    <t>the institution download, a connection, or typed by hand</t>
  </si>
  <si>
    <t>balance · cash_balance · total_asset_value</t>
  </si>
  <si>
    <t>1. MK-NW-F-027 accountClassBreakdown
2. MK-ST-F-027 accountId
3. MK-NW-F-002 alternativesSummary
4. MK-CF-F-125 amortise
5. MK-CF-F-111 applyTransaction
6. MK-NW-F-029 assetAllocation
7. MK-NW-F-040 assetsFromOnboarding
8. MK-CF-F-135 availableCash
9. MK-NW-F-056 bondInfo
10. MK-NW-F-039 buildAssetsState
11. MK-ST-F-028 buildDayFromAccounts
12. MK-NW-F-052 buildItemizedAccounts
13. MK-XS-F-031 buildSnapshot
14. MK-CF-F-136 bumpCash
… and 31 more — the full list is on functions_from_code</t>
  </si>
  <si>
    <t>MK-CF-M-022 · MK-MN-M-016 · MK-MN-M-022 · MK-MN-M-027 · MK-MN-M-028 · MK-NW-M-002 · MK-NW-M-004 · MK-NW-M-005 · MK-NW-M-007 · MK-NW-M-008 · MK-NW-M-009 · MK-NW-M-011 · MK-NW-M-014 · MK-NW-M-016 · MK-NW-M-017 · MK-NW-M-019 · MK-NW-M-020 · MK-NW-M-021 · MK-NW-M-023 · MK-NW-M-024 · MK-NW-M-025 · MK-NW-M-026 · MK-NW-M-027 · MK-NW-M-029 · MK-NW-M-030 · MK-NW-M-031 · MK-NW-M-033 · MK-NW-M-034 · MK-NW-M-035 · MK-NW-M-036 · MK-NW-M-037 · MK-NW-M-038 · MK-NW-M-039 · MK-NW-M-040 · MK-NW-M-041 · MK-NW-M-042 · MK-NW-M-043 · MK-NW-M-044 · MK-NW-M-045 · MK-PF-M-001 · MK-PF-M-004 · MK-PL-M-001 · MK-PL-M-002 · MK-PL-M-008 · MK-PL-M-009 · MK-PL-M-011 · MK-PL-M-029 · MK-PL-M-034 · MK-XS-M-001 · MK-XS-M-002 · MK-XS-M-003</t>
  </si>
  <si>
    <t>SWEPT FROM THE CODE 2026-08-26</t>
  </si>
  <si>
    <t>reach generated from the code each build</t>
  </si>
  <si>
    <t>MK-XS-I-002</t>
  </si>
  <si>
    <t>account type (taxable, pre-tax, Roth)</t>
  </si>
  <si>
    <t>typed at setup, or guessed from the account name</t>
  </si>
  <si>
    <t>tax_bucket · tax_treatment · taxBucket</t>
  </si>
  <si>
    <t>1. MK-NW-F-005 accountAllowsTicker
2. MK-NW-F-025 accountDisplayName
3. MK-NW-F-011 assetClassOf
4. MK-NW-F-040 assetsFromOnboarding
5. MK-NW-F-037 blendedReturn
6. MK-NW-F-035 blendedVolatility
7. MK-NW-F-052 buildItemizedAccounts
8. MK-CF-F-136 bumpCash
9. MK-XS-F-103 confirmWrapper
10. MK-XS-F-002 dataGaps
11. MK-NW-F-038 earmarkedKinds
12. MK-XS-F-102 ingestSync
13. MK-NW-F-001 isAlternative
14. MK-XS-F-104 mapAccountType
… and 11 more — the full list is on functions_from_code</t>
  </si>
  <si>
    <t>MK-CF-M-022 · MK-MN-M-016 · MK-MN-M-022 · MK-MN-M-027 · MK-MN-M-028 · MK-NW-M-002 · MK-NW-M-004 · MK-NW-M-005 · MK-NW-M-007 · MK-NW-M-008 · MK-NW-M-009 · MK-NW-M-011 · MK-NW-M-014 · MK-NW-M-016 · MK-NW-M-017 · MK-NW-M-019 · MK-NW-M-020 · MK-NW-M-021 · MK-NW-M-023 · MK-NW-M-024 · MK-NW-M-025 · MK-NW-M-026 · MK-NW-M-027 · MK-NW-M-029 · MK-NW-M-030 · MK-NW-M-031 · MK-NW-M-033 · MK-NW-M-034 · MK-NW-M-035 · MK-NW-M-036 · MK-NW-M-037 · MK-NW-M-038 · MK-NW-M-039 · MK-NW-M-040 · MK-NW-M-041 · MK-NW-M-042 · MK-NW-M-043 · MK-NW-M-044 · MK-NW-M-045 · MK-PL-M-001 · MK-PL-M-002 · MK-PL-M-008 · MK-PL-M-009 · MK-PL-M-011 · MK-PL-M-029 · MK-PL-M-034 · MK-XS-M-001 · MK-XS-M-002 · MK-XS-M-003</t>
  </si>
  <si>
    <t>institution name</t>
  </si>
  <si>
    <t>the download or the connection</t>
  </si>
  <si>
    <t>institution</t>
  </si>
  <si>
    <t>1. MK-NW-F-025 accountDisplayName
2. MK-NW-F-026 accountDisplayNames
3. MK-NW-F-052 buildItemizedAccounts
4. MK-XS-F-014 classifyHolding
5. MK-ST-F-011 classifyHoldingClass
6. MK-NW-F-046 historyCoverage
7. MK-CF-F-184 incomeFromAccounts
8. MK-XS-F-102 ingestSync
9. MK-NW-F-071 isCertificateOfDeposit
10. MK-XS-F-016 matchImportAccount
11. MK-XS-F-120 nameOf
12. MK-ST-F-074 rebuiltSentence
13. MK-NW-F-072 rowOf
14. MK-PL-F-031 taxOrganizer
… and 2 more — the full list is on functions_from_code</t>
  </si>
  <si>
    <t>MK-MN-M-016 · MK-MN-M-022 · MK-MN-M-027 · MK-MN-M-028 · MK-NW-M-002 · MK-NW-M-004 · MK-NW-M-005 · MK-NW-M-007 · MK-NW-M-009 · MK-NW-M-011 · MK-NW-M-017 · MK-NW-M-023 · MK-NW-M-024 · MK-NW-M-025 · MK-NW-M-026 · MK-NW-M-027 · MK-NW-M-041 · MK-NW-M-042 · MK-NW-M-043 · MK-NW-M-044 · MK-NW-M-045 · MK-XS-M-001 · MK-XS-M-003</t>
  </si>
  <si>
    <t>MK-XS-I-004</t>
  </si>
  <si>
    <t>holding quantity (shares)</t>
  </si>
  <si>
    <t>the download, a connection, or typed</t>
  </si>
  <si>
    <t>shares · totalShares · quantity</t>
  </si>
  <si>
    <t>1. MK-NW-F-027 accountClassBreakdown
2. MK-ST-F-027 accountId
3. MK-CF-F-138 addLot
4. MK-CF-F-111 applyTransaction
5. MK-PF-F-003 avgCost
6. MK-ST-F-028 buildDayFromAccounts
7. MK-PF-F-006 capGains
8. MK-CF-F-118 cashEffect
9. MK-PF-F-002 costBasis
10. MK-XS-F-002 dataGaps
11. MK-CF-F-062 equityRowValue
12. MK-XS-F-129 findHeaderRow
13. MK-XS-F-145 flatSymbol
14. MK-XS-F-015 importHoldings
… and 20 more — the full list is on functions_from_code</t>
  </si>
  <si>
    <t>MK-CF-M-006 · MK-CF-M-007 · MK-CF-M-008 · MK-CF-M-013 · MK-CF-M-014 · MK-CF-M-015 · MK-CF-M-018 · MK-CF-M-019 · MK-CF-M-022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MK-MN-M-023 · MK-MN-M-024 · MK-MN-M-025 · MK-MN-M-027 · MK-MN-M-028 · MK-NW-M-002 · MK-NW-M-004 · MK-NW-M-005 · MK-NW-M-007 · MK-NW-M-008 · MK-NW-M-009 · MK-NW-M-011 · MK-NW-M-014 · MK-NW-M-016 · MK-NW-M-017 · MK-NW-M-019 · MK-NW-M-020 · MK-NW-M-021 · MK-NW-M-023 · MK-NW-M-024 · MK-NW-M-025 · MK-NW-M-026 · MK-NW-M-027 · MK-NW-M-029 · MK-NW-M-030 · MK-NW-M-031 · MK-NW-M-032 · MK-NW-M-033 · MK-NW-M-034 · MK-NW-M-035 · MK-NW-M-036 · MK-NW-M-037 · MK-NW-M-038 · MK-NW-M-039 · MK-NW-M-040 · MK-NW-M-041 · MK-NW-M-042 · MK-NW-M-043 · MK-NW-M-044 · MK-NW-M-045 · MK-PF-M-001 · MK-PF-M-004 · MK-PF-M-006 · MK-PF-M-007 · MK-PF-M-008 · MK-PL-M-001 · MK-PL-M-002 · MK-PL-M-008 · MK-PL-M-009 · MK-PL-M-011 · MK-PL-M-029 · MK-PL-M-034 · MK-XS-M-001 · MK-XS-M-002 · MK-XS-M-003 · MK-XS-M-004 · MK-XS-M-005 · MK-XS-M-006</t>
  </si>
  <si>
    <t>holding price</t>
  </si>
  <si>
    <t>the price feed</t>
  </si>
  <si>
    <t>last_price · close · latestClose · priceOf</t>
  </si>
  <si>
    <t>1. MK-NW-F-027 accountClassBreakdown
2. MK-ST-F-027 accountId
3. MK-ST-F-028 buildDayFromAccounts
4. MK-PF-F-014 buildPerformance
5. MK-PF-F-029 closeAsOf
6. MK-PF-F-034 closeOnOrBefore
7. MK-CF-F-043 compareMortgageToTreasury
8. MK-PF-F-022 factorOverMonths
9. MK-XS-F-102 ingestSync
10. MK-PF-F-009 latestClose
11. MK-PF-F-010 periodReturn
12. MK-PF-F-011 periodReturnSince
13. MK-PF-F-018 portfolioTrend
14. MK-PF-F-033 quantityWithUnit
… and 6 more — the full list is on functions_from_code</t>
  </si>
  <si>
    <t>MK-CF-M-022 · MK-MN-M-016 · MK-MN-M-022 · MK-MN-M-023 · MK-NW-M-002 · MK-NW-M-004 · MK-NW-M-005 · MK-NW-M-007 · MK-NW-M-008 · MK-NW-M-009 · MK-NW-M-011 · MK-NW-M-014 · MK-NW-M-016 · MK-NW-M-017 · MK-NW-M-019 · MK-NW-M-020 · MK-NW-M-021 · MK-NW-M-023 · MK-NW-M-024 · MK-NW-M-025 · MK-NW-M-026 · MK-NW-M-027 · MK-NW-M-029 · MK-NW-M-030 · MK-NW-M-031 · MK-NW-M-033 · MK-NW-M-034 · MK-NW-M-035 · MK-NW-M-036 · MK-NW-M-037 · MK-NW-M-038 · MK-NW-M-039 · MK-NW-M-040 · MK-NW-M-041 · MK-NW-M-042 · MK-NW-M-043 · MK-NW-M-044 · MK-NW-M-045 · MK-PF-M-001 · MK-PF-M-004 · MK-PF-M-006 · MK-PF-M-007 · MK-PL-M-001 · MK-PL-M-002 · MK-PL-M-008 · MK-PL-M-009 · MK-PL-M-011 · MK-PL-M-029 · MK-PL-M-034 · MK-XS-M-001 · MK-XS-M-002 · MK-XS-M-003</t>
  </si>
  <si>
    <t>MK-XS-I-006</t>
  </si>
  <si>
    <t>price fetched at</t>
  </si>
  <si>
    <t>the app, when it last asked for prices</t>
  </si>
  <si>
    <t>fetchedAt · last_synced · pricesFetchedAt</t>
  </si>
  <si>
    <t>1. MK-XS-F-002 dataGaps
2. MK-XS-F-056 fetchEconomicData
3. MK-XS-F-102 ingestSync
4. MK-XS-F-082 priceFreshness
5. MK-XS-F-174 recomputeBalances
6. MK-NW-F-045 sourceWording
7. MK-XS-F-175 uid</t>
  </si>
  <si>
    <t>MK-HM-M-001 · MK-MN-M-016 · MK-MN-M-022 · MK-NW-M-002 · MK-NW-M-004 · MK-NW-M-005 · MK-NW-M-007 · MK-NW-M-009 · MK-NW-M-011 · MK-NW-M-016 · MK-NW-M-017 · MK-XS-M-001 · MK-XS-M-003</t>
  </si>
  <si>
    <t>purchase price and date (per lot)</t>
  </si>
  <si>
    <t>the download or typed</t>
  </si>
  <si>
    <t>cost_per_share · purchase_date · cost_basis · costBasis</t>
  </si>
  <si>
    <t>1. MK-ST-F-027 accountId
2. MK-CF-F-138 addLot
3. MK-PF-F-003 avgCost
4. MK-PF-F-013 benchmarkTicker
5. MK-ST-F-028 buildDayFromAccounts
6. MK-PF-F-014 buildPerformance
7. MK-PF-F-006 capGains
8. MK-PF-F-002 costBasis
9. MK-PF-F-012 earliestPurchaseDate
10. MK-XS-F-145 flatSymbol
11. MK-XS-F-102 ingestSync
12. MK-XS-F-106 mapOptionHolding
13. MK-XS-F-105 mapPosition
14. MK-XS-F-146 prettyExpiry
… and 7 more — the full list is on functions_from_code</t>
  </si>
  <si>
    <t>MK-CF-M-022 · MK-MN-M-016 · MK-MN-M-022 · MK-MN-M-023 · MK-NW-M-002 · MK-NW-M-004 · MK-NW-M-005 · MK-NW-M-007 · MK-NW-M-008 · MK-NW-M-009 · MK-NW-M-011 · MK-NW-M-014 · MK-NW-M-016 · MK-NW-M-017 · MK-NW-M-019 · MK-NW-M-020 · MK-NW-M-021 · MK-NW-M-023 · MK-NW-M-024 · MK-NW-M-025 · MK-NW-M-026 · MK-NW-M-027 · MK-NW-M-029 · MK-NW-M-030 · MK-NW-M-031 · MK-NW-M-032 · MK-NW-M-033 · MK-NW-M-034 · MK-NW-M-035 · MK-NW-M-036 · MK-NW-M-037 · MK-NW-M-038 · MK-NW-M-039 · MK-NW-M-040 · MK-NW-M-041 · MK-NW-M-042 · MK-NW-M-043 · MK-NW-M-044 · MK-NW-M-045 · MK-PF-M-001 · MK-PF-M-004 · MK-PF-M-006 · MK-PF-M-007 · MK-PL-M-001 · MK-PL-M-002 · MK-PL-M-008 · MK-PL-M-009 · MK-PL-M-011 · MK-PL-M-029 · MK-PL-M-034 · MK-XS-M-001 · MK-XS-M-002 · MK-XS-M-003</t>
  </si>
  <si>
    <t>MK-XS-I-008</t>
  </si>
  <si>
    <t>transaction amount</t>
  </si>
  <si>
    <t>the institution download</t>
  </si>
  <si>
    <t>t.amount · txn.amount · transaction.amount</t>
  </si>
  <si>
    <t>1. MK-CF-F-111 applyTransaction
2. MK-CF-F-118 cashEffect
3. MK-CF-F-119 investmentIncomeAnnual
4. MK-CF-F-183 paidOutByAccount
5. MK-CF-F-109 reviewTransactions
6. MK-PL-F-009 rmdTakenThisYear
7. MK-NW-O-008 thePerformance
8. MK-ST-F-072 undo
9. MK-PF-F-024 userFlows</t>
  </si>
  <si>
    <t>MK-MN-M-016 · MK-MN-M-022 · MK-NW-M-002 · MK-NW-M-004 · MK-NW-M-005 · MK-NW-M-007 · MK-NW-M-009 · MK-NW-M-011 · MK-NW-M-016 · MK-NW-M-017 · MK-XS-M-001 · MK-XS-M-003</t>
  </si>
  <si>
    <t>MK-XS-I-009</t>
  </si>
  <si>
    <t>transaction date</t>
  </si>
  <si>
    <t>t.date · txn.date · posted_at</t>
  </si>
  <si>
    <t>1. MK-CF-F-138 addLot
2. MK-CF-F-119 investmentIncomeAnnual
3. MK-PF-F-028 realizedFromLedger
4. MK-ST-F-073 rebuildDays
5. MK-ST-F-071 rebuildableFrom
6. MK-CF-F-109 reviewTransactions
7. MK-PL-F-009 rmdTakenThisYear
8. MK-NW-O-006 theHolding
9. MK-NW-O-008 thePerformance
10. MK-PF-F-024 userFlows</t>
  </si>
  <si>
    <t>MK-MN-M-016 · MK-MN-M-022 · MK-MN-M-023 · MK-NW-M-002 · MK-NW-M-004 · MK-NW-M-005 · MK-NW-M-007 · MK-NW-M-009 · MK-NW-M-011 · MK-NW-M-016 · MK-NW-M-017 · MK-XS-M-001 · MK-XS-M-003</t>
  </si>
  <si>
    <t>MK-XS-I-010</t>
  </si>
  <si>
    <t>transaction words (the institution's own wording)</t>
  </si>
  <si>
    <t>description · merchant · raw_description · payee</t>
  </si>
  <si>
    <t>1. MK-NW-F-027 accountClassBreakdown
2. MK-XS-F-108 activityKey
3. MK-CF-F-110 flagComparisonText
4. MK-XS-F-015 importHoldings
5. MK-ST-F-014 importKey
6. MK-XS-F-102 ingestSync
7. MK-XS-F-105 mapPosition
8. MK-XS-F-097 ocrReceipt
9. MK-XS-F-058 parseReceipt
10. MK-ST-F-013 personalFlowTotals
11. MK-NW-F-054 reclassifyAccounts
12. MK-XS-F-174 recomputeBalances
13. MK-CF-F-109 reviewTransactions
14. MK-ST-F-012 toLedgerRow
… and 1 more — the full list is on functions_from_code</t>
  </si>
  <si>
    <t>MK-MN-M-016 · MK-MN-M-022 · MK-NW-M-002 · MK-NW-M-004 · MK-NW-M-005 · MK-NW-M-007 · MK-NW-M-008 · MK-NW-M-009 · MK-NW-M-011 · MK-NW-M-014 · MK-NW-M-016 · MK-NW-M-017 · MK-NW-M-019 · MK-NW-M-020 · MK-NW-M-021 · MK-NW-M-038 · MK-NW-M-039 · MK-NW-M-040 · MK-XS-M-001 · MK-XS-M-003</t>
  </si>
  <si>
    <t>MK-XS-I-011</t>
  </si>
  <si>
    <t>bond face value</t>
  </si>
  <si>
    <t>typed, or the download</t>
  </si>
  <si>
    <t>face_value · face</t>
  </si>
  <si>
    <t>1. MK-NW-F-057 annualCoupon
2. MK-NW-F-060 approxYTM
3. MK-NW-F-056 bondInfo
4. MK-NW-F-064 bondRateSensitivity
5. MK-NW-F-061 bondSummary
6. MK-NW-F-052 buildItemizedAccounts
7. MK-CF-F-184 incomeFromAccounts
8. MK-NW-F-063 interestIncomeAnnual
9. MK-NW-F-071 isCertificateOfDeposit
10. MK-NW-F-069 priceAtYield
11. MK-NW-F-072 rowOf
12. MK-NW-O-001 theBonds</t>
  </si>
  <si>
    <t>MK-NW-M-023 · MK-NW-M-024 · MK-NW-M-025 · MK-NW-M-026 · MK-NW-M-027 · MK-NW-M-028 · MK-NW-M-041 · MK-NW-M-042 · MK-NW-M-043 · MK-NW-M-044 · MK-NW-M-045</t>
  </si>
  <si>
    <t>MK-XS-I-012</t>
  </si>
  <si>
    <t>bond coupon rate</t>
  </si>
  <si>
    <t>coupon_rate · couponRate</t>
  </si>
  <si>
    <t>1. MK-NW-F-057 annualCoupon
2. MK-NW-F-056 bondInfo
3. MK-NW-F-064 bondRateSensitivity
4. MK-NW-F-052 buildItemizedAccounts
5. MK-CF-F-184 incomeFromAccounts
6. MK-NW-F-063 interestIncomeAnnual
7. MK-NW-F-071 isCertificateOfDeposit
8. MK-NW-F-072 rowOf</t>
  </si>
  <si>
    <t>MK-XS-I-013</t>
  </si>
  <si>
    <t>bond maturity date</t>
  </si>
  <si>
    <t>maturity_date · maturity</t>
  </si>
  <si>
    <t>1. MK-NW-F-060 approxYTM
2. MK-NW-F-011 assetClassOf
3. MK-NW-F-056 bondInfo
4. MK-NW-F-061 bondSummary
5. MK-NW-F-052 buildItemizedAccounts
6. MK-ST-F-011 classifyHoldingClass
7. MK-NW-F-053 correctClassOf
8. MK-NW-F-001 isAlternative
9. MK-NW-F-071 isCertificateOfDeposit
10. MK-XS-F-107 mapActivityType
11. MK-ST-F-010 nameEvidence
12. MK-NW-F-069 priceAtYield
13. MK-NW-F-072 rowOf
14. MK-NW-O-001 theBonds
… and 1 more — the full list is on functions_from_code</t>
  </si>
  <si>
    <t>MK-CF-M-022 · MK-MN-M-016 · MK-MN-M-022 · MK-NW-M-002 · MK-NW-M-004 · MK-NW-M-005 · MK-NW-M-007 · MK-NW-M-008 · MK-NW-M-009 · MK-NW-M-011 · MK-NW-M-014 · MK-NW-M-016 · MK-NW-M-017 · MK-NW-M-019 · MK-NW-M-020 · MK-NW-M-021 · MK-NW-M-023 · MK-NW-M-024 · MK-NW-M-025 · MK-NW-M-026 · MK-NW-M-027 · MK-NW-M-028 · MK-NW-M-029 · MK-NW-M-030 · MK-NW-M-031 · MK-NW-M-033 · MK-NW-M-034 · MK-NW-M-035 · MK-NW-M-036 · MK-NW-M-037 · MK-NW-M-038 · MK-NW-M-039 · MK-NW-M-040 · MK-NW-M-041 · MK-NW-M-042 · MK-NW-M-043 · MK-NW-M-044 · MK-NW-M-045 · MK-PL-M-001 · MK-PL-M-002 · MK-PL-M-008 · MK-PL-M-009 · MK-PL-M-011 · MK-PL-M-029 · MK-PL-M-034 · MK-XS-M-001 · MK-XS-M-002 · MK-XS-M-003</t>
  </si>
  <si>
    <t>MK-XS-I-014</t>
  </si>
  <si>
    <t>debt balance</t>
  </si>
  <si>
    <t>typed, or a connection</t>
  </si>
  <si>
    <t>remaining_balance</t>
  </si>
  <si>
    <t>1. MK-XS-F-004 buildDatedGrid
2. MK-CF-F-036 buildDebtState
3. MK-CF-F-038 debtsFromOnboarding
4. MK-CF-F-034 payoffPlan
5. MK-NW-O-003 theNetWorth
6. MK-CF-F-027 totalDebtBalance
7. MK-PL-F-036 weighGoals</t>
  </si>
  <si>
    <t>MK-CF-M-022 · MK-MN-M-016 · MK-MN-M-022 · MK-NW-M-002 · MK-NW-M-004 · MK-NW-M-005 · MK-NW-M-007 · MK-NW-M-009 · MK-NW-M-011 · MK-NW-M-016 · MK-NW-M-017 · MK-PL-M-031 · MK-XS-M-001 · MK-XS-M-003</t>
  </si>
  <si>
    <t>MK-XS-I-015</t>
  </si>
  <si>
    <t>debt interest rate</t>
  </si>
  <si>
    <t>typed</t>
  </si>
  <si>
    <t>interest_rate_apr</t>
  </si>
  <si>
    <t>1. MK-CF-F-036 buildDebtState
2. MK-CF-F-038 debtsFromOnboarding
3. MK-CF-F-034 payoffPlan</t>
  </si>
  <si>
    <t>MK-MN-M-016 · MK-MN-M-022 · MK-NW-M-002 · MK-NW-M-004 · MK-NW-M-005 · MK-NW-M-007 · MK-NW-M-009 · MK-NW-M-011 · MK-NW-M-016 · MK-NW-M-017 · MK-PL-M-031 · MK-XS-M-001 · MK-XS-M-003</t>
  </si>
  <si>
    <t>MK-XS-I-016</t>
  </si>
  <si>
    <t>debt minimum payment</t>
  </si>
  <si>
    <t>minimum_monthly_payment</t>
  </si>
  <si>
    <t>1. MK-CF-F-038 debtsFromOnboarding
2. MK-CF-F-025 minimumDebtService
3. MK-CF-F-034 payoffPlan
4. MK-CF-F-023 requiredPayment</t>
  </si>
  <si>
    <t>MK-CF-M-019 · MK-CF-M-022 · MK-CF-M-047 · MK-CF-M-048 · MK-CF-M-049 · MK-CF-M-050 · MK-CF-M-051 · MK-CF-M-052 · MK-CF-M-053 · MK-CF-M-054 · MK-MN-M-016 · MK-MN-M-022 · MK-NW-M-001 · MK-NW-M-002 · MK-NW-M-003 · MK-NW-M-004 · MK-NW-M-005 · MK-NW-M-007 · MK-NW-M-009 · MK-NW-M-011 · MK-NW-M-012 · MK-NW-M-016 · MK-NW-M-017 · MK-PL-M-031 · MK-XS-M-001 · MK-XS-M-003</t>
  </si>
  <si>
    <t>MK-XS-I-017</t>
  </si>
  <si>
    <t>birth year</t>
  </si>
  <si>
    <t>typed at setup</t>
  </si>
  <si>
    <t>birthYear · birth_year</t>
  </si>
  <si>
    <t>1. MK-CF-F-197 ageAttainedInYear
2. MK-XS-F-179 ageToday
3. MK-PL-F-064 claimWindow
4. MK-XS-F-017 currentAge
5. MK-PL-F-063 fraLabel
6. MK-PL-F-057 fullRetirementAge
7. MK-PL-F-027 nextDecision
8. MK-CF-F-089 over65CountOf
9. MK-PL-F-026 planDoor
10. MK-XS-F-026 profileFromOnboarding
11. MK-PL-F-006 rmdDivisor
12. MK-ST-F-024 rmdStartAge
13. MK-PL-F-060 ssBenefitAt
14. MK-PL-F-058 ssClaimFactorFor
… and 3 more — the full list is on functions_from_code</t>
  </si>
  <si>
    <t>MK-CF-M-006 · MK-CF-M-007 · MK-CF-M-008 · MK-CF-M-013 · MK-CF-M-014 · MK-CF-M-015 · MK-CF-M-018 · MK-CF-M-019 · MK-CF-M-022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MK-MN-M-024 · MK-MN-M-025 · MK-MN-M-027 · MK-MN-M-028 · MK-NW-M-002 · MK-NW-M-004 · MK-NW-M-005 · MK-NW-M-007 · MK-NW-M-009 · MK-NW-M-011 · MK-NW-M-015 · MK-NW-M-016 · MK-NW-M-017 · MK-PL-M-001 · MK-PL-M-002 · MK-PL-M-008 · MK-PL-M-011 · MK-PL-M-017 · MK-PL-M-019 · MK-PL-M-026 · MK-PL-M-029 · MK-PL-M-033 · MK-PL-M-034 · MK-XS-M-001 · MK-XS-M-002 · MK-XS-M-003 · MK-XS-M-005 · MK-XS-M-006</t>
  </si>
  <si>
    <t>MK-XS-I-018</t>
  </si>
  <si>
    <t>retirement age</t>
  </si>
  <si>
    <t>typed, or the dial on Plan</t>
  </si>
  <si>
    <t>retireAge · retire_age · targetRetirementAge</t>
  </si>
  <si>
    <t>1. MK-XS-F-031 buildSnapshot
2. MK-PL-F-048 capitalNeeded
3. MK-PL-F-043 howTheGapCloses
4. MK-PL-F-046 leverDeltas
5. MK-PL-F-030 onCourseSentence
6. MK-PL-F-044 planTarget
7. MK-XS-F-026 profileFromOnboarding
8. MK-PL-F-055 projectNestEgg
9. MK-XS-F-174 recomputeBalances
10. MK-PL-F-035 retireAgeWithContribution
11. MK-XS-F-019 retirementHorizonYears
12. MK-PL-F-049 retirementSpendMonthly
13. MK-CF-F-058 rothConversionWindow
14. MK-PL-F-050 simulate
… and 8 more — the full list is on functions_from_code</t>
  </si>
  <si>
    <t>MK-CF-M-022 · MK-MN-M-016 · MK-MN-M-022 · MK-NW-M-002 · MK-NW-M-004 · MK-NW-M-005 · MK-NW-M-007 · MK-NW-M-009 · MK-NW-M-011 · MK-NW-M-015 · MK-NW-M-016 · MK-NW-M-017 · MK-PL-M-008 · MK-PL-M-009 · MK-PL-M-011 · MK-PL-M-026 · MK-PL-M-029 · MK-PL-M-033 · MK-PL-M-034 · MK-XS-M-001 · MK-XS-M-002 · MK-XS-M-003</t>
  </si>
  <si>
    <t>MK-XS-I-019</t>
  </si>
  <si>
    <t>monthly expenses in retirement</t>
  </si>
  <si>
    <t>expectedRetirementSpending · spendingChangeLater · travelBudget · medicalBudget</t>
  </si>
  <si>
    <t>MK-PL-F-049 retirementSpendMonthly</t>
  </si>
  <si>
    <t>MK-PL-M-008 · MK-PL-M-009 · MK-PL-M-011 · MK-PL-M-029 · MK-PL-M-034 · MK-XS-M-002</t>
  </si>
  <si>
    <t>MK-XS-I-020</t>
  </si>
  <si>
    <t>Social Security monthly amount</t>
  </si>
  <si>
    <t>typed from the statement, or a worked example</t>
  </si>
  <si>
    <t>socialSecurityMonthly · ssMonthly · statementMonthly</t>
  </si>
  <si>
    <t>1. MK-CF-F-072 currentRetirementIncomeMonthly
2. MK-CF-F-076 guaranteedOutsideStreams
3. MK-XS-F-174 recomputeBalances
4. MK-CF-F-075 retirementIncomeMonthly
5. MK-PL-F-060 ssBenefitAt
6. MK-PL-F-061 ssBenefitAtClaimAge
7. MK-PL-F-062 ssLifetimeTotal
8. MK-XS-F-175 uid
9. MK-PL-F-067 willItLastInputs</t>
  </si>
  <si>
    <t>MK-CF-M-006 · MK-CF-M-007 · MK-CF-M-008 · MK-CF-M-011 · MK-CF-M-013 · MK-CF-M-014 · MK-CF-M-015 · MK-CF-M-018 · MK-CF-M-019 · MK-CF-M-022 · MK-CF-M-023 · MK-CF-M-024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MK-MN-M-024 · MK-MN-M-025 · MK-MN-M-027 · MK-MN-M-028 · MK-NW-M-002 · MK-NW-M-004 · MK-NW-M-005 · MK-NW-M-007 · MK-NW-M-009 · MK-NW-M-011 · MK-NW-M-016 · MK-NW-M-017 · MK-PL-M-008 · MK-PL-M-011 · MK-PL-M-017 · MK-PL-M-018 · MK-PL-M-019 · MK-PL-M-029 · MK-PL-M-032 · MK-PL-M-034 · MK-XS-M-001 · MK-XS-M-002 · MK-XS-M-003 · MK-XS-M-005 · MK-XS-M-006</t>
  </si>
  <si>
    <t>MK-XS-I-021</t>
  </si>
  <si>
    <t>Social Security claim age</t>
  </si>
  <si>
    <t>claimAge · ssClaimAge</t>
  </si>
  <si>
    <t>1. MK-PL-F-046 leverDeltas
2. MK-PL-F-027 nextDecision
3. MK-XS-F-174 recomputeBalances
4. MK-CF-F-058 rothConversionWindow
5. MK-PL-F-060 ssBenefitAt
6. MK-PL-F-061 ssBenefitAtClaimAge
7. MK-PL-F-059 ssClaimFactor
8. MK-PL-F-058 ssClaimFactorFor
9. MK-PL-F-062 ssLifetimeTotal
10. MK-XS-F-175 uid
11. MK-PL-F-067 willItLastInputs
12. MK-PL-F-052 withSsStream</t>
  </si>
  <si>
    <t>MK-MN-M-016 · MK-MN-M-022 · MK-NW-M-002 · MK-NW-M-004 · MK-NW-M-005 · MK-NW-M-007 · MK-NW-M-009 · MK-NW-M-011 · MK-NW-M-016 · MK-NW-M-017 · MK-PL-M-008 · MK-PL-M-011 · MK-PL-M-017 · MK-PL-M-019 · MK-PL-M-029 · MK-PL-M-034 · MK-XS-M-001 · MK-XS-M-002 · MK-XS-M-003</t>
  </si>
  <si>
    <t>MK-XS-I-022</t>
  </si>
  <si>
    <t>pension monthly amount</t>
  </si>
  <si>
    <t>pensionMonthly · ri_pension · pension</t>
  </si>
  <si>
    <t>1. MK-CF-F-072 currentRetirementIncomeMonthly
2. MK-CF-F-076 guaranteedOutsideStreams
3. MK-CF-F-075 retirementIncomeMonthly
4. MK-PL-F-049 retirementSpendMonthly
5. MK-PL-F-031 taxOrganizer</t>
  </si>
  <si>
    <t>MK-CF-M-006 · MK-CF-M-007 · MK-CF-M-008 · MK-CF-M-011 · MK-CF-M-013 · MK-CF-M-014 · MK-CF-M-015 · MK-CF-M-018 · MK-CF-M-019 · MK-CF-M-022 · MK-CF-M-023 · MK-CF-M-024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MK-MN-M-024 · MK-MN-M-025 · MK-MN-M-027 · MK-MN-M-028 · MK-NW-M-002 · MK-NW-M-004 · MK-NW-M-005 · MK-NW-M-007 · MK-NW-M-009 · MK-NW-M-011 · MK-NW-M-016 · MK-NW-M-017 · MK-PL-M-008 · MK-PL-M-009 · MK-PL-M-011 · MK-PL-M-018 · MK-PL-M-029 · MK-PL-M-032 · MK-PL-M-034 · MK-XS-M-001 · MK-XS-M-002 · MK-XS-M-003 · MK-XS-M-005 · MK-XS-M-006</t>
  </si>
  <si>
    <t>MK-XS-I-023</t>
  </si>
  <si>
    <t>salary and other income</t>
  </si>
  <si>
    <t>salaryByMonth · bonusAnnual · tipsMonthly · signingOnetime · salaryAnnual</t>
  </si>
  <si>
    <t>1. MK-XS-F-004 buildDatedGrid
2. MK-CF-F-020 cashflowYear
3. MK-CF-F-172 hasWage
4. MK-CF-F-079 incomeFromOnboarding
5. MK-CF-F-092 incomeMonthlyGrid
6. MK-CF-O-004 incomeSummary
7. MK-CF-F-181 rateInForce
8. MK-CF-F-082 salaryAnnual
9. MK-CF-F-165 salaryMonths
10. MK-PL-F-031 taxOrganizer
11. MK-CF-F-084 taxableAnnual
12. MK-CF-F-088 taxableByCalendarMonth
13. MK-CF-F-074 tipsAnnual
14. MK-CF-F-083 totalGrossAnnual
… and 1 more — the full list is on functions_from_code</t>
  </si>
  <si>
    <t>MK-CF-M-006 · MK-CF-M-007 · MK-CF-M-008 · MK-CF-M-013 · MK-CF-M-014 · MK-CF-M-015 · MK-CF-M-018 · MK-CF-M-019 · MK-CF-M-022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MK-MN-M-014 · MK-MN-M-024 · MK-MN-M-025 · MK-MN-M-027 · MK-MN-M-028 · MK-PL-M-008 · MK-PL-M-011 · MK-PL-M-029 · MK-PL-M-034 · MK-XS-M-002 · MK-XS-M-005 · MK-XS-M-006</t>
  </si>
  <si>
    <t>MK-XS-I-024</t>
  </si>
  <si>
    <t>logged expenses</t>
  </si>
  <si>
    <t>typed, or read from a download</t>
  </si>
  <si>
    <t>loggedSpend · expenses · txns · transactions</t>
  </si>
  <si>
    <t>1. MK-CF-F-005 actualMonthFlow
2. MK-CF-F-151 actualSpending
3. MK-XS-F-057 analyzeExpenses
4. MK-CF-F-014 budgetVsActual
5. MK-XS-F-004 buildDatedGrid
6. MK-CF-F-107 buildPaycheckYear
7. MK-XS-F-100 connectionFreshness
8. MK-XS-F-002 dataGaps
9. MK-CF-F-157 debtPaymentsByDebt
10. MK-CF-F-150 debtPaymentsCountedAsExpenses
11. MK-CF-F-189 essentialsFromLoggedSpending
12. MK-CF-F-190 essentialsMonthly
13. MK-PF-F-025 historyIsComplete
14. MK-CF-F-184 incomeFromAccounts
… and 26 more — the full list is on functions_from_code</t>
  </si>
  <si>
    <t>MK-CF-M-006 · MK-CF-M-007 · MK-CF-M-008 · MK-CF-M-010 · MK-CF-M-013 · MK-CF-M-014 · MK-CF-M-015 · MK-CF-M-018 · MK-CF-M-019 · MK-CF-M-022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MK-MN-M-020 · MK-MN-M-021 · MK-MN-M-022 · MK-MN-M-023 · MK-MN-M-024 · MK-MN-M-025 · MK-MN-M-026 · MK-MN-M-027 · MK-MN-M-028 · MK-NW-M-001 · MK-NW-M-002 · MK-NW-M-003 · MK-NW-M-004 · MK-NW-M-005 · MK-NW-M-007 · MK-NW-M-009 · MK-NW-M-011 · MK-NW-M-013 · MK-NW-M-014 · MK-NW-M-016 · MK-NW-M-017 · MK-NW-M-019 · MK-NW-M-020 · MK-NW-M-021 · MK-NW-M-038 · MK-NW-M-039 · MK-NW-M-040 · MK-PL-M-008 · MK-PL-M-011 · MK-PL-M-029 · MK-PL-M-034 · MK-XS-M-001 · MK-XS-M-002 · MK-XS-M-003 · MK-XS-M-005 · MK-XS-M-006</t>
  </si>
  <si>
    <t>MK-XS-I-025</t>
  </si>
  <si>
    <t>typical monthly essentials</t>
  </si>
  <si>
    <t>monthlyEssentials · essentials</t>
  </si>
  <si>
    <t>1. MK-CF-F-010 emergencyTest
2. MK-CF-F-009 monthlyEssentials
3. MK-NW-F-074 theEmergencyFund</t>
  </si>
  <si>
    <t>MK-MN-M-024 · MK-MN-M-025</t>
  </si>
  <si>
    <t>MK-XS-I-026</t>
  </si>
  <si>
    <t>big costs (amount and year)</t>
  </si>
  <si>
    <t>bigCosts · oneOffs</t>
  </si>
  <si>
    <t>1. MK-XS-F-004 buildDatedGrid
2. MK-XS-F-174 recomputeBalances
3. MK-XS-F-175 uid
4. MK-PL-F-065 volOf
5. MK-PL-F-067 willItLastInputs</t>
  </si>
  <si>
    <t>MK-CF-M-022 · MK-MN-M-016 · MK-MN-M-022 · MK-NW-M-002 · MK-NW-M-004 · MK-NW-M-005 · MK-NW-M-007 · MK-NW-M-009 · MK-NW-M-011 · MK-NW-M-016 · MK-NW-M-017 · MK-PL-M-008 · MK-PL-M-011 · MK-PL-M-029 · MK-PL-M-034 · MK-XS-M-001 · MK-XS-M-002 · MK-XS-M-003</t>
  </si>
  <si>
    <t>MK-XS-I-027</t>
  </si>
  <si>
    <t>goals (target, saved, date)</t>
  </si>
  <si>
    <t>goals · targetDate · g.saved · g.target</t>
  </si>
  <si>
    <t>1. MK-PL-F-011 buildGoalsState
2. MK-XS-F-031 buildSnapshot
3. MK-PL-F-019 goalMonthsRemaining
4. MK-PL-F-022 goalProgressPct
5. MK-PL-F-023 goalStatus
6. MK-PL-F-013 goalsFromOnboarding
7. MK-HM-F-006 money0
8. MK-PL-F-021 monthsToGoal
9. MK-PL-F-018 monthsUntil
10. MK-XS-F-001 planCompleteness
11. MK-XS-F-174 recomputeBalances
12. MK-PL-F-020 requiredMonthly
13. MK-PL-F-017 sinkingFund
14. MK-XS-F-175 uid
… and 1 more — the full list is on functions_from_code</t>
  </si>
  <si>
    <t>MK-CF-M-006 · MK-CF-M-007 · MK-CF-M-008 · MK-CF-M-013 · MK-CF-M-014 · MK-CF-M-015 · MK-CF-M-018 · MK-CF-M-019 · MK-CF-M-022 · MK-CF-M-027 · MK-CF-M-030 · MK-CF-M-031 · MK-CF-M-032 · MK-CF-M-033 · MK-CF-M-034 · MK-CF-M-035 · MK-CF-M-036 · MK-CF-M-037 · MK-CF-M-038 · MK-CF-M-039 · MK-CF-M-040 · MK-CF-M-041 · MK-CF-M-042 · MK-CF-M-043 · MK-CF-M-044 · MK-CF-M-045 · MK-CF-M-046 · MK-CF-M-047 · MK-CF-M-048 · MK-CF-M-049 · MK-CF-M-050 · MK-CF-M-051 · MK-CF-M-052 · MK-CF-M-053 · MK-CF-M-054 · MK-MN-M-007 · MK-MN-M-009 · MK-MN-M-011 · MK-MN-M-012 · MK-MN-M-013 · MK-MN-M-016 · MK-MN-M-022 · MK-MN-M-024 · MK-MN-M-025 · MK-NW-M-002 · MK-NW-M-004 · MK-NW-M-005 · MK-NW-M-007 · MK-NW-M-009 · MK-NW-M-011 · MK-NW-M-016 · MK-NW-M-017 · MK-XS-M-001 · MK-XS-M-003 · MK-XS-M-005 · MK-XS-M-006</t>
  </si>
  <si>
    <t>MK-XS-I-028</t>
  </si>
  <si>
    <t>assumed return</t>
  </si>
  <si>
    <t>built in, and adjustable on the cockpit</t>
  </si>
  <si>
    <t>mean_return · target_return · assumedReturn · meanReturn</t>
  </si>
  <si>
    <t>1. MK-NW-F-040 assetsFromOnboarding
2. MK-NW-F-039 buildAssetsState
3. MK-NW-F-052 buildItemizedAccounts
4. MK-PL-F-053 buildRetirementState
5. MK-XS-F-031 buildSnapshot
6. MK-XS-F-102 ingestSync
7. MK-PL-F-055 projectNestEgg
8. MK-PL-F-049 retirementSpendMonthly
9. MK-PL-F-050 simulate
10. MK-CF-F-106 solveSafeDraw
11. MK-PL-F-067 willItLastInputs</t>
  </si>
  <si>
    <t>MK-XS-I-029</t>
  </si>
  <si>
    <t>inflation rate</t>
  </si>
  <si>
    <t>built in — the 30-year average of consumer prices, 2.5% a year (Bureau of Labor Statistics CPI-U, 1996–2025), dated 2026-09-08; the person can change it on the cockpit. No live feed (founder ruling brief Q-50 (2026-08-20), executed 2026-09-08 on G30).</t>
  </si>
  <si>
    <t>inflation · inflationRate</t>
  </si>
  <si>
    <t>1. MK-XS-F-057 analyzeExpenses
2. MK-PL-F-053 buildRetirementState
3. MK-XS-F-031 buildSnapshot
4. MK-PL-F-003 depletionAge
5. MK-XS-F-056 fetchEconomicData
6. MK-PL-F-055 projectNestEgg
7. MK-XS-F-174 recomputeBalances
8. MK-PL-F-049 retirementSpendMonthly
9. MK-PL-F-050 simulate
10. MK-CF-F-106 solveSafeDraw
11. MK-XS-F-175 uid
12. MK-PL-F-065 volOf
13. MK-PL-F-067 willItLastInputs
14. MK-PL-F-004 withdrawalOrder</t>
  </si>
  <si>
    <t>TESTED, NOT VERIFIED (G30) · reach generated from the code each build</t>
  </si>
  <si>
    <t>MK-XS-I-030</t>
  </si>
  <si>
    <t>tax filing status and age</t>
  </si>
  <si>
    <t>filingStatus · over65 · FilingStatus</t>
  </si>
  <si>
    <t>1. MK-CF-O-001 basePay
2. MK-CF-F-099 deductionFor
3. MK-CF-F-171 earnerPay
4. MK-CF-F-102 effectiveRateOnGrossFor
5. MK-CF-F-048 effectiveTaxRate
6. MK-CF-F-085 filingStatusOf
7. MK-CF-F-097 grossFromNet
8. MK-CF-O-004 incomeSummary
9. MK-CF-F-104 ltcgRateFor
10. MK-CF-F-103 marginalBracketFor
11. MK-CF-F-089 over65CountOf
12. MK-CF-F-098 progressiveMonthlyTax
13. MK-PL-F-032 rothConversionCost
14. MK-CF-F-187 seniorDeductionFor
… and 5 more — the full list is on functions_from_code</t>
  </si>
  <si>
    <t>MK-CF-M-006 · MK-CF-M-007 · MK-CF-M-008 · MK-CF-M-013 · MK-CF-M-014 · MK-CF-M-015 · MK-CF-M-018 · MK-CF-M-019 · MK-CF-M-022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MK-MN-M-024 · MK-MN-M-025 · MK-MN-M-027 · MK-MN-M-028 · MK-NW-M-002 · MK-NW-M-004 · MK-NW-M-005 · MK-NW-M-007 · MK-NW-M-009 · MK-NW-M-011 · MK-NW-M-016 · MK-NW-M-017 · MK-PL-M-008 · MK-PL-M-011 · MK-PL-M-029 · MK-PL-M-034 · MK-XS-M-001 · MK-XS-M-002 · MK-XS-M-003 · MK-XS-M-005 · MK-XS-M-006</t>
  </si>
  <si>
    <t>MK-XS-I-031</t>
  </si>
  <si>
    <t>daily and monthly snapshots</t>
  </si>
  <si>
    <t>the app itself, once a day</t>
  </si>
  <si>
    <t>nwDaily · readHistory · SnapshotDay · recordSnapshotDay</t>
  </si>
  <si>
    <t>1. MK-ST-F-028 buildDayFromAccounts
2. MK-ST-F-035 covers
3. MK-ST-F-037 pendingUpload
4. MK-ST-F-029 prune
5. MK-XS-F-009 readHistory
6. MK-ST-F-073 rebuildDays
7. MK-XS-F-174 recomputeBalances
8. MK-ST-F-036 reconcile
9. MK-ST-F-030 record
10. MK-XS-F-005 trendPoints
11. MK-XS-F-175 uid
12. MK-ST-F-072 undo
13. MK-ST-F-032 unitsOn
14. MK-ST-F-031 valueOn</t>
  </si>
  <si>
    <t>MK-CF-M-006 · MK-CF-M-007 · MK-CF-M-008 · MK-CF-M-013 · MK-CF-M-014 · MK-CF-M-015 · MK-CF-M-018 · MK-CF-M-019 · MK-CF-M-022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MK-MN-M-024 · MK-MN-M-025 · MK-MN-M-027 · MK-MN-M-028 · MK-NW-M-001 · MK-NW-M-002 · MK-NW-M-003 · MK-NW-M-004 · MK-NW-M-005 · MK-NW-M-007 · MK-NW-M-009 · MK-NW-M-011 · MK-NW-M-016 · MK-NW-M-017 · MK-PF-M-001 · MK-PF-M-004 · MK-PL-M-008 · MK-PL-M-011 · MK-PL-M-029 · MK-PL-M-034 · MK-XS-M-001 · MK-XS-M-002 · MK-XS-M-003 · MK-XS-M-005 · MK-XS-M-006</t>
  </si>
  <si>
    <t>MK-XS-I-032</t>
  </si>
  <si>
    <t>expenses categories the person set up</t>
  </si>
  <si>
    <t>Typed by the person when they set up their budget</t>
  </si>
  <si>
    <t>spendCats · b_fixed · b_nonmonthly · b_flexible</t>
  </si>
  <si>
    <t>1. MK-CF-F-014 budgetVsActual
2. MK-XS-F-004 buildDatedGrid
3. MK-XS-F-030 effectiveAnnualContribution
4. MK-CF-F-009 monthlyEssentials
5. MK-CF-F-007 nonMonthlyBasis
6. MK-CF-F-004 spendBuckets
7. MK-CF-F-008 spendByMonth
8. MK-NW-F-074 theEmergencyFund
9. MK-CF-F-019 upcomingBills</t>
  </si>
  <si>
    <t>MK-CF-M-013 · MK-CF-M-014 · MK-CF-M-015 · MK-CF-M-019 · MK-CF-M-022 · MK-CF-M-047 · MK-CF-M-048 · MK-CF-M-049 · MK-CF-M-050 · MK-CF-M-051 · MK-CF-M-052 · MK-CF-M-053 · MK-CF-M-054 · MK-MN-M-007 · MK-MN-M-010 · MK-MN-M-024 · MK-MN-M-025 · MK-XS-M-005</t>
  </si>
  <si>
    <t>MK-XS-I-033</t>
  </si>
  <si>
    <t>the date a hand-typed value was set</t>
  </si>
  <si>
    <t>Typed by the person, stamped when they save it</t>
  </si>
  <si>
    <t>value_as_of</t>
  </si>
  <si>
    <t>1. MK-XS-F-002 dataGaps
2. MK-XS-F-102 ingestSync
3. MK-NW-F-003 valueFreshness</t>
  </si>
  <si>
    <t>NONE ON RECORD — the functions above serve no figure that names them. See S21.</t>
  </si>
  <si>
    <t>option positions — contracts, strike, expiry, put or call</t>
  </si>
  <si>
    <t>An institution download, a connection, or typed</t>
  </si>
  <si>
    <t>option_holdings · contracts · strike · expiry</t>
  </si>
  <si>
    <t>1. MK-NW-F-027 accountClassBreakdown
2. MK-NW-F-028 classPortionLabel
3. MK-CF-F-062 equityRowValue
4. MK-XS-F-102 ingestSync
5. MK-XS-F-106 mapOptionHolding
6. MK-XS-F-146 prettyExpiry
7. MK-PF-F-032 quantityUnit</t>
  </si>
  <si>
    <t>MK-CF-M-006 · MK-CF-M-007 · MK-CF-M-008 · MK-CF-M-013 · MK-CF-M-014 · MK-CF-M-015 · MK-CF-M-018 · MK-CF-M-019 · MK-CF-M-022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MK-MN-M-024 · MK-MN-M-025 · MK-MN-M-027 · MK-MN-M-028 · MK-NW-M-002 · MK-NW-M-004 · MK-NW-M-005 · MK-NW-M-007 · MK-NW-M-008 · MK-NW-M-009 · MK-NW-M-011 · MK-NW-M-014 · MK-NW-M-017 · MK-NW-M-019 · MK-NW-M-020 · MK-NW-M-021 · MK-NW-M-038 · MK-NW-M-039 · MK-NW-M-040 · MK-PL-M-008 · MK-PL-M-011 · MK-PL-M-029 · MK-PL-M-034 · MK-XS-M-001 · MK-XS-M-002 · MK-XS-M-003 · MK-XS-M-005 · MK-XS-M-006</t>
  </si>
  <si>
    <t>TESTED, NOT VERIFIED (Q06) · reach generated from the code each build</t>
  </si>
  <si>
    <t>MK-XS-I-035</t>
  </si>
  <si>
    <t>annuity income</t>
  </si>
  <si>
    <t>Typed by the person</t>
  </si>
  <si>
    <t>annuityMonthly · ri_annuity · annuity</t>
  </si>
  <si>
    <t>1. MK-NW-F-035 blendedVolatility
2. MK-CF-F-072 currentRetirementIncomeMonthly
3. MK-CF-F-076 guaranteedOutsideStreams
4. MK-CF-F-075 retirementIncomeMonthly
5. MK-PL-F-049 retirementSpendMonthly</t>
  </si>
  <si>
    <t>MK-XS-I-036</t>
  </si>
  <si>
    <t>other guaranteed income</t>
  </si>
  <si>
    <t>otherGuaranteed · guaranteed_streams · guaranteedOutside</t>
  </si>
  <si>
    <t>1. MK-XS-F-031 buildSnapshot
2. MK-CF-F-072 currentRetirementIncomeMonthly
3. MK-CF-F-076 guaranteedOutsideStreams
4. MK-PL-F-046 leverDeltas
5. MK-PL-F-055 projectNestEgg
6. MK-CF-F-075 retirementIncomeMonthly
7. MK-PL-F-049 retirementSpendMonthly
8. MK-PL-F-050 simulate
9. MK-PL-F-051 ssStreamOf
10. MK-PL-F-067 willItLastInputs
11. MK-PL-F-052 withSsStream</t>
  </si>
  <si>
    <t>MK-CF-M-006 · MK-CF-M-007 · MK-CF-M-008 · MK-CF-M-011 · MK-CF-M-013 · MK-CF-M-014 · MK-CF-M-015 · MK-CF-M-018 · MK-CF-M-019 · MK-CF-M-022 · MK-CF-M-023 · MK-CF-M-024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MK-MN-M-024 · MK-MN-M-025 · MK-MN-M-027 · MK-MN-M-028 · MK-NW-M-002 · MK-NW-M-004 · MK-NW-M-005 · MK-NW-M-007 · MK-NW-M-009 · MK-NW-M-011 · MK-NW-M-015 · MK-NW-M-016 · MK-NW-M-017 · MK-PL-M-008 · MK-PL-M-009 · MK-PL-M-011 · MK-PL-M-018 · MK-PL-M-026 · MK-PL-M-029 · MK-PL-M-032 · MK-PL-M-033 · MK-PL-M-034 · MK-XS-M-001 · MK-XS-M-002 · MK-XS-M-003 · MK-XS-M-005 · MK-XS-M-006</t>
  </si>
  <si>
    <t>MK-XS-I-037</t>
  </si>
  <si>
    <t>required-withdrawal income stream (ri_rmd)</t>
  </si>
  <si>
    <t>Worked out from balances, not typed</t>
  </si>
  <si>
    <t>ri_rmd</t>
  </si>
  <si>
    <t>MK-CF-F-075 retirementIncomeMonthly</t>
  </si>
  <si>
    <t>MK-CF-M-006 · MK-CF-M-007 · MK-CF-M-008 · MK-CF-M-011 · MK-CF-M-013 · MK-CF-M-014 · MK-CF-M-015 · MK-CF-M-018 · MK-CF-M-019 · MK-CF-M-022 · MK-CF-M-024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MK-MN-M-024 · MK-MN-M-025 · MK-MN-M-027 · MK-MN-M-028 · MK-NW-M-002 · MK-NW-M-004 · MK-NW-M-005 · MK-NW-M-007 · MK-NW-M-009 · MK-NW-M-011 · MK-NW-M-016 · MK-NW-M-017 · MK-PL-M-008 · MK-PL-M-011 · MK-PL-M-018 · MK-PL-M-029 · MK-PL-M-032 · MK-PL-M-034 · MK-XS-M-001 · MK-XS-M-002 · MK-XS-M-003 · MK-XS-M-005 · MK-XS-M-006</t>
  </si>
  <si>
    <t>MK-XS-I-038</t>
  </si>
  <si>
    <t>withdrawal income stream (ri_withdrawals)</t>
  </si>
  <si>
    <t>Worked out from the plan, not typed</t>
  </si>
  <si>
    <t>ri_withdrawals</t>
  </si>
  <si>
    <t>MK-XS-I-039</t>
  </si>
  <si>
    <t>how often each income arrives</t>
  </si>
  <si>
    <t>frequency · payment_frequency · cadence · salaryFreq · seFreq · otherFreq · _freqb · RI_CAD_DIV</t>
  </si>
  <si>
    <t>1. MK-CF-F-044 annualNet
2. MK-CF-F-059 annualizedEnteredSalary
3. MK-XS-F-004 buildDatedGrid
4. MK-CF-F-020 cashflowYear
5. MK-CF-F-186 convertTakeHomeMode
6. MK-CF-F-072 currentRetirementIncomeMonthly
7. MK-CF-F-046 employerMatchAnnual
8. MK-CF-F-180 enteredLandsAnnual
9. MK-CF-F-130 enteredMonthlyRaw
10. MK-CF-F-179 entryFromWage
11. MK-CF-F-071 extraIncome
12. MK-CF-F-076 guaranteedOutsideStreams
13. MK-CF-F-105 guaranteedRows
14. MK-CF-F-079 incomeFromOnboarding
… and 6 more — the full list is on functions_from_code</t>
  </si>
  <si>
    <t>MK-CF-M-006 · MK-CF-M-007 · MK-CF-M-008 · MK-CF-M-011 · MK-CF-M-013 · MK-CF-M-014 · MK-CF-M-015 · MK-CF-M-018 · MK-CF-M-019 · MK-CF-M-022 · MK-CF-M-023 · MK-CF-M-024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MK-MN-M-024 · MK-MN-M-025 · MK-MN-M-027 · MK-MN-M-028 · MK-NW-M-002 · MK-NW-M-004 · MK-NW-M-005 · MK-NW-M-007 · MK-NW-M-009 · MK-NW-M-011 · MK-NW-M-016 · MK-NW-M-017 · MK-PL-M-008 · MK-PL-M-011 · MK-PL-M-018 · MK-PL-M-029 · MK-PL-M-032 · MK-PL-M-034 · MK-XS-M-001 · MK-XS-M-002 · MK-XS-M-003 · MK-XS-M-005 · MK-XS-M-006</t>
  </si>
  <si>
    <t>MK-XS-I-040</t>
  </si>
  <si>
    <t>whether a stream is already being received</t>
  </si>
  <si>
    <t>alreadyReceiving · income_sources · incomeSources</t>
  </si>
  <si>
    <t>1. MK-CF-F-072 currentRetirementIncomeMonthly
2. MK-CF-F-105 guaranteedRows
3. MK-CF-F-019 upcomingBills</t>
  </si>
  <si>
    <t>MK-XS-I-041</t>
  </si>
  <si>
    <t>the payment the person chose to make on a debt</t>
  </si>
  <si>
    <t>Typed by the person, and it can exceed the minimum</t>
  </si>
  <si>
    <t>monthly_payment</t>
  </si>
  <si>
    <t>MK-CF-F-023 requiredPayment</t>
  </si>
  <si>
    <t>MK-CF-M-019 · MK-CF-M-022 · MK-CF-M-047 · MK-CF-M-048 · MK-CF-M-049 · MK-CF-M-050 · MK-CF-M-051 · MK-CF-M-052 · MK-CF-M-053 · MK-CF-M-054 · MK-MN-M-016 · MK-MN-M-022 · MK-NW-M-001 · MK-NW-M-002 · MK-NW-M-003 · MK-NW-M-004 · MK-NW-M-005 · MK-NW-M-007 · MK-NW-M-009 · MK-NW-M-011 · MK-NW-M-012 · MK-NW-M-017 · MK-XS-M-001 · MK-XS-M-003</t>
  </si>
  <si>
    <t>MK-XS-I-042</t>
  </si>
  <si>
    <t>how a stream is paid — monthly, yearly or one lump</t>
  </si>
  <si>
    <t>payment_type · paymentShape</t>
  </si>
  <si>
    <t>1. MK-XS-F-004 buildDatedGrid
2. MK-CF-F-150 debtPaymentsCountedAsExpenses
3. MK-CF-F-021 defaultPaymentType
4. MK-CF-F-152 isRadarItem
5. MK-CF-F-159 isRecurringDebt
6. MK-CF-F-025 minimumDebtService
7. MK-CF-F-022 paymentShape
8. MK-CF-F-034 payoffPlan
9. MK-CF-F-149 recurringDebtPayments
10. MK-CF-F-023 requiredPayment</t>
  </si>
  <si>
    <t>MK-CF-M-019 · MK-CF-M-022 · MK-CF-M-047 · MK-CF-M-048 · MK-CF-M-049 · MK-CF-M-050 · MK-CF-M-051 · MK-CF-M-052 · MK-CF-M-053 · MK-CF-M-054 · MK-MN-M-016 · MK-MN-M-022 · MK-NW-M-001 · MK-NW-M-002 · MK-NW-M-003 · MK-NW-M-004 · MK-NW-M-005 · MK-NW-M-007 · MK-NW-M-009 · MK-NW-M-011 · MK-NW-M-012 · MK-NW-M-017 · MK-PL-M-031 · MK-XS-M-001 · MK-XS-M-003</t>
  </si>
  <si>
    <t>MK-XS-I-043</t>
  </si>
  <si>
    <t>their own retirement contribution</t>
  </si>
  <si>
    <t>c_401k · c_roth · c_invest · c_property · annual_contribution</t>
  </si>
  <si>
    <t>1. MK-XS-F-031 buildSnapshot
2. MK-XS-F-030 effectiveAnnualContribution
3. MK-CF-F-179 entryFromWage
4. MK-CF-F-188 householdPreTaxContributionsAnnual
5. MK-PL-F-043 howTheGapCloses
6. MK-CF-F-092 incomeMonthlyGrid
7. MK-NW-F-041 monthlyContributionsFromOnboarding
8. MK-PL-F-044 planTarget
9. MK-PL-F-055 projectNestEgg
10. MK-CF-F-181 rateInForce
11. MK-PL-F-041 requiredAnnualSaving
12. MK-PL-F-035 retireAgeWithContribution
13. MK-PL-F-049 retirementSpendMonthly
14. MK-PL-F-042 savingToReachTarget
… and 9 more — the full list is on functions_from_code</t>
  </si>
  <si>
    <t>MK-CF-M-006 · MK-CF-M-007 · MK-CF-M-008 · MK-CF-M-013 · MK-CF-M-014 · MK-CF-M-015 · MK-CF-M-018 · MK-CF-M-019 · MK-CF-M-022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MK-MN-M-014 · MK-MN-M-024 · MK-MN-M-025 · MK-MN-M-027 · MK-MN-M-028 · MK-NW-M-015 · MK-PL-M-008 · MK-PL-M-009 · MK-PL-M-011 · MK-PL-M-026 · MK-PL-M-029 · MK-PL-M-033 · MK-PL-M-034 · MK-XS-M-002 · MK-XS-M-005 · MK-XS-M-006</t>
  </si>
  <si>
    <t>MK-XS-I-044</t>
  </si>
  <si>
    <t>the person’s own plan overrides</t>
  </si>
  <si>
    <t>Set by the person on the Plan screen</t>
  </si>
  <si>
    <t>assumptions · planOverrides</t>
  </si>
  <si>
    <t>1. MK-PL-F-053 buildRetirementState
2. MK-XS-F-174 recomputeBalances
3. MK-PL-F-049 retirementSpendMonthly
4. MK-PL-F-068 selectWillItLast
5. MK-XS-F-175 uid
6. MK-PL-F-065 volOf
7. MK-PL-F-067 willItLastInputs</t>
  </si>
  <si>
    <t>MK-MN-M-016 · MK-MN-M-022 · MK-NW-M-002 · MK-NW-M-004 · MK-NW-M-005 · MK-NW-M-007 · MK-NW-M-009 · MK-NW-M-011 · MK-NW-M-016 · MK-NW-M-017 · MK-PL-M-008 · MK-PL-M-009 · MK-PL-M-011 · MK-PL-M-029 · MK-PL-M-034 · MK-XS-M-001 · MK-XS-M-002 · MK-XS-M-003</t>
  </si>
  <si>
    <t>MK-XS-I-045</t>
  </si>
  <si>
    <t>where they will live in retirement</t>
  </si>
  <si>
    <t>retLocation</t>
  </si>
  <si>
    <t>1. MK-XS-F-026 profileFromOnboarding
2. MK-PL-F-049 retirementSpendMonthly</t>
  </si>
  <si>
    <t>MK-XS-I-046</t>
  </si>
  <si>
    <t>how the employer match is expressed — percent or dollars</t>
  </si>
  <si>
    <t>employerMatchMode · employerMatchValue</t>
  </si>
  <si>
    <t>MK-CF-F-178 wageMatchMonthly</t>
  </si>
  <si>
    <t>MK-MN-M-014 · MK-PL-M-008 · MK-PL-M-011 · MK-PL-M-029 · MK-PL-M-034 · MK-XS-M-002</t>
  </si>
  <si>
    <t>MK-XS-I-047</t>
  </si>
  <si>
    <t>money to leave behind</t>
  </si>
  <si>
    <t>bequest</t>
  </si>
  <si>
    <t>1. MK-PL-F-048 capitalNeeded
2. MK-PL-F-067 willItLastInputs</t>
  </si>
  <si>
    <t>MK-PL-M-008 · MK-PL-M-011 · MK-PL-M-029 · MK-PL-M-034 · MK-XS-M-002</t>
  </si>
  <si>
    <t>MK-XS-I-048</t>
  </si>
  <si>
    <t>the person’s own asset-class answer</t>
  </si>
  <si>
    <t>Typed by the person, and it outranks the institution</t>
  </si>
  <si>
    <t>asset_class · class_source · stated</t>
  </si>
  <si>
    <t>1. MK-NW-F-027 accountClassBreakdown
2. MK-ST-F-027 accountId
3. MK-NW-F-011 assetClassOf
4. MK-ST-F-028 buildDayFromAccounts
5. MK-NW-F-052 buildItemizedAccounts
6. MK-NW-F-028 classPortionLabel
7. MK-XS-F-014 classifyHolding
8. MK-XS-F-102 ingestSync
9. MK-ST-F-018 readMoney
10. MK-ST-F-073 rebuildDays
11. MK-NW-F-054 reclassifyAccounts
12. MK-ST-F-022 reconcileAccountTotal
13. MK-NW-F-074 theEmergencyFund
14. MK-NW-O-006 theHolding
… and 4 more — the full list is on functions_from_code</t>
  </si>
  <si>
    <t>MK-CF-M-022 · MK-MN-M-016 · MK-MN-M-022 · MK-MN-M-023 · MK-NW-M-002 · MK-NW-M-004 · MK-NW-M-005 · MK-NW-M-007 · MK-NW-M-008 · MK-NW-M-009 · MK-NW-M-011 · MK-NW-M-014 · MK-NW-M-016 · MK-NW-M-017 · MK-NW-M-019 · MK-NW-M-020 · MK-NW-M-021 · MK-NW-M-023 · MK-NW-M-024 · MK-NW-M-025 · MK-NW-M-026 · MK-NW-M-027 · MK-NW-M-029 · MK-NW-M-030 · MK-NW-M-031 · MK-NW-M-033 · MK-NW-M-034 · MK-NW-M-035 · MK-NW-M-036 · MK-NW-M-037 · MK-NW-M-038 · MK-NW-M-039 · MK-NW-M-040 · MK-NW-M-041 · MK-NW-M-042 · MK-NW-M-043 · MK-NW-M-044 · MK-NW-M-045 · MK-PF-M-001 · MK-PF-M-004 · MK-PL-M-001 · MK-PL-M-002 · MK-PL-M-008 · MK-PL-M-009 · MK-PL-M-011 · MK-PL-M-029 · MK-PL-M-034 · MK-XS-M-001 · MK-XS-M-002 · MK-XS-M-003</t>
  </si>
  <si>
    <t>MK-XS-I-049</t>
  </si>
  <si>
    <t>bond price — what the bond is worth today</t>
  </si>
  <si>
    <t>b.value · bond.value · BondInfo</t>
  </si>
  <si>
    <t>1. MK-NW-F-070 accruedInterestCaveat
2. MK-PF-F-017 allocation
3. MK-NW-F-057 annualCoupon
4. MK-NW-F-060 approxYTM
5. MK-NW-F-056 bondInfo
6. MK-NW-F-064 bondRateSensitivity
7. MK-NW-F-061 bondSummary
8. MK-NW-F-059 currentYield
9. MK-NW-F-069 priceAtYield
10. MK-NW-F-072 rowOf</t>
  </si>
  <si>
    <t>MK-XS-I-050</t>
  </si>
  <si>
    <t>the share of an account earmarked for retirement</t>
  </si>
  <si>
    <t>typed by the person, per account</t>
  </si>
  <si>
    <t>retirement_pct</t>
  </si>
  <si>
    <t>MK-NW-F-032 earmarkedAmount</t>
  </si>
  <si>
    <t>MK-CF-M-022 · MK-NW-M-029 · MK-NW-M-030 · MK-NW-M-031 · MK-NW-M-033 · MK-NW-M-034 · MK-NW-M-035 · MK-NW-M-036 · MK-NW-M-037 · MK-PL-M-001 · MK-PL-M-002 · MK-PL-M-008 · MK-PL-M-009 · MK-PL-M-011 · MK-PL-M-029 · MK-PL-M-034 · MK-XS-M-002</t>
  </si>
  <si>
    <t>MK-XS-I-051</t>
  </si>
  <si>
    <t>what an account actually returned over the last twelve months</t>
  </si>
  <si>
    <t>actual_ttm</t>
  </si>
  <si>
    <t>MK-NW-F-004 portfolioActualReturn</t>
  </si>
  <si>
    <t>MK-XS-I-052</t>
  </si>
  <si>
    <t>the day of the month a debt payment is due</t>
  </si>
  <si>
    <t>due_day</t>
  </si>
  <si>
    <t>MK-XS-F-004 buildDatedGrid</t>
  </si>
  <si>
    <t>MK-XS-I-053</t>
  </si>
  <si>
    <t>the month a debt is first paid</t>
  </si>
  <si>
    <t>typed by the person</t>
  </si>
  <si>
    <t>first_payment_date</t>
  </si>
  <si>
    <t>1. MK-XS-F-004 buildDatedGrid
2. MK-CF-F-034 payoffPlan</t>
  </si>
  <si>
    <t>MK-CF-M-022 · MK-PL-M-031</t>
  </si>
  <si>
    <t>MK-XS-I-054</t>
  </si>
  <si>
    <t>the date a debt is due to be paid off in full</t>
  </si>
  <si>
    <t>payoff_date</t>
  </si>
  <si>
    <t>MK-XS-I-055</t>
  </si>
  <si>
    <t>the wrapper an account sits in — ISA, 401(k), IRA and the rest</t>
  </si>
  <si>
    <t>typed at setup, or from the connection</t>
  </si>
  <si>
    <t>wrapper_confirmed · kind</t>
  </si>
  <si>
    <t>1. MK-NW-F-005 accountAllowsTicker
2. MK-NW-F-025 accountDisplayName
3. MK-CF-F-005 actualMonthFlow
4. MK-CF-F-138 addLot
5. MK-PF-F-017 allocation
6. MK-NW-F-002 alternativesSummary
7. MK-NW-F-011 assetClassOf
8. MK-NW-F-040 assetsFromOnboarding
9. MK-NW-F-036 benchmarkInfo
10. MK-NW-F-034 benchmarkReturn
11. MK-PF-F-013 benchmarkTicker
12. MK-NW-F-037 blendedReturn
13. MK-NW-F-035 blendedVolatility
14. MK-XS-F-004 buildDatedGrid
… and 39 more — the full list is on functions_from_code</t>
  </si>
  <si>
    <t>MK-CF-M-006 · MK-CF-M-007 · MK-CF-M-008 · MK-CF-M-011 · MK-CF-M-013 · MK-CF-M-014 · MK-CF-M-015 · MK-CF-M-018 · MK-CF-M-019 · MK-CF-M-022 · MK-CF-M-023 · MK-CF-M-024 · MK-CF-M-027 · MK-CF-M-029 · MK-CF-M-030 · MK-CF-M-031 · MK-CF-M-032 · MK-CF-M-033 · MK-CF-M-034 · MK-CF-M-035 · MK-CF-M-036 · MK-CF-M-037 · MK-CF-M-038 · MK-CF-M-039 · MK-CF-M-040 · MK-CF-M-041 · MK-CF-M-042 · MK-CF-M-043 · MK-CF-M-044 · MK-CF-M-045 · MK-CF-M-046 · MK-CF-M-047 · MK-CF-M-048 · MK-CF-M-049 · MK-CF-M-050 · MK-CF-M-051 · MK-CF-M-052 · MK-CF-M-053 · MK-CF-M-054 · MK-MN-M-007 · MK-MN-M-011 · MK-MN-M-012 · MK-MN-M-013 · MK-MN-M-016 · MK-MN-M-022 · MK-MN-M-023 · MK-MN-M-024 · MK-MN-M-025 · MK-MN-M-027 · MK-MN-M-028 · MK-NW-M-002 · MK-NW-M-004 · MK-NW-M-005 · MK-NW-M-007 · MK-NW-M-008 · MK-NW-M-009 · MK-NW-M-011 · MK-NW-M-014 · MK-NW-M-016 · MK-NW-M-017 · MK-NW-M-019 · MK-NW-M-020 · MK-NW-M-021 · MK-NW-M-023 · MK-NW-M-024 · MK-NW-M-025 · MK-NW-M-026 · MK-NW-M-027 · MK-NW-M-029 · MK-NW-M-030 · MK-NW-M-031 · MK-NW-M-032 · MK-NW-M-033 · MK-NW-M-034 · MK-NW-M-035 · MK-NW-M-036 · MK-NW-M-037 · MK-NW-M-038 · MK-NW-M-039 · MK-NW-M-040 · MK-NW-M-041 · MK-NW-M-042 · MK-NW-M-043 · MK-NW-M-044 · MK-NW-M-045 · MK-PF-M-006 · MK-PF-M-007 · MK-PF-M-008 · MK-PL-M-001 · MK-PL-M-002 · MK-PL-M-008 · MK-PL-M-009 · MK-PL-M-011 · MK-PL-M-018 · MK-PL-M-029 · MK-PL-M-032 · MK-PL-M-034 · MK-XS-M-001 · MK-XS-M-002 · MK-XS-M-003 · MK-XS-M-004 · MK-XS-M-005 · MK-XS-M-006</t>
  </si>
  <si>
    <t>MK-XS-I-056</t>
  </si>
  <si>
    <t>how a holding was classified, and by whom</t>
  </si>
  <si>
    <t>the function, the institution, or the person</t>
  </si>
  <si>
    <t>class_source · class_flag</t>
  </si>
  <si>
    <t>1. MK-XS-F-102 ingestSync
2. MK-XS-F-175 uid</t>
  </si>
  <si>
    <t>MK-XS-I-057</t>
  </si>
  <si>
    <t>the date an account history begins</t>
  </si>
  <si>
    <t>history_from</t>
  </si>
  <si>
    <t>1. MK-NW-F-046 historyCoverage
2. MK-XS-F-102 ingestSync</t>
  </si>
  <si>
    <t>MK-XS-I-058</t>
  </si>
  <si>
    <t>a break between our figure and the institution's</t>
  </si>
  <si>
    <t>worked out when a download is read</t>
  </si>
  <si>
    <t>recon_break</t>
  </si>
  <si>
    <t>MK-XS-F-102 ingestSync</t>
  </si>
  <si>
    <t>MK-XS-I-059</t>
  </si>
  <si>
    <t>the month a bonus lands</t>
  </si>
  <si>
    <t>bonusMonth</t>
  </si>
  <si>
    <t>1. MK-XS-F-004 buildDatedGrid
2. MK-CF-F-020 cashflowYear
3. MK-CF-F-079 incomeFromOnboarding
4. MK-CF-F-092 incomeMonthlyGrid
5. MK-CF-F-088 taxableByCalendarMonth</t>
  </si>
  <si>
    <t>MK-CF-M-006 · MK-CF-M-007 · MK-CF-M-008 · MK-CF-M-013 · MK-CF-M-014 · MK-CF-M-015 · MK-CF-M-018 · MK-CF-M-019 · MK-CF-M-022 · MK-CF-M-027 · MK-CF-M-037 · MK-CF-M-038 · MK-CF-M-039 · MK-CF-M-040 · MK-CF-M-041 · MK-CF-M-042 · MK-CF-M-043 · MK-CF-M-044 · MK-CF-M-047 · MK-CF-M-048 · MK-CF-M-049 · MK-CF-M-050 · MK-CF-M-051 · MK-CF-M-052 · MK-CF-M-053 · MK-CF-M-054 · MK-MN-M-007 · MK-MN-M-011 · MK-MN-M-012 · MK-MN-M-013 · MK-MN-M-024 · MK-MN-M-025 · MK-XS-M-005 · MK-XS-M-006</t>
  </si>
  <si>
    <t>MK-XS-I-060</t>
  </si>
  <si>
    <t>how a person is paid — weekly, fortnightly, monthly</t>
  </si>
  <si>
    <t>salaryMode · SALARY_PERIODS</t>
  </si>
  <si>
    <t>1. MK-CF-F-059 annualizedEnteredSalary
2. MK-CF-F-186 convertTakeHomeMode
3. MK-CF-F-130 enteredMonthlyRaw
4. MK-CF-F-185 needsTakeHomeConversion</t>
  </si>
  <si>
    <t>MK-XS-I-061</t>
  </si>
  <si>
    <t>pre-tax balance on 31 December last year</t>
  </si>
  <si>
    <t>typed by the person on the Required-withdrawals screen</t>
  </si>
  <si>
    <t>rmdPriorYearEndPreTax · priorYearEndPreTax</t>
  </si>
  <si>
    <t>1. MK-PL-F-027 nextDecision
2. MK-PL-F-080 rmdRequiredThisYear</t>
  </si>
  <si>
    <t>TESTED, NOT VERIFIED (G8) · reach generated from the code each build</t>
  </si>
  <si>
    <t>MK-XS-I-062</t>
  </si>
  <si>
    <t>enrolled in Medicare (yes / no)</t>
  </si>
  <si>
    <t>typed by the person on the Contribution-room screen (HSA card, shown at 65+)</t>
  </si>
  <si>
    <t>medicareEnrolled</t>
  </si>
  <si>
    <t>MK-CF-F-055 annualHsaLimit</t>
  </si>
  <si>
    <t>TESTED, NOT VERIFIED (G10) · reach generated from the code each build</t>
  </si>
  <si>
    <t>MK-XS-I-063</t>
  </si>
  <si>
    <t>option contract multiplier — 100 unless the broker or the person states otherwise</t>
  </si>
  <si>
    <t>set by the broker on a connected holding, or typed by the person</t>
  </si>
  <si>
    <t>multiplier · OPTION_CONTRACT_MULTIPLIER · contractMultiplier</t>
  </si>
  <si>
    <t>1. MK-PF-F-031 contractMultiplier
2. MK-PF-F-002 costBasis
3. MK-XS-F-106 mapOptionHolding
4. MK-PF-F-004 marketValue</t>
  </si>
  <si>
    <t>MK-MN-M-016 · MK-MN-M-022 · MK-MN-M-023 · MK-NW-M-002 · MK-NW-M-004 · MK-NW-M-005 · MK-NW-M-007 · MK-NW-M-009 · MK-NW-M-011 · MK-NW-M-016 · MK-NW-M-017 · MK-NW-M-032 · MK-PF-M-006 · MK-PF-M-007 · MK-PF-M-008 · MK-XS-M-001 · MK-XS-M-003 · MK-XS-M-004</t>
  </si>
  <si>
    <t>MK-XS-I-064</t>
  </si>
  <si>
    <t>the unit beside a quantity — shares, coins, contracts, ounces or units</t>
  </si>
  <si>
    <t>typed by the person on the holding; otherwise the unit the kind implies</t>
  </si>
  <si>
    <t>unit · quantityUnit · quantityWithUnit</t>
  </si>
  <si>
    <t>1. MK-XS-F-004 buildDatedGrid
2. MK-CF-F-003 categoryMonthly
3. MK-CF-F-157 debtPaymentsByDebt
4. MK-CF-F-171 earnerPay
5. MK-XS-F-015 importHoldings
6. MK-NW-F-073 itemising
7. MK-CF-F-009 monthlyEssentials
8. MK-CF-F-007 nonMonthlyBasis
9. MK-PF-F-032 quantityUnit
10. MK-PF-F-033 quantityWithUnit
11. MK-CF-F-008 spendByMonth
12. MK-NW-O-005 theAlternativesOutlook
13. MK-NW-O-001 theBonds
14. MK-NW-F-074 theEmergencyFund
… and 5 more — the full list is on functions_from_code</t>
  </si>
  <si>
    <t>MK-CF-M-006 · MK-CF-M-007 · MK-CF-M-008 · MK-CF-M-013 · MK-CF-M-014 · MK-CF-M-015 · MK-CF-M-019 · MK-CF-M-022 · MK-CF-M-027 · MK-CF-M-030 · MK-CF-M-031 · MK-CF-M-032 · MK-CF-M-033 · MK-CF-M-034 · MK-CF-M-035 · MK-CF-M-036 · MK-CF-M-037 · MK-CF-M-038 · MK-CF-M-039 · MK-CF-M-040 · MK-CF-M-041 · MK-CF-M-042 · MK-CF-M-043 · MK-CF-M-044 · MK-CF-M-045 · MK-CF-M-046 · MK-CF-M-047 · MK-CF-M-048 · MK-CF-M-049 · MK-CF-M-050 · MK-CF-M-051 · MK-CF-M-052 · MK-CF-M-053 · MK-CF-M-054 · MK-MN-M-007 · MK-MN-M-010 · MK-MN-M-011 · MK-MN-M-012 · MK-MN-M-013 · MK-MN-M-016 · MK-MN-M-022 · MK-MN-M-023 · MK-MN-M-024 · MK-MN-M-025 · MK-NW-M-002 · MK-NW-M-004 · MK-NW-M-005 · MK-NW-M-007 · MK-NW-M-009 · MK-NW-M-011 · MK-NW-M-017 · MK-NW-M-023 · MK-NW-M-024 · MK-NW-M-025 · MK-NW-M-026 · MK-NW-M-027 · MK-NW-M-029 · MK-NW-M-030 · MK-NW-M-031 · MK-NW-M-033 · MK-NW-M-034 · MK-NW-M-035 · MK-NW-M-036 · MK-NW-M-037 · MK-NW-M-041 · MK-NW-M-042 · MK-NW-M-043 · MK-NW-M-044 · MK-NW-M-045 · MK-XS-M-001 · MK-XS-M-003 · MK-XS-M-005</t>
  </si>
  <si>
    <t>TESTED, NOT VERIFIED (Q09) · reach generated from the code each build</t>
  </si>
  <si>
    <t>MK-XS-I-065</t>
  </si>
  <si>
    <t>accrued interest on a bond — interest earned since the last coupon</t>
  </si>
  <si>
    <t>typed by the person on the Bonds screen (optional)</t>
  </si>
  <si>
    <t>accrued_interest · accruedInterest · accruedInterestCaveat</t>
  </si>
  <si>
    <t>1. MK-NW-F-070 accruedInterestCaveat
2. MK-NW-F-056 bondInfo
3. MK-NW-F-059 currentYield
4. MK-NW-F-072 rowOf</t>
  </si>
  <si>
    <t>MK-NW-M-023 · MK-NW-M-024 · MK-NW-M-025 · MK-NW-M-026 · MK-NW-M-027 · MK-NW-M-041 · MK-NW-M-042 · MK-NW-M-043 · MK-NW-M-044 · MK-NW-M-045</t>
  </si>
  <si>
    <t>TESTED, NOT VERIFIED (A47) · reach generated from the code each build</t>
  </si>
  <si>
    <t>Where it is stored</t>
  </si>
  <si>
    <t>Field name in the database</t>
  </si>
  <si>
    <t>What it holds</t>
  </si>
  <si>
    <t>Metric or input it serves</t>
  </si>
  <si>
    <t>How often it is written</t>
  </si>
  <si>
    <t>Grain — one row per what</t>
  </si>
  <si>
    <t>Encrypted?</t>
  </si>
  <si>
    <t>users/{uid}</t>
  </si>
  <si>
    <t>appStateEnc</t>
  </si>
  <si>
    <t>THE WHOLE app state, encrypted on the device before it leaves it. Everything below lives inside this one field.</t>
  </si>
  <si>
    <t>every metric in this file, through the inputs tab</t>
  </si>
  <si>
    <t>2 seconds after any change in the app, the whole payload rewritten</t>
  </si>
  <si>
    <t>ONE document per person — or per household when two people share</t>
  </si>
  <si>
    <t>Yes — the server cannot read it</t>
  </si>
  <si>
    <t>keyEnvelope</t>
  </si>
  <si>
    <t>The encryption key, wrapped by the password and by the recovery code.</t>
  </si>
  <si>
    <t>when the password or recovery code is set or changed</t>
  </si>
  <si>
    <t>one per person</t>
  </si>
  <si>
    <t>the key itself is wrapped, never stored bare</t>
  </si>
  <si>
    <t>appState</t>
  </si>
  <si>
    <t>The old plaintext copy from before encryption. Deleted on the first save by an updated app.</t>
  </si>
  <si>
    <t>never written now; removed on first save</t>
  </si>
  <si>
    <t>No — which is why it is being removed</t>
  </si>
  <si>
    <t>householdId</t>
  </si>
  <si>
    <t>Whose document this person reads and writes — their own, or the spouse who invited them.</t>
  </si>
  <si>
    <t>when an invite is redeemed</t>
  </si>
  <si>
    <t>No</t>
  </si>
  <si>
    <t>households/{owner}/members/{member}</t>
  </si>
  <si>
    <t>code, householdId</t>
  </si>
  <si>
    <t>The record that a spouse joined a household, bound to a real invite.</t>
  </si>
  <si>
    <t>once, when the invite is redeemed</t>
  </si>
  <si>
    <t>one per member</t>
  </si>
  <si>
    <t>invites/{code}</t>
  </si>
  <si>
    <t>An invite code and the household it points at.</t>
  </si>
  <si>
    <t>when an invite is created</t>
  </si>
  <si>
    <t>one per invite</t>
  </si>
  <si>
    <t>feedback/{doc}</t>
  </si>
  <si>
    <t>the message</t>
  </si>
  <si>
    <t>Feedback sent from inside the app.</t>
  </si>
  <si>
    <t>when feedback is sent</t>
  </si>
  <si>
    <t>one per message</t>
  </si>
  <si>
    <t>snaptrade_users/{uid}</t>
  </si>
  <si>
    <t>the connection record</t>
  </si>
  <si>
    <t>The link to the brokerage connection service.</t>
  </si>
  <si>
    <t>when an account is connected</t>
  </si>
  <si>
    <t>inside appStateEnc</t>
  </si>
  <si>
    <t>assetAccounts</t>
  </si>
  <si>
    <t>Every account: its name, institution, balance, class and where the figure came from.</t>
  </si>
  <si>
    <t>account balance · account type · institution</t>
  </si>
  <si>
    <t>with every save</t>
  </si>
  <si>
    <t>one entry per account</t>
  </si>
  <si>
    <t>inside the encrypted blob</t>
  </si>
  <si>
    <t>liabilities</t>
  </si>
  <si>
    <t>Every debt: balance, rate, minimum payment, due day.</t>
  </si>
  <si>
    <t>debt balance · debt interest rate · debt minimum payment</t>
  </si>
  <si>
    <t>one entry per debt</t>
  </si>
  <si>
    <t>investments</t>
  </si>
  <si>
    <t>Holdings: ticker, quantity, price paid, lots.</t>
  </si>
  <si>
    <t>holding quantity · purchase price and date</t>
  </si>
  <si>
    <t>one entry per holding</t>
  </si>
  <si>
    <t>expenses</t>
  </si>
  <si>
    <t>Logged expenses: date, amount, category, store.</t>
  </si>
  <si>
    <t>one entry per expense</t>
  </si>
  <si>
    <t>incomes · recurringIncomes</t>
  </si>
  <si>
    <t>Money received and the sources that repeat.</t>
  </si>
  <si>
    <t>one entry per payment or source</t>
  </si>
  <si>
    <t>recurringExpenses</t>
  </si>
  <si>
    <t>Bills that repeat, and the day they fall.</t>
  </si>
  <si>
    <t>logged expenses · the bill calendar</t>
  </si>
  <si>
    <t>one entry per bill</t>
  </si>
  <si>
    <t>monthlySnapshots</t>
  </si>
  <si>
    <t>Net worth as it stood at each month end.</t>
  </si>
  <si>
    <t>the trend line · beginning values</t>
  </si>
  <si>
    <t>once a month, on the first open of a new month</t>
  </si>
  <si>
    <t>one entry per month</t>
  </si>
  <si>
    <t>nwDaily</t>
  </si>
  <si>
    <t>Net worth captured when the app is opened.</t>
  </si>
  <si>
    <t>the trend line · change in net worth</t>
  </si>
  <si>
    <t>once a day, on the first open</t>
  </si>
  <si>
    <t>one entry per day</t>
  </si>
  <si>
    <t>onboardingProfile</t>
  </si>
  <si>
    <t>What the person told us at setup: birth year, retirement age, expenses, Social Security, pension, filing status.</t>
  </si>
  <si>
    <t>birth year · retirement age · monthly expenses · Social Security · pension · filing status</t>
  </si>
  <si>
    <t>retirementAssumptions</t>
  </si>
  <si>
    <t>The plan's settings: return, claim age, contributions, draw.</t>
  </si>
  <si>
    <t>assumed return · Social Security claim age</t>
  </si>
  <si>
    <t>retirementScenarios</t>
  </si>
  <si>
    <t>Saved what-ifs.</t>
  </si>
  <si>
    <t>the saved scenarios count</t>
  </si>
  <si>
    <t>when a scenario is saved</t>
  </si>
  <si>
    <t>one entry per scenario</t>
  </si>
  <si>
    <t>bigCosts</t>
  </si>
  <si>
    <t>One-off costs ahead, with the year each falls.</t>
  </si>
  <si>
    <t>big costs</t>
  </si>
  <si>
    <t>one entry per cost</t>
  </si>
  <si>
    <t>goals · selectedGoals</t>
  </si>
  <si>
    <t>Goals: target, saved so far, date.</t>
  </si>
  <si>
    <t>goals</t>
  </si>
  <si>
    <t>one entry per goal</t>
  </si>
  <si>
    <t>budgetCategories · monthlyBudgetTarget · allocatedByMonth</t>
  </si>
  <si>
    <t>The plan for expenses, by category and by month.</t>
  </si>
  <si>
    <t>typical monthly essentials · planned expenses</t>
  </si>
  <si>
    <t>one entry per category or month</t>
  </si>
  <si>
    <t>benchmarkReturns</t>
  </si>
  <si>
    <t>The index returns the comparison uses.</t>
  </si>
  <si>
    <t>benchmark return</t>
  </si>
  <si>
    <t>when they are fetched</t>
  </si>
  <si>
    <t>one entry per index and period</t>
  </si>
  <si>
    <t>snaptradeConnections</t>
  </si>
  <si>
    <t>Which brokerages are connected.</t>
  </si>
  <si>
    <t>when a connection changes</t>
  </si>
  <si>
    <t>one entry per connection</t>
  </si>
  <si>
    <t>estatePlan · badges · xp · streak · lastCheckIn</t>
  </si>
  <si>
    <t>Estate notes and the encouragement counters.</t>
  </si>
  <si>
    <t>NOT SAVED — DEVICE ONLY</t>
  </si>
  <si>
    <t>snapshotDays</t>
  </si>
  <si>
    <t>THE DAILY RECORD: for each day, every account and every holding — units, price and value kept apart. This is what a beginning value is READ from instead of being back-solved.</t>
  </si>
  <si>
    <t>beginning value · change in account value · the performance walk</t>
  </si>
  <si>
    <t>one entry per day, per account, per holding</t>
  </si>
  <si>
    <t>not sent at all</t>
  </si>
  <si>
    <t>invDaily</t>
  </si>
  <si>
    <t>Cash + investments captured daily — the baseline the Net worth return line is measured from.</t>
  </si>
  <si>
    <t>transactions</t>
  </si>
  <si>
    <t>The append-only ledger read from institution downloads: every buy, sell, contribution, withdrawal, dividend and interest line. Read by 32 places in the app.</t>
  </si>
  <si>
    <t>contributions · withdrawals · income · realised gain · the change walk</t>
  </si>
  <si>
    <t>when a file is imported or a connection syncs</t>
  </si>
  <si>
    <t>one entry per transaction</t>
  </si>
  <si>
    <t>NOT SAVED</t>
  </si>
  <si>
    <t>prices</t>
  </si>
  <si>
    <t>Prices are fetched fresh and held only on the device.</t>
  </si>
  <si>
    <t>holding price · price fetched at</t>
  </si>
  <si>
    <t>never written to the cloud</t>
  </si>
  <si>
    <t>economic figures (the 10-year yield)</t>
  </si>
  <si>
    <t>The 10-year Treasury yield is fetched from a feed each time and deliberately left out of the sync. Inflation is NO LONGER fetched for any calculation (founder ruling brief Q-50 (2026-08-20), executed 2026-09-08): it is the dated 30-year average, 2.5% a year, adjustable by the person.</t>
  </si>
  <si>
    <t>the 10-year yield</t>
  </si>
  <si>
    <t>Screen name</t>
  </si>
  <si>
    <t>Parent screen</t>
  </si>
  <si>
    <t>Core or not — my recommendation</t>
  </si>
  <si>
    <t>JJ — Decision (Y/N)</t>
  </si>
  <si>
    <t>Cashflow · Home · Networth · Performance · Plan</t>
  </si>
  <si>
    <t>Yes — where a wrong balance is chased</t>
  </si>
  <si>
    <t>Cashflow · Home</t>
  </si>
  <si>
    <t>Yes</t>
  </si>
  <si>
    <t>Yes — Net worth</t>
  </si>
  <si>
    <t>Yes — the way in</t>
  </si>
  <si>
    <t>Yes — the costs that break a plan</t>
  </si>
  <si>
    <t>Yes — this age group holds them</t>
  </si>
  <si>
    <t>/cashflow</t>
  </si>
  <si>
    <t>Yes — Cash flow</t>
  </si>
  <si>
    <t>Yes — still relevant while working</t>
  </si>
  <si>
    <t>No — a working-age worry</t>
  </si>
  <si>
    <t>No — college costs belong to the younger group</t>
  </si>
  <si>
    <t>Yes — squarely a 55-70 concern</t>
  </si>
  <si>
    <t>Yes — where a wrong gain is chased</t>
  </si>
  <si>
    <t>/home</t>
  </si>
  <si>
    <t>Yes — the first screen</t>
  </si>
  <si>
    <t>Yes — the way real data gets in</t>
  </si>
  <si>
    <t>Yes — what needs you today</t>
  </si>
  <si>
    <t>Borderline — matters at 55, less at 70</t>
  </si>
  <si>
    <t>Yes — Performance</t>
  </si>
  <si>
    <t>Yes — splitting one lump into holdings</t>
  </si>
  <si>
    <t>Borderline — interesting, not needed to trust a number</t>
  </si>
  <si>
    <t>Cashflow · Home · Plan</t>
  </si>
  <si>
    <t>Yes — the things with no market price</t>
  </si>
  <si>
    <t>Yes — a second route to Performance</t>
  </si>
  <si>
    <t>/plan</t>
  </si>
  <si>
    <t>Yes — Plan</t>
  </si>
  <si>
    <t>Yes — a 73+ obligation</t>
  </si>
  <si>
    <t>Yes — the cockpit</t>
  </si>
  <si>
    <t>No — encouragement, not a number</t>
  </si>
  <si>
    <t>Yes — a 55-70 decision</t>
  </si>
  <si>
    <t>Yes — carries hide-balances and the lock</t>
  </si>
  <si>
    <t>Borderline — a way in, not a figure</t>
  </si>
  <si>
    <t>Borderline</t>
  </si>
  <si>
    <t>Yes — the question the whole plan answers</t>
  </si>
  <si>
    <t>Input</t>
  </si>
  <si>
    <t>Figures whose own input list names it (the screen tabs, column J)</t>
  </si>
  <si>
    <t>Figures it actually reaches through the functions that read it (the inputs tab, swept from the code)</t>
  </si>
  <si>
    <t>Verdict</t>
  </si>
  <si>
    <t>MK-CF-M-022 · MK-NW-M-008 · MK-NW-M-015 · MK-NW-M-016 · MK-PL-M-016 · MK-PL-M-026 · MK-PL-M-033</t>
  </si>
  <si>
    <t>PARTLY AGREES — declared but not reached: MK-NW-M-015, MK-PL-M-016, MK-PL-M-026, MK-PL-M-033  |  reached but not declared: MK-MN-M-016, MK-MN-M-022, MK-MN-M-027, MK-MN-M-028, MK-NW-M-002, MK-NW-M-004, MK-NW-M-005, MK-NW-M-007, MK-NW-M-009, MK-NW-M-011, MK-NW-M-014, MK-NW-M-017, MK-NW-M-019, MK-NW-M-020, MK-NW-M-021, MK-NW-M-023, MK-NW-M-024, MK-NW-M-025, MK-NW-M-026, MK-NW-M-027, MK-NW-M-029, MK-NW-M-030, MK-NW-M-031, MK-NW-M-033, MK-NW-M-034, MK-NW-M-035, MK-NW-M-036, MK-NW-M-037, MK-NW-M-038, MK-NW-M-039, MK-NW-M-040, MK-NW-M-041, MK-NW-M-042, MK-NW-M-043, MK-NW-M-044, MK-NW-M-045, MK-PF-M-001, MK-PF-M-004, MK-PL-M-001, MK-PL-M-002, MK-PL-M-008, MK-PL-M-009, MK-PL-M-011, MK-PL-M-029, MK-PL-M-034, MK-XS-M-001, MK-XS-M-002, MK-XS-M-003</t>
  </si>
  <si>
    <t>REACHED BUT NOT DECLARED — functions reading this input serve these figures, but no figure lists it among its inputs.</t>
  </si>
  <si>
    <t>MK-NW-M-008 · MK-PF-M-006 · MK-PF-M-007</t>
  </si>
  <si>
    <t>PARTLY AGREES — reached but not declared: MK-CF-M-006, MK-CF-M-007, MK-CF-M-008, MK-CF-M-013, MK-CF-M-014, MK-CF-M-015, MK-CF-M-018, MK-CF-M-019, MK-CF-M-022,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MK-MN-M-016, MK-MN-M-022, MK-MN-M-023, MK-MN-M-024, MK-MN-M-025, MK-MN-M-027, MK-MN-M-028, MK-NW-M-002, MK-NW-M-004, MK-NW-M-005, MK-NW-M-007, MK-NW-M-009, MK-NW-M-011, MK-NW-M-014, MK-NW-M-016, MK-NW-M-017, MK-NW-M-019, MK-NW-M-020, MK-NW-M-021, MK-NW-M-023, MK-NW-M-024, MK-NW-M-025, MK-NW-M-026, MK-NW-M-027, MK-NW-M-029, MK-NW-M-030, MK-NW-M-031, MK-NW-M-032, MK-NW-M-033, MK-NW-M-034, MK-NW-M-035, MK-NW-M-036, MK-NW-M-037, MK-NW-M-038, MK-NW-M-039, MK-NW-M-040, MK-NW-M-041, MK-NW-M-042, MK-NW-M-043, MK-NW-M-044, MK-NW-M-045, MK-PF-M-001, MK-PF-M-004, MK-PF-M-008, MK-PL-M-001, MK-PL-M-002, MK-PL-M-008, MK-PL-M-009, MK-PL-M-011, MK-PL-M-029, MK-PL-M-034, MK-XS-M-001, MK-XS-M-002, MK-XS-M-003, MK-XS-M-004, MK-XS-M-005, MK-XS-M-006</t>
  </si>
  <si>
    <t>MK-PF-M-006 · MK-PF-M-007</t>
  </si>
  <si>
    <t>PARTLY AGREES — reached but not declared: MK-CF-M-022, MK-MN-M-016, MK-MN-M-022, MK-MN-M-023, MK-NW-M-002, MK-NW-M-004, MK-NW-M-005, MK-NW-M-007, MK-NW-M-008, MK-NW-M-009, MK-NW-M-011, MK-NW-M-014, MK-NW-M-016, MK-NW-M-017, MK-NW-M-019, MK-NW-M-020, MK-NW-M-021, MK-NW-M-023, MK-NW-M-024, MK-NW-M-025, MK-NW-M-026, MK-NW-M-027, MK-NW-M-029, MK-NW-M-030, MK-NW-M-031, MK-NW-M-033, MK-NW-M-034, MK-NW-M-035, MK-NW-M-036, MK-NW-M-037, MK-NW-M-038, MK-NW-M-039, MK-NW-M-040, MK-NW-M-041, MK-NW-M-042, MK-NW-M-043, MK-NW-M-044, MK-NW-M-045, MK-PF-M-001, MK-PF-M-004, MK-PL-M-001, MK-PL-M-002, MK-PL-M-008, MK-PL-M-009, MK-PL-M-011, MK-PL-M-029, MK-PL-M-034, MK-XS-M-001, MK-XS-M-002, MK-XS-M-003</t>
  </si>
  <si>
    <t>PARTLY AGREES — reached but not declared: MK-MN-M-016, MK-MN-M-022, MK-NW-M-002, MK-NW-M-004, MK-NW-M-005, MK-NW-M-007, MK-NW-M-009, MK-NW-M-011, MK-NW-M-016, MK-NW-M-017, MK-XS-M-001, MK-XS-M-003</t>
  </si>
  <si>
    <t>MK-CF-M-011 · MK-CF-M-024 · MK-PL-M-017 · MK-PL-M-018 · MK-PL-M-019 · MK-PL-M-032</t>
  </si>
  <si>
    <t>PARTLY AGREES — declared but not reached: MK-CF-M-011, MK-CF-M-024, MK-PL-M-017, MK-PL-M-018, MK-PL-M-019, MK-PL-M-032  |  reached but not declared: MK-MN-M-016, MK-MN-M-022, MK-NW-M-002, MK-NW-M-004, MK-NW-M-005, MK-NW-M-007, MK-NW-M-009, MK-NW-M-011, MK-NW-M-016, MK-NW-M-017, MK-XS-M-001, MK-XS-M-003</t>
  </si>
  <si>
    <t>PARTLY AGREES — reached but not declared: MK-CF-M-022, MK-MN-M-016, MK-MN-M-022, MK-NW-M-002, MK-NW-M-004, MK-NW-M-005, MK-NW-M-007, MK-NW-M-009, MK-NW-M-011, MK-NW-M-017, MK-PL-M-031, MK-XS-M-001, MK-XS-M-003</t>
  </si>
  <si>
    <t>PARTLY AGREES — reached but not declared: MK-CF-M-022, MK-CF-M-047, MK-CF-M-048, MK-CF-M-049, MK-CF-M-050, MK-CF-M-051, MK-CF-M-052, MK-CF-M-053, MK-CF-M-054, MK-MN-M-016, MK-MN-M-022, MK-NW-M-001, MK-NW-M-002, MK-NW-M-003, MK-NW-M-004, MK-NW-M-005, MK-NW-M-007, MK-NW-M-009, MK-NW-M-011, MK-NW-M-012, MK-NW-M-016, MK-NW-M-017, MK-PL-M-031, MK-XS-M-001, MK-XS-M-003</t>
  </si>
  <si>
    <t>MK-PL-M-001 · MK-PL-M-002 · MK-PL-M-008 · MK-PL-M-011 · MK-PL-M-017 · MK-PL-M-019 · MK-PL-M-029</t>
  </si>
  <si>
    <t>PARTLY AGREES — reached but not declared: MK-CF-M-006, MK-CF-M-007, MK-CF-M-008, MK-CF-M-013, MK-CF-M-014, MK-CF-M-015, MK-CF-M-018, MK-CF-M-019, MK-CF-M-022,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MK-MN-M-016, MK-MN-M-022, MK-MN-M-024, MK-MN-M-025, MK-MN-M-027, MK-MN-M-028, MK-NW-M-002, MK-NW-M-004, MK-NW-M-005, MK-NW-M-007, MK-NW-M-009, MK-NW-M-011, MK-NW-M-015, MK-NW-M-016, MK-NW-M-017, MK-PL-M-026, MK-PL-M-033, MK-PL-M-034, MK-XS-M-001, MK-XS-M-002, MK-XS-M-003, MK-XS-M-005, MK-XS-M-006</t>
  </si>
  <si>
    <t>PARTLY AGREES — declared but not reached: MK-PL-M-017, MK-PL-M-019  |  reached but not declared: MK-CF-M-022, MK-MN-M-016, MK-MN-M-022, MK-NW-M-002, MK-NW-M-004, MK-NW-M-005, MK-NW-M-007, MK-NW-M-009, MK-NW-M-011, MK-NW-M-015, MK-NW-M-016, MK-NW-M-017, MK-PL-M-008, MK-PL-M-009, MK-PL-M-011, MK-PL-M-026, MK-PL-M-029, MK-PL-M-033, MK-PL-M-034, MK-XS-M-001, MK-XS-M-002, MK-XS-M-003</t>
  </si>
  <si>
    <t>MK-CF-M-023 · MK-PL-M-017 · MK-PL-M-019</t>
  </si>
  <si>
    <t>PARTLY AGREES — reached but not declared: MK-CF-M-006, MK-CF-M-007, MK-CF-M-008, MK-CF-M-011, MK-CF-M-013, MK-CF-M-014, MK-CF-M-015, MK-CF-M-018, MK-CF-M-019, MK-CF-M-022, MK-CF-M-024,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MK-MN-M-016, MK-MN-M-022, MK-MN-M-024, MK-MN-M-025, MK-MN-M-027, MK-MN-M-028, MK-NW-M-002, MK-NW-M-004, MK-NW-M-005, MK-NW-M-007, MK-NW-M-009, MK-NW-M-011, MK-NW-M-016, MK-NW-M-017, MK-PL-M-008, MK-PL-M-011, MK-PL-M-018, MK-PL-M-029, MK-PL-M-032, MK-PL-M-034, MK-XS-M-001, MK-XS-M-002, MK-XS-M-003, MK-XS-M-005, MK-XS-M-006</t>
  </si>
  <si>
    <t>MK-CF-M-030 · MK-PL-M-017 · MK-PL-M-019</t>
  </si>
  <si>
    <t>PARTLY AGREES — declared but not reached: MK-CF-M-030  |  reached but not declared: MK-MN-M-016, MK-MN-M-022, MK-NW-M-002, MK-NW-M-004, MK-NW-M-005, MK-NW-M-007, MK-NW-M-009, MK-NW-M-011, MK-NW-M-016, MK-NW-M-017, MK-PL-M-008, MK-PL-M-011, MK-PL-M-029, MK-PL-M-034, MK-XS-M-001, MK-XS-M-002, MK-XS-M-003</t>
  </si>
  <si>
    <t>PARTLY AGREES — reached but not declared: MK-CF-M-006, MK-CF-M-007, MK-CF-M-008, MK-CF-M-011, MK-CF-M-013, MK-CF-M-014, MK-CF-M-015, MK-CF-M-018, MK-CF-M-019, MK-CF-M-022, MK-CF-M-024,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MK-MN-M-016, MK-MN-M-022, MK-MN-M-024, MK-MN-M-025, MK-MN-M-027, MK-MN-M-028, MK-NW-M-002, MK-NW-M-004, MK-NW-M-005, MK-NW-M-007, MK-NW-M-009, MK-NW-M-011, MK-NW-M-016, MK-NW-M-017, MK-PL-M-008, MK-PL-M-009, MK-PL-M-011, MK-PL-M-018, MK-PL-M-029, MK-PL-M-032, MK-PL-M-034, MK-XS-M-001, MK-XS-M-002, MK-XS-M-003, MK-XS-M-005, MK-XS-M-006</t>
  </si>
  <si>
    <t>MK-CF-M-010 · MK-MN-M-027 · MK-MN-M-028</t>
  </si>
  <si>
    <t>PARTLY AGREES — declared but not reached: MK-CF-M-010  |  reached but not declared: MK-CF-M-006, MK-CF-M-007, MK-CF-M-008, MK-CF-M-013, MK-CF-M-014, MK-CF-M-015, MK-CF-M-018, MK-CF-M-019, MK-CF-M-022,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MK-MN-M-014, MK-MN-M-024, MK-MN-M-025, MK-PL-M-008, MK-PL-M-011, MK-PL-M-029, MK-PL-M-034, MK-XS-M-002, MK-XS-M-005, MK-XS-M-006</t>
  </si>
  <si>
    <t>MK-CF-M-015 · MK-CF-M-032 · MK-CF-M-033 · MK-CF-M-043 · MK-CF-M-044 · MK-MN-M-007 · MK-PL-M-001 · MK-PL-M-002 · MK-PL-M-008 · MK-PL-M-009 · MK-PL-M-011 · MK-PL-M-029</t>
  </si>
  <si>
    <t>PARTLY AGREES — declared but not reached: MK-PL-M-001, MK-PL-M-002, MK-PL-M-009  |  reached but not declared: MK-CF-M-006, MK-CF-M-007, MK-CF-M-008, MK-CF-M-010, MK-CF-M-013, MK-CF-M-014, MK-CF-M-018, MK-CF-M-019, MK-CF-M-022, MK-CF-M-027, MK-CF-M-029, MK-CF-M-030, MK-CF-M-031, MK-CF-M-034, MK-CF-M-035, MK-CF-M-036, MK-CF-M-037, MK-CF-M-038, MK-CF-M-039, MK-CF-M-040, MK-CF-M-041, MK-CF-M-042, MK-CF-M-045, MK-CF-M-046, MK-CF-M-047, MK-CF-M-048, MK-CF-M-049, MK-CF-M-050, MK-CF-M-051, MK-CF-M-052, MK-CF-M-053, MK-CF-M-054, MK-MN-M-011, MK-MN-M-012, MK-MN-M-013, MK-MN-M-016, MK-MN-M-020, MK-MN-M-021, MK-MN-M-022, MK-MN-M-023, MK-MN-M-024, MK-MN-M-025, MK-MN-M-026, MK-MN-M-027, MK-MN-M-028, MK-NW-M-001, MK-NW-M-002, MK-NW-M-003, MK-NW-M-004, MK-NW-M-005, MK-NW-M-007, MK-NW-M-009, MK-NW-M-011, MK-NW-M-013, MK-NW-M-014, MK-NW-M-016, MK-NW-M-017, MK-NW-M-019, MK-NW-M-020, MK-NW-M-021, MK-NW-M-038, MK-NW-M-039, MK-NW-M-040, MK-PL-M-034, MK-XS-M-001, MK-XS-M-002, MK-XS-M-003, MK-XS-M-005, MK-XS-M-006</t>
  </si>
  <si>
    <t>PARTLY AGREES — declared but not reached: MK-CF-M-033  |  reached but not declared: MK-MN-M-024, MK-MN-M-025</t>
  </si>
  <si>
    <t>MK-CF-M-015 · MK-MN-M-007 · MK-MN-M-027 · MK-MN-M-028</t>
  </si>
  <si>
    <t>PARTLY AGREES — reached but not declared: MK-CF-M-006, MK-CF-M-007, MK-CF-M-008, MK-CF-M-013, MK-CF-M-014, MK-CF-M-018, MK-CF-M-019, MK-CF-M-022, MK-CF-M-027, MK-CF-M-029, MK-CF-M-030, MK-CF-M-031, MK-CF-M-032, MK-CF-M-033, MK-CF-M-034, MK-CF-M-035, MK-CF-M-036, MK-CF-M-037, MK-CF-M-038, MK-CF-M-039, MK-CF-M-040, MK-CF-M-041, MK-CF-M-042, MK-CF-M-043, MK-CF-M-044, MK-CF-M-045, MK-CF-M-046, MK-CF-M-047, MK-CF-M-048, MK-CF-M-049, MK-CF-M-050, MK-CF-M-051, MK-CF-M-052, MK-CF-M-053, MK-CF-M-054, MK-MN-M-011, MK-MN-M-012, MK-MN-M-013, MK-MN-M-016, MK-MN-M-022, MK-MN-M-024, MK-MN-M-025, MK-NW-M-002, MK-NW-M-004, MK-NW-M-005, MK-NW-M-007, MK-NW-M-009, MK-NW-M-011, MK-NW-M-016, MK-NW-M-017, MK-PL-M-008, MK-PL-M-011, MK-PL-M-029, MK-PL-M-034, MK-XS-M-001, MK-XS-M-002, MK-XS-M-003, MK-XS-M-005, MK-XS-M-006</t>
  </si>
  <si>
    <t>MK-NW-M-001 · MK-NW-M-003</t>
  </si>
  <si>
    <t>PARTLY AGREES — reached but not declared: MK-CF-M-006, MK-CF-M-007, MK-CF-M-008, MK-CF-M-013, MK-CF-M-014, MK-CF-M-015, MK-CF-M-018, MK-CF-M-019, MK-CF-M-022,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MK-MN-M-016, MK-MN-M-022, MK-MN-M-024, MK-MN-M-025, MK-MN-M-027, MK-MN-M-028, MK-NW-M-002, MK-NW-M-004, MK-NW-M-005, MK-NW-M-007, MK-NW-M-009, MK-NW-M-011, MK-NW-M-016, MK-NW-M-017, MK-PF-M-001, MK-PF-M-004, MK-PL-M-008, MK-PL-M-011, MK-PL-M-029, MK-PL-M-034, MK-XS-M-001, MK-XS-M-002, MK-XS-M-003, MK-XS-M-005, MK-XS-M-006</t>
  </si>
  <si>
    <t>MK-CF-M-013 · MK-CF-M-014 · MK-CF-M-015 · MK-CF-M-019 · MK-MN-M-007</t>
  </si>
  <si>
    <t>PARTLY AGREES — reached but not declared: MK-CF-M-022, MK-CF-M-047, MK-CF-M-048, MK-CF-M-049, MK-CF-M-050, MK-CF-M-051, MK-CF-M-052, MK-CF-M-053, MK-CF-M-054, MK-MN-M-010, MK-MN-M-024, MK-MN-M-025, MK-XS-M-005</t>
  </si>
  <si>
    <t>DECLARED BUT NOT REACHED — figures name this input, but no function that reads it serves any of them. Unproved in one direction.</t>
  </si>
  <si>
    <t>PARTLY AGREES — reached but not declared: MK-CF-M-006, MK-CF-M-007, MK-CF-M-008, MK-CF-M-013, MK-CF-M-014, MK-CF-M-015, MK-CF-M-018, MK-CF-M-019, MK-CF-M-022,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MK-MN-M-016, MK-MN-M-022, MK-MN-M-024, MK-MN-M-025, MK-MN-M-027, MK-MN-M-028, MK-NW-M-002, MK-NW-M-004, MK-NW-M-005, MK-NW-M-007, MK-NW-M-009, MK-NW-M-011, MK-NW-M-014, MK-NW-M-017, MK-NW-M-019, MK-NW-M-020, MK-NW-M-021, MK-NW-M-038, MK-NW-M-039, MK-NW-M-040, MK-PL-M-008, MK-PL-M-011, MK-PL-M-029, MK-PL-M-034, MK-XS-M-001, MK-XS-M-002, MK-XS-M-003, MK-XS-M-005, MK-XS-M-006</t>
  </si>
  <si>
    <t>PARTLY AGREES — reached but not declared: MK-CF-M-006, MK-CF-M-007, MK-CF-M-008, MK-CF-M-011, MK-CF-M-013, MK-CF-M-014, MK-CF-M-015, MK-CF-M-018, MK-CF-M-019, MK-CF-M-022, MK-CF-M-024,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MK-MN-M-016, MK-MN-M-022, MK-MN-M-024, MK-MN-M-025, MK-MN-M-027, MK-MN-M-028, MK-NW-M-002, MK-NW-M-004, MK-NW-M-005, MK-NW-M-007, MK-NW-M-009, MK-NW-M-011, MK-NW-M-015, MK-NW-M-016, MK-NW-M-017, MK-PL-M-008, MK-PL-M-009, MK-PL-M-011, MK-PL-M-018, MK-PL-M-026, MK-PL-M-029, MK-PL-M-032, MK-PL-M-033, MK-PL-M-034, MK-XS-M-001, MK-XS-M-002, MK-XS-M-003, MK-XS-M-005, MK-XS-M-006</t>
  </si>
  <si>
    <t>PARTLY AGREES — declared but not reached: MK-CF-M-023  |  reached but not declared: MK-CF-M-006, MK-CF-M-007, MK-CF-M-008, MK-CF-M-011, MK-CF-M-013, MK-CF-M-014, MK-CF-M-015, MK-CF-M-018, MK-CF-M-019, MK-CF-M-022, MK-CF-M-024,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MK-MN-M-016, MK-MN-M-022, MK-MN-M-024, MK-MN-M-025, MK-MN-M-027, MK-MN-M-028, MK-NW-M-002, MK-NW-M-004, MK-NW-M-005, MK-NW-M-007, MK-NW-M-009, MK-NW-M-011, MK-NW-M-016, MK-NW-M-017, MK-PL-M-008, MK-PL-M-011, MK-PL-M-018, MK-PL-M-029, MK-PL-M-032, MK-PL-M-034, MK-XS-M-001, MK-XS-M-002, MK-XS-M-003, MK-XS-M-005, MK-XS-M-006</t>
  </si>
  <si>
    <t>MK-CF-M-011 · MK-CF-M-024 · MK-PL-M-018 · MK-PL-M-032</t>
  </si>
  <si>
    <t>PARTLY AGREES — reached but not declared: MK-CF-M-006, MK-CF-M-007, MK-CF-M-008, MK-CF-M-013, MK-CF-M-014, MK-CF-M-015, MK-CF-M-018, MK-CF-M-019, MK-CF-M-022,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MK-MN-M-016, MK-MN-M-022, MK-MN-M-024, MK-MN-M-025, MK-MN-M-027, MK-MN-M-028, MK-NW-M-002, MK-NW-M-004, MK-NW-M-005, MK-NW-M-007, MK-NW-M-009, MK-NW-M-011, MK-NW-M-016, MK-NW-M-017, MK-PL-M-008, MK-PL-M-011, MK-PL-M-029, MK-PL-M-034, MK-XS-M-001, MK-XS-M-002, MK-XS-M-003, MK-XS-M-005, MK-XS-M-006</t>
  </si>
  <si>
    <t>PARTLY AGREES — reached but not declared: MK-CF-M-022, MK-CF-M-047, MK-CF-M-048, MK-CF-M-049, MK-CF-M-050, MK-CF-M-051, MK-CF-M-052, MK-CF-M-053, MK-CF-M-054, MK-MN-M-016, MK-MN-M-022, MK-NW-M-001, MK-NW-M-002, MK-NW-M-003, MK-NW-M-004, MK-NW-M-005, MK-NW-M-007, MK-NW-M-009, MK-NW-M-011, MK-NW-M-012, MK-NW-M-017, MK-XS-M-001, MK-XS-M-003</t>
  </si>
  <si>
    <t>PARTLY AGREES — reached but not declared: MK-CF-M-022, MK-CF-M-047, MK-CF-M-048, MK-CF-M-049, MK-CF-M-050, MK-CF-M-051, MK-CF-M-052, MK-CF-M-053, MK-CF-M-054, MK-MN-M-016, MK-MN-M-022, MK-NW-M-001, MK-NW-M-002, MK-NW-M-003, MK-NW-M-004, MK-NW-M-005, MK-NW-M-007, MK-NW-M-009, MK-NW-M-011, MK-NW-M-012, MK-NW-M-017, MK-PL-M-031, MK-XS-M-001, MK-XS-M-003</t>
  </si>
  <si>
    <t>PARTLY AGREES — reached but not declared: MK-CF-M-006, MK-CF-M-007, MK-CF-M-008, MK-CF-M-013, MK-CF-M-014, MK-CF-M-015, MK-CF-M-018, MK-CF-M-019, MK-CF-M-022, MK-CF-M-027, MK-CF-M-029, MK-CF-M-030, MK-CF-M-031, MK-CF-M-032, MK-CF-M-033, MK-CF-M-034, MK-CF-M-035, MK-CF-M-036, MK-CF-M-037, MK-CF-M-038, MK-CF-M-039, MK-CF-M-040, MK-CF-M-041, MK-CF-M-042, MK-CF-M-043, MK-CF-M-044, MK-CF-M-045, MK-CF-M-046, MK-CF-M-047, MK-CF-M-048, MK-CF-M-049, MK-CF-M-050, MK-CF-M-051, MK-CF-M-052, MK-CF-M-053, MK-CF-M-054, MK-MN-M-007, MK-MN-M-011, MK-MN-M-012, MK-MN-M-013, MK-MN-M-024, MK-MN-M-025, MK-MN-M-027, MK-MN-M-028, MK-NW-M-015, MK-PL-M-008, MK-PL-M-009, MK-PL-M-011, MK-PL-M-026, MK-PL-M-029, MK-PL-M-033, MK-PL-M-034, MK-XS-M-002, MK-XS-M-005, MK-XS-M-006</t>
  </si>
  <si>
    <t>PARTLY AGREES — reached but not declared: MK-MN-M-016, MK-MN-M-022, MK-NW-M-002, MK-NW-M-004, MK-NW-M-005, MK-NW-M-007, MK-NW-M-009, MK-NW-M-011, MK-NW-M-016, MK-NW-M-017, MK-PL-M-009, MK-PL-M-034, MK-XS-M-001, MK-XS-M-002, MK-XS-M-003</t>
  </si>
  <si>
    <t>PARTLY AGREES — reached but not declared: MK-PL-M-008, MK-PL-M-011, MK-PL-M-029, MK-PL-M-034, MK-XS-M-002</t>
  </si>
  <si>
    <t>PARTLY AGREES — reached but not declared: MK-PL-M-034, MK-XS-M-002</t>
  </si>
  <si>
    <t>NOT REACHED AND NOT DECLARED — no figure names this input and no function that reads it serves a figure. Either it is not needed, or it is read by code the sweep cannot see.</t>
  </si>
  <si>
    <t>GAPS — inputs an function names that are on NO row of the inputs tab.</t>
  </si>
  <si>
    <t>Each one is either a missing input, or the same input under another name.</t>
  </si>
  <si>
    <t>Engine ID</t>
  </si>
  <si>
    <t>Engine name</t>
  </si>
  <si>
    <t>Where it is implemented (S12)</t>
  </si>
  <si>
    <t>What it answers</t>
  </si>
  <si>
    <t>Metric identifiers that reach it</t>
  </si>
  <si>
    <t>How it is reached</t>
  </si>
  <si>
    <t>MK-CF-E-001</t>
  </si>
  <si>
    <t>NOT IN OLD MASTER — the by-month grid, src/domain/cashflow</t>
  </si>
  <si>
    <t>NOT DETERMINED — no source line on record</t>
  </si>
  <si>
    <t>MK-CF-M-001 · MK-CF-M-002</t>
  </si>
  <si>
    <t>Named by 2 figure(s)</t>
  </si>
  <si>
    <t>MK-CF-E-002</t>
  </si>
  <si>
    <t>NOT IN OLD MASTER — effectiveRate, src/domain/income</t>
  </si>
  <si>
    <t>Named by 1 figure(s)</t>
  </si>
  <si>
    <t>MK-CF-E-003</t>
  </si>
  <si>
    <t>NOT IN OLD MASTER — the equity schedule, src/domain/income</t>
  </si>
  <si>
    <t>MK-CF-E-004</t>
  </si>
  <si>
    <t>NOT IN OLD MASTER — the received list, src/domain/income</t>
  </si>
  <si>
    <t>MK-CF-E-005</t>
  </si>
  <si>
    <t>SPENDING_BY_KIND</t>
  </si>
  <si>
    <t>src/domain/budget/index.ts:72</t>
  </si>
  <si>
    <t>What is spent each month, split by kind?</t>
  </si>
  <si>
    <t>MK-CF-M-013 · MK-CF-M-014</t>
  </si>
  <si>
    <t>MK-CF-E-006</t>
  </si>
  <si>
    <t>PLANNED_SPENDING</t>
  </si>
  <si>
    <t>src/domain/budget/index.ts:45</t>
  </si>
  <si>
    <t>What does this person plan to spend each month?</t>
  </si>
  <si>
    <t>MK-CF-M-015 · MK-MN-M-007</t>
  </si>
  <si>
    <t>MK-CF-E-007</t>
  </si>
  <si>
    <t>NOT IN OLD MASTER — the big-bill radar, src/domain/cashflow</t>
  </si>
  <si>
    <t>MK-CF-E-008</t>
  </si>
  <si>
    <t>NOT IN OLD MASTER — the unusual-spend check, src/domain/budget</t>
  </si>
  <si>
    <t>MK-CF-E-009</t>
  </si>
  <si>
    <t>SPENDING_BY_KIND · DEBT_REQUIRED_PAYMENT</t>
  </si>
  <si>
    <t>MK-CF-E-010</t>
  </si>
  <si>
    <t>NOT IN OLD MASTER — plan commitments, src/domain/planning</t>
  </si>
  <si>
    <t>MK-CF-E-011</t>
  </si>
  <si>
    <t>the by-month grid</t>
  </si>
  <si>
    <t>MK-CF-E-012</t>
  </si>
  <si>
    <t>RETIREMENT_PAYCHECK</t>
  </si>
  <si>
    <t>MK-CF-E-013</t>
  </si>
  <si>
    <t>THE_BILL_CALENDAR</t>
  </si>
  <si>
    <t>MK-HM-E-001</t>
  </si>
  <si>
    <t>PRICE_FRESHNESS</t>
  </si>
  <si>
    <t>src/services/marketData.ts:60</t>
  </si>
  <si>
    <t>How old is the price we are showing?</t>
  </si>
  <si>
    <t>MK-HM-E-002</t>
  </si>
  <si>
    <t>NOT IN OLD MASTER — milestoneCrossed, src/domain/milestones.ts</t>
  </si>
  <si>
    <t>MK-HM-E-003</t>
  </si>
  <si>
    <t>NOT IN OLD MASTER — useInsights, src/domain/insights</t>
  </si>
  <si>
    <t>MK-HM-M-003 · MK-MN-M-015</t>
  </si>
  <si>
    <t>MK-MN-E-001</t>
  </si>
  <si>
    <t>BIG_COSTS</t>
  </si>
  <si>
    <t>MK-MN-M-001 · MK-MN-M-002</t>
  </si>
  <si>
    <t>MK-MN-E-002</t>
  </si>
  <si>
    <t>CONTRIBUTION_ROOM</t>
  </si>
  <si>
    <t>MK-MN-M-003 · MK-MN-M-004 · MK-MN-M-029</t>
  </si>
  <si>
    <t>Named by 3 figure(s)</t>
  </si>
  <si>
    <t>MK-MN-E-003</t>
  </si>
  <si>
    <t>CREDIT_USE</t>
  </si>
  <si>
    <t>MK-MN-E-004</t>
  </si>
  <si>
    <t>GOAL_CAPACITY</t>
  </si>
  <si>
    <t>MK-MN-E-005</t>
  </si>
  <si>
    <t>GOAL_PROGRESS</t>
  </si>
  <si>
    <t>MK-MN-E-006</t>
  </si>
  <si>
    <t>SINKING_FUNDS</t>
  </si>
  <si>
    <t>MK-MN-E-007</t>
  </si>
  <si>
    <t>EMPLOYER_MATCH</t>
  </si>
  <si>
    <t>src/domain/income/onboarding.ts:263</t>
  </si>
  <si>
    <t>How much does the employer add each month?</t>
  </si>
  <si>
    <t>MK-MN-E-008</t>
  </si>
  <si>
    <t>INSURANCE_NEED</t>
  </si>
  <si>
    <t>MK-MN-M-017 · MK-MN-M-018 · MK-MN-M-019</t>
  </si>
  <si>
    <t>MK-MN-E-009</t>
  </si>
  <si>
    <t>TAXABLE_INCOME</t>
  </si>
  <si>
    <t>src/domain/income/tax.ts:110</t>
  </si>
  <si>
    <t>What income is taxed, given how this person files?</t>
  </si>
  <si>
    <t>MK-MN-E-010</t>
  </si>
  <si>
    <t>NOT IN OLD MASTER — the outflow watch, src/domain/insights</t>
  </si>
  <si>
    <t>MK-NW-E-001</t>
  </si>
  <si>
    <t>TREND_SERIES</t>
  </si>
  <si>
    <t>src/domain/history.ts:43</t>
  </si>
  <si>
    <t>What points does the net-worth graph draw?</t>
  </si>
  <si>
    <t>MK-NW-E-002</t>
  </si>
  <si>
    <t>ACCOUNT_SPLIT</t>
  </si>
  <si>
    <t>src/domain/assets/index.ts:401</t>
  </si>
  <si>
    <t>This one brokerage account holds several different things — how much of it is each?</t>
  </si>
  <si>
    <t>MK-NW-E-003</t>
  </si>
  <si>
    <t>POT_AT_RETIREMENT</t>
  </si>
  <si>
    <t>src/domain/retirement/index.ts:324</t>
  </si>
  <si>
    <t>What will the pot be worth at retirement, and how big does it need to be?</t>
  </si>
  <si>
    <t>MK-CF-M-022 · MK-NW-M-015 · MK-PL-M-026 · MK-PL-M-033</t>
  </si>
  <si>
    <t>Named by 4 figure(s)</t>
  </si>
  <si>
    <t>MK-NW-E-004</t>
  </si>
  <si>
    <t>NET_WORTH</t>
  </si>
  <si>
    <t>src/domain/networth/index.ts:12</t>
  </si>
  <si>
    <t>What is this household worth?</t>
  </si>
  <si>
    <t>MK-PF-E-001</t>
  </si>
  <si>
    <t>PERFORMANCE_TABLE</t>
  </si>
  <si>
    <t>src/domain/performance/index.ts:191</t>
  </si>
  <si>
    <t>What is the full picture for every holding?</t>
  </si>
  <si>
    <t>MK-PF-E-002</t>
  </si>
  <si>
    <t>BENCHMARK_RETURN_BLENDED</t>
  </si>
  <si>
    <t>src/domain/performance/index.ts:293</t>
  </si>
  <si>
    <t>What would the matching benchmarks have done over the same period?</t>
  </si>
  <si>
    <t>MK-PF-E-003</t>
  </si>
  <si>
    <t>MODIFIED_DIETZ (Calculation Module code/engines/window-return.ts)</t>
  </si>
  <si>
    <t>MK-PL-E-001</t>
  </si>
  <si>
    <t>WHAT_THE_PLAN_STILL_NEEDS</t>
  </si>
  <si>
    <t>src/domain/planning/hub.ts:44</t>
  </si>
  <si>
    <t>Is there enough to show this person their own odds?</t>
  </si>
  <si>
    <t>MK-PL-M-001 · MK-PL-M-002</t>
  </si>
  <si>
    <t>MK-PL-E-002</t>
  </si>
  <si>
    <t>NOT IN OLD MASTER — retirementPaycheckYear, src/domain/paycheck</t>
  </si>
  <si>
    <t>MK-PL-M-003 · MK-PL-M-004 · MK-PL-M-005</t>
  </si>
  <si>
    <t>MK-PL-E-003</t>
  </si>
  <si>
    <t>NOT IN OLD MASTER — saved scenarios, src/domain/scenarios</t>
  </si>
  <si>
    <t>MK-PL-E-004</t>
  </si>
  <si>
    <t>GUARANTEED_STREAMS (engines: B1 rebuild)</t>
  </si>
  <si>
    <t>MK-PL-E-005</t>
  </si>
  <si>
    <t>RMD_START_AGE (Calculation Module code/engines/rmd.ts)</t>
  </si>
  <si>
    <t>MK-PL-E-006</t>
  </si>
  <si>
    <t>REQUIRED_WITHDRAWAL</t>
  </si>
  <si>
    <t>MK-PL-E-007</t>
  </si>
  <si>
    <t>HAND_VALUE_AGE</t>
  </si>
  <si>
    <t>src/domain/assets/index.ts:97</t>
  </si>
  <si>
    <t>How old is this hand-entered value?</t>
  </si>
  <si>
    <t>MK-PL-E-008</t>
  </si>
  <si>
    <t>RETIREMENT_INCOME_NOW</t>
  </si>
  <si>
    <t>src/domain/income/onboarding.ts:191</t>
  </si>
  <si>
    <t>How much retirement income is arriving TODAY?</t>
  </si>
  <si>
    <t>MK-PL-E-009</t>
  </si>
  <si>
    <t>SS_CLAIM_FACTOR · SS_BENEFIT_AT_AGE</t>
  </si>
  <si>
    <t>MK-PL-E-010</t>
  </si>
  <si>
    <t>SS_LIFETIME_TOTAL</t>
  </si>
  <si>
    <t>MK-PL-E-011</t>
  </si>
  <si>
    <t>the worked example used until a real statement goes in</t>
  </si>
  <si>
    <t>MK-PL-E-012</t>
  </si>
  <si>
    <t>the amount the person chose</t>
  </si>
  <si>
    <t>On the screen itself — no engine file</t>
  </si>
  <si>
    <t>MK-PL-M-022 · MK-PL-M-025 · MK-PL-M-030</t>
  </si>
  <si>
    <t>MK-PL-E-013</t>
  </si>
  <si>
    <t>TAX_ON_CONVERSION</t>
  </si>
  <si>
    <t>MK-PL-E-014</t>
  </si>
  <si>
    <t>PRE_TAX_BALANCE</t>
  </si>
  <si>
    <t>MK-PL-E-015</t>
  </si>
  <si>
    <t>the amounts the person chose</t>
  </si>
  <si>
    <t>MK-PL-E-016</t>
  </si>
  <si>
    <t>DEBT_PAYOFF</t>
  </si>
  <si>
    <t>MK-PL-E-017</t>
  </si>
  <si>
    <t>the age the person chose</t>
  </si>
  <si>
    <t>MK-PL-E-018</t>
  </si>
  <si>
    <t>EDUCATION_COST</t>
  </si>
  <si>
    <t>MK-PL-M-036 · MK-PL-M-037</t>
  </si>
  <si>
    <t>MK-XS-E-001</t>
  </si>
  <si>
    <t>NEST_EGG</t>
  </si>
  <si>
    <t>src/domain/assets/index.ts:548</t>
  </si>
  <si>
    <t>What is my retirement pot worth?</t>
  </si>
  <si>
    <t>Only as another engine’s dependency — no figure names it directly</t>
  </si>
  <si>
    <t>MK-XS-E-002</t>
  </si>
  <si>
    <t>ODDS_DISPLAY</t>
  </si>
  <si>
    <t>src/domain/retirement/willItLast.ts:55</t>
  </si>
  <si>
    <t>The retirement odds a person actually sees. Answers: 0, 5, 10 … 100 — the exact simulation</t>
  </si>
  <si>
    <t>MK-XS-E-003</t>
  </si>
  <si>
    <t>RETIREMENT_SPENDING</t>
  </si>
  <si>
    <t>src/domain/retirement/index.ts:49</t>
  </si>
  <si>
    <t>What will be spent each month in retirement?</t>
  </si>
  <si>
    <t>MK-XS-E-004</t>
  </si>
  <si>
    <t>WILL_IT_LAST</t>
  </si>
  <si>
    <t>src/domain/retirement/index.ts:156</t>
  </si>
  <si>
    <t>Will my money last?</t>
  </si>
  <si>
    <t>MK-XS-E-005</t>
  </si>
  <si>
    <t>WILL_IT_LAST_INPUTS</t>
  </si>
  <si>
    <t>src/domain/retirement/willItLast.ts:62</t>
  </si>
  <si>
    <t>What goes into working out the odds?</t>
  </si>
  <si>
    <t>MK-XS-E-006</t>
  </si>
  <si>
    <t>WILL_IT_LAST_RESULT</t>
  </si>
  <si>
    <t>src/domain/retirement/willItLast.ts:149</t>
  </si>
  <si>
    <t>What are the odds, and can we honestly show them?</t>
  </si>
  <si>
    <t>MK-PL-M-034 · MK-XS-M-002</t>
  </si>
  <si>
    <t>MK-XS-E-007</t>
  </si>
  <si>
    <t>VALUE_WEIGHTED_RETURN</t>
  </si>
  <si>
    <t>src/domain/performance/index.ts:283</t>
  </si>
  <si>
    <t>How did everything I hold do over the chosen period?</t>
  </si>
  <si>
    <t>MK-XS-E-008</t>
  </si>
  <si>
    <t>NOT IN OLD MASTER — budgetVsActual, src/domain/budget</t>
  </si>
  <si>
    <t>MK-CF-M-004 · MK-XS-M-005</t>
  </si>
  <si>
    <t>MK-XS-E-009</t>
  </si>
  <si>
    <t>NOT IN OLD MASTER — incomeMonthlyGrid, src/domain/income</t>
  </si>
  <si>
    <t>MK-CF-M-018 · MK-XS-M-006</t>
  </si>
  <si>
    <t>MK-XS-E-010</t>
  </si>
  <si>
    <t>FETCH_PRICES</t>
  </si>
  <si>
    <t>src/services/marketData.ts:71</t>
  </si>
  <si>
    <t>What are these holdings worth?</t>
  </si>
  <si>
    <t>MK-XS-E-011</t>
  </si>
  <si>
    <t>SNAPSHOT_READ_ALL</t>
  </si>
  <si>
    <t>src/domain/history.ts:107</t>
  </si>
  <si>
    <t>What history do we hold?</t>
  </si>
  <si>
    <t>MK-XS-E-012</t>
  </si>
  <si>
    <t>ASSET_CLASS_OF_ACCOUNT</t>
  </si>
  <si>
    <t>src/domain/assets/index.ts:221</t>
  </si>
  <si>
    <t>What kind of thing is this account — cash, a bond, shares, or something else?</t>
  </si>
  <si>
    <t>MK-XS-E-013</t>
  </si>
  <si>
    <t>CLASS_FROM_NAME_TEXT</t>
  </si>
  <si>
    <t>src/domain/assets/index.ts:193</t>
  </si>
  <si>
    <t>Reading the NAME alone, is this cash, a money-market fund, or a CD / T-bill?</t>
  </si>
  <si>
    <t>MK-XS-E-014</t>
  </si>
  <si>
    <t>BENCHMARK_FOR_KIND</t>
  </si>
  <si>
    <t>src/domain/performance/index.ts:167</t>
  </si>
  <si>
    <t>What should this holding be compared against?</t>
  </si>
  <si>
    <t>MK-XS-E-015</t>
  </si>
  <si>
    <t>HOLDING_COST_BASIS</t>
  </si>
  <si>
    <t>src/domain/performance/index.ts:40</t>
  </si>
  <si>
    <t>What did I pay for this in total?</t>
  </si>
  <si>
    <t>MK-XS-E-016</t>
  </si>
  <si>
    <t>HOLDING_FIRST_BOUGHT</t>
  </si>
  <si>
    <t>src/domain/performance/index.ts:146</t>
  </si>
  <si>
    <t>When did I first buy this?</t>
  </si>
  <si>
    <t>MK-XS-E-017</t>
  </si>
  <si>
    <t>HOLDING_MARKET_VALUE</t>
  </si>
  <si>
    <t>src/domain/performance/index.ts:47</t>
  </si>
  <si>
    <t>What is this holding worth right now?</t>
  </si>
  <si>
    <t>MK-XS-E-018</t>
  </si>
  <si>
    <t>HOLDING_TOTAL_ROI</t>
  </si>
  <si>
    <t>src/domain/performance/index.ts:89</t>
  </si>
  <si>
    <t>How much am I up on this in percentage terms, since I bought it?</t>
  </si>
  <si>
    <t>MK-XS-E-019</t>
  </si>
  <si>
    <t>HOLDING_UNREALISED_GAIN</t>
  </si>
  <si>
    <t>src/domain/performance/index.ts:51</t>
  </si>
  <si>
    <t>How much am I up or down on this?</t>
  </si>
  <si>
    <t>MK-XS-E-020</t>
  </si>
  <si>
    <t>PERIOD_RETURN</t>
  </si>
  <si>
    <t>src/domain/performance/index.ts:122</t>
  </si>
  <si>
    <t>What did this holding do over the chosen period?</t>
  </si>
  <si>
    <t>MK-XS-E-021</t>
  </si>
  <si>
    <t>PERIOD_START_DATE</t>
  </si>
  <si>
    <t>src/domain/performance/index.ts:96</t>
  </si>
  <si>
    <t>Which date does the chosen period start from?</t>
  </si>
  <si>
    <t>MK-XS-E-022</t>
  </si>
  <si>
    <t>PRICE_LATEST</t>
  </si>
  <si>
    <t>src/domain/performance/index.ts:117</t>
  </si>
  <si>
    <t>What is the most recent price we hold for this?</t>
  </si>
  <si>
    <t>MK-XS-E-023</t>
  </si>
  <si>
    <t>RETURN_SINCE_A_DATE</t>
  </si>
  <si>
    <t>src/domain/performance/index.ts:137</t>
  </si>
  <si>
    <t>What did this do between a given date and today?</t>
  </si>
  <si>
    <t>MK-XS-E-024</t>
  </si>
  <si>
    <t>EFFECTIVE_TAX_RATE</t>
  </si>
  <si>
    <t>src/domain/income/tax.ts:130</t>
  </si>
  <si>
    <t>What share of my income actually goes in tax?</t>
  </si>
  <si>
    <t>MK-XS-E-025</t>
  </si>
  <si>
    <t>EXPECTED_RETURN_BLENDED</t>
  </si>
  <si>
    <t>src/domain/assets/index.ts:638</t>
  </si>
  <si>
    <t>What return should I expect on everything I hold together?</t>
  </si>
  <si>
    <t>MK-XS-E-026</t>
  </si>
  <si>
    <t>EXPECTED_SWING_BLENDED</t>
  </si>
  <si>
    <t>src/domain/assets/index.ts:597</t>
  </si>
  <si>
    <t>How much does a year's return typically swing around that average?</t>
  </si>
  <si>
    <t>MK-XS-E-027</t>
  </si>
  <si>
    <t>FILING_STATUS</t>
  </si>
  <si>
    <t>src/domain/income/onboarding.ts:354</t>
  </si>
  <si>
    <t>How does this person file?</t>
  </si>
  <si>
    <t>MK-XS-E-028</t>
  </si>
  <si>
    <t>GUARANTEED_OUTSIDE_STREAMS</t>
  </si>
  <si>
    <t>src/domain/income/onboarding.ts:227</t>
  </si>
  <si>
    <t>The plan's guaranteed-income input as separate streams of OUTSIDE money only. Answers: zer</t>
  </si>
  <si>
    <t>MK-XS-E-029</t>
  </si>
  <si>
    <t>MONTHLY_SAVING</t>
  </si>
  <si>
    <t>src/domain/assets/index.ts:695</t>
  </si>
  <si>
    <t>How much goes in each month?</t>
  </si>
  <si>
    <t>MK-XS-E-030</t>
  </si>
  <si>
    <t>REPORTED_RETURN</t>
  </si>
  <si>
    <t>src/domain/assets/index.ts:108</t>
  </si>
  <si>
    <t>What return did the person say they actually earned over the past year?</t>
  </si>
  <si>
    <t>MK-XS-E-031</t>
  </si>
  <si>
    <t>SPLIT_BY_HOW_IT_IS_TAXED</t>
  </si>
  <si>
    <t>src/domain/decumulation/index.ts:11</t>
  </si>
  <si>
    <t>How is the retirement money split by the tax that will be owed on it?</t>
  </si>
  <si>
    <t>MK-XS-E-032</t>
  </si>
  <si>
    <t>SS_BENEFIT_AT_AGE</t>
  </si>
  <si>
    <t>src/domain/retirement/ssTiming.ts:54</t>
  </si>
  <si>
    <t>The monthly Social Security check at a chosen claim age, in today's dollars. Answers: a wh</t>
  </si>
  <si>
    <t>MK-XS-E-033</t>
  </si>
  <si>
    <t>STATE_TAX_RATE</t>
  </si>
  <si>
    <t>src/domain/income/onboarding.ts:358</t>
  </si>
  <si>
    <t>What state tax rate applies?</t>
  </si>
  <si>
    <t>MK-XS-E-034</t>
  </si>
  <si>
    <t>SWING_FROM_RETURN</t>
  </si>
  <si>
    <t>src/domain/retirement/willItLast.ts:19</t>
  </si>
  <si>
    <t>How much might a year's return swing, judged from the return alone?</t>
  </si>
  <si>
    <t>MK-XS-E-035</t>
  </si>
  <si>
    <t>TAX_OVER65_COUNT</t>
  </si>
  <si>
    <t>src/domain/income/onboarding.ts:405</t>
  </si>
  <si>
    <t xml:space="preserve">How many people on the tax return are 65 or older — the input the over-65 deduction needs </t>
  </si>
  <si>
    <t>MK-XS-E-036</t>
  </si>
  <si>
    <t>TOTAL_INCOME</t>
  </si>
  <si>
    <t>src/domain/income/onboarding.ts:337</t>
  </si>
  <si>
    <t>What is the whole household income for the year, before tax?</t>
  </si>
  <si>
    <t>MK-CF-M-006 · MK-CF-M-007 · MK-CF-M-008 · MK-CF-M-027 · MK-MN-M-011 · MK-MN-M-012 · MK-MN-M-013</t>
  </si>
  <si>
    <t>Named by 7 figure(s)</t>
  </si>
  <si>
    <t>MK-XS-E-037</t>
  </si>
  <si>
    <t>COST_OF_LIVING</t>
  </si>
  <si>
    <t>src/domain/retirement/col.ts:53</t>
  </si>
  <si>
    <t>How much more or less does life cost where they plan to live?</t>
  </si>
  <si>
    <t>MK-XS-E-038</t>
  </si>
  <si>
    <t>READ_A_NUMBER</t>
  </si>
  <si>
    <t>src/domain/_shared/num.ts:4</t>
  </si>
  <si>
    <t>What number did the person actually type?</t>
  </si>
  <si>
    <t>MK-XS-E-039</t>
  </si>
  <si>
    <t>SS_CLAIM_FACTOR</t>
  </si>
  <si>
    <t>src/domain/retirement/ssTiming.ts:34</t>
  </si>
  <si>
    <t>How much of the statement amount a claim age actually pays, anchored at the person's OWN f</t>
  </si>
  <si>
    <t>MK-XS-E-040</t>
  </si>
  <si>
    <t>RETIREMENT_INCOME</t>
  </si>
  <si>
    <t>src/domain/income/onboarding.ts:213</t>
  </si>
  <si>
    <t>How much retirement income arrives monthly?</t>
  </si>
  <si>
    <t>MK-XS-E-041</t>
  </si>
  <si>
    <t>SS_FULL_RETIREMENT_AGE</t>
  </si>
  <si>
    <t>src/domain/retirement/ssTiming.ts:23</t>
  </si>
  <si>
    <t>The person's own Social Security full retirement age. Answers: 66 (born through 1954) · 66</t>
  </si>
  <si>
    <t>MK-XS-E-042</t>
  </si>
  <si>
    <t>EQUITY_THIS_YEAR</t>
  </si>
  <si>
    <t>src/domain/income/onboarding.ts:114</t>
  </si>
  <si>
    <t>How much equity vests this year?</t>
  </si>
  <si>
    <t>MK-XS-E-043</t>
  </si>
  <si>
    <t>OTHER_INCOME</t>
  </si>
  <si>
    <t>src/domain/income/onboarding.ts:161</t>
  </si>
  <si>
    <t>What else comes in?</t>
  </si>
  <si>
    <t>MK-XS-E-044</t>
  </si>
  <si>
    <t>RENTAL_INCOME_A_YEAR</t>
  </si>
  <si>
    <t>src/domain/income/onboarding.ts:142</t>
  </si>
  <si>
    <t>What do the rentals net over a year?</t>
  </si>
  <si>
    <t>MK-XS-E-045</t>
  </si>
  <si>
    <t>SALARY_A_YEAR</t>
  </si>
  <si>
    <t>src/domain/income/onboarding.ts:331</t>
  </si>
  <si>
    <t>What is the salary for the year?</t>
  </si>
  <si>
    <t>MK-XS-E-046</t>
  </si>
  <si>
    <t>TIPS_A_YEAR</t>
  </si>
  <si>
    <t>src/domain/income/onboarding.ts:204</t>
  </si>
  <si>
    <t>What do tips come to over the year?</t>
  </si>
  <si>
    <t>MK-XS-E-047</t>
  </si>
  <si>
    <t>RENTALS</t>
  </si>
  <si>
    <t>src/domain/income/onboarding.ts:129</t>
  </si>
  <si>
    <t>What rental properties are there, and what does each bring in?</t>
  </si>
  <si>
    <t>MK-XS-E-048</t>
  </si>
  <si>
    <t>DEBT_SHAPE</t>
  </si>
  <si>
    <t>src/domain/debt/index.ts:38</t>
  </si>
  <si>
    <t>How is THIS debt repaid?</t>
  </si>
  <si>
    <t>MK-XS-E-049</t>
  </si>
  <si>
    <t>TAX_DEDUCTION</t>
  </si>
  <si>
    <t>src/domain/income/tax.ts:105</t>
  </si>
  <si>
    <t>What amount of income is tax-free before the brackets start. Answers: $16,100 single · $32</t>
  </si>
  <si>
    <t>Function</t>
  </si>
  <si>
    <t>File</t>
  </si>
  <si>
    <t>Line</t>
  </si>
  <si>
    <t>Category</t>
  </si>
  <si>
    <t>Objective — what this function is for</t>
  </si>
  <si>
    <t>How the formula was read</t>
  </si>
  <si>
    <t>What it is handed (its inputs)</t>
  </si>
  <si>
    <t>What it gives back (its output)</t>
  </si>
  <si>
    <t>Where its answer appears — the words, the screen, the section</t>
  </si>
  <si>
    <t>Assumptions it makes</t>
  </si>
  <si>
    <t>Can its answer reach a screen?</t>
  </si>
  <si>
    <t>Dependent functions — one step below</t>
  </si>
  <si>
    <t>Dependent functions — how many in total</t>
  </si>
  <si>
    <t>Dependent functions — all of them</t>
  </si>
  <si>
    <t>The chain, ending in this function</t>
  </si>
  <si>
    <t>Figures that name it</t>
  </si>
  <si>
    <t>Name in the old inventory</t>
  </si>
  <si>
    <t>Founder comment — 2026-08-26 (the column and metric row it was written on)</t>
  </si>
  <si>
    <t>READ FROM THE CODE ITSELF. Sorted by what the code does — what a function returns, whether it reaches outside for data, and who calls it — never by its name. 1 ACTION does something and displays nothing · 2 DISPLAYED lands on a screen · 3 DEPENDENT feeds a chain that ends at a screen · 4 BRINGS DATA IN fetches from outside. The chain reads left to right and ENDS in the function that shows the answer; everything feeding it comes first.</t>
  </si>
  <si>
    <t>MK-CF-F-001</t>
  </si>
  <si>
    <t>buildBudgetState</t>
  </si>
  <si>
    <t>src/domain/budget/index.ts</t>
  </si>
  <si>
    <t>3 · DEPENDENT</t>
  </si>
  <si>
    <t>projected_to_save = net monthly income − monthly expenses.</t>
  </si>
  <si>
    <t>spend = doc.monthly expenses (or 0 when missing or zero)
save = net monthly income − spend</t>
  </si>
  <si>
    <t>Spend is doc.monthly expenses (or 0 — when missing or zero). Save is net monthly income minus spend.</t>
  </si>
  <si>
    <t>PARTLY READ — some of the code is still showing through; needs a hand pass</t>
  </si>
  <si>
    <t>1. uid: UserId
2. netMonthlyIncome: number
3. doc: BudgetDoc</t>
  </si>
  <si>
    <t>BudgetState</t>
  </si>
  <si>
    <t>· If monthly expenses is missing it counts as zero, so nothing recorded and a real zero look the same.</t>
  </si>
  <si>
    <t>MK-XS-F-175 uid</t>
  </si>
  <si>
    <t>1. MK-XS-F-175 uid
2. MK-ST-F-027 accountId
3. MK-CF-F-111 applyTransaction
4. MK-NW-F-040 assetsFromOnboarding
5. MK-PF-F-013 benchmarkTicker
6. MK-ST-F-028 buildDayFromAccounts
7. MK-PF-F-034 closeOnOrBefore
8. MK-CF-F-186 convertTakeHomeMode
9. MK-CF-F-038 debtsFromOnboarding
10. MK-XS-F-083 fetchPriceSeries
11. MK-PL-F-013 goalsFromOnboarding
12. MK-ST-F-056 has
13. MK-CF-F-116 inverseOf
14. MK-ST-F-065 isoLocalDate
15. MK-CF-F-112 makeTransaction
16. MK-CF-F-132 map
17. MK-XS-F-122 n
18. MK-ST-F-043 newEntityId
19. MK-XS-F-006 pruneDaily
20. MK-ST-F-073 rebuildDays
21. MK-NW-F-054 reclassifyAccounts
22. MK-XS-F-174 recomputeBalances
23. MK-CF-F-115 restoreUndo
24. MK-CF-F-109 reviewTransactions
25. MK-ST-F-044 setMoneyFormat
26. MK-CF-F-114 undoSnapshot
27. MK-CF-F-191 ym
28. MK-CF-F-138 addLot
29. MK-CF-F-136 bumpCash
30. MK-CF-F-137 findPos
31. MK-CF-F-139 removeShares
32. MK-PF-F-001 totalShares
33. MK-ST-F-052 toNum
34. MK-ST-F-053 money
35. MK-CF-F-085 filingStatusOf
36. MK-CF-F-097 grossFromNet
37. MK-CF-F-185 needsTakeHomeConversion
38. MK-CF-F-089 over65CountOf
39. MK-CF-F-037 inferDebtType
40. MK-ST-F-069 amountOf
41. MK-CF-F-133 cashOf
42. MK-ST-F-066 isDayKey
43. MK-ST-F-070 isOpening
44. MK-ST-F-071 rebuildableFrom
45. MK-ST-F-068 stepDay
46. MK-ST-F-072 undo
47. MK-NW-F-053 correctClassOf
48. MK-NW-F-008 incomeBearingClassOf
49. MK-PF-F-002 costBasis
50. MK-PF-F-009 latestClose
51. MK-PF-F-004 marketValue
52. MK-ST-F-030 record
53. MK-XS-F-024 resolveLens
54. MK-ST-F-055 round2
55. MK-CF-F-162 daysApart
56. MK-CF-F-108 isMoneyOut
57. MK-PL-F-074 median
58. MK-CF-F-131 normPayee
59. MK-CF-F-113 affectedAccountIds
60. MK-CF-F-134 usesSleeve
61. MK-ST-F-049 formatMoney
62. MK-CF-F-101 taxOwedFor
63. MK-ST-F-067 utcOfDay
64. MK-CF-F-155 cash
65. MK-ST-F-035 covers
66. MK-NW-F-009 maturityClass
67. MK-ST-F-010 nameEvidence
68. MK-PF-F-031 contractMultiplier
69. MK-CF-F-072 currentRetirementIncomeMonthly
70. MK-ST-F-048 currencySymbol
71. MK-ST-F-039 on
72. MK-CF-F-100 taxableIncomeFor
73. MK-ST-F-034 firstDate
74. MK-XS-F-147 call
75. MK-CF-F-075 retirementIncomeMonthly
76. MK-ST-F-047 activeCurrency
77. MK-CF-F-099 deductionFor
78. MK-XS-F-064 currentIdToken
79. MK-XS-F-112 relayUrl
80. MK-CF-F-187 seniorDeductionFor</t>
  </si>
  <si>
    <t>1. MK-ST-F-027 accountId → MK-XS-F-175 uid → MK-CF-F-001 buildBudgetState
2. MK-CF-F-137 findPos → MK-CF-F-138 addLot → MK-CF-F-111 applyTransaction → MK-XS-F-175 uid → MK-CF-F-001 buildBudgetState
3. MK-CF-F-132 map → MK-CF-F-138 addLot → MK-CF-F-111 applyTransaction → MK-XS-F-175 uid → MK-CF-F-001 buildBudgetState
4. MK-ST-F-043 newEntityId → MK-CF-F-138 addLot → MK-CF-F-111 applyTransaction → MK-XS-F-175 uid → MK-CF-F-001 buildBudgetState
5. MK-CF-F-134 usesSleeve → MK-CF-F-136 bumpCash → MK-CF-F-111 applyTransaction → MK-XS-F-175 uid → MK-CF-F-001 buildBudgetState
6. MK-CF-F-137 findPos → MK-CF-F-111 applyTransaction → MK-XS-F-175 uid → MK-CF-F-001 buildBudgetState
7. MK-CF-F-132 map → MK-CF-F-111 applyTransaction → MK-XS-F-175 uid → MK-CF-F-001 buildBudgetState
8. MK-CF-F-137 findPos → MK-CF-F-139 removeShares → MK-CF-F-111 applyTransaction → MK-XS-F-175 uid → MK-CF-F-001 buildBudgetState
9. … and 4 more paths</t>
  </si>
  <si>
    <t>2 · DISPLAYED</t>
  </si>
  <si>
    <t>The single canonical "planned monthly spend": the itemized buckets OR the stated total, whichever is larger (the stated total can include an uncategorized remainder the buckets don't capture).</t>
  </si>
  <si>
    <t>max(spend buckets(op).monthly total, op.monthly expenses read as a number (0 when it is not one))</t>
  </si>
  <si>
    <t>the larger of spend buckets(op).monthly total and op.monthly expenses read as a number (0 — when it is one is missing).</t>
  </si>
  <si>
    <t>op: OnboardingProfile | null</t>
  </si>
  <si>
    <t>number</t>
  </si>
  <si>
    <t>"Income (take-home)" — on the budget screen</t>
  </si>
  <si>
    <t>None found in this function — anything it assumes comes from the functions it depends on.</t>
  </si>
  <si>
    <t>1. MK-CF-F-092 incomeMonthlyGrid
2. MK-CF-F-004 spendBuckets
3. MK-XS-F-027 takeHomeMonthly
4. MK-ST-F-052 toNum</t>
  </si>
  <si>
    <t>1. MK-CF-F-092 incomeMonthlyGrid
2. MK-CF-F-004 spendBuckets
3. MK-XS-F-027 takeHomeMonthly
4. MK-ST-F-052 toNum
5. MK-CF-F-069 benefitActiveMonths
6. MK-CF-F-072 currentRetirementIncomeMonthly
7. MK-CF-F-065 equityVestWeights
8. MK-CF-F-071 extraIncome
9. MK-ST-F-056 has
10. MK-CF-F-132 map
11. MK-CF-F-087 monthlyTaxRates
12. MK-CF-F-073 otherIncomeMonth
13. MK-CF-F-181 rateInForce
14. MK-CF-F-068 rentalNetAnnual
15. MK-CF-F-066 rsuAnnual
16. MK-CF-F-060 salaryGrossByMonth
17. MK-CF-F-077 scholarshipByCalendarMonth
18. MK-CF-F-088 taxableByCalendarMonth
19. MK-PL-F-012 waterfall
20. MK-CF-F-003 categoryMonthly
21. MK-CF-F-011 savingsByMonth
22. MK-XS-F-122 n
23. MK-CF-F-075 retirementIncomeMonthly
24. MK-CF-F-062 equityRowValue
25. MK-CF-F-070 benefitAnnual
26. MK-ST-F-039 on
27. MK-CF-F-090 effectiveRate
28. MK-CF-F-085 filingStatusOf
29. MK-CF-F-089 over65CountOf
30. MK-CF-F-098 progressiveMonthlyTax
31. MK-CF-F-086 stateRateOf
32. MK-CF-F-173 earnerWages
33. MK-CF-F-102 effectiveRateOnGrossFor
34. MK-CF-F-180 enteredLandsAnnual
35. MK-CF-F-082 salaryAnnual
36. MK-CF-F-084 taxableAnnual
37. MK-CF-F-067 rentalList
38. MK-CF-F-063 rowVestYear
39. MK-CF-F-176 sumMonthsOverEarners
40. MK-CF-F-177 wageGrossByMonth
41. MK-CF-F-120 pctBaseMonthly
42. MK-CF-F-008 spendByMonth
43. MK-CF-F-101 taxOwedFor
44. MK-CF-F-100 taxableIncomeFor
45. MK-CF-F-172 hasWage
46. MK-CF-F-074 tipsAnnual
47. MK-CF-F-130 enteredMonthlyRaw
48. MK-CF-F-166 hasMonthlySalaryTable
49. MK-ST-F-036 reconcile
50. MK-CF-F-167 salaryCalendarYear
51. MK-CF-F-099 deductionFor
52. MK-CF-F-081 salaryActiveMonths
53. MK-CF-F-165 salaryMonths
54. MK-CF-F-187 seniorDeductionFor</t>
  </si>
  <si>
    <t>MK-CF-F-003</t>
  </si>
  <si>
    <t>categoryMonthly</t>
  </si>
  <si>
    <t>Canonical per-category planned $/month — the ONE conversion the buckets AND the Budget screen share, so a category's on-screen line item ALWAYS reconciles with its bucket total (build-34 #3).</t>
  </si>
  <si>
    <t>amt = to num(amount); if (amt ≤ 0) return 0
pct = unit = 'pct'
base = pct base monthly(op)
(pct ? (amt ÷ 100) × base × 12 : amt) ÷ 12   when bucket = 'nonmonthly'
the answer:
(amt ÷ 100) × base   if pct
amt   otherwise</t>
  </si>
  <si>
    <t>Amt is to num(amount); — when (amt is at most 0) return 0. Pct is unit = 'pct'. Base is pct base monthly(op). When bucket = 'nonmonthly', it answers (pct ? (amt divided by 100) times base times 12 : amt) divided by 12. The answer is (amt divided by 100) times base — when pct; amt — otherwise.</t>
  </si>
  <si>
    <t>READ FROM THE CODE — rendered from the expressions the function runs</t>
  </si>
  <si>
    <t>1. c: { amount?: any; unit?: string; bucket?: string } | null | undefined
2. op: OnboardingProfile | null</t>
  </si>
  <si>
    <t>NOT FOUND — a screen calls it, but the words printed beside its answer could not be traced automatically. Needs reading.</t>
  </si>
  <si>
    <t>· Turns a monthly figure into a year by multiplying by twelve.</t>
  </si>
  <si>
    <t>1. MK-CF-F-120 pctBaseMonthly
2. MK-XS-F-027 takeHomeMonthly
3. MK-ST-F-052 toNum</t>
  </si>
  <si>
    <t>1. MK-CF-F-120 pctBaseMonthly
2. MK-XS-F-027 takeHomeMonthly
3. MK-ST-F-052 toNum
4. MK-CF-F-092 incomeMonthlyGrid
5. MK-CF-F-011 savingsByMonth
6. MK-XS-F-122 n
7. MK-CF-F-069 benefitActiveMonths
8. MK-CF-F-072 currentRetirementIncomeMonthly
9. MK-CF-F-065 equityVestWeights
10. MK-CF-F-071 extraIncome
11. MK-ST-F-056 has
12. MK-CF-F-132 map
13. MK-CF-F-087 monthlyTaxRates
14. MK-CF-F-073 otherIncomeMonth
15. MK-CF-F-181 rateInForce
16. MK-CF-F-068 rentalNetAnnual
17. MK-CF-F-066 rsuAnnual
18. MK-CF-F-060 salaryGrossByMonth
19. MK-CF-F-077 scholarshipByCalendarMonth
20. MK-CF-F-088 taxableByCalendarMonth
21. MK-PL-F-012 waterfall
22. MK-CF-F-008 spendByMonth
23. MK-CF-F-075 retirementIncomeMonthly
24. MK-CF-F-062 equityRowValue
25. MK-CF-F-070 benefitAnnual
26. MK-ST-F-039 on
27. MK-CF-F-090 effectiveRate
28. MK-CF-F-085 filingStatusOf
29. MK-CF-F-089 over65CountOf
30. MK-CF-F-098 progressiveMonthlyTax
31. MK-CF-F-086 stateRateOf
32. MK-CF-F-173 earnerWages
33. MK-CF-F-102 effectiveRateOnGrossFor
34. MK-CF-F-180 enteredLandsAnnual
35. MK-CF-F-082 salaryAnnual
36. MK-CF-F-084 taxableAnnual
37. MK-CF-F-067 rentalList
38. MK-CF-F-063 rowVestYear
39. MK-CF-F-176 sumMonthsOverEarners
40. MK-CF-F-177 wageGrossByMonth
41. MK-CF-F-004 spendBuckets
42. MK-CF-F-101 taxOwedFor
43. MK-CF-F-100 taxableIncomeFor
44. MK-CF-F-172 hasWage
45. MK-CF-F-074 tipsAnnual
46. MK-CF-F-130 enteredMonthlyRaw
47. MK-CF-F-166 hasMonthlySalaryTable
48. MK-ST-F-036 reconcile
49. MK-CF-F-167 salaryCalendarYear
50. MK-CF-F-099 deductionFor
51. MK-CF-F-081 salaryActiveMonths
52. MK-CF-F-165 salaryMonths
53. MK-CF-F-187 seniorDeductionFor</t>
  </si>
  <si>
    <t>1. MK-CF-F-069 benefitActiveMonths → MK-CF-F-092 incomeMonthlyGrid → MK-CF-F-120 pctBaseMonthly → MK-CF-F-003 categoryMonthly
2. MK-ST-F-052 toNum → MK-CF-F-075 retirementIncomeMonthly → MK-CF-F-072 currentRetirementIncomeMonthly → MK-CF-F-092 incomeMonthlyGrid → MK-CF-F-120 pctBaseMonthly → MK-CF-F-003 categoryMonthly
3. MK-ST-F-052 toNum → MK-CF-F-062 equityRowValue → MK-CF-F-065 equityVestWeights → MK-CF-F-092 incomeMonthlyGrid → MK-CF-F-120 pctBaseMonthly → MK-CF-F-003 categoryMonthly
4. MK-CF-F-132 map → MK-CF-F-065 equityVestWeights → MK-CF-F-092 incomeMonthlyGrid → MK-CF-F-120 pctBaseMonthly → MK-CF-F-003 categoryMonthly
5. MK-CF-F-069 benefitActiveMonths → MK-CF-F-070 benefitAnnual → MK-CF-F-071 extraIncome → MK-CF-F-092 incomeMonthlyGrid → MK-CF-F-120 pctBaseMonthly → MK-CF-F-003 categoryMonthly
6. MK-ST-F-052 toNum → MK-CF-F-070 benefitAnnual → MK-CF-F-071 extraIncome → MK-CF-F-092 incomeMonthlyGrid → MK-CF-F-120 pctBaseMonthly → MK-CF-F-003 categoryMonthly
7. MK-ST-F-039 on → MK-CF-F-071 extraIncome → MK-CF-F-092 incomeMonthlyGrid → MK-CF-F-120 pctBaseMonthly → MK-CF-F-003 categoryMonthly
8. MK-XS-F-122 n → MK-ST-F-052 toNum → MK-CF-F-071 extraIncome → MK-CF-F-092 incomeMonthlyGrid → MK-CF-F-120 pctBaseMonthly → MK-CF-F-003 categoryMonthly
9. … and 5 more paths</t>
  </si>
  <si>
    <t>Roll the per-category expenses up into the three monthly-normalized buckets.</t>
  </si>
  <si>
    <t>a = op (or none when missing)
cats = spend cats   if array.is array(spend cats)
nothing   otherwise
fixed = to num(b fixed), non = to num(b nonmonthly), flex = to num(b flexible)
the answer:
fixed = fixed
non monthly = non
flexible = flex
monthly total = fixed + non + flex
fixed = 0, flex = 0, non mo = 0
m = category monthly(c, op); if (m ≤ 0) continue</t>
  </si>
  <si>
    <t>A is op (or none — when missing). Cats is spend cats — when array.is array(spend cats); no answer — otherwise. Fixed is to num(b fixed), non = to num(b nonmonthly), flex = to num(b flexible). The answer is fixed = fixed; non monthly = non; flexible = flex; monthly total = fixed plus non plus flex. Fixed is 0, flex = 0, non mo = 0. M is category monthly(c, op); — when (m is at most 0) continue.</t>
  </si>
  <si>
    <t>NOT DECLARED — the code does not say what it gives back</t>
  </si>
  <si>
    <t>"Expenses" — on the setup questions, which appear on more than one screen</t>
  </si>
  <si>
    <t>1. MK-CF-F-003 categoryMonthly
2. MK-ST-F-052 toNum</t>
  </si>
  <si>
    <t>1. MK-CF-F-003 categoryMonthly
2. MK-ST-F-052 toNum
3. MK-CF-F-120 pctBaseMonthly
4. MK-XS-F-027 takeHomeMonthly
5. MK-XS-F-122 n
6. MK-CF-F-092 incomeMonthlyGrid
7. MK-CF-F-011 savingsByMonth
8. MK-CF-F-069 benefitActiveMonths
9. MK-CF-F-072 currentRetirementIncomeMonthly
10. MK-CF-F-065 equityVestWeights
11. MK-CF-F-071 extraIncome
12. MK-ST-F-056 has
13. MK-CF-F-132 map
14. MK-CF-F-087 monthlyTaxRates
15. MK-CF-F-073 otherIncomeMonth
16. MK-CF-F-181 rateInForce
17. MK-CF-F-068 rentalNetAnnual
18. MK-CF-F-066 rsuAnnual
19. MK-CF-F-060 salaryGrossByMonth
20. MK-CF-F-077 scholarshipByCalendarMonth
21. MK-CF-F-088 taxableByCalendarMonth
22. MK-PL-F-012 waterfall
23. MK-CF-F-008 spendByMonth
24. MK-CF-F-075 retirementIncomeMonthly
25. MK-CF-F-062 equityRowValue
26. MK-CF-F-070 benefitAnnual
27. MK-ST-F-039 on
28. MK-CF-F-090 effectiveRate
29. MK-CF-F-085 filingStatusOf
30. MK-CF-F-089 over65CountOf
31. MK-CF-F-098 progressiveMonthlyTax
32. MK-CF-F-086 stateRateOf
33. MK-CF-F-173 earnerWages
34. MK-CF-F-102 effectiveRateOnGrossFor
35. MK-CF-F-180 enteredLandsAnnual
36. MK-CF-F-082 salaryAnnual
37. MK-CF-F-084 taxableAnnual
38. MK-CF-F-067 rentalList
39. MK-CF-F-063 rowVestYear
40. MK-CF-F-176 sumMonthsOverEarners
41. MK-CF-F-177 wageGrossByMonth
42. MK-CF-F-101 taxOwedFor
43. MK-CF-F-100 taxableIncomeFor
44. MK-CF-F-172 hasWage
45. MK-CF-F-074 tipsAnnual
46. MK-CF-F-130 enteredMonthlyRaw
47. MK-CF-F-166 hasMonthlySalaryTable
48. MK-ST-F-036 reconcile
49. MK-CF-F-167 salaryCalendarYear
50. MK-CF-F-099 deductionFor
51. MK-CF-F-081 salaryActiveMonths
52. MK-CF-F-165 salaryMonths
53. MK-CF-F-187 seniorDeductionFor</t>
  </si>
  <si>
    <t>MK-CF-M-013 · MK-CF-M-014 · MK-CF-M-019</t>
  </si>
  <si>
    <t>MK-CF-F-005</t>
  </si>
  <si>
    <t>actualMonthFlow</t>
  </si>
  <si>
    <t>MoneyKeel/functions/cashflow/this-month.ts</t>
  </si>
  <si>
    <t>WHAT HAS ACTUALLY HAPPENED: what landed, less only the debts confirmed paid, less what was really spent.</t>
  </si>
  <si>
    <t>logged = expenses (or none when missing) where in month(each, ym)
paid for = debt payments by debt(m)
lines = [{ label: inflow label('actual inflow', inflow sources), amount: (take home monthly), kind: 'in' }]
paid = paid for.get(debt id) (or 0 when missing)
matched = Σ over [...paid for.values()] of (each)
unmatched = all debt paid − matched
expenses = logged where category ! = DEBT_CATEGORY
spent = Σ over expenses of (amount read as a number (0 when it is not one))
the answer:
lines = lines
surplus = cash(lines.reduce((t, l) =&gt; t + amount, 0))</t>
  </si>
  <si>
    <t>Logged is expenses (or none — when missing) where in month(each, ym). Paid for is debt payments by debt(m). Lines is [{ label: inflow label('actual inflow', inflow sources), amount: (take home monthly), kind: 'in' }]. Paid is paid for.get(debt id) (or 0 — when missing). Matched: the each added up across [...paid for.values()]. Unmatched is all debt paid minus matched. Expenses is logged where category ! = DEBT_CATEGORY. Spent: the amount read as a number (0 — when it is one is missing) added up across expenses. The answer is lines = lines; surplus = cash(lines.reduce((t, l) =&gt; t plus amount, 0)).</t>
  </si>
  <si>
    <t>m: MonthInput</t>
  </si>
  <si>
    <t>MonthBlock</t>
  </si>
  <si>
    <t>1. MK-CF-F-155 cash
2. MK-CF-F-157 debtPaymentsByDebt
3. MK-CF-F-148 inMonth
4. MK-CF-F-192 inflowLabel
5. MK-CF-F-023 requiredPayment
6. MK-XS-F-027 takeHomeMonthly
7. MK-ST-F-052 toNum
8. MK-CF-F-191 ym</t>
  </si>
  <si>
    <t>1. MK-CF-F-155 cash
2. MK-CF-F-157 debtPaymentsByDebt
3. MK-CF-F-148 inMonth
4. MK-CF-F-192 inflowLabel
5. MK-CF-F-023 requiredPayment
6. MK-XS-F-027 takeHomeMonthly
7. MK-ST-F-052 toNum
8. MK-CF-F-191 ym
9. MK-XS-F-122 n
10. MK-XS-F-180 declareFigures
11. MK-CF-F-132 map
12. MK-CF-F-193 inflowSourceWord
13. MK-CF-F-022 paymentShape
14. MK-CF-F-092 incomeMonthlyGrid
15. MK-CF-F-011 savingsByMonth
16. MK-CF-F-021 defaultPaymentType
17. MK-CF-F-069 benefitActiveMonths
18. MK-CF-F-072 currentRetirementIncomeMonthly
19. MK-CF-F-065 equityVestWeights
20. MK-CF-F-071 extraIncome
21. MK-ST-F-056 has
22. MK-CF-F-087 monthlyTaxRates
23. MK-CF-F-073 otherIncomeMonth
24. MK-CF-F-181 rateInForce
25. MK-CF-F-068 rentalNetAnnual
26. MK-CF-F-066 rsuAnnual
27. MK-CF-F-060 salaryGrossByMonth
28. MK-CF-F-077 scholarshipByCalendarMonth
29. MK-CF-F-088 taxableByCalendarMonth
30. MK-PL-F-012 waterfall
31. MK-CF-F-008 spendByMonth
32. MK-CF-F-075 retirementIncomeMonthly
33. MK-CF-F-062 equityRowValue
34. MK-CF-F-070 benefitAnnual
35. MK-ST-F-039 on
36. MK-CF-F-090 effectiveRate
37. MK-CF-F-085 filingStatusOf
38. MK-CF-F-089 over65CountOf
39. MK-CF-F-098 progressiveMonthlyTax
40. MK-CF-F-086 stateRateOf
41. MK-CF-F-173 earnerWages
42. MK-CF-F-102 effectiveRateOnGrossFor
43. MK-CF-F-180 enteredLandsAnnual
44. MK-CF-F-082 salaryAnnual
45. MK-CF-F-084 taxableAnnual
46. MK-CF-F-067 rentalList
47. MK-CF-F-063 rowVestYear
48. MK-CF-F-176 sumMonthsOverEarners
49. MK-CF-F-177 wageGrossByMonth
50. MK-CF-F-120 pctBaseMonthly
51. MK-CF-F-004 spendBuckets
52. MK-CF-F-101 taxOwedFor
53. MK-CF-F-100 taxableIncomeFor
54. MK-CF-F-172 hasWage
55. MK-CF-F-074 tipsAnnual
56. MK-CF-F-130 enteredMonthlyRaw
57. MK-CF-F-166 hasMonthlySalaryTable
58. MK-ST-F-036 reconcile
59. MK-CF-F-167 salaryCalendarYear
60. MK-CF-F-003 categoryMonthly
61. MK-CF-F-099 deductionFor
62. MK-CF-F-081 salaryActiveMonths
63. MK-CF-F-165 salaryMonths
64. MK-CF-F-187 seniorDeductionFor</t>
  </si>
  <si>
    <t>1. MK-XS-F-122 n → MK-CF-F-155 cash → MK-CF-F-005 actualMonthFlow
2. MK-XS-F-180 declareFigures → MK-CF-F-157 debtPaymentsByDebt → MK-CF-F-005 actualMonthFlow
3. MK-CF-F-191 ym → MK-CF-F-148 inMonth → MK-CF-F-157 debtPaymentsByDebt → MK-CF-F-005 actualMonthFlow
4. MK-CF-F-132 map → MK-CF-F-157 debtPaymentsByDebt → MK-CF-F-005 actualMonthFlow
5. MK-XS-F-122 n → MK-ST-F-052 toNum → MK-CF-F-157 debtPaymentsByDebt → MK-CF-F-005 actualMonthFlow
6. MK-CF-F-191 ym → MK-CF-F-157 debtPaymentsByDebt → MK-CF-F-005 actualMonthFlow
7. MK-CF-F-191 ym → MK-CF-F-148 inMonth → MK-CF-F-005 actualMonthFlow
8. MK-CF-F-193 inflowSourceWord → MK-CF-F-192 inflowLabel → MK-CF-F-005 actualMonthFlow
9. … and 5 more paths</t>
  </si>
  <si>
    <t>MK-CF-F-006</t>
  </si>
  <si>
    <t>allocatableThisMonth</t>
  </si>
  <si>
    <t>What's LEFT of this month's surplus to put to work = surplus − already-allocated this month (never &lt; 0).</t>
  </si>
  <si>
    <t>max(0, surplus − (allocated this month or 0))</t>
  </si>
  <si>
    <t>surplus minus (allocated this month or 0, never below zero).</t>
  </si>
  <si>
    <t>1. surplus: number
2. allocatedThisMonth: number | undefined</t>
  </si>
  <si>
    <t>"Allocate to this goal ›" — on the Goals screen, under "YOUR GOALS"</t>
  </si>
  <si>
    <t>· If allocated this month is missing it counts as zero, so nothing recorded and a real zero look the same.</t>
  </si>
  <si>
    <t>None — no dependent function stands behind it</t>
  </si>
  <si>
    <t>Label basis for the non-monthly bucket (e.g.</t>
  </si>
  <si>
    <t>cats = op!.spend cats!   if array.is array(op.spend cats)
[]   otherwise
nm = cats where bucket = 'nonmonthly' and to num(amount) &gt; 0
all pct = nm.length &gt; 0 and nm.every((c) =&gt; unit = 'pct')
pct = round(Σ over nm of (amount read as a number (0 when it is not one)))   if all pct
0   otherwise
the answer = { all pct, pct }</t>
  </si>
  <si>
    <t>Cats is op!.spend cats! — when array.is array(op.spend cats); [] — otherwise. Nm is cats where bucket = 'nonmonthly' and to num(amount) &gt; 0. All pct is nm.length &gt; 0 and nm.every((c) =&gt; unit = 'pct'). Pct: the amount read as a number (0 when it is one is missing added up across nm, to a whole number) — when all pct; 0 — otherwise. The answer is { all pct, pct }.</t>
  </si>
  <si>
    <t>· Rounds the answer to a whole number.</t>
  </si>
  <si>
    <t>MK-ST-F-052 toNum</t>
  </si>
  <si>
    <t>1. MK-ST-F-052 toNum
2. MK-XS-F-122 n</t>
  </si>
  <si>
    <t>MK-XS-F-122 n → MK-ST-F-052 toNum → MK-CF-F-007 nonMonthlyBasis</t>
  </si>
  <si>
    <t>MK-CF-F-008</t>
  </si>
  <si>
    <t>spendByMonth</t>
  </si>
  <si>
    <t>Expenses placed in the calendar months it's actually due (Jan→Dec) — NOT averaged.</t>
  </si>
  <si>
    <t>a = op (or none when missing)
out = 12 slots, each 0
cats = spend cats   if array.is array(spend cats)
nothing   otherwise
net monthly = pct base monthly(op)
amt = to num(amount); if (amt ≤ 0) continue
pct = unit = 'pct'
flat = spend buckets(op).monthly total
uncategorized = max(0, to num(monthly expenses) − spend buckets(op).monthly total)
[LOOP — the answer is found inside a loop the extractor cannot render; the steps above are the ones before it. Read by hand.]</t>
  </si>
  <si>
    <t>A is op (or none — when missing). Out is 12 slots, each 0. Cats is spend cats — when array.is array(spend cats); no answer — otherwise. Net monthly is pct base monthly(op). Amt is to num(amount); — when (amt is at most 0) continue. Pct is unit = 'pct'. Flat is spend buckets(op).monthly total. Uncategorized is to num(monthly expenses, never below zero minus spend buckets(op).monthly total). The answer is for each of out: (x: number) =&gt; x. The answer is found inside a loop that cannot be rendered here; read the code by hand.</t>
  </si>
  <si>
    <t>PARTLY READ — the body has a loop the extractor cannot render; the steps shown are the ones before it. Needs a hand pass (G23).</t>
  </si>
  <si>
    <t>number[]</t>
  </si>
  <si>
    <t>1. Treats a year as twelve equal months.
2. Turns a monthly figure into a year by multiplying by twelve.</t>
  </si>
  <si>
    <t>1. MK-CF-F-132 map
2. MK-CF-F-120 pctBaseMonthly
3. MK-CF-F-004 spendBuckets
4. MK-ST-F-052 toNum</t>
  </si>
  <si>
    <t>1. MK-CF-F-132 map
2. MK-CF-F-120 pctBaseMonthly
3. MK-CF-F-004 spendBuckets
4. MK-ST-F-052 toNum
5. MK-CF-F-092 incomeMonthlyGrid
6. MK-CF-F-003 categoryMonthly
7. MK-XS-F-122 n
8. MK-CF-F-069 benefitActiveMonths
9. MK-CF-F-072 currentRetirementIncomeMonthly
10. MK-CF-F-065 equityVestWeights
11. MK-CF-F-071 extraIncome
12. MK-ST-F-056 has
13. MK-CF-F-087 monthlyTaxRates
14. MK-CF-F-073 otherIncomeMonth
15. MK-CF-F-181 rateInForce
16. MK-CF-F-068 rentalNetAnnual
17. MK-CF-F-066 rsuAnnual
18. MK-CF-F-060 salaryGrossByMonth
19. MK-CF-F-077 scholarshipByCalendarMonth
20. MK-CF-F-088 taxableByCalendarMonth
21. MK-PL-F-012 waterfall
22. MK-XS-F-027 takeHomeMonthly
23. MK-CF-F-075 retirementIncomeMonthly
24. MK-CF-F-062 equityRowValue
25. MK-CF-F-070 benefitAnnual
26. MK-ST-F-039 on
27. MK-CF-F-090 effectiveRate
28. MK-CF-F-085 filingStatusOf
29. MK-CF-F-089 over65CountOf
30. MK-CF-F-098 progressiveMonthlyTax
31. MK-CF-F-086 stateRateOf
32. MK-CF-F-173 earnerWages
33. MK-CF-F-102 effectiveRateOnGrossFor
34. MK-CF-F-180 enteredLandsAnnual
35. MK-CF-F-082 salaryAnnual
36. MK-CF-F-084 taxableAnnual
37. MK-CF-F-067 rentalList
38. MK-CF-F-063 rowVestYear
39. MK-CF-F-176 sumMonthsOverEarners
40. MK-CF-F-177 wageGrossByMonth
41. MK-CF-F-011 savingsByMonth
42. MK-CF-F-101 taxOwedFor
43. MK-CF-F-100 taxableIncomeFor
44. MK-CF-F-172 hasWage
45. MK-CF-F-074 tipsAnnual
46. MK-CF-F-130 enteredMonthlyRaw
47. MK-CF-F-166 hasMonthlySalaryTable
48. MK-ST-F-036 reconcile
49. MK-CF-F-167 salaryCalendarYear
50. MK-CF-F-099 deductionFor
51. MK-CF-F-081 salaryActiveMonths
52. MK-CF-F-165 salaryMonths
53. MK-CF-F-187 seniorDeductionFor</t>
  </si>
  <si>
    <t>1. MK-CF-F-132 map → MK-CF-F-008 spendByMonth
2. MK-CF-F-069 benefitActiveMonths → MK-CF-F-092 incomeMonthlyGrid → MK-CF-F-120 pctBaseMonthly → MK-CF-F-008 spendByMonth
3. MK-ST-F-052 toNum → MK-CF-F-075 retirementIncomeMonthly → MK-CF-F-072 currentRetirementIncomeMonthly → MK-CF-F-092 incomeMonthlyGrid → MK-CF-F-120 pctBaseMonthly → MK-CF-F-008 spendByMonth
4. MK-ST-F-052 toNum → MK-CF-F-062 equityRowValue → MK-CF-F-065 equityVestWeights → MK-CF-F-092 incomeMonthlyGrid → MK-CF-F-120 pctBaseMonthly → MK-CF-F-008 spendByMonth
5. MK-CF-F-132 map → MK-CF-F-065 equityVestWeights → MK-CF-F-092 incomeMonthlyGrid → MK-CF-F-120 pctBaseMonthly → MK-CF-F-008 spendByMonth
6. MK-CF-F-069 benefitActiveMonths → MK-CF-F-070 benefitAnnual → MK-CF-F-071 extraIncome → MK-CF-F-092 incomeMonthlyGrid → MK-CF-F-120 pctBaseMonthly → MK-CF-F-008 spendByMonth
7. MK-ST-F-052 toNum → MK-CF-F-070 benefitAnnual → MK-CF-F-071 extraIncome → MK-CF-F-092 incomeMonthlyGrid → MK-CF-F-120 pctBaseMonthly → MK-CF-F-008 spendByMonth
8. MK-ST-F-039 on → MK-CF-F-071 extraIncome → MK-CF-F-092 incomeMonthlyGrid → MK-CF-F-120 pctBaseMonthly → MK-CF-F-008 spendByMonth
9. … and 5 more paths</t>
  </si>
  <si>
    <t>MK-CF-F-009</t>
  </si>
  <si>
    <t>monthlyEssentials</t>
  </si>
  <si>
    <t>Monthly money you MUST keep paying — the recurring (non-monthly excluded) Critical + Important bills.</t>
  </si>
  <si>
    <t>a = op (or none when missing)
cats = spend cats   if array.is array(spend cats)
nothing   otherwise
planned monthly spend(op)   when cats is missing
net monthly = pct base monthly(op)
ess = 0
amt = to num(amount); if (amt ≤ 0) continue
uncategorized = max(0, to num(monthly expenses) − spend buckets(op).monthly total)
the answer = ess + uncategorized</t>
  </si>
  <si>
    <t>A is op (or none — when missing). Cats is spend cats — when array.is array(spend cats); no answer — otherwise. When cats is missing, it answers planned monthly spend(op). Net monthly is pct base monthly(op). Ess is 0. Amt is to num(amount); — when (amt is at most 0) continue. Uncategorized is to num(monthly expenses, never below zero minus spend buckets(op).monthly total). The answer is ess plus uncategorized.</t>
  </si>
  <si>
    <t>· Uses a built-in ess of 0.</t>
  </si>
  <si>
    <t>1. MK-CF-F-120 pctBaseMonthly
2. MK-CF-F-002 plannedMonthlySpend
3. MK-CF-F-004 spendBuckets
4. MK-ST-F-052 toNum</t>
  </si>
  <si>
    <t>1. MK-CF-F-120 pctBaseMonthly
2. MK-CF-F-002 plannedMonthlySpend
3. MK-CF-F-004 spendBuckets
4. MK-ST-F-052 toNum
5. MK-CF-F-092 incomeMonthlyGrid
6. MK-XS-F-027 takeHomeMonthly
7. MK-CF-F-003 categoryMonthly
8. MK-XS-F-122 n
9. MK-CF-F-069 benefitActiveMonths
10. MK-CF-F-072 currentRetirementIncomeMonthly
11. MK-CF-F-065 equityVestWeights
12. MK-CF-F-071 extraIncome
13. MK-ST-F-056 has
14. MK-CF-F-132 map
15. MK-CF-F-087 monthlyTaxRates
16. MK-CF-F-073 otherIncomeMonth
17. MK-CF-F-181 rateInForce
18. MK-CF-F-068 rentalNetAnnual
19. MK-CF-F-066 rsuAnnual
20. MK-CF-F-060 salaryGrossByMonth
21. MK-CF-F-077 scholarshipByCalendarMonth
22. MK-CF-F-088 taxableByCalendarMonth
23. MK-PL-F-012 waterfall
24. MK-CF-F-011 savingsByMonth
25. MK-CF-F-075 retirementIncomeMonthly
26. MK-CF-F-062 equityRowValue
27. MK-CF-F-070 benefitAnnual
28. MK-ST-F-039 on
29. MK-CF-F-090 effectiveRate
30. MK-CF-F-085 filingStatusOf
31. MK-CF-F-089 over65CountOf
32. MK-CF-F-098 progressiveMonthlyTax
33. MK-CF-F-086 stateRateOf
34. MK-CF-F-173 earnerWages
35. MK-CF-F-102 effectiveRateOnGrossFor
36. MK-CF-F-180 enteredLandsAnnual
37. MK-CF-F-082 salaryAnnual
38. MK-CF-F-084 taxableAnnual
39. MK-CF-F-067 rentalList
40. MK-CF-F-063 rowVestYear
41. MK-CF-F-176 sumMonthsOverEarners
42. MK-CF-F-177 wageGrossByMonth
43. MK-CF-F-008 spendByMonth
44. MK-CF-F-101 taxOwedFor
45. MK-CF-F-100 taxableIncomeFor
46. MK-CF-F-172 hasWage
47. MK-CF-F-074 tipsAnnual
48. MK-CF-F-130 enteredMonthlyRaw
49. MK-CF-F-166 hasMonthlySalaryTable
50. MK-ST-F-036 reconcile
51. MK-CF-F-167 salaryCalendarYear
52. MK-CF-F-099 deductionFor
53. MK-CF-F-081 salaryActiveMonths
54. MK-CF-F-165 salaryMonths
55. MK-CF-F-187 seniorDeductionFor</t>
  </si>
  <si>
    <t>1. MK-CF-F-069 benefitActiveMonths → MK-CF-F-092 incomeMonthlyGrid → MK-CF-F-120 pctBaseMonthly → MK-CF-F-009 monthlyEssentials
2. MK-ST-F-052 toNum → MK-CF-F-075 retirementIncomeMonthly → MK-CF-F-072 currentRetirementIncomeMonthly → MK-CF-F-092 incomeMonthlyGrid → MK-CF-F-120 pctBaseMonthly → MK-CF-F-009 monthlyEssentials
3. MK-ST-F-052 toNum → MK-CF-F-062 equityRowValue → MK-CF-F-065 equityVestWeights → MK-CF-F-092 incomeMonthlyGrid → MK-CF-F-120 pctBaseMonthly → MK-CF-F-009 monthlyEssentials
4. MK-CF-F-132 map → MK-CF-F-065 equityVestWeights → MK-CF-F-092 incomeMonthlyGrid → MK-CF-F-120 pctBaseMonthly → MK-CF-F-009 monthlyEssentials
5. MK-CF-F-069 benefitActiveMonths → MK-CF-F-070 benefitAnnual → MK-CF-F-071 extraIncome → MK-CF-F-092 incomeMonthlyGrid → MK-CF-F-120 pctBaseMonthly → MK-CF-F-009 monthlyEssentials
6. MK-ST-F-052 toNum → MK-CF-F-070 benefitAnnual → MK-CF-F-071 extraIncome → MK-CF-F-092 incomeMonthlyGrid → MK-CF-F-120 pctBaseMonthly → MK-CF-F-009 monthlyEssentials
7. MK-ST-F-039 on → MK-CF-F-071 extraIncome → MK-CF-F-092 incomeMonthlyGrid → MK-CF-F-120 pctBaseMonthly → MK-CF-F-009 monthlyEssentials
8. MK-XS-F-122 n → MK-ST-F-052 toNum → MK-CF-F-071 extraIncome → MK-CF-F-092 incomeMonthlyGrid → MK-CF-F-120 pctBaseMonthly → MK-CF-F-009 monthlyEssentials
9. … and 5 more paths</t>
  </si>
  <si>
    <t>MK-CF-F-010</t>
  </si>
  <si>
    <t>emergencyTest</t>
  </si>
  <si>
    <t>"What if a $X emergency hit right now?" — can your cash absorb it, and how long would you last.</t>
  </si>
  <si>
    <t>ess = essentials override   if essentials override ≠ nothing and essentials override &gt; 0
monthly essentials(op)   otherwise
cash after = cash − shock
recommended fund = ess × 3</t>
  </si>
  <si>
    <t>Ess is essentials override — when essentials override is not no answer and essentials override &gt; 0; monthly essentials(op) — otherwise. Cash after is cash minus shock. Recommended fund is ess times 3.</t>
  </si>
  <si>
    <t>1. op: OnboardingProfile | null
2. cash: number
3. shock: number
4. essentialsOverride?: number</t>
  </si>
  <si>
    <t>ShockResult</t>
  </si>
  <si>
    <t>1. Never lets cash after fall below 0.
2. G21 (2026-09-08): essentials a month = the figure handed in by the screen (MK-CF-F-190: logged average, else typed), falling back to the typed categories only when nothing is handed in.</t>
  </si>
  <si>
    <t>1. MK-CF-F-155 cash
2. MK-CF-F-009 monthlyEssentials</t>
  </si>
  <si>
    <t>1. MK-CF-F-155 cash
2. MK-CF-F-009 monthlyEssentials
3. MK-XS-F-122 n
4. MK-CF-F-120 pctBaseMonthly
5. MK-CF-F-002 plannedMonthlySpend
6. MK-CF-F-004 spendBuckets
7. MK-ST-F-052 toNum
8. MK-CF-F-092 incomeMonthlyGrid
9. MK-XS-F-027 takeHomeMonthly
10. MK-CF-F-003 categoryMonthly
11. MK-CF-F-069 benefitActiveMonths
12. MK-CF-F-072 currentRetirementIncomeMonthly
13. MK-CF-F-065 equityVestWeights
14. MK-CF-F-071 extraIncome
15. MK-ST-F-056 has
16. MK-CF-F-132 map
17. MK-CF-F-087 monthlyTaxRates
18. MK-CF-F-073 otherIncomeMonth
19. MK-CF-F-181 rateInForce
20. MK-CF-F-068 rentalNetAnnual
21. MK-CF-F-066 rsuAnnual
22. MK-CF-F-060 salaryGrossByMonth
23. MK-CF-F-077 scholarshipByCalendarMonth
24. MK-CF-F-088 taxableByCalendarMonth
25. MK-PL-F-012 waterfall
26. MK-CF-F-011 savingsByMonth
27. MK-CF-F-075 retirementIncomeMonthly
28. MK-CF-F-062 equityRowValue
29. MK-CF-F-070 benefitAnnual
30. MK-ST-F-039 on
31. MK-CF-F-090 effectiveRate
32. MK-CF-F-085 filingStatusOf
33. MK-CF-F-089 over65CountOf
34. MK-CF-F-098 progressiveMonthlyTax
35. MK-CF-F-086 stateRateOf
36. MK-CF-F-173 earnerWages
37. MK-CF-F-102 effectiveRateOnGrossFor
38. MK-CF-F-180 enteredLandsAnnual
39. MK-CF-F-082 salaryAnnual
40. MK-CF-F-084 taxableAnnual
41. MK-CF-F-067 rentalList
42. MK-CF-F-063 rowVestYear
43. MK-CF-F-176 sumMonthsOverEarners
44. MK-CF-F-177 wageGrossByMonth
45. MK-CF-F-008 spendByMonth
46. MK-CF-F-101 taxOwedFor
47. MK-CF-F-100 taxableIncomeFor
48. MK-CF-F-172 hasWage
49. MK-CF-F-074 tipsAnnual
50. MK-CF-F-130 enteredMonthlyRaw
51. MK-CF-F-166 hasMonthlySalaryTable
52. MK-ST-F-036 reconcile
53. MK-CF-F-167 salaryCalendarYear
54. MK-CF-F-099 deductionFor
55. MK-CF-F-081 salaryActiveMonths
56. MK-CF-F-165 salaryMonths
57. MK-CF-F-187 seniorDeductionFor</t>
  </si>
  <si>
    <t>1. MK-XS-F-122 n → MK-CF-F-155 cash → MK-CF-F-010 emergencyTest
2. MK-CF-F-069 benefitActiveMonths → MK-CF-F-092 incomeMonthlyGrid → MK-CF-F-120 pctBaseMonthly → MK-CF-F-009 monthlyEssentials → MK-CF-F-010 emergencyTest
3. MK-CF-F-075 retirementIncomeMonthly → MK-CF-F-072 currentRetirementIncomeMonthly → MK-CF-F-092 incomeMonthlyGrid → MK-CF-F-120 pctBaseMonthly → MK-CF-F-009 monthlyEssentials → MK-CF-F-010 emergencyTest
4. MK-CF-F-062 equityRowValue → MK-CF-F-065 equityVestWeights → MK-CF-F-092 incomeMonthlyGrid → MK-CF-F-120 pctBaseMonthly → MK-CF-F-009 monthlyEssentials → MK-CF-F-010 emergencyTest
5. MK-CF-F-132 map → MK-CF-F-065 equityVestWeights → MK-CF-F-092 incomeMonthlyGrid → MK-CF-F-120 pctBaseMonthly → MK-CF-F-009 monthlyEssentials → MK-CF-F-010 emergencyTest
6. MK-CF-F-070 benefitAnnual → MK-CF-F-071 extraIncome → MK-CF-F-092 incomeMonthlyGrid → MK-CF-F-120 pctBaseMonthly → MK-CF-F-009 monthlyEssentials → MK-CF-F-010 emergencyTest
7. MK-ST-F-039 on → MK-CF-F-071 extraIncome → MK-CF-F-092 incomeMonthlyGrid → MK-CF-F-120 pctBaseMonthly → MK-CF-F-009 monthlyEssentials → MK-CF-F-010 emergencyTest
8. MK-ST-F-052 toNum → MK-CF-F-071 extraIncome → MK-CF-F-092 incomeMonthlyGrid → MK-CF-F-120 pctBaseMonthly → MK-CF-F-009 monthlyEssentials → MK-CF-F-010 emergencyTest
9. … and 4 more paths</t>
  </si>
  <si>
    <t>TESTED, NOT VERIFIED (G21 / Q47)</t>
  </si>
  <si>
    <t>MK-CF-F-011</t>
  </si>
  <si>
    <t>savingsByMonth</t>
  </si>
  <si>
    <t>Discretionary amount free to save each month = take-home that month (after tax &amp; 401k) minus the expenses due that month.</t>
  </si>
  <si>
    <t>avail = income monthly grid(op, 'available')
spend = spend by month(op)
the answer:
for each of avail: label = label
amount = amount − spend[i]</t>
  </si>
  <si>
    <t>Avail is income monthly grid(op, 'available'). Spend is spend by month(op). The answer is for each of avail: label = label; amount = amount minus spend[i].</t>
  </si>
  <si>
    <t>1. MK-CF-F-092 incomeMonthlyGrid
2. MK-CF-F-132 map
3. MK-CF-F-008 spendByMonth</t>
  </si>
  <si>
    <t>1. MK-CF-F-092 incomeMonthlyGrid
2. MK-CF-F-132 map
3. MK-CF-F-008 spendByMonth
4. MK-CF-F-069 benefitActiveMonths
5. MK-CF-F-072 currentRetirementIncomeMonthly
6. MK-CF-F-065 equityVestWeights
7. MK-CF-F-071 extraIncome
8. MK-ST-F-056 has
9. MK-CF-F-087 monthlyTaxRates
10. MK-CF-F-073 otherIncomeMonth
11. MK-CF-F-181 rateInForce
12. MK-CF-F-068 rentalNetAnnual
13. MK-CF-F-066 rsuAnnual
14. MK-CF-F-060 salaryGrossByMonth
15. MK-CF-F-077 scholarshipByCalendarMonth
16. MK-CF-F-088 taxableByCalendarMonth
17. MK-ST-F-052 toNum
18. MK-PL-F-012 waterfall
19. MK-CF-F-120 pctBaseMonthly
20. MK-CF-F-004 spendBuckets
21. MK-CF-F-075 retirementIncomeMonthly
22. MK-CF-F-062 equityRowValue
23. MK-CF-F-070 benefitAnnual
24. MK-ST-F-039 on
25. MK-CF-F-090 effectiveRate
26. MK-CF-F-085 filingStatusOf
27. MK-CF-F-089 over65CountOf
28. MK-CF-F-098 progressiveMonthlyTax
29. MK-CF-F-086 stateRateOf
30. MK-CF-F-173 earnerWages
31. MK-CF-F-102 effectiveRateOnGrossFor
32. MK-CF-F-180 enteredLandsAnnual
33. MK-CF-F-082 salaryAnnual
34. MK-CF-F-084 taxableAnnual
35. MK-CF-F-067 rentalList
36. MK-CF-F-063 rowVestYear
37. MK-CF-F-176 sumMonthsOverEarners
38. MK-CF-F-177 wageGrossByMonth
39. MK-XS-F-122 n
40. MK-CF-F-003 categoryMonthly
41. MK-CF-F-101 taxOwedFor
42. MK-CF-F-100 taxableIncomeFor
43. MK-CF-F-172 hasWage
44. MK-CF-F-074 tipsAnnual
45. MK-CF-F-130 enteredMonthlyRaw
46. MK-CF-F-166 hasMonthlySalaryTable
47. MK-ST-F-036 reconcile
48. MK-CF-F-167 salaryCalendarYear
49. MK-XS-F-027 takeHomeMonthly
50. MK-CF-F-099 deductionFor
51. MK-CF-F-081 salaryActiveMonths
52. MK-CF-F-165 salaryMonths
53. MK-CF-F-187 seniorDeductionFor</t>
  </si>
  <si>
    <t>1. MK-CF-F-069 benefitActiveMonths → MK-CF-F-092 incomeMonthlyGrid → MK-CF-F-011 savingsByMonth
2. MK-XS-F-122 n → MK-ST-F-052 toNum → MK-CF-F-075 retirementIncomeMonthly → MK-CF-F-072 currentRetirementIncomeMonthly → MK-CF-F-092 incomeMonthlyGrid → MK-CF-F-011 savingsByMonth
3. MK-XS-F-122 n → MK-ST-F-052 toNum → MK-CF-F-062 equityRowValue → MK-CF-F-065 equityVestWeights → MK-CF-F-092 incomeMonthlyGrid → MK-CF-F-011 savingsByMonth
4. MK-CF-F-132 map → MK-CF-F-065 equityVestWeights → MK-CF-F-092 incomeMonthlyGrid → MK-CF-F-011 savingsByMonth
5. MK-CF-F-069 benefitActiveMonths → MK-CF-F-070 benefitAnnual → MK-CF-F-071 extraIncome → MK-CF-F-092 incomeMonthlyGrid → MK-CF-F-011 savingsByMonth
6. MK-XS-F-122 n → MK-ST-F-052 toNum → MK-CF-F-070 benefitAnnual → MK-CF-F-071 extraIncome → MK-CF-F-092 incomeMonthlyGrid → MK-CF-F-011 savingsByMonth
7. MK-ST-F-039 on → MK-CF-F-071 extraIncome → MK-CF-F-092 incomeMonthlyGrid → MK-CF-F-011 savingsByMonth
8. MK-XS-F-122 n → MK-ST-F-052 toNum → MK-CF-F-071 extraIncome → MK-CF-F-092 incomeMonthlyGrid → MK-CF-F-011 savingsByMonth
9. … and 5 more paths</t>
  </si>
  <si>
    <t>MK-CF-F-012</t>
  </si>
  <si>
    <t>annualCashflow</t>
  </si>
  <si>
    <t>ONE annual cash-flow roll-up, derived entirely from the per-month income grid + spendByMonth — the SAME bases the savings-plan and budget already use.</t>
  </si>
  <si>
    <t>sum = Σ over (rows: { amount: number }[]) =&gt; rows of (amount)
gross yr = sum(income monthly grid(op, 'gross'))
net yr = sum(income monthly grid(op, 'net'))
available yr = sum(income monthly grid(op, 'available'))
spend yr = Σ over spend by month(op) of (each)</t>
  </si>
  <si>
    <t>Sum: the amount added up across (rows: { amount: number }[]) =&gt; rows. Gross yr is sum(income monthly grid(op, 'gross')). Net yr is sum(income monthly grid(op, 'net')). Available yr is sum(income monthly grid(op, 'available')). Spend yr: the each added up across spend by month(op).</t>
  </si>
  <si>
    <t>1. MK-CF-F-092 incomeMonthlyGrid
2. MK-CF-F-008 spendByMonth</t>
  </si>
  <si>
    <t>1. MK-CF-F-092 incomeMonthlyGrid
2. MK-CF-F-008 spendByMonth
3. MK-CF-F-069 benefitActiveMonths
4. MK-CF-F-072 currentRetirementIncomeMonthly
5. MK-CF-F-065 equityVestWeights
6. MK-CF-F-071 extraIncome
7. MK-ST-F-056 has
8. MK-CF-F-132 map
9. MK-CF-F-087 monthlyTaxRates
10. MK-CF-F-073 otherIncomeMonth
11. MK-CF-F-181 rateInForce
12. MK-CF-F-068 rentalNetAnnual
13. MK-CF-F-066 rsuAnnual
14. MK-CF-F-060 salaryGrossByMonth
15. MK-CF-F-077 scholarshipByCalendarMonth
16. MK-CF-F-088 taxableByCalendarMonth
17. MK-ST-F-052 toNum
18. MK-PL-F-012 waterfall
19. MK-CF-F-120 pctBaseMonthly
20. MK-CF-F-004 spendBuckets
21. MK-CF-F-075 retirementIncomeMonthly
22. MK-CF-F-062 equityRowValue
23. MK-CF-F-070 benefitAnnual
24. MK-ST-F-039 on
25. MK-CF-F-090 effectiveRate
26. MK-CF-F-085 filingStatusOf
27. MK-CF-F-089 over65CountOf
28. MK-CF-F-098 progressiveMonthlyTax
29. MK-CF-F-086 stateRateOf
30. MK-CF-F-173 earnerWages
31. MK-CF-F-102 effectiveRateOnGrossFor
32. MK-CF-F-180 enteredLandsAnnual
33. MK-CF-F-082 salaryAnnual
34. MK-CF-F-084 taxableAnnual
35. MK-CF-F-067 rentalList
36. MK-CF-F-063 rowVestYear
37. MK-CF-F-176 sumMonthsOverEarners
38. MK-CF-F-177 wageGrossByMonth
39. MK-XS-F-122 n
40. MK-CF-F-003 categoryMonthly
41. MK-CF-F-101 taxOwedFor
42. MK-CF-F-100 taxableIncomeFor
43. MK-CF-F-172 hasWage
44. MK-CF-F-074 tipsAnnual
45. MK-CF-F-130 enteredMonthlyRaw
46. MK-CF-F-166 hasMonthlySalaryTable
47. MK-ST-F-036 reconcile
48. MK-CF-F-167 salaryCalendarYear
49. MK-XS-F-027 takeHomeMonthly
50. MK-CF-F-099 deductionFor
51. MK-CF-F-081 salaryActiveMonths
52. MK-CF-F-165 salaryMonths
53. MK-CF-F-011 savingsByMonth
54. MK-CF-F-187 seniorDeductionFor</t>
  </si>
  <si>
    <t>1. MK-CF-F-069 benefitActiveMonths → MK-CF-F-092 incomeMonthlyGrid → MK-CF-F-012 annualCashflow
2. MK-XS-F-122 n → MK-ST-F-052 toNum → MK-CF-F-075 retirementIncomeMonthly → MK-CF-F-072 currentRetirementIncomeMonthly → MK-CF-F-092 incomeMonthlyGrid → MK-CF-F-012 annualCashflow
3. MK-XS-F-122 n → MK-ST-F-052 toNum → MK-CF-F-062 equityRowValue → MK-CF-F-065 equityVestWeights → MK-CF-F-092 incomeMonthlyGrid → MK-CF-F-012 annualCashflow
4. MK-CF-F-132 map → MK-CF-F-065 equityVestWeights → MK-CF-F-092 incomeMonthlyGrid → MK-CF-F-012 annualCashflow
5. MK-CF-F-069 benefitActiveMonths → MK-CF-F-070 benefitAnnual → MK-CF-F-071 extraIncome → MK-CF-F-092 incomeMonthlyGrid → MK-CF-F-012 annualCashflow
6. MK-XS-F-122 n → MK-ST-F-052 toNum → MK-CF-F-070 benefitAnnual → MK-CF-F-071 extraIncome → MK-CF-F-092 incomeMonthlyGrid → MK-CF-F-012 annualCashflow
7. MK-ST-F-039 on → MK-CF-F-071 extraIncome → MK-CF-F-092 incomeMonthlyGrid → MK-CF-F-012 annualCashflow
8. MK-XS-F-122 n → MK-ST-F-052 toNum → MK-CF-F-071 extraIncome → MK-CF-F-092 incomeMonthlyGrid → MK-CF-F-012 annualCashflow
9. … and 5 more paths</t>
  </si>
  <si>
    <t>MK-CF-F-013</t>
  </si>
  <si>
    <t>budgetFromOnboarding</t>
  </si>
  <si>
    <t>NOT DETERMINED — the code carries no note saying what this is for, and it has no row in the old inventory. Needs reading.</t>
  </si>
  <si>
    <t>a = op (or none when missing)
b = spend buckets(op)</t>
  </si>
  <si>
    <t>A is op (or none — when missing). B is spend buckets(op).</t>
  </si>
  <si>
    <t>1. uid: UserId
2. op: OnboardingProfile | null</t>
  </si>
  <si>
    <t>BudgetDoc</t>
  </si>
  <si>
    <t>1. MK-CF-F-002 plannedMonthlySpend
2. MK-CF-F-004 spendBuckets
3. MK-XS-F-175 uid</t>
  </si>
  <si>
    <t>1. MK-CF-F-002 plannedMonthlySpend
2. MK-CF-F-004 spendBuckets
3. MK-XS-F-175 uid
4. MK-CF-F-092 incomeMonthlyGrid
5. MK-XS-F-027 takeHomeMonthly
6. MK-ST-F-052 toNum
7. MK-CF-F-003 categoryMonthly
8. MK-ST-F-027 accountId
9. MK-CF-F-111 applyTransaction
10. MK-NW-F-040 assetsFromOnboarding
11. MK-PF-F-013 benchmarkTicker
12. MK-ST-F-028 buildDayFromAccounts
13. MK-PF-F-034 closeOnOrBefore
14. MK-CF-F-186 convertTakeHomeMode
15. MK-CF-F-038 debtsFromOnboarding
16. MK-XS-F-083 fetchPriceSeries
17. MK-PL-F-013 goalsFromOnboarding
18. MK-ST-F-056 has
19. MK-CF-F-116 inverseOf
20. MK-ST-F-065 isoLocalDate
21. MK-CF-F-112 makeTransaction
22. MK-CF-F-132 map
23. MK-XS-F-122 n
24. MK-ST-F-043 newEntityId
25. MK-XS-F-006 pruneDaily
26. MK-ST-F-073 rebuildDays
27. MK-NW-F-054 reclassifyAccounts
28. MK-XS-F-174 recomputeBalances
29. MK-CF-F-115 restoreUndo
30. MK-CF-F-109 reviewTransactions
31. MK-ST-F-044 setMoneyFormat
32. MK-CF-F-114 undoSnapshot
33. MK-CF-F-191 ym
34. MK-CF-F-069 benefitActiveMonths
35. MK-CF-F-072 currentRetirementIncomeMonthly
36. MK-CF-F-065 equityVestWeights
37. MK-CF-F-071 extraIncome
38. MK-CF-F-087 monthlyTaxRates
39. MK-CF-F-073 otherIncomeMonth
40. MK-CF-F-181 rateInForce
41. MK-CF-F-068 rentalNetAnnual
42. MK-CF-F-066 rsuAnnual
43. MK-CF-F-060 salaryGrossByMonth
44. MK-CF-F-077 scholarshipByCalendarMonth
45. MK-CF-F-088 taxableByCalendarMonth
46. MK-PL-F-012 waterfall
47. MK-CF-F-011 savingsByMonth
48. MK-CF-F-120 pctBaseMonthly
49. MK-CF-F-138 addLot
50. MK-CF-F-136 bumpCash
51. MK-CF-F-137 findPos
52. MK-CF-F-139 removeShares
53. MK-PF-F-001 totalShares
54. MK-ST-F-053 money
55. MK-CF-F-085 filingStatusOf
56. MK-CF-F-097 grossFromNet
57. MK-CF-F-185 needsTakeHomeConversion
58. MK-CF-F-089 over65CountOf
59. MK-CF-F-037 inferDebtType
60. MK-ST-F-069 amountOf
61. MK-CF-F-133 cashOf
62. MK-ST-F-066 isDayKey
63. MK-ST-F-070 isOpening
64. MK-ST-F-071 rebuildableFrom
65. MK-ST-F-068 stepDay
66. MK-ST-F-072 undo
67. MK-NW-F-053 correctClassOf
68. MK-NW-F-008 incomeBearingClassOf
69. MK-PF-F-002 costBasis
70. MK-PF-F-009 latestClose
71. MK-PF-F-004 marketValue
72. MK-ST-F-030 record
73. MK-XS-F-024 resolveLens
74. MK-ST-F-055 round2
75. MK-CF-F-162 daysApart
76. MK-CF-F-108 isMoneyOut
77. MK-PL-F-074 median
78. MK-CF-F-131 normPayee
79. MK-CF-F-113 affectedAccountIds
80. MK-CF-F-075 retirementIncomeMonthly
81. MK-CF-F-062 equityRowValue
82. MK-CF-F-070 benefitAnnual
83. MK-ST-F-039 on
84. MK-CF-F-090 effectiveRate
85. MK-CF-F-098 progressiveMonthlyTax
86. MK-CF-F-086 stateRateOf
87. MK-CF-F-173 earnerWages
88. MK-CF-F-102 effectiveRateOnGrossFor
89. MK-CF-F-180 enteredLandsAnnual
90. MK-CF-F-082 salaryAnnual
91. MK-CF-F-084 taxableAnnual
92. MK-CF-F-067 rentalList
93. MK-CF-F-063 rowVestYear
94. MK-CF-F-176 sumMonthsOverEarners
95. MK-CF-F-177 wageGrossByMonth
96. MK-CF-F-008 spendByMonth
97. MK-CF-F-134 usesSleeve
98. MK-ST-F-049 formatMoney
99. MK-CF-F-101 taxOwedFor
100. MK-ST-F-067 utcOfDay
101. MK-CF-F-155 cash
102. MK-ST-F-035 covers
103. MK-NW-F-009 maturityClass
104. MK-ST-F-010 nameEvidence
105. MK-PF-F-031 contractMultiplier
106. MK-CF-F-100 taxableIncomeFor
107. MK-CF-F-172 hasWage
108. MK-CF-F-074 tipsAnnual
109. MK-CF-F-130 enteredMonthlyRaw
110. MK-CF-F-166 hasMonthlySalaryTable
111. MK-ST-F-036 reconcile
112. MK-CF-F-167 salaryCalendarYear
113. MK-ST-F-048 currencySymbol
114. MK-ST-F-034 firstDate
115. MK-XS-F-147 call
116. MK-CF-F-099 deductionFor
117. MK-CF-F-081 salaryActiveMonths
118. MK-CF-F-165 salaryMonths
119. MK-ST-F-047 activeCurrency
120. MK-XS-F-064 currentIdToken
121. MK-XS-F-112 relayUrl
122. MK-CF-F-187 seniorDeductionFor</t>
  </si>
  <si>
    <t>1. MK-CF-F-069 benefitActiveMonths → MK-CF-F-092 incomeMonthlyGrid → MK-CF-F-002 plannedMonthlySpend → MK-CF-F-013 budgetFromOnboarding
2. MK-ST-F-052 toNum → MK-CF-F-075 retirementIncomeMonthly → MK-CF-F-072 currentRetirementIncomeMonthly → MK-CF-F-092 incomeMonthlyGrid → MK-CF-F-002 plannedMonthlySpend → MK-CF-F-013 budgetFromOnboarding
3. MK-ST-F-052 toNum → MK-CF-F-062 equityRowValue → MK-CF-F-065 equityVestWeights → MK-CF-F-092 incomeMonthlyGrid → MK-CF-F-002 plannedMonthlySpend → MK-CF-F-013 budgetFromOnboarding
4. MK-CF-F-132 map → MK-CF-F-065 equityVestWeights → MK-CF-F-092 incomeMonthlyGrid → MK-CF-F-002 plannedMonthlySpend → MK-CF-F-013 budgetFromOnboarding
5. MK-CF-F-069 benefitActiveMonths → MK-CF-F-070 benefitAnnual → MK-CF-F-071 extraIncome → MK-CF-F-092 incomeMonthlyGrid → MK-CF-F-002 plannedMonthlySpend → MK-CF-F-013 budgetFromOnboarding
6. MK-ST-F-052 toNum → MK-CF-F-070 benefitAnnual → MK-CF-F-071 extraIncome → MK-CF-F-092 incomeMonthlyGrid → MK-CF-F-002 plannedMonthlySpend → MK-CF-F-013 budgetFromOnboarding
7. MK-ST-F-039 on → MK-CF-F-071 extraIncome → MK-CF-F-092 incomeMonthlyGrid → MK-CF-F-002 plannedMonthlySpend → MK-CF-F-013 budgetFromOnboarding
8. MK-XS-F-122 n → MK-ST-F-052 toNum → MK-CF-F-071 extraIncome → MK-CF-F-092 incomeMonthlyGrid → MK-CF-F-002 plannedMonthlySpend → MK-CF-F-013 budgetFromOnboarding
9. … and 5 more paths</t>
  </si>
  <si>
    <t>Month-to-date actual expenses vs the planned budget, bucketed.</t>
  </si>
  <si>
    <t>ym = `${now.get full year()}-${string(now.get month() + 1).pad start(2, '0')}`
planned = spend buckets(op)
spent = fixed = 0
nonmonthly = 0
flexible = 0
spent total = spent.fixed + spent.nonmonthly + spent.flexible
the answer:
month = ym
planned total = planned.monthly total
spent total = spent total
remaining = planned.monthly total − spent total
buckets = buckets</t>
  </si>
  <si>
    <t>Ym is `${now.get full year()}-${string(now.get month() plus 1).pad start(2, '0')}`. Planned is spend buckets(op). Spent is fixed = 0; nonmonthly = 0; flexible = 0. Spent total is spent.fixed plus spent.nonmonthly plus spent.flexible. The answer is month = ym; planned total = planned.monthly total; spent total = spent total; remaining = planned.monthly total minus spent total; buckets = buckets.</t>
  </si>
  <si>
    <t>1. expenses: any[]
2. op: OnboardingProfile | null
3. now: Date = new Date()</t>
  </si>
  <si>
    <t>BudgetVsActual</t>
  </si>
  <si>
    <t>1. "Actual expenses so far" — on the Home screen, under "THIS MONTH"
2. "No regular bills recorded." — on the Month detail screen, under "REGULAR BILLS"</t>
  </si>
  <si>
    <t>· Uses today's date from the device clock, so the answer changes by itself overnight.</t>
  </si>
  <si>
    <t>1. MK-CF-F-132 map
2. MK-CF-F-004 spendBuckets
3. MK-ST-F-052 toNum
4. MK-CF-F-191 ym</t>
  </si>
  <si>
    <t>1. MK-CF-F-132 map
2. MK-CF-F-004 spendBuckets
3. MK-ST-F-052 toNum
4. MK-CF-F-191 ym
5. MK-CF-F-003 categoryMonthly
6. MK-XS-F-122 n
7. MK-CF-F-120 pctBaseMonthly
8. MK-XS-F-027 takeHomeMonthly
9. MK-CF-F-092 incomeMonthlyGrid
10. MK-CF-F-011 savingsByMonth
11. MK-CF-F-069 benefitActiveMonths
12. MK-CF-F-072 currentRetirementIncomeMonthly
13. MK-CF-F-065 equityVestWeights
14. MK-CF-F-071 extraIncome
15. MK-ST-F-056 has
16. MK-CF-F-087 monthlyTaxRates
17. MK-CF-F-073 otherIncomeMonth
18. MK-CF-F-181 rateInForce
19. MK-CF-F-068 rentalNetAnnual
20. MK-CF-F-066 rsuAnnual
21. MK-CF-F-060 salaryGrossByMonth
22. MK-CF-F-077 scholarshipByCalendarMonth
23. MK-CF-F-088 taxableByCalendarMonth
24. MK-PL-F-012 waterfall
25. MK-CF-F-008 spendByMonth
26. MK-CF-F-075 retirementIncomeMonthly
27. MK-CF-F-062 equityRowValue
28. MK-CF-F-070 benefitAnnual
29. MK-ST-F-039 on
30. MK-CF-F-090 effectiveRate
31. MK-CF-F-085 filingStatusOf
32. MK-CF-F-089 over65CountOf
33. MK-CF-F-098 progressiveMonthlyTax
34. MK-CF-F-086 stateRateOf
35. MK-CF-F-173 earnerWages
36. MK-CF-F-102 effectiveRateOnGrossFor
37. MK-CF-F-180 enteredLandsAnnual
38. MK-CF-F-082 salaryAnnual
39. MK-CF-F-084 taxableAnnual
40. MK-CF-F-067 rentalList
41. MK-CF-F-063 rowVestYear
42. MK-CF-F-176 sumMonthsOverEarners
43. MK-CF-F-177 wageGrossByMonth
44. MK-CF-F-101 taxOwedFor
45. MK-CF-F-100 taxableIncomeFor
46. MK-CF-F-172 hasWage
47. MK-CF-F-074 tipsAnnual
48. MK-CF-F-130 enteredMonthlyRaw
49. MK-CF-F-166 hasMonthlySalaryTable
50. MK-ST-F-036 reconcile
51. MK-CF-F-167 salaryCalendarYear
52. MK-CF-F-099 deductionFor
53. MK-CF-F-081 salaryActiveMonths
54. MK-CF-F-165 salaryMonths
55. MK-CF-F-187 seniorDeductionFor</t>
  </si>
  <si>
    <t>MK-CF-F-015</t>
  </si>
  <si>
    <t>loadBudget</t>
  </si>
  <si>
    <t>3 · DEPENDENT (feeds an action only)</t>
  </si>
  <si>
    <t>It reaches outside the app for data and hands back what came back — no arithmetic of its own.</t>
  </si>
  <si>
    <t>NO ARITHMETIC — there is no formula to state</t>
  </si>
  <si>
    <t>uid: UserId</t>
  </si>
  <si>
    <t>1. MK-ST-F-027 accountId → MK-XS-F-175 uid → MK-CF-F-015 loadBudget
2. MK-CF-F-137 findPos → MK-CF-F-138 addLot → MK-CF-F-111 applyTransaction → MK-XS-F-175 uid → MK-CF-F-015 loadBudget
3. MK-CF-F-132 map → MK-CF-F-138 addLot → MK-CF-F-111 applyTransaction → MK-XS-F-175 uid → MK-CF-F-015 loadBudget
4. MK-ST-F-043 newEntityId → MK-CF-F-138 addLot → MK-CF-F-111 applyTransaction → MK-XS-F-175 uid → MK-CF-F-015 loadBudget
5. MK-CF-F-134 usesSleeve → MK-CF-F-136 bumpCash → MK-CF-F-111 applyTransaction → MK-XS-F-175 uid → MK-CF-F-015 loadBudget
6. MK-CF-F-137 findPos → MK-CF-F-111 applyTransaction → MK-XS-F-175 uid → MK-CF-F-015 loadBudget
7. MK-CF-F-132 map → MK-CF-F-111 applyTransaction → MK-XS-F-175 uid → MK-CF-F-015 loadBudget
8. MK-CF-F-137 findPos → MK-CF-F-139 removeShares → MK-CF-F-111 applyTransaction → MK-XS-F-175 uid → MK-CF-F-015 loadBudget
9. … and 4 more paths</t>
  </si>
  <si>
    <t>MK-CF-F-016</t>
  </si>
  <si>
    <t>saveBudget</t>
  </si>
  <si>
    <t>1 · ACTION</t>
  </si>
  <si>
    <t>It records or announces something and returns no figure — no arithmetic of its own.</t>
  </si>
  <si>
    <t>d: BudgetDoc</t>
  </si>
  <si>
    <t>MK-ST-F-042 setUserDoc</t>
  </si>
  <si>
    <t>1. MK-ST-F-042 setUserDoc
2. MK-XS-F-175 uid
3. MK-ST-F-027 accountId
4. MK-CF-F-111 applyTransaction
5. MK-NW-F-040 assetsFromOnboarding
6. MK-PF-F-013 benchmarkTicker
7. MK-ST-F-028 buildDayFromAccounts
8. MK-PF-F-034 closeOnOrBefore
9. MK-CF-F-186 convertTakeHomeMode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</si>
  <si>
    <t>1. MK-ST-F-027 accountId → MK-XS-F-175 uid → MK-ST-F-042 setUserDoc → MK-CF-F-016 saveBudget
2. MK-CF-F-137 findPos → MK-CF-F-138 addLot → MK-CF-F-111 applyTransaction → MK-XS-F-175 uid → MK-ST-F-042 setUserDoc → MK-CF-F-016 saveBudget
3. MK-CF-F-132 map → MK-CF-F-138 addLot → MK-CF-F-111 applyTransaction → MK-XS-F-175 uid → MK-ST-F-042 setUserDoc → MK-CF-F-016 saveBudget
4. MK-ST-F-043 newEntityId → MK-CF-F-138 addLot → MK-CF-F-111 applyTransaction → MK-XS-F-175 uid → MK-ST-F-042 setUserDoc → MK-CF-F-016 saveBudget
5. MK-CF-F-134 usesSleeve → MK-CF-F-136 bumpCash → MK-CF-F-111 applyTransaction → MK-XS-F-175 uid → MK-ST-F-042 setUserDoc → MK-CF-F-016 saveBudget
6. MK-CF-F-137 findPos → MK-CF-F-111 applyTransaction → MK-XS-F-175 uid → MK-ST-F-042 setUserDoc → MK-CF-F-016 saveBudget
7. MK-CF-F-132 map → MK-CF-F-111 applyTransaction → MK-XS-F-175 uid → MK-ST-F-042 setUserDoc → MK-CF-F-016 saveBudget
8. MK-CF-F-137 findPos → MK-CF-F-139 removeShares → MK-CF-F-111 applyTransaction → MK-XS-F-175 uid → MK-ST-F-042 setUserDoc → MK-CF-F-016 saveBudget
9. … and 4 more paths</t>
  </si>
  <si>
    <t>MK-CF-F-017</t>
  </si>
  <si>
    <t>publishSurplus</t>
  </si>
  <si>
    <t>Publish the authoritative surplus for Goals/Retirement to consume.</t>
  </si>
  <si>
    <t>1. uid: UserId
2. projectedToSave: number</t>
  </si>
  <si>
    <t>1. MK-ST-F-040 emit
2. MK-XS-F-175 uid</t>
  </si>
  <si>
    <t>1. MK-ST-F-040 emit
2. MK-XS-F-175 uid
3. MK-ST-F-027 accountId
4. MK-CF-F-111 applyTransaction
5. MK-NW-F-040 assetsFromOnboarding
6. MK-PF-F-013 benchmarkTicker
7. MK-ST-F-028 buildDayFromAccounts
8. MK-PF-F-034 closeOnOrBefore
9. MK-CF-F-186 convertTakeHomeMode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</si>
  <si>
    <t>1. MK-ST-F-040 emit → MK-CF-F-017 publishSurplus
2. MK-ST-F-027 accountId → MK-XS-F-175 uid → MK-CF-F-017 publishSurplus
3. MK-CF-F-137 findPos → MK-CF-F-138 addLot → MK-CF-F-111 applyTransaction → MK-XS-F-175 uid → MK-CF-F-017 publishSurplus
4. MK-CF-F-132 map → MK-CF-F-138 addLot → MK-CF-F-111 applyTransaction → MK-XS-F-175 uid → MK-CF-F-017 publishSurplus
5. MK-ST-F-043 newEntityId → MK-CF-F-138 addLot → MK-CF-F-111 applyTransaction → MK-XS-F-175 uid → MK-CF-F-017 publishSurplus
6. MK-CF-F-134 usesSleeve → MK-CF-F-136 bumpCash → MK-CF-F-111 applyTransaction → MK-XS-F-175 uid → MK-CF-F-017 publishSurplus
7. MK-CF-F-137 findPos → MK-CF-F-111 applyTransaction → MK-XS-F-175 uid → MK-CF-F-017 publishSurplus
8. MK-CF-F-132 map → MK-CF-F-111 applyTransaction → MK-XS-F-175 uid → MK-CF-F-017 publishSurplus
9. … and 4 more paths</t>
  </si>
  <si>
    <t>MK-CF-F-018</t>
  </si>
  <si>
    <t>equityByMonth</t>
  </si>
  <si>
    <t>src/domain/cashflow/index.ts</t>
  </si>
  <si>
    <t>Level annual equity spread across the months it vests (0 for most students).</t>
  </si>
  <si>
    <t>rows = op.rsu grants   if array.is array(op.rsu grants)
[]   otherwise
type = op.equity type (or 'rsu' when missing)
weights = zero12(); let total = 0
v = equity row value(r, type, op.opt strike, op.opt market)
m = string(date ?? '').match( ÷ \d{4}-(\d{1,2}) ÷ )
idx = min(11, max(0, +m[1] − 1))   if m
11   otherwise
annual = rsu annual(op), out = zero12()
[LOOP — the answer is found inside a loop the extractor cannot render; the steps above are the ones before it. Read by hand.]</t>
  </si>
  <si>
    <t>Rows is op.rsu grants — when array.is array(op.rsu grants); [] — otherwise. Type is op.equity type (or 'rsu' — when missing). Weights is zero12(); let total = 0. V is equity row value(r, type, op.opt strike, op.opt market). M is string(date ?? '').match( divided by \d{4}-(\d{1,2}) divided by ). Idx: the smaller of 11 and +m[1] minus 1, never below zero — when m; 11 — otherwise. Annual is rsu annual(op), out = zero12(). The answer is out. The answer is found inside a loop that cannot be rendered here; read the code by hand.</t>
  </si>
  <si>
    <t>op: Record&lt;string, any&gt;</t>
  </si>
  <si>
    <t>1. Uses a built-in total of 0.
2. Uses a built-in d a y m s of 86400000.</t>
  </si>
  <si>
    <t>1. MK-CF-F-062 equityRowValue
2. MK-CF-F-066 rsuAnnual
3. MK-CF-F-121 zero12</t>
  </si>
  <si>
    <t>1. MK-CF-F-062 equityRowValue
2. MK-CF-F-066 rsuAnnual
3. MK-CF-F-121 zero12
4. MK-ST-F-052 toNum
5. MK-CF-F-132 map
6. MK-CF-F-063 rowVestYear
7. MK-XS-F-122 n</t>
  </si>
  <si>
    <t>1. MK-XS-F-122 n → MK-ST-F-052 toNum → MK-CF-F-062 equityRowValue → MK-CF-F-018 equityByMonth
2. MK-XS-F-122 n → MK-ST-F-052 toNum → MK-CF-F-062 equityRowValue → MK-CF-F-066 rsuAnnual → MK-CF-F-018 equityByMonth
3. MK-CF-F-132 map → MK-CF-F-066 rsuAnnual → MK-CF-F-018 equityByMonth
4. MK-CF-F-063 rowVestYear → MK-CF-F-066 rsuAnnual → MK-CF-F-018 equityByMonth
5. MK-XS-F-122 n → MK-ST-F-052 toNum → MK-CF-F-066 rsuAnnual → MK-CF-F-018 equityByMonth
6. MK-CF-F-121 zero12 → MK-CF-F-018 equityByMonth</t>
  </si>
  <si>
    <t>MK-CF-F-019</t>
  </si>
  <si>
    <t>upcomingBills</t>
  </si>
  <si>
    <t>a = op (or none when missing)
buffer = opts.buffer days (or 2, lead = opts.ask lead days (or 10, horizon = opts.horizon days (or 365 when missing) when missing) when missing)
rate = effective rate(op)
b = spend buckets(op)
uncategorized = max(0, to num(monthly expenses) − monthly total)
steady out monthly = fixed + flexible + uncategorized
steady daily net = (steady in monthly − steady out monthly) × 12 ÷ 365
inflows = []
amt = to num(sc.amount); if (amt ≤ 0) continue
ms = sc.months   if count of array.is array(sc.months) and sc.months
[1]   otherwise
amt = to num(ln.amount); if (amt ≤ 0) continue
[LOOP — the answer is found inside a loop the extractor cannot render; the steps above are the ones before it. Read by hand.]
… the first steps only — the rest of the body needs reading by hand.</t>
  </si>
  <si>
    <t>A is op (or none — when missing). Buffer is opts.buffer days (or 2, lead = opts.ask lead days (or 10, horizon = opts.horizon days (or 365 — when missing) — when missing) — when missing). Rate is effective rate(op). B is spend buckets(op). Uncategorized is to num(monthly expenses, never below zero minus monthly total). Steady out monthly is fixed plus flexible plus uncategorized. Steady daily net is (steady in monthly minus steady out monthly) times 12 divided by 365. Inflows is []. Amt is to num(sc.amount); — when (amt is at most 0) continue. Ms is sc.months — when how many array.is array(sc.months) and sc.months there are; [1] — otherwise. Amt is to num(ln.amount); — when (amt is at most 0) continue. The answer is found inside a loop that cannot be rendered here; read the code by hand. Only the first steps are shown; the rest of the body needs reading by hand.</t>
  </si>
  <si>
    <t>Nothing is handed to it</t>
  </si>
  <si>
    <t>1. "Bill calendar" — on the Bill calendar screen
2. "If you can't pay everything, pay these first" — on the Bill calendar screen</t>
  </si>
  <si>
    <t>1. If buffer days is missing it uses 2.
2. If ask lead days is missing it uses 10.
3. If horizon days is missing it uses 365.
4. Turns a monthly figure into a year by multiplying by twelve.
5. Treats a year as 365 days.
6. Uses today's date from the device clock, so the answer changes by itself overnight.</t>
  </si>
  <si>
    <t>1. MK-CF-F-122 addDays
2. MK-CF-F-070 benefitAnnual
3. MK-CF-F-072 currentRetirementIncomeMonthly
4. MK-CF-F-160 daysBetweenDates
5. MK-CF-F-090 effectiveRate
6. MK-CF-F-061 grossSalaryMonthly
7. MK-ST-F-065 isoLocalDate
8. MK-CF-F-132 map
9. MK-CF-F-124 nextOccurrence
10. MK-CF-F-068 rentalNetAnnual
11. MK-CF-F-004 spendBuckets
12. MK-CF-F-084 taxableAnnual
13. MK-ST-F-052 toNum
14. MK-CF-F-083 totalGrossAnnual</t>
  </si>
  <si>
    <t>1. MK-CF-F-122 addDays
2. MK-CF-F-070 benefitAnnual
3. MK-CF-F-072 currentRetirementIncomeMonthly
4. MK-CF-F-160 daysBetweenDates
5. MK-CF-F-090 effectiveRate
6. MK-CF-F-061 grossSalaryMonthly
7. MK-ST-F-065 isoLocalDate
8. MK-CF-F-132 map
9. MK-CF-F-124 nextOccurrence
10. MK-CF-F-068 rentalNetAnnual
11. MK-CF-F-004 spendBuckets
12. MK-CF-F-084 taxableAnnual
13. MK-ST-F-052 toNum
14. MK-CF-F-083 totalGrossAnnual
15. MK-CF-F-069 benefitActiveMonths
16. MK-CF-F-075 retirementIncomeMonthly
17. MK-CF-F-181 rateInForce
18. MK-CF-F-060 salaryGrossByMonth
19. MK-CF-F-067 rentalList
20. MK-CF-F-003 categoryMonthly
21. MK-CF-F-071 extraIncome
22. MK-CF-F-066 rsuAnnual
23. MK-CF-F-082 salaryAnnual
24. MK-CF-F-074 tipsAnnual
25. MK-XS-F-122 n
26. MK-CF-F-173 earnerWages
27. MK-CF-F-102 effectiveRateOnGrossFor
28. MK-CF-F-180 enteredLandsAnnual
29. MK-CF-F-085 filingStatusOf
30. MK-CF-F-089 over65CountOf
31. MK-CF-F-086 stateRateOf
32. MK-CF-F-176 sumMonthsOverEarners
33. MK-CF-F-177 wageGrossByMonth
34. MK-CF-F-120 pctBaseMonthly
35. MK-XS-F-027 takeHomeMonthly
36. MK-ST-F-039 on
37. MK-CF-F-062 equityRowValue
38. MK-CF-F-063 rowVestYear
39. MK-CF-F-081 salaryActiveMonths
40. MK-CF-F-172 hasWage
41. MK-CF-F-101 taxOwedFor
42. MK-CF-F-130 enteredMonthlyRaw
43. MK-CF-F-166 hasMonthlySalaryTable
44. MK-ST-F-036 reconcile
45. MK-CF-F-167 salaryCalendarYear
46. MK-CF-F-092 incomeMonthlyGrid
47. MK-CF-F-011 savingsByMonth
48. MK-ST-F-056 has
49. MK-CF-F-100 taxableIncomeFor
50. MK-CF-F-165 salaryMonths
51. MK-CF-F-065 equityVestWeights
52. MK-CF-F-087 monthlyTaxRates
53. MK-CF-F-073 otherIncomeMonth
54. MK-CF-F-077 scholarshipByCalendarMonth
55. MK-CF-F-088 taxableByCalendarMonth
56. MK-PL-F-012 waterfall
57. MK-CF-F-008 spendByMonth
58. MK-CF-F-099 deductionFor
59. MK-CF-F-098 progressiveMonthlyTax
60. MK-CF-F-187 seniorDeductionFor</t>
  </si>
  <si>
    <t>1. MK-CF-F-122 addDays → MK-CF-F-019 upcomingBills
2. MK-CF-F-069 benefitActiveMonths → MK-CF-F-070 benefitAnnual → MK-CF-F-019 upcomingBills
3. MK-XS-F-122 n → MK-ST-F-052 toNum → MK-CF-F-070 benefitAnnual → MK-CF-F-019 upcomingBills
4. MK-XS-F-122 n → MK-ST-F-052 toNum → MK-CF-F-075 retirementIncomeMonthly → MK-CF-F-072 currentRetirementIncomeMonthly → MK-CF-F-019 upcomingBills
5. MK-CF-F-160 daysBetweenDates → MK-CF-F-019 upcomingBills
6. MK-ST-F-056 has → MK-CF-F-172 hasWage → MK-CF-F-173 earnerWages → MK-CF-F-181 rateInForce → MK-CF-F-090 effectiveRate → MK-CF-F-019 upcomingBills
7. MK-CF-F-100 taxableIncomeFor → MK-CF-F-101 taxOwedFor → MK-CF-F-102 effectiveRateOnGrossFor → MK-CF-F-181 rateInForce → MK-CF-F-090 effectiveRate → MK-CF-F-019 upcomingBills
8. MK-CF-F-172 hasWage → MK-CF-F-173 earnerWages → MK-CF-F-180 enteredLandsAnnual → MK-CF-F-181 rateInForce → MK-CF-F-090 effectiveRate → MK-CF-F-019 upcomingBills
9. … and 5 more paths</t>
  </si>
  <si>
    <t>MK-CF-F-020</t>
  </si>
  <si>
    <t>cashflowYear</t>
  </si>
  <si>
    <t>Build the 12-month cash-flow picture.</t>
  </si>
  <si>
    <t>a = op (or none when missing)
rate = effective rate(op)
start month = now.get month()
start year = now.get full year()
cal month = (s: number) =&gt; (start month + s) % 12
slot of = (m1to12: number) =&gt; ((m1to12 − 1) − start month + 12) % 12
now idx = start year × 12 + start month
slot of(m1to12)   when year is missing
idx = year × 12 + (m1to12 − 1) − now idx
the answer:
idx   if idx ≥ 0 and idx &lt; 12
-1   otherwise
beyond window = 0
… the first steps only — the rest of the body needs reading by hand.</t>
  </si>
  <si>
    <t>A is op (or none — when missing). Rate is effective rate(op). Start month is now.get month(). Start year is now.get full year(). Cal month is (s: number) =&gt; (start month plus s) % 12. Slot of is (m1to12: number) =&gt; ((m1to12 minus 1) minus start month plus 12) % 12. Now idx is start year times 12 plus start month. When year is missing, it answers slot of(m1to12). Idx is year times 12 plus (m1to12 minus 1) minus now idx. The answer is idx — when idx is at least 0 and idx &lt; 12; -1 — otherwise. Beyond window is 0. Only the first steps are shown; the rest of the body needs reading by hand.</t>
  </si>
  <si>
    <t>1. op: OnboardingProfile | null
2. startBalance = 0
3. now: Date = new Date()</t>
  </si>
  <si>
    <t>CashflowYear</t>
  </si>
  <si>
    <t>1. Uses a built-in beyond window of 0.
2. Turns a monthly figure into a year by multiplying by twelve.
3. Uses today's date from the device clock, so the answer changes by itself overnight.</t>
  </si>
  <si>
    <t>1. MK-CF-F-069 benefitActiveMonths
2. MK-CF-F-072 currentRetirementIncomeMonthly
3. MK-CF-F-090 effectiveRate
4. MK-CF-F-018 equityByMonth
5. MK-ST-F-056 has
6. MK-CF-F-132 map
7. MK-CF-F-073 otherIncomeMonth
8. MK-CF-F-068 rentalNetAnnual
9. MK-CF-F-060 salaryGrossByMonth
10. MK-CF-F-008 spendByMonth
11. MK-ST-F-052 toNum
12. MK-CF-F-121 zero12</t>
  </si>
  <si>
    <t>1. MK-CF-F-069 benefitActiveMonths
2. MK-CF-F-072 currentRetirementIncomeMonthly
3. MK-CF-F-090 effectiveRate
4. MK-CF-F-018 equityByMonth
5. MK-ST-F-056 has
6. MK-CF-F-132 map
7. MK-CF-F-073 otherIncomeMonth
8. MK-CF-F-068 rentalNetAnnual
9. MK-CF-F-060 salaryGrossByMonth
10. MK-CF-F-008 spendByMonth
11. MK-ST-F-052 toNum
12. MK-CF-F-121 zero12
13. MK-CF-F-075 retirementIncomeMonthly
14. MK-CF-F-181 rateInForce
15. MK-CF-F-062 equityRowValue
16. MK-CF-F-066 rsuAnnual
17. MK-CF-F-067 rentalList
18. MK-CF-F-176 sumMonthsOverEarners
19. MK-CF-F-177 wageGrossByMonth
20. MK-CF-F-120 pctBaseMonthly
21. MK-CF-F-004 spendBuckets
22. MK-XS-F-122 n
23. MK-CF-F-173 earnerWages
24. MK-CF-F-102 effectiveRateOnGrossFor
25. MK-CF-F-180 enteredLandsAnnual
26. MK-CF-F-085 filingStatusOf
27. MK-CF-F-089 over65CountOf
28. MK-CF-F-082 salaryAnnual
29. MK-CF-F-086 stateRateOf
30. MK-CF-F-084 taxableAnnual
31. MK-CF-F-063 rowVestYear
32. MK-CF-F-130 enteredMonthlyRaw
33. MK-CF-F-166 hasMonthlySalaryTable
34. MK-ST-F-036 reconcile
35. MK-CF-F-167 salaryCalendarYear
36. MK-CF-F-092 incomeMonthlyGrid
37. MK-CF-F-003 categoryMonthly
38. MK-CF-F-172 hasWage
39. MK-CF-F-101 taxOwedFor
40. MK-CF-F-071 extraIncome
41. MK-CF-F-074 tipsAnnual
42. MK-CF-F-165 salaryMonths
43. MK-CF-F-065 equityVestWeights
44. MK-CF-F-087 monthlyTaxRates
45. MK-CF-F-077 scholarshipByCalendarMonth
46. MK-CF-F-088 taxableByCalendarMonth
47. MK-PL-F-012 waterfall
48. MK-XS-F-027 takeHomeMonthly
49. MK-CF-F-100 taxableIncomeFor
50. MK-CF-F-070 benefitAnnual
51. MK-ST-F-039 on
52. MK-CF-F-081 salaryActiveMonths
53. MK-CF-F-098 progressiveMonthlyTax
54. MK-CF-F-011 savingsByMonth
55. MK-CF-F-099 deductionFor
56. MK-CF-F-187 seniorDeductionFor</t>
  </si>
  <si>
    <t>1. MK-CF-F-069 benefitActiveMonths → MK-CF-F-020 cashflowYear
2. MK-XS-F-122 n → MK-ST-F-052 toNum → MK-CF-F-075 retirementIncomeMonthly → MK-CF-F-072 currentRetirementIncomeMonthly → MK-CF-F-020 cashflowYear
3. MK-ST-F-056 has → MK-CF-F-172 hasWage → MK-CF-F-173 earnerWages → MK-CF-F-181 rateInForce → MK-CF-F-090 effectiveRate → MK-CF-F-020 cashflowYear
4. MK-CF-F-100 taxableIncomeFor → MK-CF-F-101 taxOwedFor → MK-CF-F-102 effectiveRateOnGrossFor → MK-CF-F-181 rateInForce → MK-CF-F-090 effectiveRate → MK-CF-F-020 cashflowYear
5. MK-CF-F-172 hasWage → MK-CF-F-173 earnerWages → MK-CF-F-180 enteredLandsAnnual → MK-CF-F-181 rateInForce → MK-CF-F-090 effectiveRate → MK-CF-F-020 cashflowYear
6. MK-XS-F-122 n → MK-ST-F-052 toNum → MK-CF-F-180 enteredLandsAnnual → MK-CF-F-181 rateInForce → MK-CF-F-090 effectiveRate → MK-CF-F-020 cashflowYear
7. MK-CF-F-085 filingStatusOf → MK-CF-F-181 rateInForce → MK-CF-F-090 effectiveRate → MK-CF-F-020 cashflowYear
8. MK-XS-F-122 n → MK-ST-F-052 toNum → MK-CF-F-089 over65CountOf → MK-CF-F-181 rateInForce → MK-CF-F-090 effectiveRate → MK-CF-F-020 cashflowYear
9. … and 5 more paths</t>
  </si>
  <si>
    <t>MK-CF-F-021</t>
  </si>
  <si>
    <t>defaultPaymentType</t>
  </si>
  <si>
    <t>src/domain/debt/index.ts</t>
  </si>
  <si>
    <t>B47 finding 11 — a debt's repayment SHAPE.</t>
  </si>
  <si>
    <t>'revolving'   if t = 'CREDIT_CARD' (or t = 'HELOC' when missing or zero)
'installment'   otherwise</t>
  </si>
  <si>
    <t>'revolving' — when t = 'CREDIT_CARD' (or t = 'HELOC' when missing or zero); 'installment' — otherwise.</t>
  </si>
  <si>
    <t>t: DebtType</t>
  </si>
  <si>
    <t>NonNullable&lt;Debt['payment_type']&gt;</t>
  </si>
  <si>
    <t>DEBT_SHAPE_DEFAULT</t>
  </si>
  <si>
    <t>MK-CF-F-022</t>
  </si>
  <si>
    <t>paymentShape</t>
  </si>
  <si>
    <t>payment type (or default payment type(debt type) when missing)</t>
  </si>
  <si>
    <t>payment type (or default payment type(debt type) — when missing).</t>
  </si>
  <si>
    <t>d: Debt</t>
  </si>
  <si>
    <t>MK-CF-F-021 defaultPaymentType</t>
  </si>
  <si>
    <t>MK-CF-F-021 defaultPaymentType → MK-CF-F-022 paymentShape</t>
  </si>
  <si>
    <t>MK-CF-F-023</t>
  </si>
  <si>
    <t>requiredPayment</t>
  </si>
  <si>
    <t>The payment reserved/required each month for a debt (planned payment, else the minimum).</t>
  </si>
  <si>
    <t>0   when payment shape(d) = 'due_in_full'
max(minimum monthly payment, monthly payment (or 0 when missing)) (or minimum monthly payment when missing or zero)</t>
  </si>
  <si>
    <t>When payment shape(d) = 'due_in_full', it answers 0. the larger of minimum monthly payment and monthly payment (or 0 — when missing) (or minimum monthly payment — when missing or zero).</t>
  </si>
  <si>
    <t>· If monthly payment is missing it uses 0.</t>
  </si>
  <si>
    <t>MK-CF-F-022 paymentShape</t>
  </si>
  <si>
    <t>1. MK-CF-F-022 paymentShape
2. MK-CF-F-021 defaultPaymentType</t>
  </si>
  <si>
    <t>MK-CF-F-021 defaultPaymentType → MK-CF-F-022 paymentShape → MK-CF-F-023 requiredPayment</t>
  </si>
  <si>
    <t>DEBT_REQUIRED_PAYMENT</t>
  </si>
  <si>
    <t>totalDebtMonthly</t>
  </si>
  <si>
    <t>Total monthly debt obligation across all debts (override-aware).</t>
  </si>
  <si>
    <t>Σ over debts of (required payment(each))</t>
  </si>
  <si>
    <t>the required payment(each) added up across debts.</t>
  </si>
  <si>
    <t>debts: Debt[]</t>
  </si>
  <si>
    <t>1. "DEBT-TO-INCOME" — on the Goals screen, under "DEBT-TO-INCOME"
2. "Income (take-home)" — on the budget screen</t>
  </si>
  <si>
    <t>1. MK-CF-F-023 requiredPayment
2. MK-CF-F-022 paymentShape
3. MK-CF-F-021 defaultPaymentType</t>
  </si>
  <si>
    <t>MK-CF-F-021 defaultPaymentType → MK-CF-F-022 paymentShape → MK-CF-F-023 requiredPayment → MK-CF-F-024 totalDebtMonthly</t>
  </si>
  <si>
    <t>DEBT_ACTUAL_TOTAL</t>
  </si>
  <si>
    <t>MK-CF-F-025</t>
  </si>
  <si>
    <t>minimumDebtService</t>
  </si>
  <si>
    <t>Term #9 — TWO clearly-named monthly-debt numbers (they're different concepts, not a bug to pick one): Σ MINIMUM required payments — the contractual obligation.</t>
  </si>
  <si>
    <t>Σ over debts (or none when missing) of (0   if payment shape(each) = 'due_in_full'
minimum monthly payment (or 0 when missing or zero)   otherwise)</t>
  </si>
  <si>
    <t>the 0 — when payment shape(each added up across debts (or none when missing) = 'due_in_full'; minimum monthly payment (or 0 — when missing or zero) — otherwise).</t>
  </si>
  <si>
    <t>"Total debt" — on the budget screen</t>
  </si>
  <si>
    <t>· If minimum monthly payment is missing it counts as zero, so nothing recorded and a real zero look the same.</t>
  </si>
  <si>
    <t>MK-CF-F-021 defaultPaymentType → MK-CF-F-022 paymentShape → MK-CF-F-025 minimumDebtService</t>
  </si>
  <si>
    <t>DEBT_MINIMUM_TOTAL</t>
  </si>
  <si>
    <t>MK-CF-F-026</t>
  </si>
  <si>
    <t>actualDebtPayment</t>
  </si>
  <si>
    <t>Σ ACTUAL payments (override ≥ minimum) — what actually leaves your account.</t>
  </si>
  <si>
    <t>total debt monthly(debts ?? [])</t>
  </si>
  <si>
    <t>total debt monthly(debts ?? []).</t>
  </si>
  <si>
    <t>MK-CF-F-024 totalDebtMonthly</t>
  </si>
  <si>
    <t>1. MK-CF-F-024 totalDebtMonthly
2. MK-CF-F-023 requiredPayment
3. MK-CF-F-022 paymentShape
4. MK-CF-F-021 defaultPaymentType</t>
  </si>
  <si>
    <t>MK-CF-F-021 defaultPaymentType → MK-CF-F-022 paymentShape → MK-CF-F-023 requiredPayment → MK-CF-F-024 totalDebtMonthly → MK-CF-F-026 actualDebtPayment</t>
  </si>
  <si>
    <t>DEBT_PAYMENTS_ACTUAL</t>
  </si>
  <si>
    <t>MK-CF-F-027</t>
  </si>
  <si>
    <t>totalDebtBalance</t>
  </si>
  <si>
    <t>Σ outstanding debt BALANCE — what you still owe (not a monthly payment).</t>
  </si>
  <si>
    <t>Σ over debts (or none when missing) of (remaining balance (or 0 when missing or zero))</t>
  </si>
  <si>
    <t>the remaining balance (or 0 — when missing or zero) added up across debts (or none — when missing).</t>
  </si>
  <si>
    <t>· If remaining balance is missing it counts as zero, so nothing recorded and a real zero look the same.</t>
  </si>
  <si>
    <t>MK-CF-F-028</t>
  </si>
  <si>
    <t>loanPayment</t>
  </si>
  <si>
    <t>UNIT LANDMINE (P0): `aprPct` is a PERCENT (7 = 7%), unlike Debt.interest_rate_apr which is a DECIMAL (0.07).</t>
  </si>
  <si>
    <t>dev = __DEV__   if __DEV__ is not a undefined
process.env.NODE_ENV ! = 'production'   otherwise
n = round(term years × 12), r = apr pct ÷ 100 ÷ 12
monthly = 0
total interest = 0
total paid = 0   when principal ≤ 0 (or n ≤ 0 when missing or zero)
monthly = (principal × r) ÷ (1 − math.pow(1 + r, -n))   if r &gt; 0
principal ÷ n   otherwise
total paid = monthly × n
the answer:
monthly = monthly
total interest = total paid − principal
total paid = total paid</t>
  </si>
  <si>
    <t>Dev is __DEV__ — when __DEV__ is a is missing undefined; process.env.NODE_ENV ! = 'production' — otherwise. N is term years times 12, to a whole number, r = apr pct divided by 100 divided by 12. When principal is at most 0 (or n is at most 0 — when missing or zero), it answers monthly = 0; total interest = 0; total paid = 0. Monthly is (principal times r) divided by (1 minus math.pow(1 plus r, -n)) — when r &gt; 0; principal divided by n — otherwise. Total paid is monthly times n. The answer is monthly = monthly; total interest = total paid minus principal; total paid = total paid.</t>
  </si>
  <si>
    <t>1. principal: number
2. aprPct: number
3. termYears: number</t>
  </si>
  <si>
    <t>LoanPlan</t>
  </si>
  <si>
    <t>"Pay off over (years)" — on the setup questions, which appear on more than one screen</t>
  </si>
  <si>
    <t>1. Turns a monthly figure into a year by multiplying by twelve.
2. Rounds the answer to a whole number.</t>
  </si>
  <si>
    <t>MK-XS-F-122 n</t>
  </si>
  <si>
    <t>MK-XS-F-122 n → MK-CF-F-028 loanPayment</t>
  </si>
  <si>
    <t>MK-CF-F-029</t>
  </si>
  <si>
    <t>monthsToClear</t>
  </si>
  <si>
    <t>── B47 finding 11: the installment two-way math — enter the payment OR the end date, the app computes the other.</t>
  </si>
  <si>
    <t>0   when principal ≤ 0
nothing   when payment ≤ 0
r = apr decimal ÷ 12
round up(principal ÷ payment)   when r ≤ 0
nothing   when payment ≤ principal × r
the answer = round up(math.log(payment ÷ (payment − principal × r)) ÷ math.log(1 + r))</t>
  </si>
  <si>
    <t>When principal is at most 0, it answers 0. When payment is at most 0, it answers no answer. R is apr decimal divided by 12. When r is at most 0, it answers principal divided by payment, rounded up. When payment is at most principal times r, it answers no answer. The answer is math.log(payment divided by (payment minus principal times r, rounded up) divided by math.log(1 plus r)).</t>
  </si>
  <si>
    <t>1. principal: number
2. aprDecimal: number
3. payment: number</t>
  </si>
  <si>
    <t>number | null</t>
  </si>
  <si>
    <t>"You pay /month" — on a card used on more than one screen (DebtEditorSheet)</t>
  </si>
  <si>
    <t>MK-CF-F-030</t>
  </si>
  <si>
    <t>paymentToClearBy</t>
  </si>
  <si>
    <t>Monthly payment that clears `principal` in `months` at decimal APR (amortization).</t>
  </si>
  <si>
    <t>0   when principal ≤ 0 (or months ≤ 0 when missing or zero)
r = apr decimal ÷ 12
monthly = (principal × r) ÷ (1 − math.pow(1 + r, -months))   if r &gt; 0
principal ÷ months   otherwise
the answer = round up(monthly × 100) ÷ 100</t>
  </si>
  <si>
    <t>When principal is at most 0 (or months is at most 0 — when missing or zero), it answers 0. R is apr decimal divided by 12. Monthly is (principal times r) divided by (1 minus math.pow(1 plus r, -months)) — when r &gt; 0; principal divided by months — otherwise. The answer is monthly times 100, rounded up divided by 100.</t>
  </si>
  <si>
    <t>1. principal: number
2. aprDecimal: number
3. months: number</t>
  </si>
  <si>
    <t>MK-CF-F-031</t>
  </si>
  <si>
    <t>creditUtilization</t>
  </si>
  <si>
    <t>ratio = balance ÷ limit   if limit &gt; 0
0   otherwise
status = 'good'   if ratio ≤ 0.30
'caution'   if ratio ≤ 0.50
'high'   otherwise   otherwise
the answer:
ratio = round(ratio, 3 dp)
status = status</t>
  </si>
  <si>
    <t>Ratio is balance divided by limit — when limit &gt; 0; 0 — otherwise. Status is 'good' — when ratio is at most 0.30; 'caution' — when ratio is at most 0.50; 'high' — otherwise — otherwise. The answer is ratio = ratio, to 3 decimal places; status = status.</t>
  </si>
  <si>
    <t>1. balance: number
2. limit: number</t>
  </si>
  <si>
    <t>CreditUtil</t>
  </si>
  <si>
    <t>"Total credit limit" — on the Credit screen</t>
  </si>
  <si>
    <t>· Rounds the answer to 3 decimal places.</t>
  </si>
  <si>
    <t>MK-CF-F-032</t>
  </si>
  <si>
    <t>creditScoreBand</t>
  </si>
  <si>
    <t>label = 'Excellent'
good = true   when score ≥ 800
label = 'very good'
good = true   when score ≥ 740
label = 'Good'
good = true   when score ≥ 670
label = 'Fair'
good = false   when score ≥ 580
label = 'Poor'
good = false</t>
  </si>
  <si>
    <t>When score is at least 800, it answers label = 'Excellent'; good = true. When score is at least 740, it answers label = 'very good'; good = true. When score is at least 670, it answers label = 'Good'; good = true. When score is at least 580, it answers label = 'Fair'; good = false. label = 'Poor'; good = false.</t>
  </si>
  <si>
    <t>score: number</t>
  </si>
  <si>
    <t>"Your credit score (optional)" — on the Credit screen</t>
  </si>
  <si>
    <t>MK-CF-F-033</t>
  </si>
  <si>
    <t>debtToIncome</t>
  </si>
  <si>
    <t>ratio = monthly debt ÷ gross monthly   if gross monthly &gt; 0
0   otherwise
guideline = 0.36   if homeowner
0.20   otherwise
status = 'good'   if ratio ≤ guideline
'caution'   if ratio ≤ guideline × 1.4
'high'   otherwise   otherwise
the answer:
ratio = round(ratio, 3 dp)
monthly debt = monthly debt
gross monthly = gross monthly
guideline = guideline
status = status</t>
  </si>
  <si>
    <t>Ratio is monthly debt divided by gross monthly — when gross monthly &gt; 0; 0 — otherwise. Guideline is 0.36 — when homeowner; 0.20 — otherwise. Status is 'good' — when ratio is at most guideline; 'caution' — when ratio is at most guideline times 1.4; 'high' — otherwise — otherwise. The answer is ratio = ratio, to 3 decimal places; monthly debt = monthly debt; gross monthly = gross monthly; guideline = guideline; status = status.</t>
  </si>
  <si>
    <t>1. monthlyDebt: number
2. grossMonthly: number
3. homeowner = false</t>
  </si>
  <si>
    <t>DTI</t>
  </si>
  <si>
    <t>"DEBT-TO-INCOME" — on the Goals screen, under "DEBT-TO-INCOME"</t>
  </si>
  <si>
    <t>payoffPlan</t>
  </si>
  <si>
    <t>Simulate paying off debts with a constant monthly budget (sum of minimums + extra), rolling each cleared debt's freed-up payment into the next per the chosen method.</t>
  </si>
  <si>
    <t>each month:  balance ← balance + balance × rate ÷ 12
             pay each debt its minimum, once its first payment month has arrived
             pay everything left over to ONE debt — highest rate (avalanche)
                                              or smallest balance (snowball)
             a debt clears when its balance falls to a cent or less, and its payment
                 rolls into the budget for the next one
stops at 600 months and reports "never pays off"</t>
  </si>
  <si>
    <t>Rolls every debt forward a month at a time on one constant budget. Interest is charged before anything is paid. Debts due in full as a lump are taken out of this and settled in their own month. A loan whose first payment has not arrived still accrues interest but is not paid. The roll-over of a cleared debt's payment into the next is what makes the answer right, and none of this is in the master file — finding A43.</t>
  </si>
  <si>
    <t>READ BY HAND 2026-08-26 — checked line by line against the code</t>
  </si>
  <si>
    <t>1. debts: Debt[]
2. extraMonthly: number
3. method: PayoffMethod = 'avalanche'
4. now: Date = new Date()</t>
  </si>
  <si>
    <t>PayoffResult</t>
  </si>
  <si>
    <t>1. "Add any loans or credit cards to plan your payoff." — on the budget screen
2. "Extra / month (beyond minimums)" — on the Goals screen, under "DEBT PAYOFF PLAN"
3. "Extra / month" — on the budget screen
4. "Income (take-home)" — on the budget screen
5. "No budget yet" — on the budget screen
6. "Payoff plan" — on the budget screen</t>
  </si>
  <si>
    <t>1. Uses a built-in month of 0.
2. Turns a monthly figure into a year by multiplying by twelve.
3. Uses today's date from the device clock, so the answer changes by itself overnight.
4. Never lets extra monthly fall below 0.</t>
  </si>
  <si>
    <t>1. MK-CF-F-132 map
2. MK-CF-F-022 paymentShape</t>
  </si>
  <si>
    <t>1. MK-CF-F-132 map
2. MK-CF-F-022 paymentShape
3. MK-CF-F-021 defaultPaymentType</t>
  </si>
  <si>
    <t>1. MK-CF-F-132 map → MK-CF-F-034 payoffPlan
2. MK-CF-F-021 defaultPaymentType → MK-CF-F-022 paymentShape → MK-CF-F-034 payoffPlan</t>
  </si>
  <si>
    <t>MK-CF-F-035</t>
  </si>
  <si>
    <t>debtKind</t>
  </si>
  <si>
    <t>What do we know about this kind of debt?</t>
  </si>
  <si>
    <t>id = id); }</t>
  </si>
  <si>
    <t>id?: string</t>
  </si>
  <si>
    <t>"Add a debt →" — on the Net worth screen, under "💳  DEBTS"</t>
  </si>
  <si>
    <t>· Uses a built-in t o x i c a p r of 7%.</t>
  </si>
  <si>
    <t>DEBT_TYPE_FACTS</t>
  </si>
  <si>
    <t>MK-CF-F-036</t>
  </si>
  <si>
    <t>buildDebtState</t>
  </si>
  <si>
    <t>What is the whole debt picture?</t>
  </si>
  <si>
    <t>total debt balance = round(Σ over every debt of (remaining balance), 2 dp)
toxic debt         = round(Σ over debts where rate &gt; 10% of (remaining balance), 2 dp)
highest rate debt  = the debt with the largest rate</t>
  </si>
  <si>
    <t>Adds up what is still owed on every debt, in full and as of today — no interest accrued since the balance was set, no maturity, no distinction between a mortgage and a card. Separately totals the debts above the toxic rate, and names the single most expensive one.</t>
  </si>
  <si>
    <t>1. uid: UserId
2. debts: Debt[]</t>
  </si>
  <si>
    <t>DebtState</t>
  </si>
  <si>
    <t>1. "DEBTS" — on the Net worth screen, under "DEBTS"
2. "Monthly debt payments" — on the Net worth screen, under "💳  DEBTS"
3. "Net worth so far" — on the Net worth screen, under "EMERGENCY FUND"</t>
  </si>
  <si>
    <t>1. MK-CF-F-026 actualDebtPayment
2. MK-CF-F-025 minimumDebtService
3. MK-XS-F-175 uid</t>
  </si>
  <si>
    <t>1. MK-CF-F-026 actualDebtPayment
2. MK-CF-F-025 minimumDebtService
3. MK-XS-F-175 uid
4. MK-CF-F-024 totalDebtMonthly
5. MK-CF-F-022 paymentShape
6. MK-ST-F-027 accountId
7. MK-CF-F-111 applyTransaction
8. MK-NW-F-040 assetsFromOnboarding
9. MK-PF-F-013 benchmarkTicker
10. MK-ST-F-028 buildDayFromAccounts
11. MK-PF-F-034 closeOnOrBefore
12. MK-CF-F-186 convertTakeHomeMode
13. MK-CF-F-038 debtsFromOnboarding
14. MK-XS-F-083 fetchPriceSeries
15. MK-PL-F-013 goalsFromOnboarding
16. MK-ST-F-056 has
17. MK-CF-F-116 inverseOf
18. MK-ST-F-065 isoLocalDate
19. MK-CF-F-112 makeTransaction
20. MK-CF-F-132 map
21. MK-XS-F-122 n
22. MK-ST-F-043 newEntityId
23. MK-XS-F-006 pruneDaily
24. MK-ST-F-073 rebuildDays
25. MK-NW-F-054 reclassifyAccounts
26. MK-XS-F-174 recomputeBalances
27. MK-CF-F-115 restoreUndo
28. MK-CF-F-109 reviewTransactions
29. MK-ST-F-044 setMoneyFormat
30. MK-CF-F-114 undoSnapshot
31. MK-CF-F-191 ym
32. MK-CF-F-023 requiredPayment
33. MK-CF-F-021 defaultPaymentType
34. MK-CF-F-138 addLot
35. MK-CF-F-136 bumpCash
36. MK-CF-F-137 findPos
37. MK-CF-F-139 removeShares
38. MK-PF-F-001 totalShares
39. MK-ST-F-052 toNum
40. MK-ST-F-053 money
41. MK-CF-F-085 filingStatusOf
42. MK-CF-F-097 grossFromNet
43. MK-CF-F-185 needsTakeHomeConversion
44. MK-CF-F-089 over65CountOf
45. MK-CF-F-037 inferDebtType
46. MK-ST-F-069 amountOf
47. MK-CF-F-133 cashOf
48. MK-ST-F-066 isDayKey
49. MK-ST-F-070 isOpening
50. MK-ST-F-071 rebuildableFrom
51. MK-ST-F-068 stepDay
52. MK-ST-F-072 undo
53. MK-NW-F-053 correctClassOf
54. MK-NW-F-008 incomeBearingClassOf
55. MK-PF-F-002 costBasis
56. MK-PF-F-009 latestClose
57. MK-PF-F-004 marketValue
58. MK-ST-F-030 record
59. MK-XS-F-024 resolveLens
60. MK-ST-F-055 round2
61. MK-CF-F-162 daysApart
62. MK-CF-F-108 isMoneyOut
63. MK-PL-F-074 median
64. MK-CF-F-131 normPayee
65. MK-CF-F-113 affectedAccountIds
66. MK-CF-F-134 usesSleeve
67. MK-ST-F-049 formatMoney
68. MK-CF-F-101 taxOwedFor
69. MK-ST-F-067 utcOfDay
70. MK-CF-F-155 cash
71. MK-ST-F-035 covers
72. MK-NW-F-009 maturityClass
73. MK-ST-F-010 nameEvidence
74. MK-PF-F-031 contractMultiplier
75. MK-CF-F-072 currentRetirementIncomeMonthly
76. MK-ST-F-048 currencySymbol
77. MK-ST-F-039 on
78. MK-CF-F-100 taxableIncomeFor
79. MK-ST-F-034 firstDate
80. MK-XS-F-147 call
81. MK-CF-F-075 retirementIncomeMonthly
82. MK-ST-F-047 activeCurrency
83. MK-CF-F-099 deductionFor
84. MK-XS-F-064 currentIdToken
85. MK-XS-F-112 relayUrl
86. MK-CF-F-187 seniorDeductionFor</t>
  </si>
  <si>
    <t>1. MK-CF-F-021 defaultPaymentType → MK-CF-F-022 paymentShape → MK-CF-F-023 requiredPayment → MK-CF-F-024 totalDebtMonthly → MK-CF-F-026 actualDebtPayment → MK-CF-F-036 buildDebtState
2. MK-CF-F-021 defaultPaymentType → MK-CF-F-022 paymentShape → MK-CF-F-025 minimumDebtService → MK-CF-F-036 buildDebtState
3. MK-ST-F-027 accountId → MK-XS-F-175 uid → MK-CF-F-036 buildDebtState
4. MK-CF-F-137 findPos → MK-CF-F-138 addLot → MK-CF-F-111 applyTransaction → MK-XS-F-175 uid → MK-CF-F-036 buildDebtState
5. MK-CF-F-132 map → MK-CF-F-138 addLot → MK-CF-F-111 applyTransaction → MK-XS-F-175 uid → MK-CF-F-036 buildDebtState
6. MK-ST-F-043 newEntityId → MK-CF-F-138 addLot → MK-CF-F-111 applyTransaction → MK-XS-F-175 uid → MK-CF-F-036 buildDebtState
7. MK-CF-F-134 usesSleeve → MK-CF-F-136 bumpCash → MK-CF-F-111 applyTransaction → MK-XS-F-175 uid → MK-CF-F-036 buildDebtState
8. MK-CF-F-137 findPos → MK-CF-F-111 applyTransaction → MK-XS-F-175 uid → MK-CF-F-036 buildDebtState
9. … and 4 more paths</t>
  </si>
  <si>
    <t>DEBT_PICTURE</t>
  </si>
  <si>
    <t>MK-CF-F-037</t>
  </si>
  <si>
    <t>inferDebtType</t>
  </si>
  <si>
    <t>B-30: infer the debt type from its name so a "Mortgage" is treated as a mortgage (homeowner DTI guideline), not lumped into OTHER (renter guideline).</t>
  </si>
  <si>
    <t>s = (label ?? '').to lower case()
'HELOC'   when ÷ heloc|home\s × equity ÷ .test(s)
'MORTGAGE'   when ÷ mortgage|home\s × loan ÷ .test(s)
'AUTO'   when ÷ auto|car\s × loan|vehicle ÷ .test(s)
'STUDENT_LOAN'   when ÷ student|tuition ÷ .test(s)
'CREDIT_CARD'   when ÷ credit\s × card|visa|mastercard|amex ÷ .test(s)
'MEDICAL'   when ÷ medical|hospital|dental ÷ .test(s)
'PERSONAL'   when ÷ personal ÷ .test(s)
the answer = 'OTHER'</t>
  </si>
  <si>
    <t>S is (label ?? '').to lower case(). When ÷ heloc|home\s times equity divided by .test(s), it answers 'HELOC'. When ÷ mortgage|home\s times loan divided by .test(s), it answers 'MORTGAGE'. When ÷ auto|car\s times loan|vehicle divided by .test(s), it answers 'AUTO'. When ÷ student|tuition divided by .test(s), it answers 'STUDENT_LOAN'. When ÷ credit\s times card|visa|mastercard|amex divided by .test(s), it answers 'CREDIT_CARD'. When ÷ medical|hospital|dental divided by .test(s), it answers 'MEDICAL'. When ÷ personal divided by .test(s), it answers 'PERSONAL'. The answer is 'OTHER'.</t>
  </si>
  <si>
    <t>label: string | undefined</t>
  </si>
  <si>
    <t>DebtType</t>
  </si>
  <si>
    <t>DEBT_TYPE_FROM_NAME</t>
  </si>
  <si>
    <t>MK-CF-F-038</t>
  </si>
  <si>
    <t>debtsFromOnboarding</t>
  </si>
  <si>
    <t>What debts should exist from the setup answers?</t>
  </si>
  <si>
    <t>a = op (or none when missing)
debts = []
bal = debt balance read as a number (0 when it is not one)
label = debt name (or 'Debt' when missing) (or 'Debt' when missing or zero)
the answer:
user id = uid
debts = debts</t>
  </si>
  <si>
    <t>A is op (or none — when missing). Debts is []. Bal is debt balance read as a number (0 — when it is one is missing). Label is debt name (or 'Debt' — when missing) (or 'Debt' — when missing or zero). The answer is user id = uid; debts = debts.</t>
  </si>
  <si>
    <t>1. uid: UserId
2. op: Record&lt;string, any&gt; | null</t>
  </si>
  <si>
    <t>DebtDoc</t>
  </si>
  <si>
    <t>1. MK-CF-F-037 inferDebtType
2. MK-ST-F-043 newEntityId
3. MK-ST-F-052 toNum
4. MK-XS-F-175 uid</t>
  </si>
  <si>
    <t>1. MK-CF-F-037 inferDebtType
2. MK-ST-F-043 newEntityId
3. MK-ST-F-052 toNum
4. MK-XS-F-175 uid
5. MK-XS-F-122 n
6. MK-ST-F-027 accountId
7. MK-CF-F-111 applyTransaction
8. MK-NW-F-040 assetsFromOnboarding
9. MK-PF-F-013 benchmarkTicker
10. MK-ST-F-028 buildDayFromAccounts
11. MK-PF-F-034 closeOnOrBefore
12. MK-CF-F-186 convertTakeHomeMode
13. MK-XS-F-083 fetchPriceSeries
14. MK-PL-F-013 goalsFromOnboarding
15. MK-ST-F-056 has
16. MK-CF-F-116 inverseOf
17. MK-ST-F-065 isoLocalDate
18. MK-CF-F-112 makeTransaction
19. MK-CF-F-132 map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MK-ST-F-053 money
35. MK-CF-F-085 filingStatusOf
36. MK-CF-F-097 grossFromNet
37. MK-CF-F-185 needsTakeHomeConversion
38. MK-CF-F-089 over65CountOf
39. MK-ST-F-069 amountOf
40. MK-CF-F-133 cashOf
41. MK-ST-F-066 isDayKey
42. MK-ST-F-070 isOpening
43. MK-ST-F-071 rebuildableFrom
44. MK-ST-F-068 stepDay
45. MK-ST-F-072 undo
46. MK-NW-F-053 correctClassOf
47. MK-NW-F-008 incomeBearingClassOf
48. MK-PF-F-002 costBasis
49. MK-PF-F-009 latestClose
50. MK-PF-F-004 marketValue
51. MK-ST-F-030 record
52. MK-XS-F-024 resolveLens
53. MK-ST-F-055 round2
54. MK-CF-F-162 daysApart
55. MK-CF-F-108 isMoneyOut
56. MK-PL-F-074 median
57. MK-CF-F-131 normPayee
58. MK-CF-F-113 affectedAccountIds
59. MK-CF-F-134 usesSleeve
60. MK-ST-F-049 formatMoney
61. MK-CF-F-101 taxOwedFor
62. MK-ST-F-067 utcOfDay
63. MK-CF-F-155 cash
64. MK-ST-F-035 covers
65. MK-NW-F-009 maturityClass
66. MK-ST-F-010 nameEvidence
67. MK-PF-F-031 contractMultiplier
68. MK-CF-F-072 currentRetirementIncomeMonthly
69. MK-ST-F-048 currencySymbol
70. MK-ST-F-039 on
71. MK-CF-F-100 taxableIncomeFor
72. MK-ST-F-034 firstDate
73. MK-XS-F-147 call
74. MK-CF-F-075 retirementIncomeMonthly
75. MK-ST-F-047 activeCurrency
76. MK-CF-F-099 deductionFor
77. MK-XS-F-064 currentIdToken
78. MK-XS-F-112 relayUrl
79. MK-CF-F-187 seniorDeductionFor</t>
  </si>
  <si>
    <t>1. MK-CF-F-037 inferDebtType → MK-CF-F-038 debtsFromOnboarding
2. MK-ST-F-043 newEntityId → MK-CF-F-038 debtsFromOnboarding
3. MK-XS-F-122 n → MK-ST-F-052 toNum → MK-CF-F-038 debtsFromOnboarding
4. MK-ST-F-027 accountId → MK-XS-F-175 uid → MK-CF-F-038 debtsFromOnboarding
5. MK-CF-F-137 findPos → MK-CF-F-138 addLot → MK-CF-F-111 applyTransaction → MK-XS-F-175 uid → MK-CF-F-038 debtsFromOnboarding
6. MK-CF-F-132 map → MK-CF-F-138 addLot → MK-CF-F-111 applyTransaction → MK-XS-F-175 uid → MK-CF-F-038 debtsFromOnboarding
7. MK-ST-F-043 newEntityId → MK-CF-F-138 addLot → MK-CF-F-111 applyTransaction → MK-XS-F-175 uid → MK-CF-F-038 debtsFromOnboarding
8. MK-CF-F-134 usesSleeve → MK-CF-F-136 bumpCash → MK-CF-F-111 applyTransaction → MK-XS-F-175 uid → MK-CF-F-038 debtsFromOnboarding
9. … and 4 more paths</t>
  </si>
  <si>
    <t>DEBTS_FROM_SETUP</t>
  </si>
  <si>
    <t>MK-CF-F-039</t>
  </si>
  <si>
    <t>loadDebt</t>
  </si>
  <si>
    <t>1. MK-ST-F-027 accountId → MK-XS-F-175 uid → MK-CF-F-039 loadDebt
2. MK-CF-F-137 findPos → MK-CF-F-138 addLot → MK-CF-F-111 applyTransaction → MK-XS-F-175 uid → MK-CF-F-039 loadDebt
3. MK-CF-F-132 map → MK-CF-F-138 addLot → MK-CF-F-111 applyTransaction → MK-XS-F-175 uid → MK-CF-F-039 loadDebt
4. MK-ST-F-043 newEntityId → MK-CF-F-138 addLot → MK-CF-F-111 applyTransaction → MK-XS-F-175 uid → MK-CF-F-039 loadDebt
5. MK-CF-F-134 usesSleeve → MK-CF-F-136 bumpCash → MK-CF-F-111 applyTransaction → MK-XS-F-175 uid → MK-CF-F-039 loadDebt
6. MK-CF-F-137 findPos → MK-CF-F-111 applyTransaction → MK-XS-F-175 uid → MK-CF-F-039 loadDebt
7. MK-CF-F-132 map → MK-CF-F-111 applyTransaction → MK-XS-F-175 uid → MK-CF-F-039 loadDebt
8. MK-CF-F-137 findPos → MK-CF-F-139 removeShares → MK-CF-F-111 applyTransaction → MK-XS-F-175 uid → MK-CF-F-039 loadDebt
9. … and 4 more paths</t>
  </si>
  <si>
    <t>MK-CF-F-040</t>
  </si>
  <si>
    <t>saveDebt</t>
  </si>
  <si>
    <t>d: DebtDoc</t>
  </si>
  <si>
    <t>d.user_id }); }</t>
  </si>
  <si>
    <t>1. MK-ST-F-040 emit
2. MK-ST-F-042 setUserDoc</t>
  </si>
  <si>
    <t>1. MK-ST-F-040 emit
2. MK-ST-F-042 setUserDoc
3. MK-XS-F-175 uid
4. MK-ST-F-027 accountId
5. MK-CF-F-111 applyTransaction
6. MK-NW-F-040 assetsFromOnboarding
7. MK-PF-F-013 benchmarkTicker
8. MK-ST-F-028 buildDayFromAccounts
9. MK-PF-F-034 closeOnOrBefore
10. MK-CF-F-186 convertTakeHomeMode
11. MK-CF-F-038 debtsFromOnboarding
12. MK-XS-F-083 fetchPriceSeries
13. MK-PL-F-013 goalsFromOnboarding
14. MK-ST-F-056 has
15. MK-CF-F-116 inverseOf
16. MK-ST-F-065 isoLocalDate
17. MK-CF-F-112 makeTransaction
18. MK-CF-F-132 map
19. MK-XS-F-122 n
20. MK-ST-F-043 newEntityId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MK-ST-F-052 toNum
36. MK-ST-F-053 money
37. MK-CF-F-085 filingStatusOf
38. MK-CF-F-097 grossFromNet
39. MK-CF-F-185 needsTakeHomeConversion
40. MK-CF-F-089 over65CountOf
41. MK-CF-F-037 inferDebtType
42. MK-ST-F-069 amountOf
43. MK-CF-F-133 cashOf
44. MK-ST-F-066 isDayKey
45. MK-ST-F-070 isOpening
46. MK-ST-F-071 rebuildableFrom
47. MK-ST-F-068 stepDay
48. MK-ST-F-072 undo
49. MK-NW-F-053 correctClassOf
50. MK-NW-F-008 incomeBearingClassOf
51. MK-PF-F-002 costBasis
52. MK-PF-F-009 latestClose
53. MK-PF-F-004 marketValue
54. MK-ST-F-030 record
55. MK-XS-F-024 resolveLens
56. MK-ST-F-055 round2
57. MK-CF-F-162 daysApart
58. MK-CF-F-108 isMoneyOut
59. MK-PL-F-074 median
60. MK-CF-F-131 normPayee
61. MK-CF-F-113 affectedAccountIds
62. MK-CF-F-134 usesSleeve
63. MK-ST-F-049 formatMoney
64. MK-CF-F-101 taxOwedFor
65. MK-ST-F-067 utcOfDay
66. MK-CF-F-155 cash
67. MK-ST-F-035 covers
68. MK-NW-F-009 maturityClass
69. MK-ST-F-010 nameEvidence
70. MK-PF-F-031 contractMultiplier
71. MK-CF-F-072 currentRetirementIncomeMonthly
72. MK-ST-F-048 currencySymbol
73. MK-ST-F-039 on
74. MK-CF-F-100 taxableIncomeFor
75. MK-ST-F-034 firstDate
76. MK-XS-F-147 call
77. MK-CF-F-075 retirementIncomeMonthly
78. MK-ST-F-047 activeCurrency
79. MK-CF-F-099 deductionFor
80. MK-XS-F-064 currentIdToken
81. MK-XS-F-112 relayUrl
82. MK-CF-F-187 seniorDeductionFor</t>
  </si>
  <si>
    <t>1. MK-ST-F-040 emit → MK-CF-F-040 saveDebt
2. MK-ST-F-027 accountId → MK-XS-F-175 uid → MK-ST-F-042 setUserDoc → MK-CF-F-040 saveDebt
3. MK-CF-F-137 findPos → MK-CF-F-138 addLot → MK-CF-F-111 applyTransaction → MK-XS-F-175 uid → MK-ST-F-042 setUserDoc → MK-CF-F-040 saveDebt
4. MK-CF-F-132 map → MK-CF-F-138 addLot → MK-CF-F-111 applyTransaction → MK-XS-F-175 uid → MK-ST-F-042 setUserDoc → MK-CF-F-040 saveDebt
5. MK-ST-F-043 newEntityId → MK-CF-F-138 addLot → MK-CF-F-111 applyTransaction → MK-XS-F-175 uid → MK-ST-F-042 setUserDoc → MK-CF-F-040 saveDebt
6. MK-CF-F-134 usesSleeve → MK-CF-F-136 bumpCash → MK-CF-F-111 applyTransaction → MK-XS-F-175 uid → MK-ST-F-042 setUserDoc → MK-CF-F-040 saveDebt
7. MK-CF-F-137 findPos → MK-CF-F-111 applyTransaction → MK-XS-F-175 uid → MK-ST-F-042 setUserDoc → MK-CF-F-040 saveDebt
8. MK-CF-F-132 map → MK-CF-F-111 applyTransaction → MK-XS-F-175 uid → MK-ST-F-042 setUserDoc → MK-CF-F-040 saveDebt
9. … and 4 more paths</t>
  </si>
  <si>
    <t>MK-CF-F-041</t>
  </si>
  <si>
    <t>getDebtState</t>
  </si>
  <si>
    <t>d = build debt state(uid, debts ?? [])   if await load debt(uid); return d
nothing   otherwise</t>
  </si>
  <si>
    <t>D is build debt state(uid, debts ?? []) — when await load debt(uid); return d; no answer — otherwise.</t>
  </si>
  <si>
    <t>1. MK-CF-F-036 buildDebtState
2. MK-CF-F-039 loadDebt
3. MK-XS-F-175 uid</t>
  </si>
  <si>
    <t>1. MK-CF-F-036 buildDebtState
2. MK-CF-F-039 loadDebt
3. MK-XS-F-175 uid
4. MK-CF-F-026 actualDebtPayment
5. MK-CF-F-025 minimumDebtService
6. MK-ST-F-027 accountId
7. MK-CF-F-111 applyTransaction
8. MK-NW-F-040 assetsFromOnboarding
9. MK-PF-F-013 benchmarkTicker
10. MK-ST-F-028 buildDayFromAccounts
11. MK-PF-F-034 closeOnOrBefore
12. MK-CF-F-186 convertTakeHomeMode
13. MK-CF-F-038 debtsFromOnboarding
14. MK-XS-F-083 fetchPriceSeries
15. MK-PL-F-013 goalsFromOnboarding
16. MK-ST-F-056 has
17. MK-CF-F-116 inverseOf
18. MK-ST-F-065 isoLocalDate
19. MK-CF-F-112 makeTransaction
20. MK-CF-F-132 map
21. MK-XS-F-122 n
22. MK-ST-F-043 newEntityId
23. MK-XS-F-006 pruneDaily
24. MK-ST-F-073 rebuildDays
25. MK-NW-F-054 reclassifyAccounts
26. MK-XS-F-174 recomputeBalances
27. MK-CF-F-115 restoreUndo
28. MK-CF-F-109 reviewTransactions
29. MK-ST-F-044 setMoneyFormat
30. MK-CF-F-114 undoSnapshot
31. MK-CF-F-191 ym
32. MK-CF-F-024 totalDebtMonthly
33. MK-CF-F-022 paymentShape
34. MK-CF-F-138 addLot
35. MK-CF-F-136 bumpCash
36. MK-CF-F-137 findPos
37. MK-CF-F-139 removeShares
38. MK-PF-F-001 totalShares
39. MK-ST-F-052 toNum
40. MK-ST-F-053 money
41. MK-CF-F-085 filingStatusOf
42. MK-CF-F-097 grossFromNet
43. MK-CF-F-185 needsTakeHomeConversion
44. MK-CF-F-089 over65CountOf
45. MK-CF-F-037 inferDebtType
46. MK-ST-F-069 amountOf
47. MK-CF-F-133 cashOf
48. MK-ST-F-066 isDayKey
49. MK-ST-F-070 isOpening
50. MK-ST-F-071 rebuildableFrom
51. MK-ST-F-068 stepDay
52. MK-ST-F-072 undo
53. MK-NW-F-053 correctClassOf
54. MK-NW-F-008 incomeBearingClassOf
55. MK-PF-F-002 costBasis
56. MK-PF-F-009 latestClose
57. MK-PF-F-004 marketValue
58. MK-ST-F-030 record
59. MK-XS-F-024 resolveLens
60. MK-ST-F-055 round2
61. MK-CF-F-162 daysApart
62. MK-CF-F-108 isMoneyOut
63. MK-PL-F-074 median
64. MK-CF-F-131 normPayee
65. MK-CF-F-113 affectedAccountIds
66. MK-CF-F-023 requiredPayment
67. MK-CF-F-021 defaultPaymentType
68. MK-CF-F-134 usesSleeve
69. MK-ST-F-049 formatMoney
70. MK-CF-F-101 taxOwedFor
71. MK-ST-F-067 utcOfDay
72. MK-CF-F-155 cash
73. MK-ST-F-035 covers
74. MK-NW-F-009 maturityClass
75. MK-ST-F-010 nameEvidence
76. MK-PF-F-031 contractMultiplier
77. MK-CF-F-072 currentRetirementIncomeMonthly
78. MK-ST-F-048 currencySymbol
79. MK-ST-F-039 on
80. MK-CF-F-100 taxableIncomeFor
81. MK-ST-F-034 firstDate
82. MK-XS-F-147 call
83. MK-CF-F-075 retirementIncomeMonthly
84. MK-ST-F-047 activeCurrency
85. MK-CF-F-099 deductionFor
86. MK-XS-F-064 currentIdToken
87. MK-XS-F-112 relayUrl
88. MK-CF-F-187 seniorDeductionFor</t>
  </si>
  <si>
    <t>1. MK-CF-F-022 paymentShape → MK-CF-F-023 requiredPayment → MK-CF-F-024 totalDebtMonthly → MK-CF-F-026 actualDebtPayment → MK-CF-F-036 buildDebtState → MK-CF-F-041 getDebtState
2. MK-CF-F-021 defaultPaymentType → MK-CF-F-022 paymentShape → MK-CF-F-025 minimumDebtService → MK-CF-F-036 buildDebtState → MK-CF-F-041 getDebtState
3. MK-ST-F-027 accountId → MK-XS-F-175 uid → MK-CF-F-036 buildDebtState → MK-CF-F-041 getDebtState
4. MK-CF-F-137 findPos → MK-CF-F-138 addLot → MK-CF-F-111 applyTransaction → MK-XS-F-175 uid → MK-CF-F-036 buildDebtState → MK-CF-F-041 getDebtState
5. MK-CF-F-132 map → MK-CF-F-138 addLot → MK-CF-F-111 applyTransaction → MK-XS-F-175 uid → MK-CF-F-036 buildDebtState → MK-CF-F-041 getDebtState
6. MK-ST-F-043 newEntityId → MK-CF-F-138 addLot → MK-CF-F-111 applyTransaction → MK-XS-F-175 uid → MK-CF-F-036 buildDebtState → MK-CF-F-041 getDebtState
7. MK-CF-F-134 usesSleeve → MK-CF-F-136 bumpCash → MK-CF-F-111 applyTransaction → MK-XS-F-175 uid → MK-CF-F-036 buildDebtState → MK-CF-F-041 getDebtState
8. MK-CF-F-137 findPos → MK-CF-F-111 applyTransaction → MK-XS-F-175 uid → MK-CF-F-036 buildDebtState → MK-CF-F-041 getDebtState
9. … and 5 more paths</t>
  </si>
  <si>
    <t>MK-CF-F-042</t>
  </si>
  <si>
    <t>mortgageOddsEffect</t>
  </si>
  <si>
    <t>src/domain/debt/mortgageOdds.ts</t>
  </si>
  <si>
    <t>Run the plan twice and report both results.</t>
  </si>
  <si>
    <t>slow = months to clear(balance, annual rate, monthly payment)
fast = months to clear(balance, annual rate, monthly payment + extra monthly)
nothing   when slow = nothing (or fast = nothing (or extra monthly ≤ 0 when missing or zero) when missing or zero)
year of = (months: number) =&gt; now year + round down((months − 1) ÷ 12)
payoff year = year of(slow)
faster payoff year = year of(fast)
the answer = { before, after, payoff year, faster payoff year }</t>
  </si>
  <si>
    <t>Slow is months to clear(balance, annual rate, monthly payment). Fast is months to clear(balance, annual rate, monthly payment plus extra monthly). When slow is missing (or fast is missing (or extra monthly is at most 0 — when missing or zero) — when missing or zero), it answers no answer. Year of is (months: number) =&gt; now year plus (months minus 1, rounded down divided by 12). Payoff year is year of(slow). Faster payoff year is year of(fast). The answer is { before, after, payoff year, faster payoff year }.</t>
  </si>
  <si>
    <t>1. MK-CF-F-029 monthsToClear
2. MK-PL-F-050 simulate</t>
  </si>
  <si>
    <t>1. MK-CF-F-029 monthsToClear
2. MK-PL-F-050 simulate
3. MK-CF-F-132 map
4. MK-PL-F-074 median
5. MK-PL-F-072 mulberry32
6. MK-XS-F-122 n
7. MK-PL-F-073 normal
8. MK-PL-F-075 pctOfSorted
9. MK-ST-F-025 rmdStartAgeFromAge
10. MK-ST-F-024 rmdStartAge
11. MK-ST-F-056 has</t>
  </si>
  <si>
    <t>1. MK-CF-F-029 monthsToClear → MK-CF-F-042 mortgageOddsEffect
2. MK-CF-F-132 map → MK-PL-F-050 simulate → MK-CF-F-042 mortgageOddsEffect
3. MK-PL-F-074 median → MK-PL-F-050 simulate → MK-CF-F-042 mortgageOddsEffect
4. MK-PL-F-072 mulberry32 → MK-PL-F-050 simulate → MK-CF-F-042 mortgageOddsEffect
5. MK-XS-F-122 n → MK-PL-F-050 simulate → MK-CF-F-042 mortgageOddsEffect
6. MK-PL-F-073 normal → MK-PL-F-050 simulate → MK-CF-F-042 mortgageOddsEffect
7. MK-PL-F-075 pctOfSorted → MK-PL-F-050 simulate → MK-CF-F-042 mortgageOddsEffect
8. MK-ST-F-056 has → MK-ST-F-024 rmdStartAge → MK-ST-F-025 rmdStartAgeFromAge → MK-PL-F-050 simulate → MK-CF-F-042 mortgageOddsEffect</t>
  </si>
  <si>
    <t>MK-CF-F-043</t>
  </si>
  <si>
    <t>compareMortgageToTreasury</t>
  </si>
  <si>
    <t>src/domain/debt/mortgageVsTreasury.ts</t>
  </si>
  <si>
    <t>Compare paying `extraMonthly` into the mortgage against putting the same money into Treasuries.</t>
  </si>
  <si>
    <t>nothing   when not (balance &gt; 0) or !(annual rate &gt; 0) or !(monthly payment &gt; 0)
gap points = +((annual rate − treasury yield) × 100).to fixed(2)
too close = size of(gap points) &lt; TOO_CLOSE_POINTS
base = amortise(balance, annual rate, monthly payment)
fast = amortise(balance, annual rate, monthly payment + extra monthly)
lifetime = 0
freed months = base.months − fast.months
paying down = future value(monthly payment + extra monthly, treasury yield, freed months)
treasuries = future value(extra monthly, treasury yield, base.months)</t>
  </si>
  <si>
    <t>When not (balance &gt; 0) or !(annual rate &gt; 0) or !(monthly payment &gt; 0), it answers no answer. Gap points is +((annual rate minus treasury yield) times 100).to fixed(2). Too close is size of(gap points) &lt; TOO_CLOSE_POINTS. Base is amortise(balance, annual rate, monthly payment). Fast is amortise(balance, annual rate, monthly payment plus extra monthly). Lifetime is 0. Freed months is base.months minus fast.months. Paying down is future value(monthly payment plus extra monthly, treasury yield, freed months). Treasuries is future value(extra monthly, treasury yield, base.months).</t>
  </si>
  <si>
    <t>1. Uses a built-in lifetime of 0.
2. Shows 2 decimal places.</t>
  </si>
  <si>
    <t>1. MK-CF-F-125 amortise
2. MK-CF-F-126 futureValue</t>
  </si>
  <si>
    <t>1. MK-CF-F-125 amortise → MK-CF-F-043 compareMortgageToTreasury
2. MK-CF-F-126 futureValue → MK-CF-F-043 compareMortgageToTreasury</t>
  </si>
  <si>
    <t>MK-CF-F-044</t>
  </si>
  <si>
    <t>annualNet</t>
  </si>
  <si>
    <t>src/domain/income/calc.ts</t>
  </si>
  <si>
    <t>Annual NET contribution of a source: jobs use gross; rentals net out operating expenses.</t>
  </si>
  <si>
    <t>per period = gross amount − (operating expenses or 0)   if is rental(income type)
gross amount   otherwise
the answer = per period × PERIODS_PER_YEAR[frequency]</t>
  </si>
  <si>
    <t>Per period is gross amount minus (operating expenses or 0) — when is rental(income type); gross amount — otherwise. The answer is per period times PERIODS_PER_YEAR[frequency].</t>
  </si>
  <si>
    <t>s: IncomeSource</t>
  </si>
  <si>
    <t>· If operating expenses is missing it counts as zero, so nothing recorded and a real zero look the same.</t>
  </si>
  <si>
    <t>MK-CF-F-127 isRental</t>
  </si>
  <si>
    <t>MK-CF-F-127 isRental → MK-CF-F-044 annualNet</t>
  </si>
  <si>
    <t>MK-CF-F-045</t>
  </si>
  <si>
    <t>grossAnnualBaseline</t>
  </si>
  <si>
    <t>Gross annual baseline = jobs (gross) + rentals (gross − expenses), all annualized.</t>
  </si>
  <si>
    <t>Σ over sources of (annual net(each))</t>
  </si>
  <si>
    <t>the annual net(each) added up across sources.</t>
  </si>
  <si>
    <t>sources: IncomeSource[]</t>
  </si>
  <si>
    <t>MK-CF-F-044 annualNet</t>
  </si>
  <si>
    <t>1. MK-CF-F-044 annualNet
2. MK-CF-F-127 isRental</t>
  </si>
  <si>
    <t>MK-CF-F-127 isRental → MK-CF-F-044 annualNet → MK-CF-F-045 grossAnnualBaseline</t>
  </si>
  <si>
    <t>MK-CF-F-046</t>
  </si>
  <si>
    <t>employerMatchAnnual</t>
  </si>
  <si>
    <t>Σ over sources of ((employer match amount or 0) × PERIODS_PER_YEAR[frequency])</t>
  </si>
  <si>
    <t>the (employer match amount or 0) times PERIODS_PER_YEAR[frequency] added up across sources.</t>
  </si>
  <si>
    <t>· If employer match amount is missing it counts as zero, so nothing recorded and a real zero look the same.</t>
  </si>
  <si>
    <t>MK-CF-F-102 effectiveRateOnGrossFor</t>
  </si>
  <si>
    <t>1. MK-CF-F-102 effectiveRateOnGrossFor
2. MK-CF-F-101 taxOwedFor
3. MK-CF-F-100 taxableIncomeFor
4. MK-CF-F-099 deductionFor
5. MK-CF-F-187 seniorDeductionFor</t>
  </si>
  <si>
    <t>MK-CF-F-187 seniorDeductionFor → MK-CF-F-099 deductionFor → MK-CF-F-100 taxableIncomeFor → MK-CF-F-101 taxOwedFor → MK-CF-F-102 effectiveRateOnGrossFor → MK-CF-F-046 employerMatchAnnual</t>
  </si>
  <si>
    <t>MK-CF-F-048</t>
  </si>
  <si>
    <t>effectiveTaxRate</t>
  </si>
  <si>
    <t>min(max(tax.manual effective tax rate, 0), 1)</t>
  </si>
  <si>
    <t>the smaller of the larger of tax.manual effective tax rate and 0 and 1.</t>
  </si>
  <si>
    <t>1. grossAnnual: number
2. tax: TaxProfile</t>
  </si>
  <si>
    <t>1. If over65 is missing it uses 0.
2. Never lets manual effective tax rate fall below 0.</t>
  </si>
  <si>
    <t>MK-CF-F-187 seniorDeductionFor → MK-CF-F-099 deductionFor → MK-CF-F-100 taxableIncomeFor → MK-CF-F-101 taxOwedFor → MK-CF-F-102 effectiveRateOnGrossFor → MK-CF-F-048 effectiveTaxRate</t>
  </si>
  <si>
    <t>MK-CF-F-049</t>
  </si>
  <si>
    <t>buildIncomeState</t>
  </si>
  <si>
    <t>gross = gross annual baseline(sources)
rate = effective tax rate(gross, tax)
net = gross × (1 − rate)
monthly gross = for each of 12 slots, each 0: Σ over sources of (monthly gross of source(each)[i])
grid = []
g = monthly gross[i]</t>
  </si>
  <si>
    <t>Gross is gross annual baseline(sources). Rate is effective tax rate(gross, tax). Net is gross times (1 minus rate). Monthly gross is for each of 12 slots, each 0: the monthly gross of source(each added up across sources[i]). Grid is []. G is monthly gross[i].</t>
  </si>
  <si>
    <t>1. userId: string
2. sources: IncomeSource[]
3. tax: TaxProfile</t>
  </si>
  <si>
    <t>IncomeState</t>
  </si>
  <si>
    <t>1. MK-CF-F-048 effectiveTaxRate
2. MK-CF-F-046 employerMatchAnnual
3. MK-CF-F-045 grossAnnualBaseline
4. MK-CF-F-132 map
5. MK-CF-F-161 monthlyGrossOfSource
6. MK-CF-F-098 progressiveMonthlyTax
7. MK-CF-F-129 round4</t>
  </si>
  <si>
    <t>1. MK-CF-F-048 effectiveTaxRate
2. MK-CF-F-046 employerMatchAnnual
3. MK-CF-F-045 grossAnnualBaseline
4. MK-CF-F-132 map
5. MK-CF-F-161 monthlyGrossOfSource
6. MK-CF-F-098 progressiveMonthlyTax
7. MK-CF-F-129 round4
8. MK-CF-F-102 effectiveRateOnGrossFor
9. MK-CF-F-044 annualNet
10. MK-CF-F-127 isRental
11. MK-CF-F-101 taxOwedFor
12. MK-CF-F-100 taxableIncomeFor
13. MK-XS-F-122 n
14. MK-CF-F-099 deductionFor
15. MK-CF-F-187 seniorDeductionFor</t>
  </si>
  <si>
    <t>1. MK-CF-F-099 deductionFor → MK-CF-F-100 taxableIncomeFor → MK-CF-F-101 taxOwedFor → MK-CF-F-102 effectiveRateOnGrossFor → MK-CF-F-048 effectiveTaxRate → MK-CF-F-049 buildIncomeState
2. MK-CF-F-099 deductionFor → MK-CF-F-100 taxableIncomeFor → MK-CF-F-101 taxOwedFor → MK-CF-F-102 effectiveRateOnGrossFor → MK-CF-F-046 employerMatchAnnual → MK-CF-F-049 buildIncomeState
3. MK-CF-F-127 isRental → MK-CF-F-044 annualNet → MK-CF-F-045 grossAnnualBaseline → MK-CF-F-049 buildIncomeState
4. MK-CF-F-132 map → MK-CF-F-049 buildIncomeState
5. MK-CF-F-127 isRental → MK-CF-F-161 monthlyGrossOfSource → MK-CF-F-049 buildIncomeState
6. MK-CF-F-132 map → MK-CF-F-098 progressiveMonthlyTax → MK-CF-F-049 buildIncomeState
7. MK-CF-F-187 seniorDeductionFor → MK-CF-F-099 deductionFor → MK-CF-F-100 taxableIncomeFor → MK-CF-F-101 taxOwedFor → MK-CF-F-098 progressiveMonthlyTax → MK-CF-F-049 buildIncomeState
8. MK-CF-F-187 seniorDeductionFor → MK-CF-F-099 deductionFor → MK-CF-F-100 taxableIncomeFor → MK-CF-F-098 progressiveMonthlyTax → MK-CF-F-049 buildIncomeState
9. … and 1 more paths</t>
  </si>
  <si>
    <t>MK-CF-F-050</t>
  </si>
  <si>
    <t>loadIncome</t>
  </si>
  <si>
    <t>src/domain/income/index.ts</t>
  </si>
  <si>
    <t>get user doc&lt;income doc&gt;(COLLECTION, uid)</t>
  </si>
  <si>
    <t>get user doc&lt;income doc&gt;(COLLECTION, uid).</t>
  </si>
  <si>
    <t>Promise&lt;IncomeDoc | null&gt;</t>
  </si>
  <si>
    <t>1. MK-ST-F-027 accountId → MK-XS-F-175 uid → MK-CF-F-050 loadIncome
2. MK-CF-F-137 findPos → MK-CF-F-138 addLot → MK-CF-F-111 applyTransaction → MK-XS-F-175 uid → MK-CF-F-050 loadIncome
3. MK-CF-F-132 map → MK-CF-F-138 addLot → MK-CF-F-111 applyTransaction → MK-XS-F-175 uid → MK-CF-F-050 loadIncome
4. MK-ST-F-043 newEntityId → MK-CF-F-138 addLot → MK-CF-F-111 applyTransaction → MK-XS-F-175 uid → MK-CF-F-050 loadIncome
5. MK-CF-F-134 usesSleeve → MK-CF-F-136 bumpCash → MK-CF-F-111 applyTransaction → MK-XS-F-175 uid → MK-CF-F-050 loadIncome
6. MK-CF-F-137 findPos → MK-CF-F-111 applyTransaction → MK-XS-F-175 uid → MK-CF-F-050 loadIncome
7. MK-CF-F-132 map → MK-CF-F-111 applyTransaction → MK-XS-F-175 uid → MK-CF-F-050 loadIncome
8. MK-CF-F-137 findPos → MK-CF-F-139 removeShares → MK-CF-F-111 applyTransaction → MK-XS-F-175 uid → MK-CF-F-050 loadIncome
9. … and 4 more paths</t>
  </si>
  <si>
    <t>MK-CF-F-051</t>
  </si>
  <si>
    <t>saveIncome</t>
  </si>
  <si>
    <t>docData: IncomeDoc</t>
  </si>
  <si>
    <t>Promise&lt;void&gt;</t>
  </si>
  <si>
    <t>1. MK-ST-F-040 emit → MK-CF-F-051 saveIncome
2. MK-ST-F-027 accountId → MK-XS-F-175 uid → MK-ST-F-042 setUserDoc → MK-CF-F-051 saveIncome
3. MK-CF-F-137 findPos → MK-CF-F-138 addLot → MK-CF-F-111 applyTransaction → MK-XS-F-175 uid → MK-ST-F-042 setUserDoc → MK-CF-F-051 saveIncome
4. MK-CF-F-132 map → MK-CF-F-138 addLot → MK-CF-F-111 applyTransaction → MK-XS-F-175 uid → MK-ST-F-042 setUserDoc → MK-CF-F-051 saveIncome
5. MK-ST-F-043 newEntityId → MK-CF-F-138 addLot → MK-CF-F-111 applyTransaction → MK-XS-F-175 uid → MK-ST-F-042 setUserDoc → MK-CF-F-051 saveIncome
6. MK-CF-F-134 usesSleeve → MK-CF-F-136 bumpCash → MK-CF-F-111 applyTransaction → MK-XS-F-175 uid → MK-ST-F-042 setUserDoc → MK-CF-F-051 saveIncome
7. MK-CF-F-137 findPos → MK-CF-F-111 applyTransaction → MK-XS-F-175 uid → MK-ST-F-042 setUserDoc → MK-CF-F-051 saveIncome
8. MK-CF-F-132 map → MK-CF-F-111 applyTransaction → MK-XS-F-175 uid → MK-ST-F-042 setUserDoc → MK-CF-F-051 saveIncome
9. … and 4 more paths</t>
  </si>
  <si>
    <t>MK-CF-F-052</t>
  </si>
  <si>
    <t>getIncomeState</t>
  </si>
  <si>
    <t>The public read-model (spec IncomeState): totals, effective rate, monthly grid.</t>
  </si>
  <si>
    <t>d = await load income(uid)
nothing   when d is missing
the answer = build income state(uid, sources ?? [], tax ?? DEFAULT_TAX)</t>
  </si>
  <si>
    <t>D is await load income(uid). When d is missing, it answers no answer. The answer is build income state(uid, sources ?? [], tax ?? DEFAULT_TAX).</t>
  </si>
  <si>
    <t>Promise&lt;IncomeState | null&gt;</t>
  </si>
  <si>
    <t>1. MK-CF-F-049 buildIncomeState
2. MK-CF-F-050 loadIncome
3. MK-XS-F-175 uid</t>
  </si>
  <si>
    <t>1. MK-CF-F-049 buildIncomeState
2. MK-CF-F-050 loadIncome
3. MK-XS-F-175 uid
4. MK-CF-F-048 effectiveTaxRate
5. MK-CF-F-046 employerMatchAnnual
6. MK-CF-F-045 grossAnnualBaseline
7. MK-CF-F-132 map
8. MK-CF-F-161 monthlyGrossOfSource
9. MK-CF-F-098 progressiveMonthlyTax
10. MK-CF-F-129 round4
11. MK-ST-F-027 accountId
12. MK-CF-F-111 applyTransaction
13. MK-NW-F-040 assetsFromOnboarding
14. MK-PF-F-013 benchmarkTicker
15. MK-ST-F-028 buildDayFromAccounts
16. MK-PF-F-034 closeOnOrBefore
17. MK-CF-F-186 convertTakeHomeMode
18. MK-CF-F-038 debtsFromOnboarding
19. MK-XS-F-083 fetchPriceSeries
20. MK-PL-F-013 goalsFromOnboarding
21. MK-ST-F-056 has
22. MK-CF-F-116 inverseOf
23. MK-ST-F-065 isoLocalDate
24. MK-CF-F-112 makeTransaction
25. MK-XS-F-122 n
26. MK-ST-F-043 newEntityId
27. MK-XS-F-006 pruneDaily
28. MK-ST-F-073 rebuildDays
29. MK-NW-F-054 reclassifyAccounts
30. MK-XS-F-174 recomputeBalances
31. MK-CF-F-115 restoreUndo
32. MK-CF-F-109 reviewTransactions
33. MK-ST-F-044 setMoneyFormat
34. MK-CF-F-114 undoSnapshot
35. MK-CF-F-191 ym
36. MK-CF-F-102 effectiveRateOnGrossFor
37. MK-CF-F-044 annualNet
38. MK-CF-F-127 isRental
39. MK-CF-F-101 taxOwedFor
40. MK-CF-F-100 taxableIncomeFor
41. MK-CF-F-138 addLot
42. MK-CF-F-136 bumpCash
43. MK-CF-F-137 findPos
44. MK-CF-F-139 removeShares
45. MK-PF-F-001 totalShares
46. MK-ST-F-052 toNum
47. MK-ST-F-053 money
48. MK-CF-F-085 filingStatusOf
49. MK-CF-F-097 grossFromNet
50. MK-CF-F-185 needsTakeHomeConversion
51. MK-CF-F-089 over65CountOf
52. MK-CF-F-037 inferDebtType
53. MK-ST-F-069 amountOf
54. MK-CF-F-133 cashOf
55. MK-ST-F-066 isDayKey
56. MK-ST-F-070 isOpening
57. MK-ST-F-071 rebuildableFrom
58. MK-ST-F-068 stepDay
59. MK-ST-F-072 undo
60. MK-NW-F-053 correctClassOf
61. MK-NW-F-008 incomeBearingClassOf
62. MK-PF-F-002 costBasis
63. MK-PF-F-009 latestClose
64. MK-PF-F-004 marketValue
65. MK-ST-F-030 record
66. MK-XS-F-024 resolveLens
67. MK-ST-F-055 round2
68. MK-CF-F-162 daysApart
69. MK-CF-F-108 isMoneyOut
70. MK-PL-F-074 median
71. MK-CF-F-131 normPayee
72. MK-CF-F-113 affectedAccountIds
73. MK-CF-F-099 deductionFor
74. MK-CF-F-134 usesSleeve
75. MK-ST-F-049 formatMoney
76. MK-ST-F-067 utcOfDay
77. MK-CF-F-155 cash
78. MK-ST-F-035 covers
79. MK-NW-F-009 maturityClass
80. MK-ST-F-010 nameEvidence
81. MK-PF-F-031 contractMultiplier
82. MK-CF-F-072 currentRetirementIncomeMonthly
83. MK-CF-F-187 seniorDeductionFor
84. MK-ST-F-048 currencySymbol
85. MK-ST-F-039 on
86. MK-ST-F-034 firstDate
87. MK-XS-F-147 call
88. MK-CF-F-075 retirementIncomeMonthly
89. MK-ST-F-047 activeCurrency
90. MK-XS-F-064 currentIdToken
91. MK-XS-F-112 relayUrl</t>
  </si>
  <si>
    <t>1. MK-CF-F-100 taxableIncomeFor → MK-CF-F-101 taxOwedFor → MK-CF-F-102 effectiveRateOnGrossFor → MK-CF-F-048 effectiveTaxRate → MK-CF-F-049 buildIncomeState → MK-CF-F-052 getIncomeState
2. MK-CF-F-100 taxableIncomeFor → MK-CF-F-101 taxOwedFor → MK-CF-F-102 effectiveRateOnGrossFor → MK-CF-F-046 employerMatchAnnual → MK-CF-F-049 buildIncomeState → MK-CF-F-052 getIncomeState
3. MK-CF-F-127 isRental → MK-CF-F-044 annualNet → MK-CF-F-045 grossAnnualBaseline → MK-CF-F-049 buildIncomeState → MK-CF-F-052 getIncomeState
4. MK-CF-F-132 map → MK-CF-F-049 buildIncomeState → MK-CF-F-052 getIncomeState
5. MK-CF-F-127 isRental → MK-CF-F-161 monthlyGrossOfSource → MK-CF-F-049 buildIncomeState → MK-CF-F-052 getIncomeState
6. MK-CF-F-132 map → MK-CF-F-098 progressiveMonthlyTax → MK-CF-F-049 buildIncomeState → MK-CF-F-052 getIncomeState
7. MK-CF-F-099 deductionFor → MK-CF-F-100 taxableIncomeFor → MK-CF-F-101 taxOwedFor → MK-CF-F-098 progressiveMonthlyTax → MK-CF-F-049 buildIncomeState → MK-CF-F-052 getIncomeState
8. MK-CF-F-187 seniorDeductionFor → MK-CF-F-099 deductionFor → MK-CF-F-100 taxableIncomeFor → MK-CF-F-098 progressiveMonthlyTax → MK-CF-F-049 buildIncomeState → MK-CF-F-052 getIncomeState
9. … and 5 more paths</t>
  </si>
  <si>
    <t>MK-CF-F-053</t>
  </si>
  <si>
    <t>annual401kLimit</t>
  </si>
  <si>
    <t>src/domain/income/limits.ts</t>
  </si>
  <si>
    <t>Annual employee 401(k) limit for the user's age (adds the 50+ catch-up).</t>
  </si>
  <si>
    <t>IRS_LIMITS.elective deferral 401k + IRS_LIMITS.super catch up 6063   when age ≠ nothing and age ≥ 60 and age ≤ 63
IRS_LIMITS.elective deferral 401k + (age ≠ nothing and age ≥ 50 ? IRS_LIMITS.catch up 50 : 0)</t>
  </si>
  <si>
    <t>When age is not no answer and age is at least 60 and age is at most 63, it answers IRS_LIMITS.elective deferral 401k plus IRS_LIMITS.super catch up 6063. IRS_LIMITS.elective deferral 401k plus (age is not no answer and age is at least 50 ? IRS_LIMITS.catch up 50 : 0).</t>
  </si>
  <si>
    <t>age: number | null</t>
  </si>
  <si>
    <t>"Your contribution (per month)" — on the setup questions, which appear on more than one screen</t>
  </si>
  <si>
    <t>· Age = the age attained at any time in the calendar year (this year − birth year), the IRS test for the 50+ catch-up and the 60–63 super catch-up (IRC §414(v)) — never the birthday-aware age (G1). No age → the base limit, no catch-up.</t>
  </si>
  <si>
    <t>2026-09-01</t>
  </si>
  <si>
    <t>TESTED, NOT VERIFIED (G1)</t>
  </si>
  <si>
    <t>MK-CF-F-054</t>
  </si>
  <si>
    <t>annualIraLimit</t>
  </si>
  <si>
    <t>IRS_LIMITS.ira + (age ≠ nothing and age ≥ 50 ? IRS_LIMITS.ira catch up 50 : 0)</t>
  </si>
  <si>
    <t>IRS_LIMITS.ira plus (age is not no answer and age is at least 50 ? IRS_LIMITS.ira catch up 50 : 0).</t>
  </si>
  <si>
    <t>"Tax-smart moves" — on the Retirement cockpit screen</t>
  </si>
  <si>
    <t>· Age = the age attained at any time in the calendar year (this year − birth year), the IRS test for the 50+ catch-up (IRC §219(b)(5)(B)) — never the birthday-aware age (G1).</t>
  </si>
  <si>
    <t>MK-CF-F-055</t>
  </si>
  <si>
    <t>annualHsaLimit</t>
  </si>
  <si>
    <t>How much can this person put into a health savings account this year?</t>
  </si>
  <si>
    <t>0   when enrolled in Medicare (no contribution is allowed)
(family ? family limit : self-only limit) + (age ≥ 55 ? the 55+ catch-up : 0)   otherwise</t>
  </si>
  <si>
    <t>Nothing while enrolled in Medicare. Otherwise the self-only limit (or the family limit when told so), plus the 55-and-over catch-up.</t>
  </si>
  <si>
    <t>1. age: number | null
2. family = false
3. medicareEnrolled: boolean | null = null</t>
  </si>
  <si>
    <t>1. Enrolled in Medicare → 0 (IRS Publication 969: no HSA contribution while enrolled). Not enrolled, or not answered → the limit, and at 65+ the screen says "if you are not enrolled in Medicare" and asks — founder ruling 2026-09-08 (second verification G10).
2. Self-only limit unless told it is a family plan.</t>
  </si>
  <si>
    <t>TESTED, NOT VERIFIED (G1, G10)</t>
  </si>
  <si>
    <t>MK-CF-F-056</t>
  </si>
  <si>
    <t>k401Headroom</t>
  </si>
  <si>
    <t>How much more you can still put into your 401(k) this year (incl.</t>
  </si>
  <si>
    <t>limit = annual401k limit(age)
used = max(0, annual401k contribution)
the answer:
limit = limit
used = min(used, limit)
remaining = max(0, limit − used)
catch up = age ≠ nothing and age ≥ 50</t>
  </si>
  <si>
    <t>Limit is annual401k limit(age). Used is annual401k contribution, never below zero. The answer is limit = limit; used = the smaller of used and limit; remaining = limit minus used, never below zero; catch up = age is not no answer and age is at least 50.</t>
  </si>
  <si>
    <t>1. age: number | null
2. annual401kContribution: number</t>
  </si>
  <si>
    <t>Headroom</t>
  </si>
  <si>
    <t>· Never lets annual401k contribution fall below 0.</t>
  </si>
  <si>
    <t>MK-CF-F-053 annual401kLimit</t>
  </si>
  <si>
    <t>MK-CF-F-053 annual401kLimit → MK-CF-F-056 k401Headroom</t>
  </si>
  <si>
    <t>MK-CF-F-057</t>
  </si>
  <si>
    <t>rothVsTraditional</t>
  </si>
  <si>
    <t>Roth vs Traditional lean from current vs expected-retirement marginal rate (decimals).</t>
  </si>
  <si>
    <t>lean = 'roth'            when marginal now ≤ 12%     why = "You're in a low bracket now — pay the tax now (Roth) and withdraw tax-free later."
lean = 'traditional'     when marginal now ≥ 24% and marginal retire &lt; marginal now     why = "High bracket now, likely lower in retirement — deduct now (Traditional), pay tax later."
lean = 'either'          otherwise     why = "Your brackets are similar — splitting Roth and Traditional hedges your future tax rate."</t>
  </si>
  <si>
    <t>A marginal rate of 12% or less today leans Roth (pay the tax now, withdraw tax-free later). A rate of 24% or more today that is expected to be lower in retirement leans Traditional (deduct now, pay later). Anything else: either — split the two.</t>
  </si>
  <si>
    <t>1. marginalNow: number
2. marginalRetire: number</t>
  </si>
  <si>
    <t>TESTED, NOT VERIFIED (G35)</t>
  </si>
  <si>
    <t>MK-CF-F-058</t>
  </si>
  <si>
    <t>rothConversionWindow</t>
  </si>
  <si>
    <t>Are you in the low-income "Roth conversion window" (retired, before RMDs/SS push income up)?</t>
  </si>
  <si>
    <t>age ≥ retire age and age &lt; min(rmd age, claim age (or rmd age when missing or zero))</t>
  </si>
  <si>
    <t>age is at least retire age and age &lt; the smaller of rmd age and claim age (or rmd age — when missing or zero).</t>
  </si>
  <si>
    <t>1. age: number
2. retireAge: number
3. claimAge: number
4. rmdAge = 73</t>
  </si>
  <si>
    <t>boolean</t>
  </si>
  <si>
    <t>"Roth conversion window:" — on the Retirement cockpit screen</t>
  </si>
  <si>
    <t>MK-CF-F-059</t>
  </si>
  <si>
    <t>annualizedEnteredSalary</t>
  </si>
  <si>
    <t>src/domain/income/onboarding.ts</t>
  </si>
  <si>
    <t>Annual amount of what the user ENTERED (not grossed up) — for display.</t>
  </si>
  <si>
    <t>a = op (or none when missing)
hrs = hours per week read as a number (0 when it is not one) (or DEFAULT_HOURS_PER_WEEK when missing or zero)
the answer = to num(base salary) × hrs × 52</t>
  </si>
  <si>
    <t>A is op (or none — when missing). Hrs is hours per week read as a number (0 — when it is one is missing) (or DEFAULT_HOURS_PER_WEEK — when missing or zero). The answer is to num(base salary) times hrs times 52.</t>
  </si>
  <si>
    <t>MK-XS-F-122 n → MK-ST-F-052 toNum → MK-CF-F-059 annualizedEnteredSalary</t>
  </si>
  <si>
    <t>MK-CF-F-060</t>
  </si>
  <si>
    <t>salaryGrossByMonth</t>
  </si>
  <si>
    <t>Per-month GROSS base salary, Jan→Dec.</t>
  </si>
  <si>
    <t>sum months over earners(op, (w) =&gt; wage gross by month(w))</t>
  </si>
  <si>
    <t>sum months over earners(op, (w) =&gt; wage gross by month(w)).</t>
  </si>
  <si>
    <t>1. MK-CF-F-176 sumMonthsOverEarners
2. MK-CF-F-177 wageGrossByMonth</t>
  </si>
  <si>
    <t>1. MK-CF-F-176 sumMonthsOverEarners
2. MK-CF-F-177 wageGrossByMonth
3. MK-CF-F-173 earnerWages
4. MK-CF-F-132 map
5. MK-CF-F-130 enteredMonthlyRaw
6. MK-CF-F-166 hasMonthlySalaryTable
7. MK-ST-F-036 reconcile
8. MK-CF-F-167 salaryCalendarYear
9. MK-CF-F-172 hasWage
10. MK-ST-F-052 toNum
11. MK-CF-F-165 salaryMonths
12. MK-ST-F-056 has
13. MK-XS-F-122 n</t>
  </si>
  <si>
    <t>1. MK-ST-F-056 has → MK-CF-F-172 hasWage → MK-CF-F-173 earnerWages → MK-CF-F-176 sumMonthsOverEarners → MK-CF-F-060 salaryGrossByMonth
2. MK-CF-F-132 map → MK-CF-F-176 sumMonthsOverEarners → MK-CF-F-060 salaryGrossByMonth
3. MK-XS-F-122 n → MK-ST-F-052 toNum → MK-CF-F-130 enteredMonthlyRaw → MK-CF-F-177 wageGrossByMonth → MK-CF-F-060 salaryGrossByMonth
4. MK-XS-F-122 n → MK-ST-F-052 toNum → MK-CF-F-165 salaryMonths → MK-CF-F-166 hasMonthlySalaryTable → MK-CF-F-177 wageGrossByMonth → MK-CF-F-060 salaryGrossByMonth
5. MK-CF-F-132 map → MK-CF-F-177 wageGrossByMonth → MK-CF-F-060 salaryGrossByMonth
6. MK-ST-F-036 reconcile → MK-CF-F-177 wageGrossByMonth → MK-CF-F-060 salaryGrossByMonth
7. MK-XS-F-122 n → MK-ST-F-052 toNum → MK-CF-F-165 salaryMonths → MK-CF-F-167 salaryCalendarYear → MK-CF-F-177 wageGrossByMonth → MK-CF-F-060 salaryGrossByMonth</t>
  </si>
  <si>
    <t>SALARY_BY_MONTH</t>
  </si>
  <si>
    <t>MK-CF-F-061</t>
  </si>
  <si>
    <t>grossSalaryMonthly</t>
  </si>
  <si>
    <t>A representative full-month GROSS salary (the highest month — undiluted by $0 gap months).</t>
  </si>
  <si>
    <t>arr = salary gross by month(op)
the answer:
max(...arr)   if count of arr
0   otherwise</t>
  </si>
  <si>
    <t>Arr is salary gross by month(op). The answer is max(...arr) — when how many arr there are; 0 — otherwise.</t>
  </si>
  <si>
    <t>MK-CF-F-060 salaryGrossByMonth</t>
  </si>
  <si>
    <t>1. MK-CF-F-060 salaryGrossByMonth
2. MK-CF-F-176 sumMonthsOverEarners
3. MK-CF-F-177 wageGrossByMonth
4. MK-CF-F-173 earnerWages
5. MK-CF-F-132 map
6. MK-CF-F-130 enteredMonthlyRaw
7. MK-CF-F-166 hasMonthlySalaryTable
8. MK-ST-F-036 reconcile
9. MK-CF-F-167 salaryCalendarYear
10. MK-CF-F-172 hasWage
11. MK-ST-F-052 toNum
12. MK-CF-F-165 salaryMonths
13. MK-ST-F-056 has
14. MK-XS-F-122 n</t>
  </si>
  <si>
    <t>1. MK-ST-F-056 has → MK-CF-F-172 hasWage → MK-CF-F-173 earnerWages → MK-CF-F-176 sumMonthsOverEarners → MK-CF-F-060 salaryGrossByMonth → MK-CF-F-061 grossSalaryMonthly
2. MK-CF-F-132 map → MK-CF-F-176 sumMonthsOverEarners → MK-CF-F-060 salaryGrossByMonth → MK-CF-F-061 grossSalaryMonthly
3. MK-XS-F-122 n → MK-ST-F-052 toNum → MK-CF-F-130 enteredMonthlyRaw → MK-CF-F-177 wageGrossByMonth → MK-CF-F-060 salaryGrossByMonth → MK-CF-F-061 grossSalaryMonthly
4. MK-ST-F-052 toNum → MK-CF-F-165 salaryMonths → MK-CF-F-166 hasMonthlySalaryTable → MK-CF-F-177 wageGrossByMonth → MK-CF-F-060 salaryGrossByMonth → MK-CF-F-061 grossSalaryMonthly
5. MK-CF-F-132 map → MK-CF-F-177 wageGrossByMonth → MK-CF-F-060 salaryGrossByMonth → MK-CF-F-061 grossSalaryMonthly
6. MK-ST-F-036 reconcile → MK-CF-F-177 wageGrossByMonth → MK-CF-F-060 salaryGrossByMonth → MK-CF-F-061 grossSalaryMonthly
7. MK-ST-F-052 toNum → MK-CF-F-165 salaryMonths → MK-CF-F-167 salaryCalendarYear → MK-CF-F-177 wageGrossByMonth → MK-CF-F-060 salaryGrossByMonth → MK-CF-F-061 grossSalaryMonthly</t>
  </si>
  <si>
    <t>MK-CF-F-062</t>
  </si>
  <si>
    <t>equityRowValue</t>
  </si>
  <si>
    <t>Value of one vesting-schedule row.</t>
  </si>
  <si>
    <t>to num(row.shares) × max(0, to num(market) − to num(strike))   when type = 'option'
to num(row.shares) × to num(row.price)</t>
  </si>
  <si>
    <t>When type = 'option', it answers to num(row.shares) times to num(market, never below zero minus to num(strike)). to num(row.shares) times to num(row.price).</t>
  </si>
  <si>
    <t>1. row: any
2. type: string
3. strike?: any
4. market?: any</t>
  </si>
  <si>
    <t>MK-XS-F-122 n → MK-ST-F-052 toNum → MK-CF-F-062 equityRowValue</t>
  </si>
  <si>
    <t>EQUITY_ROW_VALUE</t>
  </si>
  <si>
    <t>MK-CF-F-063</t>
  </si>
  <si>
    <t>rowVestYear</t>
  </si>
  <si>
    <t>Calendar year a row vests (first 4 digits of its date; this year if blank).</t>
  </si>
  <si>
    <t>m = string(row.date ?? '').match( ÷ (\d{4}) ÷ )
the answer:
parse int(m[1], 10)   if m
the date ).get full year(   otherwise</t>
  </si>
  <si>
    <t>M is string(row.date ?? '').match( divided by (\d{4}) divided by ). The answer is parse int(m[1], 10) — when m; the date ).get full year( — otherwise.</t>
  </si>
  <si>
    <t>row: any</t>
  </si>
  <si>
    <t>VESTING_YEAR</t>
  </si>
  <si>
    <t>MK-CF-F-064</t>
  </si>
  <si>
    <t>equityCashFlow</t>
  </si>
  <si>
    <t>Per-calendar-year vesting cash flow across all schedule rows — drives the chart &amp; table.</t>
  </si>
  <si>
    <t>a = op (or none when missing)
type = equity type (or 'rsu' when missing)
rows = rsu grants   if array.is array(rsu grants)
[]   otherwise
by year = new map&lt;number, number&gt;()
v = equity row value(r, type, opt strike, opt market)
the answer = for each of [...by year.entries()].sort((x, y) =&gt; x[0] − y[0]): [year, amount]) =&gt; ({ year, amount }</t>
  </si>
  <si>
    <t>A is op (or none — when missing). Type is equity type (or 'rsu' — when missing). Rows is rsu grants — when array.is array(rsu grants); [] — otherwise. By year is new map&lt;number, number&gt;(). V is equity row value(r, type, opt strike, opt market). The answer is for each of [...by year.entries()].sort((x, y) =&gt; x[0] minus y[0]): [year, amount]) =&gt; ({ year, amount }.</t>
  </si>
  <si>
    <t>1. "Annual vesting cash flow" — on the setup questions, which appear on more than one screen
2. "Monthly (retirement)" — on the setup questions, which appear on more than one screen
3. "Monthly cash flow" — on the setup questions, which appear on more than one screen</t>
  </si>
  <si>
    <t>1. MK-CF-F-062 equityRowValue
2. MK-CF-F-132 map
3. MK-CF-F-063 rowVestYear</t>
  </si>
  <si>
    <t>1. MK-CF-F-062 equityRowValue
2. MK-CF-F-132 map
3. MK-CF-F-063 rowVestYear
4. MK-ST-F-052 toNum
5. MK-XS-F-122 n</t>
  </si>
  <si>
    <t>1. MK-XS-F-122 n → MK-ST-F-052 toNum → MK-CF-F-062 equityRowValue → MK-CF-F-064 equityCashFlow
2. MK-CF-F-132 map → MK-CF-F-064 equityCashFlow
3. MK-CF-F-063 rowVestYear → MK-CF-F-064 equityCashFlow</t>
  </si>
  <si>
    <t>MK-CF-F-065</t>
  </si>
  <si>
    <t>equityVestWeights</t>
  </si>
  <si>
    <t>Vest-month weights (Jan→Dec, summing to 1) from the equity grant rows — THE one placement rule.</t>
  </si>
  <si>
    <t>a = op (or none when missing)
type = equity type (or 'rsu' when missing)
rows = rsu grants   if array.is array(rsu grants)
[]   otherwise
weights = 12 slots, each 0
total v = 0
v = equity row value(r, type, opt strike, opt market)
m = string(date ?? '').match( ÷ \d{4}-(\d{1,2}) ÷ )
idx = min(11, max(0, +m[1] − 1))   if m
11   otherwise
the answer = for each of total v &gt; 0 ? weights: each ÷ total v: nothing</t>
  </si>
  <si>
    <t>A is op (or none — when missing). Type is equity type (or 'rsu' — when missing). Rows is rsu grants — when array.is array(rsu grants); [] — otherwise. Weights is 12 slots, each 0. Total v is 0. V is equity row value(r, type, opt strike, opt market). M is string(date ?? '').match( divided by \d{4}-(\d{1,2}) divided by ). Idx: the smaller of 11 and +m[1] minus 1, never below zero — when m; 11 — otherwise. The answer is for each of total v &gt; 0 ? weights: each divided by total v: no answer.</t>
  </si>
  <si>
    <t>number[] | null</t>
  </si>
  <si>
    <t>· Uses a built-in total v of 0.</t>
  </si>
  <si>
    <t>1. MK-CF-F-062 equityRowValue
2. MK-CF-F-132 map</t>
  </si>
  <si>
    <t>1. MK-CF-F-062 equityRowValue
2. MK-CF-F-132 map
3. MK-ST-F-052 toNum
4. MK-XS-F-122 n</t>
  </si>
  <si>
    <t>1. MK-XS-F-122 n → MK-ST-F-052 toNum → MK-CF-F-062 equityRowValue → MK-CF-F-065 equityVestWeights
2. MK-CF-F-132 map → MK-CF-F-065 equityVestWeights</t>
  </si>
  <si>
    <t>MK-CF-F-066</t>
  </si>
  <si>
    <t>rsuAnnual</t>
  </si>
  <si>
    <t>Annual equity-comp run-rate: total scheduled value spread over the years it vests across (a level annual figure for the income estimate).</t>
  </si>
  <si>
    <t>a = op (or none when missing)
type = equity type (or 'rsu' when missing)
rows = rsu grants   if array.is array(rsu grants)
[]   otherwise
valued = for each of rows: v = equity row value(r, type, opt strike, opt market)
y = row vest year(r)
total = valued.reduce((t: number, x: any) =&gt; t + v, 0)
years = a list with no repeats of valued where v &gt; 0for each of : size (or 1 when missing or zero)
the answer = total ÷ years</t>
  </si>
  <si>
    <t>A is op (or none — when missing). Type is equity type (or 'rsu' — when missing). Rows is rsu grants — when array.is array(rsu grants); [] — otherwise. Valued is for each of rows: v = equity row value(r, type, opt strike, opt market); y = row vest year(r). Total is valued.reduce((t: number, x: any) =&gt; t plus v, 0). Years is a list with no repeats of valued where v &gt; 0for each of : size (or 1 — when missing or zero). The answer is total divided by years.</t>
  </si>
  <si>
    <t>1. MK-CF-F-062 equityRowValue
2. MK-CF-F-132 map
3. MK-CF-F-063 rowVestYear
4. MK-ST-F-052 toNum</t>
  </si>
  <si>
    <t>1. MK-XS-F-122 n → MK-ST-F-052 toNum → MK-CF-F-062 equityRowValue → MK-CF-F-066 rsuAnnual
2. MK-CF-F-132 map → MK-CF-F-066 rsuAnnual
3. MK-CF-F-063 rowVestYear → MK-CF-F-066 rsuAnnual
4. MK-XS-F-122 n → MK-ST-F-052 toNum → MK-CF-F-066 rsuAnnual</t>
  </si>
  <si>
    <t>MK-CF-F-067</t>
  </si>
  <si>
    <t>rentalList</t>
  </si>
  <si>
    <t>Normalized list of rental properties.</t>
  </si>
  <si>
    <t>a = op (or none when missing)
norm = (t: any): 'long' | 'short' =&gt; (t = 'short' ? 'short' : 'long')
[{ type: norm(rental type), income: to num(rental income), expenses: to num(rental expenses) }]   when to num(rental income) &gt; 0
the answer = []</t>
  </si>
  <si>
    <t>A is op (or none — when missing). Norm is (t: any): 'long' | 'short' =&gt; (t = 'short' ? 'short' : 'long'). When to num(rental income) &gt; 0, it answers [{ type: norm(rental type), income: to num(rental income), expenses: to num(rental expenses) }]. The answer is [].</t>
  </si>
  <si>
    <t>1. MK-CF-F-132 map
2. MK-ST-F-052 toNum</t>
  </si>
  <si>
    <t>1. MK-CF-F-132 map
2. MK-ST-F-052 toNum
3. MK-XS-F-122 n</t>
  </si>
  <si>
    <t>1. MK-CF-F-132 map → MK-CF-F-067 rentalList
2. MK-XS-F-122 n → MK-ST-F-052 toNum → MK-CF-F-067 rentalList</t>
  </si>
  <si>
    <t>Total net rental income per year, across all properties (income − operating expenses).</t>
  </si>
  <si>
    <t>Σ over rental list(op) of (income − expenses)× 12</t>
  </si>
  <si>
    <t>the income minus expenses added up across rental list(op)× 12.</t>
  </si>
  <si>
    <t>"Net" — on the setup questions, which appear on more than one screen</t>
  </si>
  <si>
    <t>MK-CF-F-067 rentalList</t>
  </si>
  <si>
    <t>1. MK-CF-F-067 rentalList
2. MK-CF-F-132 map
3. MK-ST-F-052 toNum
4. MK-XS-F-122 n</t>
  </si>
  <si>
    <t>MK-CF-F-069</t>
  </si>
  <si>
    <t>benefitActiveMonths</t>
  </si>
  <si>
    <t>Calendar months (1-12) benefits are received — e.g.</t>
  </si>
  <si>
    <t>m = array.is array(op.benefit months) ? op!.benefit months! where each ≥ 1 and each ≤ 12: []
the answer:
[...m].sort((a, b) =&gt; a − b)   if count of m
[1, 2, 3, 4, 5, 6, 7, 8, 9, 10, 11, 12]   otherwise</t>
  </si>
  <si>
    <t>M is array.is array(op.benefit months) ? op!.benefit months! where each is at least 1 and each is at most 12: []. The answer is [...m].sort((a, b) =&gt; a minus b) — when how many m there are; [1, 2, 3, 4, 5, 6, 7, 8, 9, 10, 11, 12] — otherwise.</t>
  </si>
  <si>
    <t>MK-CF-F-070</t>
  </si>
  <si>
    <t>benefitAnnual</t>
  </si>
  <si>
    <t>Annual benefits = monthly amount × the months it's actually received.</t>
  </si>
  <si>
    <t>count of to num(op.benefit monthly) × benefit active months(op)</t>
  </si>
  <si>
    <t>how many to num(op.benefit monthly) times benefit active months(op) there are.</t>
  </si>
  <si>
    <t>1. MK-CF-F-069 benefitActiveMonths
2. MK-ST-F-052 toNum</t>
  </si>
  <si>
    <t>1. MK-CF-F-069 benefitActiveMonths
2. MK-ST-F-052 toNum
3. MK-XS-F-122 n</t>
  </si>
  <si>
    <t>1. MK-CF-F-069 benefitActiveMonths → MK-CF-F-070 benefitAnnual
2. MK-XS-F-122 n → MK-ST-F-052 toNum → MK-CF-F-070 benefitAnnual</t>
  </si>
  <si>
    <t>MK-CF-F-071</t>
  </si>
  <si>
    <t>extraIncome</t>
  </si>
  <si>
    <t>Extra income sources beyond salary/rental/equity (self-employment, investment, benefits, support, scholarship, other), split into taxable vs non-taxable steady monthly amounts + a one-time Jan amount.</t>
  </si>
  <si>
    <t>a = op (or none when missing)
se m = to num(se amount) ÷ 12   if se freq = 'annual'
se amount read as a number (0 when it is not one)   otherwise
inv m = to num(inv annual) ÷ 12
ben m = benefit annual(a) ÷ 12
sup m = support monthly read as a number (0 when it is not one)
sch list = scholarships   if array.is array(scholarships)
nothing   otherwise
oth freq = other freq (or 'monthly' when missing)
oth m = to num(other amount) ÷ 12   if oth freq = 'annual'
other amount read as a number (0 when it is not one)   if oth freq = 'monthly'
0   otherwise   otherwise
oth once = other amount read as a number (0 when it is not one)   if oth freq = 'onetime'
0   otherwise
oth taxable = other taxable ! = 'no'
reinvested = 0   if inv paid to bank = 'yes'
inv m   otherwise
… the first steps only — the rest of the body needs reading by hand.</t>
  </si>
  <si>
    <t>A is op (or none — when missing). Se m is to num(se amount) divided by 12 — when se freq = 'annual'; se amount read as a number (0 — when it is one is missing) — otherwise. Inv m is to num(inv annual) divided by 12. Ben m is benefit annual(a) divided by 12. Sup m is support monthly read as a number (0 — when it is one is missing). Sch list is scholarships — when array.is array(scholarships); no answer — otherwise. Oth freq is other freq (or 'monthly' — when missing). Oth m is to num(other amount) divided by 12 — when oth freq = 'annual'; other amount read as a number (0 when it is one is missing) — when oth freq = 'monthly'; 0 — otherwise — otherwise. Oth once is other amount read as a number (0 when it is one is missing) — when oth freq = 'onetime'; 0 — otherwise. Oth taxable is other taxable ! = 'no'. Reinvested is 0 — when inv paid to bank = 'yes'; inv m — otherwise. Only the first steps are shown; the rest of the body needs reading by hand.</t>
  </si>
  <si>
    <t>1. MK-CF-F-070 benefitAnnual
2. MK-ST-F-039 on
3. MK-ST-F-052 toNum</t>
  </si>
  <si>
    <t>1. MK-CF-F-070 benefitAnnual
2. MK-ST-F-039 on
3. MK-ST-F-052 toNum
4. MK-CF-F-069 benefitActiveMonths
5. MK-XS-F-122 n</t>
  </si>
  <si>
    <t>1. MK-CF-F-069 benefitActiveMonths → MK-CF-F-070 benefitAnnual → MK-CF-F-071 extraIncome
2. MK-XS-F-122 n → MK-ST-F-052 toNum → MK-CF-F-070 benefitAnnual → MK-CF-F-071 extraIncome
3. MK-ST-F-039 on → MK-CF-F-071 extraIncome
4. MK-XS-F-122 n → MK-ST-F-052 toNum → MK-CF-F-071 extraIncome</t>
  </si>
  <si>
    <t>Retirement income (ri_*) counts as CURRENT income only when the user actually receives it now — i.e.</t>
  </si>
  <si>
    <t>srcs = op.income sources
0   when array.is array(srcs) and !srcs.includes('retirement_income')
the answer = retirement income monthly(op)</t>
  </si>
  <si>
    <t>Srcs is op.income sources. When array.is array(srcs) and !srcs.includes('retirement_income'), it answers 0. The answer is retirement income monthly(op).</t>
  </si>
  <si>
    <t>1. MK-CF-F-075 retirementIncomeMonthly
2. MK-ST-F-052 toNum
3. MK-XS-F-122 n</t>
  </si>
  <si>
    <t>MK-CF-F-073</t>
  </si>
  <si>
    <t>otherIncomeMonth</t>
  </si>
  <si>
    <t>Calendar month (1-12) a one-time "other income" lands in (default January).</t>
  </si>
  <si>
    <t>min(12, max(1, op.other month read as a number (0 when it is not one) (or 1 when missing or zero)))</t>
  </si>
  <si>
    <t>the smaller of 12 and the larger of 1 and op.other month read as a number (0 — when it is one is missing (or 1 — when missing or zero)).</t>
  </si>
  <si>
    <t>MK-XS-F-122 n → MK-ST-F-052 toNum → MK-CF-F-073 otherIncomeMonth</t>
  </si>
  <si>
    <t>MK-CF-F-074</t>
  </si>
  <si>
    <t>tipsAnnual</t>
  </si>
  <si>
    <t>Tips are part of employment income — they only count in the months the job is active, and the annual figure is prorated like salary (a temp job that ends stops the tips too).</t>
  </si>
  <si>
    <t>to num((op ?? {}).tips monthly) × salary active months(op, now)</t>
  </si>
  <si>
    <t>to num((op ?? {}).tips monthly) times salary active months(op, now).</t>
  </si>
  <si>
    <t>1. op: OnboardingProfile | null
2. now: Date = new Date()</t>
  </si>
  <si>
    <t>1. MK-CF-F-081 salaryActiveMonths
2. MK-ST-F-052 toNum</t>
  </si>
  <si>
    <t>1. MK-CF-F-081 salaryActiveMonths
2. MK-ST-F-052 toNum
3. MK-CF-F-060 salaryGrossByMonth
4. MK-XS-F-122 n
5. MK-CF-F-176 sumMonthsOverEarners
6. MK-CF-F-177 wageGrossByMonth
7. MK-CF-F-173 earnerWages
8. MK-CF-F-132 map
9. MK-CF-F-130 enteredMonthlyRaw
10. MK-CF-F-166 hasMonthlySalaryTable
11. MK-ST-F-036 reconcile
12. MK-CF-F-167 salaryCalendarYear
13. MK-CF-F-172 hasWage
14. MK-CF-F-165 salaryMonths
15. MK-ST-F-056 has</t>
  </si>
  <si>
    <t>1. MK-CF-F-172 hasWage → MK-CF-F-173 earnerWages → MK-CF-F-176 sumMonthsOverEarners → MK-CF-F-060 salaryGrossByMonth → MK-CF-F-081 salaryActiveMonths → MK-CF-F-074 tipsAnnual
2. MK-CF-F-132 map → MK-CF-F-176 sumMonthsOverEarners → MK-CF-F-060 salaryGrossByMonth → MK-CF-F-081 salaryActiveMonths → MK-CF-F-074 tipsAnnual
3. MK-ST-F-052 toNum → MK-CF-F-130 enteredMonthlyRaw → MK-CF-F-177 wageGrossByMonth → MK-CF-F-060 salaryGrossByMonth → MK-CF-F-081 salaryActiveMonths → MK-CF-F-074 tipsAnnual
4. MK-CF-F-165 salaryMonths → MK-CF-F-166 hasMonthlySalaryTable → MK-CF-F-177 wageGrossByMonth → MK-CF-F-060 salaryGrossByMonth → MK-CF-F-081 salaryActiveMonths → MK-CF-F-074 tipsAnnual
5. MK-CF-F-132 map → MK-CF-F-177 wageGrossByMonth → MK-CF-F-060 salaryGrossByMonth → MK-CF-F-081 salaryActiveMonths → MK-CF-F-074 tipsAnnual
6. MK-ST-F-036 reconcile → MK-CF-F-177 wageGrossByMonth → MK-CF-F-060 salaryGrossByMonth → MK-CF-F-081 salaryActiveMonths → MK-CF-F-074 tipsAnnual
7. MK-CF-F-165 salaryMonths → MK-CF-F-167 salaryCalendarYear → MK-CF-F-177 wageGrossByMonth → MK-CF-F-060 salaryGrossByMonth → MK-CF-F-081 salaryActiveMonths → MK-CF-F-074 tipsAnnual
8. MK-XS-F-122 n → MK-ST-F-052 toNum → MK-CF-F-074 tipsAnnual</t>
  </si>
  <si>
    <t>MK-CF-F-075</t>
  </si>
  <si>
    <t>retirementIncomeMonthly</t>
  </si>
  <si>
    <t>Retirement income (Social Security, pension, withdrawals, RMDs, annuities) per month — taxable.</t>
  </si>
  <si>
    <t>a = op (or none when missing)</t>
  </si>
  <si>
    <t>A is op (or none — when missing).</t>
  </si>
  <si>
    <t>guaranteedOutsideStreams</t>
  </si>
  <si>
    <t>a = (op ?? {}) as any
per = (k: string) =&gt; to num(a['ri_' + k]) ÷ (RI_CAD_DIV[a['ri_' + k + '_freq']] ?? 1)
flag = (k: string, dflt: boolean) =&gt; (typeof a['ri_' + k + '_inflates'] = 'boolean' ? a['ri_' + k + '_inflates'] : dflt)
the answer = rows where monthly &gt; 0</t>
  </si>
  <si>
    <t>A is (op ?? {}) as any. Per is (k: string) =&gt; to num(a['ri_' plus k]) divided by (RI_CAD_DIV[a['ri_' plus k plus '_freq']] ?? 1). Flag is (k: string, dflt: boolean) =&gt; (typeof a['ri_' plus k plus '_inflates'] = 'boolean' ? a['ri_' plus k plus '_inflates'] : dflt). The answer is rows where monthly &gt; 0.</t>
  </si>
  <si>
    <t>GuaranteedStream[]</t>
  </si>
  <si>
    <t>MK-XS-F-122 n → MK-ST-F-052 toNum → MK-CF-F-076 guaranteedOutsideStreams</t>
  </si>
  <si>
    <t>MK-CF-M-022 · MK-CF-M-023</t>
  </si>
  <si>
    <t>TESTED, NOT VERIFIED (G13, G14)</t>
  </si>
  <si>
    <t>MK-CF-F-077</t>
  </si>
  <si>
    <t>scholarshipByCalendarMonth</t>
  </si>
  <si>
    <t>Scholarships/grants placed in the calendar months they actually land (Jan→Dec) — NOT averaged.</t>
  </si>
  <si>
    <t>a = op (or none when missing)
out = 12 slots, each 0
list = scholarships   if array.is array(scholarships)
nothing   otherwise
amt = to num(sc.amount); if (amt ≤ 0) continue
months = sc.months   if count of array.is array(sc.months) and sc.months
nothing   otherwise
amt = scholarship amount read as a number (0 when it is not one)
the answer = out</t>
  </si>
  <si>
    <t>A is op (or none — when missing). Out is 12 slots, each 0. List is scholarships — when array.is array(scholarships); no answer — otherwise. Amt is to num(sc.amount); — when (amt is at most 0) continue. Months is sc.months — when how many array.is array(sc.months) and sc.months there are; no answer — otherwise. Amt is scholarship amount read as a number (0 — when it is one is missing). The answer is out.</t>
  </si>
  <si>
    <t>MK-XS-F-122 n → MK-ST-F-052 toNum → MK-CF-F-077 scholarshipByCalendarMonth</t>
  </si>
  <si>
    <t>Employer match resolved to $/month.</t>
  </si>
  <si>
    <t>sum over earners(op, wage match monthly)</t>
  </si>
  <si>
    <t>sum over earners(op, wage match monthly).</t>
  </si>
  <si>
    <t>"Match (% of your contribution, or a flat amount per month)" — on the setup questions, which appear on more than one screen</t>
  </si>
  <si>
    <t>1. MK-CF-F-175 sumOverEarners
2. MK-CF-F-178 wageMatchMonthly</t>
  </si>
  <si>
    <t>1. MK-CF-F-175 sumOverEarners
2. MK-CF-F-178 wageMatchMonthly
3. MK-CF-F-173 earnerWages
4. MK-ST-F-052 toNum
5. MK-CF-F-172 hasWage
6. MK-XS-F-122 n
7. MK-ST-F-056 has</t>
  </si>
  <si>
    <t>MK-CF-F-079</t>
  </si>
  <si>
    <t>incomeFromOnboarding</t>
  </si>
  <si>
    <t>a = op (or none when missing)
who = who earns as who earns (or 'you' when missing)
sources = []
vest w = equity vest weights(op)
the answer:
user id = uid
sources = sources
tax = tax</t>
  </si>
  <si>
    <t>A is op (or none — when missing). Who is who earns as who earns (or 'you' — when missing). Sources is []. Vest w is equity vest weights(op). The answer is user id = uid; sources = sources; tax = tax.</t>
  </si>
  <si>
    <t>IncomeDoc</t>
  </si>
  <si>
    <t>1. MK-CF-F-070 benefitAnnual
2. MK-CF-F-072 currentRetirementIncomeMonthly
3. MK-CF-F-078 employerMatchMonthly
4. MK-CF-F-065 equityVestWeights
5. MK-CF-F-132 map
6. MK-ST-F-043 newEntityId
7. MK-CF-F-067 rentalList
8. MK-CF-F-066 rsuAnnual
9. MK-CF-F-082 salaryAnnual
10. MK-CF-F-074 tipsAnnual
11. MK-ST-F-052 toNum
12. MK-XS-F-175 uid</t>
  </si>
  <si>
    <t>1. MK-CF-F-070 benefitAnnual
2. MK-CF-F-072 currentRetirementIncomeMonthly
3. MK-CF-F-078 employerMatchMonthly
4. MK-CF-F-065 equityVestWeights
5. MK-CF-F-132 map
6. MK-ST-F-043 newEntityId
7. MK-CF-F-067 rentalList
8. MK-CF-F-066 rsuAnnual
9. MK-CF-F-082 salaryAnnual
10. MK-CF-F-074 tipsAnnual
11. MK-ST-F-052 toNum
12. MK-XS-F-175 uid
13. MK-CF-F-069 benefitActiveMonths
14. MK-CF-F-075 retirementIncomeMonthly
15. MK-CF-F-175 sumOverEarners
16. MK-CF-F-178 wageMatchMonthly
17. MK-CF-F-062 equityRowValue
18. MK-CF-F-063 rowVestYear
19. MK-CF-F-060 salaryGrossByMonth
20. MK-CF-F-081 salaryActiveMonths
21. MK-XS-F-122 n
22. MK-ST-F-027 accountId
23. MK-CF-F-111 applyTransaction
24. MK-NW-F-040 assetsFromOnboarding
25. MK-PF-F-013 benchmarkTicker
26. MK-ST-F-028 buildDayFromAccounts
27. MK-PF-F-034 closeOnOrBefore
28. MK-CF-F-186 convertTakeHomeMode
29. MK-CF-F-038 debtsFromOnboarding
30. MK-XS-F-083 fetchPriceSeries
31. MK-PL-F-013 goalsFromOnboarding
32. MK-ST-F-056 has
33. MK-CF-F-116 inverseOf
34. MK-ST-F-065 isoLocalDate
35. MK-CF-F-112 makeTransaction
36. MK-XS-F-006 pruneDaily
37. MK-ST-F-073 rebuildDays
38. MK-NW-F-054 reclassifyAccounts
39. MK-XS-F-174 recomputeBalances
40. MK-CF-F-115 restoreUndo
41. MK-CF-F-109 reviewTransactions
42. MK-ST-F-044 setMoneyFormat
43. MK-CF-F-114 undoSnapshot
44. MK-CF-F-191 ym
45. MK-CF-F-173 earnerWages
46. MK-CF-F-176 sumMonthsOverEarners
47. MK-CF-F-177 wageGrossByMonth
48. MK-CF-F-138 addLot
49. MK-CF-F-136 bumpCash
50. MK-CF-F-137 findPos
51. MK-CF-F-139 removeShares
52. MK-PF-F-001 totalShares
53. MK-ST-F-053 money
54. MK-CF-F-085 filingStatusOf
55. MK-CF-F-097 grossFromNet
56. MK-CF-F-185 needsTakeHomeConversion
57. MK-CF-F-089 over65CountOf
58. MK-CF-F-037 inferDebtType
59. MK-ST-F-069 amountOf
60. MK-CF-F-133 cashOf
61. MK-ST-F-066 isDayKey
62. MK-ST-F-070 isOpening
63. MK-ST-F-071 rebuildableFrom
64. MK-ST-F-068 stepDay
65. MK-ST-F-072 undo
66. MK-NW-F-053 correctClassOf
67. MK-NW-F-008 incomeBearingClassOf
68. MK-PF-F-002 costBasis
69. MK-PF-F-009 latestClose
70. MK-PF-F-004 marketValue
71. MK-ST-F-030 record
72. MK-XS-F-024 resolveLens
73. MK-ST-F-055 round2
74. MK-CF-F-162 daysApart
75. MK-CF-F-108 isMoneyOut
76. MK-PL-F-074 median
77. MK-CF-F-131 normPayee
78. MK-CF-F-113 affectedAccountIds
79. MK-CF-F-172 hasWage
80. MK-CF-F-130 enteredMonthlyRaw
81. MK-CF-F-166 hasMonthlySalaryTable
82. MK-ST-F-036 reconcile
83. MK-CF-F-167 salaryCalendarYear
84. MK-CF-F-134 usesSleeve
85. MK-ST-F-049 formatMoney
86. MK-CF-F-101 taxOwedFor
87. MK-ST-F-067 utcOfDay
88. MK-CF-F-155 cash
89. MK-ST-F-035 covers
90. MK-NW-F-009 maturityClass
91. MK-ST-F-010 nameEvidence
92. MK-PF-F-031 contractMultiplier
93. MK-CF-F-165 salaryMonths
94. MK-ST-F-048 currencySymbol
95. MK-ST-F-039 on
96. MK-CF-F-100 taxableIncomeFor
97. MK-ST-F-034 firstDate
98. MK-XS-F-147 call
99. MK-ST-F-047 activeCurrency
100. MK-CF-F-099 deductionFor
101. MK-XS-F-064 currentIdToken
102. MK-XS-F-112 relayUrl
103. MK-CF-F-187 seniorDeductionFor</t>
  </si>
  <si>
    <t>1. MK-CF-F-069 benefitActiveMonths → MK-CF-F-070 benefitAnnual → MK-CF-F-079 incomeFromOnboarding
2. MK-XS-F-122 n → MK-ST-F-052 toNum → MK-CF-F-070 benefitAnnual → MK-CF-F-079 incomeFromOnboarding
3. MK-XS-F-122 n → MK-ST-F-052 toNum → MK-CF-F-075 retirementIncomeMonthly → MK-CF-F-072 currentRetirementIncomeMonthly → MK-CF-F-079 incomeFromOnboarding
4. MK-ST-F-056 has → MK-CF-F-172 hasWage → MK-CF-F-173 earnerWages → MK-CF-F-175 sumOverEarners → MK-CF-F-078 employerMatchMonthly → MK-CF-F-079 incomeFromOnboarding
5. MK-XS-F-122 n → MK-ST-F-052 toNum → MK-CF-F-178 wageMatchMonthly → MK-CF-F-078 employerMatchMonthly → MK-CF-F-079 incomeFromOnboarding
6. MK-XS-F-122 n → MK-ST-F-052 toNum → MK-CF-F-062 equityRowValue → MK-CF-F-065 equityVestWeights → MK-CF-F-079 incomeFromOnboarding
7. MK-CF-F-132 map → MK-CF-F-065 equityVestWeights → MK-CF-F-079 incomeFromOnboarding
8. MK-CF-F-132 map → MK-CF-F-079 incomeFromOnboarding
9. … and 5 more paths</t>
  </si>
  <si>
    <t>MK-CF-F-080</t>
  </si>
  <si>
    <t>jobActiveMonth</t>
  </si>
  <si>
    <t>Is base salary present in calendar month i (0-11)?</t>
  </si>
  <si>
    <t>salary gross by month(op)[((i % 12) + 12) % 12] &gt; 0</t>
  </si>
  <si>
    <t>salary gross by month(op)[((i % 12) plus 12) % 12] &gt; 0.</t>
  </si>
  <si>
    <t>1. op: OnboardingProfile | null
2. i: number
3. _now: Date = new Date()</t>
  </si>
  <si>
    <t>1. MK-ST-F-056 has → MK-CF-F-172 hasWage → MK-CF-F-173 earnerWages → MK-CF-F-176 sumMonthsOverEarners → MK-CF-F-060 salaryGrossByMonth → MK-CF-F-080 jobActiveMonth
2. MK-CF-F-132 map → MK-CF-F-176 sumMonthsOverEarners → MK-CF-F-060 salaryGrossByMonth → MK-CF-F-080 jobActiveMonth
3. MK-XS-F-122 n → MK-ST-F-052 toNum → MK-CF-F-130 enteredMonthlyRaw → MK-CF-F-177 wageGrossByMonth → MK-CF-F-060 salaryGrossByMonth → MK-CF-F-080 jobActiveMonth
4. MK-ST-F-052 toNum → MK-CF-F-165 salaryMonths → MK-CF-F-166 hasMonthlySalaryTable → MK-CF-F-177 wageGrossByMonth → MK-CF-F-060 salaryGrossByMonth → MK-CF-F-080 jobActiveMonth
5. MK-CF-F-132 map → MK-CF-F-177 wageGrossByMonth → MK-CF-F-060 salaryGrossByMonth → MK-CF-F-080 jobActiveMonth
6. MK-ST-F-036 reconcile → MK-CF-F-177 wageGrossByMonth → MK-CF-F-060 salaryGrossByMonth → MK-CF-F-080 jobActiveMonth
7. MK-ST-F-052 toNum → MK-CF-F-165 salaryMonths → MK-CF-F-167 salaryCalendarYear → MK-CF-F-177 wageGrossByMonth → MK-CF-F-060 salaryGrossByMonth → MK-CF-F-080 jobActiveMonth</t>
  </si>
  <si>
    <t>MK-CF-F-081</t>
  </si>
  <si>
    <t>salaryActiveMonths</t>
  </si>
  <si>
    <t>How many months of the year you draw a salary.</t>
  </si>
  <si>
    <t xml:space="preserve">salary gross by month(op) where each &gt; 0count of </t>
  </si>
  <si>
    <t>salary gross by month(op) where each &gt; 0count of.</t>
  </si>
  <si>
    <t>1. op: OnboardingProfile | null
2. _now: Date = new Date()</t>
  </si>
  <si>
    <t>1. MK-ST-F-056 has → MK-CF-F-172 hasWage → MK-CF-F-173 earnerWages → MK-CF-F-176 sumMonthsOverEarners → MK-CF-F-060 salaryGrossByMonth → MK-CF-F-081 salaryActiveMonths
2. MK-CF-F-132 map → MK-CF-F-176 sumMonthsOverEarners → MK-CF-F-060 salaryGrossByMonth → MK-CF-F-081 salaryActiveMonths
3. MK-XS-F-122 n → MK-ST-F-052 toNum → MK-CF-F-130 enteredMonthlyRaw → MK-CF-F-177 wageGrossByMonth → MK-CF-F-060 salaryGrossByMonth → MK-CF-F-081 salaryActiveMonths
4. MK-ST-F-052 toNum → MK-CF-F-165 salaryMonths → MK-CF-F-166 hasMonthlySalaryTable → MK-CF-F-177 wageGrossByMonth → MK-CF-F-060 salaryGrossByMonth → MK-CF-F-081 salaryActiveMonths
5. MK-CF-F-132 map → MK-CF-F-177 wageGrossByMonth → MK-CF-F-060 salaryGrossByMonth → MK-CF-F-081 salaryActiveMonths
6. MK-ST-F-036 reconcile → MK-CF-F-177 wageGrossByMonth → MK-CF-F-060 salaryGrossByMonth → MK-CF-F-081 salaryActiveMonths
7. MK-ST-F-052 toNum → MK-CF-F-165 salaryMonths → MK-CF-F-167 salaryCalendarYear → MK-CF-F-177 wageGrossByMonth → MK-CF-F-060 salaryGrossByMonth → MK-CF-F-081 salaryActiveMonths</t>
  </si>
  <si>
    <t>MONTHS_WORKED</t>
  </si>
  <si>
    <t>MK-CF-F-082</t>
  </si>
  <si>
    <t>salaryAnnual</t>
  </si>
  <si>
    <t>Salary income for the year = sum of the per-month gross salary.</t>
  </si>
  <si>
    <t>Σ over salary gross by month(op) of (each)</t>
  </si>
  <si>
    <t>the each added up across salary gross by month(op).</t>
  </si>
  <si>
    <t>1. MK-ST-F-056 has → MK-CF-F-172 hasWage → MK-CF-F-173 earnerWages → MK-CF-F-176 sumMonthsOverEarners → MK-CF-F-060 salaryGrossByMonth → MK-CF-F-082 salaryAnnual
2. MK-CF-F-132 map → MK-CF-F-176 sumMonthsOverEarners → MK-CF-F-060 salaryGrossByMonth → MK-CF-F-082 salaryAnnual
3. MK-XS-F-122 n → MK-ST-F-052 toNum → MK-CF-F-130 enteredMonthlyRaw → MK-CF-F-177 wageGrossByMonth → MK-CF-F-060 salaryGrossByMonth → MK-CF-F-082 salaryAnnual
4. MK-ST-F-052 toNum → MK-CF-F-165 salaryMonths → MK-CF-F-166 hasMonthlySalaryTable → MK-CF-F-177 wageGrossByMonth → MK-CF-F-060 salaryGrossByMonth → MK-CF-F-082 salaryAnnual
5. MK-CF-F-132 map → MK-CF-F-177 wageGrossByMonth → MK-CF-F-060 salaryGrossByMonth → MK-CF-F-082 salaryAnnual
6. MK-ST-F-036 reconcile → MK-CF-F-177 wageGrossByMonth → MK-CF-F-060 salaryGrossByMonth → MK-CF-F-082 salaryAnnual
7. MK-ST-F-052 toNum → MK-CF-F-165 salaryMonths → MK-CF-F-167 salaryCalendarYear → MK-CF-F-177 wageGrossByMonth → MK-CF-F-060 salaryGrossByMonth → MK-CF-F-082 salaryAnnual</t>
  </si>
  <si>
    <t>MK-CF-F-083</t>
  </si>
  <si>
    <t>Total annual income across every inflow (salary for months worked + bonus + signing + equity + net rental + self-employment/investment/benefits/support/scholarship/other).</t>
  </si>
  <si>
    <t>a = op (or none when missing)
ex = extra income(op)</t>
  </si>
  <si>
    <t>A is op (or none — when missing). Ex is extra income(op).</t>
  </si>
  <si>
    <t>1. "Net Worth" — on the setup questions, which appear on more than one screen
2. "Operating expense /month" — on the setup questions, which appear on more than one screen
3. "Pay off over (years)" — on the setup questions, which appear on more than one screen
4. "STUDENT LOAN OUTLOOK" — on the Goals screen, under "STUDENT LOAN OUTLOOK"
5. "Total income /year" — on the setup questions, which appear on more than one screen
6. "Total value" — on the setup questions, which appear on more than one screen</t>
  </si>
  <si>
    <t>1. Turns a monthly figure into a year by multiplying by twelve.
2. Uses today's date from the device clock, so the answer changes by itself overnight.</t>
  </si>
  <si>
    <t>1. MK-CF-F-072 currentRetirementIncomeMonthly
2. MK-CF-F-071 extraIncome
3. MK-CF-F-068 rentalNetAnnual
4. MK-CF-F-066 rsuAnnual
5. MK-CF-F-082 salaryAnnual
6. MK-CF-F-074 tipsAnnual
7. MK-ST-F-052 toNum</t>
  </si>
  <si>
    <t>1. MK-CF-F-072 currentRetirementIncomeMonthly
2. MK-CF-F-071 extraIncome
3. MK-CF-F-068 rentalNetAnnual
4. MK-CF-F-066 rsuAnnual
5. MK-CF-F-082 salaryAnnual
6. MK-CF-F-074 tipsAnnual
7. MK-ST-F-052 toNum
8. MK-CF-F-075 retirementIncomeMonthly
9. MK-CF-F-070 benefitAnnual
10. MK-ST-F-039 on
11. MK-CF-F-067 rentalList
12. MK-CF-F-062 equityRowValue
13. MK-CF-F-132 map
14. MK-CF-F-063 rowVestYear
15. MK-CF-F-060 salaryGrossByMonth
16. MK-CF-F-081 salaryActiveMonths
17. MK-XS-F-122 n
18. MK-CF-F-069 benefitActiveMonths
19. MK-CF-F-176 sumMonthsOverEarners
20. MK-CF-F-177 wageGrossByMonth
21. MK-CF-F-173 earnerWages
22. MK-CF-F-130 enteredMonthlyRaw
23. MK-CF-F-166 hasMonthlySalaryTable
24. MK-ST-F-036 reconcile
25. MK-CF-F-167 salaryCalendarYear
26. MK-CF-F-172 hasWage
27. MK-CF-F-165 salaryMonths
28. MK-ST-F-056 has</t>
  </si>
  <si>
    <t>MK-CF-F-084</t>
  </si>
  <si>
    <t>taxableAnnual</t>
  </si>
  <si>
    <t>Taxable annual income (excludes non-taxable benefits/support/scholarships) — the base for tax estimates.</t>
  </si>
  <si>
    <t>1. "Count money you receive to live on. We won't tax this." — on the setup questions, which appear on more than one screen
2. "Each month: tax
3. expenses
4. savings" — on the setup questions, which appear on more than one screen
5. "How often?" — on the setup questions, which appear on more than one screen
6. "Taxes" — on the setup questions, which appear on more than one screen
7. "That changes your take-home" — on the filing status screen
8. "WHAT'S TAKEN OUT" — on the setup questions, which appear on more than one screen</t>
  </si>
  <si>
    <t>1. MK-XS-F-122 n → MK-ST-F-052 toNum → MK-CF-F-075 retirementIncomeMonthly → MK-CF-F-072 currentRetirementIncomeMonthly → MK-CF-F-084 taxableAnnual
2. MK-CF-F-069 benefitActiveMonths → MK-CF-F-070 benefitAnnual → MK-CF-F-071 extraIncome → MK-CF-F-084 taxableAnnual
3. MK-XS-F-122 n → MK-ST-F-052 toNum → MK-CF-F-070 benefitAnnual → MK-CF-F-071 extraIncome → MK-CF-F-084 taxableAnnual
4. MK-ST-F-039 on → MK-CF-F-071 extraIncome → MK-CF-F-084 taxableAnnual
5. MK-XS-F-122 n → MK-ST-F-052 toNum → MK-CF-F-071 extraIncome → MK-CF-F-084 taxableAnnual
6. MK-CF-F-132 map → MK-CF-F-067 rentalList → MK-CF-F-068 rentalNetAnnual → MK-CF-F-084 taxableAnnual
7. MK-XS-F-122 n → MK-ST-F-052 toNum → MK-CF-F-067 rentalList → MK-CF-F-068 rentalNetAnnual → MK-CF-F-084 taxableAnnual
8. MK-XS-F-122 n → MK-ST-F-052 toNum → MK-CF-F-062 equityRowValue → MK-CF-F-066 rsuAnnual → MK-CF-F-084 taxableAnnual
9. … and 5 more paths</t>
  </si>
  <si>
    <t>MK-CF-F-085</t>
  </si>
  <si>
    <t>filingStatusOf</t>
  </si>
  <si>
    <t>Effective tax rate in use: the user's manual rate, else the IRS-schedule estimate on taxable income.</t>
  </si>
  <si>
    <t>a = op (or none when missing)
who = who earns
the answer:
'married'   if has spouse = 'yes' (or who = 'both' (or who = 'partner' when missing or zero) when missing or zero)
'single'   otherwise
v = filing status</t>
  </si>
  <si>
    <t>A is op (or none — when missing). Who is who earns. The answer is 'married' — when has spouse = 'yes' (or who = 'both' (or who = 'partner' when missing or zero) when missing or zero); 'single' — otherwise. V is filing status.</t>
  </si>
  <si>
    <t>import('./tax').FilingStatus</t>
  </si>
  <si>
    <t>MK-CF-F-086</t>
  </si>
  <si>
    <t>stateRateOf</t>
  </si>
  <si>
    <t>min(0.15, max(0, to num((op as any).state tax rate) ÷ 100))</t>
  </si>
  <si>
    <t>the smaller of 0.15 and to num((op as any, never below zero.state tax rate divided by 100)).</t>
  </si>
  <si>
    <t>MK-XS-F-122 n → MK-ST-F-052 toNum → MK-CF-F-086 stateRateOf</t>
  </si>
  <si>
    <t>MK-CF-F-087</t>
  </si>
  <si>
    <t>monthlyTaxRates</t>
  </si>
  <si>
    <t>PRD F2#11 — the ONE per-calendar-month effective tax-rate vector (Jan→Dec).</t>
  </si>
  <si>
    <t>flat = effective rate(op)
12 slots, each flat   when the person's own rate is in force
taxable = taxable by calendar month(op, now)
12 slots, each flat   when Σ taxable ≤ 0
tax = progressive monthly tax(taxable, filing status, state rate, people 65+)
the answer: for each month, min(60%, max(0, tax ÷ taxable))   if taxable &gt; 0, else flat</t>
  </si>
  <si>
    <t>One withholding rate per calendar month. If the person set their own rate it is used for every month. Otherwise the year's taxable income is laid out by month, the progressive tax on the running total gives each month's tax, and the month's rate is that tax over that month's taxable income, capped at 60%; a month with no taxable income takes the flat rate.</t>
  </si>
  <si>
    <t>1. MK-CF-F-090 effectiveRate
2. MK-CF-F-085 filingStatusOf
3. MK-CF-F-132 map
4. MK-CF-F-089 over65CountOf
5. MK-CF-F-098 progressiveMonthlyTax
6. MK-CF-F-181 rateInForce
7. MK-CF-F-086 stateRateOf
8. MK-CF-F-088 taxableByCalendarMonth</t>
  </si>
  <si>
    <t>1. MK-CF-F-090 effectiveRate
2. MK-CF-F-085 filingStatusOf
3. MK-CF-F-132 map
4. MK-CF-F-089 over65CountOf
5. MK-CF-F-098 progressiveMonthlyTax
6. MK-CF-F-181 rateInForce
7. MK-CF-F-086 stateRateOf
8. MK-CF-F-088 taxableByCalendarMonth
9. MK-ST-F-052 toNum
10. MK-CF-F-101 taxOwedFor
11. MK-CF-F-100 taxableIncomeFor
12. MK-CF-F-173 earnerWages
13. MK-CF-F-102 effectiveRateOnGrossFor
14. MK-CF-F-180 enteredLandsAnnual
15. MK-CF-F-082 salaryAnnual
16. MK-CF-F-084 taxableAnnual
17. MK-CF-F-072 currentRetirementIncomeMonthly
18. MK-CF-F-065 equityVestWeights
19. MK-CF-F-071 extraIncome
20. MK-CF-F-073 otherIncomeMonth
21. MK-CF-F-068 rentalNetAnnual
22. MK-CF-F-066 rsuAnnual
23. MK-CF-F-060 salaryGrossByMonth
24. MK-XS-F-122 n
25. MK-CF-F-099 deductionFor
26. MK-CF-F-172 hasWage
27. MK-CF-F-074 tipsAnnual
28. MK-CF-F-075 retirementIncomeMonthly
29. MK-CF-F-062 equityRowValue
30. MK-CF-F-070 benefitAnnual
31. MK-ST-F-039 on
32. MK-CF-F-067 rentalList
33. MK-CF-F-063 rowVestYear
34. MK-CF-F-176 sumMonthsOverEarners
35. MK-CF-F-177 wageGrossByMonth
36. MK-CF-F-187 seniorDeductionFor
37. MK-ST-F-056 has
38. MK-CF-F-081 salaryActiveMonths
39. MK-CF-F-069 benefitActiveMonths
40. MK-CF-F-130 enteredMonthlyRaw
41. MK-CF-F-166 hasMonthlySalaryTable
42. MK-ST-F-036 reconcile
43. MK-CF-F-167 salaryCalendarYear
44. MK-CF-F-165 salaryMonths</t>
  </si>
  <si>
    <t>1. MK-ST-F-056 has → MK-CF-F-172 hasWage → MK-CF-F-173 earnerWages → MK-CF-F-181 rateInForce → MK-CF-F-090 effectiveRate → MK-CF-F-087 monthlyTaxRates
2. MK-CF-F-100 taxableIncomeFor → MK-CF-F-101 taxOwedFor → MK-CF-F-102 effectiveRateOnGrossFor → MK-CF-F-181 rateInForce → MK-CF-F-090 effectiveRate → MK-CF-F-087 monthlyTaxRates
3. MK-CF-F-172 hasWage → MK-CF-F-173 earnerWages → MK-CF-F-180 enteredLandsAnnual → MK-CF-F-181 rateInForce → MK-CF-F-090 effectiveRate → MK-CF-F-087 monthlyTaxRates
4. MK-XS-F-122 n → MK-ST-F-052 toNum → MK-CF-F-180 enteredLandsAnnual → MK-CF-F-181 rateInForce → MK-CF-F-090 effectiveRate → MK-CF-F-087 monthlyTaxRates
5. MK-CF-F-085 filingStatusOf → MK-CF-F-181 rateInForce → MK-CF-F-090 effectiveRate → MK-CF-F-087 monthlyTaxRates
6. MK-XS-F-122 n → MK-ST-F-052 toNum → MK-CF-F-089 over65CountOf → MK-CF-F-181 rateInForce → MK-CF-F-090 effectiveRate → MK-CF-F-087 monthlyTaxRates
7. MK-CF-F-176 sumMonthsOverEarners → MK-CF-F-060 salaryGrossByMonth → MK-CF-F-082 salaryAnnual → MK-CF-F-181 rateInForce → MK-CF-F-090 effectiveRate → MK-CF-F-087 monthlyTaxRates
8. MK-CF-F-177 wageGrossByMonth → MK-CF-F-060 salaryGrossByMonth → MK-CF-F-082 salaryAnnual → MK-CF-F-181 rateInForce → MK-CF-F-090 effectiveRate → MK-CF-F-087 monthlyTaxRates
9. … and 5 more paths</t>
  </si>
  <si>
    <t>MK-CF-F-088</t>
  </si>
  <si>
    <t>taxableByCalendarMonth</t>
  </si>
  <si>
    <t>The calendar-year TAXABLE profile (Jan→Dec) — the same placement rules incomeMonthlyGrid uses, extracted so the rate vector and the grid can never drift apart.</t>
  </si>
  <si>
    <t>a = op (or none when missing)
sal by month = salary gross by month(op)
tips m = tips monthly read as a number (0 when it is not one)
rental m = rental net annual(op) ÷ 12
ex = extra income(op)
ret inc monthly = current retirement income monthly(op)
eq annual = rsu annual(op)
vest w = equity vest weights(op)
equity by month = for each of vest w ? vest w: eq annual × each: 12 slots, each 0
bonus idx = min(11, max(0, (to num(bonus month) or 12) − 1))
other idx = other income month(op) − 1
… the first steps only — the rest of the body needs reading by hand.</t>
  </si>
  <si>
    <t>A is op (or none — when missing). Sal by month is salary gross by month(op). Tips m is tips monthly read as a number (0 — when it is one is missing). Rental m is rental net annual(op) divided by 12. Ex is extra income(op). Ret inc monthly is current retirement income monthly(op). Eq annual is rsu annual(op). Vest w is equity vest weights(op). Equity by month is for each of vest w ? vest w: eq annual times each: 12 slots, each 0. Bonus idx: the smaller of 11 and (to num(bonus month, never below zero or 12 minus 1)). Other idx is other income month(op) minus 1. Only the first steps are shown; the rest of the body needs reading by hand.</t>
  </si>
  <si>
    <t>1. Uses today's date from the device clock, so the answer changes by itself overnight.
2. Never lets t fall below 0.</t>
  </si>
  <si>
    <t>1. MK-CF-F-072 currentRetirementIncomeMonthly
2. MK-CF-F-065 equityVestWeights
3. MK-CF-F-071 extraIncome
4. MK-CF-F-132 map
5. MK-CF-F-073 otherIncomeMonth
6. MK-CF-F-068 rentalNetAnnual
7. MK-CF-F-066 rsuAnnual
8. MK-CF-F-060 salaryGrossByMonth
9. MK-ST-F-052 toNum</t>
  </si>
  <si>
    <t>1. MK-CF-F-072 currentRetirementIncomeMonthly
2. MK-CF-F-065 equityVestWeights
3. MK-CF-F-071 extraIncome
4. MK-CF-F-132 map
5. MK-CF-F-073 otherIncomeMonth
6. MK-CF-F-068 rentalNetAnnual
7. MK-CF-F-066 rsuAnnual
8. MK-CF-F-060 salaryGrossByMonth
9. MK-ST-F-052 toNum
10. MK-CF-F-075 retirementIncomeMonthly
11. MK-CF-F-062 equityRowValue
12. MK-CF-F-070 benefitAnnual
13. MK-ST-F-039 on
14. MK-CF-F-067 rentalList
15. MK-CF-F-063 rowVestYear
16. MK-CF-F-176 sumMonthsOverEarners
17. MK-CF-F-177 wageGrossByMonth
18. MK-XS-F-122 n
19. MK-CF-F-069 benefitActiveMonths
20. MK-CF-F-173 earnerWages
21. MK-CF-F-130 enteredMonthlyRaw
22. MK-CF-F-166 hasMonthlySalaryTable
23. MK-ST-F-036 reconcile
24. MK-CF-F-167 salaryCalendarYear
25. MK-CF-F-172 hasWage
26. MK-CF-F-165 salaryMonths
27. MK-ST-F-056 has</t>
  </si>
  <si>
    <t>1. MK-XS-F-122 n → MK-ST-F-052 toNum → MK-CF-F-075 retirementIncomeMonthly → MK-CF-F-072 currentRetirementIncomeMonthly → MK-CF-F-088 taxableByCalendarMonth
2. MK-XS-F-122 n → MK-ST-F-052 toNum → MK-CF-F-062 equityRowValue → MK-CF-F-065 equityVestWeights → MK-CF-F-088 taxableByCalendarMonth
3. MK-CF-F-132 map → MK-CF-F-065 equityVestWeights → MK-CF-F-088 taxableByCalendarMonth
4. MK-CF-F-069 benefitActiveMonths → MK-CF-F-070 benefitAnnual → MK-CF-F-071 extraIncome → MK-CF-F-088 taxableByCalendarMonth
5. MK-XS-F-122 n → MK-ST-F-052 toNum → MK-CF-F-070 benefitAnnual → MK-CF-F-071 extraIncome → MK-CF-F-088 taxableByCalendarMonth
6. MK-ST-F-039 on → MK-CF-F-071 extraIncome → MK-CF-F-088 taxableByCalendarMonth
7. MK-XS-F-122 n → MK-ST-F-052 toNum → MK-CF-F-071 extraIncome → MK-CF-F-088 taxableByCalendarMonth
8. MK-CF-F-132 map → MK-CF-F-088 taxableByCalendarMonth
9. … and 5 more paths</t>
  </si>
  <si>
    <t>MK-CF-F-089</t>
  </si>
  <si>
    <t>over65CountOf</t>
  </si>
  <si>
    <t>E8 (founder brief 2026-08-20): how many people on the return are 65+.</t>
  </si>
  <si>
    <t>a = op (or none when missing)
joint = filing status = 'married'
the answer:
2   if over65 who = 'both'
0   if over65 who = 'neither'
1   otherwise   otherwise
y = birth year read as a number (0 when it is not one)
0   when y is missing</t>
  </si>
  <si>
    <t>A is op (or none — when missing). Joint is filing status = 'married'. The answer is 2 — when over65 who = 'both'; 0 — when over65 who = 'neither'; 1 — otherwise — otherwise. Y is birth year read as a number (0 — when it is one is missing). When y is missing, it answers 0.</t>
  </si>
  <si>
    <t>MK-XS-F-122 n → MK-ST-F-052 toNum → MK-CF-F-089 over65CountOf</t>
  </si>
  <si>
    <t>rate in force(op).rate</t>
  </si>
  <si>
    <t>rate in force(op).rate.</t>
  </si>
  <si>
    <t>MK-CF-F-181 rateInForce</t>
  </si>
  <si>
    <t>1. MK-CF-F-181 rateInForce
2. MK-CF-F-173 earnerWages
3. MK-CF-F-102 effectiveRateOnGrossFor
4. MK-CF-F-180 enteredLandsAnnual
5. MK-CF-F-085 filingStatusOf
6. MK-CF-F-089 over65CountOf
7. MK-CF-F-082 salaryAnnual
8. MK-CF-F-086 stateRateOf
9. MK-CF-F-084 taxableAnnual
10. MK-ST-F-052 toNum
11. MK-CF-F-172 hasWage
12. MK-CF-F-101 taxOwedFor
13. MK-CF-F-060 salaryGrossByMonth
14. MK-CF-F-072 currentRetirementIncomeMonthly
15. MK-CF-F-071 extraIncome
16. MK-CF-F-068 rentalNetAnnual
17. MK-CF-F-066 rsuAnnual
18. MK-CF-F-074 tipsAnnual
19. MK-XS-F-122 n
20. MK-ST-F-056 has
21. MK-CF-F-100 taxableIncomeFor
22. MK-CF-F-176 sumMonthsOverEarners
23. MK-CF-F-177 wageGrossByMonth
24. MK-CF-F-075 retirementIncomeMonthly
25. MK-CF-F-070 benefitAnnual
26. MK-ST-F-039 on
27. MK-CF-F-067 rentalList
28. MK-CF-F-062 equityRowValue
29. MK-CF-F-132 map
30. MK-CF-F-063 rowVestYear
31. MK-CF-F-081 salaryActiveMonths
32. MK-CF-F-099 deductionFor
33. MK-CF-F-130 enteredMonthlyRaw
34. MK-CF-F-166 hasMonthlySalaryTable
35. MK-ST-F-036 reconcile
36. MK-CF-F-167 salaryCalendarYear
37. MK-CF-F-069 benefitActiveMonths
38. MK-CF-F-187 seniorDeductionFor
39. MK-CF-F-165 salaryMonths</t>
  </si>
  <si>
    <t>MK-CF-F-091</t>
  </si>
  <si>
    <t>userCapGainsRates</t>
  </si>
  <si>
    <t>PRD F3#17 — the user's OWN capital-gains rates (long: 0/15/20 ladder by filing status; short: their marginal bracket), each plus the flat state rate.</t>
  </si>
  <si>
    <t>gross = total gross annual(op)
status = filing status of(op)
state = state rate of(op)
over65 = over65 count of(op)
the answer:
lt = ltcg rate for(gross, status, over65) + state
st = marginal bracket for(gross, status, over65) + state</t>
  </si>
  <si>
    <t>Gross is total gross annual(op). Status is filing status of(op). State is state rate of(op). Over65 is over65 count of(op). The answer is lt = ltcg rate for(gross, status, over65) plus state; st = marginal bracket for(gross, status, over65) plus state.</t>
  </si>
  <si>
    <t>1. MK-CF-F-085 filingStatusOf
2. MK-CF-F-104 ltcgRateFor
3. MK-CF-F-103 marginalBracketFor
4. MK-ST-F-039 on
5. MK-CF-F-089 over65CountOf
6. MK-CF-F-086 stateRateOf
7. MK-CF-F-083 totalGrossAnnual</t>
  </si>
  <si>
    <t>1. MK-CF-F-085 filingStatusOf
2. MK-CF-F-104 ltcgRateFor
3. MK-CF-F-103 marginalBracketFor
4. MK-ST-F-039 on
5. MK-CF-F-089 over65CountOf
6. MK-CF-F-086 stateRateOf
7. MK-CF-F-083 totalGrossAnnual
8. MK-CF-F-100 taxableIncomeFor
9. MK-ST-F-052 toNum
10. MK-CF-F-072 currentRetirementIncomeMonthly
11. MK-CF-F-071 extraIncome
12. MK-CF-F-068 rentalNetAnnual
13. MK-CF-F-066 rsuAnnual
14. MK-CF-F-082 salaryAnnual
15. MK-CF-F-074 tipsAnnual
16. MK-CF-F-099 deductionFor
17. MK-XS-F-122 n
18. MK-CF-F-075 retirementIncomeMonthly
19. MK-CF-F-070 benefitAnnual
20. MK-CF-F-067 rentalList
21. MK-CF-F-062 equityRowValue
22. MK-CF-F-132 map
23. MK-CF-F-063 rowVestYear
24. MK-CF-F-060 salaryGrossByMonth
25. MK-CF-F-081 salaryActiveMonths
26. MK-CF-F-187 seniorDeductionFor
27. MK-CF-F-069 benefitActiveMonths
28. MK-CF-F-176 sumMonthsOverEarners
29. MK-CF-F-177 wageGrossByMonth
30. MK-CF-F-173 earnerWages
31. MK-CF-F-130 enteredMonthlyRaw
32. MK-CF-F-166 hasMonthlySalaryTable
33. MK-ST-F-036 reconcile
34. MK-CF-F-167 salaryCalendarYear
35. MK-CF-F-172 hasWage
36. MK-CF-F-165 salaryMonths
37. MK-ST-F-056 has</t>
  </si>
  <si>
    <t>1. MK-CF-F-085 filingStatusOf → MK-CF-F-091 userCapGainsRates
2. MK-CF-F-187 seniorDeductionFor → MK-CF-F-099 deductionFor → MK-CF-F-100 taxableIncomeFor → MK-CF-F-104 ltcgRateFor → MK-CF-F-091 userCapGainsRates
3. MK-CF-F-187 seniorDeductionFor → MK-CF-F-099 deductionFor → MK-CF-F-100 taxableIncomeFor → MK-CF-F-103 marginalBracketFor → MK-CF-F-091 userCapGainsRates
4. MK-ST-F-039 on → MK-CF-F-091 userCapGainsRates
5. MK-XS-F-122 n → MK-ST-F-052 toNum → MK-CF-F-089 over65CountOf → MK-CF-F-091 userCapGainsRates
6. MK-XS-F-122 n → MK-ST-F-052 toNum → MK-CF-F-086 stateRateOf → MK-CF-F-091 userCapGainsRates
7. MK-XS-F-122 n → MK-ST-F-052 toNum → MK-CF-F-075 retirementIncomeMonthly → MK-CF-F-072 currentRetirementIncomeMonthly → MK-CF-F-083 totalGrossAnnual → MK-CF-F-091 userCapGainsRates
8. MK-CF-F-069 benefitActiveMonths → MK-CF-F-070 benefitAnnual → MK-CF-F-071 extraIncome → MK-CF-F-083 totalGrossAnnual → MK-CF-F-091 userCapGainsRates
9. … and 4 more paths</t>
  </si>
  <si>
    <t>A representative 12-month cash-flow grid (Jan→Dec) that honors lumpiness: salary &amp; net rental are steady every month; the annual bonus lands in December; the signing bonus is one-time (January); equity is the level annual vesting spread across the month-of-year its vest dates fall on (so quarterly vesting shows up as quarterly spikes).</t>
  </si>
  <si>
    <t>a = op (or none when missing)
sal by month = salary gross by month(op)
tips m = tips monthly read as a number (0 when it is not one)
rental m = rental net annual(op) ÷ 12
bonus = bonus annual read as a number (0 when it is not one)
signing = signing onetime read as a number (0 when it is not one)
c401k m = c 401k read as a number (0 when it is not one)
rates = monthly tax rates(op, now)
eq annual = rsu annual(op)
vest w = equity vest weights(op)
equity by month = for each of vest w ? vest w: eq annual × each: 12 slots, each 0
… the first steps only — the rest of the body needs reading by hand.</t>
  </si>
  <si>
    <t>A is op (or none — when missing). Sal by month is salary gross by month(op). Tips m is tips monthly read as a number (0 — when it is one is missing). Rental m is rental net annual(op) divided by 12. Bonus is bonus annual read as a number (0 — when it is one is missing). Signing is signing onetime read as a number (0 — when it is one is missing). C401k m is c 401k read as a number (0 — when it is one is missing). Rates is monthly tax rates(op, now). Eq annual is rsu annual(op). Vest w is equity vest weights(op). Equity by month is for each of vest w ? vest w: eq annual times each: 12 slots, each 0. Only the first steps are shown; the rest of the body needs reading by hand.</t>
  </si>
  <si>
    <t>1. op: OnboardingProfile | null
2. mode: 'gross' | 'net' | 'available' = 'available'
3. now: Date = new Date()</t>
  </si>
  <si>
    <t>1. MK-CF-F-069 benefitActiveMonths
2. MK-CF-F-072 currentRetirementIncomeMonthly
3. MK-CF-F-065 equityVestWeights
4. MK-CF-F-071 extraIncome
5. MK-ST-F-056 has
6. MK-CF-F-132 map
7. MK-CF-F-087 monthlyTaxRates
8. MK-CF-F-073 otherIncomeMonth
9. MK-CF-F-181 rateInForce
10. MK-CF-F-068 rentalNetAnnual
11. MK-CF-F-066 rsuAnnual
12. MK-CF-F-060 salaryGrossByMonth
13. MK-CF-F-077 scholarshipByCalendarMonth
14. MK-CF-F-088 taxableByCalendarMonth
15. MK-ST-F-052 toNum
16. MK-PL-F-012 waterfall</t>
  </si>
  <si>
    <t>1. MK-CF-F-069 benefitActiveMonths
2. MK-CF-F-072 currentRetirementIncomeMonthly
3. MK-CF-F-065 equityVestWeights
4. MK-CF-F-071 extraIncome
5. MK-ST-F-056 has
6. MK-CF-F-132 map
7. MK-CF-F-087 monthlyTaxRates
8. MK-CF-F-073 otherIncomeMonth
9. MK-CF-F-181 rateInForce
10. MK-CF-F-068 rentalNetAnnual
11. MK-CF-F-066 rsuAnnual
12. MK-CF-F-060 salaryGrossByMonth
13. MK-CF-F-077 scholarshipByCalendarMonth
14. MK-CF-F-088 taxableByCalendarMonth
15. MK-ST-F-052 toNum
16. MK-PL-F-012 waterfall
17. MK-CF-F-075 retirementIncomeMonthly
18. MK-CF-F-062 equityRowValue
19. MK-CF-F-070 benefitAnnual
20. MK-ST-F-039 on
21. MK-CF-F-090 effectiveRate
22. MK-CF-F-085 filingStatusOf
23. MK-CF-F-089 over65CountOf
24. MK-CF-F-098 progressiveMonthlyTax
25. MK-CF-F-086 stateRateOf
26. MK-CF-F-173 earnerWages
27. MK-CF-F-102 effectiveRateOnGrossFor
28. MK-CF-F-180 enteredLandsAnnual
29. MK-CF-F-082 salaryAnnual
30. MK-CF-F-084 taxableAnnual
31. MK-CF-F-067 rentalList
32. MK-CF-F-063 rowVestYear
33. MK-CF-F-176 sumMonthsOverEarners
34. MK-CF-F-177 wageGrossByMonth
35. MK-XS-F-122 n
36. MK-CF-F-101 taxOwedFor
37. MK-CF-F-100 taxableIncomeFor
38. MK-CF-F-172 hasWage
39. MK-CF-F-074 tipsAnnual
40. MK-CF-F-130 enteredMonthlyRaw
41. MK-CF-F-166 hasMonthlySalaryTable
42. MK-ST-F-036 reconcile
43. MK-CF-F-167 salaryCalendarYear
44. MK-CF-F-099 deductionFor
45. MK-CF-F-081 salaryActiveMonths
46. MK-CF-F-165 salaryMonths
47. MK-CF-F-187 seniorDeductionFor</t>
  </si>
  <si>
    <t>MK-CF-F-097</t>
  </si>
  <si>
    <t>grossFromNet</t>
  </si>
  <si>
    <t>src/domain/income/tax.ts</t>
  </si>
  <si>
    <t>Invert the schedule: the gross income whose take-home equals `net` (bisection).</t>
  </si>
  <si>
    <t>0   when net ≤ 0
lo = net, hi = net × 3
repeat 50 times: mid = (lo + hi) ÷ 2; if mid − tax owed for(mid, status, 0, over65) &lt; net then lo = mid else hi = mid
the answer = (lo + hi) ÷ 2   — the gross whose take-home equals net, found by halving the interval</t>
  </si>
  <si>
    <t>Searches for the gross pay whose take-home after federal tax equals the net entered: start with the interval from the net to three times the net, and halve it fifty times, keeping the half that brackets the answer. The result is that gross.</t>
  </si>
  <si>
    <t>1. net: number
2. status: FilingStatus = 'single'
3. over65 = 0</t>
  </si>
  <si>
    <t>MK-CF-F-101 taxOwedFor</t>
  </si>
  <si>
    <t>1. MK-CF-F-101 taxOwedFor
2. MK-CF-F-100 taxableIncomeFor
3. MK-CF-F-099 deductionFor
4. MK-CF-F-187 seniorDeductionFor</t>
  </si>
  <si>
    <t>MK-CF-F-187 seniorDeductionFor → MK-CF-F-099 deductionFor → MK-CF-F-100 taxableIncomeFor → MK-CF-F-101 taxOwedFor → MK-CF-F-097 grossFromNet</t>
  </si>
  <si>
    <t>GROSS_FROM_TAKE_HOME</t>
  </si>
  <si>
    <t>MK-CF-F-098</t>
  </si>
  <si>
    <t>progressiveMonthlyTax</t>
  </si>
  <si>
    <t>PRD F2#11 — progressive PER-MONTH tax: brackets fill as the year's taxable income accumulates month by month (Jan→Dec), so tax_m = taxOwedFor(cumulative through m) − taxOwedFor(cumulative through m−1).</t>
  </si>
  <si>
    <t>cum = 0, prev tax = 0, prev ti = 0
t = tax owed for(cum, status, 0, over65)
m = t − prev tax
ti = taxable income for(cum, status, over65)
state m = (ti − prev ti) × min(0.15, max(0, state rate))
the answer = m + state m</t>
  </si>
  <si>
    <t>Cum is 0, prev tax = 0, prev ti = 0. T is tax owed for(cum, status, 0, over65). M is t minus prev tax. Ti is taxable income for(cum, status, over65). State m is (ti minus prev ti) times the smaller of 0.15 and state rate, never below zero. The answer is m plus state m.</t>
  </si>
  <si>
    <t>1. taxableByMonth: number[]
2. status: FilingStatus = 'single'
3. stateRate = 0
4. over65 = 0</t>
  </si>
  <si>
    <t>1. Never lets g fall below 0.
2. Never lets state rate fall below 0.</t>
  </si>
  <si>
    <t>1. MK-CF-F-132 map
2. MK-CF-F-101 taxOwedFor
3. MK-CF-F-100 taxableIncomeFor</t>
  </si>
  <si>
    <t>1. MK-CF-F-132 map
2. MK-CF-F-101 taxOwedFor
3. MK-CF-F-100 taxableIncomeFor
4. MK-CF-F-099 deductionFor
5. MK-CF-F-187 seniorDeductionFor</t>
  </si>
  <si>
    <t>1. MK-CF-F-132 map → MK-CF-F-098 progressiveMonthlyTax
2. MK-CF-F-187 seniorDeductionFor → MK-CF-F-099 deductionFor → MK-CF-F-100 taxableIncomeFor → MK-CF-F-101 taxOwedFor → MK-CF-F-098 progressiveMonthlyTax
3. MK-CF-F-187 seniorDeductionFor → MK-CF-F-099 deductionFor → MK-CF-F-100 taxableIncomeFor → MK-CF-F-098 progressiveMonthlyTax</t>
  </si>
  <si>
    <t>MK-CF-F-099</t>
  </si>
  <si>
    <t>deductionFor</t>
  </si>
  <si>
    <t>t = TAX_TABLES[status]
the answer = deduction + min(2, max(0, over65)) × over65 add + senior deduction for(status, over65, magi)</t>
  </si>
  <si>
    <t>The standard deduction for the filing status, plus the 65-and-over add-on for each person 65+ (at most two), plus the senior deduction calculated by MK-CF-F-187 from the filing status, the number of people 65+ and the income.</t>
  </si>
  <si>
    <t>1. status: FilingStatus = 'single'
2. over65 = 0
3. magi: number | null = null</t>
  </si>
  <si>
    <t>1. Never lets over65 fall below 0.
2. 2026 standard deduction $16,100 single · $32,200 married · $16,100 filing separately · $24,150 head of household; 65+ add-on $2,050 single / head of household · $1,650 per person married (IRS Rev. Proc. 2025-32 §3.18).
3. Plus the senior deduction of MK-CF-F-187 — $6,000 per person 65+, phased out 6% above $75,000 / $150,000, tax years 2025–2028 (P.L. 119-21 §70103).</t>
  </si>
  <si>
    <t>MK-CF-F-187 seniorDeductionFor</t>
  </si>
  <si>
    <t>MK-CF-F-187 seniorDeductionFor → MK-CF-F-099 deductionFor</t>
  </si>
  <si>
    <t>TESTED, NOT VERIFIED (G3)</t>
  </si>
  <si>
    <t>MK-CF-F-100</t>
  </si>
  <si>
    <t>taxableIncomeFor</t>
  </si>
  <si>
    <t>max(0, gross − deduction for(status, over65, gross))   — gross is handed on as the income the senior deduction phases out against</t>
  </si>
  <si>
    <t>Gross minus the deduction for that filing status, age count and income, never below zero. The same gross figure is handed to the deduction as the income the senior deduction phases out against.</t>
  </si>
  <si>
    <t>1. gross: number
2. status: FilingStatus = 'single'
3. over65 = 0</t>
  </si>
  <si>
    <t>MK-CF-F-099 deductionFor</t>
  </si>
  <si>
    <t>1. MK-CF-F-099 deductionFor
2. MK-CF-F-187 seniorDeductionFor</t>
  </si>
  <si>
    <t>MK-CF-F-101</t>
  </si>
  <si>
    <t>taxOwedFor</t>
  </si>
  <si>
    <t>Federal tax owed under a filing status, plus an optional user-set FLAT state rate applied to TAXABLE income (E10) — states differ wildly, so one honest user-entered percent beats fifty guessed tables, and it never taxes the deduction.</t>
  </si>
  <si>
    <t>ti = taxable income for(gross, status, over65)
federal = Σ over the bands of the filing status, lowest first, while ti is above the band's floor: (min(ti, top of band) − top of the band below) × rate of band
the answer = federal + ti × min(15%, max(0, state rate))</t>
  </si>
  <si>
    <t>Taxable income is calculated first. Federal tax fills the bands in order: each band taxes the slice of income between the top of the band below and the smaller of the band's top and the income, at the band's rate. The person's flat state rate, capped at 15%, is then applied to the same taxable income.</t>
  </si>
  <si>
    <t>1. gross: number
2. status: FilingStatus = 'single'
3. stateRate = 0
4. over65 = 0</t>
  </si>
  <si>
    <t>"Taxed as single" — on the filing status screen</t>
  </si>
  <si>
    <t>1. Never lets state rate fall below 0.
2. The 2026 bands per filing status are the Reference tab's statutory table (IRS Rev. Proc. 2025-32 §4.01), checked by statutory_constants.test.ts.</t>
  </si>
  <si>
    <t>MK-CF-F-100 taxableIncomeFor</t>
  </si>
  <si>
    <t>1. MK-CF-F-100 taxableIncomeFor
2. MK-CF-F-099 deductionFor
3. MK-CF-F-187 seniorDeductionFor</t>
  </si>
  <si>
    <t>MK-CF-F-187 seniorDeductionFor → MK-CF-F-099 deductionFor → MK-CF-F-100 taxableIncomeFor → MK-CF-F-101 taxOwedFor</t>
  </si>
  <si>
    <t>TAX_OWED</t>
  </si>
  <si>
    <t>TESTED, NOT VERIFIED (G23, G35)</t>
  </si>
  <si>
    <t>MK-CF-F-102</t>
  </si>
  <si>
    <t>effectiveRateOnGrossFor</t>
  </si>
  <si>
    <t>tax owed for(gross, status, state rate, over65) ÷ gross   if gross &gt; 0
0   otherwise</t>
  </si>
  <si>
    <t>tax owed for(gross, status, state rate, over65) divided by gross — when gross &gt; 0; 0 — otherwise.</t>
  </si>
  <si>
    <t>MK-CF-F-187 seniorDeductionFor → MK-CF-F-099 deductionFor → MK-CF-F-100 taxableIncomeFor → MK-CF-F-101 taxOwedFor → MK-CF-F-102 effectiveRateOnGrossFor</t>
  </si>
  <si>
    <t>MK-CF-F-103</t>
  </si>
  <si>
    <t>marginalBracketFor</t>
  </si>
  <si>
    <t>Which federal band does this person's last dollar fall in?</t>
  </si>
  <si>
    <t>ti = taxable income for(gross, status, over65)
the answer = the rate of the FIRST band whose top is ≥ ti, read in order from the table for the filing status (10% · 12% · 22% · 24% · 32% · 35% · 37%)</t>
  </si>
  <si>
    <t>Taxable income is calculated first; the answer is the rate of the first band whose top is at or above it, reading the filing status's table from the lowest band up.</t>
  </si>
  <si>
    <t>MK-CF-F-187 seniorDeductionFor → MK-CF-F-099 deductionFor → MK-CF-F-100 taxableIncomeFor → MK-CF-F-103 marginalBracketFor</t>
  </si>
  <si>
    <t>TESTED, NOT VERIFIED (G23)</t>
  </si>
  <si>
    <t>MK-CF-F-104</t>
  </si>
  <si>
    <t>ltcgRateFor</t>
  </si>
  <si>
    <t>The user's own long-term capital-gains rate, from their income + filing status (federal).</t>
  </si>
  <si>
    <t>ti = taxable income for(gross, status, over65)
the answer:
0   if ti ≤ zero top
0.15   if ti ≤ fifteen top
0.20   otherwise   otherwise</t>
  </si>
  <si>
    <t>Ti is taxable income for(gross, status, over65). The answer is 0 — when ti is at most zero top; 0.15 — when ti is at most fifteen top; 0.20 — otherwise — otherwise.</t>
  </si>
  <si>
    <t>MK-CF-F-187 seniorDeductionFor → MK-CF-F-099 deductionFor → MK-CF-F-100 taxableIncomeFor → MK-CF-F-104 ltcgRateFor</t>
  </si>
  <si>
    <t>MK-CF-F-105</t>
  </si>
  <si>
    <t>guaranteedRows</t>
  </si>
  <si>
    <t>src/domain/paycheck/index.ts</t>
  </si>
  <si>
    <t>The dated guaranteed-income rows for the next 12 months (the F2 grid seam).</t>
  </si>
  <si>
    <t>a = op (or none when missing)
srcs = income sources
[]   when array.is array(srcs) and !srcs.includes('retirement_income')
start month = now.get month(), start year = now.get full year()
month at = (s: number) =&gt; ((start month + s) % 12) + 1
year at = (s: number) =&gt; start year + round down((start month + s) ÷ 12)
slot of = (m1to12: number) =&gt; ((m1to12 − 1) − start month + 12) % 12
rows = []
amt = a['ri_' + key] read as a number (0 when it is not one)
freq = a['ri_' + key + '_freq'] (or 'monthly' when missing)
day = a['ri_' + key + '_day'] read as a number (0 when it is not one) (or undefined when missing or zero)
… the first steps only — the rest of the body needs reading by hand.</t>
  </si>
  <si>
    <t>A is op (or none — when missing). Srcs is income sources. When array.is array(srcs) and !srcs.includes('retirement_income'), it answers []. Start month is now.get month(), start year = now.get full year(). Month at is (s: number) =&gt; ((start month plus s) % 12) plus 1. Year at is (s: number) =&gt; start year plus (start month plus s, rounded down divided by 12). Slot of is (m1to12: number) =&gt; ((m1to12 minus 1) minus start month plus 12) % 12. Rows is []. Amt is a['ri_' plus key] read as a number (0 — when it is one is missing). Freq is a['ri_' plus key plus '_freq'] (or 'monthly' — when missing). Day is a['ri_' plus key plus '_day'] read as a number (0 — when it is one is missing) (or undefined — when missing or zero). Only the first steps are shown; the rest of the body needs reading by hand.</t>
  </si>
  <si>
    <t>GuaranteedRow[]</t>
  </si>
  <si>
    <t>MK-XS-F-122 n → MK-ST-F-052 toNum → MK-CF-F-105 guaranteedRows</t>
  </si>
  <si>
    <t>MK-CF-F-106</t>
  </si>
  <si>
    <t>solveSafeDraw</t>
  </si>
  <si>
    <t>Largest level monthly draw that keeps chance-of-success ≥ the floor.</t>
  </si>
  <si>
    <t>0   when nest egg ≤ 0
years = max(1, sim.horizon age − sim.current age)
lo = 0, hi = max(100, (nest egg ÷ years ÷ 12) × 2)
hi   when chance at(hi) ≥ chance floor
mid = (lo + hi) ÷ 2
the answer = round down(lo ÷ 5) × 5</t>
  </si>
  <si>
    <t>When nest egg is at most 0, it answers 0. Years: the larger of 1 and sim.horizon age minus sim.current age. Lo is 0, hi = the larger of 100 and (nest egg divided by years divided by 12 times 2). When chance at(hi) is at least chance floor, it answers hi. Mid is (lo plus hi) divided by 2. The answer is lo divided by 5, rounded down times 5.</t>
  </si>
  <si>
    <t>1. nestEgg: number
2. guaranteedMonthlyAvg: number
3. sim: PaycheckSimInputs
4. chanceFloor = 80</t>
  </si>
  <si>
    <t>1. If paths is missing it uses 1000.
2. If seed is missing it uses 42.
3. Treats a year as twelve equal months.</t>
  </si>
  <si>
    <t>MK-PL-F-050 simulate</t>
  </si>
  <si>
    <t>1. MK-PL-F-050 simulate
2. MK-CF-F-132 map
3. MK-PL-F-074 median
4. MK-PL-F-072 mulberry32
5. MK-XS-F-122 n
6. MK-PL-F-073 normal
7. MK-PL-F-075 pctOfSorted
8. MK-ST-F-025 rmdStartAgeFromAge
9. MK-ST-F-024 rmdStartAge
10. MK-ST-F-056 has</t>
  </si>
  <si>
    <t>1. MK-CF-F-132 map → MK-PL-F-050 simulate → MK-CF-F-106 solveSafeDraw
2. MK-PL-F-074 median → MK-PL-F-050 simulate → MK-CF-F-106 solveSafeDraw
3. MK-PL-F-072 mulberry32 → MK-PL-F-050 simulate → MK-CF-F-106 solveSafeDraw
4. MK-XS-F-122 n → MK-PL-F-050 simulate → MK-CF-F-106 solveSafeDraw
5. MK-PL-F-073 normal → MK-PL-F-050 simulate → MK-CF-F-106 solveSafeDraw
6. MK-PL-F-075 pctOfSorted → MK-PL-F-050 simulate → MK-CF-F-106 solveSafeDraw
7. MK-ST-F-056 has → MK-ST-F-024 rmdStartAge → MK-ST-F-025 rmdStartAgeFromAge → MK-PL-F-050 simulate → MK-CF-F-106 solveSafeDraw</t>
  </si>
  <si>
    <t>MK-CF-F-107</t>
  </si>
  <si>
    <t>buildPaycheckYear</t>
  </si>
  <si>
    <t>Build the month-by-month paycheck.</t>
  </si>
  <si>
    <t>now = opts.now (or new date() when missing)
rows = guaranteed rows(op, now)
nest egg = opts.nest egg (or retirement earmarked value(opts.accounts ?? []) when missing)
guaranteed annual = Σ over rows of (amount)
draw from savings = solve draw from savings(nest egg, guaranteed annual ÷ 12, opts.sim, opts.chance floor ?? 80)
grid = build dated grid(op, { now, liabilities: opts.liabilities, guaranteed income: rows })
start month = now.get month(), start year = now.get full year()
cm = ((start month + s) % 12) + 1
yr = start year + round down((start month + s) ÷ 12)
label = MONTHS[cm − 1] + (yr &gt; start year ? ` ’${string(yr).slice(2)}` : '')
g total = Σ over g of (amount)
… the first steps only — the rest of the body needs reading by hand.</t>
  </si>
  <si>
    <t>Now is opts.now (or new date() — when missing). Rows is guaranteed rows(op, now). Nest egg is opts.nest egg (or retirement earmarked value(opts.accounts ?? []) — when missing). Guaranteed annual: the amount added up across rows. Safe draw is solve draw from savings(nest egg, guaranteed annual divided by 12, opts.sim, opts.chance floor ?? 80). Grid is build dated grid(op, { now, liabilities: opts.liabilities, guaranteed income: rows }). Start month is now.get month(), start year = now.get full year(). Cm is ((start month plus s) % 12) plus 1. Yr is start year plus (start month plus s, rounded down divided by 12). Label is MONTHS[cm minus 1] plus (yr &gt; start year ? ` ’${string(yr).slice(2)}` : ''). G total: the amount added up across g. Only the first steps are shown; the rest of the body needs reading by hand.</t>
  </si>
  <si>
    <t>1. op: OnboardingProfile | null
2. opts: PaycheckOptions</t>
  </si>
  <si>
    <t>PaycheckYear</t>
  </si>
  <si>
    <t>1. If chance floor is missing it uses 80.
2. Treats a year as twelve equal months.
3. Turns a monthly figure into a year by multiplying by twelve.
4. Uses today's date from the device clock, so the answer changes by itself overnight.</t>
  </si>
  <si>
    <t>1. MK-XS-F-004 buildDatedGrid
2. MK-CF-F-105 guaranteedRows
3. MK-CF-F-132 map
4. MK-NW-F-033 retirementEarmarkedValue
5. MK-CF-F-106 solveSafeDraw</t>
  </si>
  <si>
    <t>1. MK-XS-F-004 buildDatedGrid
2. MK-CF-F-105 guaranteedRows
3. MK-CF-F-132 map
4. MK-NW-F-033 retirementEarmarkedValue
5. MK-CF-F-106 solveSafeDraw
6. MK-CF-F-069 benefitActiveMonths
7. MK-CF-F-072 currentRetirementIncomeMonthly
8. MK-CF-F-018 equityByMonth
9. MK-ST-F-056 has
10. MK-ST-F-053 money
11. MK-CF-F-087 monthlyTaxRates
12. MK-CF-F-073 otherIncomeMonth
13. MK-CF-F-022 paymentShape
14. MK-CF-F-068 rentalNetAnnual
15. MK-CF-F-023 requiredPayment
16. MK-CF-F-060 salaryGrossByMonth
17. MK-CF-F-008 spendByMonth
18. MK-ST-F-052 toNum
19. MK-NW-F-032 earmarkedAmount
20. MK-NW-F-031 primaryCarIdOf
21. MK-PL-F-050 simulate
22. MK-CF-F-075 retirementIncomeMonthly
23. MK-CF-F-062 equityRowValue
24. MK-CF-F-066 rsuAnnual
25. MK-CF-F-121 zero12
26. MK-ST-F-049 formatMoney
27. MK-XS-F-122 n
28. MK-CF-F-090 effectiveRate
29. MK-CF-F-085 filingStatusOf
30. MK-CF-F-089 over65CountOf
31. MK-CF-F-098 progressiveMonthlyTax
32. MK-CF-F-181 rateInForce
33. MK-CF-F-086 stateRateOf
34. MK-CF-F-088 taxableByCalendarMonth
35. MK-CF-F-021 defaultPaymentType
36. MK-CF-F-067 rentalList
37. MK-CF-F-176 sumMonthsOverEarners
38. MK-CF-F-177 wageGrossByMonth
39. MK-CF-F-120 pctBaseMonthly
40. MK-CF-F-004 spendBuckets
41. MK-NW-F-030 earmarkDefault
42. MK-NW-F-011 assetClassOf
43. MK-PL-F-074 median
44. MK-PL-F-072 mulberry32
45. MK-PL-F-073 normal
46. MK-PL-F-075 pctOfSorted
47. MK-ST-F-025 rmdStartAgeFromAge
48. MK-CF-F-063 rowVestYear
49. MK-ST-F-048 currencySymbol
50. MK-ST-F-039 on
51. MK-CF-F-101 taxOwedFor
52. MK-CF-F-100 taxableIncomeFor
53. MK-CF-F-173 earnerWages
54. MK-CF-F-102 effectiveRateOnGrossFor
55. MK-CF-F-180 enteredLandsAnnual
56. MK-CF-F-082 salaryAnnual
57. MK-CF-F-084 taxableAnnual
58. MK-CF-F-065 equityVestWeights
59. MK-CF-F-071 extraIncome
60. MK-CF-F-130 enteredMonthlyRaw
61. MK-CF-F-166 hasMonthlySalaryTable
62. MK-ST-F-036 reconcile
63. MK-CF-F-167 salaryCalendarYear
64. MK-CF-F-092 incomeMonthlyGrid
65. MK-CF-F-003 categoryMonthly
66. MK-NW-F-013 realEstateUseOf
67. MK-NW-F-008 incomeBearingClassOf
68. MK-ST-F-024 rmdStartAge
69. MK-ST-F-047 activeCurrency
70. MK-CF-F-099 deductionFor
71. MK-CF-F-172 hasWage
72. MK-CF-F-074 tipsAnnual
73. MK-CF-F-070 benefitAnnual
74. MK-CF-F-165 salaryMonths
75. MK-CF-F-077 scholarshipByCalendarMonth
76. MK-PL-F-012 waterfall
77. MK-XS-F-027 takeHomeMonthly
78. MK-CF-F-155 cash
79. MK-ST-F-010 nameEvidence
80. MK-CF-F-187 seniorDeductionFor
81. MK-CF-F-081 salaryActiveMonths
82. MK-CF-F-011 savingsByMonth
83. MK-XS-F-147 call
84. MK-ST-F-027 accountId
85. MK-XS-F-064 currentIdToken
86. MK-XS-F-112 relayUrl</t>
  </si>
  <si>
    <t>1. MK-CF-F-069 benefitActiveMonths → MK-XS-F-004 buildDatedGrid → MK-CF-F-107 buildPaycheckYear
2. MK-XS-F-122 n → MK-ST-F-052 toNum → MK-CF-F-075 retirementIncomeMonthly → MK-CF-F-072 currentRetirementIncomeMonthly → MK-XS-F-004 buildDatedGrid → MK-CF-F-107 buildPaycheckYear
3. MK-XS-F-122 n → MK-ST-F-052 toNum → MK-CF-F-062 equityRowValue → MK-CF-F-018 equityByMonth → MK-XS-F-004 buildDatedGrid → MK-CF-F-107 buildPaycheckYear
4. MK-ST-F-052 toNum → MK-CF-F-062 equityRowValue → MK-CF-F-066 rsuAnnual → MK-CF-F-018 equityByMonth → MK-XS-F-004 buildDatedGrid → MK-CF-F-107 buildPaycheckYear
5. MK-CF-F-132 map → MK-CF-F-066 rsuAnnual → MK-CF-F-018 equityByMonth → MK-XS-F-004 buildDatedGrid → MK-CF-F-107 buildPaycheckYear
6. MK-CF-F-063 rowVestYear → MK-CF-F-066 rsuAnnual → MK-CF-F-018 equityByMonth → MK-XS-F-004 buildDatedGrid → MK-CF-F-107 buildPaycheckYear
7. MK-XS-F-122 n → MK-ST-F-052 toNum → MK-CF-F-066 rsuAnnual → MK-CF-F-018 equityByMonth → MK-XS-F-004 buildDatedGrid → MK-CF-F-107 buildPaycheckYear
8. MK-CF-F-121 zero12 → MK-CF-F-018 equityByMonth → MK-XS-F-004 buildDatedGrid → MK-CF-F-107 buildPaycheckYear
9. … and 5 more paths</t>
  </si>
  <si>
    <t>TESTED, NOT VERIFIED (G14)</t>
  </si>
  <si>
    <t>MK-CF-F-108</t>
  </si>
  <si>
    <t>isMoneyOut</t>
  </si>
  <si>
    <t>src/domain/transactions/flags.ts</t>
  </si>
  <si>
    <t>Money leaves the account: withdrawals, fees, and transfers with no recognized counter-account.</t>
  </si>
  <si>
    <t>true   when type = 'WITHDRAWAL' (or type = 'FEE' when missing or zero)
true   when type = 'TRANSFER' and !counter account id
false</t>
  </si>
  <si>
    <t>When type = 'WITHDRAWAL' (or type = 'FEE' — when missing or zero), it answers true. When type = 'TRANSFER' and !counter account id, it answers true. false.</t>
  </si>
  <si>
    <t>t: Transaction</t>
  </si>
  <si>
    <t>MK-CF-F-109</t>
  </si>
  <si>
    <t>reviewTransactions</t>
  </si>
  <si>
    <t>Review new transactions against an account's history.</t>
  </si>
  <si>
    <t>make id = ctx.make id (or () =&gt; `flag${math.random().to string(36).slice(2, 10)}` when missing)
now iso = (ctx.now ?? new date()).to isostring()
flags = []
flagged ids = new set&lt;string&gt;()
dup candidates = new ones where is money out(each) and (amount ?? 0) &gt; 0
acct = string(account id)
candidates = new ones where source = 'connected' and is money out(each) and (amount ?? 0) &gt; 0
acct = string(account id)
amount = amount as number
past amounts = for each of past: amount as number
typical = median(past amounts)
… the first steps only — the rest of the body needs reading by hand.</t>
  </si>
  <si>
    <t>Make id is ctx.make id (or () =&gt; `flag${math.random().to string(36).slice(2, 10)}` — when missing). Now iso is (ctx.now ?? new date()).to isostring(). Flags is []. Flagged ids is new set&lt;string&gt;(). Dup candidates is new ones where is money out(each) and (amount ?? 0) &gt; 0. Acct is string(account id). Candidates is new ones where source = 'connected' and is money out(each) and (amount ?? 0) &gt; 0. Acct is string(account id). Amount is amount as number. Past amounts is for each of past: amount as number. Typical is median(past amounts). Only the first steps are shown; the rest of the body needs reading by hand.</t>
  </si>
  <si>
    <t>1. newOnes: Transaction[]
2. ctx: ReviewContext</t>
  </si>
  <si>
    <t>TxnFlag[]</t>
  </si>
  <si>
    <t>1. If amount is missing it uses 0.
2. Uses today's date from the device clock, so the answer changes by itself overnight.</t>
  </si>
  <si>
    <t>1. MK-CF-F-162 daysApart
2. MK-ST-F-056 has
3. MK-CF-F-108 isMoneyOut
4. MK-CF-F-132 map
5. MK-PL-F-074 median
6. MK-CF-F-131 normPayee</t>
  </si>
  <si>
    <t>1. MK-CF-F-162 daysApart → MK-CF-F-109 reviewTransactions
2. MK-ST-F-056 has → MK-CF-F-109 reviewTransactions
3. MK-CF-F-108 isMoneyOut → MK-CF-F-109 reviewTransactions
4. MK-CF-F-132 map → MK-CF-F-109 reviewTransactions
5. MK-PL-F-074 median → MK-CF-F-109 reviewTransactions
6. MK-CF-F-131 normPayee → MK-CF-F-109 reviewTransactions</t>
  </si>
  <si>
    <t>MK-CF-F-110</t>
  </si>
  <si>
    <t>flagComparisonText</t>
  </si>
  <si>
    <t>The plain-English comparison sentence for the detail view — fixed, human-reviewed templates.</t>
  </si>
  <si>
    <t>times = round(amount ÷ comparison)
the answer = `your usual withdrawal from this account is about $${math.round(comparison).to locale string()}. this one is ${times} times that.`
`first time we've seen this payee on this account.`   when reason = 'first_time_payee'
`looks like the same charge twice — same amount, same place, within two days. if one was typed by mistake, delete it; if both are real, mark it settled.`   when reason = 'possible_duplicate'</t>
  </si>
  <si>
    <t>Times is amount divided by comparison, to a whole number. The answer is `your usual withdrawal from this account is about $${math.comparison, to a whole number.to locale string()}. this one is ${times} times that.`. When reason = 'first_time_payee', it answers `first time we've seen this payee on this account.`. When reason = 'possible_duplicate', it answers `looks like the same charge twice — same amount, same place, within two days. — when one was typed by mistake, delete it; — when both are real, mark it settled.`.</t>
  </si>
  <si>
    <t>f: TxnFlag</t>
  </si>
  <si>
    <t>string</t>
  </si>
  <si>
    <t>"WHY WE'RE SHOWING THIS" — on the Worth a look screen</t>
  </si>
  <si>
    <t>MK-CF-F-111</t>
  </si>
  <si>
    <t>applyTransaction</t>
  </si>
  <si>
    <t>src/domain/transactions/index.ts</t>
  </si>
  <si>
    <t>Apply one transaction to the accounts (pure).</t>
  </si>
  <si>
    <t>the answer = accounts
amt = amount (or 0 when missing or zero)
out = map(accounts, account id, (a) =&gt; bump cash(a, -amt))
src = accounts.find((a) =&gt; asset id = account id)
pos = src and find pos(src, t)
accounts   when src is missing (or pos is missing (or counter account id is missing when missing or zero) when missing or zero)
out = map(accounts, account id, (a) =&gt; ({ ...a, positions: (positions ?? []).filter((p) =&gt; p ! = pos) }))
map(accounts, account id, (a) =&gt; (find pos(a, t) ? add lot(a, t, shares!, price!) : a))   when reinvested and shares and price</t>
  </si>
  <si>
    <t>The answer is accounts. Amt is amount (or 0 — when missing or zero). Out is map(accounts, account id, (a) =&gt; bump cash(a, -amt)). Src is accounts.find((a) =&gt; asset id = account id). Pos is src and find pos(src, t). When src is missing (or pos is missing (or counter account id is missing — when missing or zero) — when missing or zero), it answers accounts. Out is map(accounts, account id, (a) =&gt; ({ ...a, positions: (positions ?? []).filter((p) =&gt; p ! = pos) })). When reinvested and shares and price, it answers map(accounts, account id, (a) =&gt; (find pos(a, t) ? add lot(a, t, shares!, price!) : a)).</t>
  </si>
  <si>
    <t>1. accounts: AssetAccount[]
2. t: Transaction</t>
  </si>
  <si>
    <t>AssetAccount[]</t>
  </si>
  <si>
    <t>1. If shares is missing it counts as zero, so nothing recorded and a real zero look the same.
2. If price is missing it counts as zero, so nothing recorded and a real zero look the same.
3. If amount is missing it counts as zero, so nothing recorded and a real zero look the same.
4. If balance is missing it counts as zero, so nothing recorded and a real zero look the same.</t>
  </si>
  <si>
    <t>1. MK-CF-F-138 addLot
2. MK-CF-F-136 bumpCash
3. MK-CF-F-137 findPos
4. MK-CF-F-132 map
5. MK-CF-F-139 removeShares
6. MK-PF-F-001 totalShares</t>
  </si>
  <si>
    <t>1. MK-CF-F-138 addLot
2. MK-CF-F-136 bumpCash
3. MK-CF-F-137 findPos
4. MK-CF-F-132 map
5. MK-CF-F-139 removeShares
6. MK-PF-F-001 totalShares
7. MK-ST-F-043 newEntityId
8. MK-CF-F-134 usesSleeve</t>
  </si>
  <si>
    <t>1. MK-CF-F-137 findPos → MK-CF-F-138 addLot → MK-CF-F-111 applyTransaction
2. MK-CF-F-132 map → MK-CF-F-138 addLot → MK-CF-F-111 applyTransaction
3. MK-ST-F-043 newEntityId → MK-CF-F-138 addLot → MK-CF-F-111 applyTransaction
4. MK-CF-F-134 usesSleeve → MK-CF-F-136 bumpCash → MK-CF-F-111 applyTransaction
5. MK-CF-F-137 findPos → MK-CF-F-111 applyTransaction
6. MK-CF-F-132 map → MK-CF-F-111 applyTransaction
7. MK-CF-F-137 findPos → MK-CF-F-139 removeShares → MK-CF-F-111 applyTransaction
8. MK-CF-F-132 map → MK-CF-F-139 removeShares → MK-CF-F-111 applyTransaction
9. … and 1 more paths</t>
  </si>
  <si>
    <t>MK-CF-F-112</t>
  </si>
  <si>
    <t>makeTransaction</t>
  </si>
  <si>
    <t>Build a full transaction (id + created_at) from a partial.</t>
  </si>
  <si>
    <t>...p = ...p
ticker = ticker.to upper case()
id = new entity id('txn')
created at = the date ).to isostring(</t>
  </si>
  <si>
    <t>...p = ...p; ticker = ticker.to upper case(); id = new entity id('txn'); created at = the date ).to isostring(.</t>
  </si>
  <si>
    <t>p: Omit&lt;Transaction, 'id' | 'created_at'&gt;</t>
  </si>
  <si>
    <t>Transaction</t>
  </si>
  <si>
    <t>MK-ST-F-043 newEntityId</t>
  </si>
  <si>
    <t>MK-ST-F-043 newEntityId → MK-CF-F-112 makeTransaction</t>
  </si>
  <si>
    <t>MK-CF-F-113</t>
  </si>
  <si>
    <t>affectedAccountIds</t>
  </si>
  <si>
    <t>The account ids a transaction can touch.</t>
  </si>
  <si>
    <t>[account id, counter account id]   if counter account id
[account id]   otherwise</t>
  </si>
  <si>
    <t>[account id, counter account id] — when counter account id; [account id] — otherwise.</t>
  </si>
  <si>
    <t>EntityId[]</t>
  </si>
  <si>
    <t>MK-CF-F-114</t>
  </si>
  <si>
    <t>undoSnapshot</t>
  </si>
  <si>
    <t>Deep copies of the affected accounts, taken BEFORE applyTransaction.</t>
  </si>
  <si>
    <t>ids = a list with no repeats of affected account ids(t)
the answer = accounts where ids.has(asset id)for each of : JSON.parse(JSON.stringify(each))</t>
  </si>
  <si>
    <t>Ids is a list with no repeats of affected account ids(t). The answer is accounts where ids.has(asset id)for each of : JSON.parse(JSON.stringify(each)).</t>
  </si>
  <si>
    <t>1. MK-CF-F-113 affectedAccountIds
2. MK-ST-F-056 has
3. MK-CF-F-132 map</t>
  </si>
  <si>
    <t>1. MK-CF-F-113 affectedAccountIds → MK-CF-F-114 undoSnapshot
2. MK-ST-F-056 has → MK-CF-F-114 undoSnapshot
3. MK-CF-F-132 map → MK-CF-F-114 undoSnapshot</t>
  </si>
  <si>
    <t>MK-CF-F-115</t>
  </si>
  <si>
    <t>restoreUndo</t>
  </si>
  <si>
    <t>Restore the affected accounts to the transaction's pre-apply copies (pure).</t>
  </si>
  <si>
    <t>by id = a lookup of for each of undo prev (or none when missing): [asset id, each]
the answer:
for each of accounts: JSON.parse(JSON.stringify(by id.get(asset id)))   if by id.has(asset id)
each   otherwise</t>
  </si>
  <si>
    <t>By id is a lookup of for each of undo prev (or none — when missing): [asset id, each]. The answer is for each of accounts: JSON.parse(JSON.stringify(by id.get(asset id))) — when by id.has(asset id); each — otherwise.</t>
  </si>
  <si>
    <t>1. MK-ST-F-056 has
2. MK-CF-F-132 map</t>
  </si>
  <si>
    <t>1. MK-ST-F-056 has → MK-CF-F-115 restoreUndo
2. MK-CF-F-132 map → MK-CF-F-115 restoreUndo</t>
  </si>
  <si>
    <t>MK-CF-F-116</t>
  </si>
  <si>
    <t>inverseOf</t>
  </si>
  <si>
    <t>Legacy fallback for rows recorded before undo_prev: a synthetic opposite transaction.</t>
  </si>
  <si>
    <t>base = ...t = ...t
id = new entity id('txn')
note = `reversal of ${id}`
the answer:
nothing   if reinvested
...base = ...base
type = 'WITHDRAWAL'   otherwise</t>
  </si>
  <si>
    <t>Base is ...t = ...t; id = new entity id('txn'); note = `reversal of ${id}`. The answer is no answer — when reinvested; ...base = ...base; type = 'WITHDRAWAL' — otherwise.</t>
  </si>
  <si>
    <t>Transaction | null</t>
  </si>
  <si>
    <t>MK-ST-F-043 newEntityId → MK-CF-F-116 inverseOf</t>
  </si>
  <si>
    <t>MK-CF-F-117</t>
  </si>
  <si>
    <t>txnLabel</t>
  </si>
  <si>
    <t>What do we call this kind of row on screen?</t>
  </si>
  <si>
    <t>the answer = TYPE_LABEL[t], or t itself when the type has no label</t>
  </si>
  <si>
    <t>The plain-English label for a transaction type, or the raw type when none is on record. No arithmetic.</t>
  </si>
  <si>
    <t>t: TxnType</t>
  </si>
  <si>
    <t>"Date" — on the Performance screen</t>
  </si>
  <si>
    <t>LEDGER_ROW_NAME</t>
  </si>
  <si>
    <t>MK-CF-F-118</t>
  </si>
  <si>
    <t>cashEffect</t>
  </si>
  <si>
    <t>Signed cash effect on the primary account (for display).</t>
  </si>
  <si>
    <t>DEPOSIT → +amount
SELL → +shares × price, or +amount when no shares
DIVIDEND / INTEREST / COUPON → 0 when reinvested, else +amount
WITHDRAWAL / FEE / TRANSFER → −amount
BUY → −(shares × price)
anything else → 0</t>
  </si>
  <si>
    <t>The signed cash effect of one transaction on its account, for display: money arriving is positive (a deposit, a sale, a payout that was not reinvested), money leaving is negative (a withdrawal, a fee, a transfer out, a purchase). A reinvested payout moves no cash.</t>
  </si>
  <si>
    <t>1. If shares is missing it counts as zero, so nothing recorded and a real zero look the same.
2. If price is missing it counts as zero, so nothing recorded and a real zero look the same.
3. If amount is missing it counts as zero, so nothing recorded and a real zero look the same.</t>
  </si>
  <si>
    <t>CASH_EFFECT_OF_A_ROW</t>
  </si>
  <si>
    <t>MK-CF-F-119</t>
  </si>
  <si>
    <t>investmentIncomeAnnual</t>
  </si>
  <si>
    <t>Investment income (cash dividends/interest/coupons, not reinvested) over the trailing window — feeds the Income module.</t>
  </si>
  <si>
    <t>cutoff = the date now); cutoff.set full year(cutoff.get full year() − 1</t>
  </si>
  <si>
    <t>Cutoff: the date now); cutoff.set full year(cutoff.get full year() minus 1.</t>
  </si>
  <si>
    <t>1. txns: Transaction[]
2. now: Date = new Date()</t>
  </si>
  <si>
    <t>1. If amount is missing it counts as zero, so nothing recorded and a real zero look the same.
2. Uses today's date from the device clock, so the answer changes by itself overnight.</t>
  </si>
  <si>
    <t>MK-CF-F-120</t>
  </si>
  <si>
    <t>pctBaseMonthly</t>
  </si>
  <si>
    <t>A-1: the %-of-income base = true take-home (after tax AND 401k) — the SAME base the expenses-plan screen uses (modules.tsx SpendingEditor → takeHomeMonthly).</t>
  </si>
  <si>
    <t>grid = income monthly grid(op, 'available')
the answer = Σ over grid of (amount)÷ 12</t>
  </si>
  <si>
    <t>Grid is income monthly grid(op, 'available'). The answer: the amount added up across grid÷ 12.</t>
  </si>
  <si>
    <t>MK-CF-F-092 incomeMonthlyGrid</t>
  </si>
  <si>
    <t>1. MK-CF-F-092 incomeMonthlyGrid
2. MK-CF-F-069 benefitActiveMonths
3. MK-CF-F-072 currentRetirementIncomeMonthly
4. MK-CF-F-065 equityVestWeights
5. MK-CF-F-071 extraIncome
6. MK-ST-F-056 has
7. MK-CF-F-132 map
8. MK-CF-F-087 monthlyTaxRates
9. MK-CF-F-073 otherIncomeMonth
10. MK-CF-F-181 rateInForce
11. MK-CF-F-068 rentalNetAnnual
12. MK-CF-F-066 rsuAnnual
13. MK-CF-F-060 salaryGrossByMonth
14. MK-CF-F-077 scholarshipByCalendarMonth
15. MK-CF-F-088 taxableByCalendarMonth
16. MK-ST-F-052 toNum
17. MK-PL-F-012 waterfall
18. MK-CF-F-075 retirementIncomeMonthly
19. MK-CF-F-062 equityRowValue
20. MK-CF-F-070 benefitAnnual
21. MK-ST-F-039 on
22. MK-CF-F-090 effectiveRate
23. MK-CF-F-085 filingStatusOf
24. MK-CF-F-089 over65CountOf
25. MK-CF-F-098 progressiveMonthlyTax
26. MK-CF-F-086 stateRateOf
27. MK-CF-F-173 earnerWages
28. MK-CF-F-102 effectiveRateOnGrossFor
29. MK-CF-F-180 enteredLandsAnnual
30. MK-CF-F-082 salaryAnnual
31. MK-CF-F-084 taxableAnnual
32. MK-CF-F-067 rentalList
33. MK-CF-F-063 rowVestYear
34. MK-CF-F-176 sumMonthsOverEarners
35. MK-CF-F-177 wageGrossByMonth
36. MK-XS-F-122 n
37. MK-CF-F-101 taxOwedFor
38. MK-CF-F-100 taxableIncomeFor
39. MK-CF-F-172 hasWage
40. MK-CF-F-074 tipsAnnual
41. MK-CF-F-130 enteredMonthlyRaw
42. MK-CF-F-166 hasMonthlySalaryTable
43. MK-ST-F-036 reconcile
44. MK-CF-F-167 salaryCalendarYear
45. MK-CF-F-099 deductionFor
46. MK-CF-F-081 salaryActiveMonths
47. MK-CF-F-165 salaryMonths
48. MK-CF-F-187 seniorDeductionFor</t>
  </si>
  <si>
    <t>1. MK-CF-F-069 benefitActiveMonths → MK-CF-F-092 incomeMonthlyGrid → MK-CF-F-120 pctBaseMonthly
2. MK-XS-F-122 n → MK-ST-F-052 toNum → MK-CF-F-075 retirementIncomeMonthly → MK-CF-F-072 currentRetirementIncomeMonthly → MK-CF-F-092 incomeMonthlyGrid → MK-CF-F-120 pctBaseMonthly
3. MK-XS-F-122 n → MK-ST-F-052 toNum → MK-CF-F-062 equityRowValue → MK-CF-F-065 equityVestWeights → MK-CF-F-092 incomeMonthlyGrid → MK-CF-F-120 pctBaseMonthly
4. MK-CF-F-132 map → MK-CF-F-065 equityVestWeights → MK-CF-F-092 incomeMonthlyGrid → MK-CF-F-120 pctBaseMonthly
5. MK-CF-F-069 benefitActiveMonths → MK-CF-F-070 benefitAnnual → MK-CF-F-071 extraIncome → MK-CF-F-092 incomeMonthlyGrid → MK-CF-F-120 pctBaseMonthly
6. MK-XS-F-122 n → MK-ST-F-052 toNum → MK-CF-F-070 benefitAnnual → MK-CF-F-071 extraIncome → MK-CF-F-092 incomeMonthlyGrid → MK-CF-F-120 pctBaseMonthly
7. MK-ST-F-039 on → MK-CF-F-071 extraIncome → MK-CF-F-092 incomeMonthlyGrid → MK-CF-F-120 pctBaseMonthly
8. MK-XS-F-122 n → MK-ST-F-052 toNum → MK-CF-F-071 extraIncome → MK-CF-F-092 incomeMonthlyGrid → MK-CF-F-120 pctBaseMonthly
9. … and 4 more paths</t>
  </si>
  <si>
    <t>MK-CF-F-121</t>
  </si>
  <si>
    <t>zero12</t>
  </si>
  <si>
    <t>the answer = twelve zeros, one per month</t>
  </si>
  <si>
    <t>Twelve zeros, one per calendar month — the empty grid a month-by-month figure is built on. No arithmetic.</t>
  </si>
  <si>
    <t>MK-CF-F-122</t>
  </si>
  <si>
    <t>addDays</t>
  </si>
  <si>
    <t>the answer = d + n × 86,400,000 milliseconds</t>
  </si>
  <si>
    <t>The date n days after d — adding whole days in milliseconds.</t>
  </si>
  <si>
    <t>1. d: Date
2. n: number</t>
  </si>
  <si>
    <t>Date</t>
  </si>
  <si>
    <t>MK-CF-F-124</t>
  </si>
  <si>
    <t>nextOccurrence</t>
  </si>
  <si>
    <t>The next time (month, day) occurs on/after `now`, unless an explicit year is given.</t>
  </si>
  <si>
    <t>d0 = day   if day &gt; 0
1   otherwise
the date year, month1to12 − 1, d0   when year and year &gt; 0
d = the date now.get full year(), month1to12 − 1, d0
the answer = d</t>
  </si>
  <si>
    <t>D0 is day — when day &gt; 0; 1 — otherwise. When year and year &gt; 0, it answers the date year, month1to12 minus 1, d0. D: the date now.get full year(), month1to12 minus 1, d0. The answer is d.</t>
  </si>
  <si>
    <t>1. month1to12: number
2. day: number
3. now: Date
4. year?: number</t>
  </si>
  <si>
    <t>MK-CF-F-125</t>
  </si>
  <si>
    <t>amortise</t>
  </si>
  <si>
    <t>Months to clear a balance at a given payment, and the total interest paid getting there.</t>
  </si>
  <si>
    <t>i = annual rate ÷ 12
b = balance, months = 0, interest = 0
months = infinity
interest = infinity   when payment ≤ b × i
charge = b × i
the answer = { months, interest }</t>
  </si>
  <si>
    <t>I is annual rate divided by 12. B is balance, months = 0, interest = 0. When payment is at most b times i, it answers months = infinity; interest = infinity. Charge is b times i. The answer is { months, interest }.</t>
  </si>
  <si>
    <t>1. balance: number
2. annualRate: number
3. payment: number</t>
  </si>
  <si>
    <t>· Treats a year as twelve equal months.</t>
  </si>
  <si>
    <t>MK-CF-F-126</t>
  </si>
  <si>
    <t>futureValue</t>
  </si>
  <si>
    <t>Future value of a monthly contribution earning `rate`, contributed at the end of each month.</t>
  </si>
  <si>
    <t>0   when months ≤ 0 (or monthly ≤ 0 when missing or zero)
i = rate ÷ 12
the answer = monthly × (((1 + i) ×  × months − 1) ÷ i)</t>
  </si>
  <si>
    <t>When months is at most 0 (or monthly is at most 0 — when missing or zero), it answers 0. I is rate divided by 12. The answer is monthly times (((1 plus i) times times months minus 1) divided by i).</t>
  </si>
  <si>
    <t>1. monthly: number
2. rate: number
3. months: number</t>
  </si>
  <si>
    <t>MK-CF-F-127</t>
  </si>
  <si>
    <t>isRental</t>
  </si>
  <si>
    <t>t = 'LONG_TERM_RENTAL' (or t = 'SHORT_TERM_RENTAL' when missing or zero)</t>
  </si>
  <si>
    <t>t = 'LONG_TERM_RENTAL' (or t = 'SHORT_TERM_RENTAL' — when missing or zero)</t>
  </si>
  <si>
    <t>t: string</t>
  </si>
  <si>
    <t>MK-CF-F-128</t>
  </si>
  <si>
    <t>grossByMonth</t>
  </si>
  <si>
    <t>MoneyKeel/functions/cashflow/base-pay.ts</t>
  </si>
  <si>
    <t>GROSS pay for each month the table covers, or twelve identical months when pay is steady.</t>
  </si>
  <si>
    <t>table = months of(gross by month)
table   when count of varies and table
the answer = [['typical', per month(gross typical, e)]]</t>
  </si>
  <si>
    <t>Table is months of(gross by month). When how many varies and table there are, it answers table. The answer is [['typical', per month(gross typical, e)]].</t>
  </si>
  <si>
    <t>e: BasePayEntry</t>
  </si>
  <si>
    <t>[string, number][]</t>
  </si>
  <si>
    <t>1. MK-CF-F-142 monthsOf
2. MK-CF-F-141 perMonth</t>
  </si>
  <si>
    <t>1. MK-CF-F-142 monthsOf
2. MK-CF-F-141 perMonth
3. MK-ST-F-035 covers
4. MK-CF-F-132 map
5. MK-ST-F-052 toNum
6. MK-CF-F-140 periodsAYear
7. MK-ST-F-034 firstDate
8. MK-XS-F-122 n</t>
  </si>
  <si>
    <t>1. MK-ST-F-034 firstDate → MK-ST-F-035 covers → MK-CF-F-142 monthsOf → MK-CF-F-128 grossByMonth
2. MK-CF-F-132 map → MK-CF-F-142 monthsOf → MK-CF-F-128 grossByMonth
3. MK-XS-F-122 n → MK-ST-F-052 toNum → MK-CF-F-142 monthsOf → MK-CF-F-128 grossByMonth
4. MK-CF-F-140 periodsAYear → MK-CF-F-141 perMonth → MK-CF-F-128 grossByMonth
5. MK-XS-F-122 n → MK-ST-F-052 toNum → MK-CF-F-141 perMonth → MK-CF-F-128 grossByMonth</t>
  </si>
  <si>
    <t>MK-CF-F-129</t>
  </si>
  <si>
    <t>round4</t>
  </si>
  <si>
    <t>n</t>
  </si>
  <si>
    <t>n: number</t>
  </si>
  <si>
    <t>MK-XS-F-122 n → MK-CF-F-129 round4</t>
  </si>
  <si>
    <t>MK-CF-F-130</t>
  </si>
  <si>
    <t>enteredMonthlyRaw</t>
  </si>
  <si>
    <t>A single entered base amount expressed per month, before tax gross-up (hourly/weekly/… → monthly).</t>
  </si>
  <si>
    <t>hrs = hours per week read as a number (0 when it is not one) (or DEFAULT_HOURS_PER_WEEK when missing or zero)
the answer = (to num(base salary) × hrs × 52) ÷ 12</t>
  </si>
  <si>
    <t>Hrs is hours per week read as a number (0 — when it is one is missing) (or DEFAULT_HOURS_PER_WEEK — when missing or zero). The answer is (to num(base salary) times hrs times 52) divided by 12.</t>
  </si>
  <si>
    <t>a: Record&lt;string, any&gt;</t>
  </si>
  <si>
    <t>· If salary freq] is missing it uses 12.</t>
  </si>
  <si>
    <t>MK-XS-F-122 n → MK-ST-F-052 toNum → MK-CF-F-130 enteredMonthlyRaw</t>
  </si>
  <si>
    <t>MK-CF-F-131</t>
  </si>
  <si>
    <t>normPayee</t>
  </si>
  <si>
    <t>(note ?? '').trim().to lower case()</t>
  </si>
  <si>
    <t>note?: string | null</t>
  </si>
  <si>
    <t>MK-CF-F-132</t>
  </si>
  <si>
    <t>map</t>
  </si>
  <si>
    <t>asset account) =&gt;</t>
  </si>
  <si>
    <t>1. accs: AssetAccount[]
2. id: EntityId
3. fn: (a: AssetAccount) =&gt; AssetAccount</t>
  </si>
  <si>
    <t>1. "A share of what they put in, or a flat amount." — on the base pay screen
2. "ACCOUNTS (year-end)" — on the Tax organiser screen, under "ACCOUNTS (year-end)"
3. "Account name" — on the Import holdings screen, under "REVIEW YOUR HOLDINGS"
4. "Add a goal ›" — on the Goals together screen, under "TRY THESE TOGETHER"
5. "Add your income ›" — on the income summary screen
6. "Certain months" — on the setup questions, which appear on more than one screen</t>
  </si>
  <si>
    <t>MK-CF-F-133</t>
  </si>
  <si>
    <t>cashOf</t>
  </si>
  <si>
    <t>cash balance (or 0 when missing or zero)</t>
  </si>
  <si>
    <t>cash balance (or 0 — when missing or zero)</t>
  </si>
  <si>
    <t>a: AssetAccount</t>
  </si>
  <si>
    <t>· If cash balance is missing it counts as zero, so nothing recorded and a real zero look the same.</t>
  </si>
  <si>
    <t>MK-CF-F-134</t>
  </si>
  <si>
    <t>usesSleeve</t>
  </si>
  <si>
    <t>Where an account's spendable cash lives: investment accounts use the cash_balance SLEEVE; cash accounts (checking/savings) and property hold their money in `balance`.</t>
  </si>
  <si>
    <t>tax bucket ! = 'CASH' and tax bucket ! = 'PROPERTY'</t>
  </si>
  <si>
    <t>MK-CF-F-135</t>
  </si>
  <si>
    <t>availableCash</t>
  </si>
  <si>
    <t>cash balance (or 0 when missing or zero)   if uses sleeve(a)
balance (or 0 when missing or zero)   otherwise</t>
  </si>
  <si>
    <t>cash balance (or 0 when missing or zero) — when uses sleeve(a); balance (or 0 — when missing or zero) — otherwise</t>
  </si>
  <si>
    <t>(a.balance || 0));</t>
  </si>
  <si>
    <t>1. If cash balance is missing it counts as zero, so nothing recorded and a real zero look the same.
2. If balance is missing it counts as zero, so nothing recorded and a real zero look the same.</t>
  </si>
  <si>
    <t>MK-CF-F-134 usesSleeve</t>
  </si>
  <si>
    <t>MK-CF-F-134 usesSleeve → MK-CF-F-135 availableCash</t>
  </si>
  <si>
    <t>MK-CF-F-136</t>
  </si>
  <si>
    <t>bumpCash</t>
  </si>
  <si>
    <t>...a = ...a
cash balance = (cash balance or 0) + delta   when uses sleeve(a)
itemised = (positions.length ?? 0) &gt; 0 and tax bucket ! = 'CASH' and tax bucket ! = 'PROPERTY'
the answer:
...a = ...a
balance = (balance or 0) + delta</t>
  </si>
  <si>
    <t>When uses sleeve(a), it answers ...a = ...a; cash balance = (cash balance or 0) plus delta. Itemised is (positions.length ?? 0) &gt; 0 and tax bucket ! = 'CASH' and tax bucket ! = 'PROPERTY'. The answer is ...a = ...a; balance = (balance or 0) plus delta.</t>
  </si>
  <si>
    <t>1. a: AssetAccount
2. delta: number</t>
  </si>
  <si>
    <t>AssetAccount</t>
  </si>
  <si>
    <t>1. If length is missing it uses 0.
2. If cash balance is missing it counts as zero, so nothing recorded and a real zero look the same.
3. If balance is missing it counts as zero, so nothing recorded and a real zero look the same.</t>
  </si>
  <si>
    <t>MK-CF-F-134 usesSleeve → MK-CF-F-136 bumpCash</t>
  </si>
  <si>
    <t>MK-CF-F-137</t>
  </si>
  <si>
    <t>findPos</t>
  </si>
  <si>
    <t>the answer = the first holding in the account whose position id matches, or whose ticker matches (case-insensitive)</t>
  </si>
  <si>
    <t>Finds the holding a transaction refers to — by position identifier first, then by ticker. No arithmetic.</t>
  </si>
  <si>
    <t>1. a: AssetAccount
2. t: Transaction</t>
  </si>
  <si>
    <t>MK-CF-F-138</t>
  </si>
  <si>
    <t>addLot</t>
  </si>
  <si>
    <t>Add shares to a position (creating it if needed) at a cost basis — used by BUY and reinvested dividends.</t>
  </si>
  <si>
    <t>lot = lot id = new entity id('lot')
shares = shares
cost per share = cost per share
purchase date = date
existing = find pos(a, t)
the answer:
...a = ...a
positions = for each of positions (or none when missing): ...each = ...each
lots = [...lots, lot]   if each = existing
each   otherwise
pos = position id = new entity id('pos')
ticker = (ticker ?? '').to upper case()
kind = kind
lots = [lot]</t>
  </si>
  <si>
    <t>Lot is lot id = new entity id('lot'); shares = shares; cost per share = cost per share; purchase date = date. Existing is find pos(a, t). The answer is ...a = ...a; positions = for each of positions (or none — when missing): ...each = ...each; lots = [...lots, lot] — when each = existing; each — otherwise. Pos is position id = new entity id('pos'); ticker = (ticker ?? '').to upper case(); kind = kind; lots = [lot].</t>
  </si>
  <si>
    <t>1. a: AssetAccount
2. t: Transaction
3. shares: number
4. costPerShare: number</t>
  </si>
  <si>
    <t>1. MK-CF-F-137 findPos
2. MK-CF-F-132 map
3. MK-ST-F-043 newEntityId</t>
  </si>
  <si>
    <t>1. MK-CF-F-137 findPos → MK-CF-F-138 addLot
2. MK-CF-F-132 map → MK-CF-F-138 addLot
3. MK-ST-F-043 newEntityId → MK-CF-F-138 addLot</t>
  </si>
  <si>
    <t>MK-CF-F-139</t>
  </si>
  <si>
    <t>removeShares</t>
  </si>
  <si>
    <t>Remove `shares` from a position FIFO (oldest lots first); returns updated account.</t>
  </si>
  <si>
    <t>pos = find pos(a, t)
a   when pos is missing
remaining = shares
lots = for each of pos.lots: { ...each }
take = min(shares, remaining)
kept = lots where shares &gt; 1e − 9
the answer = { ...a, positions }</t>
  </si>
  <si>
    <t>Pos is find pos(a, t). When pos is missing, it answers a. Remaining is shares. Lots is for each of pos.lots: { ...each }. Take: the smaller of shares and remaining. Kept is lots where shares &gt; 1e minus 9. The answer is { ...a, positions }.</t>
  </si>
  <si>
    <t>1. a: AssetAccount
2. t: Transaction
3. shares: number</t>
  </si>
  <si>
    <t>1. MK-CF-F-137 findPos
2. MK-CF-F-132 map</t>
  </si>
  <si>
    <t>1. MK-CF-F-137 findPos → MK-CF-F-139 removeShares
2. MK-CF-F-132 map → MK-CF-F-139 removeShares</t>
  </si>
  <si>
    <t>MK-CF-F-140</t>
  </si>
  <si>
    <t>periodsAYear</t>
  </si>
  <si>
    <t>PAY_PERIODS[string(freq)] (or 12 when missing)</t>
  </si>
  <si>
    <t>PAY_PERIODS[string(freq)] (or 12 — when missing)</t>
  </si>
  <si>
    <t>MK-CF-F-141</t>
  </si>
  <si>
    <t>One period of pay expressed as a month.</t>
  </si>
  <si>
    <t>n = amount read as a number (0 when it is not one)
(n × (to num(hours per week) or 40) × 52) ÷ 12   when string(freq) = 'hourly'
the answer = (n × periods ayear(e)) ÷ 12</t>
  </si>
  <si>
    <t>N is amount read as a number (0 — when it is one is missing). When string(freq) = 'hourly', it answers (n times (to num(hours per week) or 40) times 52) divided by 12. The answer is (n times periods ayear(e)) divided by 12.</t>
  </si>
  <si>
    <t>1. amount: any
2. e: BasePayEntry</t>
  </si>
  <si>
    <t>1. MK-CF-F-140 periodsAYear
2. MK-ST-F-052 toNum</t>
  </si>
  <si>
    <t>1. MK-CF-F-140 periodsAYear
2. MK-ST-F-052 toNum
3. MK-XS-F-122 n</t>
  </si>
  <si>
    <t>1. MK-CF-F-140 periodsAYear → MK-CF-F-141 perMonth
2. MK-XS-F-122 n → MK-ST-F-052 toNum → MK-CF-F-141 perMonth</t>
  </si>
  <si>
    <t>MK-CF-F-142</t>
  </si>
  <si>
    <t>monthsOf</t>
  </si>
  <si>
    <t>The months the person filled in, in order.</t>
  </si>
  <si>
    <t>[]   when table is missing
for each of the names in table, in order: [each, to num(table[each])] as [string, number]</t>
  </si>
  <si>
    <t>When table is missing, it answers []. for each of the names in table, in order: [each, to num(table[each])] as [string, number].</t>
  </si>
  <si>
    <t>table: Record&lt;string, any&gt; | undefined</t>
  </si>
  <si>
    <t>1. MK-ST-F-035 covers
2. MK-CF-F-132 map
3. MK-ST-F-052 toNum</t>
  </si>
  <si>
    <t>1. MK-ST-F-035 covers
2. MK-CF-F-132 map
3. MK-ST-F-052 toNum
4. MK-ST-F-034 firstDate
5. MK-XS-F-122 n</t>
  </si>
  <si>
    <t>1. MK-ST-F-034 firstDate → MK-ST-F-035 covers → MK-CF-F-142 monthsOf
2. MK-CF-F-132 map → MK-CF-F-142 monthsOf
3. MK-XS-F-122 n → MK-ST-F-052 toNum → MK-CF-F-142 monthsOf</t>
  </si>
  <si>
    <t>MK-CF-F-143</t>
  </si>
  <si>
    <t>annualisedGross</t>
  </si>
  <si>
    <t>GROSS PAY ANNUALISED — the figure a tax bracket is read from.</t>
  </si>
  <si>
    <t>months = gross by month(e)
0   when count of months is missing
avg = count of months.reduce((t, [, v]) =&gt; t + v, 0) ÷ months
the answer = avg × 12</t>
  </si>
  <si>
    <t>Months is gross by month(e). When how many months is missing there are, it answers 0. Avg: how many months.reduce((t, [, v]) =&gt; t plus v, 0) divided by months there are. The answer is avg times 12.</t>
  </si>
  <si>
    <t>MK-CF-F-128 grossByMonth</t>
  </si>
  <si>
    <t>1. MK-CF-F-128 grossByMonth
2. MK-CF-F-142 monthsOf
3. MK-CF-F-141 perMonth
4. MK-ST-F-035 covers
5. MK-CF-F-132 map
6. MK-ST-F-052 toNum
7. MK-CF-F-140 periodsAYear
8. MK-ST-F-034 firstDate
9. MK-XS-F-122 n</t>
  </si>
  <si>
    <t>1. MK-ST-F-034 firstDate → MK-ST-F-035 covers → MK-CF-F-142 monthsOf → MK-CF-F-128 grossByMonth → MK-CF-F-143 annualisedGross
2. MK-CF-F-132 map → MK-CF-F-142 monthsOf → MK-CF-F-128 grossByMonth → MK-CF-F-143 annualisedGross
3. MK-XS-F-122 n → MK-ST-F-052 toNum → MK-CF-F-142 monthsOf → MK-CF-F-128 grossByMonth → MK-CF-F-143 annualisedGross
4. MK-CF-F-140 periodsAYear → MK-CF-F-141 perMonth → MK-CF-F-128 grossByMonth → MK-CF-F-143 annualisedGross
5. MK-XS-F-122 n → MK-ST-F-052 toNum → MK-CF-F-141 perMonth → MK-CF-F-128 grossByMonth → MK-CF-F-143 annualisedGross</t>
  </si>
  <si>
    <t>MK-CF-F-144</t>
  </si>
  <si>
    <t>takeHomeAsEntered</t>
  </si>
  <si>
    <t>months = months of(lands by month)
entered = lands typical
gross = annualised gross(e)
k401 = to num(monthly401k) × 12
taxable = max(0, gross − k401)
monthly = (gross − k401 − tax owed for(taxable, filing status ?? 'single', 0, over65 ?? 0)) ÷ 12</t>
  </si>
  <si>
    <t>Months is months of(lands by month). Entered is lands typical. Gross is annualised gross(e). K401 is to num(monthly401k) times 12. Taxable is gross minus k401, never below zero. Monthly is (gross minus k401 minus tax owed for(taxable, filing status ?? 'single', 0, over65 ?? 0)) divided by 12.</t>
  </si>
  <si>
    <t>TakeHome</t>
  </si>
  <si>
    <t>1. If over65 is missing it uses 0.
2. Turns a monthly figure into a year by multiplying by twelve.
3. Rounds the answer to a whole number.</t>
  </si>
  <si>
    <t>1. MK-CF-F-143 annualisedGross
2. MK-CF-F-142 monthsOf
3. MK-ST-F-039 on
4. MK-CF-F-141 perMonth
5. MK-CF-F-101 taxOwedFor
6. MK-ST-F-052 toNum</t>
  </si>
  <si>
    <t>1. MK-CF-F-143 annualisedGross
2. MK-CF-F-142 monthsOf
3. MK-ST-F-039 on
4. MK-CF-F-141 perMonth
5. MK-CF-F-101 taxOwedFor
6. MK-ST-F-052 toNum
7. MK-CF-F-128 grossByMonth
8. MK-ST-F-035 covers
9. MK-CF-F-132 map
10. MK-CF-F-140 periodsAYear
11. MK-CF-F-100 taxableIncomeFor
12. MK-XS-F-122 n
13. MK-ST-F-034 firstDate
14. MK-CF-F-099 deductionFor
15. MK-CF-F-187 seniorDeductionFor</t>
  </si>
  <si>
    <t>1. MK-ST-F-034 firstDate → MK-ST-F-035 covers → MK-CF-F-142 monthsOf → MK-CF-F-128 grossByMonth → MK-CF-F-143 annualisedGross → MK-CF-F-144 takeHomeAsEntered
2. MK-CF-F-132 map → MK-CF-F-142 monthsOf → MK-CF-F-128 grossByMonth → MK-CF-F-143 annualisedGross → MK-CF-F-144 takeHomeAsEntered
3. MK-XS-F-122 n → MK-ST-F-052 toNum → MK-CF-F-142 monthsOf → MK-CF-F-128 grossByMonth → MK-CF-F-143 annualisedGross → MK-CF-F-144 takeHomeAsEntered
4. MK-CF-F-140 periodsAYear → MK-CF-F-141 perMonth → MK-CF-F-128 grossByMonth → MK-CF-F-143 annualisedGross → MK-CF-F-144 takeHomeAsEntered
5. MK-XS-F-122 n → MK-ST-F-052 toNum → MK-CF-F-141 perMonth → MK-CF-F-128 grossByMonth → MK-CF-F-143 annualisedGross → MK-CF-F-144 takeHomeAsEntered
6. MK-ST-F-034 firstDate → MK-ST-F-035 covers → MK-CF-F-142 monthsOf → MK-CF-F-144 takeHomeAsEntered
7. MK-CF-F-132 map → MK-CF-F-142 monthsOf → MK-CF-F-144 takeHomeAsEntered
8. MK-XS-F-122 n → MK-ST-F-052 toNum → MK-CF-F-142 monthsOf → MK-CF-F-144 takeHomeAsEntered
9. … and 5 more paths</t>
  </si>
  <si>
    <t>MK-CF-F-145</t>
  </si>
  <si>
    <t>deductionsFromPay</t>
  </si>
  <si>
    <t>EVERYTHING ELSE TAKEN OUT — gross, less the 401(k), less the take-home.</t>
  </si>
  <si>
    <t>t = take home as entered(e)
nothing   when estimated
the answer = annualised gross(e) − (to num(monthly401k) × 12) − (monthly × 12)</t>
  </si>
  <si>
    <t>T is take home as entered(e). When estimated, it answers no answer. The answer is annualised gross(e) minus (to num(monthly401k) times 12) minus (monthly times 12).</t>
  </si>
  <si>
    <t>1. Uses a built-in a g r e e t o l e r a n c e of 5.
2. Uses a built-in h i g h d e d u c t i o n s h a r e of 60%.
3. Turns a monthly figure into a year by multiplying by twelve.</t>
  </si>
  <si>
    <t>1. MK-CF-F-143 annualisedGross
2. MK-CF-F-144 takeHomeAsEntered
3. MK-ST-F-052 toNum</t>
  </si>
  <si>
    <t>1. MK-CF-F-143 annualisedGross
2. MK-CF-F-144 takeHomeAsEntered
3. MK-ST-F-052 toNum
4. MK-CF-F-128 grossByMonth
5. MK-CF-F-142 monthsOf
6. MK-ST-F-039 on
7. MK-CF-F-141 perMonth
8. MK-CF-F-101 taxOwedFor
9. MK-XS-F-122 n
10. MK-ST-F-035 covers
11. MK-CF-F-132 map
12. MK-CF-F-140 periodsAYear
13. MK-CF-F-100 taxableIncomeFor
14. MK-ST-F-034 firstDate
15. MK-CF-F-099 deductionFor
16. MK-CF-F-187 seniorDeductionFor</t>
  </si>
  <si>
    <t>1. MK-ST-F-034 firstDate → MK-ST-F-035 covers → MK-CF-F-142 monthsOf → MK-CF-F-128 grossByMonth → MK-CF-F-143 annualisedGross → MK-CF-F-145 deductionsFromPay
2. MK-CF-F-132 map → MK-CF-F-142 monthsOf → MK-CF-F-128 grossByMonth → MK-CF-F-143 annualisedGross → MK-CF-F-145 deductionsFromPay
3. MK-XS-F-122 n → MK-ST-F-052 toNum → MK-CF-F-142 monthsOf → MK-CF-F-128 grossByMonth → MK-CF-F-143 annualisedGross → MK-CF-F-145 deductionsFromPay
4. MK-CF-F-140 periodsAYear → MK-CF-F-141 perMonth → MK-CF-F-128 grossByMonth → MK-CF-F-143 annualisedGross → MK-CF-F-145 deductionsFromPay
5. MK-XS-F-122 n → MK-ST-F-052 toNum → MK-CF-F-141 perMonth → MK-CF-F-128 grossByMonth → MK-CF-F-143 annualisedGross → MK-CF-F-145 deductionsFromPay
6. MK-ST-F-035 covers → MK-CF-F-142 monthsOf → MK-CF-F-128 grossByMonth → MK-CF-F-143 annualisedGross → MK-CF-F-144 takeHomeAsEntered → MK-CF-F-145 deductionsFromPay
7. MK-CF-F-132 map → MK-CF-F-142 monthsOf → MK-CF-F-128 grossByMonth → MK-CF-F-143 annualisedGross → MK-CF-F-144 takeHomeAsEntered → MK-CF-F-145 deductionsFromPay
8. MK-ST-F-052 toNum → MK-CF-F-142 monthsOf → MK-CF-F-128 grossByMonth → MK-CF-F-143 annualisedGross → MK-CF-F-144 takeHomeAsEntered → MK-CF-F-145 deductionsFromPay
9. … and 5 more paths</t>
  </si>
  <si>
    <t>MK-CF-F-146</t>
  </si>
  <si>
    <t>payFiguresAgree</t>
  </si>
  <si>
    <t>t = take home as entered(e)
ok = true
warn = false
say = ''   when estimated
k401 = monthly401k read as a number (0 when it is not one)
gm = gross by month(e)
lands = a lookup of lm
landed = lands.get(key) as number   if lands.has(key)
per month(lands typical, e)   otherwise
left = gross − k401 − landed
when = ''   if key = 'typical'
` in ${key}`   otherwise
when = ''   if key = 'typical'
` in ${key}`   otherwise
the answer:
ok = true
warn = false
say = ''</t>
  </si>
  <si>
    <t>T is take home as entered(e). When estimated, it answers ok = true; warn = false; say = ''. K401 is monthly401k read as a number (0 — when it is one is missing). Gm is gross by month(e). Lands is a lookup of lm. Landed is lands.get(key) as number — when lands.has(key); per month(lands typical, e) — otherwise. Left is gross minus k401 minus landed. When is '' — when key = 'typical'; ` in ${key}` — otherwise. When is '' — when key = 'typical'; ` in ${key}` — otherwise. The answer is ok = true; warn = false; say = ''.</t>
  </si>
  <si>
    <t>PayVerdict</t>
  </si>
  <si>
    <t>1. MK-CF-F-128 grossByMonth
2. MK-ST-F-056 has
3. MK-CF-F-132 map
4. MK-ST-F-053 money
5. MK-CF-F-142 monthsOf
6. MK-CF-F-141 perMonth
7. MK-CF-F-144 takeHomeAsEntered
8. MK-ST-F-052 toNum</t>
  </si>
  <si>
    <t>1. MK-CF-F-128 grossByMonth
2. MK-ST-F-056 has
3. MK-CF-F-132 map
4. MK-ST-F-053 money
5. MK-CF-F-142 monthsOf
6. MK-CF-F-141 perMonth
7. MK-CF-F-144 takeHomeAsEntered
8. MK-ST-F-052 toNum
9. MK-ST-F-049 formatMoney
10. MK-XS-F-122 n
11. MK-ST-F-035 covers
12. MK-CF-F-140 periodsAYear
13. MK-CF-F-143 annualisedGross
14. MK-ST-F-039 on
15. MK-CF-F-101 taxOwedFor
16. MK-ST-F-048 currencySymbol
17. MK-ST-F-034 firstDate
18. MK-CF-F-100 taxableIncomeFor
19. MK-ST-F-047 activeCurrency
20. MK-CF-F-099 deductionFor
21. MK-CF-F-187 seniorDeductionFor</t>
  </si>
  <si>
    <t>1. MK-ST-F-034 firstDate → MK-ST-F-035 covers → MK-CF-F-142 monthsOf → MK-CF-F-128 grossByMonth → MK-CF-F-146 payFiguresAgree
2. MK-CF-F-132 map → MK-CF-F-142 monthsOf → MK-CF-F-128 grossByMonth → MK-CF-F-146 payFiguresAgree
3. MK-XS-F-122 n → MK-ST-F-052 toNum → MK-CF-F-142 monthsOf → MK-CF-F-128 grossByMonth → MK-CF-F-146 payFiguresAgree
4. MK-CF-F-140 periodsAYear → MK-CF-F-141 perMonth → MK-CF-F-128 grossByMonth → MK-CF-F-146 payFiguresAgree
5. MK-XS-F-122 n → MK-ST-F-052 toNum → MK-CF-F-141 perMonth → MK-CF-F-128 grossByMonth → MK-CF-F-146 payFiguresAgree
6. MK-ST-F-056 has → MK-CF-F-146 payFiguresAgree
7. MK-CF-F-132 map → MK-CF-F-146 payFiguresAgree
8. MK-ST-F-047 activeCurrency → MK-ST-F-048 currencySymbol → MK-ST-F-049 formatMoney → MK-ST-F-053 money → MK-CF-F-146 payFiguresAgree
9. … and 5 more paths</t>
  </si>
  <si>
    <t>MK-CF-F-148</t>
  </si>
  <si>
    <t>inMonth</t>
  </si>
  <si>
    <t>MoneyKeel/functions/cashflow/logged-expenses.ts</t>
  </si>
  <si>
    <t>Does this logged expense fall in the month `ym` ("2026-08")?</t>
  </si>
  <si>
    <t>the answer = true when the expense date starts with the month text 'YYYY-MM'</t>
  </si>
  <si>
    <t>Whether a logged expense falls in the given month: its date begins with that year and month. No arithmetic.</t>
  </si>
  <si>
    <t>1. e: LoggedExpense
2. ym: string</t>
  </si>
  <si>
    <t>MK-CF-F-191 ym</t>
  </si>
  <si>
    <t>MK-CF-F-191 ym → MK-CF-F-148 inMonth</t>
  </si>
  <si>
    <t>MK-CF-F-149</t>
  </si>
  <si>
    <t>recurringDebtPayments</t>
  </si>
  <si>
    <t>MoneyKeel/functions/cashflow/spending.ts</t>
  </si>
  <si>
    <t>RECURRING DEBT PAYMENTS — the installment debts, one row each.</t>
  </si>
  <si>
    <t>for each debt whose payment shape is 'installment' and whose required payment &gt; 0: { label, monthly = required payment(debt) }</t>
  </si>
  <si>
    <t>The instalment debts — mortgage, car, loans — each with its required monthly payment (MK-CF-F-023). A debt due in full is not an instalment and is left out; so is one with no payment.</t>
  </si>
  <si>
    <t>s: SpendingInput</t>
  </si>
  <si>
    <t>1. MK-CF-F-132 map
2. MK-CF-F-022 paymentShape
3. MK-CF-F-023 requiredPayment</t>
  </si>
  <si>
    <t>1. MK-CF-F-132 map
2. MK-CF-F-022 paymentShape
3. MK-CF-F-023 requiredPayment
4. MK-CF-F-021 defaultPaymentType</t>
  </si>
  <si>
    <t>1. MK-CF-F-132 map → MK-CF-F-149 recurringDebtPayments
2. MK-CF-F-021 defaultPaymentType → MK-CF-F-022 paymentShape → MK-CF-F-149 recurringDebtPayments
3. MK-CF-F-021 defaultPaymentType → MK-CF-F-022 paymentShape → MK-CF-F-023 requiredPayment → MK-CF-F-149 recurringDebtPayments</t>
  </si>
  <si>
    <t>MK-CF-F-150</t>
  </si>
  <si>
    <t>debtPaymentsCountedAsExpenses</t>
  </si>
  <si>
    <t>DEBT PAYMENTS THAT ARE COUNTED AS EXPENSES — revolving and due-in-full.</t>
  </si>
  <si>
    <t>out = []
the answer = out</t>
  </si>
  <si>
    <t>Out is []. The answer is out.</t>
  </si>
  <si>
    <t>· Uses a built-in s h o w f i r s t of 5.</t>
  </si>
  <si>
    <t>1. MK-ST-F-056 has
2. MK-CF-F-148 inMonth
3. MK-CF-F-022 paymentShape
4. MK-ST-F-052 toNum
5. MK-CF-F-191 ym</t>
  </si>
  <si>
    <t>1. MK-ST-F-056 has
2. MK-CF-F-148 inMonth
3. MK-CF-F-022 paymentShape
4. MK-ST-F-052 toNum
5. MK-CF-F-191 ym
6. MK-CF-F-021 defaultPaymentType
7. MK-XS-F-122 n</t>
  </si>
  <si>
    <t>1. MK-ST-F-056 has → MK-CF-F-150 debtPaymentsCountedAsExpenses
2. MK-CF-F-191 ym → MK-CF-F-148 inMonth → MK-CF-F-150 debtPaymentsCountedAsExpenses
3. MK-CF-F-021 defaultPaymentType → MK-CF-F-022 paymentShape → MK-CF-F-150 debtPaymentsCountedAsExpenses
4. MK-XS-F-122 n → MK-ST-F-052 toNum → MK-CF-F-150 debtPaymentsCountedAsExpenses
5. MK-CF-F-191 ym → MK-CF-F-150 debtPaymentsCountedAsExpenses</t>
  </si>
  <si>
    <t>MK-CF-F-151</t>
  </si>
  <si>
    <t>actualSpending</t>
  </si>
  <si>
    <t>shown = the first SHOW_FIRST of items
total = Σ over items of (amount read as a number (0 when it is not one))
shown total = Σ over shown of (amount read as a number (0 when it is not one))</t>
  </si>
  <si>
    <t>Shown: the first SHOW_FIRST of items. Total: the amount read as a number (0 — when it is one is missing) added up across items. Shown total: the amount read as a number (0 — when it is one is missing) added up across shown.</t>
  </si>
  <si>
    <t>SpentList</t>
  </si>
  <si>
    <t>1. MK-CF-F-148 inMonth
2. MK-ST-F-052 toNum
3. MK-CF-F-191 ym</t>
  </si>
  <si>
    <t>1. MK-CF-F-148 inMonth
2. MK-ST-F-052 toNum
3. MK-CF-F-191 ym
4. MK-XS-F-122 n</t>
  </si>
  <si>
    <t>1. MK-CF-F-191 ym → MK-CF-F-148 inMonth → MK-CF-F-151 actualSpending
2. MK-XS-F-122 n → MK-ST-F-052 toNum → MK-CF-F-151 actualSpending
3. MK-CF-F-191 ym → MK-CF-F-151 actualSpending</t>
  </si>
  <si>
    <t>MK-CF-F-152</t>
  </si>
  <si>
    <t>isRadarItem</t>
  </si>
  <si>
    <t>shape = payment shape(d)
nothing   when shape = 'installment'
the answer:
'lump − debt'   if shape = 'due_in_full'
'revolving − debt'   otherwise</t>
  </si>
  <si>
    <t>Shape is payment shape(d). When shape = 'installment', it answers no answer. The answer is 'lump minus debt' — when shape = 'due_in_full'; 'revolving minus debt' — otherwise.</t>
  </si>
  <si>
    <t>RadarReason | null</t>
  </si>
  <si>
    <t>MK-CF-F-021 defaultPaymentType → MK-CF-F-022 paymentShape → MK-CF-F-152 isRadarItem</t>
  </si>
  <si>
    <t>MK-CF-F-153</t>
  </si>
  <si>
    <t>radar</t>
  </si>
  <si>
    <t>out = []
reason = is radar item(d)
amount = paid   if paid &gt; 0
required payment(d)   otherwise
counted = !purchases captured.has(string(debt id))
the answer = out</t>
  </si>
  <si>
    <t>Out is []. Reason is is radar item(d). Amount is paid — when paid &gt; 0; required payment(d) — otherwise. Counted is !purchases captured.has(string(debt id)). The answer is out.</t>
  </si>
  <si>
    <t>1. s: SpendingInput
2. purchasesCaptured: Set&lt;string&gt; = new Set()</t>
  </si>
  <si>
    <t>RadarItem[]</t>
  </si>
  <si>
    <t>1. MK-ST-F-056 has
2. MK-CF-F-148 inMonth
3. MK-CF-F-152 isRadarItem
4. MK-CF-F-023 requiredPayment
5. MK-ST-F-052 toNum
6. MK-CF-F-191 ym</t>
  </si>
  <si>
    <t>1. MK-ST-F-056 has
2. MK-CF-F-148 inMonth
3. MK-CF-F-152 isRadarItem
4. MK-CF-F-023 requiredPayment
5. MK-ST-F-052 toNum
6. MK-CF-F-191 ym
7. MK-CF-F-022 paymentShape
8. MK-XS-F-122 n
9. MK-CF-F-021 defaultPaymentType</t>
  </si>
  <si>
    <t>1. MK-ST-F-056 has → MK-CF-F-153 radar
2. MK-CF-F-191 ym → MK-CF-F-148 inMonth → MK-CF-F-153 radar
3. MK-CF-F-021 defaultPaymentType → MK-CF-F-022 paymentShape → MK-CF-F-152 isRadarItem → MK-CF-F-153 radar
4. MK-CF-F-021 defaultPaymentType → MK-CF-F-022 paymentShape → MK-CF-F-023 requiredPayment → MK-CF-F-153 radar
5. MK-XS-F-122 n → MK-ST-F-052 toNum → MK-CF-F-153 radar
6. MK-CF-F-191 ym → MK-CF-F-153 radar</t>
  </si>
  <si>
    <t>MK-CF-F-155</t>
  </si>
  <si>
    <t>Negating zero in JavaScript gives NEGATIVE zero, which formats as "−$0" — and a person looking at "−$0" beside an unpaid car loan reasonably wonders what it means.</t>
  </si>
  <si>
    <t>0   if n = 0
n   otherwise</t>
  </si>
  <si>
    <t>0 — when n = 0; n — otherwise</t>
  </si>
  <si>
    <t>MK-XS-F-122 n → MK-CF-F-155 cash</t>
  </si>
  <si>
    <t>MK-CF-F-156</t>
  </si>
  <si>
    <t>plannedMonthFlow</t>
  </si>
  <si>
    <t>THE PLAN for this month: the take-home, less each debt, less planned expenses.</t>
  </si>
  <si>
    <t>lines = [{ label: inflow label('Inflow', inflow sources), amount: (take home monthly), kind: 'in' }]
due = required payment(d)
the answer:
lines = lines
surplus = cash(lines.reduce((t, l) =&gt; t + amount, 0))</t>
  </si>
  <si>
    <t>Lines is [{ label: inflow label('Inflow', inflow sources), amount: (take home monthly), kind: 'in' }]. Due is required payment(d). The answer is lines = lines; surplus = cash(lines.reduce((t, l) =&gt; t plus amount, 0)).</t>
  </si>
  <si>
    <t>1. MK-CF-F-155 cash
2. MK-CF-F-192 inflowLabel
3. MK-CF-F-023 requiredPayment
4. MK-XS-F-027 takeHomeMonthly</t>
  </si>
  <si>
    <t>1. MK-CF-F-155 cash
2. MK-CF-F-192 inflowLabel
3. MK-CF-F-023 requiredPayment
4. MK-XS-F-027 takeHomeMonthly
5. MK-XS-F-122 n
6. MK-CF-F-193 inflowSourceWord
7. MK-CF-F-022 paymentShape
8. MK-CF-F-092 incomeMonthlyGrid
9. MK-CF-F-011 savingsByMonth
10. MK-CF-F-021 defaultPaymentType
11. MK-CF-F-069 benefitActiveMonths
12. MK-CF-F-072 currentRetirementIncomeMonthly
13. MK-CF-F-065 equityVestWeights
14. MK-CF-F-071 extraIncome
15. MK-ST-F-056 has
16. MK-CF-F-132 map
17. MK-CF-F-087 monthlyTaxRates
18. MK-CF-F-073 otherIncomeMonth
19. MK-CF-F-181 rateInForce
20. MK-CF-F-068 rentalNetAnnual
21. MK-CF-F-066 rsuAnnual
22. MK-CF-F-060 salaryGrossByMonth
23. MK-CF-F-077 scholarshipByCalendarMonth
24. MK-CF-F-088 taxableByCalendarMonth
25. MK-ST-F-052 toNum
26. MK-PL-F-012 waterfall
27. MK-CF-F-008 spendByMonth
28. MK-CF-F-075 retirementIncomeMonthly
29. MK-CF-F-062 equityRowValue
30. MK-CF-F-070 benefitAnnual
31. MK-ST-F-039 on
32. MK-CF-F-090 effectiveRate
33. MK-CF-F-085 filingStatusOf
34. MK-CF-F-089 over65CountOf
35. MK-CF-F-098 progressiveMonthlyTax
36. MK-CF-F-086 stateRateOf
37. MK-CF-F-173 earnerWages
38. MK-CF-F-102 effectiveRateOnGrossFor
39. MK-CF-F-180 enteredLandsAnnual
40. MK-CF-F-082 salaryAnnual
41. MK-CF-F-084 taxableAnnual
42. MK-CF-F-067 rentalList
43. MK-CF-F-063 rowVestYear
44. MK-CF-F-176 sumMonthsOverEarners
45. MK-CF-F-177 wageGrossByMonth
46. MK-CF-F-120 pctBaseMonthly
47. MK-CF-F-004 spendBuckets
48. MK-CF-F-101 taxOwedFor
49. MK-CF-F-100 taxableIncomeFor
50. MK-CF-F-172 hasWage
51. MK-CF-F-074 tipsAnnual
52. MK-CF-F-130 enteredMonthlyRaw
53. MK-CF-F-166 hasMonthlySalaryTable
54. MK-ST-F-036 reconcile
55. MK-CF-F-167 salaryCalendarYear
56. MK-CF-F-003 categoryMonthly
57. MK-CF-F-099 deductionFor
58. MK-CF-F-081 salaryActiveMonths
59. MK-CF-F-165 salaryMonths
60. MK-CF-F-187 seniorDeductionFor</t>
  </si>
  <si>
    <t>1. MK-XS-F-122 n → MK-CF-F-155 cash → MK-CF-F-156 plannedMonthFlow
2. MK-CF-F-193 inflowSourceWord → MK-CF-F-192 inflowLabel → MK-CF-F-156 plannedMonthFlow
3. MK-CF-F-021 defaultPaymentType → MK-CF-F-022 paymentShape → MK-CF-F-023 requiredPayment → MK-CF-F-156 plannedMonthFlow
4. MK-CF-F-069 benefitActiveMonths → MK-CF-F-092 incomeMonthlyGrid → MK-XS-F-027 takeHomeMonthly → MK-CF-F-156 plannedMonthFlow
5. MK-ST-F-052 toNum → MK-CF-F-075 retirementIncomeMonthly → MK-CF-F-072 currentRetirementIncomeMonthly → MK-CF-F-092 incomeMonthlyGrid → MK-XS-F-027 takeHomeMonthly → MK-CF-F-156 plannedMonthFlow
6. MK-ST-F-052 toNum → MK-CF-F-062 equityRowValue → MK-CF-F-065 equityVestWeights → MK-CF-F-092 incomeMonthlyGrid → MK-XS-F-027 takeHomeMonthly → MK-CF-F-156 plannedMonthFlow
7. MK-CF-F-132 map → MK-CF-F-065 equityVestWeights → MK-CF-F-092 incomeMonthlyGrid → MK-XS-F-027 takeHomeMonthly → MK-CF-F-156 plannedMonthFlow
8. MK-CF-F-069 benefitActiveMonths → MK-CF-F-070 benefitAnnual → MK-CF-F-071 extraIncome → MK-CF-F-092 incomeMonthlyGrid → MK-XS-F-027 takeHomeMonthly → MK-CF-F-156 plannedMonthFlow
9. … and 4 more paths</t>
  </si>
  <si>
    <t>MK-CF-F-157</t>
  </si>
  <si>
    <t>debtPaymentsByDebt</t>
  </si>
  <si>
    <t>WHICH DEBTS HAVE ACTUALLY BEEN PAID this month, and how much each.</t>
  </si>
  <si>
    <t>out = new map&lt;string, number&gt;()
by label = a lookup of for each of debts (or none when missing): [string(label).trim().to lower case(), debt id]
id = by label.get(string(store ?? '').trim().to lower case())
the answer = out</t>
  </si>
  <si>
    <t>Out is new map&lt;string, number&gt;(). By label is a lookup of for each of debts (or none — when missing): [string(label).trim().to lower case(), debt id]. Id is by label.get(string(store ?? '').trim().to lower case()). The answer is out.</t>
  </si>
  <si>
    <t>Map&lt;string, number&gt;</t>
  </si>
  <si>
    <t>1. MK-XS-F-180 declareFigures
2. MK-CF-F-148 inMonth
3. MK-CF-F-132 map
4. MK-ST-F-052 toNum
5. MK-CF-F-191 ym</t>
  </si>
  <si>
    <t>1. MK-XS-F-180 declareFigures
2. MK-CF-F-148 inMonth
3. MK-CF-F-132 map
4. MK-ST-F-052 toNum
5. MK-CF-F-191 ym
6. MK-XS-F-122 n</t>
  </si>
  <si>
    <t>1. MK-XS-F-180 declareFigures → MK-CF-F-157 debtPaymentsByDebt
2. MK-CF-F-191 ym → MK-CF-F-148 inMonth → MK-CF-F-157 debtPaymentsByDebt
3. MK-CF-F-132 map → MK-CF-F-157 debtPaymentsByDebt
4. MK-XS-F-122 n → MK-ST-F-052 toNum → MK-CF-F-157 debtPaymentsByDebt
5. MK-CF-F-191 ym → MK-CF-F-157 debtPaymentsByDebt</t>
  </si>
  <si>
    <t>MK-CF-F-159</t>
  </si>
  <si>
    <t>isRecurringDebt</t>
  </si>
  <si>
    <t>Is this debt one that repeats unchanged every month?</t>
  </si>
  <si>
    <t>payment shape(d) = 'installment'</t>
  </si>
  <si>
    <t>MK-CF-F-021 defaultPaymentType → MK-CF-F-022 paymentShape → MK-CF-F-159 isRecurringDebt</t>
  </si>
  <si>
    <t>MK-CF-F-160</t>
  </si>
  <si>
    <t>daysBetweenDates</t>
  </si>
  <si>
    <t>the answer = round((b − a) in milliseconds ÷ 86,400,000)</t>
  </si>
  <si>
    <t>Whole days between two dates, rounded to the nearest day.</t>
  </si>
  <si>
    <t>1. a: Date
2. b: Date</t>
  </si>
  <si>
    <t>MK-CF-F-161</t>
  </si>
  <si>
    <t>monthlyGrossOfSource</t>
  </si>
  <si>
    <t>── monthly cash-flow grid ─────────────────────────────────────────────────── Gross dollars a source delivers in each of the 12 months (lumpy items land on specific months; even cadences spread evenly).</t>
  </si>
  <si>
    <t>m = 12 slots, each 0
amt = gross amount − (operating expenses or 0)   if is rental(income type)
gross amount   otherwise
the answer = m</t>
  </si>
  <si>
    <t>M is 12 slots, each 0. Amt is gross amount minus (operating expenses or 0) — when is rental(income type); gross amount — otherwise. The answer is m.</t>
  </si>
  <si>
    <t>1. If landing month is missing it uses 12.
2. If landing month is missing it uses 1.
3. If operating expenses is missing it counts as zero, so nothing recorded and a real zero look the same.
4. Never lets month fall below 1.</t>
  </si>
  <si>
    <t>MK-CF-F-127 isRental → MK-CF-F-161 monthlyGrossOfSource</t>
  </si>
  <si>
    <t>MK-CF-F-162</t>
  </si>
  <si>
    <t>daysApart</t>
  </si>
  <si>
    <t>size of(the date a).get time() − new date(b) ÷ 86400000</t>
  </si>
  <si>
    <t>size of(the date a).get time() minus new date(b) divided by 86400000</t>
  </si>
  <si>
    <t>1. a: string
2. b: string</t>
  </si>
  <si>
    <t>1. Uses a built-in l a r g e m u l t i p l e of 3.
2. Uses a built-in l a r g e f l o o r of 500.
3. Uses a built-in l a r g e c o l d s t a r t of 1000.
4. Uses a built-in m i n h i s t o r y of 5.
5. Uses a built-in p a y e e f l o o r of 250.
6. Uses a built-in p a t t e r n c o u n t of 3.
7. Uses a built-in p a t t e r n t o t a l of 1000.
8. Uses a built-in h i s t o r y d a y s of 90.</t>
  </si>
  <si>
    <t>MK-CF-F-163</t>
  </si>
  <si>
    <t>monthKey</t>
  </si>
  <si>
    <t>src/domain/income/salary-months.ts</t>
  </si>
  <si>
    <t>'YYYY-MM' for a date, read from the local clock — never toISOString, which is UTC.</t>
  </si>
  <si>
    <t>`${get full year()}-${string(get month() + 1).pad start(2, '0')}`</t>
  </si>
  <si>
    <t>`${get full year()}-${string(get month() plus 1).pad start(2, '0')}`.</t>
  </si>
  <si>
    <t>d: Date</t>
  </si>
  <si>
    <t>MK-CF-F-164 monthWindow</t>
  </si>
  <si>
    <t>monthKey (already above — a loop) → MK-CF-F-164 monthWindow → MK-CF-F-163 monthKey</t>
  </si>
  <si>
    <t>MK-CF-F-164</t>
  </si>
  <si>
    <t>monthWindow</t>
  </si>
  <si>
    <t>`count` month keys starting `back` months before `from` — the shape the base-pay table needs.</t>
  </si>
  <si>
    <t>out = []
d = the date from.get full year(), from.get month() − back + i, 1
the answer = out</t>
  </si>
  <si>
    <t>Out is []. D: the date from.get full year(), from.get month() minus back plus i, 1. The answer is out.</t>
  </si>
  <si>
    <t>1. from: Date
2. back: number
3. count: number</t>
  </si>
  <si>
    <t>string[]</t>
  </si>
  <si>
    <t>MK-CF-F-163 monthKey</t>
  </si>
  <si>
    <t>monthWindow (already above — a loop) → MK-CF-F-163 monthKey → MK-CF-F-164 monthWindow</t>
  </si>
  <si>
    <t>MK-CF-F-165</t>
  </si>
  <si>
    <t>salaryMonths</t>
  </si>
  <si>
    <t>THE canonical table: month key → amount, whatever shape it was stored in.</t>
  </si>
  <si>
    <t>raw = (op ?? ({} as any)).salary by month
out = {}
y = now.get full year()
out = {}
[LOOP — the answer is found inside a loop the extractor cannot render; the steps above are the ones before it. Read by hand.]</t>
  </si>
  <si>
    <t>Raw is (op ?? ({} as any)).salary by month. Out is {}. The answer is out. Y is now.get full year(). Out is {}. The answer is found inside a loop that cannot be rendered here; read the code by hand.</t>
  </si>
  <si>
    <t>Record&lt;string, number&gt;</t>
  </si>
  <si>
    <t>MK-XS-F-122 n → MK-ST-F-052 toNum → MK-CF-F-165 salaryMonths</t>
  </si>
  <si>
    <t>MK-CF-F-166</t>
  </si>
  <si>
    <t>hasMonthlySalaryTable</t>
  </si>
  <si>
    <t>Did they tell us their pay varies month to month?</t>
  </si>
  <si>
    <t>object.keys(salary months(op)).length &gt; 0</t>
  </si>
  <si>
    <t>object.keys(salary months(op)).length &gt; 0.</t>
  </si>
  <si>
    <t>MK-CF-F-165 salaryMonths</t>
  </si>
  <si>
    <t>1. MK-CF-F-165 salaryMonths
2. MK-ST-F-052 toNum
3. MK-XS-F-122 n</t>
  </si>
  <si>
    <t>MK-XS-F-122 n → MK-ST-F-052 toNum → MK-CF-F-165 salaryMonths → MK-CF-F-166 hasMonthlySalaryTable</t>
  </si>
  <si>
    <t>MK-CF-F-167</t>
  </si>
  <si>
    <t>salaryCalendarYear</t>
  </si>
  <si>
    <t>One calendar year as twelve numbers, January first — the shape every existing caller expects.</t>
  </si>
  <si>
    <t>t = salary months(op, now)
k = `${year}-${string(i + 1).pad start(2, '0')}`
the answer:
t[k]   if k in t
fallback   otherwise</t>
  </si>
  <si>
    <t>T is salary months(op, now). K is `${year}-${string(i plus 1).pad start(2, '0')}`. The answer is t[k] — when k in t; fallback — otherwise.</t>
  </si>
  <si>
    <t>MK-XS-F-122 n → MK-ST-F-052 toNum → MK-CF-F-165 salaryMonths → MK-CF-F-167 salaryCalendarYear</t>
  </si>
  <si>
    <t>MK-CF-F-168</t>
  </si>
  <si>
    <t>salaryWindow</t>
  </si>
  <si>
    <t>The table as the base-pay screen shows it: [month key, amount] for a window of months.</t>
  </si>
  <si>
    <t>t = salary months(op, now)
the answer = for each of keys: [each, each in t ? t[each] : fallback]</t>
  </si>
  <si>
    <t>T is salary months(op, now). The answer is for each of keys: [each, each in t ? t[each] : fallback].</t>
  </si>
  <si>
    <t>1. MK-CF-F-132 map
2. MK-CF-F-165 salaryMonths</t>
  </si>
  <si>
    <t>1. MK-CF-F-132 map
2. MK-CF-F-165 salaryMonths
3. MK-ST-F-052 toNum
4. MK-XS-F-122 n</t>
  </si>
  <si>
    <t>1. MK-CF-F-132 map → MK-CF-F-168 salaryWindow
2. MK-XS-F-122 n → MK-ST-F-052 toNum → MK-CF-F-165 salaryMonths → MK-CF-F-168 salaryWindow</t>
  </si>
  <si>
    <t>MK-CF-F-169</t>
  </si>
  <si>
    <t>withSalaryMonth</t>
  </si>
  <si>
    <t>Write one month without disturbing the others.</t>
  </si>
  <si>
    <t>...salary months(op, now) = ...salary months(op, now)
[key]: to num(amount) = [key]: to num(amount)</t>
  </si>
  <si>
    <t>...salary months(op, now) = ...salary months(op, now); [key]: to num(amount) = [key]: to num(amount).</t>
  </si>
  <si>
    <t>1. MK-CF-F-165 salaryMonths
2. MK-ST-F-052 toNum</t>
  </si>
  <si>
    <t>1. MK-XS-F-122 n → MK-ST-F-052 toNum → MK-CF-F-165 salaryMonths → MK-CF-F-169 withSalaryMonth
2. MK-XS-F-122 n → MK-ST-F-052 toNum → MK-CF-F-169 withSalaryMonth</t>
  </si>
  <si>
    <t>MK-CF-F-170</t>
  </si>
  <si>
    <t>salaryYearFromCells</t>
  </si>
  <si>
    <t>A whole calendar year written at once — what today's twelve-cell grids save.</t>
  </si>
  <si>
    <t>out = {}
the answer = out</t>
  </si>
  <si>
    <t>Out is {}. The answer is out.</t>
  </si>
  <si>
    <t>1. cells: any[]
2. year: number</t>
  </si>
  <si>
    <t>MK-XS-F-122 n → MK-ST-F-052 toNum → MK-CF-F-170 salaryYearFromCells</t>
  </si>
  <si>
    <t>MK-CF-F-171</t>
  </si>
  <si>
    <t>earnerPay</t>
  </si>
  <si>
    <t>t = take home as entered(e)
annual = annualised gross(e)</t>
  </si>
  <si>
    <t>T is take home as entered(e). Annual is annualised gross(e).</t>
  </si>
  <si>
    <t>EarnerPay</t>
  </si>
  <si>
    <t>1. MK-CF-F-143 annualisedGross
2. MK-XS-F-180 declareFigures
3. MK-CF-F-145 deductionsFromPay
4. MK-CF-F-128 grossByMonth
5. MK-ST-F-053 money
6. MK-ST-F-039 on
7. MK-CF-F-146 payFiguresAgree
8. MK-CF-F-144 takeHomeAsEntered
9. MK-ST-F-052 toNum</t>
  </si>
  <si>
    <t>1. MK-CF-F-143 annualisedGross
2. MK-XS-F-180 declareFigures
3. MK-CF-F-145 deductionsFromPay
4. MK-CF-F-128 grossByMonth
5. MK-ST-F-053 money
6. MK-ST-F-039 on
7. MK-CF-F-146 payFiguresAgree
8. MK-CF-F-144 takeHomeAsEntered
9. MK-ST-F-052 toNum
10. MK-CF-F-142 monthsOf
11. MK-CF-F-141 perMonth
12. MK-ST-F-049 formatMoney
13. MK-XS-F-122 n
14. MK-ST-F-056 has
15. MK-CF-F-132 map
16. MK-CF-F-101 taxOwedFor
17. MK-ST-F-035 covers
18. MK-CF-F-140 periodsAYear
19. MK-ST-F-048 currencySymbol
20. MK-CF-F-100 taxableIncomeFor
21. MK-ST-F-034 firstDate
22. MK-ST-F-047 activeCurrency
23. MK-CF-F-099 deductionFor
24. MK-CF-F-187 seniorDeductionFor</t>
  </si>
  <si>
    <t>1. MK-ST-F-034 firstDate → MK-ST-F-035 covers → MK-CF-F-142 monthsOf → MK-CF-F-128 grossByMonth → MK-CF-F-143 annualisedGross → MK-CF-F-171 earnerPay
2. MK-CF-F-132 map → MK-CF-F-142 monthsOf → MK-CF-F-128 grossByMonth → MK-CF-F-143 annualisedGross → MK-CF-F-171 earnerPay
3. MK-XS-F-122 n → MK-ST-F-052 toNum → MK-CF-F-142 monthsOf → MK-CF-F-128 grossByMonth → MK-CF-F-143 annualisedGross → MK-CF-F-171 earnerPay
4. MK-CF-F-140 periodsAYear → MK-CF-F-141 perMonth → MK-CF-F-128 grossByMonth → MK-CF-F-143 annualisedGross → MK-CF-F-171 earnerPay
5. MK-XS-F-122 n → MK-ST-F-052 toNum → MK-CF-F-141 perMonth → MK-CF-F-128 grossByMonth → MK-CF-F-143 annualisedGross → MK-CF-F-171 earnerPay
6. MK-XS-F-180 declareFigures → MK-CF-F-171 earnerPay
7. MK-ST-F-035 covers → MK-CF-F-142 monthsOf → MK-CF-F-128 grossByMonth → MK-CF-F-143 annualisedGross → MK-CF-F-145 deductionsFromPay → MK-CF-F-171 earnerPay
8. MK-CF-F-132 map → MK-CF-F-142 monthsOf → MK-CF-F-128 grossByMonth → MK-CF-F-143 annualisedGross → MK-CF-F-145 deductionsFromPay → MK-CF-F-171 earnerPay
9. … and 5 more paths</t>
  </si>
  <si>
    <t>MK-CF-F-172</t>
  </si>
  <si>
    <t>hasWage</t>
  </si>
  <si>
    <t>src/domain/income/earners.ts</t>
  </si>
  <si>
    <t>the answer = w exists and (base salary &gt; 0 or the salary-by-month table has entries)</t>
  </si>
  <si>
    <t>Whether an earner record carries a wage at all — a base salary above zero, or a month-by-month salary table with at least one entry. No arithmetic.</t>
  </si>
  <si>
    <t>w: any</t>
  </si>
  <si>
    <t>MK-ST-F-056 has</t>
  </si>
  <si>
    <t>MK-ST-F-056 has → MK-CF-F-172 hasWage</t>
  </si>
  <si>
    <t>MK-CF-F-173</t>
  </si>
  <si>
    <t>earnerWages</t>
  </si>
  <si>
    <t>The wages this household actually has, in the order the screen shows them.</t>
  </si>
  <si>
    <t>a = op (or none when missing)
own = a
spouse = spouse wage (or nothing when missing)
who = who earns (or 'you' when missing)
out = [own]
the answer = out
[spouse as earner wage]   when who = 'partner' and has wage(spouse)</t>
  </si>
  <si>
    <t>A is op (or none — when missing). Own is a. Spouse is spouse wage (or no answer — when missing). Who is who earns (or 'you' — when missing). Out is [own]. The answer is out. When who = 'partner' and has wage(spouse), it answers [spouse as earner wage].</t>
  </si>
  <si>
    <t>EarnerWage[]</t>
  </si>
  <si>
    <t>MK-CF-F-172 hasWage</t>
  </si>
  <si>
    <t>1. MK-CF-F-172 hasWage
2. MK-ST-F-056 has</t>
  </si>
  <si>
    <t>MK-ST-F-056 has → MK-CF-F-172 hasWage → MK-CF-F-173 earnerWages</t>
  </si>
  <si>
    <t>MK-CF-F-174</t>
  </si>
  <si>
    <t>hasTwoEarners</t>
  </si>
  <si>
    <t>Does this household have a second wage on record?</t>
  </si>
  <si>
    <t>earner wages(op).length &gt; 1</t>
  </si>
  <si>
    <t>earner wages(op).length &gt; 1.</t>
  </si>
  <si>
    <t>MK-CF-F-173 earnerWages</t>
  </si>
  <si>
    <t>1. MK-CF-F-173 earnerWages
2. MK-CF-F-172 hasWage
3. MK-ST-F-056 has</t>
  </si>
  <si>
    <t>MK-ST-F-056 has → MK-CF-F-172 hasWage → MK-CF-F-173 earnerWages → MK-CF-F-174 hasTwoEarners</t>
  </si>
  <si>
    <t>MK-CF-F-175</t>
  </si>
  <si>
    <t>sumOverEarners</t>
  </si>
  <si>
    <t>Add up one number per earner.</t>
  </si>
  <si>
    <t>Σ over earner wages(op) of (of(each) (or 0 when missing or zero))</t>
  </si>
  <si>
    <t>the of(each) (or 0 — when missing or zero) added up across earner wages(op).</t>
  </si>
  <si>
    <t>1. op: OnboardingProfile | null
2. of: (w: EarnerWage) =&gt; number</t>
  </si>
  <si>
    <t>MK-ST-F-056 has → MK-CF-F-172 hasWage → MK-CF-F-173 earnerWages → MK-CF-F-175 sumOverEarners</t>
  </si>
  <si>
    <t>MK-CF-F-176</t>
  </si>
  <si>
    <t>sumMonthsOverEarners</t>
  </si>
  <si>
    <t>Add up twelve numbers per earner, month by month.</t>
  </si>
  <si>
    <t>rows = for each of earner wages(op): of
the answer = array.from({ length: 12 }, (_, i) =&gt; rows.reduce((t, r) =&gt; t + (r[i] or 0), 0))</t>
  </si>
  <si>
    <t>Rows is for each of earner wages(op): of. The answer is array.from({ length: 12 }, (_, i) =&gt; rows.reduce((t, r) =&gt; t plus (r[i] or 0), 0)).</t>
  </si>
  <si>
    <t>· If r[i] is missing it counts as zero, so nothing recorded and a real zero look the same.</t>
  </si>
  <si>
    <t>1. MK-CF-F-173 earnerWages
2. MK-CF-F-132 map</t>
  </si>
  <si>
    <t>1. MK-CF-F-173 earnerWages
2. MK-CF-F-132 map
3. MK-CF-F-172 hasWage
4. MK-ST-F-056 has</t>
  </si>
  <si>
    <t>1. MK-ST-F-056 has → MK-CF-F-172 hasWage → MK-CF-F-173 earnerWages → MK-CF-F-176 sumMonthsOverEarners
2. MK-CF-F-132 map → MK-CF-F-176 sumMonthsOverEarners</t>
  </si>
  <si>
    <t>MK-CF-F-177</t>
  </si>
  <si>
    <t>wageGrossByMonth</t>
  </si>
  <si>
    <t>ONE person's wage, month by month, January first.</t>
  </si>
  <si>
    <t>a = w (or none when missing)
has = has monthly salary table(a as any)
typical = entered monthly raw(a)
the answer = for each of raw: each</t>
  </si>
  <si>
    <t>A is w (or none — when missing). Has is has monthly salary table(a as any). Typical is entered monthly raw(a). The answer is for each of raw: each.</t>
  </si>
  <si>
    <t>w: Record&lt;string, any&gt; | null</t>
  </si>
  <si>
    <t>1. MK-CF-F-130 enteredMonthlyRaw
2. MK-CF-F-166 hasMonthlySalaryTable
3. MK-CF-F-132 map
4. MK-ST-F-036 reconcile
5. MK-CF-F-167 salaryCalendarYear</t>
  </si>
  <si>
    <t>1. MK-CF-F-130 enteredMonthlyRaw
2. MK-CF-F-166 hasMonthlySalaryTable
3. MK-CF-F-132 map
4. MK-ST-F-036 reconcile
5. MK-CF-F-167 salaryCalendarYear
6. MK-ST-F-052 toNum
7. MK-CF-F-165 salaryMonths
8. MK-XS-F-122 n</t>
  </si>
  <si>
    <t>1. MK-XS-F-122 n → MK-ST-F-052 toNum → MK-CF-F-130 enteredMonthlyRaw → MK-CF-F-177 wageGrossByMonth
2. MK-XS-F-122 n → MK-ST-F-052 toNum → MK-CF-F-165 salaryMonths → MK-CF-F-166 hasMonthlySalaryTable → MK-CF-F-177 wageGrossByMonth
3. MK-CF-F-132 map → MK-CF-F-177 wageGrossByMonth
4. MK-ST-F-036 reconcile → MK-CF-F-177 wageGrossByMonth
5. MK-XS-F-122 n → MK-ST-F-052 toNum → MK-CF-F-165 salaryMonths → MK-CF-F-167 salaryCalendarYear → MK-CF-F-177 wageGrossByMonth</t>
  </si>
  <si>
    <t>MK-CF-F-178</t>
  </si>
  <si>
    <t>wageMatchMonthly</t>
  </si>
  <si>
    <t>ONE person's employer match: a share of their own contribution, or a flat amount.</t>
  </si>
  <si>
    <t>a = w (or none when missing)
val = employer match value read as a number (0 when it is not one)
the answer:
(to num(c 401k) × val) ÷ 100   if employer match mode = 'pct'
val   otherwise</t>
  </si>
  <si>
    <t>A is w (or none — when missing). Val is employer match value read as a number (0 — when it is one is missing). The answer is (to num(c 401k) times val) divided by 100 — when employer match mode = 'pct'; val — otherwise.</t>
  </si>
  <si>
    <t>MK-XS-F-122 n → MK-ST-F-052 toNum → MK-CF-F-178 wageMatchMonthly</t>
  </si>
  <si>
    <t>MK-CF-F-179</t>
  </si>
  <si>
    <t>entryFromWage</t>
  </si>
  <si>
    <t>WHAT IS STORED → WHAT THIS FILE READS.</t>
  </si>
  <si>
    <t>a = w (or none when missing)
table = salary months(a as any)
varies = salary month mode = 'months' (or object.keys(table).length &gt; 0 when missing or zero)</t>
  </si>
  <si>
    <t>A is w (or none — when missing). Table is salary months(a as any). Varies is salary month mode = 'months' (or object.keys(table).length &gt; 0 — when missing or zero).</t>
  </si>
  <si>
    <t>w: Record&lt;string, any&gt; | null | undefined</t>
  </si>
  <si>
    <t>BasePayEntry</t>
  </si>
  <si>
    <t>MK-XS-F-122 n → MK-ST-F-052 toNum → MK-CF-F-165 salaryMonths → MK-CF-F-179 entryFromWage</t>
  </si>
  <si>
    <t>MK-CF-F-180</t>
  </si>
  <si>
    <t>enteredLandsAnnual</t>
  </si>
  <si>
    <t>src/domain/income/tax-rate.ts</t>
  </si>
  <si>
    <t>Every earner’s entered take-home, a year — or null when any of them did not say.</t>
  </si>
  <si>
    <t>wages = earner wages(op)
nothing   when count of wages is missing
total = 0
v = (w as any).lands typical read as a number (0 when it is not one)
nothing   when not (v &gt; 0)
[LOOP — the answer is found inside a loop the extractor cannot render; the steps above are the ones before it. Read by hand.]</t>
  </si>
  <si>
    <t>Wages is earner wages(op). When how many wages is missing there are, it answers no answer. Total is 0. V is (w as any).lands typical read as a number (0 — when it is one is missing). When not (v &gt; 0), it answers no answer. The answer is total. The answer is found inside a loop that cannot be rendered here; read the code by hand.</t>
  </si>
  <si>
    <t>· Uses a built-in total of 0.</t>
  </si>
  <si>
    <t>1. MK-CF-F-173 earnerWages
2. MK-ST-F-052 toNum</t>
  </si>
  <si>
    <t>1. MK-CF-F-173 earnerWages
2. MK-ST-F-052 toNum
3. MK-CF-F-172 hasWage
4. MK-XS-F-122 n
5. MK-ST-F-056 has</t>
  </si>
  <si>
    <t>1. MK-ST-F-056 has → MK-CF-F-172 hasWage → MK-CF-F-173 earnerWages → MK-CF-F-180 enteredLandsAnnual
2. MK-XS-F-122 n → MK-ST-F-052 toNum → MK-CF-F-180 enteredLandsAnnual</t>
  </si>
  <si>
    <t>MK-CF-F-181</t>
  </si>
  <si>
    <t>rateInForce</t>
  </si>
  <si>
    <t>THE ONE ANSWER every screen reads.</t>
  </si>
  <si>
    <t>a = op (or none when missing)
rate = min(max(to num(manual tax rate) ÷ 100, 0), 1)
gross = salary annual(op)
lands = entered lands annual(op)
k401 = Σ over earner wages(op) of (to num((each as any).c 401k) × 12)
out = max(0, gross − k401 − lands)
rate = min(max(out ÷ gross, 0), 1)
rate = effective rate on gross for(taxable annual(op), filing status of(op), state rate of(op), over65 count of(op))</t>
  </si>
  <si>
    <t>A is op (or none — when missing). Rate: the smaller of the larger of to num(manual tax rate) divided by 100 and 0 and 1. Gross is salary annual(op). Lands is entered lands annual(op). K401: the to num((each as any).c 401k) times 12 added up across earner wages(op). Out is gross minus k401 minus lands, never below zero. Rate: the smaller of the larger of out divided by gross and 0 and 1. Rate is effective rate on gross for(taxable annual(op), filing status of(op), state rate of(op), over65 count of(op)).</t>
  </si>
  <si>
    <t>RateInForce</t>
  </si>
  <si>
    <t>1. MK-CF-F-173 earnerWages
2. MK-CF-F-102 effectiveRateOnGrossFor
3. MK-CF-F-180 enteredLandsAnnual
4. MK-CF-F-085 filingStatusOf
5. MK-CF-F-089 over65CountOf
6. MK-CF-F-082 salaryAnnual
7. MK-CF-F-086 stateRateOf
8. MK-CF-F-084 taxableAnnual
9. MK-ST-F-052 toNum</t>
  </si>
  <si>
    <t>1. MK-CF-F-173 earnerWages
2. MK-CF-F-102 effectiveRateOnGrossFor
3. MK-CF-F-180 enteredLandsAnnual
4. MK-CF-F-085 filingStatusOf
5. MK-CF-F-089 over65CountOf
6. MK-CF-F-082 salaryAnnual
7. MK-CF-F-086 stateRateOf
8. MK-CF-F-084 taxableAnnual
9. MK-ST-F-052 toNum
10. MK-CF-F-172 hasWage
11. MK-CF-F-101 taxOwedFor
12. MK-CF-F-060 salaryGrossByMonth
13. MK-CF-F-072 currentRetirementIncomeMonthly
14. MK-CF-F-071 extraIncome
15. MK-CF-F-068 rentalNetAnnual
16. MK-CF-F-066 rsuAnnual
17. MK-CF-F-074 tipsAnnual
18. MK-XS-F-122 n
19. MK-ST-F-056 has
20. MK-CF-F-100 taxableIncomeFor
21. MK-CF-F-176 sumMonthsOverEarners
22. MK-CF-F-177 wageGrossByMonth
23. MK-CF-F-075 retirementIncomeMonthly
24. MK-CF-F-070 benefitAnnual
25. MK-ST-F-039 on
26. MK-CF-F-067 rentalList
27. MK-CF-F-062 equityRowValue
28. MK-CF-F-132 map
29. MK-CF-F-063 rowVestYear
30. MK-CF-F-081 salaryActiveMonths
31. MK-CF-F-099 deductionFor
32. MK-CF-F-130 enteredMonthlyRaw
33. MK-CF-F-166 hasMonthlySalaryTable
34. MK-ST-F-036 reconcile
35. MK-CF-F-167 salaryCalendarYear
36. MK-CF-F-069 benefitActiveMonths
37. MK-CF-F-187 seniorDeductionFor
38. MK-CF-F-165 salaryMonths</t>
  </si>
  <si>
    <t>1. MK-ST-F-056 has → MK-CF-F-172 hasWage → MK-CF-F-173 earnerWages → MK-CF-F-181 rateInForce
2. MK-CF-F-187 seniorDeductionFor → MK-CF-F-099 deductionFor → MK-CF-F-100 taxableIncomeFor → MK-CF-F-101 taxOwedFor → MK-CF-F-102 effectiveRateOnGrossFor → MK-CF-F-181 rateInForce
3. MK-ST-F-056 has → MK-CF-F-172 hasWage → MK-CF-F-173 earnerWages → MK-CF-F-180 enteredLandsAnnual → MK-CF-F-181 rateInForce
4. MK-XS-F-122 n → MK-ST-F-052 toNum → MK-CF-F-180 enteredLandsAnnual → MK-CF-F-181 rateInForce
5. MK-CF-F-085 filingStatusOf → MK-CF-F-181 rateInForce
6. MK-XS-F-122 n → MK-ST-F-052 toNum → MK-CF-F-089 over65CountOf → MK-CF-F-181 rateInForce
7. MK-CF-F-172 hasWage → MK-CF-F-173 earnerWages → MK-CF-F-176 sumMonthsOverEarners → MK-CF-F-060 salaryGrossByMonth → MK-CF-F-082 salaryAnnual → MK-CF-F-181 rateInForce
8. MK-CF-F-132 map → MK-CF-F-176 sumMonthsOverEarners → MK-CF-F-060 salaryGrossByMonth → MK-CF-F-082 salaryAnnual → MK-CF-F-181 rateInForce
9. … and 5 more paths</t>
  </si>
  <si>
    <t>MK-CF-F-182</t>
  </si>
  <si>
    <t>asPercent</t>
  </si>
  <si>
    <t>src/domain/income/from-accounts.ts</t>
  </si>
  <si>
    <t>A rate as the person would say it: 3.8%, not 0.038.</t>
  </si>
  <si>
    <t>the answer = (r × 100) followed by '%'</t>
  </si>
  <si>
    <t>A rate written the way a person says it: 0.038 becomes 3.8%. The hundred is the percent scale, not an option contract.</t>
  </si>
  <si>
    <t>r: number</t>
  </si>
  <si>
    <t>MK-CF-F-183</t>
  </si>
  <si>
    <t>paidOutByAccount</t>
  </si>
  <si>
    <t>What each account actually PAID OUT in the last year, by account.</t>
  </si>
  <si>
    <t>cutoff = iso local date(new date(now.get full year() − 1, now.get month(), now.get date()))
out = new map&lt;string, number&gt;()
id = string(account id ?? '')
the answer = out</t>
  </si>
  <si>
    <t>Cutoff is iso local date(new date(now.get full year() minus 1, now.get month(), now.get date())). Out is new map&lt;string, number&gt;(). Id is string(account id ?? ''). The answer is out.</t>
  </si>
  <si>
    <t>1. txns: any[] | null | undefined
2. now: Date</t>
  </si>
  <si>
    <t>· If amount is missing it counts as zero, so nothing recorded and a real zero look the same.</t>
  </si>
  <si>
    <t>MK-ST-F-065 isoLocalDate</t>
  </si>
  <si>
    <t>MK-ST-F-065 isoLocalDate → MK-CF-F-183 paidOutByAccount</t>
  </si>
  <si>
    <t>MK-CF-F-184</t>
  </si>
  <si>
    <t>incomeFromAccounts</t>
  </si>
  <si>
    <t>One line per account that pays something, and the total.</t>
  </si>
  <si>
    <t>paid = paid out by account(transactions, now)
lines = []
unseen = []
cls = asset class of(a)
label = string((a as any).label or (a as any).institution or 'Account')
balance = (a as any).balance (or 0 when missing or zero)
rate = (a as any).coupon rate (or 0 when missing or zero)
actual = paid.get(string((a as any).asset id ?? ''))
face = (a as any).face value (or 0 when missing or zero)</t>
  </si>
  <si>
    <t>Paid is paid out by account(transactions, now). Lines is []. Unseen is []. Cls is asset class of(a). Label is string((a as any).label or (a as any).institution or 'Account'). Balance is (a as any).balance (or 0 — when missing or zero). Rate is (a as any).coupon rate (or 0 — when missing or zero). Actual is paid.get(string((a as any).asset id ?? '')). Face is (a as any).face value (or 0 — when missing or zero).</t>
  </si>
  <si>
    <t>"Dividends, interest &amp; coupons" — on the Income manager screen, under "INVESTMENT INCOME"</t>
  </si>
  <si>
    <t>1. If balance is missing it counts as zero, so nothing recorded and a real zero look the same.
2. If coupon rate is missing it counts as zero, so nothing recorded and a real zero look the same.
3. If face value is missing it counts as zero, so nothing recorded and a real zero look the same.
4. Uses today's date from the device clock, so the answer changes by itself overnight.</t>
  </si>
  <si>
    <t>1. MK-CF-F-182 asPercent
2. MK-NW-F-011 assetClassOf
3. MK-ST-F-053 money
4. MK-CF-F-183 paidOutByAccount</t>
  </si>
  <si>
    <t>1. MK-CF-F-182 asPercent
2. MK-NW-F-011 assetClassOf
3. MK-ST-F-053 money
4. MK-CF-F-183 paidOutByAccount
5. MK-NW-F-008 incomeBearingClassOf
6. MK-ST-F-049 formatMoney
7. MK-XS-F-122 n
8. MK-ST-F-065 isoLocalDate
9. MK-CF-F-155 cash
10. MK-ST-F-010 nameEvidence
11. MK-ST-F-048 currencySymbol
12. MK-ST-F-039 on
13. MK-XS-F-147 call
14. MK-ST-F-056 has
15. MK-CF-F-132 map
16. MK-ST-F-047 activeCurrency
17. MK-ST-F-027 accountId
18. MK-XS-F-064 currentIdToken
19. MK-XS-F-112 relayUrl</t>
  </si>
  <si>
    <t>1. MK-CF-F-182 asPercent → MK-CF-F-184 incomeFromAccounts
2. MK-XS-F-122 n → MK-CF-F-155 cash → MK-NW-F-008 incomeBearingClassOf → MK-NW-F-011 assetClassOf → MK-CF-F-184 incomeFromAccounts
3. MK-ST-F-027 accountId → MK-XS-F-147 call → MK-ST-F-010 nameEvidence → MK-NW-F-008 incomeBearingClassOf → MK-NW-F-011 assetClassOf → MK-CF-F-184 incomeFromAccounts
4. MK-XS-F-064 currentIdToken → MK-XS-F-147 call → MK-ST-F-010 nameEvidence → MK-NW-F-008 incomeBearingClassOf → MK-NW-F-011 assetClassOf → MK-CF-F-184 incomeFromAccounts
5. MK-XS-F-112 relayUrl → MK-XS-F-147 call → MK-ST-F-010 nameEvidence → MK-NW-F-008 incomeBearingClassOf → MK-NW-F-011 assetClassOf → MK-CF-F-184 incomeFromAccounts
6. MK-ST-F-056 has → MK-ST-F-010 nameEvidence → MK-NW-F-008 incomeBearingClassOf → MK-NW-F-011 assetClassOf → MK-CF-F-184 incomeFromAccounts
7. MK-CF-F-132 map → MK-ST-F-010 nameEvidence → MK-NW-F-008 incomeBearingClassOf → MK-NW-F-011 assetClassOf → MK-CF-F-184 incomeFromAccounts
8. MK-ST-F-047 activeCurrency → MK-ST-F-048 currencySymbol → MK-ST-F-049 formatMoney → MK-ST-F-053 money → MK-CF-F-184 incomeFromAccounts
9. … and 4 more paths</t>
  </si>
  <si>
    <t>TESTED, NOT VERIFIED (A46)</t>
  </si>
  <si>
    <t>MK-CF-F-185</t>
  </si>
  <si>
    <t>needsTakeHomeConversion</t>
  </si>
  <si>
    <t>src/domain/income/take-home-mode-migration.ts</t>
  </si>
  <si>
    <t>True when this profile still holds a pre-2026-08-28 take-home entry.</t>
  </si>
  <si>
    <t>(op as any).salary mode = 'takehome' and to num((op as any).base salary) &gt; 0</t>
  </si>
  <si>
    <t>(op as any).salary mode = 'takehome' and to num((op as any).base salary) &gt; 0.</t>
  </si>
  <si>
    <t>MK-XS-F-122 n → MK-ST-F-052 toNum → MK-CF-F-185 needsTakeHomeConversion</t>
  </si>
  <si>
    <t>MK-CF-F-186</t>
  </si>
  <si>
    <t>convertTakeHomeMode</t>
  </si>
  <si>
    <t>Convert it. What they typed becomes what LANDS; the gross is worked back once and stored.</t>
  </si>
  <si>
    <t>op   when !needs take home conversion(op as any)
periods = PERIODS[string(op.salary freq ?? 'monthly')] (or 12 when missing)
net per period = op.base salary read as a number (0 when it is not one)
net annual = net per period × periods
gross annual = gross from net(net annual, filing status of(op as any), over65 count of(op as any))</t>
  </si>
  <si>
    <t>When !needs take home conversion(op as any), it answers op. Periods is PERIODS[string(op.salary freq ?? 'monthly')] (or 12 — when missing). Net per period is op.base salary read as a number (0 — when it is one is missing). Net annual is net per period times periods. Gross annual is gross from net(net annual, filing status of(op as any), over65 count of(op as any)).</t>
  </si>
  <si>
    <t>op: T</t>
  </si>
  <si>
    <t>T</t>
  </si>
  <si>
    <t>1. MK-CF-F-085 filingStatusOf
2. MK-CF-F-097 grossFromNet
3. MK-CF-F-185 needsTakeHomeConversion
4. MK-CF-F-089 over65CountOf
5. MK-ST-F-052 toNum</t>
  </si>
  <si>
    <t>1. MK-CF-F-085 filingStatusOf
2. MK-CF-F-097 grossFromNet
3. MK-CF-F-185 needsTakeHomeConversion
4. MK-CF-F-089 over65CountOf
5. MK-ST-F-052 toNum
6. MK-CF-F-101 taxOwedFor
7. MK-XS-F-122 n
8. MK-CF-F-100 taxableIncomeFor
9. MK-CF-F-099 deductionFor
10. MK-CF-F-187 seniorDeductionFor</t>
  </si>
  <si>
    <t>1. MK-CF-F-085 filingStatusOf → MK-CF-F-186 convertTakeHomeMode
2. MK-CF-F-187 seniorDeductionFor → MK-CF-F-099 deductionFor → MK-CF-F-100 taxableIncomeFor → MK-CF-F-101 taxOwedFor → MK-CF-F-097 grossFromNet → MK-CF-F-186 convertTakeHomeMode
3. MK-XS-F-122 n → MK-ST-F-052 toNum → MK-CF-F-185 needsTakeHomeConversion → MK-CF-F-186 convertTakeHomeMode
4. MK-XS-F-122 n → MK-ST-F-052 toNum → MK-CF-F-089 over65CountOf → MK-CF-F-186 convertTakeHomeMode
5. MK-XS-F-122 n → MK-ST-F-052 toNum → MK-CF-F-186 convertTakeHomeMode</t>
  </si>
  <si>
    <t>seniorDeductionFor</t>
  </si>
  <si>
    <t>How much of the $6,000-per-person senior deduction does this return get?</t>
  </si>
  <si>
    <t>0   when the tax year is outside 2025–2028, or filing separately, or nobody on the return is 65+, or the income is not known
people = min(2, over65)
full = people × $6,000
the answer = max(0, full − 6% × max(0, magi − start))   start = $75,000 single / head of household · $150,000 married</t>
  </si>
  <si>
    <t>Nothing when the year is outside 2025 to 2028, when the person files separately, when nobody on the return is 65 or older, or when the income is not known. Otherwise $6,000 for each person 65 or older (at most two), reduced by six cents for every dollar of income above $75,000 ($150,000 on a joint return), and never below zero.</t>
  </si>
  <si>
    <t>1. Never lets over65 fall below 0.
2. Uses the published figures: $6,000 per person 65+, phased out at 6% above $75,000 ($150,000 joint), 2025–2028 (P.L. 119-21 §70103; checked 2026-09-08; lapses after 2028 — the statutory test fails when the tax year rolls past it).
3. Takes the income handed to it as modified adjusted gross income — the untaxed part of Social Security and other adjustments are not modelled.
4. Income not known → 0, never a guessed deduction.</t>
  </si>
  <si>
    <t>TESTED, NOT VERIFIED (Brief E8, G3)</t>
  </si>
  <si>
    <t>MK-CF-F-188</t>
  </si>
  <si>
    <t>householdPreTaxContributionsAnnual</t>
  </si>
  <si>
    <t>The household's pre-tax 401(k) contributions for the year — every earner's, added up.</t>
  </si>
  <si>
    <t>Σ over every earner of (monthly 401(k) contribution) × 12</t>
  </si>
  <si>
    <t>Every earner's monthly 401(k) contribution, added up and taken as running all twelve months.</t>
  </si>
  <si>
    <t>1. Turns a monthly figure into a year by multiplying by twelve.
2. Twelve equal months — a contribution entered monthly is taken as running all year.</t>
  </si>
  <si>
    <t>1. MK-CF-F-175 sumOverEarners
2. MK-ST-F-052 toNum</t>
  </si>
  <si>
    <t>1. MK-CF-F-175 sumOverEarners
2. MK-ST-F-052 toNum
3. MK-CF-F-173 earnerWages
4. MK-XS-F-122 n
5. MK-CF-F-172 hasWage
6. MK-ST-F-056 has</t>
  </si>
  <si>
    <t>1. MK-ST-F-056 has → MK-CF-F-172 hasWage → MK-CF-F-173 earnerWages → MK-CF-F-175 sumOverEarners → MK-CF-F-188 householdPreTaxContributionsAnnual
2. MK-XS-F-122 n → MK-ST-F-052 toNum → MK-CF-F-188 householdPreTaxContributionsAnnual</t>
  </si>
  <si>
    <t>TESTED, NOT VERIFIED (G22 / Q46)</t>
  </si>
  <si>
    <t>MoneyKeel/functions/cashflow/essentials.ts</t>
  </si>
  <si>
    <t>What does a month actually cost, from what has been logged?</t>
  </si>
  <si>
    <t>window = the 12 complete calendar months before the current month
counted = the months in that window with at least one logged entry (every category — debt payments and big items included)
monthly = Σ amounts in the counted months ÷ number of counted months
if no complete month has an entry but the current month does: monthly = the current month's total, counted = 1
nothing when no month has an entry
label = "&lt;counted&gt; month average"</t>
  </si>
  <si>
    <t>Look at the twelve finished months before this one. Add up everything logged in the months that have anything logged — mortgage, debt payments and big one-offs included — and divide by how many of those months there are. Say how many: '7 month average'. If only the current month has entries, use it alone and say so. With nothing logged there is no answer.</t>
  </si>
  <si>
    <t>1. expenses: LoggedSpend[]
2. now: Date = new Date()</t>
  </si>
  <si>
    <t>EssentialsAverage | null</t>
  </si>
  <si>
    <t>1. Uses a built-in k of 12.
2. Uses today's date from the device clock, so the answer changes by itself overnight.
3. Founder ruling brief Q-21 (2026-08-20): the average of ACTUAL logged expenses, mortgage and big items included — never the typed plan when logs exist.
4. Founder ruling Q47 (2026-09-08): fewer than 12 months logged → the average over the months logged, and the label says how many.
5. ASSUMPTION (mine, 2026-09-08, stated for the founder's ruling): the current, unfinished month is left out — a month three days old would drag the average down — unless it is the only month with entries.</t>
  </si>
  <si>
    <t>1. MK-ST-F-056 has
2. MK-XS-F-122 n
3. MK-ST-F-052 toNum
4. MK-CF-F-191 ym</t>
  </si>
  <si>
    <t>1. MK-ST-F-056 has → MK-CF-F-189 essentialsFromLoggedSpending
2. MK-XS-F-122 n → MK-CF-F-189 essentialsFromLoggedSpending
3. MK-XS-F-122 n → MK-ST-F-052 toNum → MK-CF-F-189 essentialsFromLoggedSpending
4. MK-CF-F-191 ym → MK-CF-F-189 essentialsFromLoggedSpending</t>
  </si>
  <si>
    <t>MK-MN-M-020 · MK-MN-M-021</t>
  </si>
  <si>
    <t>The one essentials-a-month figure a screen divides by, and where it came from.</t>
  </si>
  <si>
    <t>logged = essentials from logged expenses(expenses, now)
logged exists → monthly = logged.monthly, basis 'logged', label = logged.label
otherwise, typed &gt; 0 → monthly = typed, basis 'entered', label 'you entered'
otherwise nothing — the screen shows its door, never a made-up number</t>
  </si>
  <si>
    <t>The logged average when any month is logged; otherwise the figure the person typed, labelled 'you entered'; otherwise nothing.</t>
  </si>
  <si>
    <t>1. expenses: LoggedSpend[]
2. typed: number
3. now: Date = new Date()</t>
  </si>
  <si>
    <t>EssentialsMonthly | null</t>
  </si>
  <si>
    <t>1. Uses today's date from the device clock, so the answer changes by itself overnight.
2. Logged expenses outranks the typed figure whenever a month is logged (brief Q-21 (2026-08-20)); the typed figure is used only when nothing is logged, and it is labelled 'you entered'.</t>
  </si>
  <si>
    <t>MK-CF-F-189 essentialsFromLoggedSpending</t>
  </si>
  <si>
    <t>1. MK-CF-F-189 essentialsFromLoggedSpending
2. MK-ST-F-056 has
3. MK-XS-F-122 n
4. MK-ST-F-052 toNum
5. MK-CF-F-191 ym</t>
  </si>
  <si>
    <t>1. MK-ST-F-056 has → MK-CF-F-189 essentialsFromLoggedSpending → MK-CF-F-190 essentialsMonthly
2. MK-XS-F-122 n → MK-CF-F-189 essentialsFromLoggedSpending → MK-CF-F-190 essentialsMonthly
3. MK-XS-F-122 n → MK-ST-F-052 toNum → MK-CF-F-189 essentialsFromLoggedSpending → MK-CF-F-190 essentialsMonthly
4. MK-CF-F-191 ym → MK-CF-F-189 essentialsFromLoggedSpending → MK-CF-F-190 essentialsMonthly</t>
  </si>
  <si>
    <t>MK-MN-M-024 · MK-MN-M-025 · MK-MN-M-026 · MK-NW-M-013 · MK-NW-M-014</t>
  </si>
  <si>
    <t>MK-CF-F-191</t>
  </si>
  <si>
    <t>ym</t>
  </si>
  <si>
    <t>the answer = 'YYYY-MM' from the date's year and month</t>
  </si>
  <si>
    <t>The month text 'YYYY-MM' for a date. No arithmetic.</t>
  </si>
  <si>
    <t>MK-CF-F-192</t>
  </si>
  <si>
    <t>inflowLabel</t>
  </si>
  <si>
    <t>The inflow line names what is inside it — founder's cluster #5 ruling (2026-09-10): the words in the brackets are the sources, "Inflow (income (take-home) + rent)".</t>
  </si>
  <si>
    <t>words = []
w = inflow source word(s)
the answer = `${prefix} (${words.join(' + ')})`</t>
  </si>
  <si>
    <t>Words is []. W is inflow source word(s). The answer is `${prefix} (${words.join(' plus ')})`.</t>
  </si>
  <si>
    <t>1. prefix: 'Inflow' | 'Actual inflow' | 'Planned inflow'
2. sources?: string[]</t>
  </si>
  <si>
    <t>MK-CF-F-193 inflowSourceWord</t>
  </si>
  <si>
    <t>MK-CF-F-193 inflowSourceWord → MK-CF-F-192 inflowLabel</t>
  </si>
  <si>
    <t>TESTED, NOT VERIFIED (Synonym cluster #5)</t>
  </si>
  <si>
    <t>MK-CF-F-193</t>
  </si>
  <si>
    <t>inflowSourceWord</t>
  </si>
  <si>
    <t>One source of money arriving, as the bracket says it: pay is "income (take-home)", a rental is "rent", Social Security keeps its name, anything else is its own name in lower case.</t>
  </si>
  <si>
    <t>s = source.trim().to lower case()
'income (take − home)'   when starts with('salary') (or starts with('base salary') (or starts with('paycheck') (or s = 'income (take − home)' when missing or zero) when missing or zero) when missing or zero)
'rent'   when starts with('rental') (or s = 'rent' when missing or zero)
'social Security'   when starts with('social security')
the answer = replace( ÷ \(. × \)$ ÷ , '')</t>
  </si>
  <si>
    <t>S is source.trim().to lower case(). When starts with('salary') (or starts with('base salary') (or starts with('paycheck') (or s = 'income (take minus home)' — when missing or zero) — when missing or zero) — when missing or zero), it answers 'income (take minus home)'. When starts with('rental') (or s = 'rent' — when missing or zero), it answers 'rent'. When starts with('social security'), it answers 'social Security'. The answer is replace( divided by \(. times \)$ divided by , '').</t>
  </si>
  <si>
    <t>source: string</t>
  </si>
  <si>
    <t>monthOutflow</t>
  </si>
  <si>
    <t>THE MONTH'S OUTFLOW — expenses plus the debt actually paid — from one place.</t>
  </si>
  <si>
    <t>(snap.expenses ?? 0) + (snap.debt paid ?? 0)   if snap
logged so far   otherwise</t>
  </si>
  <si>
    <t>(snap.expenses ?? 0) plus (snap.debt paid ?? 0) — when snap; logged so far — otherwise.</t>
  </si>
  <si>
    <t>1. snap: { expenses?: number | null; debt_paid?: number | null } | null | undefined
2. loggedSoFar: number</t>
  </si>
  <si>
    <t>"Outflow (expenses + debt)" — on the Cash flow screen, under "YOUR BUDGET"</t>
  </si>
  <si>
    <t>1. If expenses is missing it uses 0.
2. If debt paid is missing it uses 0.</t>
  </si>
  <si>
    <t>TESTED, NOT VERIFIED (G12)</t>
  </si>
  <si>
    <t>MK-CF-F-195</t>
  </si>
  <si>
    <t>monthsLeftInYear</t>
  </si>
  <si>
    <t>Months left in the year INCLUDING the current one — December counts as 1, never 0.</t>
  </si>
  <si>
    <t>max(1, 12 − now.get month())</t>
  </si>
  <si>
    <t>the larger of 1 and 12 minus now.get month().</t>
  </si>
  <si>
    <t>now: Date = new Date()</t>
  </si>
  <si>
    <t>1. Uses today's date from the device clock, so the answer changes by itself overnight.
2. The current month counts as remaining, so December divides by 1 (G36, founder 2026-09-12).</t>
  </si>
  <si>
    <t>TESTED, NOT VERIFIED (G36)</t>
  </si>
  <si>
    <t>MK-CF-F-196</t>
  </si>
  <si>
    <t>perMonthToFill</t>
  </si>
  <si>
    <t>What to put in each remaining month to use the room left this year, rounded to $100 for display.</t>
  </si>
  <si>
    <t>round(room left ÷ months left in year(now) ÷ 100) × 100</t>
  </si>
  <si>
    <t>room left divided by months left in year(now, to a whole number divided by 100) times 100.</t>
  </si>
  <si>
    <t>1. roomLeft: number
2. now: Date = new Date()</t>
  </si>
  <si>
    <t>1. Uses today's date from the device clock, so the answer changes by itself overnight.
2. Rounds the answer to a whole number.</t>
  </si>
  <si>
    <t>MK-CF-F-195 monthsLeftInYear</t>
  </si>
  <si>
    <t>MK-CF-F-195 monthsLeftInYear → MK-CF-F-196 perMonthToFill</t>
  </si>
  <si>
    <t>MK-CF-F-197</t>
  </si>
  <si>
    <t>ageAttainedInYear</t>
  </si>
  <si>
    <t>THE AGE THE LIMITS USE — the age a person attains at any time in the calendar year, which is this year minus the birth year.</t>
  </si>
  <si>
    <t>y = birth year read as a number
nothing   when y is missing (or !number.is finite(y) (or y &lt; 1900 when missing or zero) when missing or zero)
the answer = now.get full year() − y</t>
  </si>
  <si>
    <t>Y is birth year read as a number. When y is missing (or !number.is finite(y) (or y &lt; 1900 — when missing or zero) — when missing or zero), it answers no answer. The answer is now.get full year() minus y.</t>
  </si>
  <si>
    <t>1. birthYear: number | null | undefined
2. now: Date = new Date()</t>
  </si>
  <si>
    <t>1. "Claim at age" — on the Retirement cockpit screen
2. "Estimated benefit" — on the Retirement cockpit screen
3. "Healthcare:" — on the Retirement cockpit screen
4. "Plan to age" — on the Retirement cockpit screen, under "scRetired ?"
5. "Required Minimum Distributions" — on the Retirement cockpit screen
6. "Retire at age" — on the Retirement cockpit screen, under "scRetired ?"</t>
  </si>
  <si>
    <t>1. Uses today's date from the device clock, so the answer changes by itself overnight.
2. The IRS convention for limits: a person attains an age at any point in the calendar year, so this year − birth year — not the birthday-aware age used for display (G1 / G9).</t>
  </si>
  <si>
    <t>MK-CF-F-198</t>
  </si>
  <si>
    <t>payrollTaxWithheld</t>
  </si>
  <si>
    <t>w = max(0, wage annual)
the answer = min(w, SS_WAGE_BASE) × 0.062 + w × 0.0145 + max(0, w − MEDICARE_ADDITIONAL_THRESHOLD) × 0.009</t>
  </si>
  <si>
    <t>W is wage annual, never below zero. The answer: the smaller of w and SS_WAGE_BASE times 0.062 plus w times 0.0145 plus w minus MEDICARE_ADDITIONAL_THRESHOLD, never below zero times 0.009.</t>
  </si>
  <si>
    <t>wageAnnual: number</t>
  </si>
  <si>
    <t>1. Applies a built-in rate of 1.45% to w.
2. Never lets wage annual fall below 0.
3. G4 (founder agreed 2026-09-12): per earner, 6.2% of the wage up to the Social Security wage base ($184,500 in 2026), 1.45% of the whole wage, and 0.9% more above $200,000 — what a paycheck withholds. It is NEVER deducted from the take-home estimate; it sizes the sentence "the take-home above is higher than it will really be, by roughly $X a month".</t>
  </si>
  <si>
    <t>profile = profile
status = filing status (or 'single' when missing)
over65 = over65 (or 0 when missing)
pre rate = rate in force(profile ?? nothing)
gross annual = Σ over earners of (pay.gross annualised)
lands in bank = Σ over earners of (pay.lands in bank)
first wage = earners[0].pay.gross annualised (or 0 when missing)
band on one wage = marginal bracket for(first wage, status, over65)
band on every wage = marginal bracket for(gross annual, status, over65)
band note = nothing
wrong = (gross annual × band on one wage) ÷ 12
… the first steps only — the rest of the body needs reading by hand.</t>
  </si>
  <si>
    <t>Profile is profile. Status is filing status (or 'single' — when missing). Over65 is over65 (or 0 — when missing). Pre rate is rate in force(profile ?? no answer). Gross annual: the pay.gross annualised added up across earners. Lands in bank: the pay.lands in bank added up across earners. First wage is earners[0].pay.gross annualised (or 0 — when missing). Band on one wage is marginal bracket for(first wage, status, over65). Band on every wage is marginal bracket for(gross annual, status, over65). Band note is no answer. Wrong is (gross annual times band on one wage) divided by 12. Only the first steps are shown; the rest of the body needs reading by hand.</t>
  </si>
  <si>
    <t>h: HouseholdPayInput</t>
  </si>
  <si>
    <t>BasePay</t>
  </si>
  <si>
    <t>1. "Calculated federal tax" — on the base pay screen
2. "Each person’s pay" — on the base pay screen
3. "Everything else taken out" — on the base pay screen
4. "Federal tax bracket" — on the base pay screen
5. "Gross /year" — on the base pay screen
6. "Your 401(k)s" — on the base pay screen</t>
  </si>
  <si>
    <t>1. If over65 is missing it uses 0.
2. If gross annualised is missing it uses 0.
3. Uses a built-in f i c a s h a r e of 7.65%.
4. Rounds the answer to a whole number.</t>
  </si>
  <si>
    <t>1. MK-ST-F-035 covers
2. MK-CF-F-171 earnerPay
3. MK-CF-F-132 map
4. MK-CF-F-103 marginalBracketFor
5. MK-ST-F-053 money
6. MK-HM-F-006 money0
7. MK-XS-F-122 n
8. MK-CF-F-198 payrollTaxWithheld
9. MK-CF-F-181 rateInForce</t>
  </si>
  <si>
    <t>1. MK-ST-F-035 covers
2. MK-CF-F-171 earnerPay
3. MK-CF-F-132 map
4. MK-CF-F-103 marginalBracketFor
5. MK-ST-F-053 money
6. MK-HM-F-006 money0
7. MK-XS-F-122 n
8. MK-CF-F-198 payrollTaxWithheld
9. MK-CF-F-181 rateInForce
10. MK-ST-F-034 firstDate
11. MK-CF-F-143 annualisedGross
12. MK-XS-F-180 declareFigures
13. MK-CF-F-145 deductionsFromPay
14. MK-CF-F-128 grossByMonth
15. MK-ST-F-039 on
16. MK-CF-F-146 payFiguresAgree
17. MK-CF-F-144 takeHomeAsEntered
18. MK-ST-F-052 toNum
19. MK-CF-F-100 taxableIncomeFor
20. MK-ST-F-049 formatMoney
21. MK-CF-F-155 cash
22. MK-HM-F-005 pctTxt
23. MK-CF-F-173 earnerWages
24. MK-CF-F-102 effectiveRateOnGrossFor
25. MK-CF-F-180 enteredLandsAnnual
26. MK-CF-F-085 filingStatusOf
27. MK-CF-F-089 over65CountOf
28. MK-CF-F-082 salaryAnnual
29. MK-CF-F-086 stateRateOf
30. MK-CF-F-084 taxableAnnual
31. MK-CF-F-142 monthsOf
32. MK-CF-F-141 perMonth
33. MK-ST-F-056 has
34. MK-CF-F-101 taxOwedFor
35. MK-CF-F-099 deductionFor
36. MK-ST-F-048 currencySymbol
37. MK-CF-F-172 hasWage
38. MK-CF-F-060 salaryGrossByMonth
39. MK-CF-F-072 currentRetirementIncomeMonthly
40. MK-CF-F-071 extraIncome
41. MK-CF-F-068 rentalNetAnnual
42. MK-CF-F-066 rsuAnnual
43. MK-CF-F-074 tipsAnnual
44. MK-CF-F-140 periodsAYear
45. MK-CF-F-187 seniorDeductionFor
46. MK-ST-F-047 activeCurrency
47. MK-CF-F-176 sumMonthsOverEarners
48. MK-CF-F-177 wageGrossByMonth
49. MK-CF-F-075 retirementIncomeMonthly
50. MK-CF-F-070 benefitAnnual
51. MK-CF-F-067 rentalList
52. MK-CF-F-062 equityRowValue
53. MK-CF-F-063 rowVestYear
54. MK-CF-F-081 salaryActiveMonths
55. MK-CF-F-130 enteredMonthlyRaw
56. MK-CF-F-166 hasMonthlySalaryTable
57. MK-ST-F-036 reconcile
58. MK-CF-F-167 salaryCalendarYear
59. MK-CF-F-069 benefitActiveMonths
60. MK-CF-F-165 salaryMonths</t>
  </si>
  <si>
    <t>1. MK-ST-F-034 firstDate → MK-ST-F-035 covers → MK-CF-O-001 basePay
2. MK-ST-F-035 covers → MK-CF-F-142 monthsOf → MK-CF-F-128 grossByMonth → MK-CF-F-143 annualisedGross → MK-CF-F-171 earnerPay → MK-CF-O-001 basePay
3. MK-CF-F-132 map → MK-CF-F-142 monthsOf → MK-CF-F-128 grossByMonth → MK-CF-F-143 annualisedGross → MK-CF-F-171 earnerPay → MK-CF-O-001 basePay
4. MK-ST-F-052 toNum → MK-CF-F-142 monthsOf → MK-CF-F-128 grossByMonth → MK-CF-F-143 annualisedGross → MK-CF-F-171 earnerPay → MK-CF-O-001 basePay
5. MK-CF-F-140 periodsAYear → MK-CF-F-141 perMonth → MK-CF-F-128 grossByMonth → MK-CF-F-143 annualisedGross → MK-CF-F-171 earnerPay → MK-CF-O-001 basePay
6. MK-ST-F-052 toNum → MK-CF-F-141 perMonth → MK-CF-F-128 grossByMonth → MK-CF-F-143 annualisedGross → MK-CF-F-171 earnerPay → MK-CF-O-001 basePay
7. MK-XS-F-180 declareFigures → MK-CF-F-171 earnerPay → MK-CF-O-001 basePay
8. MK-CF-F-142 monthsOf → MK-CF-F-128 grossByMonth → MK-CF-F-143 annualisedGross → MK-CF-F-145 deductionsFromPay → MK-CF-F-171 earnerPay → MK-CF-O-001 basePay
9. … and 5 more paths</t>
  </si>
  <si>
    <t>MK-CF-M-030 · MK-CF-M-031 · MK-CF-M-032 · MK-CF-M-033 · MK-CF-M-034 · MK-CF-M-035 · MK-CF-M-036 · MK-CF-M-045 · MK-CF-M-046</t>
  </si>
  <si>
    <t>TESTED, NOT VERIFIED (G4)</t>
  </si>
  <si>
    <t>MK-CF-O-002</t>
  </si>
  <si>
    <t>spending</t>
  </si>
  <si>
    <t>rec = recurring debt payments(s)
act = actual expenses(s)
debt exp = debt payments counted as expenses(s, purchases captured)</t>
  </si>
  <si>
    <t>Rec is recurring debt payments(s). Act is actual expenses(s). Debt exp is debt payments counted as expenses(s, purchases captured).</t>
  </si>
  <si>
    <t>Expenses</t>
  </si>
  <si>
    <t>1. MK-CF-F-151 actualSpending
2. MK-CF-F-150 debtPaymentsCountedAsExpenses
3. MK-CF-F-153 radar
4. MK-CF-F-149 recurringDebtPayments</t>
  </si>
  <si>
    <t>1. MK-CF-F-151 actualSpending
2. MK-CF-F-150 debtPaymentsCountedAsExpenses
3. MK-CF-F-153 radar
4. MK-CF-F-149 recurringDebtPayments
5. MK-CF-F-148 inMonth
6. MK-ST-F-052 toNum
7. MK-CF-F-191 ym
8. MK-ST-F-056 has
9. MK-CF-F-022 paymentShape
10. MK-CF-F-152 isRadarItem
11. MK-CF-F-023 requiredPayment
12. MK-CF-F-132 map
13. MK-XS-F-122 n
14. MK-CF-F-021 defaultPaymentType</t>
  </si>
  <si>
    <t>1. MK-CF-F-191 ym → MK-CF-F-148 inMonth → MK-CF-F-151 actualSpending → MK-CF-O-002 spending
2. MK-XS-F-122 n → MK-ST-F-052 toNum → MK-CF-F-151 actualSpending → MK-CF-O-002 spending
3. MK-CF-F-191 ym → MK-CF-F-151 actualSpending → MK-CF-O-002 spending
4. MK-ST-F-056 has → MK-CF-F-150 debtPaymentsCountedAsExpenses → MK-CF-O-002 spending
5. MK-CF-F-191 ym → MK-CF-F-148 inMonth → MK-CF-F-150 debtPaymentsCountedAsExpenses → MK-CF-O-002 spending
6. MK-CF-F-021 defaultPaymentType → MK-CF-F-022 paymentShape → MK-CF-F-150 debtPaymentsCountedAsExpenses → MK-CF-O-002 spending
7. MK-XS-F-122 n → MK-ST-F-052 toNum → MK-CF-F-150 debtPaymentsCountedAsExpenses → MK-CF-O-002 spending
8. MK-CF-F-191 ym → MK-CF-F-150 debtPaymentsCountedAsExpenses → MK-CF-O-002 spending
9. … and 5 more paths</t>
  </si>
  <si>
    <t>CODED, NOT TESTED (Cash-flow worked example)</t>
  </si>
  <si>
    <t>planned = planned month flow(m)
actual = actual month flow(m)</t>
  </si>
  <si>
    <t>planned = planned month flow(m); actual = actual month flow(m).</t>
  </si>
  <si>
    <t>ThisMonth</t>
  </si>
  <si>
    <t>1. MK-CF-F-005 actualMonthFlow
2. MK-CF-F-156 plannedMonthFlow</t>
  </si>
  <si>
    <t>1. MK-CF-F-005 actualMonthFlow
2. MK-CF-F-156 plannedMonthFlow
3. MK-CF-F-155 cash
4. MK-CF-F-157 debtPaymentsByDebt
5. MK-CF-F-148 inMonth
6. MK-CF-F-192 inflowLabel
7. MK-CF-F-023 requiredPayment
8. MK-XS-F-027 takeHomeMonthly
9. MK-ST-F-052 toNum
10. MK-CF-F-191 ym
11. MK-XS-F-122 n
12. MK-XS-F-180 declareFigures
13. MK-CF-F-132 map
14. MK-CF-F-193 inflowSourceWord
15. MK-CF-F-022 paymentShape
16. MK-CF-F-092 incomeMonthlyGrid
17. MK-CF-F-011 savingsByMonth
18. MK-CF-F-021 defaultPaymentType
19. MK-CF-F-069 benefitActiveMonths
20. MK-CF-F-072 currentRetirementIncomeMonthly
21. MK-CF-F-065 equityVestWeights
22. MK-CF-F-071 extraIncome
23. MK-ST-F-056 has
24. MK-CF-F-087 monthlyTaxRates
25. MK-CF-F-073 otherIncomeMonth
26. MK-CF-F-181 rateInForce
27. MK-CF-F-068 rentalNetAnnual
28. MK-CF-F-066 rsuAnnual
29. MK-CF-F-060 salaryGrossByMonth
30. MK-CF-F-077 scholarshipByCalendarMonth
31. MK-CF-F-088 taxableByCalendarMonth
32. MK-PL-F-012 waterfall
33. MK-CF-F-008 spendByMonth
34. MK-CF-F-075 retirementIncomeMonthly
35. MK-CF-F-062 equityRowValue
36. MK-CF-F-070 benefitAnnual
37. MK-ST-F-039 on
38. MK-CF-F-090 effectiveRate
39. MK-CF-F-085 filingStatusOf
40. MK-CF-F-089 over65CountOf
41. MK-CF-F-098 progressiveMonthlyTax
42. MK-CF-F-086 stateRateOf
43. MK-CF-F-173 earnerWages
44. MK-CF-F-102 effectiveRateOnGrossFor
45. MK-CF-F-180 enteredLandsAnnual
46. MK-CF-F-082 salaryAnnual
47. MK-CF-F-084 taxableAnnual
48. MK-CF-F-067 rentalList
49. MK-CF-F-063 rowVestYear
50. MK-CF-F-176 sumMonthsOverEarners
51. MK-CF-F-177 wageGrossByMonth
52. MK-CF-F-120 pctBaseMonthly
53. MK-CF-F-004 spendBuckets
54. MK-CF-F-101 taxOwedFor
55. MK-CF-F-100 taxableIncomeFor
56. MK-CF-F-172 hasWage
57. MK-CF-F-074 tipsAnnual
58. MK-CF-F-130 enteredMonthlyRaw
59. MK-CF-F-166 hasMonthlySalaryTable
60. MK-ST-F-036 reconcile
61. MK-CF-F-167 salaryCalendarYear
62. MK-CF-F-003 categoryMonthly
63. MK-CF-F-099 deductionFor
64. MK-CF-F-081 salaryActiveMonths
65. MK-CF-F-165 salaryMonths
66. MK-CF-F-187 seniorDeductionFor</t>
  </si>
  <si>
    <t>1. MK-XS-F-122 n → MK-CF-F-155 cash → MK-CF-F-005 actualMonthFlow → MK-CF-O-003 thisMonth
2. MK-XS-F-180 declareFigures → MK-CF-F-157 debtPaymentsByDebt → MK-CF-F-005 actualMonthFlow → MK-CF-O-003 thisMonth
3. MK-CF-F-191 ym → MK-CF-F-148 inMonth → MK-CF-F-157 debtPaymentsByDebt → MK-CF-F-005 actualMonthFlow → MK-CF-O-003 thisMonth
4. MK-CF-F-132 map → MK-CF-F-157 debtPaymentsByDebt → MK-CF-F-005 actualMonthFlow → MK-CF-O-003 thisMonth
5. MK-XS-F-122 n → MK-ST-F-052 toNum → MK-CF-F-157 debtPaymentsByDebt → MK-CF-F-005 actualMonthFlow → MK-CF-O-003 thisMonth
6. MK-CF-F-191 ym → MK-CF-F-157 debtPaymentsByDebt → MK-CF-F-005 actualMonthFlow → MK-CF-O-003 thisMonth
7. MK-CF-F-191 ym → MK-CF-F-148 inMonth → MK-CF-F-005 actualMonthFlow → MK-CF-O-003 thisMonth
8. MK-CF-F-193 inflowSourceWord → MK-CF-F-192 inflowLabel → MK-CF-F-005 actualMonthFlow → MK-CF-O-003 thisMonth
9. … and 5 more paths</t>
  </si>
  <si>
    <t>MK-CF-M-047 · MK-CF-M-048 · MK-CF-M-049 · MK-CF-M-050 · MK-CF-M-051 · MK-CF-M-052 · MK-CF-M-053 · MK-CF-M-054</t>
  </si>
  <si>
    <t>MoneyKeel/functions/cashflow/income-summary.ts</t>
  </si>
  <si>
    <t>── ORCHESTRATOR ──────────────────────────────────────────────────────────────────────────── WHAT IS THIS HOUSEHOLD'S INCOME?</t>
  </si>
  <si>
    <t>a = op (or none when missing)
wages = earner wages(op as any)
rent = rental net annual(op as any) ÷ 12
grid = income monthly grid(op as any, 'available')
months = for each of grid: amount
usual = months.slice().sort((x, y) =&gt; x − y)[math.floor(months.length ÷ 2)]   if count of months
0   otherwise
biggest = months.reduce((best, v, i) =&gt; (v &gt; months[best] ? i : best), 0)
taxed lines = []
rent annual = rental net annual(op as any)
inv = inv annual read as a number (0 when it is not one)
bonus = bonus annual read as a number (0 when it is not one)
… the first steps only — the rest of the body needs reading by hand.</t>
  </si>
  <si>
    <t>A is op (or none — when missing). Wages is earner wages(op as any). Rent is rental net annual(op as any) divided by 12. Grid is income monthly grid(op as any, 'available'). Months is for each of grid: amount. Usual is months.slice().sort((x, y) =&gt; x minus y)[math.floor(months.length divided by 2)] — when how many months there are; 0 — otherwise. Biggest is months.reduce((best, v, i) =&gt; (v &gt; months[best] ? i : best), 0). Taxed lines is []. Rent annual is rental net annual(op as any). Inv is inv annual read as a number (0 — when it is one is missing). Bonus is bonus annual read as a number (0 — when it is one is missing). Only the first steps are shown; the rest of the body needs reading by hand.</t>
  </si>
  <si>
    <t>op: Record&lt;string, any&gt; | null</t>
  </si>
  <si>
    <t>IncomeSummary</t>
  </si>
  <si>
    <t>1. "Add your income ›" — on the income summary screen
2. "Federal tax bracket" — on the income summary screen
3. "Take-home each month" — on the income summary screen
4. "What it is taxed on" — on the income summary screen</t>
  </si>
  <si>
    <t>1. MK-CF-O-001 basePay
2. MK-CF-F-173 earnerWages
3. MK-CF-F-179 entryFromWage
4. MK-CF-F-071 extraIncome
5. MK-CF-F-085 filingStatusOf
6. MK-CF-F-092 incomeMonthlyGrid
7. MK-CF-F-132 map
8. MK-CF-F-103 marginalBracketFor
9. MK-CF-F-089 over65CountOf
10. MK-CF-F-181 rateInForce
11. MK-CF-F-068 rentalNetAnnual
12. MK-CF-F-082 salaryAnnual
13. MK-CF-F-084 taxableAnnual
14. MK-ST-F-052 toNum</t>
  </si>
  <si>
    <t>1. MK-CF-O-001 basePay
2. MK-CF-F-173 earnerWages
3. MK-CF-F-179 entryFromWage
4. MK-CF-F-071 extraIncome
5. MK-CF-F-085 filingStatusOf
6. MK-CF-F-092 incomeMonthlyGrid
7. MK-CF-F-132 map
8. MK-CF-F-103 marginalBracketFor
9. MK-CF-F-089 over65CountOf
10. MK-CF-F-181 rateInForce
11. MK-CF-F-068 rentalNetAnnual
12. MK-CF-F-082 salaryAnnual
13. MK-CF-F-084 taxableAnnual
14. MK-ST-F-052 toNum
15. MK-ST-F-035 covers
16. MK-CF-F-171 earnerPay
17. MK-ST-F-053 money
18. MK-HM-F-006 money0
19. MK-XS-F-122 n
20. MK-CF-F-198 payrollTaxWithheld
21. MK-CF-F-172 hasWage
22. MK-CF-F-165 salaryMonths
23. MK-CF-F-070 benefitAnnual
24. MK-ST-F-039 on
25. MK-CF-F-069 benefitActiveMonths
26. MK-CF-F-072 currentRetirementIncomeMonthly
27. MK-CF-F-065 equityVestWeights
28. MK-ST-F-056 has
29. MK-CF-F-087 monthlyTaxRates
30. MK-CF-F-073 otherIncomeMonth
31. MK-CF-F-066 rsuAnnual
32. MK-CF-F-060 salaryGrossByMonth
33. MK-CF-F-077 scholarshipByCalendarMonth
34. MK-CF-F-088 taxableByCalendarMonth
35. MK-PL-F-012 waterfall
36. MK-CF-F-100 taxableIncomeFor
37. MK-CF-F-102 effectiveRateOnGrossFor
38. MK-CF-F-180 enteredLandsAnnual
39. MK-CF-F-086 stateRateOf
40. MK-CF-F-067 rentalList
41. MK-CF-F-074 tipsAnnual
42. MK-ST-F-034 firstDate
43. MK-CF-F-143 annualisedGross
44. MK-XS-F-180 declareFigures
45. MK-CF-F-145 deductionsFromPay
46. MK-CF-F-128 grossByMonth
47. MK-CF-F-146 payFiguresAgree
48. MK-CF-F-144 takeHomeAsEntered
49. MK-ST-F-049 formatMoney
50. MK-CF-F-155 cash
51. MK-HM-F-005 pctTxt
52. MK-CF-F-075 retirementIncomeMonthly
53. MK-CF-F-062 equityRowValue
54. MK-CF-F-090 effectiveRate
55. MK-CF-F-098 progressiveMonthlyTax
56. MK-CF-F-063 rowVestYear
57. MK-CF-F-176 sumMonthsOverEarners
58. MK-CF-F-177 wageGrossByMonth
59. MK-CF-F-099 deductionFor
60. MK-CF-F-101 taxOwedFor
61. MK-CF-F-081 salaryActiveMonths
62. MK-CF-F-142 monthsOf
63. MK-CF-F-141 perMonth
64. MK-ST-F-048 currencySymbol
65. MK-CF-F-130 enteredMonthlyRaw
66. MK-CF-F-166 hasMonthlySalaryTable
67. MK-ST-F-036 reconcile
68. MK-CF-F-167 salaryCalendarYear
69. MK-CF-F-187 seniorDeductionFor
70. MK-CF-F-140 periodsAYear
71. MK-ST-F-047 activeCurrency</t>
  </si>
  <si>
    <t>1. MK-ST-F-034 firstDate → MK-ST-F-035 covers → MK-CF-O-001 basePay → MK-CF-O-004 incomeSummary
2. MK-CF-F-142 monthsOf → MK-CF-F-128 grossByMonth → MK-CF-F-143 annualisedGross → MK-CF-F-171 earnerPay → MK-CF-O-001 basePay → MK-CF-O-004 incomeSummary
3. MK-CF-F-141 perMonth → MK-CF-F-128 grossByMonth → MK-CF-F-143 annualisedGross → MK-CF-F-171 earnerPay → MK-CF-O-001 basePay → MK-CF-O-004 incomeSummary
4. MK-XS-F-180 declareFigures → MK-CF-F-171 earnerPay → MK-CF-O-001 basePay → MK-CF-O-004 incomeSummary
5. MK-CF-F-128 grossByMonth → MK-CF-F-143 annualisedGross → MK-CF-F-145 deductionsFromPay → MK-CF-F-171 earnerPay → MK-CF-O-001 basePay → MK-CF-O-004 incomeSummary
6. MK-CF-F-143 annualisedGross → MK-CF-F-144 takeHomeAsEntered → MK-CF-F-145 deductionsFromPay → MK-CF-F-171 earnerPay → MK-CF-O-001 basePay → MK-CF-O-004 incomeSummary
7. MK-CF-F-142 monthsOf → MK-CF-F-144 takeHomeAsEntered → MK-CF-F-145 deductionsFromPay → MK-CF-F-171 earnerPay → MK-CF-O-001 basePay → MK-CF-O-004 incomeSummary
8. MK-ST-F-039 on → MK-CF-F-144 takeHomeAsEntered → MK-CF-F-145 deductionsFromPay → MK-CF-F-171 earnerPay → MK-CF-O-001 basePay → MK-CF-O-004 incomeSummary
9. … and 5 more paths</t>
  </si>
  <si>
    <t>MK-CF-M-006 · MK-CF-M-007 · MK-CF-M-008 · MK-CF-M-027 · MK-CF-M-037 · MK-CF-M-038 · MK-CF-M-039 · MK-CF-M-040 · MK-CF-M-041 · MK-CF-M-042 · MK-CF-M-043 · MK-CF-M-044 · MK-MN-M-011 · MK-MN-M-012 · MK-MN-M-013</t>
  </si>
  <si>
    <t>MK-HM-F-001</t>
  </si>
  <si>
    <t>buildInsights</t>
  </si>
  <si>
    <t>src/domain/insights/index.ts</t>
  </si>
  <si>
    <t>Ranked insights (highest priority first).</t>
  </si>
  <si>
    <t>the first limit of out   if limit ≠ nothing
out   otherwise</t>
  </si>
  <si>
    <t>the first limit of out — when limit is not no answer; out — otherwise.</t>
  </si>
  <si>
    <t>1. input: InsightInput
2. limit?: number</t>
  </si>
  <si>
    <t>Insight[]</t>
  </si>
  <si>
    <t>MK-CF-F-132 map</t>
  </si>
  <si>
    <t>MK-CF-F-132 map → MK-HM-F-001 buildInsights</t>
  </si>
  <si>
    <t>MK-HM-F-002</t>
  </si>
  <si>
    <t>milestoneLabel</t>
  </si>
  <si>
    <t>src/domain/milestones.ts</t>
  </si>
  <si>
    <t>'$500k' / '$1M' — the label the celebration line uses.</t>
  </si>
  <si>
    <t>m = threshold ÷ 1000000
the answer = `$${number.is integer(m) ? m : to fixed(1)}M`</t>
  </si>
  <si>
    <t>M is threshold divided by 1000000. The answer is `$${number.is integer(m) ? m : to fixed(1)}M`.</t>
  </si>
  <si>
    <t>threshold: number</t>
  </si>
  <si>
    <t>1. Rounds the answer to a whole number.
2. Shows 1 decimal place.</t>
  </si>
  <si>
    <t>MK-HM-F-003</t>
  </si>
  <si>
    <t>milestoneFloor</t>
  </si>
  <si>
    <t>The highest ladder rung at or below `netWorth` (0 when below the first rung).</t>
  </si>
  <si>
    <t>floor = 0
the answer = floor</t>
  </si>
  <si>
    <t>Floor is 0. The answer is floor.</t>
  </si>
  <si>
    <t>netWorth: number</t>
  </si>
  <si>
    <t>· Uses a built-in floor of 0.</t>
  </si>
  <si>
    <t>The one decision rule.</t>
  </si>
  <si>
    <t>nothing   when high seen = nothing
floor = milestone floor(net worth)
the answer:
floor   if floor &gt; high seen
nothing   otherwise</t>
  </si>
  <si>
    <t>When high seen is missing, it answers no answer. Floor is milestone floor(net worth). The answer is floor — when floor &gt; high seen; no answer — otherwise.</t>
  </si>
  <si>
    <t>1. netWorth: number
2. highSeen: number | null</t>
  </si>
  <si>
    <t>MK-HM-F-003 milestoneFloor</t>
  </si>
  <si>
    <t>MK-HM-F-005</t>
  </si>
  <si>
    <t>pctTxt</t>
  </si>
  <si>
    <t>the answer = round(d × 100) followed by '%'</t>
  </si>
  <si>
    <t>A share written as a whole percent — 0.234 becomes 23%. Display only.</t>
  </si>
  <si>
    <t>d: number</t>
  </si>
  <si>
    <t>MK-HM-F-006</t>
  </si>
  <si>
    <t>money0</t>
  </si>
  <si>
    <t>the answer = '$' + round(n) with thousands separators</t>
  </si>
  <si>
    <t>A dollar amount to the whole dollar with thousands separators, for the insight sentences. Display only.</t>
  </si>
  <si>
    <t>1. MK-CF-F-155 cash
2. MK-XS-F-122 n
3. MK-HM-F-005 pctTxt</t>
  </si>
  <si>
    <t>1. MK-XS-F-122 n → MK-CF-F-155 cash → MK-HM-F-006 money0
2. MK-XS-F-122 n → MK-HM-F-006 money0
3. MK-HM-F-005 pctTxt → MK-HM-F-006 money0</t>
  </si>
  <si>
    <t>MK-NW-F-001</t>
  </si>
  <si>
    <t>isAlternative</t>
  </si>
  <si>
    <t>src/domain/alternatives/index.ts</t>
  </si>
  <si>
    <t>Is this account an "other investment" — an alternative held at a manual value (not a bond, not cash/property)?</t>
  </si>
  <si>
    <t>ALT_KINDS.includes((kind ?? '') as alt kind) and !maturity date and tax bucket ! = 'PROPERTY'</t>
  </si>
  <si>
    <t>ALT_KINDS.includes((kind ?? '') as alt kind) and !maturity date and tax bucket ! = 'PROPERTY'.</t>
  </si>
  <si>
    <t>IS_ALTERNATIVE</t>
  </si>
  <si>
    <t>MK-NW-F-002</t>
  </si>
  <si>
    <t>alternativesSummary</t>
  </si>
  <si>
    <t>alts = accounts (or none when missing) where is alternative
total = Σ over alts of (balance (or 0 when missing or zero))
weighted = Σ over total &gt; 0 ? alts of ((balance or 0) × benchmark return(kind))÷ total : 0</t>
  </si>
  <si>
    <t>Alts is accounts (or none — when missing) where is alternative. Total: the balance (or 0 — when missing or zero) added up across alts. Weighted: the (balance or 0 added up across total &gt; 0 ? alts times benchmark return(kind))÷ total : 0.</t>
  </si>
  <si>
    <t>accounts: AssetAccount[]</t>
  </si>
  <si>
    <t>AltSummary</t>
  </si>
  <si>
    <t>"EXP. RETURN" — on the Other investments screen, under "ALTERNATIVES"</t>
  </si>
  <si>
    <t>· If balance is missing it counts as zero, so nothing recorded and a real zero look the same.</t>
  </si>
  <si>
    <t>1. MK-NW-F-034 benchmarkReturn
2. MK-NW-F-001 isAlternative</t>
  </si>
  <si>
    <t>1. MK-NW-F-034 benchmarkReturn
2. MK-NW-F-001 isAlternative
3. MK-NW-F-007 assetKind
4. MK-NW-F-011 assetClassOf
5. MK-CF-F-155 cash
6. MK-NW-F-008 incomeBearingClassOf
7. MK-XS-F-122 n
8. MK-ST-F-010 nameEvidence
9. MK-XS-F-147 call
10. MK-ST-F-056 has
11. MK-CF-F-132 map
12. MK-ST-F-027 accountId
13. MK-XS-F-064 currentIdToken
14. MK-XS-F-112 relayUrl</t>
  </si>
  <si>
    <t>1. MK-CF-F-155 cash → MK-NW-F-008 incomeBearingClassOf → MK-NW-F-011 assetClassOf → MK-NW-F-007 assetKind → MK-NW-F-034 benchmarkReturn → MK-NW-F-002 alternativesSummary
2. MK-ST-F-010 nameEvidence → MK-NW-F-008 incomeBearingClassOf → MK-NW-F-011 assetClassOf → MK-NW-F-007 assetKind → MK-NW-F-034 benchmarkReturn → MK-NW-F-002 alternativesSummary
3. MK-XS-F-122 n → MK-CF-F-155 cash → MK-NW-F-007 assetKind → MK-NW-F-034 benchmarkReturn → MK-NW-F-002 alternativesSummary
4. MK-NW-F-001 isAlternative → MK-NW-F-002 alternativesSummary</t>
  </si>
  <si>
    <t>MK-NW-F-003</t>
  </si>
  <si>
    <t>src/domain/assets/index.ts</t>
  </si>
  <si>
    <t>Manual-value freshness (FCC): how old a hand-entered value is, and whether it needs a nudge.</t>
  </si>
  <si>
    <t>nothing   when derive balance
nothing   when value as of is missing
m = value as of.match( ÷ ^(\d{4}) − (\d{2}) ÷ )
nothing   when m is missing
months old = max(0, (now.get full year() - +m[1]) × 12 + (now.get month() + 1 - +m[2]))
the answer:
as of = value as of
months old = months old
stale = months old ≥ 6</t>
  </si>
  <si>
    <t>When derive balance, it answers no answer. When value as of is missing, it answers no answer. M is value as of.match( divided by ^(\d{4}) minus (\d{2}) divided by ). When m is missing, it answers no answer. Months old is (now.get full year(, never below zero - +m[1]) times 12 plus (now.get month() plus 1 - +m[2])). The answer is as of = value as of; months old = months old; stale = months old is at least 6.</t>
  </si>
  <si>
    <t>1. a: AssetAccount
2. now: Date = new Date()</t>
  </si>
  <si>
    <t>MK-NW-F-004</t>
  </si>
  <si>
    <t>portfolioActualReturn</t>
  </si>
  <si>
    <t>Value-weighted ACTUAL trailing-12mo return across holdings that have one reported.</t>
  </si>
  <si>
    <t>items = accounts (or none when missing) where tax bucket ! = 'PROPERTY' and actual ttm ≠ nothing and earmarked amount(each) &gt; 0
total = Σ over items of (earmarked amount(each))
nothing   when total ≤ 0
weighted = Σ over items of ((actual ttm as number) × earmarked amount(each))
the answer = weighted ÷ total</t>
  </si>
  <si>
    <t>Items is accounts (or none — when missing) where tax bucket ! = 'PROPERTY' and actual ttm is not no answer and earmarked amount(each) &gt; 0. Total: the earmarked amount(each) added up across items. When total is at most 0, it answers no answer. Weighted: the (actual ttm as number) times earmarked amount(each) added up across items. The answer is weighted divided by total.</t>
  </si>
  <si>
    <t>"Expected return" — on the Retirement cockpit screen, under "scRetired ?"</t>
  </si>
  <si>
    <t>1. MK-CF-F-155 cash
2. MK-NW-F-032 earmarkedAmount</t>
  </si>
  <si>
    <t>1. MK-CF-F-155 cash
2. MK-NW-F-032 earmarkedAmount
3. MK-XS-F-122 n
4. MK-NW-F-030 earmarkDefault
5. MK-NW-F-011 assetClassOf
6. MK-NW-F-013 realEstateUseOf
7. MK-NW-F-008 incomeBearingClassOf
8. MK-ST-F-010 nameEvidence
9. MK-XS-F-147 call
10. MK-ST-F-056 has
11. MK-CF-F-132 map
12. MK-ST-F-027 accountId
13. MK-XS-F-064 currentIdToken
14. MK-XS-F-112 relayUrl</t>
  </si>
  <si>
    <t>1. MK-XS-F-122 n → MK-CF-F-155 cash → MK-NW-F-004 portfolioActualReturn
2. MK-CF-F-155 cash → MK-NW-F-008 incomeBearingClassOf → MK-NW-F-011 assetClassOf → MK-NW-F-030 earmarkDefault → MK-NW-F-032 earmarkedAmount → MK-NW-F-004 portfolioActualReturn
3. MK-ST-F-010 nameEvidence → MK-NW-F-008 incomeBearingClassOf → MK-NW-F-011 assetClassOf → MK-NW-F-030 earmarkDefault → MK-NW-F-032 earmarkedAmount → MK-NW-F-004 portfolioActualReturn
4. MK-NW-F-013 realEstateUseOf → MK-NW-F-030 earmarkDefault → MK-NW-F-032 earmarkedAmount → MK-NW-F-004 portfolioActualReturn</t>
  </si>
  <si>
    <t>MK-NW-F-005</t>
  </si>
  <si>
    <t>accountAllowsTicker</t>
  </si>
  <si>
    <t>Can this account hold individual ticker securities?</t>
  </si>
  <si>
    <t>false   when tax bucket = 'PROPERTY' (or tax bucket = 'CASH' when missing or zero)
false   when kind = 'college_529'
false   when kind = 'checking' (or kind = 'savings' when missing or zero)
cls = asset class of(a)
false   when cls = 'bonds' (or cls = 'alternatives' when missing or zero)
the answer = true</t>
  </si>
  <si>
    <t>When tax bucket = 'PROPERTY' (or tax bucket = 'CASH' — when missing or zero), it answers false. When kind = 'college_529', it answers false. When kind = 'checking' (or kind = 'savings' — when missing or zero), it answers false. Cls is asset class of(a). When cls = 'bonds' (or cls = 'alternatives' — when missing or zero), it answers false. The answer is true.</t>
  </si>
  <si>
    <t>1. MK-NW-F-011 assetClassOf
2. MK-CF-F-155 cash</t>
  </si>
  <si>
    <t>1. MK-NW-F-011 assetClassOf
2. MK-CF-F-155 cash
3. MK-NW-F-008 incomeBearingClassOf
4. MK-XS-F-122 n
5. MK-ST-F-010 nameEvidence
6. MK-XS-F-147 call
7. MK-ST-F-056 has
8. MK-CF-F-132 map
9. MK-ST-F-027 accountId
10. MK-XS-F-064 currentIdToken
11. MK-XS-F-112 relayUrl</t>
  </si>
  <si>
    <t>1. MK-XS-F-122 n → MK-CF-F-155 cash → MK-NW-F-008 incomeBearingClassOf → MK-NW-F-011 assetClassOf → MK-NW-F-005 accountAllowsTicker
2. MK-ST-F-027 accountId → MK-XS-F-147 call → MK-ST-F-010 nameEvidence → MK-NW-F-008 incomeBearingClassOf → MK-NW-F-011 assetClassOf → MK-NW-F-005 accountAllowsTicker
3. MK-XS-F-064 currentIdToken → MK-XS-F-147 call → MK-ST-F-010 nameEvidence → MK-NW-F-008 incomeBearingClassOf → MK-NW-F-011 assetClassOf → MK-NW-F-005 accountAllowsTicker
4. MK-XS-F-112 relayUrl → MK-XS-F-147 call → MK-ST-F-010 nameEvidence → MK-NW-F-008 incomeBearingClassOf → MK-NW-F-011 assetClassOf → MK-NW-F-005 accountAllowsTicker
5. MK-ST-F-056 has → MK-ST-F-010 nameEvidence → MK-NW-F-008 incomeBearingClassOf → MK-NW-F-011 assetClassOf → MK-NW-F-005 accountAllowsTicker
6. MK-CF-F-132 map → MK-ST-F-010 nameEvidence → MK-NW-F-008 incomeBearingClassOf → MK-NW-F-011 assetClassOf → MK-NW-F-005 accountAllowsTicker
7. MK-XS-F-122 n → MK-CF-F-155 cash → MK-NW-F-005 accountAllowsTicker</t>
  </si>
  <si>
    <t>CAN_HOLD_TICKERS</t>
  </si>
  <si>
    <t>MK-NW-F-006</t>
  </si>
  <si>
    <t>isCashKind</t>
  </si>
  <si>
    <t>Does this account type sit under the Cash heading on screen?</t>
  </si>
  <si>
    <t>asset kind(kind).bucket = 'CASH'</t>
  </si>
  <si>
    <t>kind?: string</t>
  </si>
  <si>
    <t>MK-NW-F-007 assetKind</t>
  </si>
  <si>
    <t>1. MK-NW-F-007 assetKind
2. MK-NW-F-011 assetClassOf
3. MK-CF-F-155 cash
4. MK-NW-F-008 incomeBearingClassOf
5. MK-XS-F-122 n
6. MK-ST-F-010 nameEvidence
7. MK-XS-F-147 call
8. MK-ST-F-056 has
9. MK-CF-F-132 map
10. MK-ST-F-027 accountId
11. MK-XS-F-064 currentIdToken
12. MK-XS-F-112 relayUrl</t>
  </si>
  <si>
    <t>1. MK-XS-F-122 n → MK-CF-F-155 cash → MK-NW-F-008 incomeBearingClassOf → MK-NW-F-011 assetClassOf → MK-NW-F-007 assetKind → MK-NW-F-006 isCashKind
2. MK-XS-F-147 call → MK-ST-F-010 nameEvidence → MK-NW-F-008 incomeBearingClassOf → MK-NW-F-011 assetClassOf → MK-NW-F-007 assetKind → MK-NW-F-006 isCashKind
3. MK-ST-F-056 has → MK-ST-F-010 nameEvidence → MK-NW-F-008 incomeBearingClassOf → MK-NW-F-011 assetClassOf → MK-NW-F-007 assetKind → MK-NW-F-006 isCashKind
4. MK-CF-F-132 map → MK-ST-F-010 nameEvidence → MK-NW-F-008 incomeBearingClassOf → MK-NW-F-011 assetClassOf → MK-NW-F-007 assetKind → MK-NW-F-006 isCashKind
5. MK-XS-F-122 n → MK-CF-F-155 cash → MK-NW-F-007 assetKind → MK-NW-F-006 isCashKind</t>
  </si>
  <si>
    <t>KIND_IS_CASH</t>
  </si>
  <si>
    <t>MK-NW-F-007</t>
  </si>
  <si>
    <t>assetKind</t>
  </si>
  <si>
    <t>What do we know about this kind of account?</t>
  </si>
  <si>
    <t>1. "ACCOUNTS / INVESTING" — on a card used on more than one screen (MoneySheets)
2. "EST. GROWTH /year" — on the Other investments screen, under "ALTERNATIVES"
3. "Type" — on the Account detail screen, under "IF INTEREST RATES MOVE"
4. "Type" — on the Other investments screen</t>
  </si>
  <si>
    <t>1. MK-XS-F-122 n → MK-CF-F-155 cash → MK-NW-F-008 incomeBearingClassOf → MK-NW-F-011 assetClassOf → MK-NW-F-007 assetKind
2. MK-ST-F-027 accountId → MK-XS-F-147 call → MK-ST-F-010 nameEvidence → MK-NW-F-008 incomeBearingClassOf → MK-NW-F-011 assetClassOf → MK-NW-F-007 assetKind
3. MK-XS-F-064 currentIdToken → MK-XS-F-147 call → MK-ST-F-010 nameEvidence → MK-NW-F-008 incomeBearingClassOf → MK-NW-F-011 assetClassOf → MK-NW-F-007 assetKind
4. MK-XS-F-112 relayUrl → MK-XS-F-147 call → MK-ST-F-010 nameEvidence → MK-NW-F-008 incomeBearingClassOf → MK-NW-F-011 assetClassOf → MK-NW-F-007 assetKind
5. MK-ST-F-056 has → MK-ST-F-010 nameEvidence → MK-NW-F-008 incomeBearingClassOf → MK-NW-F-011 assetClassOf → MK-NW-F-007 assetKind
6. MK-CF-F-132 map → MK-ST-F-010 nameEvidence → MK-NW-F-008 incomeBearingClassOf → MK-NW-F-011 assetClassOf → MK-NW-F-007 assetKind
7. MK-XS-F-122 n → MK-CF-F-155 cash → MK-NW-F-007 assetKind</t>
  </si>
  <si>
    <t>ACCOUNT_TYPE_FACTS</t>
  </si>
  <si>
    <t>MK-NW-F-008</t>
  </si>
  <si>
    <t>incomeBearingClassOf</t>
  </si>
  <si>
    <t>FOUNDER RULE 2026-08-04 (supersedes the money-market=cash rule and the 12-month CD split): CASH means cash only — a sweep/settlement balance.</t>
  </si>
  <si>
    <t>name evidence(label)</t>
  </si>
  <si>
    <t>name evidence(label).</t>
  </si>
  <si>
    <t>label?: string</t>
  </si>
  <si>
    <t>AssetClass | null</t>
  </si>
  <si>
    <t>1. MK-CF-F-155 cash
2. MK-ST-F-010 nameEvidence</t>
  </si>
  <si>
    <t>1. MK-CF-F-155 cash
2. MK-ST-F-010 nameEvidence
3. MK-XS-F-122 n
4. MK-XS-F-147 call
5. MK-ST-F-056 has
6. MK-CF-F-132 map
7. MK-ST-F-027 accountId
8. MK-XS-F-064 currentIdToken
9. MK-XS-F-112 relayUrl</t>
  </si>
  <si>
    <t>1. MK-XS-F-122 n → MK-CF-F-155 cash → MK-NW-F-008 incomeBearingClassOf
2. MK-ST-F-027 accountId → MK-XS-F-147 call → MK-ST-F-010 nameEvidence → MK-NW-F-008 incomeBearingClassOf
3. MK-XS-F-064 currentIdToken → MK-XS-F-147 call → MK-ST-F-010 nameEvidence → MK-NW-F-008 incomeBearingClassOf
4. MK-XS-F-112 relayUrl → MK-XS-F-147 call → MK-ST-F-010 nameEvidence → MK-NW-F-008 incomeBearingClassOf
5. MK-ST-F-056 has → MK-ST-F-010 nameEvidence → MK-NW-F-008 incomeBearingClassOf
6. MK-CF-F-132 map → MK-ST-F-010 nameEvidence → MK-NW-F-008 incomeBearingClassOf</t>
  </si>
  <si>
    <t>MK-NW-F-009</t>
  </si>
  <si>
    <t>maturityClass</t>
  </si>
  <si>
    <t>FOUNDER RULE 2026-08-04 (supersedes build-34 #8's 12-month split): ANY maturity-dated instrument is a BOND — it pays interest, so it must sit in the measured bucket regardless of how soon it matures.</t>
  </si>
  <si>
    <t>'bonds'   if maturity date and string(maturity date).trim()
'cash'   otherwise</t>
  </si>
  <si>
    <t>'bonds' — when maturity date and string(maturity date).trim(); 'cash' — otherwise.</t>
  </si>
  <si>
    <t>maturityDate?: string | null</t>
  </si>
  <si>
    <t>'cash' | 'bonds'</t>
  </si>
  <si>
    <t>MATURITY_MEANS_BOND</t>
  </si>
  <si>
    <t>MK-NW-F-010</t>
  </si>
  <si>
    <t>wrapperAccount</t>
  </si>
  <si>
    <t>The person picked how this account is taxed — what does that make it?</t>
  </si>
  <si>
    <t>401k → kind '401k', bucket PRE_TAX
trad_ira → 'trad_ira', PRE_TAX
roth → 'roth_ira', ROTH
hsa → 'hsa', PRE_TAX
anything else → 'brokerage', TAXABLE</t>
  </si>
  <si>
    <t>The account kind and tax bucket for the wrapper a person picked when adding an account — a 401(k), traditional IRA and HSA are pre-tax, a Roth is tax-free, anything else (or nothing) is a taxable brokerage. No arithmetic.</t>
  </si>
  <si>
    <t>w?: AddWrapper | null</t>
  </si>
  <si>
    <t>MK-CF-F-155 cash</t>
  </si>
  <si>
    <t>1. MK-CF-F-155 cash
2. MK-XS-F-122 n</t>
  </si>
  <si>
    <t>MK-XS-F-122 n → MK-CF-F-155 cash → MK-NW-F-010 wrapperAccount</t>
  </si>
  <si>
    <t>TAX_TYPE_TO_ACCOUNT</t>
  </si>
  <si>
    <t>MK-NW-F-011</t>
  </si>
  <si>
    <t>assetClassOf</t>
  </si>
  <si>
    <t>WHAT the account is (asset class).</t>
  </si>
  <si>
    <t>asset class   when asset class
by label = income bearing class of(label)
by label   when by label
'bonds'   when maturity date
by kind = KIND_TO_CLASS[kind]   if kind
undefined   otherwise
by kind   when by kind
'stocks_etf'   when count of positions and positions
'cash'   when tax bucket = 'CASH'
'real_estate'   when tax bucket = 'PROPERTY'
the answer = 'mixed'</t>
  </si>
  <si>
    <t>When asset class, it answers asset class. By label is income bearing class of(label). When by label, it answers by label. When maturity date, it answers 'bonds'. By kind is KIND_TO_CLASS[kind] — when kind; undefined — otherwise. When by kind, it answers by kind. When how many positions and positions there are, it answers 'stocks_etf'. When tax bucket = 'CASH', it answers 'cash'. When tax bucket = 'PROPERTY', it answers 'real_estate'. The answer is 'mixed'.</t>
  </si>
  <si>
    <t>AssetClass</t>
  </si>
  <si>
    <t>1. "Bonds &amp; alternatives — recorded on their own pages" — on the Performance screen
2. "Nothing entered yet." — on the Net worth screen, under "DEBTS"</t>
  </si>
  <si>
    <t>MK-NW-F-008 incomeBearingClassOf</t>
  </si>
  <si>
    <t>1. MK-NW-F-008 incomeBearingClassOf
2. MK-CF-F-155 cash
3. MK-ST-F-010 nameEvidence
4. MK-XS-F-122 n
5. MK-XS-F-147 call
6. MK-ST-F-056 has
7. MK-CF-F-132 map
8. MK-ST-F-027 accountId
9. MK-XS-F-064 currentIdToken
10. MK-XS-F-112 relayUrl</t>
  </si>
  <si>
    <t>1. MK-XS-F-122 n → MK-CF-F-155 cash → MK-NW-F-008 incomeBearingClassOf → MK-NW-F-011 assetClassOf
2. MK-ST-F-027 accountId → MK-XS-F-147 call → MK-ST-F-010 nameEvidence → MK-NW-F-008 incomeBearingClassOf → MK-NW-F-011 assetClassOf
3. MK-XS-F-064 currentIdToken → MK-XS-F-147 call → MK-ST-F-010 nameEvidence → MK-NW-F-008 incomeBearingClassOf → MK-NW-F-011 assetClassOf
4. MK-XS-F-112 relayUrl → MK-XS-F-147 call → MK-ST-F-010 nameEvidence → MK-NW-F-008 incomeBearingClassOf → MK-NW-F-011 assetClassOf
5. MK-ST-F-056 has → MK-ST-F-010 nameEvidence → MK-NW-F-008 incomeBearingClassOf → MK-NW-F-011 assetClassOf
6. MK-CF-F-132 map → MK-ST-F-010 nameEvidence → MK-NW-F-008 incomeBearingClassOf → MK-NW-F-011 assetClassOf</t>
  </si>
  <si>
    <t>MK-NW-F-012</t>
  </si>
  <si>
    <t>taxTreatmentOf</t>
  </si>
  <si>
    <t>HOW the account is taxed (wrapper).</t>
  </si>
  <si>
    <t>tax treatment   when tax treatment
'tax_deferred'   when tax bucket = 'PRE_TAX'
'tax_free'   when tax bucket = 'ROTH'
'taxable'</t>
  </si>
  <si>
    <t>When tax treatment, it answers tax treatment. When tax bucket = 'PRE_TAX', it answers 'tax_deferred'. When tax bucket = 'ROTH', it answers 'tax_free'. 'taxable'.</t>
  </si>
  <si>
    <t>TaxTreatment</t>
  </si>
  <si>
    <t>TAX_TREATMENT</t>
  </si>
  <si>
    <t>MK-NW-F-013</t>
  </si>
  <si>
    <t>realEstateUseOf</t>
  </si>
  <si>
    <t>Real-estate use (primary/rental/secondary/land); only meaningful when assetClassOf === 'real_estate'.</t>
  </si>
  <si>
    <t>re use (or 'primary' when missing)</t>
  </si>
  <si>
    <t>re use (or 'primary' — when missing).</t>
  </si>
  <si>
    <t>RealEstateUse</t>
  </si>
  <si>
    <t>HOW_A_HOME_IS_USED</t>
  </si>
  <si>
    <t>MK-NW-F-014</t>
  </si>
  <si>
    <t>isRealAsset</t>
  </si>
  <si>
    <t>True when the asset is a real/physical asset (real estate or personal property) — excluded from investable assets and the nest egg (Term #4/#7).</t>
  </si>
  <si>
    <t>c = asset class of(a)
the answer = c = 'real_estate' (or c = 'personal_property' when missing or zero)</t>
  </si>
  <si>
    <t>C is asset class of(a). The answer is c = 'real_estate' (or c = 'personal_property' — when missing or zero).</t>
  </si>
  <si>
    <t>MK-NW-F-011 assetClassOf</t>
  </si>
  <si>
    <t>1. MK-NW-F-011 assetClassOf
2. MK-NW-F-008 incomeBearingClassOf
3. MK-CF-F-155 cash
4. MK-ST-F-010 nameEvidence
5. MK-XS-F-122 n
6. MK-XS-F-147 call
7. MK-ST-F-056 has
8. MK-CF-F-132 map
9. MK-ST-F-027 accountId
10. MK-XS-F-064 currentIdToken
11. MK-XS-F-112 relayUrl</t>
  </si>
  <si>
    <t>1. MK-XS-F-122 n → MK-CF-F-155 cash → MK-NW-F-008 incomeBearingClassOf → MK-NW-F-011 assetClassOf → MK-NW-F-014 isRealAsset
2. MK-ST-F-027 accountId → MK-XS-F-147 call → MK-ST-F-010 nameEvidence → MK-NW-F-008 incomeBearingClassOf → MK-NW-F-011 assetClassOf → MK-NW-F-014 isRealAsset
3. MK-XS-F-064 currentIdToken → MK-XS-F-147 call → MK-ST-F-010 nameEvidence → MK-NW-F-008 incomeBearingClassOf → MK-NW-F-011 assetClassOf → MK-NW-F-014 isRealAsset
4. MK-XS-F-112 relayUrl → MK-XS-F-147 call → MK-ST-F-010 nameEvidence → MK-NW-F-008 incomeBearingClassOf → MK-NW-F-011 assetClassOf → MK-NW-F-014 isRealAsset
5. MK-ST-F-056 has → MK-ST-F-010 nameEvidence → MK-NW-F-008 incomeBearingClassOf → MK-NW-F-011 assetClassOf → MK-NW-F-014 isRealAsset
6. MK-CF-F-132 map → MK-ST-F-010 nameEvidence → MK-NW-F-008 incomeBearingClassOf → MK-NW-F-011 assetClassOf → MK-NW-F-014 isRealAsset</t>
  </si>
  <si>
    <t>IS_PHYSICAL_ASSET</t>
  </si>
  <si>
    <t>MK-NW-F-015</t>
  </si>
  <si>
    <t>totalAssets</t>
  </si>
  <si>
    <t>Σ over accounts (or none when missing) of (balance (or 0 when missing or zero))</t>
  </si>
  <si>
    <t>the balance (or 0 — when missing or zero) added up across accounts (or none — when missing).</t>
  </si>
  <si>
    <t>MK-NW-F-016</t>
  </si>
  <si>
    <t>cashTotal</t>
  </si>
  <si>
    <t>Cash &amp; cash equivalents (Term #3) — THE cash number, and the same one the Net Worth CASH group shows.</t>
  </si>
  <si>
    <t>b = account class breakdown(a)
the answer = t + (b ? cash : asset class of(a) = 'cash' ? (balance or 0) : 0)</t>
  </si>
  <si>
    <t>B is account class breakdown(a). The answer is t plus (b ? cash : asset class of(a) = 'cash' ? (balance or 0) : 0).</t>
  </si>
  <si>
    <t>"Cash on hand now" — on the Bill calendar screen</t>
  </si>
  <si>
    <t>1. MK-NW-F-027 accountClassBreakdown
2. MK-NW-F-011 assetClassOf</t>
  </si>
  <si>
    <t>1. MK-NW-F-027 accountClassBreakdown
2. MK-NW-F-011 assetClassOf
3. MK-CF-F-155 cash
4. MK-NW-F-008 incomeBearingClassOf
5. MK-XS-F-122 n
6. MK-ST-F-010 nameEvidence
7. MK-XS-F-147 call
8. MK-ST-F-056 has
9. MK-CF-F-132 map
10. MK-ST-F-027 accountId
11. MK-XS-F-064 currentIdToken
12. MK-XS-F-112 relayUrl</t>
  </si>
  <si>
    <t>1. MK-XS-F-122 n → MK-CF-F-155 cash → MK-NW-F-008 incomeBearingClassOf → MK-NW-F-011 assetClassOf → MK-NW-F-027 accountClassBreakdown → MK-NW-F-016 cashTotal
2. MK-XS-F-147 call → MK-ST-F-010 nameEvidence → MK-NW-F-008 incomeBearingClassOf → MK-NW-F-011 assetClassOf → MK-NW-F-027 accountClassBreakdown → MK-NW-F-016 cashTotal
3. MK-ST-F-056 has → MK-ST-F-010 nameEvidence → MK-NW-F-008 incomeBearingClassOf → MK-NW-F-011 assetClassOf → MK-NW-F-027 accountClassBreakdown → MK-NW-F-016 cashTotal
4. MK-CF-F-132 map → MK-ST-F-010 nameEvidence → MK-NW-F-008 incomeBearingClassOf → MK-NW-F-011 assetClassOf → MK-NW-F-027 accountClassBreakdown → MK-NW-F-016 cashTotal
5. MK-XS-F-122 n → MK-CF-F-155 cash → MK-NW-F-027 accountClassBreakdown → MK-NW-F-016 cashTotal
6. MK-XS-F-122 n → MK-CF-F-155 cash → MK-NW-F-008 incomeBearingClassOf → MK-NW-F-027 accountClassBreakdown → MK-NW-F-016 cashTotal
7. MK-ST-F-027 accountId → MK-XS-F-147 call → MK-ST-F-010 nameEvidence → MK-NW-F-008 incomeBearingClassOf → MK-NW-F-027 accountClassBreakdown → MK-NW-F-016 cashTotal
8. MK-XS-F-064 currentIdToken → MK-XS-F-147 call → MK-ST-F-010 nameEvidence → MK-NW-F-008 incomeBearingClassOf → MK-NW-F-027 accountClassBreakdown → MK-NW-F-016 cashTotal
9. … and 4 more paths</t>
  </si>
  <si>
    <t>TOTAL_CASH</t>
  </si>
  <si>
    <t>MK-NW-F-017</t>
  </si>
  <si>
    <t>equitiesTotal</t>
  </si>
  <si>
    <t>sum where(accounts, (a) =&gt; asset class of(a) = 'stocks_etf')</t>
  </si>
  <si>
    <t>sum where(accounts, (a) =&gt; asset class of(a) = 'stocks_etf').</t>
  </si>
  <si>
    <t>1. MK-NW-F-011 assetClassOf
2. MK-NW-F-066 sumWhere</t>
  </si>
  <si>
    <t>1. MK-NW-F-011 assetClassOf
2. MK-NW-F-066 sumWhere
3. MK-NW-F-008 incomeBearingClassOf
4. MK-CF-F-155 cash
5. MK-ST-F-010 nameEvidence
6. MK-XS-F-122 n
7. MK-XS-F-147 call
8. MK-ST-F-056 has
9. MK-CF-F-132 map
10. MK-ST-F-027 accountId
11. MK-XS-F-064 currentIdToken
12. MK-XS-F-112 relayUrl</t>
  </si>
  <si>
    <t>1. MK-XS-F-122 n → MK-CF-F-155 cash → MK-NW-F-008 incomeBearingClassOf → MK-NW-F-011 assetClassOf → MK-NW-F-017 equitiesTotal
2. MK-ST-F-027 accountId → MK-XS-F-147 call → MK-ST-F-010 nameEvidence → MK-NW-F-008 incomeBearingClassOf → MK-NW-F-011 assetClassOf → MK-NW-F-017 equitiesTotal
3. MK-XS-F-064 currentIdToken → MK-XS-F-147 call → MK-ST-F-010 nameEvidence → MK-NW-F-008 incomeBearingClassOf → MK-NW-F-011 assetClassOf → MK-NW-F-017 equitiesTotal
4. MK-XS-F-112 relayUrl → MK-XS-F-147 call → MK-ST-F-010 nameEvidence → MK-NW-F-008 incomeBearingClassOf → MK-NW-F-011 assetClassOf → MK-NW-F-017 equitiesTotal
5. MK-ST-F-056 has → MK-ST-F-010 nameEvidence → MK-NW-F-008 incomeBearingClassOf → MK-NW-F-011 assetClassOf → MK-NW-F-017 equitiesTotal
6. MK-CF-F-132 map → MK-ST-F-010 nameEvidence → MK-NW-F-008 incomeBearingClassOf → MK-NW-F-011 assetClassOf → MK-NW-F-017 equitiesTotal
7. MK-NW-F-066 sumWhere → MK-NW-F-017 equitiesTotal</t>
  </si>
  <si>
    <t>MK-NW-F-018</t>
  </si>
  <si>
    <t>fixedIncomeTotal</t>
  </si>
  <si>
    <t>sum where(accounts, (a) =&gt; asset class of(a) = 'bonds')</t>
  </si>
  <si>
    <t>sum where(accounts, (a) =&gt; asset class of(a) = 'bonds').</t>
  </si>
  <si>
    <t>1. MK-XS-F-122 n → MK-CF-F-155 cash → MK-NW-F-008 incomeBearingClassOf → MK-NW-F-011 assetClassOf → MK-NW-F-018 fixedIncomeTotal
2. MK-ST-F-027 accountId → MK-XS-F-147 call → MK-ST-F-010 nameEvidence → MK-NW-F-008 incomeBearingClassOf → MK-NW-F-011 assetClassOf → MK-NW-F-018 fixedIncomeTotal
3. MK-XS-F-064 currentIdToken → MK-XS-F-147 call → MK-ST-F-010 nameEvidence → MK-NW-F-008 incomeBearingClassOf → MK-NW-F-011 assetClassOf → MK-NW-F-018 fixedIncomeTotal
4. MK-XS-F-112 relayUrl → MK-XS-F-147 call → MK-ST-F-010 nameEvidence → MK-NW-F-008 incomeBearingClassOf → MK-NW-F-011 assetClassOf → MK-NW-F-018 fixedIncomeTotal
5. MK-ST-F-056 has → MK-ST-F-010 nameEvidence → MK-NW-F-008 incomeBearingClassOf → MK-NW-F-011 assetClassOf → MK-NW-F-018 fixedIncomeTotal
6. MK-CF-F-132 map → MK-ST-F-010 nameEvidence → MK-NW-F-008 incomeBearingClassOf → MK-NW-F-011 assetClassOf → MK-NW-F-018 fixedIncomeTotal
7. MK-NW-F-066 sumWhere → MK-NW-F-018 fixedIncomeTotal</t>
  </si>
  <si>
    <t>MK-NW-F-019</t>
  </si>
  <si>
    <t>alternativesTotal</t>
  </si>
  <si>
    <t>sum where(accounts, (a) =&gt; asset class of(a) = 'alternatives')</t>
  </si>
  <si>
    <t>sum where(accounts, (a) =&gt; asset class of(a) = 'alternatives').</t>
  </si>
  <si>
    <t>1. MK-XS-F-122 n → MK-CF-F-155 cash → MK-NW-F-008 incomeBearingClassOf → MK-NW-F-011 assetClassOf → MK-NW-F-019 alternativesTotal
2. MK-ST-F-027 accountId → MK-XS-F-147 call → MK-ST-F-010 nameEvidence → MK-NW-F-008 incomeBearingClassOf → MK-NW-F-011 assetClassOf → MK-NW-F-019 alternativesTotal
3. MK-XS-F-064 currentIdToken → MK-XS-F-147 call → MK-ST-F-010 nameEvidence → MK-NW-F-008 incomeBearingClassOf → MK-NW-F-011 assetClassOf → MK-NW-F-019 alternativesTotal
4. MK-XS-F-112 relayUrl → MK-XS-F-147 call → MK-ST-F-010 nameEvidence → MK-NW-F-008 incomeBearingClassOf → MK-NW-F-011 assetClassOf → MK-NW-F-019 alternativesTotal
5. MK-ST-F-056 has → MK-ST-F-010 nameEvidence → MK-NW-F-008 incomeBearingClassOf → MK-NW-F-011 assetClassOf → MK-NW-F-019 alternativesTotal
6. MK-CF-F-132 map → MK-ST-F-010 nameEvidence → MK-NW-F-008 incomeBearingClassOf → MK-NW-F-011 assetClassOf → MK-NW-F-019 alternativesTotal
7. MK-NW-F-066 sumWhere → MK-NW-F-019 alternativesTotal</t>
  </si>
  <si>
    <t>MK-NW-F-020</t>
  </si>
  <si>
    <t>realEstateTotal</t>
  </si>
  <si>
    <t>sum where(accounts, (a) =&gt; asset class of(a) = 'real_estate')</t>
  </si>
  <si>
    <t>sum where(accounts, (a) =&gt; asset class of(a) = 'real_estate').</t>
  </si>
  <si>
    <t>1. MK-XS-F-122 n → MK-CF-F-155 cash → MK-NW-F-008 incomeBearingClassOf → MK-NW-F-011 assetClassOf → MK-NW-F-020 realEstateTotal
2. MK-ST-F-027 accountId → MK-XS-F-147 call → MK-ST-F-010 nameEvidence → MK-NW-F-008 incomeBearingClassOf → MK-NW-F-011 assetClassOf → MK-NW-F-020 realEstateTotal
3. MK-XS-F-064 currentIdToken → MK-XS-F-147 call → MK-ST-F-010 nameEvidence → MK-NW-F-008 incomeBearingClassOf → MK-NW-F-011 assetClassOf → MK-NW-F-020 realEstateTotal
4. MK-XS-F-112 relayUrl → MK-XS-F-147 call → MK-ST-F-010 nameEvidence → MK-NW-F-008 incomeBearingClassOf → MK-NW-F-011 assetClassOf → MK-NW-F-020 realEstateTotal
5. MK-ST-F-056 has → MK-ST-F-010 nameEvidence → MK-NW-F-008 incomeBearingClassOf → MK-NW-F-011 assetClassOf → MK-NW-F-020 realEstateTotal
6. MK-CF-F-132 map → MK-ST-F-010 nameEvidence → MK-NW-F-008 incomeBearingClassOf → MK-NW-F-011 assetClassOf → MK-NW-F-020 realEstateTotal
7. MK-NW-F-066 sumWhere → MK-NW-F-020 realEstateTotal</t>
  </si>
  <si>
    <t>MK-NW-F-021</t>
  </si>
  <si>
    <t>investmentsTotal</t>
  </si>
  <si>
    <t>Investments / holdings (allocation view, Term #4) = equities + fixed income + alternatives, ACROSS all wrappers (so a 401(k)'s stocks count).</t>
  </si>
  <si>
    <t>sum where(accounts, (a) =&gt; { const c = asset class of(a); return c = 'stocks_etf' or c = 'bonds' or c = 'alternatives' or c = 'mixed'; })</t>
  </si>
  <si>
    <t>sum where(accounts, (a) =&gt; { const c = asset class of(a); return c = 'stocks_etf' or c = 'bonds' or c = 'alternatives' or c = 'mixed'; }).</t>
  </si>
  <si>
    <t>1. MK-XS-F-122 n → MK-CF-F-155 cash → MK-NW-F-008 incomeBearingClassOf → MK-NW-F-011 assetClassOf → MK-NW-F-021 investmentsTotal
2. MK-ST-F-027 accountId → MK-XS-F-147 call → MK-ST-F-010 nameEvidence → MK-NW-F-008 incomeBearingClassOf → MK-NW-F-011 assetClassOf → MK-NW-F-021 investmentsTotal
3. MK-XS-F-064 currentIdToken → MK-XS-F-147 call → MK-ST-F-010 nameEvidence → MK-NW-F-008 incomeBearingClassOf → MK-NW-F-011 assetClassOf → MK-NW-F-021 investmentsTotal
4. MK-XS-F-112 relayUrl → MK-XS-F-147 call → MK-ST-F-010 nameEvidence → MK-NW-F-008 incomeBearingClassOf → MK-NW-F-011 assetClassOf → MK-NW-F-021 investmentsTotal
5. MK-ST-F-056 has → MK-ST-F-010 nameEvidence → MK-NW-F-008 incomeBearingClassOf → MK-NW-F-011 assetClassOf → MK-NW-F-021 investmentsTotal
6. MK-CF-F-132 map → MK-ST-F-010 nameEvidence → MK-NW-F-008 incomeBearingClassOf → MK-NW-F-011 assetClassOf → MK-NW-F-021 investmentsTotal
7. MK-NW-F-066 sumWhere → MK-NW-F-021 investmentsTotal</t>
  </si>
  <si>
    <t>TOTAL_INVESTMENTS</t>
  </si>
  <si>
    <t>TESTED, NOT VERIFIED (C3)</t>
  </si>
  <si>
    <t>MK-NW-F-022</t>
  </si>
  <si>
    <t>investableAssets</t>
  </si>
  <si>
    <t>Investable assets (Term #4) = all financial assets (cash + investments + retirement balances), EXCLUDING real estate + personal property.</t>
  </si>
  <si>
    <t>sum where(accounts, (a) =&gt; !is real asset(a))</t>
  </si>
  <si>
    <t>sum where(accounts, (a) =&gt; !is real asset(a)).</t>
  </si>
  <si>
    <t>1. MK-NW-F-014 isRealAsset
2. MK-NW-F-066 sumWhere
3. MK-NW-F-015 totalAssets</t>
  </si>
  <si>
    <t>1. MK-NW-F-014 isRealAsset
2. MK-NW-F-066 sumWhere
3. MK-NW-F-015 totalAssets
4. MK-NW-F-011 assetClassOf
5. MK-NW-F-008 incomeBearingClassOf
6. MK-CF-F-155 cash
7. MK-ST-F-010 nameEvidence
8. MK-XS-F-122 n
9. MK-XS-F-147 call
10. MK-ST-F-056 has
11. MK-CF-F-132 map
12. MK-ST-F-027 accountId
13. MK-XS-F-064 currentIdToken
14. MK-XS-F-112 relayUrl</t>
  </si>
  <si>
    <t>1. MK-XS-F-122 n → MK-CF-F-155 cash → MK-NW-F-008 incomeBearingClassOf → MK-NW-F-011 assetClassOf → MK-NW-F-014 isRealAsset → MK-NW-F-022 investableAssets
2. MK-XS-F-147 call → MK-ST-F-010 nameEvidence → MK-NW-F-008 incomeBearingClassOf → MK-NW-F-011 assetClassOf → MK-NW-F-014 isRealAsset → MK-NW-F-022 investableAssets
3. MK-ST-F-056 has → MK-ST-F-010 nameEvidence → MK-NW-F-008 incomeBearingClassOf → MK-NW-F-011 assetClassOf → MK-NW-F-014 isRealAsset → MK-NW-F-022 investableAssets
4. MK-CF-F-132 map → MK-ST-F-010 nameEvidence → MK-NW-F-008 incomeBearingClassOf → MK-NW-F-011 assetClassOf → MK-NW-F-014 isRealAsset → MK-NW-F-022 investableAssets
5. MK-NW-F-066 sumWhere → MK-NW-F-022 investableAssets
6. MK-NW-F-015 totalAssets → MK-NW-F-022 investableAssets</t>
  </si>
  <si>
    <t>TOTAL_INVESTABLE</t>
  </si>
  <si>
    <t>MK-NW-F-023</t>
  </si>
  <si>
    <t>wrapperWord</t>
  </si>
  <si>
    <t>KIND_TO_WRAPPER[kind] (or '' when missing)   if kind
''   otherwise</t>
  </si>
  <si>
    <t>KIND_TO_WRAPPER[kind] (or '' when missing) — when kind; '' — otherwise</t>
  </si>
  <si>
    <t>MK-NW-F-024</t>
  </si>
  <si>
    <t>accountLastFour</t>
  </si>
  <si>
    <t>The last four digits of an account, or null when we genuinely don't have them.</t>
  </si>
  <si>
    <t>digits = string(raw ?? '').replace( ÷ \D ÷ g, '')
digits.slice(-4)   when digits.length ≥ 4
[LOOP — the answer is found inside a loop the extractor cannot render; the steps above are the ones before it. Read by hand.]</t>
  </si>
  <si>
    <t>Digits is string(raw ?? '').replace( divided by \D divided by g, ''). When digits.length is at least 4, it answers digits.slice(-4). The answer is no answer. The answer is found inside a loop that cannot be rendered here; read the code by hand.</t>
  </si>
  <si>
    <t>a: { mask?: string; account_number?: string }</t>
  </si>
  <si>
    <t>string | null</t>
  </si>
  <si>
    <t>MK-NW-F-025</t>
  </si>
  <si>
    <t>accountDisplayName</t>
  </si>
  <si>
    <t>The ONE display name for an account row (build-43 finding #1): institution prefixes the label ONLY when the label doesn't already say it (E*TRADE's own name is "E*Trade Individual Brokerage" — prefixing the institution again rendered "E-Trade E*Trade Individual…"), and the broker's mask suffixes when present so two same-named accounts are tellable apart (wireframe: "Brokerage ...4821").</t>
  </si>
  <si>
    <t>inst raw = (institution ?? '').trim()
last4 = account last four(a)
wrapper = wrapper word((a as any).kind)
tax advantaged = tax treatment of(a as asset account) ! = 'taxable'
`${inst raw} ${wrapper} -${last4}`   if last4
`${inst raw} ${wrapper}`   otherwise   when tax advantaged and wrapper
`${inst raw} -${last4}`   when last4
`${inst raw} ${wrapper}`   when wrapper
label = (label ?? '').trim()
pos = ((a as any).positions ?? []) as any[]
inst = (institution ?? '').trim()
norm = (s: string) =&gt; to lower case().replace( ÷ [^a − z0 − 9] ÷ g, '')
… the first steps only — the rest of the body needs reading by hand.</t>
  </si>
  <si>
    <t>Inst raw is (institution ?? '').trim(). Last4 is account last four(a). Wrapper is wrapper word((a as any).kind). Tax advantaged is tax treatment of(a as asset account) ! = 'taxable'. When tax advantaged and wrapper, it answers `${inst raw} ${wrapper} -${last4}` — when last4; `${inst raw} ${wrapper}` — otherwise. When last4, it answers `${inst raw} -${last4}`. When wrapper, it answers `${inst raw} ${wrapper}`. Label is (label ?? '').trim(). Pos is ((a as any).positions ?? []) as any[]. Inst is (institution ?? '').trim(). Norm is (s: string) =&gt; to lower case().replace( divided by [^a minus z0 minus 9] divided by g, ''). Only the first steps are shown; the rest of the body needs reading by hand.</t>
  </si>
  <si>
    <t>a: Pick&lt;AssetAccount, 'label' | 'institution' | 'mask'&gt; &amp; { positions?: unknown[]; kind?: string; tax_bucket?: TaxBucket; tax_treatment?: TaxTreatment }</t>
  </si>
  <si>
    <t>1. MK-NW-F-026 accountDisplayNames
2. MK-NW-F-024 accountLastFour
3. MK-NW-F-012 taxTreatmentOf
4. MK-NW-F-023 wrapperWord</t>
  </si>
  <si>
    <t>1. MK-NW-F-026 accountDisplayNames
2. MK-NW-F-024 accountLastFour
3. MK-NW-F-012 taxTreatmentOf
4. MK-NW-F-023 wrapperWord
5. MK-CF-F-155 cash
6. MK-CF-F-132 map
7. MK-XS-F-122 n</t>
  </si>
  <si>
    <t>1. accountDisplayName (already above — a loop) → MK-NW-F-026 accountDisplayNames → MK-NW-F-025 accountDisplayName
2. MK-XS-F-122 n → MK-CF-F-155 cash → MK-NW-F-026 accountDisplayNames → MK-NW-F-025 accountDisplayName
3. MK-CF-F-132 map → MK-NW-F-026 accountDisplayNames → MK-NW-F-025 accountDisplayName
4. MK-XS-F-122 n → MK-NW-F-026 accountDisplayNames → MK-NW-F-025 accountDisplayName
5. MK-NW-F-024 accountLastFour → MK-NW-F-025 accountDisplayName
6. MK-NW-F-012 taxTreatmentOf → MK-NW-F-025 accountDisplayName
7. MK-NW-F-023 wrapperWord → MK-NW-F-025 accountDisplayName</t>
  </si>
  <si>
    <t>MK-NW-F-026</t>
  </si>
  <si>
    <t>accountDisplayNames</t>
  </si>
  <si>
    <t>Display names for a whole LIST of accounts.</t>
  </si>
  <si>
    <t>base = a lookup of for each of accounts: [asset id, account display name(each)]
counts = new map&lt;string, number&gt;()
seen = new map&lt;string, number&gt;()
out = new map&lt;string, string&gt;()
n = base.get(asset id)!
i = (seen.get(n) ?? 0) + 1
the answer = out</t>
  </si>
  <si>
    <t>Base is a lookup of for each of accounts: [asset id, account display name(each)]. Counts is new map&lt;string, number&gt;(). Seen is new map&lt;string, number&gt;(). Out is new map&lt;string, string&gt;(). N is base.get(asset id)!. I is (seen.get(n) ?? 0) plus 1. The answer is out.</t>
  </si>
  <si>
    <t>accounts: (Pick&lt;AssetAccount, 'asset_id' | 'label' | 'institution' | 'mask'&gt; &amp; { positions?: unknown[] })[]</t>
  </si>
  <si>
    <t>Map&lt;string, string&gt;</t>
  </si>
  <si>
    <t>"Bonds &amp; alternatives — recorded on their own pages" — on the Performance screen</t>
  </si>
  <si>
    <t>1. MK-NW-F-025 accountDisplayName
2. MK-CF-F-155 cash
3. MK-CF-F-132 map
4. MK-XS-F-122 n</t>
  </si>
  <si>
    <t>1. MK-NW-F-025 accountDisplayName
2. MK-CF-F-155 cash
3. MK-CF-F-132 map
4. MK-XS-F-122 n
5. MK-NW-F-024 accountLastFour
6. MK-NW-F-012 taxTreatmentOf
7. MK-NW-F-023 wrapperWord</t>
  </si>
  <si>
    <t>1. accountDisplayNames (already above — a loop) → MK-NW-F-025 accountDisplayName → MK-NW-F-026 accountDisplayNames
2. MK-NW-F-024 accountLastFour → MK-NW-F-025 accountDisplayName → MK-NW-F-026 accountDisplayNames
3. MK-NW-F-012 taxTreatmentOf → MK-NW-F-025 accountDisplayName → MK-NW-F-026 accountDisplayNames
4. MK-NW-F-023 wrapperWord → MK-NW-F-025 accountDisplayName → MK-NW-F-026 accountDisplayNames
5. MK-XS-F-122 n → MK-CF-F-155 cash → MK-NW-F-026 accountDisplayNames
6. MK-CF-F-132 map → MK-NW-F-026 accountDisplayNames
7. MK-XS-F-122 n → MK-NW-F-026 accountDisplayNames</t>
  </si>
  <si>
    <t>ACCOUNT_NAMES</t>
  </si>
  <si>
    <t>APPROVED v6 (2026-07-19): a CONNECTED account splits across the asset classes it actually holds — CDs under bonds, money market + sleeve under cash, options under alternatives, stocks under stocks — with the slices summing EXACTLY to the broker's authoritative balance.</t>
  </si>
  <si>
    <t>nothing   when source ! = 'connected'
out = cash = 0
bonds = 0
stocks etf = 0
alternatives = 0
real estate = 0
personal property = 0
mixed = 0
sh = (lots ?? []).reduce((t: number, l: any) =&gt; t + (shares or 0), 0)
v = sh × last price   if last price ≠ nothing
0   otherwise
by name = income bearing class of(`${ticker ?? ''} ${name ?? description ?? ''}`)
sum = Σ over object.values(out) as number[] of (each)
r = (balance or 0) − sum
own = asset class of(a)
bucket = 'mixed'   if own = 'mixed'
own   otherwise
the answer = out</t>
  </si>
  <si>
    <t>When source ! = 'connected', it answers no answer. Out is cash = 0; bonds = 0; stocks etf = 0; alternatives = 0; real estate = 0; personal property = 0; mixed = 0. Sh is (lots ?? []).reduce((t: number, l: any) =&gt; t plus (shares or 0), 0). V is sh times last price — when last price is not no answer; 0 — otherwise. By name is income bearing class of(`${ticker ?? ''} ${name ?? description ?? ''}`). Sum: the each added up across object.values(out) as number[]. R is (balance or 0) minus sum. Own is asset class of(a). Bucket is 'mixed' — when own = 'mixed'; own — otherwise. The answer is out.</t>
  </si>
  <si>
    <t>Record&lt;AssetClass, number&gt; | null</t>
  </si>
  <si>
    <t>1. If cash balance is missing it uses 0.
2. If shares is missing it counts as zero, so nothing recorded and a real zero look the same.
3. If value is missing it counts as zero, so nothing recorded and a real zero look the same.
4. If balance is missing it counts as zero, so nothing recorded and a real zero look the same.</t>
  </si>
  <si>
    <t>1. MK-NW-F-011 assetClassOf
2. MK-CF-F-155 cash
3. MK-NW-F-008 incomeBearingClassOf</t>
  </si>
  <si>
    <t>MK-NW-F-028</t>
  </si>
  <si>
    <t>classPortionLabel</t>
  </si>
  <si>
    <t>Plain words for an account's slice inside a class row.</t>
  </si>
  <si>
    <t>pos = (positions ?? []) as any[]
c = 'bonds'   if asset class = 'bond'
'alternatives'   if asset class = 'other'
'cash'   if asset class = 'cash'
'stocks_etf'   otherwise   otherwise   otherwise
the answer = c = cls
name of = (p: any) =&gt; `${ticker ?? ''} ${name ?? label ?? ''}`
opts = count of ((a as any).option holdings ?? []) as any[]
cds = in class where CD_RE.test(name of(each))count of 
treas = in class where !CD_RE.test(name of(each)) and TREASURY_RE.test(name of(each))count of 
rest = in class.length − cds − treas
parts = [opts ? plural(opts, 'option') : '', in class.length ? plural(in class.length, 'holding') : ''] where boolean</t>
  </si>
  <si>
    <t>Pos is (positions ?? []) as any[]. C is 'bonds' — when asset class = 'bond'; 'alternatives' — when asset class = 'other'; 'cash' — when asset class = 'cash'; 'stocks_etf' — otherwise — otherwise — otherwise. The answer is c = cls. Name of is (p: any) =&gt; `${ticker ?? ''} ${name ?? label ?? ''}`. Opts: how many ((a as any).option holdings ?? []) as any[] there are. Cds is in class where CD_RE.test(name of(each))count of. Treas is in class where !CD_RE.test(name of(each)) and TREASURY_RE.test(name of(each))count of. Rest is in class.length minus cds minus treas. Parts is [opts ? plural(opts, 'option') : '', in class.length ? plural(in class.length, 'holding') : ''] where boolean.</t>
  </si>
  <si>
    <t>1. a: AssetAccount
2. cls: AssetClass</t>
  </si>
  <si>
    <t>1. MK-XS-F-120 nameOf
2. MK-NW-F-067 plural</t>
  </si>
  <si>
    <t>1. MK-XS-F-120 nameOf → MK-NW-F-028 classPortionLabel
2. MK-NW-F-067 plural → MK-NW-F-028 classPortionLabel</t>
  </si>
  <si>
    <t>SLICE_WORDING</t>
  </si>
  <si>
    <t>MK-NW-F-029</t>
  </si>
  <si>
    <t>assetAllocation</t>
  </si>
  <si>
    <t>How much money sits in each of the seven classes?</t>
  </si>
  <si>
    <t>out = cash = 0
bonds = 0
stocks etf = 0
alternatives = 0
real estate = 0
personal property = 0
mixed = 0
b = account class breakdown(a)
the answer = out</t>
  </si>
  <si>
    <t>Out is cash = 0; bonds = 0; stocks etf = 0; alternatives = 0; real estate = 0; personal property = 0; mixed = 0. B is account class breakdown(a). The answer is out.</t>
  </si>
  <si>
    <t>Record&lt;AssetClass, number&gt;</t>
  </si>
  <si>
    <t>1. MK-XS-F-122 n → MK-CF-F-155 cash → MK-NW-F-008 incomeBearingClassOf → MK-NW-F-011 assetClassOf → MK-NW-F-027 accountClassBreakdown → MK-NW-F-029 assetAllocation
2. MK-XS-F-147 call → MK-ST-F-010 nameEvidence → MK-NW-F-008 incomeBearingClassOf → MK-NW-F-011 assetClassOf → MK-NW-F-027 accountClassBreakdown → MK-NW-F-029 assetAllocation
3. MK-ST-F-056 has → MK-ST-F-010 nameEvidence → MK-NW-F-008 incomeBearingClassOf → MK-NW-F-011 assetClassOf → MK-NW-F-027 accountClassBreakdown → MK-NW-F-029 assetAllocation
4. MK-CF-F-132 map → MK-ST-F-010 nameEvidence → MK-NW-F-008 incomeBearingClassOf → MK-NW-F-011 assetClassOf → MK-NW-F-027 accountClassBreakdown → MK-NW-F-029 assetAllocation
5. MK-XS-F-122 n → MK-CF-F-155 cash → MK-NW-F-027 accountClassBreakdown → MK-NW-F-029 assetAllocation
6. MK-XS-F-122 n → MK-CF-F-155 cash → MK-NW-F-008 incomeBearingClassOf → MK-NW-F-027 accountClassBreakdown → MK-NW-F-029 assetAllocation
7. MK-ST-F-027 accountId → MK-XS-F-147 call → MK-ST-F-010 nameEvidence → MK-NW-F-008 incomeBearingClassOf → MK-NW-F-027 accountClassBreakdown → MK-NW-F-029 assetAllocation
8. MK-XS-F-064 currentIdToken → MK-XS-F-147 call → MK-ST-F-010 nameEvidence → MK-NW-F-008 incomeBearingClassOf → MK-NW-F-027 accountClassBreakdown → MK-NW-F-029 assetAllocation
9. … and 4 more paths</t>
  </si>
  <si>
    <t>ALLOCATION_BY_CLASS</t>
  </si>
  <si>
    <t>MK-NW-F-030</t>
  </si>
  <si>
    <t>earmarkDefault</t>
  </si>
  <si>
    <t>Default % of an account that's earmarked for retirement (rest funds other goals).</t>
  </si>
  <si>
    <t>0   when kind = 'college_529'
0   when asset class of(a) = 'real_estate' and real estate use of(a) = 'primary'
0   when asset id = primary car id
100</t>
  </si>
  <si>
    <t>When kind = 'college_529', it answers 0. When asset class of(a) = 'real_estate' and real estate use of(a) = 'primary', it answers 0. When asset id = primary car id, it answers 0. 100.</t>
  </si>
  <si>
    <t>1. a: AssetAccount
2. primaryCarId?: string</t>
  </si>
  <si>
    <t>1. "Test retiring earlier, saving more, market ups &amp; downs." — on the Retirement cockpit screen
2. "WHAT COUNTS TOWARD RETIREMENT" — on a card used on more than one screen (PlanInputs), under "WHAT COUNTS TOWARD RETIREMENT"
3. "What counts toward retirement?" — on the Retirement cockpit screen</t>
  </si>
  <si>
    <t>1. MK-NW-F-011 assetClassOf
2. MK-NW-F-013 realEstateUseOf</t>
  </si>
  <si>
    <t>1. MK-NW-F-011 assetClassOf
2. MK-NW-F-013 realEstateUseOf
3. MK-NW-F-008 incomeBearingClassOf
4. MK-CF-F-155 cash
5. MK-ST-F-010 nameEvidence
6. MK-XS-F-122 n
7. MK-XS-F-147 call
8. MK-ST-F-056 has
9. MK-CF-F-132 map
10. MK-ST-F-027 accountId
11. MK-XS-F-064 currentIdToken
12. MK-XS-F-112 relayUrl</t>
  </si>
  <si>
    <t>1. MK-XS-F-122 n → MK-CF-F-155 cash → MK-NW-F-008 incomeBearingClassOf → MK-NW-F-011 assetClassOf → MK-NW-F-030 earmarkDefault
2. MK-ST-F-027 accountId → MK-XS-F-147 call → MK-ST-F-010 nameEvidence → MK-NW-F-008 incomeBearingClassOf → MK-NW-F-011 assetClassOf → MK-NW-F-030 earmarkDefault
3. MK-XS-F-064 currentIdToken → MK-XS-F-147 call → MK-ST-F-010 nameEvidence → MK-NW-F-008 incomeBearingClassOf → MK-NW-F-011 assetClassOf → MK-NW-F-030 earmarkDefault
4. MK-XS-F-112 relayUrl → MK-XS-F-147 call → MK-ST-F-010 nameEvidence → MK-NW-F-008 incomeBearingClassOf → MK-NW-F-011 assetClassOf → MK-NW-F-030 earmarkDefault
5. MK-ST-F-056 has → MK-ST-F-010 nameEvidence → MK-NW-F-008 incomeBearingClassOf → MK-NW-F-011 assetClassOf → MK-NW-F-030 earmarkDefault
6. MK-CF-F-132 map → MK-ST-F-010 nameEvidence → MK-NW-F-008 incomeBearingClassOf → MK-NW-F-011 assetClassOf → MK-NW-F-030 earmarkDefault
7. MK-NW-F-013 realEstateUseOf → MK-NW-F-030 earmarkDefault</t>
  </si>
  <si>
    <t>RETIREMENT_SHARE_DEFAULT</t>
  </si>
  <si>
    <t>MK-NW-F-031</t>
  </si>
  <si>
    <t>primaryCarIdOf</t>
  </si>
  <si>
    <t>The vehicle treated as "the car you drive" — the most valuable one, so a second car stays a real asset.</t>
  </si>
  <si>
    <t>cars = accounts (or none when missing) where kind = 'vehicle' (or asset class of(each) = 'personal_property' when missing or zero)
undefined   when count of cars is missing
the answer = [...cars].sort((x, y) =&gt; (balance or 0) − (balance or 0) or string(asset id).locale compare(string(asset id)))[0].asset id</t>
  </si>
  <si>
    <t>Cars is accounts (or none — when missing) where kind = 'vehicle' (or asset class of(each) = 'personal_property' — when missing or zero). When how many cars is missing there are, it answers undefined. The answer is [...cars].sort((x, y) =&gt; (balance or 0) minus (balance or 0) or string(asset id).locale compare(string(asset id)))[0].asset id.</t>
  </si>
  <si>
    <t>string | undefined</t>
  </si>
  <si>
    <t>"WHAT COUNTS TOWARD RETIREMENT" — on a card used on more than one screen (PlanInputs), under "WHAT COUNTS TOWARD RETIREMENT"</t>
  </si>
  <si>
    <t>1. MK-XS-F-122 n → MK-CF-F-155 cash → MK-NW-F-008 incomeBearingClassOf → MK-NW-F-011 assetClassOf → MK-NW-F-031 primaryCarIdOf
2. MK-ST-F-027 accountId → MK-XS-F-147 call → MK-ST-F-010 nameEvidence → MK-NW-F-008 incomeBearingClassOf → MK-NW-F-011 assetClassOf → MK-NW-F-031 primaryCarIdOf
3. MK-XS-F-064 currentIdToken → MK-XS-F-147 call → MK-ST-F-010 nameEvidence → MK-NW-F-008 incomeBearingClassOf → MK-NW-F-011 assetClassOf → MK-NW-F-031 primaryCarIdOf
4. MK-XS-F-112 relayUrl → MK-XS-F-147 call → MK-ST-F-010 nameEvidence → MK-NW-F-008 incomeBearingClassOf → MK-NW-F-011 assetClassOf → MK-NW-F-031 primaryCarIdOf
5. MK-ST-F-056 has → MK-ST-F-010 nameEvidence → MK-NW-F-008 incomeBearingClassOf → MK-NW-F-011 assetClassOf → MK-NW-F-031 primaryCarIdOf
6. MK-CF-F-132 map → MK-ST-F-010 nameEvidence → MK-NW-F-008 incomeBearingClassOf → MK-NW-F-011 assetClassOf → MK-NW-F-031 primaryCarIdOf</t>
  </si>
  <si>
    <t>PRIMARY_CAR</t>
  </si>
  <si>
    <t>MK-NW-F-032</t>
  </si>
  <si>
    <t>earmarkedAmount</t>
  </si>
  <si>
    <t>The retirement-earmarked $ for one account (uses the saved % or the smart default).</t>
  </si>
  <si>
    <t>pct = earmark default(a, primary car id)   if retirement pct = nothing
retirement pct   otherwise
the answer = (balance or 0) × max(0, min(100, pct)) ÷ 100</t>
  </si>
  <si>
    <t>Pct is earmark default(a, primary car id) — when retirement pct is missing; retirement pct — otherwise. The answer is (balance or 0) times the smaller of 100 and pct, never below zero divided by 100.</t>
  </si>
  <si>
    <t>1. If balance is missing it counts as zero, so nothing recorded and a real zero look the same.
2. Caps percent at 100.</t>
  </si>
  <si>
    <t>MK-NW-F-030 earmarkDefault</t>
  </si>
  <si>
    <t>1. MK-NW-F-030 earmarkDefault
2. MK-NW-F-011 assetClassOf
3. MK-NW-F-013 realEstateUseOf
4. MK-NW-F-008 incomeBearingClassOf
5. MK-CF-F-155 cash
6. MK-ST-F-010 nameEvidence
7. MK-XS-F-122 n
8. MK-XS-F-147 call
9. MK-ST-F-056 has
10. MK-CF-F-132 map
11. MK-ST-F-027 accountId
12. MK-XS-F-064 currentIdToken
13. MK-XS-F-112 relayUrl</t>
  </si>
  <si>
    <t>1. MK-XS-F-122 n → MK-CF-F-155 cash → MK-NW-F-008 incomeBearingClassOf → MK-NW-F-011 assetClassOf → MK-NW-F-030 earmarkDefault → MK-NW-F-032 earmarkedAmount
2. MK-XS-F-147 call → MK-ST-F-010 nameEvidence → MK-NW-F-008 incomeBearingClassOf → MK-NW-F-011 assetClassOf → MK-NW-F-030 earmarkDefault → MK-NW-F-032 earmarkedAmount
3. MK-ST-F-056 has → MK-ST-F-010 nameEvidence → MK-NW-F-008 incomeBearingClassOf → MK-NW-F-011 assetClassOf → MK-NW-F-030 earmarkDefault → MK-NW-F-032 earmarkedAmount
4. MK-CF-F-132 map → MK-ST-F-010 nameEvidence → MK-NW-F-008 incomeBearingClassOf → MK-NW-F-011 assetClassOf → MK-NW-F-030 earmarkDefault → MK-NW-F-032 earmarkedAmount
5. MK-NW-F-013 realEstateUseOf → MK-NW-F-030 earmarkDefault → MK-NW-F-032 earmarkedAmount</t>
  </si>
  <si>
    <t>RETIREMENT_SHARE_AMOUNT</t>
  </si>
  <si>
    <t>MK-NW-F-033</t>
  </si>
  <si>
    <t>retirementEarmarkedValue</t>
  </si>
  <si>
    <t>Total nest egg = sum of each account's retirement-earmarked portion.</t>
  </si>
  <si>
    <t>car = primary car id of(accounts)
the answer = Σ over accounts (or none when missing) of (earmarked amount(each, car))</t>
  </si>
  <si>
    <t>Car is primary car id of(accounts). The answer: the earmarked amount(each, car) added up across accounts (or none — when missing).</t>
  </si>
  <si>
    <t>1. "Nest egg today" — on the Retirement cockpit screen, under "scRetired ?"
2. "Nest egg" — on the Retirement cockpit screen, under "RETIREMENT
3. WHERE YOU STAND"
4. "Projected nest egg" — on the Retirement cockpit screen
5. "WHAT COUNTS TOWARD RETIREMENT" — on a card used on more than one screen (PlanInputs), under "WHAT COUNTS TOWARD RETIREMENT"</t>
  </si>
  <si>
    <t>1. MK-NW-F-032 earmarkedAmount
2. MK-NW-F-031 primaryCarIdOf</t>
  </si>
  <si>
    <t>1. MK-NW-F-032 earmarkedAmount
2. MK-NW-F-031 primaryCarIdOf
3. MK-NW-F-030 earmarkDefault
4. MK-NW-F-011 assetClassOf
5. MK-NW-F-013 realEstateUseOf
6. MK-NW-F-008 incomeBearingClassOf
7. MK-CF-F-155 cash
8. MK-ST-F-010 nameEvidence
9. MK-XS-F-122 n
10. MK-XS-F-147 call
11. MK-ST-F-056 has
12. MK-CF-F-132 map
13. MK-ST-F-027 accountId
14. MK-XS-F-064 currentIdToken
15. MK-XS-F-112 relayUrl</t>
  </si>
  <si>
    <t>1. MK-CF-F-155 cash → MK-NW-F-008 incomeBearingClassOf → MK-NW-F-011 assetClassOf → MK-NW-F-030 earmarkDefault → MK-NW-F-032 earmarkedAmount → MK-NW-F-033 retirementEarmarkedValue
2. MK-ST-F-010 nameEvidence → MK-NW-F-008 incomeBearingClassOf → MK-NW-F-011 assetClassOf → MK-NW-F-030 earmarkDefault → MK-NW-F-032 earmarkedAmount → MK-NW-F-033 retirementEarmarkedValue
3. MK-NW-F-013 realEstateUseOf → MK-NW-F-030 earmarkDefault → MK-NW-F-032 earmarkedAmount → MK-NW-F-033 retirementEarmarkedValue
4. MK-XS-F-122 n → MK-CF-F-155 cash → MK-NW-F-008 incomeBearingClassOf → MK-NW-F-011 assetClassOf → MK-NW-F-031 primaryCarIdOf → MK-NW-F-033 retirementEarmarkedValue
5. MK-XS-F-147 call → MK-ST-F-010 nameEvidence → MK-NW-F-008 incomeBearingClassOf → MK-NW-F-011 assetClassOf → MK-NW-F-031 primaryCarIdOf → MK-NW-F-033 retirementEarmarkedValue
6. MK-ST-F-056 has → MK-ST-F-010 nameEvidence → MK-NW-F-008 incomeBearingClassOf → MK-NW-F-011 assetClassOf → MK-NW-F-031 primaryCarIdOf → MK-NW-F-033 retirementEarmarkedValue
7. MK-CF-F-132 map → MK-ST-F-010 nameEvidence → MK-NW-F-008 incomeBearingClassOf → MK-NW-F-011 assetClassOf → MK-NW-F-031 primaryCarIdOf → MK-NW-F-033 retirementEarmarkedValue</t>
  </si>
  <si>
    <t>MK-NW-F-034</t>
  </si>
  <si>
    <t>benchmarkReturn</t>
  </si>
  <si>
    <t>Benchmark expected annual return for an asset kind — user override if set, else the ASSET_KINDS default.</t>
  </si>
  <si>
    <t>overrides[kind]   when kind and overrides and overrides[kind] ≠ nothing
asset kind(kind).ret (or 0.06 when missing)</t>
  </si>
  <si>
    <t>When kind and overrides and overrides[kind] is not no answer, it answers overrides[kind]. asset kind(kind).ret (or 0.06 — when missing).</t>
  </si>
  <si>
    <t>1. kind: string | undefined
2. overrides?: Record&lt;string, number&gt;</t>
  </si>
  <si>
    <t>1. "EST. GROWTH /year" — on the Other investments screen, under "ALTERNATIVES"
2. "Type" — on the Other investments screen
3. "Typical yearly return for this type" — on the Account detail screen, under "IF INTEREST RATES MOVE"</t>
  </si>
  <si>
    <t>· If return is missing it uses 6%.</t>
  </si>
  <si>
    <t>1. MK-XS-F-122 n → MK-CF-F-155 cash → MK-NW-F-008 incomeBearingClassOf → MK-NW-F-011 assetClassOf → MK-NW-F-007 assetKind → MK-NW-F-034 benchmarkReturn
2. MK-XS-F-147 call → MK-ST-F-010 nameEvidence → MK-NW-F-008 incomeBearingClassOf → MK-NW-F-011 assetClassOf → MK-NW-F-007 assetKind → MK-NW-F-034 benchmarkReturn
3. MK-ST-F-056 has → MK-ST-F-010 nameEvidence → MK-NW-F-008 incomeBearingClassOf → MK-NW-F-011 assetClassOf → MK-NW-F-007 assetKind → MK-NW-F-034 benchmarkReturn
4. MK-CF-F-132 map → MK-ST-F-010 nameEvidence → MK-NW-F-008 incomeBearingClassOf → MK-NW-F-011 assetClassOf → MK-NW-F-007 assetKind → MK-NW-F-034 benchmarkReturn
5. MK-XS-F-122 n → MK-CF-F-155 cash → MK-NW-F-007 assetKind → MK-NW-F-034 benchmarkReturn</t>
  </si>
  <si>
    <t>EXPECTED_RETURN_BY_KIND</t>
  </si>
  <si>
    <t>MK-NW-F-035</t>
  </si>
  <si>
    <t>blendedVolatility</t>
  </si>
  <si>
    <t>The volatility of THIS portfolio — each account's own class volatility, weighted the way the money actually is (the same weighting `blendedReturn` uses, so the pair always describes one portfolio).</t>
  </si>
  <si>
    <t>car = primary car id of(accounts)
items = accounts (or none when missing) where tax bucket ! = 'PROPERTY'
total = Σ over items of (earmarked amount(each, car))
0.12   when total ≤ 0
v = overrides[kind]   if kind and overrides.[kind] ≠ nothing
KIND_VOLATILITY[kind]   if kind
undefined   otherwise   otherwise
the answer = t + (v ?? 0.12) × earmarked amount(a, car)</t>
  </si>
  <si>
    <t>Car is primary car id of(accounts). Items is accounts (or none — when missing) where tax bucket ! = 'PROPERTY'. Total: the earmarked amount(each, car) added up across items. When total is at most 0, it answers 0.12. V is overrides[kind] — when kind and overrides.[kind] is not no answer; KIND_VOLATILITY[kind] — when kind; undefined — otherwise — otherwise. The answer is t plus (v ?? 0.12) times earmarked amount(a, car).</t>
  </si>
  <si>
    <t>1. accounts: AssetAccount[]
2. overrides?: Record&lt;string, number&gt;</t>
  </si>
  <si>
    <t>· If v is missing it uses 12%.</t>
  </si>
  <si>
    <t>1. MK-CF-F-155 cash
2. MK-NW-F-032 earmarkedAmount
3. MK-NW-F-031 primaryCarIdOf</t>
  </si>
  <si>
    <t>1. MK-CF-F-155 cash
2. MK-NW-F-032 earmarkedAmount
3. MK-NW-F-031 primaryCarIdOf
4. MK-XS-F-122 n
5. MK-NW-F-030 earmarkDefault
6. MK-NW-F-011 assetClassOf
7. MK-NW-F-013 realEstateUseOf
8. MK-NW-F-008 incomeBearingClassOf
9. MK-ST-F-010 nameEvidence
10. MK-XS-F-147 call
11. MK-ST-F-056 has
12. MK-CF-F-132 map
13. MK-ST-F-027 accountId
14. MK-XS-F-064 currentIdToken
15. MK-XS-F-112 relayUrl</t>
  </si>
  <si>
    <t>1. MK-XS-F-122 n → MK-CF-F-155 cash → MK-NW-F-035 blendedVolatility
2. MK-CF-F-155 cash → MK-NW-F-008 incomeBearingClassOf → MK-NW-F-011 assetClassOf → MK-NW-F-030 earmarkDefault → MK-NW-F-032 earmarkedAmount → MK-NW-F-035 blendedVolatility
3. MK-ST-F-010 nameEvidence → MK-NW-F-008 incomeBearingClassOf → MK-NW-F-011 assetClassOf → MK-NW-F-030 earmarkDefault → MK-NW-F-032 earmarkedAmount → MK-NW-F-035 blendedVolatility
4. MK-NW-F-013 realEstateUseOf → MK-NW-F-030 earmarkDefault → MK-NW-F-032 earmarkedAmount → MK-NW-F-035 blendedVolatility
5. MK-XS-F-122 n → MK-CF-F-155 cash → MK-NW-F-008 incomeBearingClassOf → MK-NW-F-011 assetClassOf → MK-NW-F-031 primaryCarIdOf → MK-NW-F-035 blendedVolatility
6. MK-XS-F-147 call → MK-ST-F-010 nameEvidence → MK-NW-F-008 incomeBearingClassOf → MK-NW-F-011 assetClassOf → MK-NW-F-031 primaryCarIdOf → MK-NW-F-035 blendedVolatility
7. MK-ST-F-056 has → MK-ST-F-010 nameEvidence → MK-NW-F-008 incomeBearingClassOf → MK-NW-F-011 assetClassOf → MK-NW-F-031 primaryCarIdOf → MK-NW-F-035 blendedVolatility
8. MK-CF-F-132 map → MK-ST-F-010 nameEvidence → MK-NW-F-008 incomeBearingClassOf → MK-NW-F-011 assetClassOf → MK-NW-F-031 primaryCarIdOf → MK-NW-F-035 blendedVolatility</t>
  </si>
  <si>
    <t>TESTED, NOT VERIFIED (G24)</t>
  </si>
  <si>
    <t>MK-NW-F-036</t>
  </si>
  <si>
    <t>benchmarkInfo</t>
  </si>
  <si>
    <t>Benchmark return + its source/period for an asset kind.</t>
  </si>
  <si>
    <t>meta = BENCHMARK_META[kind ?? ''] (or source = 'generic blended estimate'
period = '—'
estimate = true when missing)
edited = !!(kind and overrides and overrides[kind] ≠ nothing)
the answer:
ret = benchmark return(kind, overrides)
source = 'your custom estimate'   if edited
meta.source   otherwise
period = '—'   if edited
meta.period   otherwise
edited = edited
estimate = !!meta.estimate</t>
  </si>
  <si>
    <t>Meta is BENCHMARK_META[kind ?? ''] (or source = 'generic blended estimate'; period = '—'; estimate = true — when missing). Edited is !!(kind and overrides and overrides[kind] is not no answer). The answer is ret = benchmark return(kind, overrides); source = 'your custom estimate' — when edited; meta.source — otherwise; period = '—' — when edited; meta.period — otherwise; edited = edited; estimate = !!meta.estimate.</t>
  </si>
  <si>
    <t>MK-NW-F-034 benchmarkReturn</t>
  </si>
  <si>
    <t>1. MK-NW-F-034 benchmarkReturn
2. MK-NW-F-007 assetKind
3. MK-NW-F-011 assetClassOf
4. MK-CF-F-155 cash
5. MK-NW-F-008 incomeBearingClassOf
6. MK-XS-F-122 n
7. MK-ST-F-010 nameEvidence
8. MK-XS-F-147 call
9. MK-ST-F-056 has
10. MK-CF-F-132 map
11. MK-ST-F-027 accountId
12. MK-XS-F-064 currentIdToken
13. MK-XS-F-112 relayUrl</t>
  </si>
  <si>
    <t>1. MK-CF-F-155 cash → MK-NW-F-008 incomeBearingClassOf → MK-NW-F-011 assetClassOf → MK-NW-F-007 assetKind → MK-NW-F-034 benchmarkReturn → MK-NW-F-036 benchmarkInfo
2. MK-ST-F-010 nameEvidence → MK-NW-F-008 incomeBearingClassOf → MK-NW-F-011 assetClassOf → MK-NW-F-007 assetKind → MK-NW-F-034 benchmarkReturn → MK-NW-F-036 benchmarkInfo
3. MK-XS-F-122 n → MK-CF-F-155 cash → MK-NW-F-007 assetKind → MK-NW-F-034 benchmarkReturn → MK-NW-F-036 benchmarkInfo</t>
  </si>
  <si>
    <t>MK-NW-F-037</t>
  </si>
  <si>
    <t>blendedReturn</t>
  </si>
  <si>
    <t>Blended expected return across the EARMARKED nest egg, weighted by each holding's share.</t>
  </si>
  <si>
    <t>car = primary car id of(accounts)
items = accounts (or none when missing) where tax bucket ! = 'PROPERTY'
total = Σ over items of (earmarked amount(each, car))
0.06   when total ≤ 0
weighted = Σ over items of (benchmark return(kind, overrides) × earmarked amount(each, car))
the answer = weighted ÷ total</t>
  </si>
  <si>
    <t>Car is primary car id of(accounts). Items is accounts (or none — when missing) where tax bucket ! = 'PROPERTY'. Total: the earmarked amount(each, car) added up across items. When total is at most 0, it answers 0.06. Weighted: the benchmark return(kind, overrides) times earmarked amount(each, car) added up across items. The answer is weighted divided by total.</t>
  </si>
  <si>
    <t>1. "Expected return" — on the Retirement cockpit screen, under "scRetired ?"
2. "Weighted average" — on the Retirement cockpit screen</t>
  </si>
  <si>
    <t>1. MK-NW-F-034 benchmarkReturn
2. MK-NW-F-032 earmarkedAmount
3. MK-NW-F-031 primaryCarIdOf</t>
  </si>
  <si>
    <t>1. MK-NW-F-034 benchmarkReturn
2. MK-NW-F-032 earmarkedAmount
3. MK-NW-F-031 primaryCarIdOf
4. MK-NW-F-007 assetKind
5. MK-NW-F-030 earmarkDefault
6. MK-NW-F-011 assetClassOf
7. MK-CF-F-155 cash
8. MK-NW-F-013 realEstateUseOf
9. MK-NW-F-008 incomeBearingClassOf
10. MK-XS-F-122 n
11. MK-ST-F-010 nameEvidence
12. MK-XS-F-147 call
13. MK-ST-F-056 has
14. MK-CF-F-132 map
15. MK-ST-F-027 accountId
16. MK-XS-F-064 currentIdToken
17. MK-XS-F-112 relayUrl</t>
  </si>
  <si>
    <t>1. MK-CF-F-155 cash → MK-NW-F-008 incomeBearingClassOf → MK-NW-F-011 assetClassOf → MK-NW-F-007 assetKind → MK-NW-F-034 benchmarkReturn → MK-NW-F-037 blendedReturn
2. MK-ST-F-010 nameEvidence → MK-NW-F-008 incomeBearingClassOf → MK-NW-F-011 assetClassOf → MK-NW-F-007 assetKind → MK-NW-F-034 benchmarkReturn → MK-NW-F-037 blendedReturn
3. MK-XS-F-122 n → MK-CF-F-155 cash → MK-NW-F-007 assetKind → MK-NW-F-034 benchmarkReturn → MK-NW-F-037 blendedReturn
4. MK-CF-F-155 cash → MK-NW-F-008 incomeBearingClassOf → MK-NW-F-011 assetClassOf → MK-NW-F-030 earmarkDefault → MK-NW-F-032 earmarkedAmount → MK-NW-F-037 blendedReturn
5. MK-ST-F-010 nameEvidence → MK-NW-F-008 incomeBearingClassOf → MK-NW-F-011 assetClassOf → MK-NW-F-030 earmarkDefault → MK-NW-F-032 earmarkedAmount → MK-NW-F-037 blendedReturn
6. MK-NW-F-013 realEstateUseOf → MK-NW-F-030 earmarkDefault → MK-NW-F-032 earmarkedAmount → MK-NW-F-037 blendedReturn
7. MK-XS-F-122 n → MK-CF-F-155 cash → MK-NW-F-008 incomeBearingClassOf → MK-NW-F-011 assetClassOf → MK-NW-F-031 primaryCarIdOf → MK-NW-F-037 blendedReturn
8. MK-XS-F-147 call → MK-ST-F-010 nameEvidence → MK-NW-F-008 incomeBearingClassOf → MK-NW-F-011 assetClassOf → MK-NW-F-031 primaryCarIdOf → MK-NW-F-037 blendedReturn
9. … and 2 more paths</t>
  </si>
  <si>
    <t>MK-NW-F-038</t>
  </si>
  <si>
    <t>earmarkedKinds</t>
  </si>
  <si>
    <t>Distinct investment kinds present in the earmarked nest egg (for the benchmark editor).</t>
  </si>
  <si>
    <t>seen = new set&lt;string&gt;()
the answer = array.from(seen)</t>
  </si>
  <si>
    <t>Seen is new set&lt;string&gt;(). The answer is array.from(seen).</t>
  </si>
  <si>
    <t>· Uses a built-in d e f a u l t r e t u r n of 7%.</t>
  </si>
  <si>
    <t>1. MK-NW-F-032 earmarkedAmount
2. MK-NW-F-030 earmarkDefault
3. MK-NW-F-011 assetClassOf
4. MK-NW-F-013 realEstateUseOf
5. MK-NW-F-008 incomeBearingClassOf
6. MK-CF-F-155 cash
7. MK-ST-F-010 nameEvidence
8. MK-XS-F-122 n
9. MK-XS-F-147 call
10. MK-ST-F-056 has
11. MK-CF-F-132 map
12. MK-ST-F-027 accountId
13. MK-XS-F-064 currentIdToken
14. MK-XS-F-112 relayUrl</t>
  </si>
  <si>
    <t>1. MK-CF-F-155 cash → MK-NW-F-008 incomeBearingClassOf → MK-NW-F-011 assetClassOf → MK-NW-F-030 earmarkDefault → MK-NW-F-032 earmarkedAmount → MK-NW-F-038 earmarkedKinds
2. MK-ST-F-010 nameEvidence → MK-NW-F-008 incomeBearingClassOf → MK-NW-F-011 assetClassOf → MK-NW-F-030 earmarkDefault → MK-NW-F-032 earmarkedAmount → MK-NW-F-038 earmarkedKinds
3. MK-NW-F-013 realEstateUseOf → MK-NW-F-030 earmarkDefault → MK-NW-F-032 earmarkedAmount → MK-NW-F-038 earmarkedKinds</t>
  </si>
  <si>
    <t>MK-NW-F-039</t>
  </si>
  <si>
    <t>buildAssetsState</t>
  </si>
  <si>
    <t>How much of everything sits in each account, and what return do they blend to?</t>
  </si>
  <si>
    <t>total asset value      = round(Σ over every account of (balance), 2 dp)
share of portfolio (a) = round(balance of a ÷ total × 100, 2 dp)
average target return  = round(Σ(target return × balance) ÷ total, 4 dp)</t>
  </si>
  <si>
    <t>Adds up the balance of every account at face value — the house, the car, the cash and the 401(k) all counted the same way, with no class and no tax treatment applied. Then gives each account its share of the whole, and blends the target returns weighted by size. With nothing held at all, the blended return falls back to the built-in default.</t>
  </si>
  <si>
    <t>1. uid: UserId
2. accounts: AssetAccount[]</t>
  </si>
  <si>
    <t>AssetsState</t>
  </si>
  <si>
    <t>1. MK-CF-F-132 map
2. MK-XS-F-175 uid</t>
  </si>
  <si>
    <t>1. MK-CF-F-132 map
2. MK-XS-F-175 uid
3. MK-ST-F-027 accountId
4. MK-CF-F-111 applyTransaction
5. MK-NW-F-040 assetsFromOnboarding
6. MK-PF-F-013 benchmarkTicker
7. MK-ST-F-028 buildDayFromAccounts
8. MK-PF-F-034 closeOnOrBefore
9. MK-CF-F-186 convertTakeHomeMode
10. MK-CF-F-038 debtsFromOnboarding
11. MK-XS-F-083 fetchPriceSeries
12. MK-PL-F-013 goalsFromOnboarding
13. MK-ST-F-056 has
14. MK-CF-F-116 inverseOf
15. MK-ST-F-065 isoLocalDate
16. MK-CF-F-112 makeTransaction
17. MK-XS-F-122 n
18. MK-ST-F-043 newEntityId
19. MK-XS-F-006 pruneDaily
20. MK-ST-F-073 rebuildDays
21. MK-NW-F-054 reclassifyAccounts
22. MK-XS-F-174 recomputeBalances
23. MK-CF-F-115 restoreUndo
24. MK-CF-F-109 reviewTransactions
25. MK-ST-F-044 setMoneyFormat
26. MK-CF-F-114 undoSnapshot
27. MK-CF-F-191 ym
28. MK-CF-F-138 addLot
29. MK-CF-F-136 bumpCash
30. MK-CF-F-137 findPos
31. MK-CF-F-139 removeShares
32. MK-PF-F-001 totalShares
33. MK-ST-F-052 toNum
34. MK-ST-F-053 money
35. MK-CF-F-085 filingStatusOf
36. MK-CF-F-097 grossFromNet
37. MK-CF-F-185 needsTakeHomeConversion
38. MK-CF-F-089 over65CountOf
39. MK-CF-F-037 inferDebtType
40. MK-ST-F-069 amountOf
41. MK-CF-F-133 cashOf
42. MK-ST-F-066 isDayKey
43. MK-ST-F-070 isOpening
44. MK-ST-F-071 rebuildableFrom
45. MK-ST-F-068 stepDay
46. MK-ST-F-072 undo
47. MK-NW-F-053 correctClassOf
48. MK-NW-F-008 incomeBearingClassOf
49. MK-PF-F-002 costBasis
50. MK-PF-F-009 latestClose
51. MK-PF-F-004 marketValue
52. MK-ST-F-030 record
53. MK-XS-F-024 resolveLens
54. MK-ST-F-055 round2
55. MK-CF-F-162 daysApart
56. MK-CF-F-108 isMoneyOut
57. MK-PL-F-074 median
58. MK-CF-F-131 normPayee
59. MK-CF-F-113 affectedAccountIds
60. MK-CF-F-134 usesSleeve
61. MK-ST-F-049 formatMoney
62. MK-CF-F-101 taxOwedFor
63. MK-ST-F-067 utcOfDay
64. MK-CF-F-155 cash
65. MK-ST-F-035 covers
66. MK-NW-F-009 maturityClass
67. MK-ST-F-010 nameEvidence
68. MK-PF-F-031 contractMultiplier
69. MK-CF-F-072 currentRetirementIncomeMonthly
70. MK-ST-F-048 currencySymbol
71. MK-ST-F-039 on
72. MK-CF-F-100 taxableIncomeFor
73. MK-ST-F-034 firstDate
74. MK-XS-F-147 call
75. MK-CF-F-075 retirementIncomeMonthly
76. MK-ST-F-047 activeCurrency
77. MK-CF-F-099 deductionFor
78. MK-XS-F-064 currentIdToken
79. MK-XS-F-112 relayUrl
80. MK-CF-F-187 seniorDeductionFor</t>
  </si>
  <si>
    <t>1. MK-CF-F-132 map → MK-NW-F-039 buildAssetsState
2. MK-ST-F-027 accountId → MK-XS-F-175 uid → MK-NW-F-039 buildAssetsState
3. MK-CF-F-137 findPos → MK-CF-F-138 addLot → MK-CF-F-111 applyTransaction → MK-XS-F-175 uid → MK-NW-F-039 buildAssetsState
4. MK-CF-F-132 map → MK-CF-F-138 addLot → MK-CF-F-111 applyTransaction → MK-XS-F-175 uid → MK-NW-F-039 buildAssetsState
5. MK-ST-F-043 newEntityId → MK-CF-F-138 addLot → MK-CF-F-111 applyTransaction → MK-XS-F-175 uid → MK-NW-F-039 buildAssetsState
6. MK-CF-F-134 usesSleeve → MK-CF-F-136 bumpCash → MK-CF-F-111 applyTransaction → MK-XS-F-175 uid → MK-NW-F-039 buildAssetsState
7. MK-CF-F-137 findPos → MK-CF-F-111 applyTransaction → MK-XS-F-175 uid → MK-NW-F-039 buildAssetsState
8. MK-CF-F-132 map → MK-CF-F-111 applyTransaction → MK-XS-F-175 uid → MK-NW-F-039 buildAssetsState
9. … and 4 more paths</t>
  </si>
  <si>
    <t>ACCOUNT_SHARE_OF_TOTAL</t>
  </si>
  <si>
    <t>MK-NW-F-040</t>
  </si>
  <si>
    <t>assetsFromOnboarding</t>
  </si>
  <si>
    <t>Build asset accounts from onboarding answers (accumulation: retirement savings + holdings).</t>
  </si>
  <si>
    <t>a = op (or none when missing)
accounts = []
bal = raw read as a number (0 when it is not one)
the answer:
user id = uid
accounts = accounts</t>
  </si>
  <si>
    <t>A is op (or none — when missing). Accounts is []. Bal is raw read as a number (0 — when it is one is missing). The answer is user id = uid; accounts = accounts.</t>
  </si>
  <si>
    <t>AssetsDoc</t>
  </si>
  <si>
    <t>1. MK-ST-F-043 newEntityId
2. MK-ST-F-052 toNum
3. MK-XS-F-175 uid</t>
  </si>
  <si>
    <t>1. MK-ST-F-043 newEntityId
2. MK-ST-F-052 toNum
3. MK-XS-F-175 uid
4. MK-XS-F-122 n
5. MK-ST-F-027 accountId
6. MK-CF-F-111 applyTransaction
7. MK-PF-F-013 benchmarkTicker
8. MK-ST-F-028 buildDayFromAccounts
9. MK-PF-F-034 closeOnOrBefore
10. MK-CF-F-186 convertTakeHomeMode
11. MK-CF-F-038 debtsFromOnboarding
12. MK-XS-F-083 fetchPriceSeries
13. MK-PL-F-013 goalsFromOnboarding
14. MK-ST-F-056 has
15. MK-CF-F-116 inverseOf
16. MK-ST-F-065 isoLocalDate
17. MK-CF-F-112 makeTransaction
18. MK-CF-F-132 map
19. MK-XS-F-006 pruneDaily
20. MK-ST-F-073 rebuildDays
21. MK-NW-F-054 reclassifyAccounts
22. MK-XS-F-174 recomputeBalances
23. MK-CF-F-115 restoreUndo
24. MK-CF-F-109 reviewTransactions
25. MK-ST-F-044 setMoneyFormat
26. MK-CF-F-114 undoSnapshot
27. MK-CF-F-191 ym
28. MK-CF-F-138 addLot
29. MK-CF-F-136 bumpCash
30. MK-CF-F-137 findPos
31. MK-CF-F-139 removeShares
32. MK-PF-F-001 totalShares
33. MK-ST-F-053 money
34. MK-CF-F-085 filingStatusOf
35. MK-CF-F-097 grossFromNet
36. MK-CF-F-185 needsTakeHomeConversion
37. MK-CF-F-089 over65CountOf
38. MK-CF-F-037 inferDebtType
39. MK-ST-F-069 amountOf
40. MK-CF-F-133 cashOf
41. MK-ST-F-066 isDayKey
42. MK-ST-F-070 isOpening
43. MK-ST-F-071 rebuildableFrom
44. MK-ST-F-068 stepDay
45. MK-ST-F-072 undo
46. MK-NW-F-053 correctClassOf
47. MK-NW-F-008 incomeBearingClassOf
48. MK-PF-F-002 costBasis
49. MK-PF-F-009 latestClose
50. MK-PF-F-004 marketValue
51. MK-ST-F-030 record
52. MK-XS-F-024 resolveLens
53. MK-ST-F-055 round2
54. MK-CF-F-162 daysApart
55. MK-CF-F-108 isMoneyOut
56. MK-PL-F-074 median
57. MK-CF-F-131 normPayee
58. MK-CF-F-113 affectedAccountIds
59. MK-CF-F-134 usesSleeve
60. MK-ST-F-049 formatMoney
61. MK-CF-F-101 taxOwedFor
62. MK-ST-F-067 utcOfDay
63. MK-CF-F-155 cash
64. MK-ST-F-035 covers
65. MK-NW-F-009 maturityClass
66. MK-ST-F-010 nameEvidence
67. MK-PF-F-031 contractMultiplier
68. MK-CF-F-072 currentRetirementIncomeMonthly
69. MK-ST-F-048 currencySymbol
70. MK-ST-F-039 on
71. MK-CF-F-100 taxableIncomeFor
72. MK-ST-F-034 firstDate
73. MK-XS-F-147 call
74. MK-CF-F-075 retirementIncomeMonthly
75. MK-ST-F-047 activeCurrency
76. MK-CF-F-099 deductionFor
77. MK-XS-F-064 currentIdToken
78. MK-XS-F-112 relayUrl
79. MK-CF-F-187 seniorDeductionFor</t>
  </si>
  <si>
    <t>1. MK-ST-F-043 newEntityId → MK-NW-F-040 assetsFromOnboarding
2. MK-XS-F-122 n → MK-ST-F-052 toNum → MK-NW-F-040 assetsFromOnboarding
3. MK-ST-F-027 accountId → MK-XS-F-175 uid → MK-NW-F-040 assetsFromOnboarding
4. MK-CF-F-137 findPos → MK-CF-F-138 addLot → MK-CF-F-111 applyTransaction → MK-XS-F-175 uid → MK-NW-F-040 assetsFromOnboarding
5. MK-CF-F-132 map → MK-CF-F-138 addLot → MK-CF-F-111 applyTransaction → MK-XS-F-175 uid → MK-NW-F-040 assetsFromOnboarding
6. MK-ST-F-043 newEntityId → MK-CF-F-138 addLot → MK-CF-F-111 applyTransaction → MK-XS-F-175 uid → MK-NW-F-040 assetsFromOnboarding
7. MK-CF-F-134 usesSleeve → MK-CF-F-136 bumpCash → MK-CF-F-111 applyTransaction → MK-XS-F-175 uid → MK-NW-F-040 assetsFromOnboarding
8. MK-CF-F-137 findPos → MK-CF-F-111 applyTransaction → MK-XS-F-175 uid → MK-NW-F-040 assetsFromOnboarding
9. … and 4 more paths</t>
  </si>
  <si>
    <t>ACCOUNTS_FROM_SETUP</t>
  </si>
  <si>
    <t>MK-NW-F-041</t>
  </si>
  <si>
    <t>monthlyContributionsFromOnboarding</t>
  </si>
  <si>
    <t>Total monthly contributions across types + employer match (feeds the retirement projection).</t>
  </si>
  <si>
    <t>a = op (or none when missing)
the answer = Σ over ['c_401k', 'c_roth', 'c_invest', 'c_property'] of (a[each] read as a number (0 when it is not one))+ employer match monthly(op)</t>
  </si>
  <si>
    <t>A is op (or none — when missing). The answer: the a[each] read as a number (0 — when it is one is missing))+ employer match monthly(op added up across ['c_401k', 'c_roth', 'c_invest', 'c_property'].</t>
  </si>
  <si>
    <t>1. MK-CF-F-078 employerMatchMonthly
2. MK-ST-F-052 toNum</t>
  </si>
  <si>
    <t>1. MK-CF-F-078 employerMatchMonthly
2. MK-ST-F-052 toNum
3. MK-CF-F-175 sumOverEarners
4. MK-CF-F-178 wageMatchMonthly
5. MK-XS-F-122 n
6. MK-CF-F-173 earnerWages
7. MK-CF-F-172 hasWage
8. MK-ST-F-056 has</t>
  </si>
  <si>
    <t>1. MK-ST-F-056 has → MK-CF-F-172 hasWage → MK-CF-F-173 earnerWages → MK-CF-F-175 sumOverEarners → MK-CF-F-078 employerMatchMonthly → MK-NW-F-041 monthlyContributionsFromOnboarding
2. MK-XS-F-122 n → MK-ST-F-052 toNum → MK-CF-F-178 wageMatchMonthly → MK-CF-F-078 employerMatchMonthly → MK-NW-F-041 monthlyContributionsFromOnboarding
3. MK-XS-F-122 n → MK-ST-F-052 toNum → MK-NW-F-041 monthlyContributionsFromOnboarding</t>
  </si>
  <si>
    <t>MK-NW-F-042</t>
  </si>
  <si>
    <t>loadAssets</t>
  </si>
  <si>
    <t>1. MK-ST-F-027 accountId → MK-XS-F-175 uid → MK-NW-F-042 loadAssets
2. MK-CF-F-137 findPos → MK-CF-F-138 addLot → MK-CF-F-111 applyTransaction → MK-XS-F-175 uid → MK-NW-F-042 loadAssets
3. MK-CF-F-132 map → MK-CF-F-138 addLot → MK-CF-F-111 applyTransaction → MK-XS-F-175 uid → MK-NW-F-042 loadAssets
4. MK-ST-F-043 newEntityId → MK-CF-F-138 addLot → MK-CF-F-111 applyTransaction → MK-XS-F-175 uid → MK-NW-F-042 loadAssets
5. MK-CF-F-134 usesSleeve → MK-CF-F-136 bumpCash → MK-CF-F-111 applyTransaction → MK-XS-F-175 uid → MK-NW-F-042 loadAssets
6. MK-CF-F-137 findPos → MK-CF-F-111 applyTransaction → MK-XS-F-175 uid → MK-NW-F-042 loadAssets
7. MK-CF-F-132 map → MK-CF-F-111 applyTransaction → MK-XS-F-175 uid → MK-NW-F-042 loadAssets
8. MK-CF-F-137 findPos → MK-CF-F-139 removeShares → MK-CF-F-111 applyTransaction → MK-XS-F-175 uid → MK-NW-F-042 loadAssets
9. … and 4 more paths</t>
  </si>
  <si>
    <t>MK-NW-F-043</t>
  </si>
  <si>
    <t>saveAssets</t>
  </si>
  <si>
    <t>d: AssetsDoc</t>
  </si>
  <si>
    <t>1. MK-ST-F-040 emit → MK-NW-F-043 saveAssets
2. MK-ST-F-027 accountId → MK-XS-F-175 uid → MK-ST-F-042 setUserDoc → MK-NW-F-043 saveAssets
3. MK-CF-F-137 findPos → MK-CF-F-138 addLot → MK-CF-F-111 applyTransaction → MK-XS-F-175 uid → MK-ST-F-042 setUserDoc → MK-NW-F-043 saveAssets
4. MK-CF-F-132 map → MK-CF-F-138 addLot → MK-CF-F-111 applyTransaction → MK-XS-F-175 uid → MK-ST-F-042 setUserDoc → MK-NW-F-043 saveAssets
5. MK-ST-F-043 newEntityId → MK-CF-F-138 addLot → MK-CF-F-111 applyTransaction → MK-XS-F-175 uid → MK-ST-F-042 setUserDoc → MK-NW-F-043 saveAssets
6. MK-CF-F-134 usesSleeve → MK-CF-F-136 bumpCash → MK-CF-F-111 applyTransaction → MK-XS-F-175 uid → MK-ST-F-042 setUserDoc → MK-NW-F-043 saveAssets
7. MK-CF-F-137 findPos → MK-CF-F-111 applyTransaction → MK-XS-F-175 uid → MK-ST-F-042 setUserDoc → MK-NW-F-043 saveAssets
8. MK-CF-F-132 map → MK-CF-F-111 applyTransaction → MK-XS-F-175 uid → MK-ST-F-042 setUserDoc → MK-NW-F-043 saveAssets
9. … and 4 more paths</t>
  </si>
  <si>
    <t>MK-NW-F-044</t>
  </si>
  <si>
    <t>getAssetsState</t>
  </si>
  <si>
    <t>d = build assets state(uid, accounts ?? [])   if await load assets(uid); return d
nothing   otherwise</t>
  </si>
  <si>
    <t>D is build assets state(uid, accounts ?? []) — when await load assets(uid); return d; no answer — otherwise.</t>
  </si>
  <si>
    <t>1. MK-NW-F-039 buildAssetsState
2. MK-NW-F-042 loadAssets
3. MK-XS-F-175 uid</t>
  </si>
  <si>
    <t>1. MK-NW-F-039 buildAssetsState
2. MK-NW-F-042 loadAssets
3. MK-XS-F-175 uid
4. MK-CF-F-132 map
5. MK-ST-F-027 accountId
6. MK-CF-F-111 applyTransaction
7. MK-NW-F-040 assetsFromOnboarding
8. MK-PF-F-013 benchmarkTicker
9. MK-ST-F-028 buildDayFromAccounts
10. MK-PF-F-034 closeOnOrBefore
11. MK-CF-F-186 convertTakeHomeMode
12. MK-CF-F-038 debtsFromOnboarding
13. MK-XS-F-083 fetchPriceSeries
14. MK-PL-F-013 goalsFromOnboarding
15. MK-ST-F-056 has
16. MK-CF-F-116 inverseOf
17. MK-ST-F-065 isoLocalDate
18. MK-CF-F-112 makeTransaction
19. MK-XS-F-122 n
20. MK-ST-F-043 newEntityId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MK-ST-F-052 toNum
36. MK-ST-F-053 money
37. MK-CF-F-085 filingStatusOf
38. MK-CF-F-097 grossFromNet
39. MK-CF-F-185 needsTakeHomeConversion
40. MK-CF-F-089 over65CountOf
41. MK-CF-F-037 inferDebtType
42. MK-ST-F-069 amountOf
43. MK-CF-F-133 cashOf
44. MK-ST-F-066 isDayKey
45. MK-ST-F-070 isOpening
46. MK-ST-F-071 rebuildableFrom
47. MK-ST-F-068 stepDay
48. MK-ST-F-072 undo
49. MK-NW-F-053 correctClassOf
50. MK-NW-F-008 incomeBearingClassOf
51. MK-PF-F-002 costBasis
52. MK-PF-F-009 latestClose
53. MK-PF-F-004 marketValue
54. MK-ST-F-030 record
55. MK-XS-F-024 resolveLens
56. MK-ST-F-055 round2
57. MK-CF-F-162 daysApart
58. MK-CF-F-108 isMoneyOut
59. MK-PL-F-074 median
60. MK-CF-F-131 normPayee
61. MK-CF-F-113 affectedAccountIds
62. MK-CF-F-134 usesSleeve
63. MK-ST-F-049 formatMoney
64. MK-CF-F-101 taxOwedFor
65. MK-ST-F-067 utcOfDay
66. MK-CF-F-155 cash
67. MK-ST-F-035 covers
68. MK-NW-F-009 maturityClass
69. MK-ST-F-010 nameEvidence
70. MK-PF-F-031 contractMultiplier
71. MK-CF-F-072 currentRetirementIncomeMonthly
72. MK-ST-F-048 currencySymbol
73. MK-ST-F-039 on
74. MK-CF-F-100 taxableIncomeFor
75. MK-ST-F-034 firstDate
76. MK-XS-F-147 call
77. MK-CF-F-075 retirementIncomeMonthly
78. MK-ST-F-047 activeCurrency
79. MK-CF-F-099 deductionFor
80. MK-XS-F-064 currentIdToken
81. MK-XS-F-112 relayUrl
82. MK-CF-F-187 seniorDeductionFor</t>
  </si>
  <si>
    <t>1. MK-CF-F-132 map → MK-NW-F-039 buildAssetsState → MK-NW-F-044 getAssetsState
2. MK-ST-F-027 accountId → MK-XS-F-175 uid → MK-NW-F-039 buildAssetsState → MK-NW-F-044 getAssetsState
3. MK-CF-F-137 findPos → MK-CF-F-138 addLot → MK-CF-F-111 applyTransaction → MK-XS-F-175 uid → MK-NW-F-039 buildAssetsState → MK-NW-F-044 getAssetsState
4. MK-CF-F-132 map → MK-CF-F-138 addLot → MK-CF-F-111 applyTransaction → MK-XS-F-175 uid → MK-NW-F-039 buildAssetsState → MK-NW-F-044 getAssetsState
5. MK-ST-F-043 newEntityId → MK-CF-F-138 addLot → MK-CF-F-111 applyTransaction → MK-XS-F-175 uid → MK-NW-F-039 buildAssetsState → MK-NW-F-044 getAssetsState
6. MK-CF-F-134 usesSleeve → MK-CF-F-136 bumpCash → MK-CF-F-111 applyTransaction → MK-XS-F-175 uid → MK-NW-F-039 buildAssetsState → MK-NW-F-044 getAssetsState
7. MK-CF-F-137 findPos → MK-CF-F-111 applyTransaction → MK-XS-F-175 uid → MK-NW-F-039 buildAssetsState → MK-NW-F-044 getAssetsState
8. MK-CF-F-132 map → MK-CF-F-111 applyTransaction → MK-XS-F-175 uid → MK-NW-F-039 buildAssetsState → MK-NW-F-044 getAssetsState
9. … and 5 more paths</t>
  </si>
  <si>
    <t>MK-NW-F-045</t>
  </si>
  <si>
    <t>sourceWording</t>
  </si>
  <si>
    <t>THE source wording (Build-47 walk row 8, audit Strategy #9): one sentence per source, used by every screen that names where an account's numbers come from.</t>
  </si>
  <si>
    <t>day = the first 10 of string(last synced)   if last synced
''   otherwise
`linked · ${day}`   if day
'Linked'   otherwise   when source = 'connected'
`imported · ${day or '—'}`   when source = 'imported'
the answer = 'by hand · you update it'</t>
  </si>
  <si>
    <t>Day: the first 10 of string(last synced) — when last synced; '' — otherwise. When source = 'connected', it answers `linked · ${day}` — when day; 'Linked' — otherwise. When source = 'imported', it answers `imported · ${day or '—'}`. The answer is 'by hand · you update it'.</t>
  </si>
  <si>
    <t>WHERE_THE_VALUE_CAME_FROM</t>
  </si>
  <si>
    <t>MK-NW-F-046</t>
  </si>
  <si>
    <t>historyCoverage</t>
  </si>
  <si>
    <t>who = (institution or label or 'this account').trim()
from = the first 10 of string(history from)   if history from
nothing   otherwise
nothing   when the first 10 of from ≤ window start
months = max(0, round((now.get full year() − fy) × 12 + (now.get month() + 1 − fm) + (now.get date() − fd) ÷ 30, 1 dp))</t>
  </si>
  <si>
    <t>Who is (institution or label or 'this account').trim(). From: the first 10 of string(history from) — when history from; no answer — otherwise. When the first 10 of from is at most window start, it answers no answer. Months is (now.get full year(, never below zero minus fy) times 12 plus (now.get month() plus 1 minus fm) plus (now.get date() minus fd) divided by 30, to 1 decimal places).</t>
  </si>
  <si>
    <t>1. Turns a monthly figure into a year by multiplying by twelve.
2. Uses today's date from the device clock, so the answer changes by itself overnight.
3. Rounds the answer to 1 decimal place.</t>
  </si>
  <si>
    <t>1. MK-CF-F-132 map
2. MK-NW-F-068 prettyDay</t>
  </si>
  <si>
    <t>1. MK-CF-F-132 map → MK-NW-F-046 historyCoverage
2. MK-CF-F-132 map → MK-NW-F-068 prettyDay → MK-NW-F-046 historyCoverage</t>
  </si>
  <si>
    <t>MK-NW-F-047</t>
  </si>
  <si>
    <t>uberGroupOf</t>
  </si>
  <si>
    <t>CLASS_UBER[cls] (or 'investments' when missing)</t>
  </si>
  <si>
    <t>CLASS_UBER[cls] (or 'investments' — when missing)</t>
  </si>
  <si>
    <t>cls: AssetClass</t>
  </si>
  <si>
    <t>UberGroup</t>
  </si>
  <si>
    <t>"Nothing entered yet." — on the Net worth screen, under "DEBTS"</t>
  </si>
  <si>
    <t>MK-NW-F-048</t>
  </si>
  <si>
    <t>uberGroupRows</t>
  </si>
  <si>
    <t>Group per-class totals into the three uber-groups, keeping class order inside each.</t>
  </si>
  <si>
    <t>classes = class rows where uber group of(key) = group</t>
  </si>
  <si>
    <t>Classes is class rows where uber group of(key) = group.</t>
  </si>
  <si>
    <t>1. MK-CF-F-132 map
2. MK-NW-F-047 uberGroupOf</t>
  </si>
  <si>
    <t>1. MK-CF-F-132 map → MK-NW-F-048 uberGroupRows
2. MK-NW-F-047 uberGroupOf → MK-NW-F-048 uberGroupRows</t>
  </si>
  <si>
    <t>NET_WORTH_GROUPING</t>
  </si>
  <si>
    <t>MK-NW-F-049</t>
  </si>
  <si>
    <t>itemizedTotal</t>
  </si>
  <si>
    <t>src/domain/assets/itemize.ts</t>
  </si>
  <si>
    <t>Σ of the itemized holding values.</t>
  </si>
  <si>
    <t>the answer = Σ over items of (value, or 0 when missing)</t>
  </si>
  <si>
    <t>Adds up the value of every holding entered while itemising an account.</t>
  </si>
  <si>
    <t>items: ItemHolding[]</t>
  </si>
  <si>
    <t>· If value is missing it counts as zero, so nothing recorded and a real zero look the same.</t>
  </si>
  <si>
    <t>ITEMISED_TOTAL</t>
  </si>
  <si>
    <t>MK-NW-F-050</t>
  </si>
  <si>
    <t>itemizeRemainder</t>
  </si>
  <si>
    <t>Lump balance − Σ holdings.</t>
  </si>
  <si>
    <t>the answer = (lump balance, or 0) − itemized total(items)</t>
  </si>
  <si>
    <t>The lump balance less the holdings entered so far: positive means money still unallocated, negative means the holdings exceed the entered total.</t>
  </si>
  <si>
    <t>1. lumpBalance: number
2. items: ItemHolding[]</t>
  </si>
  <si>
    <t>· If lump balance is missing it counts as zero, so nothing recorded and a real zero look the same.</t>
  </si>
  <si>
    <t>MK-NW-F-049 itemizedTotal</t>
  </si>
  <si>
    <t>MK-NW-F-049 itemizedTotal → MK-NW-F-050 itemizeRemainder</t>
  </si>
  <si>
    <t>ITEMISED_REMAINDER</t>
  </si>
  <si>
    <t>MK-NW-F-051</t>
  </si>
  <si>
    <t>itemizedResultTotal</t>
  </si>
  <si>
    <t>The account total AFTER itemizing.</t>
  </si>
  <si>
    <t>sum = itemized total(items)
remainder = itemize remainder(lump.balance, items)
the answer:
sum + remainder   if keep remainder as cash and remainder &gt; 0
sum   otherwise</t>
  </si>
  <si>
    <t>Sum is itemized total(items). Remainder is itemize remainder(lump.balance, items). The answer is sum plus remainder — when keep remainder as cash and remainder &gt; 0; sum — otherwise.</t>
  </si>
  <si>
    <t>1. MK-NW-F-050 itemizeRemainder
2. MK-NW-F-049 itemizedTotal</t>
  </si>
  <si>
    <t>1. MK-NW-F-049 itemizedTotal → MK-NW-F-050 itemizeRemainder → MK-NW-F-051 itemizedResultTotal
2. MK-NW-F-049 itemizedTotal → MK-NW-F-051 itemizedResultTotal</t>
  </si>
  <si>
    <t>MK-NW-F-052</t>
  </si>
  <si>
    <t>buildItemizedAccounts</t>
  </si>
  <si>
    <t>Build the new accounts to CREATE when committing an itemization.</t>
  </si>
  <si>
    <t>institution = (lump.institution or lump.label or '').trim() (or undefined when missing or zero)
bucket = lump.tax bucket
the answer = acct
remainder = itemize remainder(lump.balance, items)</t>
  </si>
  <si>
    <t>Institution is (lump.institution or lump.label or '').trim() (or undefined — when missing or zero). Bucket is lump.tax bucket. The answer is acct. Remainder is itemize remainder(lump.balance, items).</t>
  </si>
  <si>
    <t>1. If value is missing it counts as zero, so nothing recorded and a real zero look the same.
2. If coupon rate is missing it counts as zero, so nothing recorded and a real zero look the same.</t>
  </si>
  <si>
    <t>1. MK-NW-F-050 itemizeRemainder
2. MK-CF-F-132 map</t>
  </si>
  <si>
    <t>1. MK-NW-F-050 itemizeRemainder
2. MK-CF-F-132 map
3. MK-NW-F-049 itemizedTotal</t>
  </si>
  <si>
    <t>1. MK-NW-F-049 itemizedTotal → MK-NW-F-050 itemizeRemainder → MK-NW-F-052 buildItemizedAccounts
2. MK-CF-F-132 map → MK-NW-F-052 buildItemizedAccounts</t>
  </si>
  <si>
    <t>ITEMISE_AN_ACCOUNT</t>
  </si>
  <si>
    <t>MK-NW-F-053</t>
  </si>
  <si>
    <t>correctClassOf</t>
  </si>
  <si>
    <t>src/domain/assets/reclassify.ts</t>
  </si>
  <si>
    <t>The class an account SHOULD carry under the current rule.</t>
  </si>
  <si>
    <t>by label = income bearing class of(label)
by label   when by label
maturity class(maturity date)   when maturity date
'stocks_etf'   when kind = 'money_market'
'bonds'   when kind = 'cd'
the answer = nothing</t>
  </si>
  <si>
    <t>By label is income bearing class of(label). When by label, it answers by label. When maturity date, it answers maturity class(maturity date). When kind = 'money_market', it answers 'stocks_etf'. When kind = 'cd', it answers 'bonds'. The answer is no answer.</t>
  </si>
  <si>
    <t>1. MK-NW-F-008 incomeBearingClassOf
2. MK-NW-F-009 maturityClass</t>
  </si>
  <si>
    <t>1. MK-NW-F-008 incomeBearingClassOf
2. MK-NW-F-009 maturityClass
3. MK-CF-F-155 cash
4. MK-ST-F-010 nameEvidence
5. MK-XS-F-122 n
6. MK-XS-F-147 call
7. MK-ST-F-056 has
8. MK-CF-F-132 map
9. MK-ST-F-027 accountId
10. MK-XS-F-064 currentIdToken
11. MK-XS-F-112 relayUrl</t>
  </si>
  <si>
    <t>1. MK-XS-F-122 n → MK-CF-F-155 cash → MK-NW-F-008 incomeBearingClassOf → MK-NW-F-053 correctClassOf
2. MK-ST-F-027 accountId → MK-XS-F-147 call → MK-ST-F-010 nameEvidence → MK-NW-F-008 incomeBearingClassOf → MK-NW-F-053 correctClassOf
3. MK-XS-F-064 currentIdToken → MK-XS-F-147 call → MK-ST-F-010 nameEvidence → MK-NW-F-008 incomeBearingClassOf → MK-NW-F-053 correctClassOf
4. MK-XS-F-112 relayUrl → MK-XS-F-147 call → MK-ST-F-010 nameEvidence → MK-NW-F-008 incomeBearingClassOf → MK-NW-F-053 correctClassOf
5. MK-ST-F-056 has → MK-ST-F-010 nameEvidence → MK-NW-F-008 incomeBearingClassOf → MK-NW-F-053 correctClassOf
6. MK-CF-F-132 map → MK-ST-F-010 nameEvidence → MK-NW-F-008 incomeBearingClassOf → MK-NW-F-053 correctClassOf
7. MK-NW-F-009 maturityClass → MK-NW-F-053 correctClassOf</t>
  </si>
  <si>
    <t>MK-NW-F-054</t>
  </si>
  <si>
    <t>reclassifyAccounts</t>
  </si>
  <si>
    <t>changed = 0
want = correct class of(a)
next = a
ps = (next.positions ?? []) as any[]
the answer = p</t>
  </si>
  <si>
    <t>Changed is 0. Want is correct class of(a). Next is a. Ps is (next.positions ?? []) as any[]. The answer is p.</t>
  </si>
  <si>
    <t>· Uses a built-in changed of 0.</t>
  </si>
  <si>
    <t>1. MK-NW-F-053 correctClassOf
2. MK-NW-F-008 incomeBearingClassOf
3. MK-CF-F-132 map</t>
  </si>
  <si>
    <t>1. MK-NW-F-053 correctClassOf
2. MK-NW-F-008 incomeBearingClassOf
3. MK-CF-F-132 map
4. MK-NW-F-009 maturityClass
5. MK-CF-F-155 cash
6. MK-ST-F-010 nameEvidence
7. MK-XS-F-122 n
8. MK-XS-F-147 call
9. MK-ST-F-056 has
10. MK-ST-F-027 accountId
11. MK-XS-F-064 currentIdToken
12. MK-XS-F-112 relayUrl</t>
  </si>
  <si>
    <t>1. MK-XS-F-122 n → MK-CF-F-155 cash → MK-NW-F-008 incomeBearingClassOf → MK-NW-F-053 correctClassOf → MK-NW-F-054 reclassifyAccounts
2. MK-ST-F-027 accountId → MK-XS-F-147 call → MK-ST-F-010 nameEvidence → MK-NW-F-008 incomeBearingClassOf → MK-NW-F-053 correctClassOf → MK-NW-F-054 reclassifyAccounts
3. MK-XS-F-064 currentIdToken → MK-XS-F-147 call → MK-ST-F-010 nameEvidence → MK-NW-F-008 incomeBearingClassOf → MK-NW-F-053 correctClassOf → MK-NW-F-054 reclassifyAccounts
4. MK-XS-F-112 relayUrl → MK-XS-F-147 call → MK-ST-F-010 nameEvidence → MK-NW-F-008 incomeBearingClassOf → MK-NW-F-053 correctClassOf → MK-NW-F-054 reclassifyAccounts
5. MK-ST-F-056 has → MK-ST-F-010 nameEvidence → MK-NW-F-008 incomeBearingClassOf → MK-NW-F-053 correctClassOf → MK-NW-F-054 reclassifyAccounts
6. MK-CF-F-132 map → MK-ST-F-010 nameEvidence → MK-NW-F-008 incomeBearingClassOf → MK-NW-F-053 correctClassOf → MK-NW-F-054 reclassifyAccounts
7. MK-NW-F-009 maturityClass → MK-NW-F-053 correctClassOf → MK-NW-F-054 reclassifyAccounts
8. MK-XS-F-122 n → MK-CF-F-155 cash → MK-NW-F-008 incomeBearingClassOf → MK-NW-F-054 reclassifyAccounts
9. … and 5 more paths</t>
  </si>
  <si>
    <t>MK-NW-F-055</t>
  </si>
  <si>
    <t>isBond</t>
  </si>
  <si>
    <t>src/domain/bonds/index.ts</t>
  </si>
  <si>
    <t>An AssetAccount is a bond if its ASSET CLASS is bonds (spec §2: "detected by assetClass, NOT maturity date").</t>
  </si>
  <si>
    <t>asset class of(a) = 'bonds'</t>
  </si>
  <si>
    <t>asset class of(a) = 'bonds'.</t>
  </si>
  <si>
    <t>1. MK-XS-F-122 n → MK-CF-F-155 cash → MK-NW-F-008 incomeBearingClassOf → MK-NW-F-011 assetClassOf → MK-NW-F-055 isBond
2. MK-ST-F-027 accountId → MK-XS-F-147 call → MK-ST-F-010 nameEvidence → MK-NW-F-008 incomeBearingClassOf → MK-NW-F-011 assetClassOf → MK-NW-F-055 isBond
3. MK-XS-F-064 currentIdToken → MK-XS-F-147 call → MK-ST-F-010 nameEvidence → MK-NW-F-008 incomeBearingClassOf → MK-NW-F-011 assetClassOf → MK-NW-F-055 isBond
4. MK-XS-F-112 relayUrl → MK-XS-F-147 call → MK-ST-F-010 nameEvidence → MK-NW-F-008 incomeBearingClassOf → MK-NW-F-011 assetClassOf → MK-NW-F-055 isBond
5. MK-ST-F-056 has → MK-ST-F-010 nameEvidence → MK-NW-F-008 incomeBearingClassOf → MK-NW-F-011 assetClassOf → MK-NW-F-055 isBond
6. MK-CF-F-132 map → MK-ST-F-010 nameEvidence → MK-NW-F-008 incomeBearingClassOf → MK-NW-F-011 assetClassOf → MK-NW-F-055 isBond</t>
  </si>
  <si>
    <t>IS_BOND</t>
  </si>
  <si>
    <t>MK-NW-F-056</t>
  </si>
  <si>
    <t>bondInfo</t>
  </si>
  <si>
    <t>What are this holding's bond facts?</t>
  </si>
  <si>
    <t>face = face value or 0
coupon rate = coupon rate or 0
maturity = maturity date or ''
value = balance or 0
accrued interest = the entered figure, or nothing when not entered</t>
  </si>
  <si>
    <t>Reads the bond's facts off the account record — face value, coupon rate, maturity date, the value as entered, and the accrued interest when the person entered it (MK-XS-I-065). No arithmetic.</t>
  </si>
  <si>
    <t>BondInfo</t>
  </si>
  <si>
    <t>1. If face value is missing it counts as zero, so nothing recorded and a real zero look the same.
2. If coupon rate is missing it counts as zero, so nothing recorded and a real zero look the same.
3. If balance is missing it counts as zero, so nothing recorded and a real zero look the same.</t>
  </si>
  <si>
    <t>MK-XS-F-122 n → MK-CF-F-155 cash → MK-NW-F-056 bondInfo</t>
  </si>
  <si>
    <t>BOND_FACTS</t>
  </si>
  <si>
    <t>[from MK-NW-M-041 / M-042 / M-045] bond display rule (nine facts; value current → cost → face; else 'need more information'); why compute yield when the coupon rate is an input?</t>
  </si>
  <si>
    <t>This function only READS the four stored bond facts (face, coupon rate, maturity, value) and turns a missing one into 0 — those are the three 'counts as zero' lines he commented on. It computes no yield; the note in the file is wrong. After the bond design change (brief Q-38 (2026-08-20)) it refuses instead of zeroing and carries the five new fields.</t>
  </si>
  <si>
    <t>MK-NW-F-057</t>
  </si>
  <si>
    <t>annualCoupon</t>
  </si>
  <si>
    <t>Annual coupon income = face value × coupon rate (paid as cash).</t>
  </si>
  <si>
    <t>annual coupon = face value × coupon rate</t>
  </si>
  <si>
    <t>What the bond pays in interest over a year: its face value times its stated rate. Paid semi-annually in practice; this figure is the yearly total.</t>
  </si>
  <si>
    <t>b: BondInfo</t>
  </si>
  <si>
    <t>BOND_COUPON</t>
  </si>
  <si>
    <t>[from MK-NW-M-043] a matured bond must not earn a coupon; one label ('Calculated annual interest') instead of COUPON / YR and Interest payments; maturity date as an input.</t>
  </si>
  <si>
    <t>JJ-3: face × rate with no look at maturity — wrong for any matured bond, and inherited by F-061 and F-063. Fix: takes the maturity date and today; 0 once matured; adds MK-XS-I-013 to its inputs. Label: Q40; matured display: Q39.</t>
  </si>
  <si>
    <t>MK-NW-F-058</t>
  </si>
  <si>
    <t>yearsToMaturity</t>
  </si>
  <si>
    <t>How long until this bond pays back?</t>
  </si>
  <si>
    <t>years to maturity = max(0, (maturity date − today) ÷ 365.25 days)</t>
  </si>
  <si>
    <t>How long until the bond repays, as a fraction of a year, never negative. Uses 365.25 days — the master file says 365, which is finding A31.</t>
  </si>
  <si>
    <t>1. maturity: string
2. now: Date = new Date()</t>
  </si>
  <si>
    <t>1. Uses today's date from the device clock, so the answer changes by itself overnight.
2. No maturity date, or an unreadable one, gives NO answer — not zero and not "due now" (G11, founder 2026-09-12); the yield to maturity and the rate sensitivity then refuse too.</t>
  </si>
  <si>
    <t>BOND_YEARS_LEFT</t>
  </si>
  <si>
    <t>TESTED, NOT VERIFIED (G11)</t>
  </si>
  <si>
    <t>MK-NW-F-059</t>
  </si>
  <si>
    <t>currentYield</t>
  </si>
  <si>
    <t>Current yield = annual coupon ÷ current price/value.</t>
  </si>
  <si>
    <t>current yield = annual coupon ÷ current value</t>
  </si>
  <si>
    <t>The interest a year as a share of what the bond is worth now. If the recorded value is a dirty price it carries accrued interest, and the yield reads low — the file does not say which it is.</t>
  </si>
  <si>
    <t>· If accrued interest is missing it uses 0.</t>
  </si>
  <si>
    <t>MK-NW-F-057 annualCoupon</t>
  </si>
  <si>
    <t>MK-NW-F-057 annualCoupon → MK-NW-F-059 currentYield</t>
  </si>
  <si>
    <t>BOND_CURRENT_YIELD</t>
  </si>
  <si>
    <t>[from MK-NW-M-044, typed A47; and K45] subtract accrued interest when recorded, caveat when not; yield always two decimals.</t>
  </si>
  <si>
    <t>coupon ÷ value, no accrued-interest term (no field exists yet — after brief Q-38 (2026-08-20)). Two decimals: already on the Bonds screen; account detail's two yield rows still one decimal — fix there. Caveat wording: Q45.</t>
  </si>
  <si>
    <t>WAITING ON YOU — answer to read · TESTED, NOT VERIFIED (A47)</t>
  </si>
  <si>
    <t>MK-NW-F-060</t>
  </si>
  <si>
    <t>approxYTM</t>
  </si>
  <si>
    <t>Approximate yield to maturity (standard approximation), decimal.</t>
  </si>
  <si>
    <t>yield to maturity ≈ round( (annual coupon + (face − value) ÷ years left)
                           ÷ ((face + value) ÷ 2), 4 dp )</t>
  </si>
  <si>
    <t>The STRAIGHT-LINE APPROXIMATION, not the real yield. The gain or loss to maturity is spread evenly over the years left and taken against the average of face and price. The true yield is the rate that discounts every coupon and the face value back to the price — 4 to 27 basis points away from this, widening with the discount and the maturity. Finding A30.</t>
  </si>
  <si>
    <t>1. b: BondInfo
2. now: Date = new Date()</t>
  </si>
  <si>
    <t>1. Uses today's date from the device clock, so the answer changes by itself overnight.
2. 'value' is the bond's current value as entered (the balance) — the SAME total basis as face, not a price per $100 (founder question G20, 2026-09-08).</t>
  </si>
  <si>
    <t>1. MK-NW-F-057 annualCoupon
2. MK-XS-F-122 n
3. MK-NW-F-058 yearsToMaturity</t>
  </si>
  <si>
    <t>1. MK-NW-F-057 annualCoupon → MK-NW-F-060 approxYTM
2. MK-XS-F-122 n → MK-NW-F-060 approxYTM
3. MK-NW-F-058 yearsToMaturity → MK-NW-F-060 approxYTM</t>
  </si>
  <si>
    <t>BOND_YIELD_TO_MATURITY</t>
  </si>
  <si>
    <t>[from MK-NW-M-041, Formula (in words)] why compute yield when the coupon rate is an input?</t>
  </si>
  <si>
    <t>Yield to maturity is derived from coupon, face, value and years left — it cannot be an input. Coupon RATE stays an input (MK-XS-I-012). Two decimals on the account-detail row still owed (K45).</t>
  </si>
  <si>
    <t>WAITING ON YOU — answer to read · TESTED, NOT VERIFIED (G11, G20)</t>
  </si>
  <si>
    <t>MK-NW-F-061</t>
  </si>
  <si>
    <t>bondSummary</t>
  </si>
  <si>
    <t>list = bonds (or none when missing)
total value = Σ over list of (value)
total face = Σ over list of (face)
coupon = Σ over list of (annual coupon(each))
avg yield = coupon ÷ total value   if total value &gt; 0
nothing   otherwise
future = for each of list: maturity where boolean where the date each).get time() ≥ now.get time(, in order
the answer:
count = count of list
total value = total value
total face = total face
annual coupon = coupon
avg yield = avg yield
next maturity = the first of future (or nothing when missing)</t>
  </si>
  <si>
    <t>List is bonds (or none — when missing). Total value: the value added up across list. Total face: the face added up across list. Coupon: the annual coupon(each) added up across list. Avg yield is coupon divided by total value — when total value &gt; 0; no answer — otherwise. Future is for each of list: maturity where boolean where the date each).get time() is at least now.get time(, in order. The answer is count = how many list there are; total value = total value; total face = total face; annual coupon = coupon; avg yield = avg yield; next maturity = the first of future (or no answer — when missing).</t>
  </si>
  <si>
    <t>1. bonds: BondInfo[]
2. now: Date = new Date()</t>
  </si>
  <si>
    <t>BondSummary</t>
  </si>
  <si>
    <t>1. MK-NW-F-057 annualCoupon
2. MK-CF-F-132 map</t>
  </si>
  <si>
    <t>1. MK-NW-F-057 annualCoupon → MK-NW-F-061 bondSummary
2. MK-CF-F-132 map → MK-NW-F-061 bondSummary</t>
  </si>
  <si>
    <t>[from MK-NW-M-041 / M-042 / M-043] total value = sum of what? inputs should be face value; matured bonds and the coupon total.</t>
  </si>
  <si>
    <t>totalValue = Σ each bond's entered value (the balance); totalFace = Σ face (MK-XS-I-011); count = number of bond records; the coupon total inherits JJ-3 (matured bonds still counted). This is the real producer of MK-NW-M-041 and M-042 — both rows should name it.</t>
  </si>
  <si>
    <t>MK-NW-F-062</t>
  </si>
  <si>
    <t>couponIncomeAnnual</t>
  </si>
  <si>
    <t>Total annual coupon income across the user's INDIVIDUAL bonds (kept for the Bonds screen summary).</t>
  </si>
  <si>
    <t>Σ over accounts (or none when missing) where is bond of (annual coupon(bond info(each)))</t>
  </si>
  <si>
    <t>the annual coupon(bond info(each)) added up across accounts (or none — when missing) where is bond.</t>
  </si>
  <si>
    <t>1. MK-NW-F-057 annualCoupon
2. MK-NW-F-056 bondInfo
3. MK-NW-F-055 isBond</t>
  </si>
  <si>
    <t>1. MK-NW-F-057 annualCoupon
2. MK-NW-F-056 bondInfo
3. MK-NW-F-055 isBond
4. MK-CF-F-155 cash
5. MK-NW-F-011 assetClassOf
6. MK-XS-F-122 n
7. MK-NW-F-008 incomeBearingClassOf
8. MK-ST-F-010 nameEvidence
9. MK-XS-F-147 call
10. MK-ST-F-056 has
11. MK-CF-F-132 map
12. MK-ST-F-027 accountId
13. MK-XS-F-064 currentIdToken
14. MK-XS-F-112 relayUrl</t>
  </si>
  <si>
    <t>1. MK-NW-F-057 annualCoupon → MK-NW-F-062 couponIncomeAnnual
2. MK-XS-F-122 n → MK-CF-F-155 cash → MK-NW-F-056 bondInfo → MK-NW-F-062 couponIncomeAnnual
3. MK-XS-F-122 n → MK-CF-F-155 cash → MK-NW-F-008 incomeBearingClassOf → MK-NW-F-011 assetClassOf → MK-NW-F-055 isBond → MK-NW-F-062 couponIncomeAnnual
4. MK-XS-F-147 call → MK-ST-F-010 nameEvidence → MK-NW-F-008 incomeBearingClassOf → MK-NW-F-011 assetClassOf → MK-NW-F-055 isBond → MK-NW-F-062 couponIncomeAnnual
5. MK-ST-F-056 has → MK-ST-F-010 nameEvidence → MK-NW-F-008 incomeBearingClassOf → MK-NW-F-011 assetClassOf → MK-NW-F-055 isBond → MK-NW-F-062 couponIncomeAnnual
6. MK-CF-F-132 map → MK-ST-F-010 nameEvidence → MK-NW-F-008 incomeBearingClassOf → MK-NW-F-011 assetClassOf → MK-NW-F-055 isBond → MK-NW-F-062 couponIncomeAnnual</t>
  </si>
  <si>
    <t>MK-NW-F-063</t>
  </si>
  <si>
    <t>interestIncomeAnnual</t>
  </si>
  <si>
    <t>Canonical annual INTEREST income across all interest-bearing holdings (Term #6).</t>
  </si>
  <si>
    <t>cls = asset class of(a)
coupon = (coupon rate or 0) × (face value or 0)
t + coupon   when coupon &gt; 0
t + (balance or 0) × (coupon rate as number)   when (coupon rate or 0) &gt; 0
the answer = t</t>
  </si>
  <si>
    <t>Cls is asset class of(a). Coupon is (coupon rate or 0) times (face value or 0). When coupon &gt; 0, it answers t plus coupon. When (coupon rate or 0) &gt; 0, it answers t plus (balance or 0) times (coupon rate as number). The answer is t.</t>
  </si>
  <si>
    <t>1. If coupon rate is missing it counts as zero, so nothing recorded and a real zero look the same.
2. If face value is missing it counts as zero, so nothing recorded and a real zero look the same.
3. If balance is missing it counts as zero, so nothing recorded and a real zero look the same.</t>
  </si>
  <si>
    <t>1. MK-XS-F-122 n → MK-CF-F-155 cash → MK-NW-F-008 incomeBearingClassOf → MK-NW-F-011 assetClassOf → MK-NW-F-063 interestIncomeAnnual
2. MK-ST-F-027 accountId → MK-XS-F-147 call → MK-ST-F-010 nameEvidence → MK-NW-F-008 incomeBearingClassOf → MK-NW-F-011 assetClassOf → MK-NW-F-063 interestIncomeAnnual
3. MK-XS-F-064 currentIdToken → MK-XS-F-147 call → MK-ST-F-010 nameEvidence → MK-NW-F-008 incomeBearingClassOf → MK-NW-F-011 assetClassOf → MK-NW-F-063 interestIncomeAnnual
4. MK-XS-F-112 relayUrl → MK-XS-F-147 call → MK-ST-F-010 nameEvidence → MK-NW-F-008 incomeBearingClassOf → MK-NW-F-011 assetClassOf → MK-NW-F-063 interestIncomeAnnual
5. MK-ST-F-056 has → MK-ST-F-010 nameEvidence → MK-NW-F-008 incomeBearingClassOf → MK-NW-F-011 assetClassOf → MK-NW-F-063 interestIncomeAnnual
6. MK-CF-F-132 map → MK-ST-F-010 nameEvidence → MK-NW-F-008 incomeBearingClassOf → MK-NW-F-011 assetClassOf → MK-NW-F-063 interestIncomeAnnual</t>
  </si>
  <si>
    <t>[from MK-NW-M-043 / M-045, typed A46] If coupon rate is not available use 0.</t>
  </si>
  <si>
    <t>JJ-4: still falls back to 4.2% (DEFAULT_BOND_YIELD) for a bond fund with no rate, and the paycheck income lines do the same. Fix: 0 + 'no rate recorded'. Also inherits JJ-3 (matured bonds). The other 4.2%/4% figures are expected-return defaults, a different concept — Q44.</t>
  </si>
  <si>
    <t>WAITING ON YOU — answer to read · TESTED, NOT VERIFIED (A46)</t>
  </si>
  <si>
    <t>bondRateSensitivity</t>
  </si>
  <si>
    <t>What happens to this bond if interest rates move?</t>
  </si>
  <si>
    <t>ytm = approx ytm(b, now)
nothing   when ytm = nothing (or face ≤ 0 (or coupon rate ≤ 0 when missing or zero) when missing or zero)
v = price at yield(b, math.max(0.0001, ytm + delta), now)
the answer:
rates up = move(0.01)
rates down = move(-0.01)</t>
  </si>
  <si>
    <t>Ytm is approx ytm(b, now). When ytm is missing (or face is at most 0 (or coupon rate is at most 0 — when missing or zero) — when missing or zero), it answers no answer. V is price at yield(b, math.the larger of 0.0001 and ytm plus delta, now). The answer is rates up = move(0.01); rates down = move(-0.01).</t>
  </si>
  <si>
    <t>RateSensitivity | null</t>
  </si>
  <si>
    <t>1. Applies a built-in rate of 99% to v.
2. Uses today's date from the device clock, so the answer changes by itself overnight.
3. Rounds the answer to a whole number.</t>
  </si>
  <si>
    <t>1. MK-NW-F-060 approxYTM
2. MK-NW-F-069 priceAtYield</t>
  </si>
  <si>
    <t>1. MK-NW-F-060 approxYTM
2. MK-NW-F-069 priceAtYield
3. MK-NW-F-057 annualCoupon
4. MK-XS-F-122 n
5. MK-NW-F-058 yearsToMaturity</t>
  </si>
  <si>
    <t>1. MK-NW-F-057 annualCoupon → MK-NW-F-060 approxYTM → MK-NW-F-064 bondRateSensitivity
2. MK-XS-F-122 n → MK-NW-F-060 approxYTM → MK-NW-F-064 bondRateSensitivity
3. MK-NW-F-058 yearsToMaturity → MK-NW-F-060 approxYTM → MK-NW-F-064 bondRateSensitivity
4. MK-NW-F-057 annualCoupon → MK-NW-F-069 priceAtYield → MK-NW-F-064 bondRateSensitivity
5. MK-XS-F-122 n → MK-NW-F-069 priceAtYield → MK-NW-F-064 bondRateSensitivity
6. MK-NW-F-058 yearsToMaturity → MK-NW-F-069 priceAtYield → MK-NW-F-064 bondRateSensitivity</t>
  </si>
  <si>
    <t>IF_RATES_MOVE</t>
  </si>
  <si>
    <t>src/domain/networth/index.ts</t>
  </si>
  <si>
    <t>gross assets = round(assets total, 2 dp)
gross debt   = round(debt total, 2 dp)
net worth    = round(assets total − debt total, 2 dp)</t>
  </si>
  <si>
    <t>Everything owned, less everything owed. Each half is rounded to the cent, and the answer is rounded again — three roundings. It is worked out fresh every time and never stored, so it can never disagree with its own two halves. A genuine negative is shown, never floored at zero.</t>
  </si>
  <si>
    <t>1. uid: UserId
2. grossAssets: number
3. grossDebt: number</t>
  </si>
  <si>
    <t>NetWorthState</t>
  </si>
  <si>
    <t>MK-NW-F-066</t>
  </si>
  <si>
    <t>sumWhere</t>
  </si>
  <si>
    <t>── Canonical asset totals (Term #2/#3/#4) ──────────────────────────────────── THE single source for each total — screens read these, never re-sum inline.</t>
  </si>
  <si>
    <t>Σ over accounts (or none when missing) where pred of (balance (or 0 when missing or zero))</t>
  </si>
  <si>
    <t>the balance (or 0 — when missing or zero) added up across accounts (or none — when missing) where pred.</t>
  </si>
  <si>
    <t>1. accounts: AssetAccount[]
2. pred: (a: AssetAccount) =&gt; boolean</t>
  </si>
  <si>
    <t>MK-NW-F-067</t>
  </si>
  <si>
    <t>plural</t>
  </si>
  <si>
    <t>the answer = n + ' ' + (one   when n = 1;   many   otherwise)</t>
  </si>
  <si>
    <t>'1 account' or '3 accounts' — the word made plural when the count is not one. Display only.</t>
  </si>
  <si>
    <t>1. n: number
2. one: string
3. many = `${one}s`</t>
  </si>
  <si>
    <t>many}`;</t>
  </si>
  <si>
    <t>MK-NW-F-068</t>
  </si>
  <si>
    <t>prettyDay</t>
  </si>
  <si>
    <t>`${MONTH_ABBR[(m or 1) − 1]} ${d}, ${y}`</t>
  </si>
  <si>
    <t>`${MONTH_ABBR[(m or 1) minus 1]} ${d}, ${y}`.</t>
  </si>
  <si>
    <t>iso: string</t>
  </si>
  <si>
    <t>MK-CF-F-132 map → MK-NW-F-068 prettyDay</t>
  </si>
  <si>
    <t>MK-NW-F-069</t>
  </si>
  <si>
    <t>priceAtYield</t>
  </si>
  <si>
    <t>Price the bond's future cash flows at a given annual yield (yearly approximation).</t>
  </si>
  <si>
    <t>years = years to maturity(maturity, now)
value   when years = nothing
n = max(1, round(years))
c = annual coupon(b)
pv = 0
[LOOP — the answer is found inside a loop the extractor cannot render; the steps above are the ones before it. Read by hand.]</t>
  </si>
  <si>
    <t>Years is years to maturity(maturity, now). When years is missing, it answers value. N: the larger of 1 and years, to a whole number. C is annual coupon(b). Pv is 0. The answer is pv. The answer is found inside a loop that cannot be rendered here; read the code by hand.</t>
  </si>
  <si>
    <t>1. b: BondInfo
2. y: number
3. now: Date</t>
  </si>
  <si>
    <t>1. Uses a built-in pv of 0.
2. Rounds the answer to a whole number.</t>
  </si>
  <si>
    <t>1. MK-NW-F-057 annualCoupon → MK-NW-F-069 priceAtYield
2. MK-XS-F-122 n → MK-NW-F-069 priceAtYield
3. MK-NW-F-058 yearsToMaturity → MK-NW-F-069 priceAtYield</t>
  </si>
  <si>
    <t>MK-NW-F-070</t>
  </si>
  <si>
    <t>accruedInterestCaveat</t>
  </si>
  <si>
    <t>A47 (founder, 2026-08-26): subtract accrued interest when known; say so when not.</t>
  </si>
  <si>
    <t>'accrued interest not entered — the yield uses the price as you entered it'   if accrued interest = nothing
nothing   otherwise</t>
  </si>
  <si>
    <t>'accrued interest entered is missing — the yield uses the price as you entered it' — when accrued interest is missing; no answer — otherwise.</t>
  </si>
  <si>
    <t>TESTED, NOT VERIFIED (A47)</t>
  </si>
  <si>
    <t>MK-NW-F-071</t>
  </si>
  <si>
    <t>isCertificateOfDeposit</t>
  </si>
  <si>
    <t>MoneyKeel/functions/networth-and-performance/bonds.ts</t>
  </si>
  <si>
    <t>CD_RE.test(`${label ?? ''} ${institution ?? ''}`)</t>
  </si>
  <si>
    <t>CD_RE.test(`${label ?? ''} ${institution ?? ''}`).</t>
  </si>
  <si>
    <t>a: Pick&lt;AssetAccount, 'label'&gt; &amp; { institution?: string }</t>
  </si>
  <si>
    <t>MK-NW-F-072</t>
  </si>
  <si>
    <t>rowOf</t>
  </si>
  <si>
    <t>b = bond info(a)</t>
  </si>
  <si>
    <t>B is bond info(a).</t>
  </si>
  <si>
    <t>1. a: AssetAccount
2. now: Date</t>
  </si>
  <si>
    <t>BondRow</t>
  </si>
  <si>
    <t>1. MK-NW-F-070 accruedInterestCaveat
2. MK-NW-F-057 annualCoupon
3. MK-NW-F-060 approxYTM
4. MK-NW-F-056 bondInfo
5. MK-NW-F-059 currentYield
6. MK-NW-F-071 isCertificateOfDeposit
7. MK-NW-F-058 yearsToMaturity</t>
  </si>
  <si>
    <t>1. MK-NW-F-070 accruedInterestCaveat
2. MK-NW-F-057 annualCoupon
3. MK-NW-F-060 approxYTM
4. MK-NW-F-056 bondInfo
5. MK-NW-F-059 currentYield
6. MK-NW-F-071 isCertificateOfDeposit
7. MK-NW-F-058 yearsToMaturity
8. MK-XS-F-122 n
9. MK-CF-F-155 cash</t>
  </si>
  <si>
    <t>1. MK-NW-F-070 accruedInterestCaveat → MK-NW-F-072 rowOf
2. MK-NW-F-057 annualCoupon → MK-NW-F-072 rowOf
3. MK-NW-F-057 annualCoupon → MK-NW-F-060 approxYTM → MK-NW-F-072 rowOf
4. MK-XS-F-122 n → MK-NW-F-060 approxYTM → MK-NW-F-072 rowOf
5. MK-NW-F-058 yearsToMaturity → MK-NW-F-060 approxYTM → MK-NW-F-072 rowOf
6. MK-XS-F-122 n → MK-CF-F-155 cash → MK-NW-F-056 bondInfo → MK-NW-F-072 rowOf
7. MK-NW-F-057 annualCoupon → MK-NW-F-059 currentYield → MK-NW-F-072 rowOf
8. MK-NW-F-071 isCertificateOfDeposit → MK-NW-F-072 rowOf
9. … and 1 more paths</t>
  </si>
  <si>
    <t>MK-NW-F-073</t>
  </si>
  <si>
    <t>itemising</t>
  </si>
  <si>
    <t>MoneyKeel/functions/networth-and-performance/account.ts</t>
  </si>
  <si>
    <t>NOT READ YET — the body is not a shape this can render faithfully, so nothing is claimed rather than something being guessed. It needs reading by hand.</t>
  </si>
  <si>
    <t>NOT READ — nothing is claimed rather than something guessed</t>
  </si>
  <si>
    <t>Itemising</t>
  </si>
  <si>
    <t>1. MK-CF-F-155 cash
2. MK-XS-F-180 declareFigures
3. MK-NW-F-050 itemizeRemainder
4. MK-NW-F-049 itemizedTotal</t>
  </si>
  <si>
    <t>1. MK-CF-F-155 cash
2. MK-XS-F-180 declareFigures
3. MK-NW-F-050 itemizeRemainder
4. MK-NW-F-049 itemizedTotal
5. MK-XS-F-122 n</t>
  </si>
  <si>
    <t>1. MK-XS-F-122 n → MK-CF-F-155 cash → MK-NW-F-073 itemising
2. MK-XS-F-180 declareFigures → MK-NW-F-073 itemising
3. MK-NW-F-049 itemizedTotal → MK-NW-F-050 itemizeRemainder → MK-NW-F-073 itemising
4. MK-NW-F-049 itemizedTotal → MK-NW-F-073 itemising</t>
  </si>
  <si>
    <t>MK-NW-F-074</t>
  </si>
  <si>
    <t>MoneyKeel/functions/networth-and-performance/emergency-fund.ts</t>
  </si>
  <si>
    <t>cash = input.cash override   if input.cash override ≠ nothing
cash total(input.accounts ?? [])   otherwise
debts = input.debts (or none when missing)
cats = input.profile.spend cats   if array.is array(input.profile.spend cats)
[]   otherwise
housing budgeted = cats.some((c: any) =&gt; id = 'rent' and number(amount) &gt; 0)
kind = string(debt type ?? type ?? '').to upper case()
t   when housing budgeted and kind = 'MORTGAGE'
the answer = t + required payment(d)
ess = essentials monthly(input.expenses ?? [], monthly essentials(input.profile))
monthly = (ess.monthly ?? 0) + debt minimums
planned = planned monthly spend(input.profile) + debt minimums
target = monthly × months
… the first steps only — the rest of the body needs reading by hand.</t>
  </si>
  <si>
    <t>Cash is input.cash override — when input.cash override is not no answer; cash total(input.accounts ?? []) — otherwise. Debts is input.debts (or none — when missing). Cats is input.profile.spend cats — when array.is array(input.profile.spend cats); [] — otherwise. Housing budgeted is cats.some((c: any) =&gt; id = 'rent' and number(amount) &gt; 0). Kind is string(debt type ?? type ?? '').to upper case(). When housing budgeted and kind = 'MORTGAGE', it answers t. The answer is t plus required payment(d). Ess is essentials monthly(input.expenses ?? [], monthly essentials(input.profile)). Monthly is (ess.monthly ?? 0) plus debt minimums. Planned is planned monthly spend(input.profile) plus debt minimums. Target is monthly times months. Only the first steps are shown; the rest of the body needs reading by hand.</t>
  </si>
  <si>
    <t>· If monthly is missing it uses 0.</t>
  </si>
  <si>
    <t>1. MK-CF-F-155 cash
2. MK-NW-F-016 cashTotal
3. MK-XS-F-180 declareFigures
4. MK-CF-F-010 emergencyTest
5. MK-CF-F-190 essentialsMonthly
6. MK-CF-F-009 monthlyEssentials
7. MK-CF-F-002 plannedMonthlySpend
8. MK-CF-F-023 requiredPayment</t>
  </si>
  <si>
    <t>1. MK-CF-F-155 cash
2. MK-NW-F-016 cashTotal
3. MK-XS-F-180 declareFigures
4. MK-CF-F-010 emergencyTest
5. MK-CF-F-190 essentialsMonthly
6. MK-CF-F-009 monthlyEssentials
7. MK-CF-F-002 plannedMonthlySpend
8. MK-CF-F-023 requiredPayment
9. MK-XS-F-122 n
10. MK-NW-F-027 accountClassBreakdown
11. MK-NW-F-011 assetClassOf
12. MK-CF-F-189 essentialsFromLoggedSpending
13. MK-CF-F-120 pctBaseMonthly
14. MK-CF-F-004 spendBuckets
15. MK-ST-F-052 toNum
16. MK-CF-F-092 incomeMonthlyGrid
17. MK-XS-F-027 takeHomeMonthly
18. MK-CF-F-022 paymentShape
19. MK-NW-F-008 incomeBearingClassOf
20. MK-ST-F-056 has
21. MK-CF-F-191 ym
22. MK-CF-F-003 categoryMonthly
23. MK-CF-F-069 benefitActiveMonths
24. MK-CF-F-072 currentRetirementIncomeMonthly
25. MK-CF-F-065 equityVestWeights
26. MK-CF-F-071 extraIncome
27. MK-CF-F-132 map
28. MK-CF-F-087 monthlyTaxRates
29. MK-CF-F-073 otherIncomeMonth
30. MK-CF-F-181 rateInForce
31. MK-CF-F-068 rentalNetAnnual
32. MK-CF-F-066 rsuAnnual
33. MK-CF-F-060 salaryGrossByMonth
34. MK-CF-F-077 scholarshipByCalendarMonth
35. MK-CF-F-088 taxableByCalendarMonth
36. MK-PL-F-012 waterfall
37. MK-CF-F-011 savingsByMonth
38. MK-CF-F-021 defaultPaymentType
39. MK-ST-F-010 nameEvidence
40. MK-CF-F-075 retirementIncomeMonthly
41. MK-CF-F-062 equityRowValue
42. MK-CF-F-070 benefitAnnual
43. MK-ST-F-039 on
44. MK-CF-F-090 effectiveRate
45. MK-CF-F-085 filingStatusOf
46. MK-CF-F-089 over65CountOf
47. MK-CF-F-098 progressiveMonthlyTax
48. MK-CF-F-086 stateRateOf
49. MK-CF-F-173 earnerWages
50. MK-CF-F-102 effectiveRateOnGrossFor
51. MK-CF-F-180 enteredLandsAnnual
52. MK-CF-F-082 salaryAnnual
53. MK-CF-F-084 taxableAnnual
54. MK-CF-F-067 rentalList
55. MK-CF-F-063 rowVestYear
56. MK-CF-F-176 sumMonthsOverEarners
57. MK-CF-F-177 wageGrossByMonth
58. MK-CF-F-008 spendByMonth
59. MK-XS-F-147 call
60. MK-CF-F-101 taxOwedFor
61. MK-CF-F-100 taxableIncomeFor
62. MK-CF-F-172 hasWage
63. MK-CF-F-074 tipsAnnual
64. MK-CF-F-130 enteredMonthlyRaw
65. MK-CF-F-166 hasMonthlySalaryTable
66. MK-ST-F-036 reconcile
67. MK-CF-F-167 salaryCalendarYear
68. MK-ST-F-027 accountId
69. MK-XS-F-064 currentIdToken
70. MK-XS-F-112 relayUrl
71. MK-CF-F-099 deductionFor
72. MK-CF-F-081 salaryActiveMonths
73. MK-CF-F-165 salaryMonths
74. MK-CF-F-187 seniorDeductionFor</t>
  </si>
  <si>
    <t>1. MK-XS-F-122 n → MK-CF-F-155 cash → MK-NW-F-074 theEmergencyFund
2. MK-CF-F-155 cash → MK-NW-F-008 incomeBearingClassOf → MK-NW-F-011 assetClassOf → MK-NW-F-027 accountClassBreakdown → MK-NW-F-016 cashTotal → MK-NW-F-074 theEmergencyFund
3. MK-ST-F-010 nameEvidence → MK-NW-F-008 incomeBearingClassOf → MK-NW-F-011 assetClassOf → MK-NW-F-027 accountClassBreakdown → MK-NW-F-016 cashTotal → MK-NW-F-074 theEmergencyFund
4. MK-XS-F-122 n → MK-CF-F-155 cash → MK-NW-F-027 accountClassBreakdown → MK-NW-F-016 cashTotal → MK-NW-F-074 theEmergencyFund
5. MK-XS-F-122 n → MK-CF-F-155 cash → MK-NW-F-008 incomeBearingClassOf → MK-NW-F-027 accountClassBreakdown → MK-NW-F-016 cashTotal → MK-NW-F-074 theEmergencyFund
6. MK-XS-F-147 call → MK-ST-F-010 nameEvidence → MK-NW-F-008 incomeBearingClassOf → MK-NW-F-027 accountClassBreakdown → MK-NW-F-016 cashTotal → MK-NW-F-074 theEmergencyFund
7. MK-ST-F-056 has → MK-ST-F-010 nameEvidence → MK-NW-F-008 incomeBearingClassOf → MK-NW-F-027 accountClassBreakdown → MK-NW-F-016 cashTotal → MK-NW-F-074 theEmergencyFund
8. MK-CF-F-132 map → MK-ST-F-010 nameEvidence → MK-NW-F-008 incomeBearingClassOf → MK-NW-F-027 accountClassBreakdown → MK-NW-F-016 cashTotal → MK-NW-F-074 theEmergencyFund
9. … and 5 more paths</t>
  </si>
  <si>
    <t>now = input.today (or new date() when missing)
held = input.accounts (or none when missing) where is bond
sum = bond summary(held.map(bond info), now)
one = nothing
b = bond info(opened)
row = row of(opened, now)
years = row.years left (or 0 when missing)</t>
  </si>
  <si>
    <t>Now is input.today (or new date() — when missing). Held is input.accounts (or none — when missing) where is bond. Sum is bond summary(held.map(bond info), now). One is no answer. B is bond info(opened). Row is row of(opened, now). Years is row.years left (or 0 — when missing).</t>
  </si>
  <si>
    <t>input: BondsInput</t>
  </si>
  <si>
    <t>Bonds</t>
  </si>
  <si>
    <t>1. If years left is missing it uses 0.
2. Uses today's date from the device clock, so the answer changes by itself overnight.</t>
  </si>
  <si>
    <t>1. MK-ST-F-027 accountId
2. MK-NW-F-057 annualCoupon
3. MK-NW-F-056 bondInfo
4. MK-NW-F-064 bondRateSensitivity
5. MK-NW-F-061 bondSummary
6. MK-XS-F-180 declareFigures
7. MK-NW-F-055 isBond
8. MK-CF-F-132 map
9. MK-NW-F-072 rowOf</t>
  </si>
  <si>
    <t>1. MK-ST-F-027 accountId
2. MK-NW-F-057 annualCoupon
3. MK-NW-F-056 bondInfo
4. MK-NW-F-064 bondRateSensitivity
5. MK-NW-F-061 bondSummary
6. MK-XS-F-180 declareFigures
7. MK-NW-F-055 isBond
8. MK-CF-F-132 map
9. MK-NW-F-072 rowOf
10. MK-CF-F-155 cash
11. MK-NW-F-060 approxYTM
12. MK-NW-F-069 priceAtYield
13. MK-NW-F-011 assetClassOf
14. MK-NW-F-070 accruedInterestCaveat
15. MK-NW-F-059 currentYield
16. MK-NW-F-071 isCertificateOfDeposit
17. MK-NW-F-058 yearsToMaturity
18. MK-XS-F-122 n
19. MK-NW-F-008 incomeBearingClassOf
20. MK-ST-F-010 nameEvidence
21. MK-XS-F-147 call
22. MK-ST-F-056 has
23. MK-XS-F-064 currentIdToken
24. MK-XS-F-112 relayUrl</t>
  </si>
  <si>
    <t>1. MK-ST-F-027 accountId → MK-NW-O-001 theBonds
2. MK-NW-F-057 annualCoupon → MK-NW-O-001 theBonds
3. MK-XS-F-122 n → MK-CF-F-155 cash → MK-NW-F-056 bondInfo → MK-NW-O-001 theBonds
4. MK-NW-F-057 annualCoupon → MK-NW-F-060 approxYTM → MK-NW-F-064 bondRateSensitivity → MK-NW-O-001 theBonds
5. MK-XS-F-122 n → MK-NW-F-060 approxYTM → MK-NW-F-064 bondRateSensitivity → MK-NW-O-001 theBonds
6. MK-NW-F-058 yearsToMaturity → MK-NW-F-060 approxYTM → MK-NW-F-064 bondRateSensitivity → MK-NW-O-001 theBonds
7. MK-NW-F-057 annualCoupon → MK-NW-F-069 priceAtYield → MK-NW-F-064 bondRateSensitivity → MK-NW-O-001 theBonds
8. MK-XS-F-122 n → MK-NW-F-069 priceAtYield → MK-NW-F-064 bondRateSensitivity → MK-NW-O-001 theBonds
9. … and 5 more paths</t>
  </si>
  <si>
    <t>ledger = input.transactions (or none when missing) where string(account id) = string(account.asset id)
income = personal flow totals(ledger.filter((t) =&gt; type = 'DIVIDEND' or type = 'INTEREST'))
breakdown = account class breakdown(account)
tk = string(ticker ?? '').trim().to upper case()
f = personal flow totals(rows)
dividends = dividends.to number(2)
interest = interest.to number(2)
parts = []
the answer:
dividends = dividends
interest = interest
words = parts.join(' · ')</t>
  </si>
  <si>
    <t>Ledger is input.transactions (or none — when missing) where string(account id) = string(account.asset id). Income is personal flow totals(ledger.filter((t) =&gt; type = 'DIVIDEND' or type = 'INTEREST')). Breakdown is account class breakdown(account). Tk is string(ticker ?? '').trim().to upper case(). F is personal flow totals(rows). Dividends is dividends.to number(2). Interest is interest.to number(2). Parts is []. The answer is dividends = dividends; interest = interest; words = parts.join(' · ').</t>
  </si>
  <si>
    <t>1. If balance is missing it counts as zero, so nothing recorded and a real zero look the same.
2. Rounds the answer to a whole number.</t>
  </si>
  <si>
    <t>1. MK-NW-F-027 accountClassBreakdown
2. MK-CF-F-132 map
3. MK-ST-F-013 personalFlowTotals
4. MK-ST-F-021 toNumber</t>
  </si>
  <si>
    <t>1. MK-NW-F-027 accountClassBreakdown
2. MK-CF-F-132 map
3. MK-ST-F-013 personalFlowTotals
4. MK-ST-F-021 toNumber
5. MK-NW-F-011 assetClassOf
6. MK-CF-F-155 cash
7. MK-NW-F-008 incomeBearingClassOf
8. MK-XS-F-122 n
9. MK-ST-F-010 nameEvidence
10. MK-XS-F-147 call
11. MK-ST-F-056 has
12. MK-ST-F-027 accountId
13. MK-XS-F-064 currentIdToken
14. MK-XS-F-112 relayUrl</t>
  </si>
  <si>
    <t>1. MK-XS-F-122 n → MK-CF-F-155 cash → MK-NW-F-008 incomeBearingClassOf → MK-NW-F-011 assetClassOf → MK-NW-F-027 accountClassBreakdown → MK-NW-O-002 theAccount
2. MK-XS-F-147 call → MK-ST-F-010 nameEvidence → MK-NW-F-008 incomeBearingClassOf → MK-NW-F-011 assetClassOf → MK-NW-F-027 accountClassBreakdown → MK-NW-O-002 theAccount
3. MK-ST-F-056 has → MK-ST-F-010 nameEvidence → MK-NW-F-008 incomeBearingClassOf → MK-NW-F-011 assetClassOf → MK-NW-F-027 accountClassBreakdown → MK-NW-O-002 theAccount
4. MK-CF-F-132 map → MK-ST-F-010 nameEvidence → MK-NW-F-008 incomeBearingClassOf → MK-NW-F-011 assetClassOf → MK-NW-F-027 accountClassBreakdown → MK-NW-O-002 theAccount
5. MK-XS-F-122 n → MK-CF-F-155 cash → MK-NW-F-027 accountClassBreakdown → MK-NW-O-002 theAccount
6. MK-XS-F-122 n → MK-CF-F-155 cash → MK-NW-F-008 incomeBearingClassOf → MK-NW-F-027 accountClassBreakdown → MK-NW-O-002 theAccount
7. MK-ST-F-027 accountId → MK-XS-F-147 call → MK-ST-F-010 nameEvidence → MK-NW-F-008 incomeBearingClassOf → MK-NW-F-027 accountClassBreakdown → MK-NW-O-002 theAccount
8. MK-XS-F-064 currentIdToken → MK-XS-F-147 call → MK-ST-F-010 nameEvidence → MK-NW-F-008 incomeBearingClassOf → MK-NW-F-027 accountClassBreakdown → MK-NW-O-002 theAccount
9. … and 5 more paths</t>
  </si>
  <si>
    <t>MK-NW-M-019 · MK-NW-M-020 · MK-NW-M-021 · MK-NW-M-038 · MK-NW-M-039 · MK-NW-M-040</t>
  </si>
  <si>
    <t>MoneyKeel/functions/networth-and-performance/net-worth.ts</t>
  </si>
  <si>
    <t>accounts = input.accounts (or none when missing)
debts = input.debts (or none when missing)
a state = build assets state(input.uid, accounts)
d state = build debt state(input.uid, debts)
nw = build net worth(input.uid, a state.total asset value, d state.total debt balance)
by class = asset allocation(accounts)
investable = investable assets(accounts)
as percent = investable change pct(input.investable daily, investable, input.since)
the answer:
nothing   if as percent = nothing
as percent ÷ 100   otherwise</t>
  </si>
  <si>
    <t>Accounts is input.accounts (or none — when missing). Debts is input.debts (or none — when missing). A state is build assets state(input.uid, accounts). D state is build debt state(input.uid, debts). Nw is build net worth(input.uid, a state.total asset value, d state.total debt balance). By class is asset allocation(accounts). Investable is investable assets(accounts). As percent is investable change pct(input.investable daily, investable, input.since). The answer is no answer — when as percent is missing; as percent divided by 100 — otherwise.</t>
  </si>
  <si>
    <t>1. "Net worth so far" — on the Net worth screen, under "EMERGENCY FUND"
2. "Net worth" — on the Home screen
3. "YOUR INVESTMENTS" — on the Home screen, under "WHAT YOU"</t>
  </si>
  <si>
    <t>1. If alternatives is missing it uses 0.
2. If remaining balance is missing it counts as zero, so nothing recorded and a real zero look the same.</t>
  </si>
  <si>
    <t>1. MK-NW-F-029 assetAllocation
2. MK-NW-F-039 buildAssetsState
3. MK-CF-F-036 buildDebtState
4. MK-NW-F-065 buildNetWorth
5. MK-CF-F-155 cash
6. MK-NW-F-016 cashTotal
7. MK-XS-F-180 declareFigures
8. MK-NW-F-022 investableAssets
9. MK-XS-F-010 investableChangePct
10. MK-NW-F-021 investmentsTotal
11. MK-CF-F-132 map
12. MK-CF-F-023 requiredPayment
13. MK-XS-F-005 trendPoints
14. MK-XS-F-175 uid</t>
  </si>
  <si>
    <t>1. MK-NW-F-029 assetAllocation
2. MK-NW-F-039 buildAssetsState
3. MK-CF-F-036 buildDebtState
4. MK-NW-F-065 buildNetWorth
5. MK-CF-F-155 cash
6. MK-NW-F-016 cashTotal
7. MK-XS-F-180 declareFigures
8. MK-NW-F-022 investableAssets
9. MK-XS-F-010 investableChangePct
10. MK-NW-F-021 investmentsTotal
11. MK-CF-F-132 map
12. MK-CF-F-023 requiredPayment
13. MK-XS-F-005 trendPoints
14. MK-XS-F-175 uid
15. MK-NW-F-027 accountClassBreakdown
16. MK-NW-F-011 assetClassOf
17. MK-CF-F-026 actualDebtPayment
18. MK-CF-F-025 minimumDebtService
19. MK-XS-F-122 n
20. MK-NW-F-014 isRealAsset
21. MK-NW-F-066 sumWhere
22. MK-NW-F-015 totalAssets
23. MK-CF-F-022 paymentShape
24. MK-XS-F-009 readHistory
25. MK-ST-F-027 accountId
26. MK-CF-F-111 applyTransaction
27. MK-NW-F-040 assetsFromOnboarding
28. MK-PF-F-013 benchmarkTicker
29. MK-ST-F-028 buildDayFromAccounts
30. MK-PF-F-034 closeOnOrBefore
31. MK-CF-F-186 convertTakeHomeMode
32. MK-CF-F-038 debtsFromOnboarding
33. MK-XS-F-083 fetchPriceSeries
34. MK-PL-F-013 goalsFromOnboarding
35. MK-ST-F-056 has
36. MK-CF-F-116 inverseOf
37. MK-ST-F-065 isoLocalDate
38. MK-CF-F-112 makeTransaction
39. MK-ST-F-043 newEntityId
40. MK-XS-F-006 pruneDaily
41. MK-ST-F-073 rebuildDays
42. MK-NW-F-054 reclassifyAccounts
43. MK-XS-F-174 recomputeBalances
44. MK-CF-F-115 restoreUndo
45. MK-CF-F-109 reviewTransactions
46. MK-ST-F-044 setMoneyFormat
47. MK-CF-F-114 undoSnapshot
48. MK-CF-F-191 ym
49. MK-NW-F-008 incomeBearingClassOf
50. MK-CF-F-024 totalDebtMonthly
51. MK-CF-F-021 defaultPaymentType
52. MK-XS-F-008 normalizeSnapshot
53. MK-CF-F-138 addLot
54. MK-CF-F-136 bumpCash
55. MK-CF-F-137 findPos
56. MK-CF-F-139 removeShares
57. MK-PF-F-001 totalShares
58. MK-ST-F-052 toNum
59. MK-ST-F-053 money
60. MK-CF-F-085 filingStatusOf
61. MK-CF-F-097 grossFromNet
62. MK-CF-F-185 needsTakeHomeConversion
63. MK-CF-F-089 over65CountOf
64. MK-CF-F-037 inferDebtType
65. MK-ST-F-069 amountOf
66. MK-CF-F-133 cashOf
67. MK-ST-F-066 isDayKey
68. MK-ST-F-070 isOpening
69. MK-ST-F-071 rebuildableFrom
70. MK-ST-F-068 stepDay
71. MK-ST-F-072 undo
72. MK-NW-F-053 correctClassOf
73. MK-PF-F-002 costBasis
74. MK-PF-F-009 latestClose
75. MK-PF-F-004 marketValue
76. MK-ST-F-030 record
77. MK-XS-F-024 resolveLens
78. MK-ST-F-055 round2
79. MK-CF-F-162 daysApart
80. MK-CF-F-108 isMoneyOut
81. MK-PL-F-074 median
82. MK-CF-F-131 normPayee
83. MK-CF-F-113 affectedAccountIds
84. MK-ST-F-010 nameEvidence
85. MK-XS-F-121 isYm
86. MK-CF-O-002 spending
87. MK-CF-F-134 usesSleeve
88. MK-ST-F-049 formatMoney
89. MK-CF-F-101 taxOwedFor
90. MK-ST-F-067 utcOfDay
91. MK-ST-F-035 covers
92. MK-NW-F-009 maturityClass
93. MK-PF-F-031 contractMultiplier
94. MK-CF-F-072 currentRetirementIncomeMonthly
95. MK-XS-F-147 call
96. MK-CF-F-151 actualSpending
97. MK-CF-F-150 debtPaymentsCountedAsExpenses
98. MK-CF-F-153 radar
99. MK-CF-F-149 recurringDebtPayments
100. MK-ST-F-048 currencySymbol
101. MK-ST-F-039 on
102. MK-CF-F-100 taxableIncomeFor
103. MK-ST-F-034 firstDate
104. MK-CF-F-075 retirementIncomeMonthly
105. MK-XS-F-064 currentIdToken
106. MK-XS-F-112 relayUrl
107. MK-CF-F-148 inMonth
108. MK-CF-F-152 isRadarItem
109. MK-ST-F-047 activeCurrency
110. MK-CF-F-099 deductionFor
111. MK-CF-F-187 seniorDeductionFor</t>
  </si>
  <si>
    <t>1. MK-CF-F-155 cash → MK-NW-F-008 incomeBearingClassOf → MK-NW-F-011 assetClassOf → MK-NW-F-027 accountClassBreakdown → MK-NW-F-029 assetAllocation → MK-NW-O-003 theNetWorth
2. MK-ST-F-010 nameEvidence → MK-NW-F-008 incomeBearingClassOf → MK-NW-F-011 assetClassOf → MK-NW-F-027 accountClassBreakdown → MK-NW-F-029 assetAllocation → MK-NW-O-003 theNetWorth
3. MK-XS-F-122 n → MK-CF-F-155 cash → MK-NW-F-027 accountClassBreakdown → MK-NW-F-029 assetAllocation → MK-NW-O-003 theNetWorth
4. MK-XS-F-122 n → MK-CF-F-155 cash → MK-NW-F-008 incomeBearingClassOf → MK-NW-F-027 accountClassBreakdown → MK-NW-F-029 assetAllocation → MK-NW-O-003 theNetWorth
5. MK-XS-F-147 call → MK-ST-F-010 nameEvidence → MK-NW-F-008 incomeBearingClassOf → MK-NW-F-027 accountClassBreakdown → MK-NW-F-029 assetAllocation → MK-NW-O-003 theNetWorth
6. MK-ST-F-056 has → MK-ST-F-010 nameEvidence → MK-NW-F-008 incomeBearingClassOf → MK-NW-F-027 accountClassBreakdown → MK-NW-F-029 assetAllocation → MK-NW-O-003 theNetWorth
7. MK-CF-F-132 map → MK-ST-F-010 nameEvidence → MK-NW-F-008 incomeBearingClassOf → MK-NW-F-027 accountClassBreakdown → MK-NW-F-029 assetAllocation → MK-NW-O-003 theNetWorth
8. MK-XS-F-122 n → MK-CF-F-155 cash → MK-NW-F-008 incomeBearingClassOf → MK-NW-F-011 assetClassOf → MK-NW-F-029 assetAllocation → MK-NW-O-003 theNetWorth
9. … and 5 more paths</t>
  </si>
  <si>
    <t>MK-MN-M-016 · MK-MN-M-022 · MK-NW-M-002 · MK-NW-M-004 · MK-NW-M-005 · MK-NW-M-007 · MK-NW-M-009 · MK-NW-M-011 · MK-NW-M-017 · MK-XS-M-001 · MK-XS-M-003</t>
  </si>
  <si>
    <t>MoneyKeel/functions/networth-and-performance/alternatives-outlook.ts</t>
  </si>
  <si>
    <t>s = alternatives summary(input.accounts ?? [])</t>
  </si>
  <si>
    <t>S is alternatives summary(input.accounts ?? []).</t>
  </si>
  <si>
    <t>input: { accounts: AssetAccount[] }</t>
  </si>
  <si>
    <t>AlternativesOutlook</t>
  </si>
  <si>
    <t>"EST. GROWTH /year" — on the Other investments screen, under "ALTERNATIVES"</t>
  </si>
  <si>
    <t>1. MK-NW-F-002 alternativesSummary
2. MK-NW-F-037 blendedReturn
3. MK-XS-F-180 declareFigures</t>
  </si>
  <si>
    <t>1. MK-NW-F-002 alternativesSummary
2. MK-NW-F-037 blendedReturn
3. MK-XS-F-180 declareFigures
4. MK-NW-F-034 benchmarkReturn
5. MK-NW-F-001 isAlternative
6. MK-NW-F-032 earmarkedAmount
7. MK-NW-F-031 primaryCarIdOf
8. MK-NW-F-007 assetKind
9. MK-NW-F-030 earmarkDefault
10. MK-NW-F-011 assetClassOf
11. MK-CF-F-155 cash
12. MK-NW-F-013 realEstateUseOf
13. MK-NW-F-008 incomeBearingClassOf
14. MK-XS-F-122 n
15. MK-ST-F-010 nameEvidence
16. MK-XS-F-147 call
17. MK-ST-F-056 has
18. MK-CF-F-132 map
19. MK-ST-F-027 accountId
20. MK-XS-F-064 currentIdToken
21. MK-XS-F-112 relayUrl</t>
  </si>
  <si>
    <t>1. MK-NW-F-008 incomeBearingClassOf → MK-NW-F-011 assetClassOf → MK-NW-F-007 assetKind → MK-NW-F-034 benchmarkReturn → MK-NW-F-002 alternativesSummary → MK-NW-O-005 theAlternativesOutlook
2. MK-XS-F-122 n → MK-CF-F-155 cash → MK-NW-F-007 assetKind → MK-NW-F-034 benchmarkReturn → MK-NW-F-002 alternativesSummary → MK-NW-O-005 theAlternativesOutlook
3. MK-NW-F-001 isAlternative → MK-NW-F-002 alternativesSummary → MK-NW-O-005 theAlternativesOutlook
4. MK-NW-F-008 incomeBearingClassOf → MK-NW-F-011 assetClassOf → MK-NW-F-007 assetKind → MK-NW-F-034 benchmarkReturn → MK-NW-F-037 blendedReturn → MK-NW-O-005 theAlternativesOutlook
5. MK-XS-F-122 n → MK-CF-F-155 cash → MK-NW-F-007 assetKind → MK-NW-F-034 benchmarkReturn → MK-NW-F-037 blendedReturn → MK-NW-O-005 theAlternativesOutlook
6. MK-NW-F-008 incomeBearingClassOf → MK-NW-F-011 assetClassOf → MK-NW-F-030 earmarkDefault → MK-NW-F-032 earmarkedAmount → MK-NW-F-037 blendedReturn → MK-NW-O-005 theAlternativesOutlook
7. MK-NW-F-013 realEstateUseOf → MK-NW-F-030 earmarkDefault → MK-NW-F-032 earmarkedAmount → MK-NW-F-037 blendedReturn → MK-NW-O-005 theAlternativesOutlook
8. MK-CF-F-155 cash → MK-NW-F-008 incomeBearingClassOf → MK-NW-F-011 assetClassOf → MK-NW-F-031 primaryCarIdOf → MK-NW-F-037 blendedReturn → MK-NW-O-005 theAlternativesOutlook
9. … and 2 more paths</t>
  </si>
  <si>
    <t>MK-NW-M-029 · MK-NW-M-030 · MK-NW-M-031 · MK-NW-M-033 · MK-NW-M-034 · MK-NW-M-035 · MK-NW-M-036 · MK-NW-M-037</t>
  </si>
  <si>
    <t>MoneyKeel/functions/networth-and-performance/holding.ts</t>
  </si>
  <si>
    <t>now = input.now (or new date() when missing)
p = input.position
ticker = string((p as any).ticker ?? '')
shares = total shares(p)
paid = cost basis(p)
priced = input.price ≠ nothing
value = market value(p, input.price as number)   if priced
paid   otherwise
a year ago = the first 10 of the date now.get time() − 365 × 24 × 3600 × 1000).to isostring(
div rows = named where type = 'DIVIDEND'
sum = Σ over (list: any[]) =&gt; list of (amount (or 0 when missing or zero))</t>
  </si>
  <si>
    <t>Now is input.now (or new date() — when missing). P is input.position. Ticker is string((p as any).ticker ?? ''). Shares is total shares(p). Paid is cost basis(p). Priced is input.price is not no answer. Value is market value(p, input.price as number) — when priced; paid — otherwise. A year ago: the first 10 of the date now.get time() minus 365 times 24 times 3600 times 1000).to isostring(. Div rows is named where type = 'DIVIDEND'. Sum: the amount (or 0 — when missing or zero) added up across (list: any[]) =&gt; list.</t>
  </si>
  <si>
    <t>1. MK-PF-F-006 capGains
2. MK-PF-F-002 costBasis
3. MK-XS-F-180 declareFigures
4. MK-PF-F-004 marketValue
5. MK-PF-F-028 realizedFromLedger
6. MK-PF-F-001 totalShares</t>
  </si>
  <si>
    <t>1. MK-PF-F-006 capGains
2. MK-PF-F-002 costBasis
3. MK-XS-F-180 declareFigures
4. MK-PF-F-004 marketValue
5. MK-PF-F-028 realizedFromLedger
6. MK-PF-F-001 totalShares
7. MK-XS-F-122 n
8. MK-PF-F-031 contractMultiplier</t>
  </si>
  <si>
    <t>1. MK-XS-F-122 n → MK-PF-F-006 capGains → MK-NW-O-006 theHolding
2. MK-PF-F-031 contractMultiplier → MK-PF-F-002 costBasis → MK-NW-O-006 theHolding
3. MK-XS-F-180 declareFigures → MK-NW-O-006 theHolding
4. MK-PF-F-031 contractMultiplier → MK-PF-F-004 marketValue → MK-NW-O-006 theHolding
5. MK-PF-F-001 totalShares → MK-PF-F-004 marketValue → MK-NW-O-006 theHolding
6. MK-PF-F-028 realizedFromLedger → MK-NW-O-006 theHolding
7. MK-PF-F-001 totalShares → MK-NW-O-006 theHolding</t>
  </si>
  <si>
    <t>MK-NW-O-007</t>
  </si>
  <si>
    <t>MoneyKeel/functions/networth-and-performance/look-back.ts</t>
  </si>
  <si>
    <t>look back(input.amount, input.from series, input.to series, input.months, input.now ?? new date())</t>
  </si>
  <si>
    <t>look back(input.amount, input.from series, input.to series, input.months, input.now ?? new date()).</t>
  </si>
  <si>
    <t>1. MK-XS-F-180 declareFigures
2. MK-PF-F-023 lookBack</t>
  </si>
  <si>
    <t>1. MK-XS-F-180 declareFigures
2. MK-PF-F-023 lookBack
3. MK-PF-F-022 factorOverMonths
4. MK-ST-F-065 isoLocalDate</t>
  </si>
  <si>
    <t>1. MK-XS-F-180 declareFigures → MK-NW-O-007 theLookBack
2. MK-ST-F-065 isoLocalDate → MK-PF-F-022 factorOverMonths → MK-PF-F-023 lookBack → MK-NW-O-007 theLookBack</t>
  </si>
  <si>
    <t>MK-NW-O-008</t>
  </si>
  <si>
    <t>MoneyKeel/functions/networth-and-performance/performance.ts</t>
  </si>
  <si>
    <t>flows = personal flow totals(ledger)
contributions = flows.contributions.to number(2)
withdrawals = flows.withdrawals.to number(2)
dividends = flows.dividends.to number(2)
interest = flows.interest.to number(2)
bounds = window bounds(window start, today)   if window start
nothing   otherwise
days = input.snapshot days (or none when missing)
beginning = measured (or ending − input.priced gain − contributions + withdrawals when missing)
years = bounds.days ÷ 365   if bounds
0   otherwise
has basis = measured ≠ nothing (or walk.wealth generated ! = 0 when missing or zero)
refused = verdict ≠ nothing and verdict.rate = nothing
… the first steps only — the rest of the body needs reading by hand.</t>
  </si>
  <si>
    <t>Flows is personal flow totals(ledger). Contributions is flows.contributions.to number(2). Withdrawals is flows.withdrawals.to number(2). Dividends is flows.dividends.to number(2). Interest is flows.interest.to number(2). Bounds is window bounds(window start, today) — when window start; no answer — otherwise. Days is input.snapshot days (or none — when missing). Beginning is measured (or ending minus input.priced gain minus contributions plus withdrawals — when missing). Years is bounds.days divided by 365 — when bounds; 0 — otherwise. Has basis is measured is not no answer (or walk.wealth generated ! = 0 — when missing or zero). Refused is verdict is not no answer and verdict.rate is missing. Only the first steps are shown; the rest of the body needs reading by hand.</t>
  </si>
  <si>
    <t>"Ending market value" — on the Performance screen</t>
  </si>
  <si>
    <t>1. Treats a year as 365 days.
2. Shows 2 decimal places.</t>
  </si>
  <si>
    <t>1. MK-XS-F-011 buildChangeWalk
2. MK-XS-F-180 declareFigures
3. MK-CF-F-132 map
4. MK-ST-F-064 modifiedDietzOverWindow
5. MK-ST-F-013 personalFlowTotals
6. MK-ST-F-030 record
7. MK-ST-F-021 toNumber
8. MK-ST-F-031 valueOn
9. MK-ST-F-038 windowBounds</t>
  </si>
  <si>
    <t>1. MK-XS-F-011 buildChangeWalk
2. MK-XS-F-180 declareFigures
3. MK-CF-F-132 map
4. MK-ST-F-064 modifiedDietzOverWindow
5. MK-ST-F-013 personalFlowTotals
6. MK-ST-F-030 record
7. MK-ST-F-021 toNumber
8. MK-ST-F-031 valueOn
9. MK-ST-F-038 windowBounds
10. MK-ST-F-053 money
11. MK-ST-F-062 toUtc
12. MK-XS-F-122 n
13. MK-ST-F-027 accountId
14. MK-CF-F-155 cash
15. MK-ST-F-056 has
16. MK-ST-F-033 onOrBefore
17. MK-ST-F-063 shiftDay
18. MK-ST-F-049 formatMoney
19. MK-ST-F-048 currencySymbol
20. MK-ST-F-039 on
21. MK-ST-F-047 activeCurrency</t>
  </si>
  <si>
    <t>1. MK-XS-F-011 buildChangeWalk → MK-NW-O-008 thePerformance
2. MK-XS-F-180 declareFigures → MK-NW-O-008 thePerformance
3. MK-CF-F-132 map → MK-NW-O-008 thePerformance
4. MK-CF-F-132 map → MK-ST-F-064 modifiedDietzOverWindow → MK-NW-O-008 thePerformance
5. MK-ST-F-047 activeCurrency → MK-ST-F-048 currencySymbol → MK-ST-F-049 formatMoney → MK-ST-F-053 money → MK-ST-F-064 modifiedDietzOverWindow → MK-NW-O-008 thePerformance
6. MK-XS-F-122 n → MK-ST-F-049 formatMoney → MK-ST-F-053 money → MK-ST-F-064 modifiedDietzOverWindow → MK-NW-O-008 thePerformance
7. MK-ST-F-039 on → MK-ST-F-049 formatMoney → MK-ST-F-053 money → MK-ST-F-064 modifiedDietzOverWindow → MK-NW-O-008 thePerformance
8. MK-XS-F-122 n → MK-ST-F-053 money → MK-ST-F-064 modifiedDietzOverWindow → MK-NW-O-008 thePerformance
9. … and 5 more paths</t>
  </si>
  <si>
    <t>MK-PF-F-001</t>
  </si>
  <si>
    <t>totalShares</t>
  </si>
  <si>
    <t>src/domain/performance/index.ts</t>
  </si>
  <si>
    <t>---- cost basis &amp; value (lot math) ----</t>
  </si>
  <si>
    <t>total shares(holding) = Σ over every lot of (shares, or 0 when missing)</t>
  </si>
  <si>
    <t>Adds the share count of every lot. A lot with no share count counts as zero, so "nothing recorded" and "a real zero" give the same answer.</t>
  </si>
  <si>
    <t>p: Position</t>
  </si>
  <si>
    <t>· If shares is missing it counts as zero, so nothing recorded and a real zero look the same.</t>
  </si>
  <si>
    <t>HOLDING_SHARES</t>
  </si>
  <si>
    <t>[from MK-NW-M-031, typed Q07/Q09] 8 decimals for coins; always capture units.</t>
  </si>
  <si>
    <t>Sums raw numbers with no unit and no rounding. Fix: a unit on the position; coin quantities to 8 decimals — see MK-NW-M-031.</t>
  </si>
  <si>
    <t>MK-PF-F-002</t>
  </si>
  <si>
    <t>costBasis</t>
  </si>
  <si>
    <t>cost basis(holding) = Σ over every lot of (shares × cost per share)</t>
  </si>
  <si>
    <t>What was paid, added across the lots. A lot with no cost per share contributes nothing, so a holding with neither a price nor a cost lands at $0 and quietly leaves net worth.</t>
  </si>
  <si>
    <t>1. If shares is missing it counts as zero, so nothing recorded and a real zero look the same.
2. If cost per share is missing it counts as zero, so nothing recorded and a real zero look the same.</t>
  </si>
  <si>
    <t>MK-PF-F-031 contractMultiplier</t>
  </si>
  <si>
    <t>MK-PF-F-031 contractMultiplier → MK-PF-F-002 costBasis</t>
  </si>
  <si>
    <t>[from MK-NW-M-032 / M-033] Average price must not divide by shares whose cost is missing or zero; Total paid vs Price paid (average) — two things or one?</t>
  </si>
  <si>
    <t>Total paid is right (a no-cost lot adds 0). The AVERAGE is computed inline on the screen as this total ÷ ALL shares — so no-cost shares drag the average down (JJ-1, MK-NW-M-032). Fix: a named averagePricePaid function over lots with a cost &gt; 0; MK-NW-M-032 points at it, MK-NW-M-033 keeps this function.</t>
  </si>
  <si>
    <t>WAITING ON YOU — answer to read · TESTED, NOT VERIFIED (Q06)</t>
  </si>
  <si>
    <t>avgCost</t>
  </si>
  <si>
    <t>sh = total shares(p)
the answer:
cost basis(p) ÷ sh   if sh &gt; 0
0   otherwise</t>
  </si>
  <si>
    <t>Sh is total shares(p). The answer is cost basis(p) divided by sh — when sh &gt; 0; 0 — otherwise.</t>
  </si>
  <si>
    <t>1. MK-PF-F-002 costBasis
2. MK-PF-F-001 totalShares</t>
  </si>
  <si>
    <t>1. MK-PF-F-002 costBasis
2. MK-PF-F-001 totalShares
3. MK-PF-F-031 contractMultiplier</t>
  </si>
  <si>
    <t>1. MK-PF-F-031 contractMultiplier → MK-PF-F-002 costBasis → MK-PF-F-003 avgCost
2. MK-PF-F-001 totalShares → MK-PF-F-003 avgCost</t>
  </si>
  <si>
    <t>[from MK-NW-M-032 / M-033] see MK-PF-F-002</t>
  </si>
  <si>
    <t>Unused by any screen (it clips to cents; the screen wants 3 decimals) and it divides by ALL shares. Retire it or make it the averagePricePaid of JJ-1 (cost &gt; 0 lots only, no cents clipping).</t>
  </si>
  <si>
    <t>MK-PF-F-004</t>
  </si>
  <si>
    <t>marketValue</t>
  </si>
  <si>
    <t>market value(holding) = round(total shares × price, 2 dp)
                      = 0   when no price came back</t>
  </si>
  <si>
    <t>Shares times the latest close. A missing price gives ZERO, not a refusal — the caller has to notice and substitute something, and only the account step does. Nothing here multiplies an option contract by a hundred, so an option is valued as if one contract were one share.</t>
  </si>
  <si>
    <t>1. p: Position
2. price: number | null | undefined</t>
  </si>
  <si>
    <t>1. MK-PF-F-031 contractMultiplier
2. MK-PF-F-001 totalShares</t>
  </si>
  <si>
    <t>1. MK-PF-F-031 contractMultiplier → MK-PF-F-004 marketValue
2. MK-PF-F-001 totalShares → MK-PF-F-004 marketValue</t>
  </si>
  <si>
    <t>[from MK-NW-M-030, typed Q06] value is contracts * 100 * price unless stated otherwise by broker or user.</t>
  </si>
  <si>
    <t>NOT APPLIED here: market value = units × price, no multiplier. Fix: multiply by the position's multiplier (100 for a contract unless the feed or the person states another) — Q42 on MK-NW-M-030.</t>
  </si>
  <si>
    <t>MK-PF-F-005</t>
  </si>
  <si>
    <t>unrealizedGain</t>
  </si>
  <si>
    <t>Unrealized gain = market value − cost basis (null price → 0).</t>
  </si>
  <si>
    <t>0   if price = nothing
market value(p, price) − cost basis(p)   otherwise</t>
  </si>
  <si>
    <t>0 — when price is missing; market value(p, price) minus cost basis(p) — otherwise.</t>
  </si>
  <si>
    <t>1. MK-PF-F-002 costBasis
2. MK-PF-F-004 marketValue</t>
  </si>
  <si>
    <t>1. MK-PF-F-002 costBasis
2. MK-PF-F-004 marketValue
3. MK-PF-F-031 contractMultiplier
4. MK-PF-F-001 totalShares</t>
  </si>
  <si>
    <t>1. MK-PF-F-031 contractMultiplier → MK-PF-F-002 costBasis → MK-PF-F-005 unrealizedGain
2. MK-PF-F-031 contractMultiplier → MK-PF-F-004 marketValue → MK-PF-F-005 unrealizedGain
3. MK-PF-F-001 totalShares → MK-PF-F-004 marketValue → MK-PF-F-005 unrealizedGain</t>
  </si>
  <si>
    <t>MK-PF-F-006</t>
  </si>
  <si>
    <t>capGains</t>
  </si>
  <si>
    <t>If I sold this today, how much of the gain is long-term and how much short-term?</t>
  </si>
  <si>
    <t>per lot:  gain = shares × (price − cost per share)
long-term when today is LATER than the first anniversary of the purchase
short-term otherwise, and a lot with no cost recorded is skipped entirely</t>
  </si>
  <si>
    <t>Splits the unrealised gain into long and short term, lot by lot, comparing calendar days so a timezone cannot move the line. Exactly one year is still SHORT term — long term begins the day after the anniversary, which is the IRS rule. An unreadable purchase date stays short term, the cautious side, because understating a tax bill is the worse mistake.</t>
  </si>
  <si>
    <t>1. p: Position
2. price: number | null | undefined
3. now: Date = new Date()</t>
  </si>
  <si>
    <t>CapGains</t>
  </si>
  <si>
    <t>MK-XS-F-122 n → MK-PF-F-006 capGains</t>
  </si>
  <si>
    <t>HOLDING_CAP_GAINS</t>
  </si>
  <si>
    <t>MK-PF-F-007</t>
  </si>
  <si>
    <t>totalROI</t>
  </si>
  <si>
    <t>Total return since purchase = gain / cost basis (decimal).</t>
  </si>
  <si>
    <t>basis = cost basis(p)
nothing   when price = nothing (or basis ≤ 0 when missing or zero)
the answer = unrealized gain(p, price) ÷ basis</t>
  </si>
  <si>
    <t>Basis is cost basis(p). When price is missing (or basis is at most 0 — when missing or zero), it answers no answer. The answer is unrealized gain(p, price) divided by basis.</t>
  </si>
  <si>
    <t>1. MK-PF-F-002 costBasis
2. MK-PF-F-005 unrealizedGain</t>
  </si>
  <si>
    <t>1. MK-PF-F-002 costBasis
2. MK-PF-F-005 unrealizedGain
3. MK-PF-F-031 contractMultiplier
4. MK-PF-F-004 marketValue
5. MK-PF-F-001 totalShares</t>
  </si>
  <si>
    <t>1. MK-PF-F-031 contractMultiplier → MK-PF-F-002 costBasis → MK-PF-F-007 totalROI
2. MK-PF-F-031 contractMultiplier → MK-PF-F-002 costBasis → MK-PF-F-005 unrealizedGain → MK-PF-F-007 totalROI
3. MK-PF-F-031 contractMultiplier → MK-PF-F-004 marketValue → MK-PF-F-005 unrealizedGain → MK-PF-F-007 totalROI
4. MK-PF-F-001 totalShares → MK-PF-F-004 marketValue → MK-PF-F-005 unrealizedGain → MK-PF-F-007 totalROI</t>
  </si>
  <si>
    <t>MK-PF-F-008</t>
  </si>
  <si>
    <t>startDateFor</t>
  </si>
  <si>
    <t>---- period returns from a price series (price return of the security itself) ----</t>
  </si>
  <si>
    <t>d = the date now
the answer = d</t>
  </si>
  <si>
    <t>D: the date now. The answer is d.</t>
  </si>
  <si>
    <t>1. period: Period
2. now: Date</t>
  </si>
  <si>
    <t>MK-PF-F-009</t>
  </si>
  <si>
    <t>latestClose</t>
  </si>
  <si>
    <t>latest close = the last point in the price series
             = nothing   when the series is empty</t>
  </si>
  <si>
    <t>The most recent closing price held for a ticker. It carries no date with it, so nothing downstream can tell a price from this morning from one three weeks old.</t>
  </si>
  <si>
    <t>series: PriceSeries | null | undefined</t>
  </si>
  <si>
    <t>MK-PF-F-010</t>
  </si>
  <si>
    <t>periodReturn</t>
  </si>
  <si>
    <t>Price return of a ticker over a period (decimal).</t>
  </si>
  <si>
    <t>nothing   when series is missing (or not (count of series.points) when missing or zero)
end = latest close(series)
start = close as of(series, start date for(period, now))
nothing   when end = nothing (or start = nothing (or start ≤ 0 when missing or zero) when missing or zero)
raw = end ÷ start − 1
(end ÷ start)^(1 ÷ 2) − 1   when period = '2Y'
the answer = raw</t>
  </si>
  <si>
    <t>When series is missing (or not (how many series.points) — when missing or zero) there are, it answers no answer. End is latest close(series). Start is close as of(series, start date for(period, now)). When end is missing (or start is missing (or start is at most 0 — when missing or zero) — when missing or zero), it answers no answer. Raw is end divided by start minus 1. When period = '2Y', it answers (end divided by start)^(1 divided by 2) minus 1. The answer is raw.</t>
  </si>
  <si>
    <t>1. series: PriceSeries | null | undefined
2. period: Period
3. now = new Date()</t>
  </si>
  <si>
    <t>1. MK-PF-F-029 closeAsOf
2. MK-PF-F-009 latestClose
3. MK-PF-F-008 startDateFor</t>
  </si>
  <si>
    <t>1. MK-PF-F-029 closeAsOf → MK-PF-F-010 periodReturn
2. MK-PF-F-009 latestClose → MK-PF-F-010 periodReturn
3. MK-PF-F-008 startDateFor → MK-PF-F-010 periodReturn</t>
  </si>
  <si>
    <t>MK-PF-F-011</t>
  </si>
  <si>
    <t>periodReturnSince</t>
  </si>
  <si>
    <t>Price return from an explicit start DATE to now (for purchase-capped windows).</t>
  </si>
  <si>
    <t>nothing   when series is missing (or not (count of series.points) when missing or zero)
end = latest close(series)
start = close as of(series, new date(since iso))
nothing   when end = nothing (or start = nothing (or start ≤ 0 when missing or zero) when missing or zero)
the answer = end ÷ start − 1</t>
  </si>
  <si>
    <t>When series is missing (or not (how many series.points) — when missing or zero) there are, it answers no answer. End is latest close(series). Start is close as of(series, new date(since iso)). When end is missing (or start is missing (or start is at most 0 — when missing or zero) — when missing or zero), it answers no answer. The answer is end divided by start minus 1.</t>
  </si>
  <si>
    <t>1. series: PriceSeries | null | undefined
2. sinceISO: string
3. now = new Date()</t>
  </si>
  <si>
    <t>1. MK-PF-F-029 closeAsOf
2. MK-PF-F-009 latestClose</t>
  </si>
  <si>
    <t>1. MK-PF-F-029 closeAsOf → MK-PF-F-011 periodReturnSince
2. MK-PF-F-009 latestClose → MK-PF-F-011 periodReturnSince</t>
  </si>
  <si>
    <t>MK-PF-F-012</t>
  </si>
  <si>
    <t>earliestPurchaseDate</t>
  </si>
  <si>
    <t>Earliest dated lot — the day this holding became YOUR money.</t>
  </si>
  <si>
    <t>dates = for each of lots (or none when missing): purchase date where ÷ ^\each{4}-\each{2}-\each{2} ÷ .test(each ?? '')
the answer:
the first 10 of dates.sort()[0]!   if count of dates
nothing   otherwise</t>
  </si>
  <si>
    <t>Dates is for each of lots (or none — when missing): purchase date where divided by ^\each{4}-\each{2}-\each{2} divided by .test(each ?? ''). The answer: the first 10 of dates.sort()[0]! — when how many dates there are; no answer — otherwise.</t>
  </si>
  <si>
    <t>MK-CF-F-132 map → MK-PF-F-012 earliestPurchaseDate</t>
  </si>
  <si>
    <t>MK-PF-F-013</t>
  </si>
  <si>
    <t>benchmarkTicker</t>
  </si>
  <si>
    <t>BENCHMARK_TICKER[kind ?? ''] (or 'SPY' when missing)</t>
  </si>
  <si>
    <t>BENCHMARK_TICKER[kind ?? ''] (or 'SPY' — when missing).</t>
  </si>
  <si>
    <t>1. "Name (optional)" — on the Performance screen
2. "You are" — on the Holding detail screen, under "VS THE STOCK MARKET
3. SAME DATES"</t>
  </si>
  <si>
    <t>MK-ST-F-053 money</t>
  </si>
  <si>
    <t>1. MK-ST-F-053 money
2. MK-ST-F-049 formatMoney
3. MK-XS-F-122 n
4. MK-ST-F-048 currencySymbol
5. MK-ST-F-039 on
6. MK-ST-F-047 activeCurrency</t>
  </si>
  <si>
    <t>1. MK-ST-F-047 activeCurrency → MK-ST-F-048 currencySymbol → MK-ST-F-049 formatMoney → MK-ST-F-053 money → MK-PF-F-013 benchmarkTicker
2. MK-XS-F-122 n → MK-ST-F-049 formatMoney → MK-ST-F-053 money → MK-PF-F-013 benchmarkTicker
3. MK-ST-F-039 on → MK-ST-F-049 formatMoney → MK-ST-F-053 money → MK-PF-F-013 benchmarkTicker
4. MK-XS-F-122 n → MK-ST-F-053 money → MK-PF-F-013 benchmarkTicker</t>
  </si>
  <si>
    <t>Build the per-holding rows for a period from positions + a price-series lookup.</t>
  </si>
  <si>
    <t>period start = the first 10 of start date for(period, now).to isostring()
series = price of(ticker)
price = latest close(series)
bought = earliest purchase date(p) (or purchase date of.(p) (or nothing when missing) when missing)
capped = bought ≠ nothing and bought &gt; period start
pr = total roi(p, price)   if capped
period return(series, period, now)   otherwise
bench ticker = benchmark ticker(kind)</t>
  </si>
  <si>
    <t>Period start: the first 10 of start date for(period, now).to isostring(). Series is price of(ticker). Price is latest close(series). Bought is earliest purchase date(p) (or purchase date of.(p) (or no answer — when missing) — when missing). Capped is bought is not no answer and bought &gt; period start. Pr is total roi(p, price) — when capped; period return(series, period, now) — otherwise. Bench ticker is benchmark ticker(kind).</t>
  </si>
  <si>
    <t>1. MK-PF-F-013 benchmarkTicker
2. MK-PF-F-002 costBasis
3. MK-PF-F-012 earliestPurchaseDate
4. MK-PF-F-009 latestClose
5. MK-CF-F-132 map
6. MK-PF-F-004 marketValue
7. MK-ST-F-053 money
8. MK-PF-F-010 periodReturn
9. MK-PF-F-011 periodReturnSince
10. MK-PF-F-008 startDateFor
11. MK-PF-F-007 totalROI
12. MK-PF-F-005 unrealizedGain</t>
  </si>
  <si>
    <t>1. MK-PF-F-013 benchmarkTicker
2. MK-PF-F-002 costBasis
3. MK-PF-F-012 earliestPurchaseDate
4. MK-PF-F-009 latestClose
5. MK-CF-F-132 map
6. MK-PF-F-004 marketValue
7. MK-ST-F-053 money
8. MK-PF-F-010 periodReturn
9. MK-PF-F-011 periodReturnSince
10. MK-PF-F-008 startDateFor
11. MK-PF-F-007 totalROI
12. MK-PF-F-005 unrealizedGain
13. MK-PF-F-031 contractMultiplier
14. MK-PF-F-001 totalShares
15. MK-ST-F-049 formatMoney
16. MK-XS-F-122 n
17. MK-PF-F-029 closeAsOf
18. MK-ST-F-048 currencySymbol
19. MK-ST-F-039 on
20. MK-ST-F-047 activeCurrency</t>
  </si>
  <si>
    <t>MK-PF-F-015</t>
  </si>
  <si>
    <t>topHoldingConcentration</t>
  </si>
  <si>
    <t>The holding-concentration FACT (Invest main + the insights function share this one rule): the largest single holding as a % of invested money, reported only at 25%+ with 2+ holdings — below that it isn't a fact worth a card.</t>
  </si>
  <si>
    <t>invested = Σ over rows of (market value)
nothing   when invested ≤ 0 (or rows.length &lt; 2 when missing or zero)
top = rows.reduce((m, r) =&gt; (market value &gt; market value ? r : m), rows[0])
pct = round((top.market value ÷ invested) × 100)
the answer:
ticker = top.position.ticker
pct = pct
value = round(top.market value)   if pct ≥ 25
nothing   otherwise</t>
  </si>
  <si>
    <t>Invested: the market value added up across rows. When invested is at most 0 (or rows.length &lt; 2 — when missing or zero), it answers no answer. Top is rows.reduce((m, r) =&gt; (market value &gt; market value ? r : m), rows[0]). Pct is (top.market value divided by invested, to a whole number times 100). The answer is ticker = top.position.ticker; pct = pct; value = top.market value, to a whole number — when pct is at least 25; no answer — otherwise.</t>
  </si>
  <si>
    <t>rows: PerformanceRow[]</t>
  </si>
  <si>
    <t>MK-PF-F-004 marketValue</t>
  </si>
  <si>
    <t>1. MK-PF-F-004 marketValue
2. MK-PF-F-031 contractMultiplier
3. MK-PF-F-001 totalShares</t>
  </si>
  <si>
    <t>1. MK-PF-F-031 contractMultiplier → MK-PF-F-004 marketValue → MK-PF-F-015 topHoldingConcentration
2. MK-PF-F-001 totalShares → MK-PF-F-004 marketValue → MK-PF-F-015 topHoldingConcentration</t>
  </si>
  <si>
    <t>CONCENTRATION</t>
  </si>
  <si>
    <t>MK-PF-F-016</t>
  </si>
  <si>
    <t>attribution</t>
  </si>
  <si>
    <t>Per-holding contribution to the portfolio's period return = weight × the holding's return (pts).</t>
  </si>
  <si>
    <t>total = Σ over rows of (market value)
[]   when total ≤ 0</t>
  </si>
  <si>
    <t>Total: the market value added up across rows. When total is at most 0, it answers [].</t>
  </si>
  <si>
    <t>1. MK-CF-F-132 map
2. MK-PF-F-004 marketValue</t>
  </si>
  <si>
    <t>1. MK-CF-F-132 map
2. MK-PF-F-004 marketValue
3. MK-PF-F-031 contractMultiplier
4. MK-PF-F-001 totalShares</t>
  </si>
  <si>
    <t>1. MK-CF-F-132 map → MK-PF-F-016 attribution
2. MK-PF-F-031 contractMultiplier → MK-PF-F-004 marketValue → MK-PF-F-016 attribution
3. MK-PF-F-001 totalShares → MK-PF-F-004 marketValue → MK-PF-F-016 attribution</t>
  </si>
  <si>
    <t>WHAT_DROVE_THE_RETURN</t>
  </si>
  <si>
    <t>MK-PF-F-017</t>
  </si>
  <si>
    <t>allocation</t>
  </si>
  <si>
    <t>How is my invested money spread?</t>
  </si>
  <si>
    <t>by kind = {}
total = Σ over object.values(by kind) of (each)+ max(0, cash)
[]   when total ≤ 0
slices = for each of object.entries(by kind): [key, v]) =&gt; ({ key, value: (v), pct: math.round((v ÷ total) × 1000) ÷ 10 }
the answer = slices.sort((a, b) =&gt; value − value)</t>
  </si>
  <si>
    <t>By kind is {}. Total: the each)+ cash added up across object.values(by kind, never below zero. When total is at most 0, it answers []. Slices is for each of object.entries(by kind): [key, v]) =&gt; ({ key, value: (v), pct: math.(v divided by total, to a whole number times 1000) divided by 10 }. The answer is slices.sort((a, b) =&gt; value minus value).</t>
  </si>
  <si>
    <t>1. rows: PerformanceRow[]
2. cash = 0</t>
  </si>
  <si>
    <t>AllocSlice[]</t>
  </si>
  <si>
    <t>1. If by kind[k] is missing it counts as zero, so nothing recorded and a real zero look the same.
2. Never lets cash fall below 0.</t>
  </si>
  <si>
    <t>1. MK-CF-F-155 cash
2. MK-CF-F-132 map</t>
  </si>
  <si>
    <t>1. MK-CF-F-155 cash
2. MK-CF-F-132 map
3. MK-XS-F-122 n</t>
  </si>
  <si>
    <t>1. MK-XS-F-122 n → MK-CF-F-155 cash → MK-PF-F-017 allocation
2. MK-CF-F-132 map → MK-PF-F-017 allocation</t>
  </si>
  <si>
    <t>ALLOCATION_BY_HOLDING_KIND</t>
  </si>
  <si>
    <t>MK-PF-F-018</t>
  </si>
  <si>
    <t>portfolioTrend</t>
  </si>
  <si>
    <t>How has my portfolio moved over the period, against its benchmark?</t>
  </si>
  <si>
    <t>[]   when count of !positions?
start = start date for(period, now)
span = now.get time() − start.get time()
[]   when span ≤ 0
n = 12
dates = array.from({ length: N + 1 }, (_, i) =&gt; new date(start.get time() + (span × i) ÷ N))
bench series = price of(bench ticker sym)
value at = (d: date) =&gt; positions.reduce((t, p) =&gt; { const c = close as of(price of(ticker), d); return t + (c = nothing ? 0 : total shares(p) × c); }, 0)
v0 = value at(dates[0])
b0 = close as of(bench series, dates[0])
value = value at(d)
… the first steps only — the rest of the body needs reading by hand.</t>
  </si>
  <si>
    <t>When how many !positions? there are, it answers []. Start is start date for(period, now). Span is now.get time() minus start.get time(). When span is at most 0, it answers []. N is 12. Dates is array.from({ length: N plus 1 }, (_, i) =&gt; new date(start.get time() plus (span times i) divided by N)). Bench series is price of(bench ticker sym). Value at is (d: date) =&gt; positions.reduce((t, p) =&gt; { const c = close as of(price of(ticker), d); return t plus (c is missing ? 0 : total shares(p) times c); }, 0). V0 is value at(dates[0]). B0 is close as of(bench series, dates[0]). Value is value at(d). Only the first steps are shown; the rest of the body needs reading by hand.</t>
  </si>
  <si>
    <t>1. Uses a built-in n of 12.
2. Uses today's date from the device clock, so the answer changes by itself overnight.</t>
  </si>
  <si>
    <t>1. MK-PF-F-029 closeAsOf
2. MK-CF-F-132 map
3. MK-PF-F-008 startDateFor
4. MK-PF-F-001 totalShares</t>
  </si>
  <si>
    <t>1. MK-PF-F-029 closeAsOf → MK-PF-F-018 portfolioTrend
2. MK-CF-F-132 map → MK-PF-F-018 portfolioTrend
3. MK-PF-F-008 startDateFor → MK-PF-F-018 portfolioTrend
4. MK-PF-F-001 totalShares → MK-PF-F-018 portfolioTrend</t>
  </si>
  <si>
    <t>PORTFOLIO_TREND_LINE</t>
  </si>
  <si>
    <t>Value-weighted portfolio period return across holdings that have one (decimal), or null.</t>
  </si>
  <si>
    <t>usable = rows where period return ≠ nothing and market value &gt; 0
total = Σ over usable of (market value)
nothing   when total ≤ 0
the answer = Σ over usable of ((period return as number) × market value)÷ total</t>
  </si>
  <si>
    <t>Usable is rows where period return is not no answer and market value &gt; 0. Total: the market value added up across usable. When total is at most 0, it answers no answer. The answer: the (period return as number added up across usable times market value)÷ total.</t>
  </si>
  <si>
    <t>· Second verification G18, 2026-09-08: this is the value-weighted average of holding returns, not a Dietz return.</t>
  </si>
  <si>
    <t>TESTED, NOT VERIFIED (C1, G18)</t>
  </si>
  <si>
    <t>Value-weighted benchmark ("the market, matched to your mix") return across holdings that have one (decimal), or null.</t>
  </si>
  <si>
    <t>usable = rows where bench return ≠ nothing and market value &gt; 0
total = Σ over usable of (market value)
nothing   when total ≤ 0
the answer = Σ over usable of ((bench return as number) × market value)÷ total</t>
  </si>
  <si>
    <t>Usable is rows where bench return is not no answer and market value &gt; 0. Total: the market value added up across usable. When total is at most 0, it answers no answer. The answer: the (bench return as number added up across usable times market value)÷ total.</t>
  </si>
  <si>
    <t>MK-PF-F-021</t>
  </si>
  <si>
    <t>periodDollarDelta</t>
  </si>
  <si>
    <t>The DOLLAR change implied by a period return on today's total — the approved Home hero shows "up $11,200 (1.4%) this month": dollars AND percent from the SAME measured return, so the two figures can never disagree (one concept, one source).</t>
  </si>
  <si>
    <t>0   when !number.is finite(current total) (or !number.is finite(period return) (or period return ≤ -1 when missing or zero) when missing or zero)
round(current total × period return ÷ (1 + period return))</t>
  </si>
  <si>
    <t>When !number.is finite(current total) (or !number.is finite(period return) (or period return is at most -1 — when missing or zero) — when missing or zero), it answers 0. current total times period return divided by (1 plus period return, to a whole number).</t>
  </si>
  <si>
    <t>1. currentTotal: number
2. periodReturn: number</t>
  </si>
  <si>
    <t>MK-PF-F-010 periodReturn</t>
  </si>
  <si>
    <t>1. MK-PF-F-010 periodReturn
2. MK-PF-F-029 closeAsOf
3. MK-PF-F-009 latestClose
4. MK-PF-F-008 startDateFor</t>
  </si>
  <si>
    <t>1. MK-PF-F-029 closeAsOf → MK-PF-F-010 periodReturn → MK-PF-F-021 periodDollarDelta
2. MK-PF-F-009 latestClose → MK-PF-F-010 periodReturn → MK-PF-F-021 periodDollarDelta
3. MK-PF-F-008 startDateFor → MK-PF-F-010 periodReturn → MK-PF-F-021 periodDollarDelta</t>
  </si>
  <si>
    <t>MK-PF-F-022</t>
  </si>
  <si>
    <t>factorOverMonths</t>
  </si>
  <si>
    <t>Price factor over the trailing window: last close ÷ the close at (now − months).</t>
  </si>
  <si>
    <t>pts = series.points
nothing   when fewer than 2 points
cutoff = the local calendar date `months` before today (year, month − months, day) — built from local date parts, never via UTC
nothing   when the series starts after the cutoff
start = the last point on or before the cutoff; end = the last point
nothing   when start.close is missing or ≤ 0
the answer = end.close ÷ start.close</t>
  </si>
  <si>
    <t>The price factor over the trailing window: the latest close divided by the close on or just before the day the window opened. The window opens on the person's own calendar day that many months ago. A series that does not reach back that far gives no answer — no price is invented.</t>
  </si>
  <si>
    <t>1. series: PriceSeries | null | undefined
2. months: number
3. now: Date = new Date()</t>
  </si>
  <si>
    <t>1. Uses today's date from the device clock, so the answer changes by itself overnight.
2. The window boundary is a LOCAL calendar date (the person's own day), so the answer is the same in every timezone (TZ-1, 2026-09-08).</t>
  </si>
  <si>
    <t>MK-ST-F-065 isoLocalDate → MK-PF-F-022 factorOverMonths</t>
  </si>
  <si>
    <t>PRICE_FACTOR_OVER_WINDOW</t>
  </si>
  <si>
    <t>TESTED, NOT VERIFIED (TZ-1)</t>
  </si>
  <si>
    <t>MK-PF-F-023</t>
  </si>
  <si>
    <t>lookBack</t>
  </si>
  <si>
    <t>What if I had moved this money?</t>
  </si>
  <si>
    <t>nothing   when not (amount &gt; 0)
f from = factor over months(from series, months, now)
f to = factor over months(to series, months, now)
nothing   when f from = nothing (or f to = nothing when missing or zero)
stayed = leg(f from)
moved = leg(f to)
the answer:
stayed = stayed
moved = moved
difference = moved.end value − stayed.end value
months = months</t>
  </si>
  <si>
    <t>When not (amount &gt; 0), it answers no answer. F from is factor over months(from series, months, now). F to is factor over months(to series, months, now). When f from is missing (or f to is missing — when missing or zero), it answers no answer. Stayed is leg(f from). Moved is leg(f to). The answer is stayed = stayed; moved = moved; difference = moved.end value minus stayed.end value; months = months.</t>
  </si>
  <si>
    <t>1. amount: number
2. fromSeries: PriceSeries | null | undefined
3. toSeries: PriceSeries | null | undefined
4. months: number
5. now: Date = new Date()</t>
  </si>
  <si>
    <t>LookBackResult | null</t>
  </si>
  <si>
    <t>1. MK-PF-F-022 factorOverMonths
2. MK-ST-F-065 isoLocalDate</t>
  </si>
  <si>
    <t>MK-ST-F-065 isoLocalDate → MK-PF-F-022 factorOverMonths → MK-PF-F-023 lookBack</t>
  </si>
  <si>
    <t>LOOK_BACK</t>
  </si>
  <si>
    <t>MK-PF-F-024</t>
  </si>
  <si>
    <t>userFlows</t>
  </si>
  <si>
    <t>src/domain/performance/moneyWeighted.ts</t>
  </si>
  <si>
    <t>The user's dated flows for a measured set of accounts, investor-sign convention: money the user PUT IN is negative, money TAKEN OUT is positive.</t>
  </si>
  <si>
    <t>flows = []
in set = account ids.has(string(account id))
counter in set = counter account id ≠ nothing and account ids.has(string(counter account id))
when = date.parse(string(date))
the answer = flows where size of(amount) &gt; 0.004.sort((a, b) =&gt; date − date)</t>
  </si>
  <si>
    <t>Flows is []. In set is account ids.has(string(account id)). Counter in set is counter account id is not no answer and account ids.has(string(counter account id)). When is date.parse(string(date)). The answer is flows where size of(amount) &gt; 0.004.sort((a, b) =&gt; date minus date).</t>
  </si>
  <si>
    <t>1. transactions: Transaction[]
2. accountIds: Set&lt;string&gt;</t>
  </si>
  <si>
    <t>1. If amount is missing it counts as zero, so nothing recorded and a real zero look the same.
2. If shares is missing it counts as zero, so nothing recorded and a real zero look the same.
3. If price is missing it counts as zero, so nothing recorded and a real zero look the same.</t>
  </si>
  <si>
    <t>MK-ST-F-056 has → MK-PF-F-024 userFlows</t>
  </si>
  <si>
    <t>PERSONAL_FLOWS</t>
  </si>
  <si>
    <t>MK-PF-F-025</t>
  </si>
  <si>
    <t>historyIsComplete</t>
  </si>
  <si>
    <t>True iff every measured account's story begins IN the ledger (openable honestly).</t>
  </si>
  <si>
    <t>false   when first is missing
false   when !['OPENING_CASH', 'OPENING_POSITION', 'DEPOSIT'].includes(first.type as string)
true
[LOOP — the answer is found inside a loop the extractor cannot render; the steps above are the ones before it. Read by hand.]</t>
  </si>
  <si>
    <t>When first is missing, it answers false. When !['OPENING_CASH', 'OPENING_POSITION', 'DEPOSIT'].includes(first.type as string), it answers false. true. The answer is found inside a loop that cannot be rendered here; read the code by hand.</t>
  </si>
  <si>
    <t>1. transactions: Transaction[]
2. accounts: AssetAccount[]
3. accountIds: Set&lt;string&gt;</t>
  </si>
  <si>
    <t>MK-ST-F-056 has → MK-PF-F-025 historyIsComplete</t>
  </si>
  <si>
    <t>PERSONAL_RETURN_POSSIBLE</t>
  </si>
  <si>
    <t>MK-PF-F-026</t>
  </si>
  <si>
    <t>moneyWeightedReturn</t>
  </si>
  <si>
    <t>XIRR via bisection — deterministic, no derivative games.</t>
  </si>
  <si>
    <t>reason = 'no_history'   when !history is complete(transactions, accounts, account ids)
flows = user flows(transactions, account ids)
invested = flows where amount &lt; 0
reason = 'no_history'   when invested.length = 0
t0 = flows[0].date
since days = round down((now − t0) ÷ DAY)
reason = 'too_short'   when since days &lt; 30
lo = -0.95, hi = 10
f = (r: number) =&gt; npv(r, flows, math.max(0, current value), now, t0)
f lo = f(lo), f hi = f(hi)
reason = 'no_solution'   when f lo × f hi &gt; 0
[LOOP — the answer is found inside a loop the extractor cannot render; the steps above are the ones before it. Read by hand.]
… the first steps only — the rest of the body needs reading by hand.</t>
  </si>
  <si>
    <t>When !history is complete(transactions, accounts, account ids), it answers reason = 'no_history'. Flows is user flows(transactions, account ids). Invested is flows where amount &lt; 0. When invested.length = 0, it answers reason = 'no_history'. T0 is flows[0].date. Since days is (now minus t0, rounded down divided by DAY). When since days &lt; 30, it answers reason = 'too_short'. Lo is -0.95, hi = 10. F is (r: number) =&gt; npv(r, flows, math.current value, never below zero, now, t0). F lo is f(lo), f hi = f(hi). When f lo times f hi &gt; 0, it answers reason = 'no_solution'. The answer is found inside a loop that cannot be rendered here; read the code by hand. Only the first steps are shown; the rest of the body needs reading by hand.</t>
  </si>
  <si>
    <t>1. Uses today's date from the device clock, so the answer changes by itself overnight.
2. Never lets current value fall below 0.</t>
  </si>
  <si>
    <t>1. MK-PF-F-025 historyIsComplete
2. MK-PF-F-030 npv
3. MK-PF-F-024 userFlows</t>
  </si>
  <si>
    <t>1. MK-PF-F-025 historyIsComplete
2. MK-PF-F-030 npv
3. MK-PF-F-024 userFlows
4. MK-ST-F-056 has</t>
  </si>
  <si>
    <t>1. MK-ST-F-056 has → MK-PF-F-025 historyIsComplete → MK-PF-F-026 moneyWeightedReturn
2. MK-PF-F-030 npv → MK-PF-F-026 moneyWeightedReturn
3. MK-ST-F-056 has → MK-PF-F-024 userFlows → MK-PF-F-026 moneyWeightedReturn</t>
  </si>
  <si>
    <t>PERSONAL_RETURN</t>
  </si>
  <si>
    <t>MK-PF-F-027</t>
  </si>
  <si>
    <t>isMoneyWeighted</t>
  </si>
  <si>
    <t>Did the personal return produce a number, or a reason it could not?</t>
  </si>
  <si>
    <t>(r as money weighted).rate per year ! = undefined</t>
  </si>
  <si>
    <t>(r as money weighted).rate per year ! = undefined.</t>
  </si>
  <si>
    <t>r: MoneyWeighted | MoneyWeightedMiss</t>
  </si>
  <si>
    <t>r is MoneyWeighted</t>
  </si>
  <si>
    <t>PERSONAL_RETURN_ANSWERED</t>
  </si>
  <si>
    <t>MK-PF-F-028</t>
  </si>
  <si>
    <t>realizedFromLedger</t>
  </si>
  <si>
    <t>src/domain/performance/realized.ts</t>
  </si>
  <si>
    <t>How much profit have I actually taken?</t>
  </si>
  <si>
    <t>rows = the ledger's BUY, Opening holding and SELL rows with a ticker, shares and a price (filtered to the ticker / account asked for), oldest first
for each row: a buy is queued per account and ticker; a sale takes from the oldest queued buys: take = min(lot shares, shares still to sell); basis += take × lot price; lot shares −= take; still to sell −= take; the lot is dropped when empty
gain = covered shares × sale price − basis, to the cent; added to the all-time total, and to this year's when the sale date is in this year
a sale with shares still uncovered is counted as a sale without basis — reported, never guessed
the answer = { realized all time, realized this year, sells counted, sells without basis }</t>
  </si>
  <si>
    <t>Every buy is queued, oldest first, per account and ticker. Each sale takes shares from the oldest queued buys; the cost of those shares is the basis; the gain is what the covered shares sold for less that basis, to the cent, with a separate total for sales this year. A sale that cannot be fully matched to recorded buys is counted separately and named on screen, never priced from a guess.</t>
  </si>
  <si>
    <t>1. If shares is missing it uses 0.
2. Uses today's date from the device clock, so the answer changes by itself overnight.
3. Sales dated in the current calendar year make the this-year total; the device clock decides which year that is.</t>
  </si>
  <si>
    <t>REALISED_GAIN</t>
  </si>
  <si>
    <t>[Formula (mathematical) — his comment on this row] missing code which actually calculate gain or loss (realized). Takes shares from lot.shares. Adds (lot.price * matchedShares) to basis. Subtracts matchedShares from toSell and lot.shares. Pops lot from q once depleted and moves to the next lot. Calculates Gain/Loss: Proceeds − Basis.</t>
  </si>
  <si>
    <t>Your steps match the code exactly. One detail to add: proceeds = the shares actually COVERED × sale price — when a sale is only partly covered by recorded buys, the uncovered part is dropped from both proceeds and basis and the sale is counted as 'without basis'. Gain rounded to the cent; a second total for sales dated this calendar year. The file cut the formula off because the generator cannot render loops — same root cause as A15. FIX (file + code header): 'for each sale, oldest first: take = min(lot shares, shares still to sell); basis += take × lot price; lot shares −= take; still to sell −= take; drop the lot when empty; gain = covered × sale price − basis, to the cent; year total when the sale date is in this year; any remainder → a sale without basis'. Fix the assumption lines on this row ('multiplies by 100' = cents rounding). FIX (code): none. See MK-NW-M-035 for his question on feed quantities.</t>
  </si>
  <si>
    <t>MK-PF-F-029</t>
  </si>
  <si>
    <t>closeAsOf</t>
  </si>
  <si>
    <t>Close on/just-before a target date (series oldest→newest).</t>
  </si>
  <si>
    <t>pts = series.points (or none when missing)
nothing   when count of pts is missing
t = target.get time()
chosen = nothing
the answer = chosen (or pts[0].close when missing)</t>
  </si>
  <si>
    <t>Pts is series.points (or none — when missing). When how many pts is missing there are, it answers no answer. T is target.get time(). Chosen is no answer. The answer is chosen (or pts[0].close — when missing).</t>
  </si>
  <si>
    <t>1. series: PriceSeries | null | undefined
2. target: Date</t>
  </si>
  <si>
    <t>MK-PF-F-030</t>
  </si>
  <si>
    <t>npv</t>
  </si>
  <si>
    <t>disc = (when: number) =&gt; (1 + rate)^(-((when − t0) ÷ DAY) ÷ 365)
v = 0
[LOOP — the answer is found inside a loop the extractor cannot render; the steps above are the ones before it. Read by hand.]</t>
  </si>
  <si>
    <t>Disc is (when: number) =&gt; (1 plus rate)^(-((when minus t0) divided by DAY) divided by 365). V is 0. The answer is v plus end value times disc(end date). The answer is found inside a loop that cannot be rendered here; read the code by hand.</t>
  </si>
  <si>
    <t>1. rate: number
2. flows: { date: number; amount: number }[]
3. endValue: number
4. endDate: number
5. t0: number</t>
  </si>
  <si>
    <t>· Treats a year as 365 days.</t>
  </si>
  <si>
    <t>MK-PF-F-031</t>
  </si>
  <si>
    <t>contractMultiplier</t>
  </si>
  <si>
    <t>multiplier   when multiplier ≠ nothing and multiplier &gt; 0
OPTION_CONTRACT_MULTIPLIER   if kind = 'options'
1   otherwise</t>
  </si>
  <si>
    <t>When multiplier is not no answer and multiplier &gt; 0, it answers multiplier. OPTION_CONTRACT_MULTIPLIER — when kind = 'options'; 1 — otherwise.</t>
  </si>
  <si>
    <t>p: Pick&lt;Position, 'kind' | 'multiplier'&gt;</t>
  </si>
  <si>
    <t>TESTED, NOT VERIFIED (Q06)</t>
  </si>
  <si>
    <t>MK-PF-F-032</t>
  </si>
  <si>
    <t>quantityUnit</t>
  </si>
  <si>
    <t>Q09 (founder, 2026-08-26): the unit beside a quantity — the person's when entered, else the one the kind implies: coins for crypto, contracts for options, ounces for gold and commodities, shares for everything else.</t>
  </si>
  <si>
    <t>unit   when unit
'coins'   when kind = 'crypto'
'contracts'   when kind = 'options'
'ounces'   when kind = 'commodities'
'shares'</t>
  </si>
  <si>
    <t>When unit, it answers unit. When kind = 'crypto', it answers 'coins'. When kind = 'options', it answers 'contracts'. When kind = 'commodities', it answers 'ounces'. 'shares'.</t>
  </si>
  <si>
    <t>p: Pick&lt;Position, 'kind' | 'unit'&gt;</t>
  </si>
  <si>
    <t>QuantityUnit</t>
  </si>
  <si>
    <t>TESTED, NOT VERIFIED (Q09)</t>
  </si>
  <si>
    <t>MK-PF-F-033</t>
  </si>
  <si>
    <t>quantityWithUnit</t>
  </si>
  <si>
    <t>"3 shares", "1 coin", "2 contracts" — the quantity printed with its unit, singular when it is one.</t>
  </si>
  <si>
    <t>unit = quantity unit(p)
the answer = `${format(qty)} ${qty = 1 ? unit.replace( ÷ s$ ÷ , '') : unit}`</t>
  </si>
  <si>
    <t>Unit is quantity unit(p). The answer is `${format(qty)} ${qty = 1 ? unit.replace( divided by s$ divided by , '') : unit}`.</t>
  </si>
  <si>
    <t>1. p: Pick&lt;Position, 'kind' | 'unit'&gt;
2. qty: number
3. format: (n: number) =&gt; string = String</t>
  </si>
  <si>
    <t>"Quantity" — on the Holding detail screen, under "CURRENT PRICE$"</t>
  </si>
  <si>
    <t>MK-PF-F-032 quantityUnit</t>
  </si>
  <si>
    <t>MK-PF-F-032 quantityUnit → MK-PF-F-033 quantityWithUnit</t>
  </si>
  <si>
    <t>MK-PF-F-034</t>
  </si>
  <si>
    <t>closeOnOrBefore</t>
  </si>
  <si>
    <t>The close ON OR BEFORE a day, with NO fallback.</t>
  </si>
  <si>
    <t>pts = series.points (or none when missing)
nothing   when count of pts is missing (or ! ÷ ^\d{4}-\d{2}-\d{2}$ ÷ .test(iso date) when missing or zero)
chosen = nothing
the answer = chosen</t>
  </si>
  <si>
    <t>Pts is series.points (or none — when missing). When how many pts is missing (or ! divided by ^\d{4}-\d{2}-\d{2}$ divided by .test(iso date) — when missing or zero) there are, it answers no answer. Chosen is no answer. The answer is chosen.</t>
  </si>
  <si>
    <t>1. series: PriceSeries | null | undefined
2. isoDate: string</t>
  </si>
  <si>
    <t>MK-PL-F-001</t>
  </si>
  <si>
    <t>taxBucketSplit</t>
  </si>
  <si>
    <t>src/domain/decumulation/index.ts</t>
  </si>
  <si>
    <t>s = taxable = 0
pre tax = 0
roth = 0
cash = 0
total = 0
v = earmarked amount(a)
the answer = s</t>
  </si>
  <si>
    <t>S is taxable = 0; pre tax = 0; roth = 0; cash = 0; total = 0. V is earmarked amount(a). The answer is s.</t>
  </si>
  <si>
    <t>BucketSplit</t>
  </si>
  <si>
    <t>1. "Healthcare:" — on the Retirement cockpit screen
2. "Required Minimum Distributions" — on the Retirement cockpit screen
3. "Required withdrawal — first" — on a card used on more than one screen (DrawSteerSheet)
4. "Roth conversion window:" — on the Retirement cockpit screen
5. "Suggested withdrawal order" — on the Retirement cockpit screen
6. "Where your money sits" — on the Retirement cockpit screen</t>
  </si>
  <si>
    <t>1. MK-CF-F-155 cash → MK-NW-F-008 incomeBearingClassOf → MK-NW-F-011 assetClassOf → MK-NW-F-030 earmarkDefault → MK-NW-F-032 earmarkedAmount → MK-PL-F-001 taxBucketSplit
2. MK-ST-F-010 nameEvidence → MK-NW-F-008 incomeBearingClassOf → MK-NW-F-011 assetClassOf → MK-NW-F-030 earmarkDefault → MK-NW-F-032 earmarkedAmount → MK-PL-F-001 taxBucketSplit
3. MK-NW-F-013 realEstateUseOf → MK-NW-F-030 earmarkDefault → MK-NW-F-032 earmarkedAmount → MK-PL-F-001 taxBucketSplit</t>
  </si>
  <si>
    <t>MK-PL-F-002</t>
  </si>
  <si>
    <t>withdrawalPlan</t>
  </si>
  <si>
    <t>spend annual = spend monthly × 12
guaranteed annual = guaranteed monthly × 12
net withdrawal = max(0, spend annual − guaranteed annual)
withdrawal rate = net withdrawal ÷ nest egg   if nest egg &gt; 0
nothing   otherwise
the answer = { spend annual, guaranteed annual, net withdrawal, withdrawal rate, rate band }</t>
  </si>
  <si>
    <t>Spend annual is spend monthly times 12. Guaranteed annual is guaranteed monthly times 12. Net withdrawal is spend annual minus guaranteed annual, never below zero. Withdrawal rate is net withdrawal divided by nest egg — when nest egg &gt; 0; no answer — otherwise. The answer is { spend annual, guaranteed annual, net withdrawal, withdrawal rate, rate band }.</t>
  </si>
  <si>
    <t>1. spendMonthly: number
2. guaranteedMonthly: number
3. nestEgg: number</t>
  </si>
  <si>
    <t>WithdrawalPlan</t>
  </si>
  <si>
    <t>1. "From your portfolio" — on the Retirement cockpit screen
2. "WILL YOUR MONEY LAST?" — on the Retirement cockpit screen, under "RETIREMENT
3. WHERE YOU STAND"
4. "You plan to spend" — on the Retirement cockpit screen</t>
  </si>
  <si>
    <t>MK-PL-F-003</t>
  </si>
  <si>
    <t>depletionAge</t>
  </si>
  <si>
    <t>---- deterministic depletion ---- Age the portfolio runs out (deterministic), or null if it lasts to the horizon.</t>
  </si>
  <si>
    <t>bal = nest egg
net = net withdrawal now
rmd on = (pre tax share ?? 0) &gt; 0
pre tax bal = bal × min(1, max(0, pre tax share!))   if rmd on
0   otherwise
rate = min(0.6, max(0, rmd tax rate (or 0.22 when missing)))
growth = 1 + return rate
a + 1   when bal ≤ 0
the answer = nothing</t>
  </si>
  <si>
    <t>Bal is nest egg. Net is net withdrawal now. Rmd on is (pre tax share ?? 0) &gt; 0. Pre tax bal is bal times the smaller of 1 and pre tax share!, never below zero — when rmd on; 0 — otherwise. Rate: the smaller of 0.6 and rmd tax rate (or 0.22 — when missing, never below zero). Growth is 1 plus return rate. When bal is at most 0, it answers a plus 1. The answer is no answer.</t>
  </si>
  <si>
    <t>o: { age: number; horizon: number; nestEgg: number; netWithdrawalNow: number; returnRate: number; inflation: number; preTaxShare?: number; rmdTaxRate?: number }</t>
  </si>
  <si>
    <t>1. If pre tax share is missing it uses 0.
2. If required withdrawal tax rate is missing it uses 22%.</t>
  </si>
  <si>
    <t>1. MK-PL-F-007 rmdAtAge
2. MK-PL-F-005 rmdStartAgeFor</t>
  </si>
  <si>
    <t>1. MK-PL-F-007 rmdAtAge
2. MK-PL-F-005 rmdStartAgeFor
3. MK-PL-F-078 rmdDivisorAtAge
4. MK-ST-F-025 rmdStartAgeFromAge
5. MK-ST-F-024 rmdStartAge
6. MK-ST-F-056 has</t>
  </si>
  <si>
    <t>1. MK-PL-F-078 rmdDivisorAtAge → MK-PL-F-007 rmdAtAge → MK-PL-F-003 depletionAge
2. MK-ST-F-056 has → MK-ST-F-024 rmdStartAge → MK-ST-F-025 rmdStartAgeFromAge → MK-PL-F-005 rmdStartAgeFor → MK-PL-F-003 depletionAge</t>
  </si>
  <si>
    <t>MK-PL-F-004</t>
  </si>
  <si>
    <t>withdrawalOrder</t>
  </si>
  <si>
    <t>steps = seq where split[bucket] &gt; 0for each of : ...each = ...each
amount = split[bucket]
pre = steps.find((s) =&gt; bucket = 'preTax')
the answer = steps</t>
  </si>
  <si>
    <t>Steps is seq where split[bucket] &gt; 0for each of : ...each = ...each; amount = split[bucket]. Pre is steps.find((s) =&gt; bucket = 'preTax'). The answer is steps.</t>
  </si>
  <si>
    <t>1. split: BucketSplit
2. age = 0
3. userOrder?: DrawBucket[] | null</t>
  </si>
  <si>
    <t>OrderStep[]</t>
  </si>
  <si>
    <t>1. "Why this order?" — on the Cash flow screen
2. "Why? ›" — on the Cash flow screen, under "BIG-TICKET RADAR"</t>
  </si>
  <si>
    <t>1. MK-CF-F-132 map
2. MK-ST-F-039 on
3. MK-PL-F-007 rmdAtAge
4. MK-PL-F-005 rmdStartAgeFor</t>
  </si>
  <si>
    <t>1. MK-CF-F-132 map
2. MK-ST-F-039 on
3. MK-PL-F-007 rmdAtAge
4. MK-PL-F-005 rmdStartAgeFor
5. MK-PL-F-078 rmdDivisorAtAge
6. MK-ST-F-025 rmdStartAgeFromAge
7. MK-ST-F-024 rmdStartAge
8. MK-ST-F-056 has</t>
  </si>
  <si>
    <t>1. MK-CF-F-132 map → MK-PL-F-004 withdrawalOrder
2. MK-ST-F-039 on → MK-PL-F-004 withdrawalOrder
3. MK-PL-F-078 rmdDivisorAtAge → MK-PL-F-007 rmdAtAge → MK-PL-F-004 withdrawalOrder
4. MK-ST-F-056 has → MK-ST-F-024 rmdStartAge → MK-ST-F-025 rmdStartAgeFromAge → MK-PL-F-005 rmdStartAgeFor → MK-PL-F-004 withdrawalOrder</t>
  </si>
  <si>
    <t>MK-PL-F-005</t>
  </si>
  <si>
    <t>rmdStartAgeFor</t>
  </si>
  <si>
    <t>---- Required Minimum Distributions ---- B4 (founder brief 2026-08-20): the rule lives in ONE dated, sourced table — the Calculation Module's rmd function.</t>
  </si>
  <si>
    <t>73   if age = nothing
rmd start age from age(age, now year)   otherwise</t>
  </si>
  <si>
    <t>73 — when age is missing; rmd start age from age(age, now year) — otherwise.</t>
  </si>
  <si>
    <t>1. age?: number | null
2. nowYear = new Date().getFullYear()</t>
  </si>
  <si>
    <t>1. "Required Minimum Distributions" — on the Retirement cockpit screen
2. "Required withdrawal — first" — on a card used on more than one screen (DrawSteerSheet)
3. "Roth conversion" — on the Roth move screen
4. "Suggested withdrawal order" — on the Retirement cockpit screen
5. "WHAT IT BUYS LATER" — on the Roth move screen, under "WHAT IT BUYS LATER"
6. "WHAT THIS IS" — on the Required withdrawals screen, under "WHAT THIS IS"</t>
  </si>
  <si>
    <t>MK-ST-F-025 rmdStartAgeFromAge</t>
  </si>
  <si>
    <t>1. MK-ST-F-025 rmdStartAgeFromAge
2. MK-ST-F-024 rmdStartAge
3. MK-ST-F-056 has</t>
  </si>
  <si>
    <t>MK-ST-F-056 has → MK-ST-F-024 rmdStartAge → MK-ST-F-025 rmdStartAgeFromAge → MK-PL-F-005 rmdStartAgeFor</t>
  </si>
  <si>
    <t>MK-PL-F-006</t>
  </si>
  <si>
    <t>rmdDivisor</t>
  </si>
  <si>
    <t>Calculation Module code/engines/rmd.ts</t>
  </si>
  <si>
    <t>Divisor at an age, 0 before that person's start age.</t>
  </si>
  <si>
    <t>divisor(age) = 0                        when age is below the start age
               the table value at age   when the table lists that age
               straight-line between the two nearest listed ages   otherwise</t>
  </si>
  <si>
    <t>The number the pre-tax balance is divided by. The IRS Uniform Lifetime table is held for ages 73 to 90, then 92, 95 and 100 only; every other age is interpolated. Ages 93, 94, 97, 98 and 99 do not match the published divisors, and the required amount comes out SHORT — which is the direction the IRS penalises. Finding A35.</t>
  </si>
  <si>
    <t>1. age: number
2. birthYear?: number | null</t>
  </si>
  <si>
    <t>MK-ST-F-024 rmdStartAge</t>
  </si>
  <si>
    <t>1. MK-ST-F-024 rmdStartAge
2. MK-ST-F-056 has</t>
  </si>
  <si>
    <t>MK-ST-F-056 has → MK-ST-F-024 rmdStartAge → MK-PL-F-006 rmdDivisor</t>
  </si>
  <si>
    <t>MK-PL-F-007</t>
  </si>
  <si>
    <t>rmdAtAge</t>
  </si>
  <si>
    <t>Required minimum distribution from pre-tax balances at a given age (0 before the start age).</t>
  </si>
  <si>
    <t>required withdrawal = round(pre-tax balance ÷ divisor(age), 2 dp)
                    = 0   when the divisor is 0</t>
  </si>
  <si>
    <t>Last 31 December's pre-tax balance divided by the life-expectancy divisor for this age. Zero before the start age. Uses the Uniform Lifetime table for everyone — the Joint Life table, which applies when the sole beneficiary is a spouse more than ten years younger, is nowhere.</t>
  </si>
  <si>
    <t>1. preTaxBalance: number
2. age: number</t>
  </si>
  <si>
    <t>1. "Required Minimum Distributions" — on the Retirement cockpit screen
2. "Required withdrawal — first" — on a card used on more than one screen (DrawSteerSheet)
3. "WHAT IT BUYS LATER" — on the Roth move screen, under "WHAT IT BUYS LATER"
4. "Yours starts in" — on the Required withdrawals screen, under "WHAT THIS IS"</t>
  </si>
  <si>
    <t>· Uses the IRS Uniform Lifetime table for everyone (A37). A person whose sole beneficiary is a spouse more than ten years younger may use the Joint Life and Last Survivor table, which gives a SMALLER required amount — not modelled, and not said on the screen yet.</t>
  </si>
  <si>
    <t>MK-PL-F-078 rmdDivisorAtAge</t>
  </si>
  <si>
    <t>MK-PL-F-078 rmdDivisorAtAge → MK-PL-F-007 rmdAtAge</t>
  </si>
  <si>
    <t>MK-PL-F-008</t>
  </si>
  <si>
    <t>rmdSchedule</t>
  </si>
  <si>
    <t>Year-by-year mandated-withdrawal schedule (ESTIMATES: future balances move with returns).</t>
  </si>
  <si>
    <t>rows = []
rows   when pre tax now ≤ 0
start age = max(rmd start age for(age now, now year), age now)
bal = pre tax now
r = max(0, exp return (or 0 when missing or zero))
age = start age + i
amount = rmd at age(bal, age)
the answer = rows</t>
  </si>
  <si>
    <t>Rows is []. When pre tax now is at most 0, it answers rows. Start age: the larger of rmd start age for(age now and now year, age now). Bal is pre tax now. R is exp return (or 0 — when missing or zero, never below zero). Age is start age plus i. Amount is rmd at age(bal, age). The answer is rows.</t>
  </si>
  <si>
    <t>1. preTaxNow: number
2. ageNow: number
3. expReturn: number
4. years = 15
5. nowYear = new Date().getFullYear()</t>
  </si>
  <si>
    <t>RmdYearRow[]</t>
  </si>
  <si>
    <t>1. If exp return is missing it counts as zero, so nothing recorded and a real zero look the same.
2. Uses today's date from the device clock, so the answer changes by itself overnight.
3. Rounds the answer to a whole number.</t>
  </si>
  <si>
    <t>1. MK-PL-F-077 clamp
2. MK-PL-F-054 growOneYear
3. MK-PL-F-007 rmdAtAge
4. MK-PL-F-078 rmdDivisorAtAge
5. MK-PL-F-005 rmdStartAgeFor</t>
  </si>
  <si>
    <t>1. MK-PL-F-077 clamp
2. MK-PL-F-054 growOneYear
3. MK-PL-F-007 rmdAtAge
4. MK-PL-F-078 rmdDivisorAtAge
5. MK-PL-F-005 rmdStartAgeFor
6. MK-NW-F-035 blendedVolatility
7. MK-ST-F-025 rmdStartAgeFromAge
8. MK-CF-F-155 cash
9. MK-NW-F-032 earmarkedAmount
10. MK-NW-F-031 primaryCarIdOf
11. MK-ST-F-024 rmdStartAge
12. MK-XS-F-122 n
13. MK-NW-F-030 earmarkDefault
14. MK-NW-F-011 assetClassOf
15. MK-ST-F-056 has
16. MK-NW-F-013 realEstateUseOf
17. MK-NW-F-008 incomeBearingClassOf
18. MK-ST-F-010 nameEvidence
19. MK-XS-F-147 call
20. MK-CF-F-132 map
21. MK-ST-F-027 accountId
22. MK-XS-F-064 currentIdToken
23. MK-XS-F-112 relayUrl</t>
  </si>
  <si>
    <t>1. MK-XS-F-122 n → MK-CF-F-155 cash → MK-NW-F-035 blendedVolatility → MK-PL-F-077 clamp → MK-PL-F-008 rmdSchedule
2. MK-NW-F-011 assetClassOf → MK-NW-F-030 earmarkDefault → MK-NW-F-032 earmarkedAmount → MK-NW-F-035 blendedVolatility → MK-PL-F-077 clamp → MK-PL-F-008 rmdSchedule
3. MK-NW-F-013 realEstateUseOf → MK-NW-F-030 earmarkDefault → MK-NW-F-032 earmarkedAmount → MK-NW-F-035 blendedVolatility → MK-PL-F-077 clamp → MK-PL-F-008 rmdSchedule
4. MK-NW-F-008 incomeBearingClassOf → MK-NW-F-011 assetClassOf → MK-NW-F-031 primaryCarIdOf → MK-NW-F-035 blendedVolatility → MK-PL-F-077 clamp → MK-PL-F-008 rmdSchedule
5. MK-PL-F-054 growOneYear → MK-PL-F-008 rmdSchedule
6. MK-PL-F-078 rmdDivisorAtAge → MK-PL-F-007 rmdAtAge → MK-PL-F-008 rmdSchedule
7. MK-PL-F-078 rmdDivisorAtAge → MK-PL-F-008 rmdSchedule
8. MK-ST-F-056 has → MK-ST-F-024 rmdStartAge → MK-ST-F-025 rmdStartAgeFromAge → MK-PL-F-005 rmdStartAgeFor → MK-PL-F-008 rmdSchedule</t>
  </si>
  <si>
    <t>MK-PL-F-009</t>
  </si>
  <si>
    <t>rmdTakenThisYear</t>
  </si>
  <si>
    <t>Withdrawals already taken THIS year from the pre-tax accounts (the one ledger — no side lists).</t>
  </si>
  <si>
    <t>ids = a list with no repeats of for each of pre tax account ids: string</t>
  </si>
  <si>
    <t>Ids is a list with no repeats of for each of pre tax account ids: string.</t>
  </si>
  <si>
    <t>1. transactions: { type?: string; account_id?: string; amount?: number; date?: string }[]
2. preTaxAccountIds: string[]
3. nowYear = new Date().getFullYear()</t>
  </si>
  <si>
    <t>1. MK-ST-F-056 has → MK-PL-F-009 rmdTakenThisYear
2. MK-CF-F-132 map → MK-PL-F-009 rmdTakenThisYear</t>
  </si>
  <si>
    <t>MK-PL-F-010</t>
  </si>
  <si>
    <t>drawOrderOutcome</t>
  </si>
  <si>
    <t>If the draw came from the accounts in this order, how long would the money last and what tax would it cost?</t>
  </si>
  <si>
    <t>gross-up per bucket: cash 0 · Roth 0 · pre-tax = the person's ordinary rate · taxable = the person's capital-gains rate × the gain share of their taxable holdings
UNKNOWN (no answer, with the reason) when the gain share is not known and there is a taxable balance to draw
need each year = max(0, expenses − guaranteed income)
for each age from today to the horizon:
    at the required-withdrawal age: take the required amount from pre-tax first, tax it at the ordinary rate, use the net towards the need, reinvest any excess in taxable
    then walk the buckets in the given order: gross needed = need ÷ (1 − rate); take = min(balance, gross needed); tax = take × rate; need −= take − tax
    need still &gt; 0 → the money ran out this year: lasts to age = this age
    every bucket grows at the real return (never below −5%)
total taxes = Σ tax, to the cent; lasts to age = nothing when it survives the whole horizon</t>
  </si>
  <si>
    <t>Each year the gap between expenses and guaranteed income is drawn from the accounts in the given order. Pre-tax draws are grossed up by the person's own marginal rate, taxable draws by their own capital-gains rate on the gain share of their holdings; cash and Roth draw tax-free. The required withdrawal is taken first from the year it applies. The year the gap cannot be met is the age the money lasts to. If the gain share is not known and there is a taxable balance, there is no answer — the reason is returned instead.</t>
  </si>
  <si>
    <t>1. If gain share is missing it uses 0.
2. Uses a built-in taxes of 0.
3. Never lets real growth fall below -0.05.
4. NO built-in tax rates (founder ruling 2026-09-08, second verification G6; rule R2/brief Q-43 (2026-08-20)): the caller hands in the person's own marginal ordinary rate (MK-CF-F-103) and long-term gains rate (MK-CF-F-104), and the gain share of their taxable holdings (MK-PL-F-081); unknown gain share with a taxable balance → no answer, with the reason.
5. Balances grow at the real return, floored at −5% a year.
6. The required withdrawal is taken first from the year it applies (MK-PL-F-007).</t>
  </si>
  <si>
    <t>1. MK-CF-F-155 cash
2. MK-PL-F-007 rmdAtAge
3. MK-PL-F-005 rmdStartAgeFor</t>
  </si>
  <si>
    <t>1. MK-CF-F-155 cash
2. MK-PL-F-007 rmdAtAge
3. MK-PL-F-005 rmdStartAgeFor
4. MK-XS-F-122 n
5. MK-PL-F-078 rmdDivisorAtAge
6. MK-ST-F-025 rmdStartAgeFromAge
7. MK-ST-F-024 rmdStartAge
8. MK-ST-F-056 has</t>
  </si>
  <si>
    <t>1. MK-XS-F-122 n → MK-CF-F-155 cash → MK-PL-F-010 drawOrderOutcome
2. MK-PL-F-078 rmdDivisorAtAge → MK-PL-F-007 rmdAtAge → MK-PL-F-010 drawOrderOutcome
3. MK-ST-F-056 has → MK-ST-F-024 rmdStartAge → MK-ST-F-025 rmdStartAgeFromAge → MK-PL-F-005 rmdStartAgeFor → MK-PL-F-010 drawOrderOutcome</t>
  </si>
  <si>
    <t>TESTED, NOT VERIFIED (G6)</t>
  </si>
  <si>
    <t>MK-PL-F-011</t>
  </si>
  <si>
    <t>buildGoalsState</t>
  </si>
  <si>
    <t>src/domain/goals/index.ts</t>
  </si>
  <si>
    <t>Months to reach each goal at the given monthly savings capacity.</t>
  </si>
  <si>
    <t>user id = uid
goals = progress
monthly capacity = monthly capacity</t>
  </si>
  <si>
    <t>user id = uid; goals = progress; monthly capacity = monthly capacity.</t>
  </si>
  <si>
    <t>1. uid: UserId
2. goals: Goal[]
3. monthlyCapacity: number</t>
  </si>
  <si>
    <t>GoalsState</t>
  </si>
  <si>
    <t>1. MK-CF-F-132 map
2. MK-XS-F-175 uid
3. MK-PL-F-012 waterfall</t>
  </si>
  <si>
    <t>1. MK-CF-F-132 map
2. MK-XS-F-175 uid
3. MK-PL-F-012 waterfall
4. MK-ST-F-027 accountId
5. MK-CF-F-111 applyTransaction
6. MK-NW-F-040 assetsFromOnboarding
7. MK-PF-F-013 benchmarkTicker
8. MK-ST-F-028 buildDayFromAccounts
9. MK-PF-F-034 closeOnOrBefore
10. MK-CF-F-186 convertTakeHomeMode
11. MK-CF-F-038 debtsFromOnboarding
12. MK-XS-F-083 fetchPriceSeries
13. MK-PL-F-013 goalsFromOnboarding
14. MK-ST-F-056 has
15. MK-CF-F-116 inverseOf
16. MK-ST-F-065 isoLocalDate
17. MK-CF-F-112 makeTransaction
18. MK-XS-F-122 n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</si>
  <si>
    <t>1. MK-CF-F-132 map → MK-PL-F-011 buildGoalsState
2. MK-ST-F-027 accountId → MK-XS-F-175 uid → MK-PL-F-011 buildGoalsState
3. MK-CF-F-137 findPos → MK-CF-F-138 addLot → MK-CF-F-111 applyTransaction → MK-XS-F-175 uid → MK-PL-F-011 buildGoalsState
4. MK-CF-F-132 map → MK-CF-F-138 addLot → MK-CF-F-111 applyTransaction → MK-XS-F-175 uid → MK-PL-F-011 buildGoalsState
5. MK-ST-F-043 newEntityId → MK-CF-F-138 addLot → MK-CF-F-111 applyTransaction → MK-XS-F-175 uid → MK-PL-F-011 buildGoalsState
6. MK-CF-F-134 usesSleeve → MK-CF-F-136 bumpCash → MK-CF-F-111 applyTransaction → MK-XS-F-175 uid → MK-PL-F-011 buildGoalsState
7. MK-CF-F-137 findPos → MK-CF-F-111 applyTransaction → MK-XS-F-175 uid → MK-PL-F-011 buildGoalsState
8. MK-CF-F-132 map → MK-CF-F-111 applyTransaction → MK-XS-F-175 uid → MK-PL-F-011 buildGoalsState
9. … and 5 more paths</t>
  </si>
  <si>
    <t>MK-PL-F-012</t>
  </si>
  <si>
    <t>waterfall</t>
  </si>
  <si>
    <t>left = max(0, surplus)
steps = []
a = min(left, max(0, need)); left -= a; steps.push({ name, allocated: (a) })
the answer = steps</t>
  </si>
  <si>
    <t>Left is surplus, never below zero. Steps is []. A: the smaller of left and need, never below zero; left -= a; steps.push({ name, allocated: (a) }). The answer is steps.</t>
  </si>
  <si>
    <t>1. If emergency gap is missing it uses 0.
2. If toxic debt is missing it uses 0.
3. If employer match monthly is missing it uses 0.
4. Never lets surplus fall below 0.
5. Never lets need fall below 0.</t>
  </si>
  <si>
    <t>MK-PL-F-013</t>
  </si>
  <si>
    <t>goalsFromOnboarding</t>
  </si>
  <si>
    <t>a = op (or none when missing)
raw = goals   if array.is array(goals)
[]   otherwise
the answer:
user id = uid
goals = goals</t>
  </si>
  <si>
    <t>A is op (or none — when missing). Raw is goals — when array.is array(goals); [] — otherwise. The answer is user id = uid; goals = goals.</t>
  </si>
  <si>
    <t>GoalsDoc</t>
  </si>
  <si>
    <t>1. MK-CF-F-132 map
2. MK-ST-F-043 newEntityId
3. MK-ST-F-052 toNum
4. MK-XS-F-175 uid</t>
  </si>
  <si>
    <t>1. MK-CF-F-132 map
2. MK-ST-F-043 newEntityId
3. MK-ST-F-052 toNum
4. MK-XS-F-175 uid
5. MK-XS-F-122 n
6. MK-ST-F-027 accountId
7. MK-CF-F-111 applyTransaction
8. MK-NW-F-040 assetsFromOnboarding
9. MK-PF-F-013 benchmarkTicker
10. MK-ST-F-028 buildDayFromAccounts
11. MK-PF-F-034 closeOnOrBefore
12. MK-CF-F-186 convertTakeHomeMode
13. MK-CF-F-038 debtsFromOnboarding
14. MK-XS-F-083 fetchPriceSeries
15. MK-ST-F-056 has
16. MK-CF-F-116 inverseOf
17. MK-ST-F-065 isoLocalDate
18. MK-CF-F-112 makeTransaction
19. MK-XS-F-006 pruneDaily
20. MK-ST-F-073 rebuildDays
21. MK-NW-F-054 reclassifyAccounts
22. MK-XS-F-174 recomputeBalances
23. MK-CF-F-115 restoreUndo
24. MK-CF-F-109 reviewTransactions
25. MK-ST-F-044 setMoneyFormat
26. MK-CF-F-114 undoSnapshot
27. MK-CF-F-191 ym
28. MK-CF-F-138 addLot
29. MK-CF-F-136 bumpCash
30. MK-CF-F-137 findPos
31. MK-CF-F-139 removeShares
32. MK-PF-F-001 totalShares
33. MK-ST-F-053 money
34. MK-CF-F-085 filingStatusOf
35. MK-CF-F-097 grossFromNet
36. MK-CF-F-185 needsTakeHomeConversion
37. MK-CF-F-089 over65CountOf
38. MK-CF-F-037 inferDebtType
39. MK-ST-F-069 amountOf
40. MK-CF-F-133 cashOf
41. MK-ST-F-066 isDayKey
42. MK-ST-F-070 isOpening
43. MK-ST-F-071 rebuildableFrom
44. MK-ST-F-068 stepDay
45. MK-ST-F-072 undo
46. MK-NW-F-053 correctClassOf
47. MK-NW-F-008 incomeBearingClassOf
48. MK-PF-F-002 costBasis
49. MK-PF-F-009 latestClose
50. MK-PF-F-004 marketValue
51. MK-ST-F-030 record
52. MK-XS-F-024 resolveLens
53. MK-ST-F-055 round2
54. MK-CF-F-162 daysApart
55. MK-CF-F-108 isMoneyOut
56. MK-PL-F-074 median
57. MK-CF-F-131 normPayee
58. MK-CF-F-113 affectedAccountIds
59. MK-CF-F-134 usesSleeve
60. MK-ST-F-049 formatMoney
61. MK-CF-F-101 taxOwedFor
62. MK-ST-F-067 utcOfDay
63. MK-CF-F-155 cash
64. MK-ST-F-035 covers
65. MK-NW-F-009 maturityClass
66. MK-ST-F-010 nameEvidence
67. MK-PF-F-031 contractMultiplier
68. MK-CF-F-072 currentRetirementIncomeMonthly
69. MK-ST-F-048 currencySymbol
70. MK-ST-F-039 on
71. MK-CF-F-100 taxableIncomeFor
72. MK-ST-F-034 firstDate
73. MK-XS-F-147 call
74. MK-CF-F-075 retirementIncomeMonthly
75. MK-ST-F-047 activeCurrency
76. MK-CF-F-099 deductionFor
77. MK-XS-F-064 currentIdToken
78. MK-XS-F-112 relayUrl
79. MK-CF-F-187 seniorDeductionFor</t>
  </si>
  <si>
    <t>1. MK-CF-F-132 map → MK-PL-F-013 goalsFromOnboarding
2. MK-ST-F-043 newEntityId → MK-PL-F-013 goalsFromOnboarding
3. MK-XS-F-122 n → MK-ST-F-052 toNum → MK-PL-F-013 goalsFromOnboarding
4. MK-ST-F-027 accountId → MK-XS-F-175 uid → MK-PL-F-013 goalsFromOnboarding
5. MK-CF-F-137 findPos → MK-CF-F-138 addLot → MK-CF-F-111 applyTransaction → MK-XS-F-175 uid → MK-PL-F-013 goalsFromOnboarding
6. MK-CF-F-132 map → MK-CF-F-138 addLot → MK-CF-F-111 applyTransaction → MK-XS-F-175 uid → MK-PL-F-013 goalsFromOnboarding
7. MK-ST-F-043 newEntityId → MK-CF-F-138 addLot → MK-CF-F-111 applyTransaction → MK-XS-F-175 uid → MK-PL-F-013 goalsFromOnboarding
8. MK-CF-F-134 usesSleeve → MK-CF-F-136 bumpCash → MK-CF-F-111 applyTransaction → MK-XS-F-175 uid → MK-PL-F-013 goalsFromOnboarding
9. … and 4 more paths</t>
  </si>
  <si>
    <t>MK-PL-F-014</t>
  </si>
  <si>
    <t>loadGoals</t>
  </si>
  <si>
    <t>1. MK-ST-F-027 accountId → MK-XS-F-175 uid → MK-PL-F-014 loadGoals
2. MK-CF-F-137 findPos → MK-CF-F-138 addLot → MK-CF-F-111 applyTransaction → MK-XS-F-175 uid → MK-PL-F-014 loadGoals
3. MK-CF-F-132 map → MK-CF-F-138 addLot → MK-CF-F-111 applyTransaction → MK-XS-F-175 uid → MK-PL-F-014 loadGoals
4. MK-ST-F-043 newEntityId → MK-CF-F-138 addLot → MK-CF-F-111 applyTransaction → MK-XS-F-175 uid → MK-PL-F-014 loadGoals
5. MK-CF-F-134 usesSleeve → MK-CF-F-136 bumpCash → MK-CF-F-111 applyTransaction → MK-XS-F-175 uid → MK-PL-F-014 loadGoals
6. MK-CF-F-137 findPos → MK-CF-F-111 applyTransaction → MK-XS-F-175 uid → MK-PL-F-014 loadGoals
7. MK-CF-F-132 map → MK-CF-F-111 applyTransaction → MK-XS-F-175 uid → MK-PL-F-014 loadGoals
8. MK-CF-F-137 findPos → MK-CF-F-139 removeShares → MK-CF-F-111 applyTransaction → MK-XS-F-175 uid → MK-PL-F-014 loadGoals
9. … and 4 more paths</t>
  </si>
  <si>
    <t>MK-PL-F-015</t>
  </si>
  <si>
    <t>saveGoals</t>
  </si>
  <si>
    <t>d: GoalsDoc</t>
  </si>
  <si>
    <t>1. MK-ST-F-027 accountId → MK-XS-F-175 uid → MK-ST-F-042 setUserDoc → MK-PL-F-015 saveGoals
2. MK-CF-F-137 findPos → MK-CF-F-138 addLot → MK-CF-F-111 applyTransaction → MK-XS-F-175 uid → MK-ST-F-042 setUserDoc → MK-PL-F-015 saveGoals
3. MK-CF-F-132 map → MK-CF-F-138 addLot → MK-CF-F-111 applyTransaction → MK-XS-F-175 uid → MK-ST-F-042 setUserDoc → MK-PL-F-015 saveGoals
4. MK-ST-F-043 newEntityId → MK-CF-F-138 addLot → MK-CF-F-111 applyTransaction → MK-XS-F-175 uid → MK-ST-F-042 setUserDoc → MK-PL-F-015 saveGoals
5. MK-CF-F-134 usesSleeve → MK-CF-F-136 bumpCash → MK-CF-F-111 applyTransaction → MK-XS-F-175 uid → MK-ST-F-042 setUserDoc → MK-PL-F-015 saveGoals
6. MK-CF-F-137 findPos → MK-CF-F-111 applyTransaction → MK-XS-F-175 uid → MK-ST-F-042 setUserDoc → MK-PL-F-015 saveGoals
7. MK-CF-F-132 map → MK-CF-F-111 applyTransaction → MK-XS-F-175 uid → MK-ST-F-042 setUserDoc → MK-PL-F-015 saveGoals
8. MK-CF-F-137 findPos → MK-CF-F-139 removeShares → MK-CF-F-111 applyTransaction → MK-XS-F-175 uid → MK-ST-F-042 setUserDoc → MK-PL-F-015 saveGoals
9. … and 4 more paths</t>
  </si>
  <si>
    <t>MK-PL-F-016</t>
  </si>
  <si>
    <t>availableToSaveSummary</t>
  </si>
  <si>
    <t>Summarize per-month available-to-save from a 12-month cash-flow grid.</t>
  </si>
  <si>
    <t>amts = for each of grid (or none when missing): amount
avg = 0
min = 0
max = 0
lumpy = false   when count of amts is missing
avg = Σ over amts of (each)count of ÷ amts
min = min(...amts)
max = max(...amts)
the answer:
avg = avg
min = min
max = max
lumpy = max − min &gt; max(50, avg × 0.25)</t>
  </si>
  <si>
    <t>Amts is for each of grid (or none — when missing): amount. When how many amts is missing there are, it answers avg = 0; min = 0; max = 0; lumpy = false. Avg: the each added up across amtshow many divided by amts there are. Min is min(...amts). Max is max(...amts). The answer is avg = avg; min = min; max = max; lumpy = max minus min &gt; the larger of 50 and avg times 0.25.</t>
  </si>
  <si>
    <t>grid: { label: string; amount: number }[]</t>
  </si>
  <si>
    <t>SaveCapacity</t>
  </si>
  <si>
    <t>"Plan" — on the Goals screen</t>
  </si>
  <si>
    <t>· Applies a built-in rate of 25% to avg.</t>
  </si>
  <si>
    <t>MK-CF-F-132 map → MK-PL-F-016 availableToSaveSummary</t>
  </si>
  <si>
    <t>MK-PL-F-017</t>
  </si>
  <si>
    <t>sinkingFund</t>
  </si>
  <si>
    <t>monthly = max(0, monthly non monthly)
the answer:
annual = monthly × 12
monthly = monthly</t>
  </si>
  <si>
    <t>Monthly is monthly non monthly, never below zero. The answer is annual = monthly times 12; monthly = monthly.</t>
  </si>
  <si>
    <t>monthlyNonMonthly: number</t>
  </si>
  <si>
    <t>SinkingFund</t>
  </si>
  <si>
    <t>1. Turns a monthly figure into a year by multiplying by twelve.
2. Never lets monthly non monthly fall below 0.</t>
  </si>
  <si>
    <t>MK-PL-F-018</t>
  </si>
  <si>
    <t>monthsUntil</t>
  </si>
  <si>
    <t>Whole months from `now` to the target month ('YYYY-MM'); &gt;=1, or null if no/!invalid date.</t>
  </si>
  <si>
    <t>nothing   when target date is missing
nothing   when y is missing (or m is missing when missing or zero)
max(1, (y − now.get full year()) × 12 + (m − 1 − now.get month()))</t>
  </si>
  <si>
    <t>When target date is missing, it answers no answer. When y is missing (or m is missing — when missing or zero), it answers no answer. the larger of 1 and (y minus now.get full year() times 12 plus (m minus 1 minus now.get month())).</t>
  </si>
  <si>
    <t>1. targetDate: string | undefined
2. now: Date</t>
  </si>
  <si>
    <t>MK-CF-F-132 map → MK-PL-F-018 monthsUntil</t>
  </si>
  <si>
    <t>MK-PL-F-019</t>
  </si>
  <si>
    <t>goalMonthsRemaining</t>
  </si>
  <si>
    <t>Months remaining: from the target date if set, else the goal's `duration` (months).</t>
  </si>
  <si>
    <t>from date = months until(target date, now)
from date   when from date ≠ nothing
d = duration read as a number
the answer:
d   if number.is finite(d) and d &gt; 0
nothing   otherwise</t>
  </si>
  <si>
    <t>From date is months until(target date, now). When from date is not no answer, it answers from date. D is duration read as a number. The answer is d — when number.is finite(d) and d &gt; 0; no answer — otherwise.</t>
  </si>
  <si>
    <t>1. g: GoalLike
2. now: Date = new Date()</t>
  </si>
  <si>
    <t>MK-PL-F-018 monthsUntil</t>
  </si>
  <si>
    <t>1. MK-PL-F-018 monthsUntil
2. MK-CF-F-132 map</t>
  </si>
  <si>
    <t>MK-CF-F-132 map → MK-PL-F-018 monthsUntil → MK-PL-F-019 goalMonthsRemaining</t>
  </si>
  <si>
    <t>MK-PL-F-020</t>
  </si>
  <si>
    <t>requiredMonthly</t>
  </si>
  <si>
    <t>$/month still needed to hit the target on time (0 if already funded; null if no date/duration).</t>
  </si>
  <si>
    <t>remaining = max(0, (target or 0) − (saved or 0))
0   when remaining = 0
months = goal months remaining(g, now)
the answer:
remaining ÷ months   if months
nothing   otherwise</t>
  </si>
  <si>
    <t>Remaining is (target or 0, never below zero minus (saved or 0)). When remaining = 0, it answers 0. Months is goal months remaining(g, now). The answer is remaining divided by months — when months; no answer — otherwise.</t>
  </si>
  <si>
    <t>1. If target is missing it counts as zero, so nothing recorded and a real zero look the same.
2. If saved is missing it counts as zero, so nothing recorded and a real zero look the same.
3. Uses today's date from the device clock, so the answer changes by itself overnight.</t>
  </si>
  <si>
    <t>MK-PL-F-019 goalMonthsRemaining</t>
  </si>
  <si>
    <t>1. MK-PL-F-019 goalMonthsRemaining
2. MK-PL-F-018 monthsUntil
3. MK-CF-F-132 map</t>
  </si>
  <si>
    <t>MK-CF-F-132 map → MK-PL-F-018 monthsUntil → MK-PL-F-019 goalMonthsRemaining → MK-PL-F-020 requiredMonthly</t>
  </si>
  <si>
    <t>MK-PL-F-021</t>
  </si>
  <si>
    <t>monthsToGoal</t>
  </si>
  <si>
    <t>Months to reach the goal at a given monthly contribution (0 if funded; null if contribution &lt;= 0).</t>
  </si>
  <si>
    <t>remaining = max(0, (target or 0) − (saved or 0))
0   when remaining = 0
the answer:
round up(remaining ÷ monthly contribution)   if monthly contribution &gt; 0
nothing   otherwise</t>
  </si>
  <si>
    <t>Remaining is (target or 0, never below zero minus (saved or 0)). When remaining = 0, it answers 0. The answer is remaining divided by monthly contribution, rounded up — when monthly contribution &gt; 0; no answer — otherwise.</t>
  </si>
  <si>
    <t>1. g: GoalLike
2. monthlyContribution: number</t>
  </si>
  <si>
    <t>1. If target is missing it counts as zero, so nothing recorded and a real zero look the same.
2. If saved is missing it counts as zero, so nothing recorded and a real zero look the same.</t>
  </si>
  <si>
    <t>MK-PL-F-022</t>
  </si>
  <si>
    <t>goalProgressPct</t>
  </si>
  <si>
    <t>Funded %, clamped 0–100.</t>
  </si>
  <si>
    <t>0   when (target or 0) ≤ 0
min(100, max(0, round(((saved or 0) ÷ target) × 100)))</t>
  </si>
  <si>
    <t>When (target or 0) is at most 0, it answers 0. the smaller of 100 and ((saved or 0, to a whole number divided by target, never below zero times 100)).</t>
  </si>
  <si>
    <t>g: GoalLike</t>
  </si>
  <si>
    <t>1. If target is missing it counts as zero, so nothing recorded and a real zero look the same.
2. If saved is missing it counts as zero, so nothing recorded and a real zero look the same.
3. Rounds the answer to a whole number.</t>
  </si>
  <si>
    <t>MK-XS-F-122 n → MK-CF-F-155 cash → MK-PL-F-022 goalProgressPct</t>
  </si>
  <si>
    <t>'fully_funded'   when (saved or 0) ≥ (target or 0) and (target or 0) &gt; 0
req = required monthly(g, now)
'no_date'   when req = nothing
'fully_funded'   when req = 0
the answer:
'on_track'   if (funded this month or 0) + 1e − 6 ≥ req
'behind'   otherwise</t>
  </si>
  <si>
    <t>When (saved or 0) is at least (target or 0) and (target or 0) &gt; 0, it answers 'fully_funded'. Req is required monthly(g, now). When req is missing, it answers 'no_date'. When req = 0, it answers 'fully_funded'. The answer is 'on_track' — when (funded this month or 0) plus 1e minus 6 is at least req; 'behind' — otherwise.</t>
  </si>
  <si>
    <t>1. g: GoalLike
2. fundedThisMonth: number | null | undefined
3. now: Date = new Date()</t>
  </si>
  <si>
    <t>GoalStatus</t>
  </si>
  <si>
    <t>"Complete! 🎉" — on the rewards screen</t>
  </si>
  <si>
    <t>1. If saved is missing it counts as zero, so nothing recorded and a real zero look the same.
2. If target is missing it counts as zero, so nothing recorded and a real zero look the same.
3. If funded this month is missing it counts as zero, so nothing recorded and a real zero look the same.
4. Uses today's date from the device clock, so the answer changes by itself overnight.</t>
  </si>
  <si>
    <t>MK-PL-F-020 requiredMonthly</t>
  </si>
  <si>
    <t>1. MK-PL-F-020 requiredMonthly
2. MK-PL-F-019 goalMonthsRemaining
3. MK-PL-F-018 monthsUntil
4. MK-CF-F-132 map</t>
  </si>
  <si>
    <t>MK-CF-F-132 map → MK-PL-F-018 monthsUntil → MK-PL-F-019 goalMonthsRemaining → MK-PL-F-020 requiredMonthly → MK-PL-F-023 goalStatus</t>
  </si>
  <si>
    <t>MK-PL-F-024</t>
  </si>
  <si>
    <t>oddsLine</t>
  </si>
  <si>
    <t>src/domain/planning/hub.ts</t>
  </si>
  <si>
    <t>How do we state the odds in words?</t>
  </si>
  <si>
    <t>`${chance}% odds of lasting to age ${horizon age}`</t>
  </si>
  <si>
    <t>`${chance}% odds of lasting to age ${horizon age}`.</t>
  </si>
  <si>
    <t>1. _lens: 'retired' | string
2. chance: number
3. horizonAge: number</t>
  </si>
  <si>
    <t>1. "WILL MY MONEY LAST?" — on a card used on more than one screen (PlanOutcome)
2. "WILL MY MONEY LAST?" — on the Home screen, under "WILL MY MONEY LAST?"</t>
  </si>
  <si>
    <t>ODDS_SENTENCE</t>
  </si>
  <si>
    <t>MK-PL-F-025</t>
  </si>
  <si>
    <t>sampleOddsLine</t>
  </si>
  <si>
    <t>The same sentence for the app-wide SAMPLE, always labelled as one.</t>
  </si>
  <si>
    <t>`sample: ${SAMPLE_CHANCE}% odds of lasting to age ${horizon age}`</t>
  </si>
  <si>
    <t>`sample: ${SAMPLE_CHANCE}% odds of lasting to age ${horizon age}`.</t>
  </si>
  <si>
    <t>horizonAge: number = SAMPLE_HORIZON</t>
  </si>
  <si>
    <t>1. "WILL MY MONEY LAST?" — on the Plan screen, under "WILL MY MONEY LAST?"
2. "YOUR RETIREMENT PLAN" — on the Net worth screen, under "YOUR RETIREMENT PLAN"</t>
  </si>
  <si>
    <t>SAMPLE_ODDS_SENTENCE</t>
  </si>
  <si>
    <t>TESTED, NOT VERIFIED (Odds — exact, no rounding)</t>
  </si>
  <si>
    <t>a = op (or none when missing)
missing = []
has age = number(birth year) &gt; 1900 (or number(age) &gt; 0 when missing or zero)
has spend = number(monthly expenses) &gt; 0 (or number(spend monthly) &gt; 0 when missing or zero)
total = Σ over accounts (or none when missing) of (balance (or 0 when missing or zero))
earmarked = retirement earmarked value(accounts ?? [])
has have = earmarked &gt; 0</t>
  </si>
  <si>
    <t>A is op (or none — when missing). Missing is []. Has age is number(birth year) &gt; 1900 (or number(age) &gt; 0 — when missing or zero). Has spend is number(monthly expenses) &gt; 0 (or number(spend monthly) &gt; 0 — when missing or zero). Total: the balance (or 0 — when missing or zero) added up across accounts (or none — when missing). Earmarked is retirement earmarked value(accounts ?? []). Has have is earmarked &gt; 0.</t>
  </si>
  <si>
    <t>1. op: Record&lt;string, any&gt; | null
2. accounts: AssetAccount[]</t>
  </si>
  <si>
    <t>PlanDoor</t>
  </si>
  <si>
    <t>"WILL MY MONEY LAST?" — on the Plan screen, under "WILL MY MONEY LAST?"</t>
  </si>
  <si>
    <t>MK-NW-F-033 retirementEarmarkedValue</t>
  </si>
  <si>
    <t>1. MK-NW-F-033 retirementEarmarkedValue
2. MK-NW-F-032 earmarkedAmount
3. MK-NW-F-031 primaryCarIdOf
4. MK-NW-F-030 earmarkDefault
5. MK-NW-F-011 assetClassOf
6. MK-NW-F-013 realEstateUseOf
7. MK-NW-F-008 incomeBearingClassOf
8. MK-CF-F-155 cash
9. MK-ST-F-010 nameEvidence
10. MK-XS-F-122 n
11. MK-XS-F-147 call
12. MK-ST-F-056 has
13. MK-CF-F-132 map
14. MK-ST-F-027 accountId
15. MK-XS-F-064 currentIdToken
16. MK-XS-F-112 relayUrl</t>
  </si>
  <si>
    <t>MK-PL-F-027</t>
  </si>
  <si>
    <t>nextDecision</t>
  </si>
  <si>
    <t>now = args.now (or new date() when missing)
due = rmd required this year(args.pre tax balance, args.prior year end pre tax, args.age).amount
taken = rmd taken this year(args.transactions ?? [], args.pre tax account ids, now.get full year())
opens = the date args.birth year + 62, now.get month(), 1
the answer = nothing</t>
  </si>
  <si>
    <t>Now is args.now (or new date() — when missing). Due is rmd required this year(args.pre tax balance, args.prior year end pre tax, args.age).amount. Taken is rmd taken this year(args.transactions ?? [], args.pre tax account ids, now.get full year()). Opens: the date args.birth year plus 62, now.get month(), 1. The answer is no answer.</t>
  </si>
  <si>
    <t>1. Uses a built-in s a m p l e c h a n c e of 84.
2. Uses a built-in s a m p l e h o r i z o n of 90.
3. Uses today's date from the device clock, so the answer changes by itself overnight.
4. Rounds the answer to a whole number.</t>
  </si>
  <si>
    <t>1. MK-PL-F-080 rmdRequiredThisYear
2. MK-PL-F-005 rmdStartAgeFor
3. MK-PL-F-009 rmdTakenThisYear</t>
  </si>
  <si>
    <t>1. MK-PL-F-080 rmdRequiredThisYear
2. MK-PL-F-005 rmdStartAgeFor
3. MK-PL-F-009 rmdTakenThisYear
4. MK-PL-F-007 rmdAtAge
5. MK-ST-F-025 rmdStartAgeFromAge
6. MK-ST-F-056 has
7. MK-CF-F-132 map
8. MK-PL-F-078 rmdDivisorAtAge
9. MK-ST-F-024 rmdStartAge</t>
  </si>
  <si>
    <t>1. MK-PL-F-078 rmdDivisorAtAge → MK-PL-F-007 rmdAtAge → MK-PL-F-080 rmdRequiredThisYear → MK-PL-F-027 nextDecision
2. MK-ST-F-056 has → MK-ST-F-024 rmdStartAge → MK-ST-F-025 rmdStartAgeFromAge → MK-PL-F-005 rmdStartAgeFor → MK-PL-F-027 nextDecision
3. MK-ST-F-056 has → MK-PL-F-009 rmdTakenThisYear → MK-PL-F-027 nextDecision
4. MK-CF-F-132 map → MK-PL-F-009 rmdTakenThisYear → MK-PL-F-027 nextDecision</t>
  </si>
  <si>
    <t>MK-PL-F-028</t>
  </si>
  <si>
    <t>sampleAskLine</t>
  </si>
  <si>
    <t>The invitation under a sample: name the answers still missing, so a dead end becomes one tap.</t>
  </si>
  <si>
    <t>n = count of missing
''   when n = 0
verb = (m: string) =&gt; (starts with('what counts') ? 'choose' : 'add')
`a sample, not your number — ${verb(missing[0])} ${missing[0]} and it becomes yours`   when n = 1
list = `${missing[0]} and ${missing[1]}`   if n = 2
`${missing.slice(0, -1).join(', ')} and ${missing[n − 1]}`   otherwise
the answer = `a sample, not your number — ${n} answers make it yours: ${list}`</t>
  </si>
  <si>
    <t>N: how many missing there are. When n = 0, it answers ''. Verb is (m: string) =&gt; (starts with('what counts') ? 'choose' : 'add'). When n = 1, it answers `a sample, your is missing number — ${verb(missing[0])} ${missing[0]} and it becomes yours`. List is `${missing[0]} and ${missing[1]}` — when n = 2; `${missing.slice(0, -1).join(', ')} and ${missing[n minus 1]}` — otherwise. The answer is `a sample, your is missing number — ${n} answers make it yours: ${list}`.</t>
  </si>
  <si>
    <t>missing: string[]</t>
  </si>
  <si>
    <t>SAMPLE_ASK_SENTENCE</t>
  </si>
  <si>
    <t>MK-PL-F-029</t>
  </si>
  <si>
    <t>shortfallAgeFromBand</t>
  </si>
  <si>
    <t>The age the middle path first hits zero, from a simulation band — null while it never does.</t>
  </si>
  <si>
    <t>(band ?? []).find((pt) =&gt; pt.p50 ≤ 0).age (or nothing when missing)</t>
  </si>
  <si>
    <t>(band ?? []).find((pt) =&gt; pt.p50 is at most 0).age (or no answer — when missing).</t>
  </si>
  <si>
    <t>band?: { age: number; p50: number }[] | null</t>
  </si>
  <si>
    <t>AGE_THE_MONEY_RUNS_OUT</t>
  </si>
  <si>
    <t>MK-PL-F-030</t>
  </si>
  <si>
    <t>onCourseSentence</t>
  </si>
  <si>
    <t>In one sentence, how is this plan doing?</t>
  </si>
  <si>
    <t>nothing   when chance = nothing
near = (n: number) =&gt; money(math.max(1000, math.round(n ÷ 1000) × 1000))
lasts = (args.leftover at horizon ?? 0) &gt; 0
short at = args.shortfall age
nothing   when not (args.pot at retire! &gt; 0)
the answer = `retire at ${args.retire age} with ~${near(args.pot at retire!)}, ${ending}`</t>
  </si>
  <si>
    <t>When chance is missing, it answers no answer. Near is (n: number) =&gt; money(math.the larger of 1000 and math.n divided by 1000, to a whole number times 1000). Lasts is (args.leftover at horizon ?? 0) &gt; 0. Short at is args.shortfall age. When not (args.pot at retire! &gt; 0), it answers no answer. The answer is `retire at ${args.retire age} with ~${near(args.pot at retire!)}, ${ending}`.</t>
  </si>
  <si>
    <t>1. If leftover at horizon is missing it uses 0.
2. Rounds the answer to a whole number.</t>
  </si>
  <si>
    <t>1. MK-ST-F-047 activeCurrency → MK-ST-F-048 currencySymbol → MK-ST-F-049 formatMoney → MK-ST-F-053 money → MK-PL-F-030 onCourseSentence
2. MK-XS-F-122 n → MK-ST-F-049 formatMoney → MK-ST-F-053 money → MK-PL-F-030 onCourseSentence
3. MK-ST-F-039 on → MK-ST-F-049 formatMoney → MK-ST-F-053 money → MK-PL-F-030 onCourseSentence
4. MK-XS-F-122 n → MK-ST-F-053 money → MK-PL-F-030 onCourseSentence</t>
  </si>
  <si>
    <t>ARE_YOU_ON_COURSE</t>
  </si>
  <si>
    <t>MK-PL-F-031</t>
  </si>
  <si>
    <t>taxOrganizer</t>
  </si>
  <si>
    <t>src/domain/planning/index.ts</t>
  </si>
  <si>
    <t>The year-end summary for the accountant: income lines, the four taxable-income steps, contributions, accounts, documents to gather.</t>
  </si>
  <si>
    <t>a = op (or none when missing)
accounts = opts.accounts (or [], liabilities = opts.liabilities (or none when missing) when missing)
se annual = se amount read as a number (0 when it is not one)   if se freq = 'annual'
to num(se amount) × 12   otherwise
other annual = other amount read as a number (0 when it is not one)   if other freq = 'annual'
other amount read as a number (0 when it is not one)   if other freq = 'onetime'
to num(other amount) × 12   otherwise   otherwise
inv div = opts.actual passive   if opts.actual passive and opts.actual passive &gt; 0
inv annual read as a number (0 when it is not one)   otherwise
ret inc = current retirement income monthly(op) × 12
gross income = Σ over income where taxable of (amount)
steps = taxable income steps(op, gross income)
taxable total = steps.taxable income
non taxable total = Σ over income where taxable is missing of (amount)
acct = for each of accounts: label = institution.trim() (or label (or kind (or 'Account' when missing or zero) when missing or zero) when missing or zero)
kind = kind (or tax bucket (or 'account' when missing) when missing)
balance = balance (or 0 when missing or zero)
… the first steps only — the rest of the body needs reading by hand.</t>
  </si>
  <si>
    <t>A is op (or none — when missing). Accounts is opts.accounts (or [], liabilities = opts.liabilities (or none — when missing) — when missing). Se annual is se amount read as a number (0 when it is one is missing) — when se freq = 'annual'; to num(se amount) times 12 — otherwise. Other annual is other amount read as a number (0 when it is one is missing) — when other freq = 'annual'; other amount read as a number (0 when it is one is missing) — when other freq = 'onetime'; to num(other amount) times 12 — otherwise — otherwise. Inv div is opts.actual passive — when opts.actual passive and opts.actual passive &gt; 0; inv annual read as a number (0 — when it is one is missing) — otherwise. Ret inc is current retirement income monthly(op) times 12. Gross income: the amount added up across income where taxable. Steps is taxable income steps(op, gross income). Taxable total is steps.taxable income. Non taxable total: the amount added up across income where taxable is missing. Acct is for each of accounts: label = institution.trim() (or label (or kind (or 'Account' — when missing or zero) — when missing or zero) — when missing or zero); kind = kind (or tax bucket (or 'account' — when missing) — when missing); balance = balance (or 0 — when missing or zero). Only the first steps are shown; the rest of the body needs reading by hand.</t>
  </si>
  <si>
    <t>1. op: OnboardingProfile | null
2. opts: { accounts?: any[]; liabilities?: any[]; actualPassive?: number; year: number }</t>
  </si>
  <si>
    <t>TaxOrganizer</t>
  </si>
  <si>
    <t>1. If balance is missing it counts as zero, so nothing recorded and a real zero look the same.
2. Turns a monthly figure into a year by multiplying by twelve.</t>
  </si>
  <si>
    <t>1. MK-CF-F-070 benefitAnnual
2. MK-CF-F-072 currentRetirementIncomeMonthly
3. MK-CF-F-090 effectiveRate
4. MK-ST-F-056 has
5. MK-CF-F-132 map
6. MK-CF-F-068 rentalNetAnnual
7. MK-CF-F-066 rsuAnnual
8. MK-CF-F-082 salaryAnnual
9. MK-PL-F-082 taxableIncomeSteps
10. MK-CF-F-074 tipsAnnual
11. MK-ST-F-052 toNum</t>
  </si>
  <si>
    <t>1. MK-CF-F-070 benefitAnnual
2. MK-CF-F-072 currentRetirementIncomeMonthly
3. MK-CF-F-090 effectiveRate
4. MK-ST-F-056 has
5. MK-CF-F-132 map
6. MK-CF-F-068 rentalNetAnnual
7. MK-CF-F-066 rsuAnnual
8. MK-CF-F-082 salaryAnnual
9. MK-PL-F-082 taxableIncomeSteps
10. MK-CF-F-074 tipsAnnual
11. MK-ST-F-052 toNum
12. MK-CF-F-069 benefitActiveMonths
13. MK-CF-F-075 retirementIncomeMonthly
14. MK-CF-F-181 rateInForce
15. MK-CF-F-067 rentalList
16. MK-CF-F-062 equityRowValue
17. MK-CF-F-063 rowVestYear
18. MK-CF-F-060 salaryGrossByMonth
19. MK-CF-F-099 deductionFor
20. MK-CF-F-085 filingStatusOf
21. MK-CF-F-188 householdPreTaxContributionsAnnual
22. MK-ST-F-039 on
23. MK-CF-F-089 over65CountOf
24. MK-CF-F-187 seniorDeductionFor
25. MK-CF-F-081 salaryActiveMonths
26. MK-XS-F-122 n
27. MK-CF-F-173 earnerWages
28. MK-CF-F-102 effectiveRateOnGrossFor
29. MK-CF-F-180 enteredLandsAnnual
30. MK-CF-F-086 stateRateOf
31. MK-CF-F-084 taxableAnnual
32. MK-CF-F-176 sumMonthsOverEarners
33. MK-CF-F-177 wageGrossByMonth
34. MK-CF-F-175 sumOverEarners
35. MK-CF-F-172 hasWage
36. MK-CF-F-101 taxOwedFor
37. MK-CF-F-071 extraIncome
38. MK-CF-F-130 enteredMonthlyRaw
39. MK-CF-F-166 hasMonthlySalaryTable
40. MK-ST-F-036 reconcile
41. MK-CF-F-167 salaryCalendarYear
42. MK-CF-F-100 taxableIncomeFor
43. MK-CF-F-165 salaryMonths</t>
  </si>
  <si>
    <t>1. MK-CF-F-069 benefitActiveMonths → MK-CF-F-070 benefitAnnual → MK-PL-F-031 taxOrganizer
2. MK-XS-F-122 n → MK-ST-F-052 toNum → MK-CF-F-070 benefitAnnual → MK-PL-F-031 taxOrganizer
3. MK-XS-F-122 n → MK-ST-F-052 toNum → MK-CF-F-075 retirementIncomeMonthly → MK-CF-F-072 currentRetirementIncomeMonthly → MK-PL-F-031 taxOrganizer
4. MK-ST-F-056 has → MK-CF-F-172 hasWage → MK-CF-F-173 earnerWages → MK-CF-F-181 rateInForce → MK-CF-F-090 effectiveRate → MK-PL-F-031 taxOrganizer
5. MK-CF-F-100 taxableIncomeFor → MK-CF-F-101 taxOwedFor → MK-CF-F-102 effectiveRateOnGrossFor → MK-CF-F-181 rateInForce → MK-CF-F-090 effectiveRate → MK-PL-F-031 taxOrganizer
6. MK-CF-F-172 hasWage → MK-CF-F-173 earnerWages → MK-CF-F-180 enteredLandsAnnual → MK-CF-F-181 rateInForce → MK-CF-F-090 effectiveRate → MK-PL-F-031 taxOrganizer
7. MK-XS-F-122 n → MK-ST-F-052 toNum → MK-CF-F-180 enteredLandsAnnual → MK-CF-F-181 rateInForce → MK-CF-F-090 effectiveRate → MK-PL-F-031 taxOrganizer
8. MK-CF-F-085 filingStatusOf → MK-CF-F-181 rateInForce → MK-CF-F-090 effectiveRate → MK-PL-F-031 taxOrganizer
9. … and 5 more paths</t>
  </si>
  <si>
    <t>MK-PL-F-032</t>
  </si>
  <si>
    <t>rothConversionCost</t>
  </si>
  <si>
    <t>───────────────────────── Roth conversion (fill a low bracket) ───────────────────────── In a low-income year (e.g.</t>
  </si>
  <si>
    <t>tax owed for(gross + amount, status, state rate) − tax owed for(gross, status, state rate)</t>
  </si>
  <si>
    <t>tax owed for(gross plus amount, status, state rate) minus tax owed for(gross, status, state rate).</t>
  </si>
  <si>
    <t>1. gross: number
2. amount: number
3. status: import('../income/tax').FilingStatus
4. stateRate: number</t>
  </si>
  <si>
    <t>· The conversion is stacked on top of the year's other ordinary income and taxed through the brackets from there (A42). Not modelled: the Medicare income-related premium surcharge (IRMAA) two years later and the net-investment-income tax — both can change whether a conversion is worth doing at 55–70.</t>
  </si>
  <si>
    <t>MK-CF-F-187 seniorDeductionFor → MK-CF-F-099 deductionFor → MK-CF-F-100 taxableIncomeFor → MK-CF-F-101 taxOwedFor → MK-PL-F-032 rothConversionCost</t>
  </si>
  <si>
    <t>educationPlan</t>
  </si>
  <si>
    <t>yrs = max(0, round down(inp.years until start))
n school = max(1, round down(inp.years of school))
future total cost = 0
savings at start = inp.current savings × (1 + inp.return rate)^(yrs)
gap = max(0, future total cost − savings at start)
n = yrs × 12, r = inp.return rate ÷ 12
factor = (math.pow(1 + r, n) − 1) ÷ r   if r &gt; 0
n   otherwise
monthly needed = gap ÷ factor   if n &gt; 0 and factor &gt; 0
gap   otherwise
[LOOP — the answer is found inside a loop the extractor cannot render; the steps above are the ones before it. Read by hand.]</t>
  </si>
  <si>
    <t>Yrs is inp.years until start, rounded down, never below zero. N school: the larger of 1 and inp.years of school, rounded down. Future total cost is 0. Savings at start is inp.current savings times (1 plus inp.return rate)^(yrs). Gap is future total cost minus savings at start, never below zero. N is yrs times 12, r = inp.return rate divided by 12. Factor is (math.pow(1 plus r, n) minus 1) divided by r — when r &gt; 0; n — otherwise. Monthly needed is gap divided by factor — when n &gt; 0 and factor &gt; 0; gap — otherwise. The answer is found inside a loop that cannot be rendered here; read the code by hand.</t>
  </si>
  <si>
    <t>inp: EduPlanInput</t>
  </si>
  <si>
    <t>EduPlan</t>
  </si>
  <si>
    <t>"Projected total cost" — on the College costs screen</t>
  </si>
  <si>
    <t>1. Uses a built-in future total cost of 0.
2. Turns a monthly figure into a year by multiplying by twelve.
3. Rounds the answer to a whole number.</t>
  </si>
  <si>
    <t>MK-XS-F-122 n → MK-PL-F-033 educationPlan</t>
  </si>
  <si>
    <t>MK-PL-F-034</t>
  </si>
  <si>
    <t>lifeInsuranceNeed</t>
  </si>
  <si>
    <t>income replacement = max(0, inp.annual income) × math.max(0, inp.years to replace)
total need = income replacement + max(0, inp.debts) + max(0, inp.future goals) + max(0, inp.final expenses)
covered = max(0, inp.liquid savings) + math.max(0, inp.existing coverage)</t>
  </si>
  <si>
    <t>Income replacement is inp.annual income, never below zero times math.inp.years to replace, never below zero. Total need is income replacement plus inp.debts, never below zero plus inp.future goals, never below zero plus inp.final expenses, never below zero. Covered is inp.liquid savings, never below zero plus math.inp.existing coverage, never below zero.</t>
  </si>
  <si>
    <t>inp: InsuranceInput</t>
  </si>
  <si>
    <t>InsuranceNeed</t>
  </si>
  <si>
    <t>1. "Gap" — on the Insurance screen
2. "Total need" — on the Insurance screen</t>
  </si>
  <si>
    <t>1. Never lets annual income fall below 0.
2. Never lets years to replace fall below 0.
3. Never lets debts fall below 0.
4. Never lets future goals fall below 0.
5. Never lets final expenses fall below 0.
6. Never lets liquid savings fall below 0.
7. Never lets existing coverage fall below 0.</t>
  </si>
  <si>
    <t>MK-PL-F-035</t>
  </si>
  <si>
    <t>retireAgeWithContribution</t>
  </si>
  <si>
    <t>src/domain/planning/multiGoal.ts</t>
  </si>
  <si>
    <t>Earliest age the projection covers the need, WITH contributions until that age (F4's before/after).</t>
  </si>
  <si>
    <t>p = project nest egg({ ...inp, annual contribution: monthly contribution × 12, retire age: age, guaranteed start age: inp.guaranteed start age })
age   when will have ≥ will need
the answer = nothing</t>
  </si>
  <si>
    <t>P is project nest egg({ ...inp, annual contribution: monthly contribution times 12, retire age: age, guaranteed start age: inp.guaranteed start age }). When will have is at least will need, it answers age. The answer is no answer.</t>
  </si>
  <si>
    <t>1. inp: RetirementInputs
2. monthlyContribution: number
3. maxAge = 80</t>
  </si>
  <si>
    <t>1. MK-PL-F-055 projectNestEgg
2. MK-PL-F-050 simulate
3. MK-PL-F-056 solveRetireAge</t>
  </si>
  <si>
    <t>1. MK-PL-F-055 projectNestEgg
2. MK-PL-F-050 simulate
3. MK-PL-F-056 solveRetireAge
4. MK-CF-F-132 map
5. MK-PL-F-074 median
6. MK-PL-F-072 mulberry32
7. MK-XS-F-122 n
8. MK-PL-F-073 normal
9. MK-PL-F-075 pctOfSorted
10. MK-ST-F-025 rmdStartAgeFromAge
11. MK-ST-F-024 rmdStartAge
12. MK-ST-F-056 has</t>
  </si>
  <si>
    <t>1. MK-CF-F-132 map → MK-PL-F-055 projectNestEgg → MK-PL-F-035 retireAgeWithContribution
2. MK-CF-F-132 map → MK-PL-F-050 simulate → MK-PL-F-055 projectNestEgg → MK-PL-F-035 retireAgeWithContribution
3. MK-PL-F-074 median → MK-PL-F-050 simulate → MK-PL-F-055 projectNestEgg → MK-PL-F-035 retireAgeWithContribution
4. MK-PL-F-072 mulberry32 → MK-PL-F-050 simulate → MK-PL-F-055 projectNestEgg → MK-PL-F-035 retireAgeWithContribution
5. MK-XS-F-122 n → MK-PL-F-050 simulate → MK-PL-F-055 projectNestEgg → MK-PL-F-035 retireAgeWithContribution
6. MK-PL-F-073 normal → MK-PL-F-050 simulate → MK-PL-F-055 projectNestEgg → MK-PL-F-035 retireAgeWithContribution
7. MK-PL-F-075 pctOfSorted → MK-PL-F-050 simulate → MK-PL-F-055 projectNestEgg → MK-PL-F-035 retireAgeWithContribution
8. MK-ST-F-056 has → MK-ST-F-024 rmdStartAge → MK-ST-F-025 rmdStartAgeFromAge → MK-PL-F-050 simulate → MK-PL-F-055 projectNestEgg → MK-PL-F-035 retireAgeWithContribution
9. … and 5 more paths</t>
  </si>
  <si>
    <t>MK-PL-F-036</t>
  </si>
  <si>
    <t>weighGoals</t>
  </si>
  <si>
    <t>Run the whole combination once.</t>
  </si>
  <si>
    <t>now = now (or new date() when missing)
on dials = dials where on
extra debt = max(0, extra debt monthly (or 0 when missing))
committed = Σ over on dials of (monthly amount (or 0 when missing or zero))+ extra debt + max(0, retirement monthly)
spare = capacity monthly − committed
goal ends = {}
m = months to goal({ target: target, saved: saved ?? 0 } as goal like, monthly amount)
end = the date now.get full year(), now.get month() + m, 1
debt payoff = nothing
with extra = payoff plan(liabilities!, extra debt, 'avalanche', now)
without = payoff plan(liabilities!, 0, 'avalanche', now)
… the first steps only — the rest of the body needs reading by hand.</t>
  </si>
  <si>
    <t>Now is now (or new date() — when missing). On dials is dials where on. Extra debt is extra debt monthly (or 0 — when missing, never below zero). Committed: the monthly amount (or 0 — when missing or zero))+ extra debt plus max(0, retirement monthly added up across on dials. Spare is capacity monthly minus committed. Goal ends is {}. M is months to goal({ target: target, saved: saved ?? 0 } as goal like, monthly amount). End: the date now.get full year(), now.get month() plus m, 1. Debt payoff is no answer. With extra is payoff plan(liabilities!, extra debt, 'avalanche', now). Without is payoff plan(liabilities!, 0, 'avalanche', now). Only the first steps are shown; the rest of the body needs reading by hand.</t>
  </si>
  <si>
    <t>w: WeighInputs</t>
  </si>
  <si>
    <t>WeighResult</t>
  </si>
  <si>
    <t>1. If extra debt monthly is missing it uses 0.
2. If saved is missing it uses 0.
3. If monthly amount is missing it counts as zero, so nothing recorded and a real zero look the same.
4. Turns a monthly figure into a year by multiplying by twelve.
5. Uses today's date from the device clock, so the answer changes by itself overnight.
6. Never lets retirement monthly fall below 0.</t>
  </si>
  <si>
    <t>1. MK-PL-F-021 monthsToGoal
2. MK-ST-F-039 on
3. MK-CF-F-034 payoffPlan
4. MK-PL-F-035 retireAgeWithContribution
5. MK-PL-F-050 simulate</t>
  </si>
  <si>
    <t>1. MK-PL-F-021 monthsToGoal
2. MK-ST-F-039 on
3. MK-CF-F-034 payoffPlan
4. MK-PL-F-035 retireAgeWithContribution
5. MK-PL-F-050 simulate
6. MK-CF-F-132 map
7. MK-CF-F-022 paymentShape
8. MK-PL-F-055 projectNestEgg
9. MK-PL-F-056 solveRetireAge
10. MK-PL-F-074 median
11. MK-PL-F-072 mulberry32
12. MK-XS-F-122 n
13. MK-PL-F-073 normal
14. MK-PL-F-075 pctOfSorted
15. MK-ST-F-025 rmdStartAgeFromAge
16. MK-CF-F-021 defaultPaymentType
17. MK-ST-F-024 rmdStartAge
18. MK-ST-F-056 has</t>
  </si>
  <si>
    <t>1. MK-PL-F-021 monthsToGoal → MK-PL-F-036 weighGoals
2. MK-ST-F-039 on → MK-PL-F-036 weighGoals
3. MK-CF-F-132 map → MK-CF-F-034 payoffPlan → MK-PL-F-036 weighGoals
4. MK-CF-F-021 defaultPaymentType → MK-CF-F-022 paymentShape → MK-CF-F-034 payoffPlan → MK-PL-F-036 weighGoals
5. MK-CF-F-132 map → MK-PL-F-055 projectNestEgg → MK-PL-F-035 retireAgeWithContribution → MK-PL-F-036 weighGoals
6. MK-CF-F-132 map → MK-PL-F-050 simulate → MK-PL-F-055 projectNestEgg → MK-PL-F-035 retireAgeWithContribution → MK-PL-F-036 weighGoals
7. MK-PL-F-074 median → MK-PL-F-050 simulate → MK-PL-F-055 projectNestEgg → MK-PL-F-035 retireAgeWithContribution → MK-PL-F-036 weighGoals
8. MK-PL-F-072 mulberry32 → MK-PL-F-050 simulate → MK-PL-F-055 projectNestEgg → MK-PL-F-035 retireAgeWithContribution → MK-PL-F-036 weighGoals
9. … and 5 more paths</t>
  </si>
  <si>
    <t>MK-PL-F-037</t>
  </si>
  <si>
    <t>trimHints</t>
  </si>
  <si>
    <t>One hint per active goal: the SAME weigher re-run with that dial reduced — a pre-run of the slider, so applying the hint's amount reproduces its numbers exactly (the pin).</t>
  </si>
  <si>
    <t>trimmed amount = max(0, round((monthly amount × reduce to) ÷ 100) × 100)
freed = monthly amount − trimmed amount
the answer:
dial id = id
label = label
trimmed amount = trimmed amount
retire age = retire age
chance = chance</t>
  </si>
  <si>
    <t>Trimmed amount is (monthly amount times reduce to, to a whole number divided by 100, never below zero times 100). Freed is monthly amount minus trimmed amount. The answer is dial id = id; label = label; trimmed amount = trimmed amount; retire age = retire age; chance = chance.</t>
  </si>
  <si>
    <t>1. w: WeighInputs
2. reduceTo = 0.6</t>
  </si>
  <si>
    <t>TrimHint[]</t>
  </si>
  <si>
    <t>1. MK-CF-F-132 map
2. MK-PL-F-036 weighGoals</t>
  </si>
  <si>
    <t>1. MK-CF-F-132 map
2. MK-PL-F-036 weighGoals
3. MK-PL-F-021 monthsToGoal
4. MK-ST-F-039 on
5. MK-CF-F-034 payoffPlan
6. MK-PL-F-035 retireAgeWithContribution
7. MK-PL-F-050 simulate
8. MK-CF-F-022 paymentShape
9. MK-PL-F-055 projectNestEgg
10. MK-PL-F-056 solveRetireAge
11. MK-PL-F-074 median
12. MK-PL-F-072 mulberry32
13. MK-XS-F-122 n
14. MK-PL-F-073 normal
15. MK-PL-F-075 pctOfSorted
16. MK-ST-F-025 rmdStartAgeFromAge
17. MK-CF-F-021 defaultPaymentType
18. MK-ST-F-024 rmdStartAge
19. MK-ST-F-056 has</t>
  </si>
  <si>
    <t>1. MK-CF-F-132 map → MK-PL-F-037 trimHints
2. MK-PL-F-021 monthsToGoal → MK-PL-F-036 weighGoals → MK-PL-F-037 trimHints
3. MK-ST-F-039 on → MK-PL-F-036 weighGoals → MK-PL-F-037 trimHints
4. MK-CF-F-132 map → MK-CF-F-034 payoffPlan → MK-PL-F-036 weighGoals → MK-PL-F-037 trimHints
5. MK-CF-F-021 defaultPaymentType → MK-CF-F-022 paymentShape → MK-CF-F-034 payoffPlan → MK-PL-F-036 weighGoals → MK-PL-F-037 trimHints
6. MK-CF-F-132 map → MK-PL-F-055 projectNestEgg → MK-PL-F-035 retireAgeWithContribution → MK-PL-F-036 weighGoals → MK-PL-F-037 trimHints
7. MK-CF-F-132 map → MK-PL-F-050 simulate → MK-PL-F-055 projectNestEgg → MK-PL-F-035 retireAgeWithContribution → MK-PL-F-036 weighGoals → MK-PL-F-037 trimHints
8. MK-PL-F-074 median → MK-PL-F-050 simulate → MK-PL-F-055 projectNestEgg → MK-PL-F-035 retireAgeWithContribution → MK-PL-F-036 weighGoals → MK-PL-F-037 trimHints
9. … and 4 more paths</t>
  </si>
  <si>
    <t>MK-PL-F-038</t>
  </si>
  <si>
    <t>spendMoreState</t>
  </si>
  <si>
    <t>src/domain/planning/spendMore.ts</t>
  </si>
  <si>
    <t>How much more she could spend, and how much of it is genuinely free.</t>
  </si>
  <si>
    <t>today = base.retire monthly spend today
odds today = odds at(base, today)
free = 0
the answer:
max extra = max extra
free extra = free
odds today = odds today</t>
  </si>
  <si>
    <t>Today is base.retire monthly spend today. Odds today is odds at(base, today). Free is 0. The answer is max extra = max extra; free extra = free; odds today = odds today.</t>
  </si>
  <si>
    <t>1. base: RetirementInputs
2. maxExtra: number
3. step = 500</t>
  </si>
  <si>
    <t>SpendMoreState</t>
  </si>
  <si>
    <t>"Can I spend more?" — on a card used on more than one screen (SpendMoreControl)</t>
  </si>
  <si>
    <t>· Uses a built-in free of 0.</t>
  </si>
  <si>
    <t>MK-PL-F-069 oddsAt</t>
  </si>
  <si>
    <t>1. MK-PL-F-069 oddsAt
2. MK-PL-F-050 simulate
3. MK-CF-F-132 map
4. MK-PL-F-074 median
5. MK-PL-F-072 mulberry32
6. MK-XS-F-122 n
7. MK-PL-F-073 normal
8. MK-PL-F-075 pctOfSorted
9. MK-ST-F-025 rmdStartAgeFromAge
10. MK-ST-F-024 rmdStartAge
11. MK-ST-F-056 has</t>
  </si>
  <si>
    <t>1. MK-CF-F-132 map → MK-PL-F-050 simulate → MK-PL-F-069 oddsAt → MK-PL-F-038 spendMoreState
2. MK-PL-F-074 median → MK-PL-F-050 simulate → MK-PL-F-069 oddsAt → MK-PL-F-038 spendMoreState
3. MK-PL-F-072 mulberry32 → MK-PL-F-050 simulate → MK-PL-F-069 oddsAt → MK-PL-F-038 spendMoreState
4. MK-XS-F-122 n → MK-PL-F-050 simulate → MK-PL-F-069 oddsAt → MK-PL-F-038 spendMoreState
5. MK-PL-F-073 normal → MK-PL-F-050 simulate → MK-PL-F-069 oddsAt → MK-PL-F-038 spendMoreState
6. MK-PL-F-075 pctOfSorted → MK-PL-F-050 simulate → MK-PL-F-069 oddsAt → MK-PL-F-038 spendMoreState
7. MK-ST-F-056 has → MK-ST-F-024 rmdStartAge → MK-ST-F-025 rmdStartAgeFromAge → MK-PL-F-050 simulate → MK-PL-F-069 oddsAt → MK-PL-F-038 spendMoreState</t>
  </si>
  <si>
    <t>MK-PL-F-039</t>
  </si>
  <si>
    <t>spendMoreSentence</t>
  </si>
  <si>
    <t>What the screen says at a given stepper position — a real run every time, never a bucket.</t>
  </si>
  <si>
    <t>chance = odds at(base, base.retire monthly spend today + extra)
failing = round(100 − chance, 6 dp)
the answer:
chance = chance
tone = 'watch'
text = `lasts in almost every simulated future — about ${chance} out of 100.`</t>
  </si>
  <si>
    <t>Chance is odds at(base, base.retire monthly spend today plus extra). Failing is 100 minus chance, to 6 decimal places. The answer is chance = chance; tone = 'watch'; text = `lasts in almost every simulated future — about ${chance} out of 100.`.</t>
  </si>
  <si>
    <t>1. base: RetirementInputs
2. extra: number
3. horizonAge: number
4. oddsToday: number</t>
  </si>
  <si>
    <t>· Rounds the answer to 6 decimal places.</t>
  </si>
  <si>
    <t>1. MK-CF-F-132 map → MK-PL-F-050 simulate → MK-PL-F-069 oddsAt → MK-PL-F-039 spendMoreSentence
2. MK-PL-F-074 median → MK-PL-F-050 simulate → MK-PL-F-069 oddsAt → MK-PL-F-039 spendMoreSentence
3. MK-PL-F-072 mulberry32 → MK-PL-F-050 simulate → MK-PL-F-069 oddsAt → MK-PL-F-039 spendMoreSentence
4. MK-XS-F-122 n → MK-PL-F-050 simulate → MK-PL-F-069 oddsAt → MK-PL-F-039 spendMoreSentence
5. MK-PL-F-073 normal → MK-PL-F-050 simulate → MK-PL-F-069 oddsAt → MK-PL-F-039 spendMoreSentence
6. MK-PL-F-075 pctOfSorted → MK-PL-F-050 simulate → MK-PL-F-069 oddsAt → MK-PL-F-039 spendMoreSentence
7. MK-ST-F-056 has → MK-ST-F-024 rmdStartAge → MK-ST-F-025 rmdStartAgeFromAge → MK-PL-F-050 simulate → MK-PL-F-069 oddsAt → MK-PL-F-039 spendMoreSentence</t>
  </si>
  <si>
    <t>MK-PL-F-040</t>
  </si>
  <si>
    <t>targetAtRetirement</t>
  </si>
  <si>
    <t>src/domain/planning/target.ts</t>
  </si>
  <si>
    <t>THE TARGET: the balance on day one of retirement that reaches TARGET_ODDS.</t>
  </si>
  <si>
    <t>found = smallest that works(0, MAX_TARGET, 5000, (x) =&gt; odds of(at retirement(x)) ≥ TARGET_ODDS)
nothing   when found = nothing
total = round up(found ÷ 10000) × 10000
[LOOP — the answer is found inside a loop the extractor cannot render; the steps above are the ones before it. Read by hand.]</t>
  </si>
  <si>
    <t>Found is smallest that works(0, MAX_TARGET, 5000, (x) =&gt; odds of(at retirement(x)) is at least TARGET_ODDS). When found is missing, it answers no answer. Total is found divided by 10000, rounded up times 10000. The answer is total. The answer is found inside a loop that cannot be rendered here; read the code by hand.</t>
  </si>
  <si>
    <t>base: RetirementInputs</t>
  </si>
  <si>
    <t>1. MK-PL-F-071 oddsOf
2. MK-PL-F-070 smallestThatWorks</t>
  </si>
  <si>
    <t>1. MK-PL-F-071 oddsOf
2. MK-PL-F-070 smallestThatWorks
3. MK-PL-F-050 simulate
4. MK-CF-F-132 map
5. MK-PL-F-074 median
6. MK-PL-F-072 mulberry32
7. MK-XS-F-122 n
8. MK-PL-F-073 normal
9. MK-PL-F-075 pctOfSorted
10. MK-ST-F-025 rmdStartAgeFromAge
11. MK-ST-F-024 rmdStartAge
12. MK-ST-F-056 has</t>
  </si>
  <si>
    <t>1. MK-CF-F-132 map → MK-PL-F-050 simulate → MK-PL-F-071 oddsOf → MK-PL-F-040 targetAtRetirement
2. MK-PL-F-074 median → MK-PL-F-050 simulate → MK-PL-F-071 oddsOf → MK-PL-F-040 targetAtRetirement
3. MK-PL-F-072 mulberry32 → MK-PL-F-050 simulate → MK-PL-F-071 oddsOf → MK-PL-F-040 targetAtRetirement
4. MK-XS-F-122 n → MK-PL-F-050 simulate → MK-PL-F-071 oddsOf → MK-PL-F-040 targetAtRetirement
5. MK-PL-F-073 normal → MK-PL-F-050 simulate → MK-PL-F-071 oddsOf → MK-PL-F-040 targetAtRetirement
6. MK-PL-F-075 pctOfSorted → MK-PL-F-050 simulate → MK-PL-F-071 oddsOf → MK-PL-F-040 targetAtRetirement
7. MK-ST-F-056 has → MK-ST-F-024 rmdStartAge → MK-ST-F-025 rmdStartAgeFromAge → MK-PL-F-050 simulate → MK-PL-F-071 oddsOf → MK-PL-F-040 targetAtRetirement
8. MK-PL-F-070 smallestThatWorks → MK-PL-F-040 targetAtRetirement</t>
  </si>
  <si>
    <t>MK-PL-F-041</t>
  </si>
  <si>
    <t>requiredAnnualSaving</t>
  </si>
  <si>
    <t>THE YEARLY SAVING: the total annual contribution that reaches TARGET_ODDS on the real plan — the one with their age, their years left, their expenses, their big costs.</t>
  </si>
  <si>
    <t>with saving = (annual: number): retirement inputs =&gt; ({ ...base, annual contribution: annual })
found = smallest that works(0, MAX_SAVING, 500, (x) =&gt; odds of(with saving(x)) ≥ TARGET_ODDS)
nothing   when found = nothing
total = round up(found ÷ 500) × 500
the answer:
total = total
extra = max(0, total − (base.annual contribution ?? 0))
[LOOP — the answer is found inside a loop the extractor cannot render; the steps above are the ones before it. Read by hand.]</t>
  </si>
  <si>
    <t>With saving is (annual: number): retirement inputs =&gt; ({ ...base, annual contribution: annual }). Found is smallest that works(0, MAX_SAVING, 500, (x) =&gt; odds of(with saving(x)) is at least TARGET_ODDS). When found is missing, it answers no answer. Total is found divided by 500, rounded up times 500. The answer is total = total; extra = total minus (base.annual contribution ?? 0, never below zero). The answer is found inside a loop that cannot be rendered here; read the code by hand.</t>
  </si>
  <si>
    <t>· If annual contribution is missing it uses 0.</t>
  </si>
  <si>
    <t>1. MK-CF-F-132 map → MK-PL-F-050 simulate → MK-PL-F-071 oddsOf → MK-PL-F-041 requiredAnnualSaving
2. MK-PL-F-074 median → MK-PL-F-050 simulate → MK-PL-F-071 oddsOf → MK-PL-F-041 requiredAnnualSaving
3. MK-PL-F-072 mulberry32 → MK-PL-F-050 simulate → MK-PL-F-071 oddsOf → MK-PL-F-041 requiredAnnualSaving
4. MK-XS-F-122 n → MK-PL-F-050 simulate → MK-PL-F-071 oddsOf → MK-PL-F-041 requiredAnnualSaving
5. MK-PL-F-073 normal → MK-PL-F-050 simulate → MK-PL-F-071 oddsOf → MK-PL-F-041 requiredAnnualSaving
6. MK-PL-F-075 pctOfSorted → MK-PL-F-050 simulate → MK-PL-F-071 oddsOf → MK-PL-F-041 requiredAnnualSaving
7. MK-ST-F-056 has → MK-ST-F-024 rmdStartAge → MK-ST-F-025 rmdStartAgeFromAge → MK-PL-F-050 simulate → MK-PL-F-071 oddsOf → MK-PL-F-041 requiredAnnualSaving
8. MK-PL-F-070 smallestThatWorks → MK-PL-F-041 requiredAnnualSaving</t>
  </si>
  <si>
    <t>MK-PL-F-042</t>
  </si>
  <si>
    <t>savingToReachTarget</t>
  </si>
  <si>
    <t>The yearly saving whose PROJECTION reaches a typed target.</t>
  </si>
  <si>
    <t>found = smallest that works(0, MAX_SAVING, 500, (x) =&gt; projected with(x) ≥ typed target)
nothing   when found = nothing
total = round up(found ÷ 500) × 500
the answer:
total = total
extra = max(0, total − (base.annual contribution ?? 0))</t>
  </si>
  <si>
    <t>Found is smallest that works(0, MAX_SAVING, 500, (x) =&gt; projected with(x) is at least typed target). When found is missing, it answers no answer. Total is found divided by 500, rounded up times 500. The answer is total = total; extra = total minus (base.annual contribution ?? 0, never below zero).</t>
  </si>
  <si>
    <t>1. base: RetirementInputs
2. typedTarget: number</t>
  </si>
  <si>
    <t>1. MK-PL-F-050 simulate
2. MK-PL-F-070 smallestThatWorks</t>
  </si>
  <si>
    <t>1. MK-PL-F-050 simulate
2. MK-PL-F-070 smallestThatWorks
3. MK-CF-F-132 map
4. MK-PL-F-074 median
5. MK-PL-F-072 mulberry32
6. MK-XS-F-122 n
7. MK-PL-F-073 normal
8. MK-PL-F-075 pctOfSorted
9. MK-ST-F-025 rmdStartAgeFromAge
10. MK-ST-F-024 rmdStartAge
11. MK-ST-F-056 has</t>
  </si>
  <si>
    <t>1. MK-CF-F-132 map → MK-PL-F-050 simulate → MK-PL-F-042 savingToReachTarget
2. MK-PL-F-074 median → MK-PL-F-050 simulate → MK-PL-F-042 savingToReachTarget
3. MK-PL-F-072 mulberry32 → MK-PL-F-050 simulate → MK-PL-F-042 savingToReachTarget
4. MK-XS-F-122 n → MK-PL-F-050 simulate → MK-PL-F-042 savingToReachTarget
5. MK-PL-F-073 normal → MK-PL-F-050 simulate → MK-PL-F-042 savingToReachTarget
6. MK-PL-F-075 pctOfSorted → MK-PL-F-050 simulate → MK-PL-F-042 savingToReachTarget
7. MK-ST-F-056 has → MK-ST-F-024 rmdStartAge → MK-ST-F-025 rmdStartAgeFromAge → MK-PL-F-050 simulate → MK-PL-F-042 savingToReachTarget
8. MK-PL-F-070 smallestThatWorks → MK-PL-F-042 savingToReachTarget</t>
  </si>
  <si>
    <t>MK-PL-F-043</t>
  </si>
  <si>
    <t>howTheGapCloses</t>
  </si>
  <si>
    <t>Where the money to close the gap actually comes from — the breakdown that stops a person subtracting and concluding the app cannot add up (founder, 2026-08-14).</t>
  </si>
  <si>
    <t>years = max(0, base.retire age − base.current age)
no saving = simulate({ ...base, annual contribution: 0 }).projected at retirement
with saving = simulate({ ...base, annual contribution: total annual saving }).projected at retirement
put in = total annual saving × years</t>
  </si>
  <si>
    <t>Years is base.retire age minus base.current age, never below zero. No saving is simulate({ ...base, annual contribution: 0 }).projected at retirement. With saving is simulate({ ...base, annual contribution: total annual saving }).projected at retirement. Put in is total annual saving times years.</t>
  </si>
  <si>
    <t>1. base: RetirementInputs
2. totalAnnualSaving: number</t>
  </si>
  <si>
    <t>1. MK-XS-F-147 call
2. MK-PL-F-050 simulate</t>
  </si>
  <si>
    <t>1. MK-XS-F-147 call
2. MK-PL-F-050 simulate
3. MK-ST-F-027 accountId
4. MK-XS-F-064 currentIdToken
5. MK-XS-F-112 relayUrl
6. MK-CF-F-132 map
7. MK-PL-F-074 median
8. MK-PL-F-072 mulberry32
9. MK-XS-F-122 n
10. MK-PL-F-073 normal
11. MK-PL-F-075 pctOfSorted
12. MK-ST-F-025 rmdStartAgeFromAge
13. MK-ST-F-024 rmdStartAge
14. MK-ST-F-056 has</t>
  </si>
  <si>
    <t>1. MK-ST-F-027 accountId → MK-XS-F-147 call → MK-PL-F-043 howTheGapCloses
2. MK-XS-F-064 currentIdToken → MK-XS-F-147 call → MK-PL-F-043 howTheGapCloses
3. MK-XS-F-112 relayUrl → MK-XS-F-147 call → MK-PL-F-043 howTheGapCloses
4. MK-CF-F-132 map → MK-PL-F-050 simulate → MK-PL-F-043 howTheGapCloses
5. MK-PL-F-074 median → MK-PL-F-050 simulate → MK-PL-F-043 howTheGapCloses
6. MK-PL-F-072 mulberry32 → MK-PL-F-050 simulate → MK-PL-F-043 howTheGapCloses
7. MK-XS-F-122 n → MK-PL-F-050 simulate → MK-PL-F-043 howTheGapCloses
8. MK-PL-F-073 normal → MK-PL-F-050 simulate → MK-PL-F-043 howTheGapCloses
9. … and 2 more paths</t>
  </si>
  <si>
    <t>MK-PL-F-044</t>
  </si>
  <si>
    <t>planTarget</t>
  </si>
  <si>
    <t>One call, everything the second gauge and the bridge sentence need.</t>
  </si>
  <si>
    <t>sim = simulate(base)
odds = sim.chance of success
projected = sim.projected at retirement
already there = odds ≥ TARGET_ODDS
target = target at retirement(base)
typed = typed target   if typed target ≠ nothing and typed target &gt; 0
nothing   otherwise
saving to target = nothing   if typed = nothing
saving to reach target(base, typed)   otherwise
saving = total = base.annual contribution (or 0 when missing)
extra = 0   if already there
required annual saving(base)   otherwise
extra = saving.extra (or nothing when missing)</t>
  </si>
  <si>
    <t>Sim is simulate(base). Odds is sim.chance of success. Projected is sim.projected at retirement. Already there is odds is at least TARGET_ODDS. Target is target at retirement(base). Typed is typed target — when typed target is not no answer and typed target &gt; 0; no answer — otherwise. Saving to target is no answer — when typed is missing; saving to reach target(base, typed) — otherwise. Saving is total = base.annual contribution (or 0 — when missing); extra = 0 — when already there; required annual saving(base) — otherwise. Extra is saving.extra (or no answer — when missing).</t>
  </si>
  <si>
    <t>1. base: RetirementInputs
2. annualIncome?: number
3. roomAnnual?: number
4. typedTarget?: number | null</t>
  </si>
  <si>
    <t>PlanTarget</t>
  </si>
  <si>
    <t>1. If annual contribution is missing it uses 0.
2. Rounds the answer to a whole number.</t>
  </si>
  <si>
    <t>1. MK-PL-F-041 requiredAnnualSaving
2. MK-PL-F-042 savingToReachTarget
3. MK-PL-F-050 simulate
4. MK-PL-F-040 targetAtRetirement</t>
  </si>
  <si>
    <t>1. MK-PL-F-041 requiredAnnualSaving
2. MK-PL-F-042 savingToReachTarget
3. MK-PL-F-050 simulate
4. MK-PL-F-040 targetAtRetirement
5. MK-PL-F-071 oddsOf
6. MK-PL-F-070 smallestThatWorks
7. MK-CF-F-132 map
8. MK-PL-F-074 median
9. MK-PL-F-072 mulberry32
10. MK-XS-F-122 n
11. MK-PL-F-073 normal
12. MK-PL-F-075 pctOfSorted
13. MK-ST-F-025 rmdStartAgeFromAge
14. MK-ST-F-024 rmdStartAge
15. MK-ST-F-056 has</t>
  </si>
  <si>
    <t>1. MK-CF-F-132 map → MK-PL-F-050 simulate → MK-PL-F-071 oddsOf → MK-PL-F-041 requiredAnnualSaving → MK-PL-F-044 planTarget
2. MK-PL-F-074 median → MK-PL-F-050 simulate → MK-PL-F-071 oddsOf → MK-PL-F-041 requiredAnnualSaving → MK-PL-F-044 planTarget
3. MK-PL-F-072 mulberry32 → MK-PL-F-050 simulate → MK-PL-F-071 oddsOf → MK-PL-F-041 requiredAnnualSaving → MK-PL-F-044 planTarget
4. MK-XS-F-122 n → MK-PL-F-050 simulate → MK-PL-F-071 oddsOf → MK-PL-F-041 requiredAnnualSaving → MK-PL-F-044 planTarget
5. MK-PL-F-073 normal → MK-PL-F-050 simulate → MK-PL-F-071 oddsOf → MK-PL-F-041 requiredAnnualSaving → MK-PL-F-044 planTarget
6. MK-PL-F-075 pctOfSorted → MK-PL-F-050 simulate → MK-PL-F-071 oddsOf → MK-PL-F-041 requiredAnnualSaving → MK-PL-F-044 planTarget
7. MK-ST-F-024 rmdStartAge → MK-ST-F-025 rmdStartAgeFromAge → MK-PL-F-050 simulate → MK-PL-F-071 oddsOf → MK-PL-F-041 requiredAnnualSaving → MK-PL-F-044 planTarget
8. MK-PL-F-070 smallestThatWorks → MK-PL-F-041 requiredAnnualSaving → MK-PL-F-044 planTarget
9. … and 5 more paths</t>
  </si>
  <si>
    <t>MK-PL-F-045</t>
  </si>
  <si>
    <t>ssUpliftFactor</t>
  </si>
  <si>
    <t>Social Security pays roughly 8% more for each year you delay past full retirement age — the claim-later lever has to raise the CHECK, not just move its start date.</t>
  </si>
  <si>
    <t>1 + 0.08 × max(0, to age − from age)</t>
  </si>
  <si>
    <t>1 plus 0.08 times to age minus from age, never below zero.</t>
  </si>
  <si>
    <t>1. fromAge: number
2. toAge: number</t>
  </si>
  <si>
    <t>MK-PL-F-046</t>
  </si>
  <si>
    <t>leverDeltas</t>
  </si>
  <si>
    <t>base odds = odds of(base)
later = opts.retire later years (or 2 when missing)
cut = opts.spend cut monthly (or 400 when missing)
claim = opts.claim age (or 70 when missing)
from = base.guaranteed start age (or base.retire age when missing)
ss now = ss stream of(base).monthly (or base.guaranteed monthly income (or 0 when missing) when missing)
uplifted = with ss stream(base, math.round(ss now × ss uplift factor(from, claim)), claim)</t>
  </si>
  <si>
    <t>Base odds is odds of(base). Later is opts.retire later years (or 2 — when missing). Cut is opts.spend cut monthly (or 400 — when missing). Claim is opts.claim age (or 70 — when missing). From is base.guaranteed start age (or base.retire age — when missing). Ss now is ss stream of(base).monthly (or base.guaranteed monthly income (or 0 — when missing) — when missing). Uplifted is with ss stream(base, math.ss now times ss uplift factor(from, claim, to a whole number), claim).</t>
  </si>
  <si>
    <t>1. base: RetirementInputs
2. opts: { spendCutMonthly?: number; retireLaterYears?: number; claimAge?: number } = {}</t>
  </si>
  <si>
    <t>Lever[]</t>
  </si>
  <si>
    <t>1. If retire later years is missing it uses 2.
2. If spend cut monthly is missing it uses 400.
3. If claim age is missing it uses 70.
4. If guaranteed monthly income is missing it uses 0.
5. Rounds the answer to a whole number.</t>
  </si>
  <si>
    <t>1. MK-CF-F-132 map
2. MK-PL-F-071 oddsOf
3. MK-PL-F-051 ssStreamOf
4. MK-PL-F-045 ssUpliftFactor
5. MK-PL-F-052 withSsStream</t>
  </si>
  <si>
    <t>1. MK-CF-F-132 map
2. MK-PL-F-071 oddsOf
3. MK-PL-F-051 ssStreamOf
4. MK-PL-F-045 ssUpliftFactor
5. MK-PL-F-052 withSsStream
6. MK-PL-F-050 simulate
7. MK-PL-F-074 median
8. MK-PL-F-072 mulberry32
9. MK-XS-F-122 n
10. MK-PL-F-073 normal
11. MK-PL-F-075 pctOfSorted
12. MK-ST-F-025 rmdStartAgeFromAge
13. MK-ST-F-024 rmdStartAge
14. MK-ST-F-056 has</t>
  </si>
  <si>
    <t>1. MK-CF-F-132 map → MK-PL-F-046 leverDeltas
2. MK-CF-F-132 map → MK-PL-F-050 simulate → MK-PL-F-071 oddsOf → MK-PL-F-046 leverDeltas
3. MK-PL-F-074 median → MK-PL-F-050 simulate → MK-PL-F-071 oddsOf → MK-PL-F-046 leverDeltas
4. MK-PL-F-072 mulberry32 → MK-PL-F-050 simulate → MK-PL-F-071 oddsOf → MK-PL-F-046 leverDeltas
5. MK-XS-F-122 n → MK-PL-F-050 simulate → MK-PL-F-071 oddsOf → MK-PL-F-046 leverDeltas
6. MK-PL-F-073 normal → MK-PL-F-050 simulate → MK-PL-F-071 oddsOf → MK-PL-F-046 leverDeltas
7. MK-PL-F-075 pctOfSorted → MK-PL-F-050 simulate → MK-PL-F-071 oddsOf → MK-PL-F-046 leverDeltas
8. MK-ST-F-056 has → MK-ST-F-024 rmdStartAge → MK-ST-F-025 rmdStartAgeFromAge → MK-PL-F-050 simulate → MK-PL-F-071 oddsOf → MK-PL-F-046 leverDeltas
9. … and 3 more paths</t>
  </si>
  <si>
    <t>MK-PL-F-047</t>
  </si>
  <si>
    <t>colFactor</t>
  </si>
  <si>
    <t>src/domain/retirement/col.ts</t>
  </si>
  <si>
    <t>Cost-of-living factor for a free-text location.</t>
  </si>
  <si>
    <t>q = string(location ?? '').trim().to lower case()
factor = 1
name = nothing   when q is missing
the answer:
factor = row.factor
name = row.name
[LOOP — the answer is found inside a loop the extractor cannot render; the steps above are the ones before it. Read by hand.]</t>
  </si>
  <si>
    <t>Q is string(location ?? '').trim().to lower case(). When q is missing, it answers factor = 1; name is missing. The answer is factor = row.factor; name = row.name. The answer is found inside a loop that cannot be rendered here; read the code by hand.</t>
  </si>
  <si>
    <t>location?: string | null</t>
  </si>
  <si>
    <t>ColMatch</t>
  </si>
  <si>
    <t>1. "Country / region" — on the setup questions, which appear on more than one screen
2. "You plan to spend" — on the Retirement cockpit screen</t>
  </si>
  <si>
    <t>MK-PL-F-048</t>
  </si>
  <si>
    <t>capitalNeeded</t>
  </si>
  <si>
    <t>src/domain/retirement/index.ts</t>
  </si>
  <si>
    <t>years = max(1, inp.horizon age − inp.retire age)
net annual = max(0, (inp.monthly spend − inp.guaranteed monthly) × 12)
r = inp.real return
annuity factor = (1 − math.pow(1 + r, -years)) ÷ r   if r &gt; 0
years   otherwise
pv bequest = inp.bequest ÷ (1 + max(0, r))^(years)   if inp.bequest &gt; 0
0   otherwise</t>
  </si>
  <si>
    <t>Years: the larger of 1 and inp.horizon age minus inp.retire age. Net annual is (inp.monthly spend minus inp.guaranteed monthly, never below zero times 12). R is inp.real return. Annuity factor is (1 minus math.pow(1 plus r, -years)) divided by r — when r &gt; 0; years — otherwise. Pv bequest is inp.bequest divided by (1 plus r, never below zero)^(years) — when inp.bequest &gt; 0; 0 — otherwise.</t>
  </si>
  <si>
    <t>inp: CapitalNeedInputs</t>
  </si>
  <si>
    <t>CapitalNeed</t>
  </si>
  <si>
    <t>1. "Annuity / other" — on the setup questions, which appear on more than one screen
2. "Capital needed" — on the setup questions, which appear on more than one screen
3. "Leave behind (your legacy goal)" — on the setup questions, which appear on more than one screen
4. "To fund from savings" — on the setup questions, which appear on more than one screen
5. "What are you saving for?" — on the setup questions, which appear on more than one screen
6. "Your retirement outlook" — on the setup questions, which appear on more than one screen</t>
  </si>
  <si>
    <t>1. Turns a monthly figure into a year by multiplying by twelve.
2. Never lets r fall below 0.</t>
  </si>
  <si>
    <t>All-in monthly retirement spend = base + travel + medical (annual→monthly), adjusted by the expected trajectory (spend less / same / more later) and the retirement location's cost-of-living factor (retLocation).</t>
  </si>
  <si>
    <t>a = op (or none when missing)
base = expected retirement expenses read as a number (0 when it is not one) (or monthly expenses read as a number (0 when it is not one) (or 0 when missing or zero) when missing or zero)
travel = to num(travel budget) ÷ 12
medical = to num(medical budget) ÷ 12
mult = 0.85   if expenses change later = 'less'
1.15   if expenses change later = 'more'
1   otherwise   otherwise
the answer = (base + travel + medical) × mult × col factor(ret location).factor</t>
  </si>
  <si>
    <t>A is op (or none — when missing). Base is expected retirement expenses read as a number (0 — when it is one is missing) (or monthly expenses read as a number (0 — when it is one is missing) (or 0 — when missing or zero) — when missing or zero). Travel is to num(travel budget) divided by 12. Medical is to num(medical budget) divided by 12. Mult is 0.85 — when expenses change later = 'less'; 1.15 — when expenses change later = 'more'; 1 — otherwise — otherwise. The answer is (base plus travel plus medical) times mult times col factor(ret location).factor.</t>
  </si>
  <si>
    <t>1. MK-PL-F-047 colFactor
2. MK-PL-F-001 taxBucketSplit
3. MK-ST-F-052 toNum</t>
  </si>
  <si>
    <t>1. MK-PL-F-047 colFactor
2. MK-PL-F-001 taxBucketSplit
3. MK-ST-F-052 toNum
4. MK-NW-F-032 earmarkedAmount
5. MK-XS-F-122 n
6. MK-NW-F-030 earmarkDefault
7. MK-NW-F-011 assetClassOf
8. MK-NW-F-013 realEstateUseOf
9. MK-NW-F-008 incomeBearingClassOf
10. MK-CF-F-155 cash
11. MK-ST-F-010 nameEvidence
12. MK-XS-F-147 call
13. MK-ST-F-056 has
14. MK-CF-F-132 map
15. MK-ST-F-027 accountId
16. MK-XS-F-064 currentIdToken
17. MK-XS-F-112 relayUrl</t>
  </si>
  <si>
    <t>MK-PL-F-050</t>
  </si>
  <si>
    <t>simulate</t>
  </si>
  <si>
    <t>B4 (founder brief 2026-08-20): the RMD rule lives in the ONE dated, sourced table — the Calculation Module's rmd function.</t>
  </si>
  <si>
    <t>paths = inp.paths (or 1000 when missing)
n acc = max(0, inp.retire age − inp.current age)
n dec = max(0, inp.horizon age − inp.retire age)
rng = mulberry32(inp.seed ?? 12345)
infl factor = (1 + inp.inflation)^(n acc)
spend at retire = inp.retire monthly spend today × 12 × infl factor
guar at retire = Σ over streams of (annual at retire)
total years = n acc + n dec
now year = inp.now year (or 2026 when missing)
birth year sim = now year − inp.current age
rmd start sim = rmd start age from age(inp.current age, now year)
… the first steps only — the rest of the body needs reading by hand.</t>
  </si>
  <si>
    <t>Paths is inp.paths (or 1000 — when missing). N acc is inp.retire age minus inp.current age, never below zero. N dec is inp.horizon age minus inp.retire age, never below zero. Rng is mulberry32(inp.seed ?? 12345). Infl factor is (1 plus inp.inflation)^(n acc). Spend at retire is inp.retire monthly spend today times 12 times infl factor. Guar at retire: the annual at retire added up across streams. Total years is n acc plus n dec. Now year is inp.now year (or 2026 — when missing). Birth year sim is now year minus inp.current age. Rmd start sim is rmd start age from age(inp.current age, now year). Only the first steps are shown; the rest of the body needs reading by hand.</t>
  </si>
  <si>
    <t>inp: RetirementInputs</t>
  </si>
  <si>
    <t>1. "Claim at age" — on the Retirement cockpit screen
2. "Run Monte Carlo simulation" — on the Retirement cockpit screen</t>
  </si>
  <si>
    <t>1. If paths is missing it uses 1000.
2. If seed is missing it uses 12345.
3. If now year is missing it uses 2026.
4. If contribution growth is missing it uses 0.
5. If pre tax share is missing it uses 0.
6. If monthly is missing it counts as zero, so nothing recorded and a real zero look the same.
7. If one off by year[off] is missing it counts as zero, so nothing recorded and a real zero look the same.
8. If recurring by year[y] is missing it counts as zero, so nothing recorded and a real zero look the same.
9. If contrib by year[y] is missing it counts as zero, so nothing recorded and a real zero look the same.
10. Uses a built-in successes of 0.
11. Turns a monthly figure into a year by multiplying by twelve.
12. Never lets off fall below 0.
13. Never lets balance fall below 0.
14. Never lets required withdrawal tax rate fall below 0.
15. The tax on pre-tax withdrawals is the rate the caller passes, capped at 60%; when no rate is passed NO tax is applied and the result says so — never a built-in 22% (G7, founder 2026-09-12).
16. Founder ruling 2026-09-08 (G17): one count, 1,000 futures, on every surface; the guard test simulation_paths.test.ts fails on any other number.</t>
  </si>
  <si>
    <t>1. MK-CF-F-132 map
2. MK-PL-F-074 median
3. MK-PL-F-072 mulberry32
4. MK-XS-F-122 n
5. MK-PL-F-073 normal
6. MK-PL-F-075 pctOfSorted
7. MK-ST-F-025 rmdStartAgeFromAge</t>
  </si>
  <si>
    <t>1. MK-CF-F-132 map
2. MK-PL-F-074 median
3. MK-PL-F-072 mulberry32
4. MK-XS-F-122 n
5. MK-PL-F-073 normal
6. MK-PL-F-075 pctOfSorted
7. MK-ST-F-025 rmdStartAgeFromAge
8. MK-ST-F-024 rmdStartAge
9. MK-ST-F-056 has</t>
  </si>
  <si>
    <t>1. MK-CF-F-132 map → MK-PL-F-050 simulate
2. MK-PL-F-074 median → MK-PL-F-050 simulate
3. MK-PL-F-072 mulberry32 → MK-PL-F-050 simulate
4. MK-XS-F-122 n → MK-PL-F-050 simulate
5. MK-PL-F-073 normal → MK-PL-F-050 simulate
6. MK-PL-F-075 pctOfSorted → MK-PL-F-050 simulate
7. MK-ST-F-056 has → MK-ST-F-024 rmdStartAge → MK-ST-F-025 rmdStartAgeFromAge → MK-PL-F-050 simulate</t>
  </si>
  <si>
    <t>MK-CF-M-022 · MK-PL-M-034 · MK-XS-M-002</t>
  </si>
  <si>
    <t>TESTED, NOT VERIFIED (G14, G17, G7, Odds — exact, no rounding)</t>
  </si>
  <si>
    <t>MK-PL-F-051</t>
  </si>
  <si>
    <t>ssStreamOf</t>
  </si>
  <si>
    <t>The Social Security stream inside an input set, when streams are in use.</t>
  </si>
  <si>
    <t>st = (inp.guaranteed streams ?? []).find((x) =&gt; kind = 'ss')
the answer:
monthly = st.monthly
start age = st.start age   if st
nothing   otherwise</t>
  </si>
  <si>
    <t>St is (inp.guaranteed streams ?? []).find((x) =&gt; kind = 'ss'). The answer is monthly = st.monthly; start age = st.start age — when st; no answer — otherwise.</t>
  </si>
  <si>
    <t>MK-PL-F-052</t>
  </si>
  <si>
    <t>withSsStream</t>
  </si>
  <si>
    <t>An input set with its Social Security stream replaced — the ONE way a decision screen patches a claim scenario, so the flat streams ride along untouched and the legacy fields stay in step for anything still reading them.</t>
  </si>
  <si>
    <t>others = inp.guaranteed streams (or none when missing) where kind ! = 'ss'</t>
  </si>
  <si>
    <t>Others is inp.guaranteed streams (or none — when missing) where kind ! = 'ss'.</t>
  </si>
  <si>
    <t>1. inp: RetirementInputs
2. monthly: number
3. claimAge: number</t>
  </si>
  <si>
    <t>RetirementInputs</t>
  </si>
  <si>
    <t>MK-PL-F-053</t>
  </si>
  <si>
    <t>buildRetirementState</t>
  </si>
  <si>
    <t>sim = simulate(inp)</t>
  </si>
  <si>
    <t>Sim is simulate(inp).</t>
  </si>
  <si>
    <t>1. uid: UserId
2. inp: RetirementInputs</t>
  </si>
  <si>
    <t>RetirementState</t>
  </si>
  <si>
    <t>· If paths is missing it uses 1000.</t>
  </si>
  <si>
    <t>1. MK-PL-F-050 simulate
2. MK-XS-F-175 uid</t>
  </si>
  <si>
    <t>1. MK-PL-F-050 simulate
2. MK-XS-F-175 uid
3. MK-CF-F-132 map
4. MK-PL-F-074 median
5. MK-PL-F-072 mulberry32
6. MK-XS-F-122 n
7. MK-PL-F-073 normal
8. MK-PL-F-075 pctOfSorted
9. MK-ST-F-025 rmdStartAgeFromAge
10. MK-ST-F-027 accountId
11. MK-CF-F-111 applyTransaction
12. MK-NW-F-040 assetsFromOnboarding
13. MK-PF-F-013 benchmarkTicker
14. MK-ST-F-028 buildDayFromAccounts
15. MK-PF-F-034 closeOnOrBefore
16. MK-CF-F-186 convertTakeHomeMode
17. MK-CF-F-038 debtsFromOnboarding
18. MK-XS-F-083 fetchPriceSeries
19. MK-PL-F-013 goalsFromOnboarding
20. MK-ST-F-056 has
21. MK-CF-F-116 inverseOf
22. MK-ST-F-065 isoLocalDate
23. MK-CF-F-112 makeTransaction
24. MK-ST-F-043 newEntityId
25. MK-XS-F-006 pruneDaily
26. MK-ST-F-073 rebuildDays
27. MK-NW-F-054 reclassifyAccounts
28. MK-XS-F-174 recomputeBalances
29. MK-CF-F-115 restoreUndo
30. MK-CF-F-109 reviewTransactions
31. MK-ST-F-044 setMoneyFormat
32. MK-CF-F-114 undoSnapshot
33. MK-CF-F-191 ym
34. MK-ST-F-024 rmdStartAge
35. MK-CF-F-138 addLot
36. MK-CF-F-136 bumpCash
37. MK-CF-F-137 findPos
38. MK-CF-F-139 removeShares
39. MK-PF-F-001 totalShares
40. MK-ST-F-052 toNum
41. MK-ST-F-053 money
42. MK-CF-F-085 filingStatusOf
43. MK-CF-F-097 grossFromNet
44. MK-CF-F-185 needsTakeHomeConversion
45. MK-CF-F-089 over65CountOf
46. MK-CF-F-037 inferDebtType
47. MK-ST-F-069 amountOf
48. MK-CF-F-133 cashOf
49. MK-ST-F-066 isDayKey
50. MK-ST-F-070 isOpening
51. MK-ST-F-071 rebuildableFrom
52. MK-ST-F-068 stepDay
53. MK-ST-F-072 undo
54. MK-NW-F-053 correctClassOf
55. MK-NW-F-008 incomeBearingClassOf
56. MK-PF-F-002 costBasis
57. MK-PF-F-009 latestClose
58. MK-PF-F-004 marketValue
59. MK-ST-F-030 record
60. MK-XS-F-024 resolveLens
61. MK-ST-F-055 round2
62. MK-CF-F-162 daysApart
63. MK-CF-F-108 isMoneyOut
64. MK-CF-F-131 normPayee
65. MK-CF-F-113 affectedAccountIds
66. MK-CF-F-134 usesSleeve
67. MK-ST-F-049 formatMoney
68. MK-CF-F-101 taxOwedFor
69. MK-ST-F-067 utcOfDay
70. MK-CF-F-155 cash
71. MK-ST-F-035 covers
72. MK-NW-F-009 maturityClass
73. MK-ST-F-010 nameEvidence
74. MK-PF-F-031 contractMultiplier
75. MK-CF-F-072 currentRetirementIncomeMonthly
76. MK-ST-F-048 currencySymbol
77. MK-ST-F-039 on
78. MK-CF-F-100 taxableIncomeFor
79. MK-ST-F-034 firstDate
80. MK-XS-F-147 call
81. MK-CF-F-075 retirementIncomeMonthly
82. MK-ST-F-047 activeCurrency
83. MK-CF-F-099 deductionFor
84. MK-XS-F-064 currentIdToken
85. MK-XS-F-112 relayUrl
86. MK-CF-F-187 seniorDeductionFor</t>
  </si>
  <si>
    <t>1. MK-CF-F-132 map → MK-PL-F-050 simulate → MK-PL-F-053 buildRetirementState
2. MK-PL-F-074 median → MK-PL-F-050 simulate → MK-PL-F-053 buildRetirementState
3. MK-PL-F-072 mulberry32 → MK-PL-F-050 simulate → MK-PL-F-053 buildRetirementState
4. MK-XS-F-122 n → MK-PL-F-050 simulate → MK-PL-F-053 buildRetirementState
5. MK-PL-F-073 normal → MK-PL-F-050 simulate → MK-PL-F-053 buildRetirementState
6. MK-PL-F-075 pctOfSorted → MK-PL-F-050 simulate → MK-PL-F-053 buildRetirementState
7. MK-ST-F-056 has → MK-ST-F-024 rmdStartAge → MK-ST-F-025 rmdStartAgeFromAge → MK-PL-F-050 simulate → MK-PL-F-053 buildRetirementState
8. MK-ST-F-027 accountId → MK-XS-F-175 uid → MK-PL-F-053 buildRetirementState
9. … and 4 more paths</t>
  </si>
  <si>
    <t>MK-PL-F-054</t>
  </si>
  <si>
    <t>growOneYear</t>
  </si>
  <si>
    <t>── Deterministic projection (instant — drives the live sliders; no RNG) ────────────── Assumes the average return every year (no market swings).</t>
  </si>
  <si>
    <t>balance × (1 + (rate or 0))</t>
  </si>
  <si>
    <t>balance times (1 plus (rate or 0)).</t>
  </si>
  <si>
    <t>1. balance: number
2. rate: number</t>
  </si>
  <si>
    <t>· If rate is missing it counts as zero, so nothing recorded and a real zero look the same.</t>
  </si>
  <si>
    <t>years to retire  n = max(0, retire age − age today)
pot = start balance × (1 + r)^n
    + Σ for year y = 0 … n−1 of ( contribution × (1 + g)^y × (1 + r)^(n − y − 1) )
where r = the assumed return and g = the rate contributions grow</t>
  </si>
  <si>
    <t>Compounds what is held today forward to the retirement age, then adds each year's contribution compounded for the years it still has to grow. The code settles two things the master file leaves open: a contribution is treated as arriving at the END of its year (the first one compounds for n−1 years, the last for none), and contributions grow at their own rate, which DEFAULTS TO ZERO when nobody sets it. The return r is a nominal rate; inflation is applied to the expenses side, not here. Finding A44 — the file states none of this.</t>
  </si>
  <si>
    <t>NestEggProjection</t>
  </si>
  <si>
    <t>1. If contribution growth is missing it uses 0.
2. If monthly is missing it counts as zero, so nothing recorded and a real zero look the same.
3. Uses a built-in need of 0.
4. Turns a monthly figure into a year by multiplying by twelve.
5. A contribution is treated as arriving at the END of its year, so it compounds for one year fewer than a start-of-year contribution would — the answer differs by a factor of (1 + r) between the two readings (A44 / B11). Contributions grow at their own rate, which is ZERO when nobody sets one. r is a nominal return; inflation is applied elsewhere.</t>
  </si>
  <si>
    <t>1. MK-CF-F-132 map
2. MK-PL-F-050 simulate</t>
  </si>
  <si>
    <t>1. MK-CF-F-132 map
2. MK-PL-F-050 simulate
3. MK-PL-F-074 median
4. MK-PL-F-072 mulberry32
5. MK-XS-F-122 n
6. MK-PL-F-073 normal
7. MK-PL-F-075 pctOfSorted
8. MK-ST-F-025 rmdStartAgeFromAge
9. MK-ST-F-024 rmdStartAge
10. MK-ST-F-056 has</t>
  </si>
  <si>
    <t>MK-NW-M-015 · MK-PL-M-026 · MK-PL-M-033</t>
  </si>
  <si>
    <t>MK-PL-F-056</t>
  </si>
  <si>
    <t>solveRetireAge</t>
  </si>
  <si>
    <t>"Even if you never save another dollar, you can retire at age Y." Earliest retire age where the current pot (no further contributions) already covers the plan.</t>
  </si>
  <si>
    <t>p = project nest egg({ ...inp, annual contribution: 0, retire age: age, guaranteed start age: inp.guaranteed start age })
age   when will have ≥ will need
the answer = nothing</t>
  </si>
  <si>
    <t>P is project nest egg({ ...inp, annual contribution: 0, retire age: age, guaranteed start age: inp.guaranteed start age }). When will have is at least will need, it answers age. The answer is no answer.</t>
  </si>
  <si>
    <t>1. inp: RetirementInputs
2. maxAge = 80</t>
  </si>
  <si>
    <t>"IF YOU NEVER SAVE AGAIN" — on the Retirement cockpit screen</t>
  </si>
  <si>
    <t>MK-PL-F-055 projectNestEgg</t>
  </si>
  <si>
    <t>1. MK-PL-F-055 projectNestEgg
2. MK-CF-F-132 map
3. MK-PL-F-050 simulate
4. MK-PL-F-074 median
5. MK-PL-F-072 mulberry32
6. MK-XS-F-122 n
7. MK-PL-F-073 normal
8. MK-PL-F-075 pctOfSorted
9. MK-ST-F-025 rmdStartAgeFromAge
10. MK-ST-F-024 rmdStartAge
11. MK-ST-F-056 has</t>
  </si>
  <si>
    <t>1. MK-CF-F-132 map → MK-PL-F-055 projectNestEgg → MK-PL-F-056 solveRetireAge
2. MK-CF-F-132 map → MK-PL-F-050 simulate → MK-PL-F-055 projectNestEgg → MK-PL-F-056 solveRetireAge
3. MK-PL-F-074 median → MK-PL-F-050 simulate → MK-PL-F-055 projectNestEgg → MK-PL-F-056 solveRetireAge
4. MK-PL-F-072 mulberry32 → MK-PL-F-050 simulate → MK-PL-F-055 projectNestEgg → MK-PL-F-056 solveRetireAge
5. MK-XS-F-122 n → MK-PL-F-050 simulate → MK-PL-F-055 projectNestEgg → MK-PL-F-056 solveRetireAge
6. MK-PL-F-073 normal → MK-PL-F-050 simulate → MK-PL-F-055 projectNestEgg → MK-PL-F-056 solveRetireAge
7. MK-PL-F-075 pctOfSorted → MK-PL-F-050 simulate → MK-PL-F-055 projectNestEgg → MK-PL-F-056 solveRetireAge
8. MK-ST-F-056 has → MK-ST-F-024 rmdStartAge → MK-ST-F-025 rmdStartAgeFromAge → MK-PL-F-050 simulate → MK-PL-F-055 projectNestEgg → MK-PL-F-056 solveRetireAge</t>
  </si>
  <si>
    <t>MK-PL-F-057</t>
  </si>
  <si>
    <t>fullRetirementAge</t>
  </si>
  <si>
    <t>src/domain/retirement/ssTiming.ts</t>
  </si>
  <si>
    <t>Full retirement age in YEARS (fractional — 66y4m = 66.333…), from the birth year.</t>
  </si>
  <si>
    <t>full retirement age = 67                          when born 1960 or later
                      66 + (birth year − 1954) × 2 months   when born 1955-1959
                      66                          when born 1954 or earlier</t>
  </si>
  <si>
    <t>The age Social Security pays the full amount, in years and fractions of a year. Anyone born 1954 or earlier answers 66 — the published ages are 65 for 1937 and earlier and 65 plus two to ten months for 1938-1942. A missing birth year answers 67. Finding A39.</t>
  </si>
  <si>
    <t>birthYear?: number | null</t>
  </si>
  <si>
    <t>MK-PL-F-058</t>
  </si>
  <si>
    <t>ssClaimFactorFor</t>
  </si>
  <si>
    <t>SSA factor for a claim age (62–70), relative to the statement amount at the person's OWN full retirement age.</t>
  </si>
  <si>
    <t>months = round(claim age) × 12 − full retirement age × 12
factor = 1                                                   when months = 0
         1 − (first 36 early months × 5/9 of 1%)
           − (each further early month × 5/12 of 1%)          when claiming early
         1 + (each month claimed late × 2/3 of 1%)            when claiming late</t>
  </si>
  <si>
    <t>How much of the full-retirement amount is paid at the age chosen, held between 62 and 70. The SSA rates are right. But the claim age is ROUNDED TO A WHOLE YEAR before the months are counted, so claiming at 62 and six months is priced as 63 — about 3.3% of the benefit, roughly $83 a month for life on a $2,500 benefit. Finding A38.</t>
  </si>
  <si>
    <t>1. claimAge: number
2. birthYear?: number | null</t>
  </si>
  <si>
    <t>1. Turns a monthly figure into a year by multiplying by twelve.
2. Caps early at 36.
3. Rounds the answer to a whole number.</t>
  </si>
  <si>
    <t>MK-PL-F-057 fullRetirementAge</t>
  </si>
  <si>
    <t>MK-PL-F-057 fullRetirementAge → MK-PL-F-058 ssClaimFactorFor</t>
  </si>
  <si>
    <t>MK-PL-F-059</t>
  </si>
  <si>
    <t>ssClaimFactor</t>
  </si>
  <si>
    <t>The pre-table factor, anchored at 67 — unchanged behaviour for anyone born 1960+.</t>
  </si>
  <si>
    <t>ss claim factor for(claim age, nothing)</t>
  </si>
  <si>
    <t>ss claim factor for(claim age, no answer).</t>
  </si>
  <si>
    <t>claimAge: number</t>
  </si>
  <si>
    <t>MK-PL-F-058 ssClaimFactorFor</t>
  </si>
  <si>
    <t>1. MK-PL-F-058 ssClaimFactorFor
2. MK-PL-F-057 fullRetirementAge</t>
  </si>
  <si>
    <t>MK-PL-F-057 fullRetirementAge → MK-PL-F-058 ssClaimFactorFor → MK-PL-F-059 ssClaimFactor</t>
  </si>
  <si>
    <t>Monthly benefit at a claim age from the at-FRA statement amount (today's dollars, whole $).</t>
  </si>
  <si>
    <t>monthly benefit = statement amount at full retirement age × factor(claim age)</t>
  </si>
  <si>
    <t>The amount on the Social Security statement, scaled by the claim-age factor and rounded to whole dollars. In today's money — no inflation is applied here.</t>
  </si>
  <si>
    <t>1. statementMonthly: number
2. claimAge: number
3. birthYear?: number | null</t>
  </si>
  <si>
    <t>· If statement monthly is missing it counts as zero, so nothing recorded and a real zero look the same.</t>
  </si>
  <si>
    <t>MK-PL-F-061</t>
  </si>
  <si>
    <t>ssBenefitAtClaimAge</t>
  </si>
  <si>
    <t>Kept for callers not yet passing a birth year (behaves as born-1960+).</t>
  </si>
  <si>
    <t>ss benefit at(statement monthly, claim age, nothing)</t>
  </si>
  <si>
    <t>ss benefit at(statement monthly, claim age, no answer).</t>
  </si>
  <si>
    <t>1. statementMonthly: number
2. claimAge: number</t>
  </si>
  <si>
    <t>"When should I claim Social Security?" — on a card used on more than one screen (ClaimAgeRow)</t>
  </si>
  <si>
    <t>MK-PL-F-060 ssBenefitAt</t>
  </si>
  <si>
    <t>1. MK-PL-F-060 ssBenefitAt
2. MK-PL-F-058 ssClaimFactorFor
3. MK-PL-F-057 fullRetirementAge</t>
  </si>
  <si>
    <t>MK-PL-F-057 fullRetirementAge → MK-PL-F-058 ssClaimFactorFor → MK-PL-F-060 ssBenefitAt → MK-PL-F-061 ssBenefitAtClaimAge</t>
  </si>
  <si>
    <t>MK-PL-F-062</t>
  </si>
  <si>
    <t>ssLifetimeTotal</t>
  </si>
  <si>
    <t>Total collected from claim age to a live-to age the USER sets (months × monthly, today's dollars).</t>
  </si>
  <si>
    <t>months = max(0, round((live to age − claim age) × 12))
the answer = ss benefit at(statement monthly, claim age, birth year) × months</t>
  </si>
  <si>
    <t>Months is (live to age minus claim age, to a whole number times 12, never below zero). The answer is ss benefit at(statement monthly, claim age, birth year) times months.</t>
  </si>
  <si>
    <t>1. statementMonthly: number
2. claimAge: number
3. liveToAge: number
4. birthYear?: number | null</t>
  </si>
  <si>
    <t>1. Turns a monthly figure into a year by multiplying by twelve.
2. Rounds the answer to a whole number.
3. Monthly benefit × the months from the claim age to the life expectancy, in today's dollars — no cost-of-living rise and no discounting (A40). The retirement paycheck on another screen grows Social Security with inflation; this figure is the real-terms total, and the screen does not yet say so.</t>
  </si>
  <si>
    <t>MK-PL-F-057 fullRetirementAge → MK-PL-F-058 ssClaimFactorFor → MK-PL-F-060 ssBenefitAt → MK-PL-F-062 ssLifetimeTotal</t>
  </si>
  <si>
    <t>MK-PL-F-063</t>
  </si>
  <si>
    <t>fraLabel</t>
  </si>
  <si>
    <t>The FRA as words a person recognises — "67", or "66 and 4 months".</t>
  </si>
  <si>
    <t>fra = full retirement age(birth year)
years = round down(fra)
months = round((fra − years) × 12)
the answer:
string(years)   if months = 0
`${years} and ${months} months`   otherwise</t>
  </si>
  <si>
    <t>Fra is full retirement age(birth year). Years is fra, rounded down. Months is (fra minus years, to a whole number times 12). The answer is string(years) — when months = 0; `${years} and ${months} months` — otherwise.</t>
  </si>
  <si>
    <t>"We lay it out. You decide." — on the Social Security timing screen</t>
  </si>
  <si>
    <t>MK-PL-F-057 fullRetirementAge → MK-PL-F-063 fraLabel</t>
  </si>
  <si>
    <t>MK-PL-F-064</t>
  </si>
  <si>
    <t>claimWindow</t>
  </si>
  <si>
    <t>The claim window: the month the person turns 62 → the month they turn 70.</t>
  </si>
  <si>
    <t>nothing   when birth year is missing
m = birth month   if birth month and birth month ≥ 1 and birth month ≤ 12
1   otherwise
fmt = (y: number) =&gt; `${y}-${string(m).pad start(2, '0')}`
the answer:
opens = fmt(birth year + EARLIEST_CLAIM_AGE)
closes = fmt(birth year + LATEST_CREDIT_AGE)
opens year = birth year + EARLIEST_CLAIM_AGE
opens month = m</t>
  </si>
  <si>
    <t>When birth year is missing, it answers no answer. M is birth month — when birth month and birth month is at least 1 and birth month is at most 12; 1 — otherwise. Fmt is (y: number) =&gt; `${y}-${string(m).pad start(2, '0')}`. The answer is opens = fmt(birth year plus EARLIEST_CLAIM_AGE); closes = fmt(birth year plus LATEST_CREDIT_AGE); opens year = birth year plus EARLIEST_CLAIM_AGE; opens month = m.</t>
  </si>
  <si>
    <t>1. birthYear: number | null
2. birthMonth: number | null</t>
  </si>
  <si>
    <t>"Your assumption, not our prediction." — on the Social Security timing screen</t>
  </si>
  <si>
    <t>MK-PL-F-065</t>
  </si>
  <si>
    <t>volOf</t>
  </si>
  <si>
    <t>src/domain/retirement/willItLast.ts</t>
  </si>
  <si>
    <t>Same volatility convention as the cockpit: higher return ⇒ more volatility.</t>
  </si>
  <si>
    <t>hold ret × 1.7 between 0.05 and 0.2</t>
  </si>
  <si>
    <t>hold ret times 1.7 between 0.05 and 0.2</t>
  </si>
  <si>
    <t>ret: number</t>
  </si>
  <si>
    <t>· Never lets the answer fall below 5% or rise above 20%.</t>
  </si>
  <si>
    <t>1. MK-PL-F-077 clamp
2. MK-PL-F-050 simulate</t>
  </si>
  <si>
    <t>1. MK-PL-F-077 clamp
2. MK-PL-F-050 simulate
3. MK-NW-F-035 blendedVolatility
4. MK-CF-F-132 map
5. MK-PL-F-074 median
6. MK-PL-F-072 mulberry32
7. MK-XS-F-122 n
8. MK-PL-F-073 normal
9. MK-PL-F-075 pctOfSorted
10. MK-ST-F-025 rmdStartAgeFromAge
11. MK-CF-F-155 cash
12. MK-NW-F-032 earmarkedAmount
13. MK-NW-F-031 primaryCarIdOf
14. MK-ST-F-024 rmdStartAge
15. MK-NW-F-030 earmarkDefault
16. MK-NW-F-011 assetClassOf
17. MK-ST-F-056 has
18. MK-NW-F-013 realEstateUseOf
19. MK-NW-F-008 incomeBearingClassOf
20. MK-ST-F-010 nameEvidence
21. MK-XS-F-147 call
22. MK-ST-F-027 accountId
23. MK-XS-F-064 currentIdToken
24. MK-XS-F-112 relayUrl</t>
  </si>
  <si>
    <t>1. MK-XS-F-122 n → MK-CF-F-155 cash → MK-NW-F-035 blendedVolatility → MK-PL-F-077 clamp → MK-PL-F-065 volOf
2. MK-NW-F-011 assetClassOf → MK-NW-F-030 earmarkDefault → MK-NW-F-032 earmarkedAmount → MK-NW-F-035 blendedVolatility → MK-PL-F-077 clamp → MK-PL-F-065 volOf
3. MK-NW-F-013 realEstateUseOf → MK-NW-F-030 earmarkDefault → MK-NW-F-032 earmarkedAmount → MK-NW-F-035 blendedVolatility → MK-PL-F-077 clamp → MK-PL-F-065 volOf
4. MK-NW-F-008 incomeBearingClassOf → MK-NW-F-011 assetClassOf → MK-NW-F-031 primaryCarIdOf → MK-NW-F-035 blendedVolatility → MK-PL-F-077 clamp → MK-PL-F-065 volOf
5. MK-CF-F-132 map → MK-PL-F-050 simulate → MK-PL-F-065 volOf
6. MK-PL-F-074 median → MK-PL-F-050 simulate → MK-PL-F-065 volOf
7. MK-PL-F-072 mulberry32 → MK-PL-F-050 simulate → MK-PL-F-065 volOf
8. MK-XS-F-122 n → MK-PL-F-050 simulate → MK-PL-F-065 volOf
9. … and 3 more paths</t>
  </si>
  <si>
    <t>MK-PL-F-066</t>
  </si>
  <si>
    <t>displayOdds</t>
  </si>
  <si>
    <t>B6 (founder brief 2026-08-20): the odds a person sees, to the nearest 5 — with one honesty guard at each end: 100 means "every simulated future worked" and 0 means "none did", and neither claim may be minted by rounding.</t>
  </si>
  <si>
    <t>min(100, max(0, round(chance, 6 dp)))</t>
  </si>
  <si>
    <t>the smaller of 100 and chance, to 6 decimal places, never below zero.</t>
  </si>
  <si>
    <t>chance: number</t>
  </si>
  <si>
    <t>"Claim at age" — on the Retirement cockpit screen</t>
  </si>
  <si>
    <t>op = op (or none when missing)
a = assumptions (or none when missing)
age = age attained in year(num or zero(op.birth year) or nothing)
nothing   when age = nothing
nest egg = retirement earmarked value(accounts)
bequest = num or zero(op.legacy target)
spendable egg = max(0, nest egg − bequest)
bench blended = blended return(accounts)
actual blended = portfolio actual return(accounts)
return basis = A.return basis (or 'benchmark' when missing)
scenario return = A.expected return (or bench blended when missing)
… the first steps only — the rest of the body needs reading by hand.</t>
  </si>
  <si>
    <t>Op is op (or none — when missing). A is assumptions (or none — when missing). Age is age attained in year(num or zero(op.birth year) or no answer). When age is missing, it answers no answer. Nest egg is retirement earmarked value(accounts). Bequest is num or zero(op.legacy target). Spendable egg is nest egg minus bequest, never below zero. Bench blended is blended return(accounts). Actual blended is portfolio actual return(accounts). Return basis is A.return basis (or 'benchmark' — when missing). Scenario return is A.expected return (or bench blended — when missing). Only the first steps are shown; the rest of the body needs reading by hand.</t>
  </si>
  <si>
    <t>a: WillItLastArgs</t>
  </si>
  <si>
    <t>RetirementInputs | null</t>
  </si>
  <si>
    <t>1. If social security claim age is missing it uses 67.
2. If monthly is missing it uses 0.
3. If salary growth is missing it uses 0.
4. Turns a monthly figure into a year by multiplying by twelve.
5. Uses today's date from the device clock, so the answer changes by itself overnight.
6. Rounds the answer to a whole number.
7. The current age is birthday-aware when the birth month is known, else the year-attained age (G9, 2026-09-12).
8. Inflation: the percent figure entered (2.5) is divided by 100 before use — 0.025 a year (G5). The effective tax rate on pre-tax withdrawals is the person's own, from filing status and income (income floored at $30,000), clamped between 10% and 60% (G7 / G35).</t>
  </si>
  <si>
    <t>1. MK-CF-F-197 ageAttainedInYear
2. MK-XS-F-179 ageToday
3. MK-NW-F-037 blendedReturn
4. MK-NW-F-035 blendedVolatility
5. MK-CF-F-102 effectiveRateOnGrossFor
6. MK-CF-F-085 filingStatusOf
7. MK-CF-F-076 guaranteedOutsideStreams
8. MK-PL-F-083 inflationRateInForce
9. MK-CF-F-132 map
10. MK-NW-F-041 monthlyContributionsFromOnboarding
11. MK-PL-F-079 numOrZero
12. MK-CF-F-089 over65CountOf
13. MK-NW-F-004 portfolioActualReturn
14. MK-NW-F-033 retirementEarmarkedValue
15. MK-PL-F-049 retirementSpendMonthly
16. MK-PL-F-060 ssBenefitAt
17. MK-CF-F-086 stateRateOf
18. MK-PL-F-001 taxBucketSplit
19. MK-CF-F-083 totalGrossAnnual
20. MK-PL-F-065 volOf</t>
  </si>
  <si>
    <t>1. MK-CF-F-197 ageAttainedInYear
2. MK-XS-F-179 ageToday
3. MK-NW-F-037 blendedReturn
4. MK-NW-F-035 blendedVolatility
5. MK-CF-F-102 effectiveRateOnGrossFor
6. MK-CF-F-085 filingStatusOf
7. MK-CF-F-076 guaranteedOutsideStreams
8. MK-PL-F-083 inflationRateInForce
9. MK-CF-F-132 map
10. MK-NW-F-041 monthlyContributionsFromOnboarding
11. MK-PL-F-079 numOrZero
12. MK-CF-F-089 over65CountOf
13. MK-NW-F-004 portfolioActualReturn
14. MK-NW-F-033 retirementEarmarkedValue
15. MK-PL-F-049 retirementSpendMonthly
16. MK-PL-F-060 ssBenefitAt
17. MK-CF-F-086 stateRateOf
18. MK-PL-F-001 taxBucketSplit
19. MK-CF-F-083 totalGrossAnnual
20. MK-PL-F-065 volOf
21. MK-XS-F-017 currentAge
22. MK-NW-F-034 benchmarkReturn
23. MK-NW-F-032 earmarkedAmount
24. MK-NW-F-031 primaryCarIdOf
25. MK-CF-F-155 cash
26. MK-CF-F-101 taxOwedFor
27. MK-ST-F-052 toNum
28. MK-CF-F-078 employerMatchMonthly
29. MK-XS-F-122 n
30. MK-PL-F-047 colFactor
31. MK-PL-F-058 ssClaimFactorFor
32. MK-CF-F-072 currentRetirementIncomeMonthly
33. MK-CF-F-071 extraIncome
34. MK-CF-F-068 rentalNetAnnual
35. MK-CF-F-066 rsuAnnual
36. MK-CF-F-082 salaryAnnual
37. MK-CF-F-074 tipsAnnual
38. MK-PL-F-077 clamp
39. MK-PL-F-050 simulate
40. MK-NW-F-007 assetKind
41. MK-NW-F-030 earmarkDefault
42. MK-NW-F-011 assetClassOf
43. MK-CF-F-100 taxableIncomeFor
44. MK-CF-F-175 sumOverEarners
45. MK-CF-F-178 wageMatchMonthly
46. MK-PL-F-057 fullRetirementAge
47. MK-CF-F-075 retirementIncomeMonthly
48. MK-CF-F-070 benefitAnnual
49. MK-ST-F-039 on
50. MK-CF-F-067 rentalList
51. MK-CF-F-062 equityRowValue
52. MK-CF-F-063 rowVestYear
53. MK-CF-F-060 salaryGrossByMonth
54. MK-CF-F-081 salaryActiveMonths
55. MK-PL-F-074 median
56. MK-PL-F-072 mulberry32
57. MK-PL-F-073 normal
58. MK-PL-F-075 pctOfSorted
59. MK-ST-F-025 rmdStartAgeFromAge
60. MK-NW-F-013 realEstateUseOf
61. MK-NW-F-008 incomeBearingClassOf
62. MK-CF-F-099 deductionFor
63. MK-CF-F-173 earnerWages
64. MK-CF-F-069 benefitActiveMonths
65. MK-CF-F-176 sumMonthsOverEarners
66. MK-CF-F-177 wageGrossByMonth
67. MK-ST-F-024 rmdStartAge
68. MK-ST-F-010 nameEvidence
69. MK-CF-F-187 seniorDeductionFor
70. MK-CF-F-172 hasWage
71. MK-CF-F-130 enteredMonthlyRaw
72. MK-CF-F-166 hasMonthlySalaryTable
73. MK-ST-F-036 reconcile
74. MK-CF-F-167 salaryCalendarYear
75. MK-ST-F-056 has
76. MK-XS-F-147 call
77. MK-CF-F-165 salaryMonths
78. MK-ST-F-027 accountId
79. MK-XS-F-064 currentIdToken
80. MK-XS-F-112 relayUrl</t>
  </si>
  <si>
    <t>TESTED, NOT VERIFIED (G5, G7, G9)</t>
  </si>
  <si>
    <t>MK-PL-F-068</t>
  </si>
  <si>
    <t>The one will-it-last read.</t>
  </si>
  <si>
    <t>op = op (or none when missing)
inputs = will it last inputs(a)
nest egg = retirement earmarked value(accounts)
spend known = (retirement spend monthly(op) or num or zero(op.monthly expenses)) &gt; 0 (or (assumptions.spend monthly ?? nothing) ≠ nothing when missing or zero)
captured = inputs ≠ nothing and spend known and nest egg &gt; 0
the answer:
captured = false
chance = nothing
chance exact = nothing
band = nothing
horizon age = inputs.horizon age (or num or zero(op.horizon age) (or 90 when missing or zero) when missing)
inputs = inputs
sim = simulate(with band ? { ...inputs, with band: true } : inputs) as any
exact = sim.chance of success as number</t>
  </si>
  <si>
    <t>Op is op (or none — when missing). Inputs is will it last inputs(a). Nest egg is retirement earmarked value(accounts). Spend known is (retirement spend monthly(op) or num or zero(op.monthly expenses)) &gt; 0 (or (assumptions.spend monthly ?? no answer) is not no answer — when missing or zero). Captured is inputs is not no answer and spend known and nest egg &gt; 0. The answer is captured = false; chance is missing; chance exact is missing; band is missing; horizon age = inputs.horizon age (or num or zero(op.horizon age) (or 90 — when missing or zero) — when missing); inputs = inputs. Sim is simulate(with band ? { ...inputs, with band: true } : inputs) as any. Exact is sim.chance of success as number.</t>
  </si>
  <si>
    <t>WillItLastResult</t>
  </si>
  <si>
    <t>"Draw from savings" — on the Cash flow screen, under "YOUR FUTURE PAYCHECK"</t>
  </si>
  <si>
    <t>1. MK-PL-F-066 displayOdds
2. MK-PL-F-079 numOrZero
3. MK-NW-F-033 retirementEarmarkedValue
4. MK-PL-F-049 retirementSpendMonthly
5. MK-PL-F-050 simulate
6. MK-PL-F-067 willItLastInputs</t>
  </si>
  <si>
    <t>1. MK-PL-F-066 displayOdds
2. MK-PL-F-079 numOrZero
3. MK-NW-F-033 retirementEarmarkedValue
4. MK-PL-F-049 retirementSpendMonthly
5. MK-PL-F-050 simulate
6. MK-PL-F-067 willItLastInputs
7. MK-XS-F-122 n
8. MK-NW-F-032 earmarkedAmount
9. MK-NW-F-031 primaryCarIdOf
10. MK-PL-F-047 colFactor
11. MK-PL-F-001 taxBucketSplit
12. MK-ST-F-052 toNum
13. MK-CF-F-132 map
14. MK-PL-F-074 median
15. MK-PL-F-072 mulberry32
16. MK-PL-F-073 normal
17. MK-PL-F-075 pctOfSorted
18. MK-ST-F-025 rmdStartAgeFromAge
19. MK-CF-F-197 ageAttainedInYear
20. MK-XS-F-179 ageToday
21. MK-NW-F-037 blendedReturn
22. MK-NW-F-035 blendedVolatility
23. MK-CF-F-102 effectiveRateOnGrossFor
24. MK-CF-F-085 filingStatusOf
25. MK-CF-F-076 guaranteedOutsideStreams
26. MK-PL-F-083 inflationRateInForce
27. MK-NW-F-041 monthlyContributionsFromOnboarding
28. MK-CF-F-089 over65CountOf
29. MK-NW-F-004 portfolioActualReturn
30. MK-PL-F-060 ssBenefitAt
31. MK-CF-F-086 stateRateOf
32. MK-CF-F-083 totalGrossAnnual
33. MK-PL-F-065 volOf
34. MK-NW-F-030 earmarkDefault
35. MK-NW-F-011 assetClassOf
36. MK-ST-F-024 rmdStartAge
37. MK-XS-F-017 currentAge
38. MK-NW-F-034 benchmarkReturn
39. MK-CF-F-155 cash
40. MK-CF-F-101 taxOwedFor
41. MK-CF-F-078 employerMatchMonthly
42. MK-PL-F-058 ssClaimFactorFor
43. MK-CF-F-072 currentRetirementIncomeMonthly
44. MK-CF-F-071 extraIncome
45. MK-CF-F-068 rentalNetAnnual
46. MK-CF-F-066 rsuAnnual
47. MK-CF-F-082 salaryAnnual
48. MK-CF-F-074 tipsAnnual
49. MK-PL-F-077 clamp
50. MK-NW-F-013 realEstateUseOf
51. MK-NW-F-008 incomeBearingClassOf
52. MK-ST-F-056 has
53. MK-NW-F-007 assetKind
54. MK-CF-F-100 taxableIncomeFor
55. MK-CF-F-175 sumOverEarners
56. MK-CF-F-178 wageMatchMonthly
57. MK-PL-F-057 fullRetirementAge
58. MK-CF-F-075 retirementIncomeMonthly
59. MK-CF-F-070 benefitAnnual
60. MK-ST-F-039 on
61. MK-CF-F-067 rentalList
62. MK-CF-F-062 equityRowValue
63. MK-CF-F-063 rowVestYear
64. MK-CF-F-060 salaryGrossByMonth
65. MK-CF-F-081 salaryActiveMonths
66. MK-ST-F-010 nameEvidence
67. MK-CF-F-099 deductionFor
68. MK-CF-F-173 earnerWages
69. MK-CF-F-069 benefitActiveMonths
70. MK-CF-F-176 sumMonthsOverEarners
71. MK-CF-F-177 wageGrossByMonth
72. MK-XS-F-147 call
73. MK-CF-F-187 seniorDeductionFor
74. MK-CF-F-172 hasWage
75. MK-CF-F-130 enteredMonthlyRaw
76. MK-CF-F-166 hasMonthlySalaryTable
77. MK-ST-F-036 reconcile
78. MK-CF-F-167 salaryCalendarYear
79. MK-ST-F-027 accountId
80. MK-XS-F-064 currentIdToken
81. MK-XS-F-112 relayUrl
82. MK-CF-F-165 salaryMonths</t>
  </si>
  <si>
    <t>MK-PL-F-069</t>
  </si>
  <si>
    <t>oddsAt</t>
  </si>
  <si>
    <t>the answer = simulate({ …base, retire monthly spend today: monthly spend }).chance of success</t>
  </si>
  <si>
    <t>The odds the money lasts when the monthly expenses in retirement are set to a given figure — one full run of the simulation (MK-PL-F-050) with that one input changed.</t>
  </si>
  <si>
    <t>1. base: RetirementInputs
2. monthlySpend: number</t>
  </si>
  <si>
    <t>1. MK-CF-F-132 map → MK-PL-F-050 simulate → MK-PL-F-069 oddsAt
2. MK-PL-F-074 median → MK-PL-F-050 simulate → MK-PL-F-069 oddsAt
3. MK-PL-F-072 mulberry32 → MK-PL-F-050 simulate → MK-PL-F-069 oddsAt
4. MK-XS-F-122 n → MK-PL-F-050 simulate → MK-PL-F-069 oddsAt
5. MK-PL-F-073 normal → MK-PL-F-050 simulate → MK-PL-F-069 oddsAt
6. MK-PL-F-075 pctOfSorted → MK-PL-F-050 simulate → MK-PL-F-069 oddsAt
7. MK-ST-F-056 has → MK-ST-F-024 rmdStartAge → MK-ST-F-025 rmdStartAgeFromAge → MK-PL-F-050 simulate → MK-PL-F-069 oddsAt</t>
  </si>
  <si>
    <t>MK-PL-F-070</t>
  </si>
  <si>
    <t>smallestThatWorks</t>
  </si>
  <si>
    <t>Smallest x in [lo, hi] where reaching(x) is true, to `tol`.</t>
  </si>
  <si>
    <t>lo   when works(lo)
nothing   when !works(hi)
a = lo, b = hi
mid = (a + b) ÷ 2
the answer = b</t>
  </si>
  <si>
    <t>When works(lo), it answers lo. When !works(hi), it answers no answer. A is lo, b = hi. Mid is (a plus b) divided by 2. The answer is b.</t>
  </si>
  <si>
    <t>1. lo: number
2. hi: number
3. tol: number
4. works: (x: number) =&gt; boolean</t>
  </si>
  <si>
    <t>MK-PL-F-071</t>
  </si>
  <si>
    <t>oddsOf</t>
  </si>
  <si>
    <t>simulate(inp).chance of success</t>
  </si>
  <si>
    <t>1. MK-CF-F-132 map → MK-PL-F-050 simulate → MK-PL-F-071 oddsOf
2. MK-PL-F-074 median → MK-PL-F-050 simulate → MK-PL-F-071 oddsOf
3. MK-PL-F-072 mulberry32 → MK-PL-F-050 simulate → MK-PL-F-071 oddsOf
4. MK-XS-F-122 n → MK-PL-F-050 simulate → MK-PL-F-071 oddsOf
5. MK-PL-F-073 normal → MK-PL-F-050 simulate → MK-PL-F-071 oddsOf
6. MK-PL-F-075 pctOfSorted → MK-PL-F-050 simulate → MK-PL-F-071 oddsOf
7. MK-ST-F-056 has → MK-ST-F-024 rmdStartAge → MK-ST-F-025 rmdStartAgeFromAge → MK-PL-F-050 simulate → MK-PL-F-071 oddsOf</t>
  </si>
  <si>
    <t>MK-PL-F-072</t>
  </si>
  <si>
    <t>mulberry32</t>
  </si>
  <si>
    <t>deterministic RNG so results/tests are reproducible</t>
  </si>
  <si>
    <t>t = seed += 0x6d2b79f5
the answer = ((t ^ (t &gt;&gt;&gt; 14)) &gt;&gt;&gt; 0) ÷ 4294967296</t>
  </si>
  <si>
    <t>T is seed += 0x6d2b79f5. The answer is ((t ^ (t &gt;&gt;&gt; 14)) &gt;&gt;&gt; 0) divided by 4294967296.</t>
  </si>
  <si>
    <t>seed: number</t>
  </si>
  <si>
    <t>MK-PL-F-073</t>
  </si>
  <si>
    <t>normal</t>
  </si>
  <si>
    <t>u = 0, v = 0
[LOOP — the answer is found inside a loop the extractor cannot render; the steps above are the ones before it. Read by hand.]</t>
  </si>
  <si>
    <t>U is 0, v = 0. The answer is mean plus sd times √(-2 times math.log(u)) times math.cos(2 times math.PI times v). The answer is found inside a loop that cannot be rendered here; read the code by hand.</t>
  </si>
  <si>
    <t>rng: () =&gt; number, mean: number, sd: number</t>
  </si>
  <si>
    <t>MK-PL-F-074</t>
  </si>
  <si>
    <t>median</t>
  </si>
  <si>
    <t>src/domain/_shared/num.ts</t>
  </si>
  <si>
    <t>The middle value of a list, 0 when it is empty.</t>
  </si>
  <si>
    <t>0   when count of xs is missing
s = [...xs].sort((a, b) =&gt; a − b)
m = round down(length ÷ 2)
the answer:
s[m]   if length % 2
(s[m − 1] + s[m]) ÷ 2   otherwise</t>
  </si>
  <si>
    <t>When how many xs is missing there are, it answers 0. S is [...xs].sort((a, b) =&gt; a minus b). M is length divided by 2, rounded down. The answer is s[m] — when length % 2; (s[m minus 1] plus s[m]) divided by 2 — otherwise.</t>
  </si>
  <si>
    <t>xs: number[]</t>
  </si>
  <si>
    <t>MK-PL-F-075</t>
  </si>
  <si>
    <t>pctOfSorted</t>
  </si>
  <si>
    <t>p in [0,1] over a pre-sorted ascending array (nearest-rank)</t>
  </si>
  <si>
    <t>0   when count of sorted is missing
idx = min(sorted.length − 1, max(0, round(p × (sorted.length − 1))))
the answer = sorted[idx]</t>
  </si>
  <si>
    <t>When how many sorted is missing there are, it answers 0. Idx: the smaller of sorted.length minus 1 and p times (sorted.length minus 1, to a whole number, never below zero). The answer is sorted[idx].</t>
  </si>
  <si>
    <t>1. sorted: number[]
2. p: number</t>
  </si>
  <si>
    <t>MK-PL-F-077</t>
  </si>
  <si>
    <t>clamp</t>
  </si>
  <si>
    <t>max(lo, min(hi, v))</t>
  </si>
  <si>
    <t>the larger of lo and the smaller of hi and v</t>
  </si>
  <si>
    <t>1. v: number
2. lo: number
3. hi: number</t>
  </si>
  <si>
    <t>1. "Claim at age" — on the Retirement cockpit screen
2. "Save" — on the Retirement cockpit screen
3. "Test retiring earlier, saving more, market ups &amp; downs." — on the Retirement cockpit screen
4. "What counts toward retirement?" — on the Retirement cockpit screen</t>
  </si>
  <si>
    <t>MK-NW-F-035 blendedVolatility</t>
  </si>
  <si>
    <t>1. MK-NW-F-035 blendedVolatility
2. MK-CF-F-155 cash
3. MK-NW-F-032 earmarkedAmount
4. MK-NW-F-031 primaryCarIdOf
5. MK-XS-F-122 n
6. MK-NW-F-030 earmarkDefault
7. MK-NW-F-011 assetClassOf
8. MK-NW-F-013 realEstateUseOf
9. MK-NW-F-008 incomeBearingClassOf
10. MK-ST-F-010 nameEvidence
11. MK-XS-F-147 call
12. MK-ST-F-056 has
13. MK-CF-F-132 map
14. MK-ST-F-027 accountId
15. MK-XS-F-064 currentIdToken
16. MK-XS-F-112 relayUrl</t>
  </si>
  <si>
    <t>1. MK-XS-F-122 n → MK-CF-F-155 cash → MK-NW-F-035 blendedVolatility → MK-PL-F-077 clamp
2. MK-NW-F-008 incomeBearingClassOf → MK-NW-F-011 assetClassOf → MK-NW-F-030 earmarkDefault → MK-NW-F-032 earmarkedAmount → MK-NW-F-035 blendedVolatility → MK-PL-F-077 clamp
3. MK-NW-F-013 realEstateUseOf → MK-NW-F-030 earmarkDefault → MK-NW-F-032 earmarkedAmount → MK-NW-F-035 blendedVolatility → MK-PL-F-077 clamp
4. MK-CF-F-155 cash → MK-NW-F-008 incomeBearingClassOf → MK-NW-F-011 assetClassOf → MK-NW-F-031 primaryCarIdOf → MK-NW-F-035 blendedVolatility → MK-PL-F-077 clamp
5. MK-ST-F-010 nameEvidence → MK-NW-F-008 incomeBearingClassOf → MK-NW-F-011 assetClassOf → MK-NW-F-031 primaryCarIdOf → MK-NW-F-035 blendedVolatility → MK-PL-F-077 clamp</t>
  </si>
  <si>
    <t>MK-PL-F-078</t>
  </si>
  <si>
    <t>rmdDivisorAtAge</t>
  </si>
  <si>
    <t>table rmd divisor(age, now year − age)</t>
  </si>
  <si>
    <t>table rmd divisor(age, now year minus age).</t>
  </si>
  <si>
    <t>1. age: number
2. nowYear = new Date().getFullYear()</t>
  </si>
  <si>
    <t>"Suggested withdrawal order" — on the Retirement cockpit screen</t>
  </si>
  <si>
    <t>MK-PL-F-079</t>
  </si>
  <si>
    <t>numOrZero</t>
  </si>
  <si>
    <t>n = the number in the text after every character but digits and the decimal point is removed
the answer = 0 when that is not a number, else n</t>
  </si>
  <si>
    <t>Reads a typed amount as a number — strips dollar signs, commas and spaces — and gives 0 when nothing numeric is left.</t>
  </si>
  <si>
    <t>v: any</t>
  </si>
  <si>
    <t>n; };</t>
  </si>
  <si>
    <t>MK-XS-F-122 n → MK-PL-F-079 numOrZero</t>
  </si>
  <si>
    <t>What must be taken out this year, and which balance is it based on?</t>
  </si>
  <si>
    <t>balance used = the pre-tax balance on 31 December last year, when the person entered one (&gt; 0); otherwise today's pre-tax balance
amount = rmd at age(balance used, age)
basis = 'prior_year_end' or 'today' — so the screen can say which</t>
  </si>
  <si>
    <t>If the person has entered last 31 December's pre-tax balance, the required amount is that balance divided by the life-expectancy factor for their age. If not, today's balance is used instead, and the answer carries a flag saying so, which the screen prints.</t>
  </si>
  <si>
    <t>1. preTaxToday: number
2. priorYearEndPreTax: number | null | undefined
3. age: number</t>
  </si>
  <si>
    <t>RmdThisYear</t>
  </si>
  <si>
    <t>1. If pre tax today is missing it counts as zero, so nothing recorded and a real zero look the same.
2. The law bases the year's required withdrawal on the prior 31 December balance (Treas. Reg. §1.401(a)(9)-5); when that balance is not entered, today's balance stands in and the screen says so — founder ruling 2026-09-08 (second verification G8).</t>
  </si>
  <si>
    <t>MK-PL-F-007 rmdAtAge</t>
  </si>
  <si>
    <t>1. MK-PL-F-007 rmdAtAge
2. MK-PL-F-078 rmdDivisorAtAge</t>
  </si>
  <si>
    <t>MK-PL-F-078 rmdDivisorAtAge → MK-PL-F-007 rmdAtAge → MK-PL-F-080 rmdRequiredThisYear</t>
  </si>
  <si>
    <t>TESTED, NOT VERIFIED (G8)</t>
  </si>
  <si>
    <t>MK-PL-F-081</t>
  </si>
  <si>
    <t>taxableGainShare</t>
  </si>
  <si>
    <t>What share of the person's taxable holdings is unrealised gain?</t>
  </si>
  <si>
    <t>over every holding in a TAXABLE account that has a price (the broker's mark, else the price feed): value += market value(holding, price) · basis += cost basis(holding)
nothing   when value ≤ 0 (no priced taxable holding)
the answer = min(1, max(0, (value − basis) ÷ value))</t>
  </si>
  <si>
    <t>Add up what the taxable holdings are worth today and what was paid for them; the gain share is the difference as a fraction of today's value, never below zero and never above one. With no priced taxable holding there is no answer.</t>
  </si>
  <si>
    <t>1. accounts: AssetAccount[]
2. priceOf: (ticker: string) =&gt; number | null</t>
  </si>
  <si>
    <t>1. A holding with no price is left out; no priced taxable holding at all → nothing, never a guessed 50% (founder ruling 2026-09-08, G6).
2. A loss overall counts as a 0% gain share (no tax on drawing at a loss), never negative.</t>
  </si>
  <si>
    <t>1. MK-PF-F-031 contractMultiplier → MK-PF-F-002 costBasis → MK-PL-F-081 taxableGainShare
2. MK-PF-F-031 contractMultiplier → MK-PF-F-004 marketValue → MK-PL-F-081 taxableGainShare
3. MK-PF-F-001 totalShares → MK-PF-F-004 marketValue → MK-PL-F-081 taxableGainShare</t>
  </si>
  <si>
    <t>MK-PL-F-082</t>
  </si>
  <si>
    <t>taxableIncomeSteps</t>
  </si>
  <si>
    <t>From everything earned to what is actually taxed — the four lines a return shows (founder ruling brief Q-46 (2026-08-20), 2026-09-08).</t>
  </si>
  <si>
    <t>gross income = Σ of the organizer's income lines of a taxable type
401(k) contribution = household pre-tax contributions annual(op)
standard deduction = deduction for(filing status, people 65+, gross − 401(k))   — base figure + 65+ add-on + senior deduction
taxable income = max(0, gross income − 401(k) contribution − standard deduction)</t>
  </si>
  <si>
    <t>Add up every income line of a taxable type; take off the household's pre-tax 401(k) contributions; take off the standard deduction for the filing status, the number of people 65 or older and the income; what is left is taxable income, never below zero. The deduction line says when it includes the 65+ add-on and the senior deduction.</t>
  </si>
  <si>
    <t>1. op: OnboardingProfile | null
2. grossIncome: number</t>
  </si>
  <si>
    <t>TaxableIncomeSteps</t>
  </si>
  <si>
    <t>1. Never lets over65 fall below 0.
2. Founder ruling brief Q-46 (2026-08-20) (2026-09-08): the organizer shows gross income, the 401(k) contribution, the standard deduction and taxable income — not one unexplained total.
3. The senior deduction phases out on gross income less the 401(k) contribution (the nearest figure the app holds to modified adjusted gross income).
4. Only pre-tax 401(k) contributions come off; a Roth contribution does not reduce taxable income.</t>
  </si>
  <si>
    <t>1. MK-CF-F-099 deductionFor
2. MK-CF-F-085 filingStatusOf
3. MK-CF-F-188 householdPreTaxContributionsAnnual
4. MK-ST-F-039 on
5. MK-CF-F-089 over65CountOf
6. MK-CF-F-187 seniorDeductionFor</t>
  </si>
  <si>
    <t>1. MK-CF-F-099 deductionFor
2. MK-CF-F-085 filingStatusOf
3. MK-CF-F-188 householdPreTaxContributionsAnnual
4. MK-ST-F-039 on
5. MK-CF-F-089 over65CountOf
6. MK-CF-F-187 seniorDeductionFor
7. MK-CF-F-175 sumOverEarners
8. MK-ST-F-052 toNum
9. MK-CF-F-173 earnerWages
10. MK-XS-F-122 n
11. MK-CF-F-172 hasWage
12. MK-ST-F-056 has</t>
  </si>
  <si>
    <t>1. MK-CF-F-187 seniorDeductionFor → MK-CF-F-099 deductionFor → MK-PL-F-082 taxableIncomeSteps
2. MK-CF-F-085 filingStatusOf → MK-PL-F-082 taxableIncomeSteps
3. MK-ST-F-056 has → MK-CF-F-172 hasWage → MK-CF-F-173 earnerWages → MK-CF-F-175 sumOverEarners → MK-CF-F-188 householdPreTaxContributionsAnnual → MK-PL-F-082 taxableIncomeSteps
4. MK-XS-F-122 n → MK-ST-F-052 toNum → MK-CF-F-188 householdPreTaxContributionsAnnual → MK-PL-F-082 taxableIncomeSteps
5. MK-ST-F-039 on → MK-PL-F-082 taxableIncomeSteps
6. MK-XS-F-122 n → MK-ST-F-052 toNum → MK-CF-F-089 over65CountOf → MK-PL-F-082 taxableIncomeSteps
7. MK-CF-F-187 seniorDeductionFor → MK-PL-F-082 taxableIncomeSteps</t>
  </si>
  <si>
    <t>inflationRateInForce</t>
  </si>
  <si>
    <t>src/domain/retirement/inflation.ts</t>
  </si>
  <si>
    <t>The inflation rate a plan runs on, and where it came from.</t>
  </si>
  <si>
    <t>entered = the person's own rate from the cockpit, when set
the answer = { rate: entered, basis 'entered', label 'you entered' }   when entered exists
             { rate: 2.5%, basis 'default', label '2.5% — the 30-year average of consumer prices (Bureau of Labor Statistics, 1996–2025)' }   otherwise</t>
  </si>
  <si>
    <t>The person's own inflation rate when they set one on the cockpit; otherwise the dated default — 2.5% a year, the 30-year average of consumer prices — with its source, so the screen can say where the figure came from.</t>
  </si>
  <si>
    <t>entered: number | null | undefined</t>
  </si>
  <si>
    <t>InflationInForce</t>
  </si>
  <si>
    <t>· Founder ruling brief Q-50 (2026-08-20), executed 2026-09-08 (G30): the default is the dated 30-year average — 2.5% a year, Bureau of Labor Statistics CPI-U 1996–2025, checked 2026-09-08 — never a live feed; the person's own rate outranks it.</t>
  </si>
  <si>
    <t>TESTED, NOT VERIFIED (Brief D7 — inflation lever, G30)</t>
  </si>
  <si>
    <t>MK-ST-F-001</t>
  </si>
  <si>
    <t>looksFixedIncome</t>
  </si>
  <si>
    <t>Calculation Module code/engines/classify.ts</t>
  </si>
  <si>
    <t>Fixed income by its words.</t>
  </si>
  <si>
    <t>t = text.to upper case()
true   when ÷ \b(CD|CERTIFICATE OF DEPOSIT|T-?BILL|TREASURY BILLS?|TREAS BILLS?|TREASURY NOTE|TREAS NOTE|TREASURY BOND|TREAS |DEBENTURE|MUNI|ZERO CPN)\b ÷ .test(t)
true   when ÷ \b bds\b|\b bond\b|\b notes?\b ÷ .test(t) and ! ÷ \b noted\b ÷ .test(t)
true   when ÷ \b bd\b\s × (INDEX|FD|FUND) ÷ .test(t)
true   when ÷ \d(\.\d+)?\s × %. × \b(20\d\d|DUE|MTD)\b ÷ .test(t)
true   when ÷ \b cpn\b\s × [\d.] ÷ .test(t)
the answer = false</t>
  </si>
  <si>
    <t>T is text.to upper case(). When ÷ \b(CD|CERTIFICATE OF DEPOSIT|T-?BILL|TREASURY BILLS?|TREAS BILLS?|TREASURY NOTE|TREAS NOTE|TREASURY BOND|TREAS |DEBENTURE|MUNI|ZERO CPN)\b divided by .test(t), it answers true. When ÷ \b bds\b|\b bond\b|\b notes?\b divided by .test(t) and ! divided by \b noted\b divided by .test(t), it answers true. When ÷ \b bd\b\s times (INDEX|FD|FUND) divided by .test(t), it answers true. When ÷ \d(\.\d+)?\s times %. times \b(20\d\d|DUE|MTD)\b divided by .test(t), it answers true. When ÷ \b cpn\b\s times [\d.] divided by .test(t), it answers true. The answer is false.</t>
  </si>
  <si>
    <t>text: string</t>
  </si>
  <si>
    <t>MK-ST-F-002</t>
  </si>
  <si>
    <t>monthWords</t>
  </si>
  <si>
    <t>Calculation Module code/engines/coverage.ts</t>
  </si>
  <si>
    <t>"March 2022" — a month a person reads, not a date stamp.</t>
  </si>
  <si>
    <t>''   when iso is missing
`${MONTHS[m − 1]} ${y}`   if m
string(y)   otherwise</t>
  </si>
  <si>
    <t>When iso is missing, it answers ''. `${MONTHS[m minus 1]} ${y}` — when m; string(y) — otherwise.</t>
  </si>
  <si>
    <t>iso: string | null</t>
  </si>
  <si>
    <t>MK-CF-F-132 map → MK-ST-F-002 monthWords</t>
  </si>
  <si>
    <t>MK-ST-F-003</t>
  </si>
  <si>
    <t>dayWords</t>
  </si>
  <si>
    <t>"14 March 2022".</t>
  </si>
  <si>
    <t>''   when iso is missing
`${d} ${MONTHS[m − 1]} ${y}`   if m and d
month words(iso)   otherwise</t>
  </si>
  <si>
    <t>When iso is missing, it answers ''. `${d} ${MONTHS[m minus 1]} ${y}` — when m and d; month words(iso) — otherwise.</t>
  </si>
  <si>
    <t>1. MK-CF-F-132 map
2. MK-ST-F-002 monthWords</t>
  </si>
  <si>
    <t>1. MK-CF-F-132 map → MK-ST-F-003 dayWords
2. MK-CF-F-132 map → MK-ST-F-002 monthWords → MK-ST-F-003 dayWords</t>
  </si>
  <si>
    <t>MK-ST-F-004</t>
  </si>
  <si>
    <t>coverageFor</t>
  </si>
  <si>
    <t>What can we honestly say about a window starting on `from`?</t>
  </si>
  <si>
    <t>start = first date(days)
daily cut = the date today
daily from = the first 10) ? start : daily cut.to isostring().slice(0, 10 of start &gt; daily cut.to isostring()   if start
nothing   otherwise
the answer:
from = start
daily from = daily from
covers = true
measured from = from
sentence = ''
has monthly only = daily from ≠ nothing and start &lt; daily from</t>
  </si>
  <si>
    <t>Start is first date(days). Daily cut: the date today. Daily from: the first 10) ? start : daily cut.to isostring().slice(0, 10 of start &gt; daily cut.to isostring() — when start; no answer — otherwise. The answer is from = start; daily from = daily from; covers = true; measured from = from; sentence = ''. Has monthly only is daily from is not no answer and start &lt; daily from.</t>
  </si>
  <si>
    <t>1. days: Dated[]
2. from: string
3. today: string</t>
  </si>
  <si>
    <t>Coverage</t>
  </si>
  <si>
    <t>1. MK-ST-F-003 dayWords
2. MK-ST-F-034 firstDate
3. MK-ST-F-002 monthWords</t>
  </si>
  <si>
    <t>1. MK-ST-F-003 dayWords
2. MK-ST-F-034 firstDate
3. MK-ST-F-002 monthWords
4. MK-CF-F-132 map</t>
  </si>
  <si>
    <t>1. MK-CF-F-132 map → MK-ST-F-003 dayWords → MK-ST-F-004 coverageFor
2. MK-CF-F-132 map → MK-ST-F-002 monthWords → MK-ST-F-003 dayWords → MK-ST-F-004 coverageFor
3. MK-ST-F-034 firstDate → MK-ST-F-004 coverageFor
4. MK-CF-F-132 map → MK-ST-F-002 monthWords → MK-ST-F-004 coverageFor</t>
  </si>
  <si>
    <t>MK-ST-F-005</t>
  </si>
  <si>
    <t>measuredFromLabel</t>
  </si>
  <si>
    <t>The short label that rides beside a change figure, always — whether the window is covered or not.</t>
  </si>
  <si>
    <t>start = first date(days)
''   when start is missing
actual = start   if start &gt; from
from   otherwise
the answer = `since ${day words(actual)}`</t>
  </si>
  <si>
    <t>Start is first date(days). When start is missing, it answers ''. Actual is start — when start &gt; from; from — otherwise. The answer is `since ${day words(actual)}`.</t>
  </si>
  <si>
    <t>1. days: Dated[]
2. from: string</t>
  </si>
  <si>
    <t>1. MK-ST-F-003 dayWords
2. MK-ST-F-034 firstDate</t>
  </si>
  <si>
    <t>1. MK-ST-F-003 dayWords
2. MK-ST-F-034 firstDate
3. MK-CF-F-132 map
4. MK-ST-F-002 monthWords</t>
  </si>
  <si>
    <t>1. MK-CF-F-132 map → MK-ST-F-003 dayWords → MK-ST-F-005 measuredFromLabel
2. MK-CF-F-132 map → MK-ST-F-002 monthWords → MK-ST-F-003 dayWords → MK-ST-F-005 measuredFromLabel
3. MK-ST-F-034 firstDate → MK-ST-F-005 measuredFromLabel</t>
  </si>
  <si>
    <t>MK-ST-F-006</t>
  </si>
  <si>
    <t>canAnswer</t>
  </si>
  <si>
    <t>Is there any record at all on or before this date?</t>
  </si>
  <si>
    <t>on or before(days, from) ≠ nothing</t>
  </si>
  <si>
    <t>on or before(days, from) is not no answer.</t>
  </si>
  <si>
    <t>1. MK-ST-F-034 firstDate
2. MK-ST-F-033 onOrBefore</t>
  </si>
  <si>
    <t>1. MK-ST-F-034 firstDate → MK-ST-F-006 canAnswer
2. MK-ST-F-033 onOrBefore → MK-ST-F-006 canAnswer</t>
  </si>
  <si>
    <t>MK-ST-F-007</t>
  </si>
  <si>
    <t>classifyEvent</t>
  </si>
  <si>
    <t>Calculation Module code/engines/events.ts</t>
  </si>
  <si>
    <t>Classify one institution word.</t>
  </si>
  <si>
    <t>w = string(word ?? '').trim()
event = 'UNKNOWN'
rule = EVENTS.UNKNOWN
word = ''
recognised = false   when w is missing
the answer:
event = event
rule = EVENTS[event]
word = w
matched by = source
recognised = true
[LOOP — the answer is found inside a loop the extractor cannot render; the steps above are the ones before it. Read by hand.]</t>
  </si>
  <si>
    <t>W is string(word ?? '').trim(). When w is missing, it answers event = 'UNKNOWN'; rule = EVENTS.UNKNOWN; word = ''; recognised = false. The answer is event = event; rule = EVENTS[event]; word = w; matched by = source; recognised = true. The answer is found inside a loop that cannot be rendered here; read the code by hand.</t>
  </si>
  <si>
    <t>word: string | null | undefined</t>
  </si>
  <si>
    <t>Classified</t>
  </si>
  <si>
    <t>MK-ST-F-008</t>
  </si>
  <si>
    <t>touches</t>
  </si>
  <si>
    <t>Does this event add to that total?</t>
  </si>
  <si>
    <t>EVENTS[e].totals.includes(total)</t>
  </si>
  <si>
    <t>EVENTS[e].totals.includes(total).</t>
  </si>
  <si>
    <t>1. e: CanonicalEvent
2. total: 'contributions' | 'withdrawals' | 'income' | 'costs' | 'units' | 'costBasis' | 'realisedGain'</t>
  </si>
  <si>
    <t>MK-ST-F-009</t>
  </si>
  <si>
    <t>directionOf</t>
  </si>
  <si>
    <t>The direction an event implies, where the event itself decides it.</t>
  </si>
  <si>
    <t>EVENTS[e].direction (or 'NONE' when missing)</t>
  </si>
  <si>
    <t>EVENTS[e].direction (or 'NONE' — when missing).</t>
  </si>
  <si>
    <t>e: CanonicalEvent</t>
  </si>
  <si>
    <t>Money['direction']</t>
  </si>
  <si>
    <t>MK-ST-F-010</t>
  </si>
  <si>
    <t>nameEvidence</t>
  </si>
  <si>
    <t>Calculation Module code/engines/holding-class.ts</t>
  </si>
  <si>
    <t>What the NAME (symbol + description together) says, or null when it says nothing.</t>
  </si>
  <si>
    <t>t = string(label ?? '').trim()
nothing   when t is missing
words = for each of split( ÷ [\s·—-]+ ÷ ): to upper case()
'cash'   when SWEEP_RE.test(t)
'stocks_etf'   when MONEY_MARKET_RE.test(t) (or words.some((w) =&gt; MONEY_MARKET_TICKERS.has(w)) when missing or zero)
'bonds'   when words.some((w) =&gt; TBILL_ETF_TICKERS.has(w))
'alternatives'   when OCC_OPTION.test(replace( ÷ \s+ ÷ g, '').to upper case())
'alternatives'   when DATE_STYLE_OPTION.test(t) (or ÷ \b(put|call)s?\b ÷ test(t) when missing or zero)
'alternatives'   when words.some((w) =&gt; CRYPTO_TICKERS.has(w)) (or ÷ \b(bitcoin|ethereum|crypto(currenc(y|ies))?)\b ÷ test(t) when missing or zero)
'alternatives'   when words.some((w) =&gt; COMMODITY_TICKERS.has(w))
'alternatives'   when ÷ \b(gold|silver|platinum|palladium|commodit(y|ies))\b ÷ test(t) and !COMPANY_WORDS.test(t)
… the first steps only — the rest of the body needs reading by hand.</t>
  </si>
  <si>
    <t>T is string(label ?? '').trim(). When t is missing, it answers no answer. Words is for each of split( divided by [\s·—-]+ divided by ): to upper case(). When SWEEP_RE.test(t), it answers 'cash'. When MONEY_MARKET_RE.test(t) (or words.some((w) =&gt; MONEY_MARKET_TICKERS.has(w)) — when missing or zero), it answers 'stocks_etf'. When words.some((w) =&gt; TBILL_ETF_TICKERS.has(w)), it answers 'bonds'. When OCC_OPTION.test(replace( divided by \s+ divided by g, '').to upper case()), it answers 'alternatives'. When DATE_STYLE_OPTION.test(t) (or divided by \b(put|call)s?\b divided by test(t) — when missing or zero), it answers 'alternatives'. When words.some((w) =&gt; CRYPTO_TICKERS.has(w)) (or divided by \b(bitcoin|ethereum|crypto(currenc(y|ies))?)\b divided by test(t) — when missing or zero), it answers 'alternatives'. When words.some((w) =&gt; COMMODITY_TICKERS.has(w)), it answers 'alternatives'. When ÷ \b(gold|silver|platinum|palladium|commodit(y|ies))\b divided by test(t) and !COMPANY_WORDS.test(t), it answers 'alternatives'. Only the first steps are shown; the rest of the body needs reading by hand.</t>
  </si>
  <si>
    <t>label?: string | null</t>
  </si>
  <si>
    <t>HoldingClass | null</t>
  </si>
  <si>
    <t>1. MK-XS-F-147 call
2. MK-ST-F-056 has
3. MK-CF-F-132 map</t>
  </si>
  <si>
    <t>1. MK-XS-F-147 call
2. MK-ST-F-056 has
3. MK-CF-F-132 map
4. MK-ST-F-027 accountId
5. MK-XS-F-064 currentIdToken
6. MK-XS-F-112 relayUrl</t>
  </si>
  <si>
    <t>1. MK-ST-F-027 accountId → MK-XS-F-147 call → MK-ST-F-010 nameEvidence
2. MK-XS-F-064 currentIdToken → MK-XS-F-147 call → MK-ST-F-010 nameEvidence
3. MK-XS-F-112 relayUrl → MK-XS-F-147 call → MK-ST-F-010 nameEvidence
4. MK-ST-F-056 has → MK-ST-F-010 nameEvidence
5. MK-CF-F-132 map → MK-ST-F-010 nameEvidence</t>
  </si>
  <si>
    <t>MK-ST-F-011</t>
  </si>
  <si>
    <t>classifyHoldingClass</t>
  </si>
  <si>
    <t>cls = user answer
source = 'user'
why = 'your own answer — it outranks every automatic rule and survives every sync'   when user answer
by name = name evidence(`${ticker ?? ''} ${name ?? ''}`)
cls = by name
source = 'name'
why = 'the institution\'s own words for it'   when by name
cls = 'bonds'
source = 'maturity'
why = 'it carries a maturity date'   when maturity date and string(maturity date).trim()
cls = 'stocks_etf'
source = 'flag'
why = 'the broker\'s cash − equivalent flag — a money − market fund
measured where its income lands' = measured where its income lands'   when cash equivalent
tag = TAG_CLASS[string(broker tag ?? '').to lower case()]
cls = tag
source = 'broker − tag'
why = 'the broker\'s type tag — fallback only
a name would have outranked it' = a name would have outranked it'   when tag
cls = 'stocks_etf'
source = 'security − default'
why = 'a priced security with units is an investment; with no other evidence it sits in stocks ÷ Funds'   when has security identity
the answer:
cls = 'cash'
source = 'unlabelled'
why = 'an unlabelled broker balance is cash'</t>
  </si>
  <si>
    <t>When user answer, it answers cls = user answer; source = 'user'; why = 'your own answer — it outranks every automatic rule and survives every sync'. By name is name evidence(`${ticker ?? ''} ${name ?? ''}`). When by name, it answers cls = by name; source = 'name'; why = 'the institution\'s own words for it'. When maturity date and string(maturity date).trim(), it answers cls = 'bonds'; source = 'maturity'; why = 'it carries a maturity date'. When cash equivalent, it answers cls = 'stocks_etf'; source = 'flag'; why = 'the broker\'s cash minus equivalent flag — a money minus market fund; measured where its income lands' = measured where its income lands'. Tag is TAG_CLASS[string(broker tag ?? '').to lower case()]. When tag, it answers cls = tag; source = 'broker minus tag'; why = 'the broker\'s type tag — fallback only; a name would have outranked it' = a name would have outranked it'. When has security identity, it answers cls = 'stocks_etf'; source = 'security minus default'; why = 'a priced security with units is an investment; with no other evidence it sits in stocks divided by Funds'. The answer is cls = 'cash'; source = 'unlabelled'; why = 'an unlabelled broker balance is cash'.</t>
  </si>
  <si>
    <t>e: ClassEvidence</t>
  </si>
  <si>
    <t>ClassVerdict</t>
  </si>
  <si>
    <t>MK-ST-F-010 nameEvidence</t>
  </si>
  <si>
    <t>1. MK-ST-F-010 nameEvidence
2. MK-XS-F-147 call
3. MK-ST-F-056 has
4. MK-CF-F-132 map
5. MK-ST-F-027 accountId
6. MK-XS-F-064 currentIdToken
7. MK-XS-F-112 relayUrl</t>
  </si>
  <si>
    <t>1. MK-ST-F-027 accountId → MK-XS-F-147 call → MK-ST-F-010 nameEvidence → MK-ST-F-011 classifyHoldingClass
2. MK-XS-F-064 currentIdToken → MK-XS-F-147 call → MK-ST-F-010 nameEvidence → MK-ST-F-011 classifyHoldingClass
3. MK-XS-F-112 relayUrl → MK-XS-F-147 call → MK-ST-F-010 nameEvidence → MK-ST-F-011 classifyHoldingClass
4. MK-ST-F-056 has → MK-ST-F-010 nameEvidence → MK-ST-F-011 classifyHoldingClass
5. MK-CF-F-132 map → MK-ST-F-010 nameEvidence → MK-ST-F-011 classifyHoldingClass</t>
  </si>
  <si>
    <t>MK-ST-F-012</t>
  </si>
  <si>
    <t>toLedgerRow</t>
  </si>
  <si>
    <t>Calculation Module code/engines/ledger.ts</t>
  </si>
  <si>
    <t>Read one institution row into one ledger row.</t>
  </si>
  <si>
    <t>c = classify event(raw.word)
money = read money(raw.amount, convention, rule.direction)
units = number or undefined(raw.units)
legacy = TO_LEGACY[event]
is trade = legacy = 'BUY' (or legacy = 'SELL' when missing or zero)</t>
  </si>
  <si>
    <t>C is classify event(raw.word). Money is read money(raw.amount, convention, rule.direction). Units is number or undefined(raw.units). Legacy is TO_LEGACY[event]. Is trade is legacy = 'BUY' (or legacy = 'SELL' — when missing or zero).</t>
  </si>
  <si>
    <t>1. raw: RawActivity
2. convention: SignConvention</t>
  </si>
  <si>
    <t>LedgerRow</t>
  </si>
  <si>
    <t>1. MK-ST-F-007 classifyEvent
2. MK-ST-F-053 money
3. MK-ST-F-058 numberOrUndefined
4. MK-ST-F-018 readMoney
5. MK-ST-F-019 signed
6. MK-ST-F-021 toNumber</t>
  </si>
  <si>
    <t>1. MK-ST-F-007 classifyEvent
2. MK-ST-F-053 money
3. MK-ST-F-058 numberOrUndefined
4. MK-ST-F-018 readMoney
5. MK-ST-F-019 signed
6. MK-ST-F-021 toNumber
7. MK-ST-F-049 formatMoney
8. MK-XS-F-122 n
9. MK-ST-F-048 currencySymbol
10. MK-ST-F-039 on
11. MK-ST-F-047 activeCurrency</t>
  </si>
  <si>
    <t>1. MK-ST-F-007 classifyEvent → MK-ST-F-012 toLedgerRow
2. MK-ST-F-047 activeCurrency → MK-ST-F-048 currencySymbol → MK-ST-F-049 formatMoney → MK-ST-F-053 money → MK-ST-F-012 toLedgerRow
3. MK-XS-F-122 n → MK-ST-F-049 formatMoney → MK-ST-F-053 money → MK-ST-F-012 toLedgerRow
4. MK-ST-F-039 on → MK-ST-F-049 formatMoney → MK-ST-F-053 money → MK-ST-F-012 toLedgerRow
5. MK-XS-F-122 n → MK-ST-F-053 money → MK-ST-F-012 toLedgerRow
6. MK-XS-F-122 n → MK-ST-F-058 numberOrUndefined → MK-ST-F-012 toLedgerRow
7. MK-ST-F-018 readMoney → MK-ST-F-012 toLedgerRow
8. MK-ST-F-019 signed → MK-ST-F-012 toLedgerRow
9. … and 1 more paths</t>
  </si>
  <si>
    <t>MK-ST-F-013</t>
  </si>
  <si>
    <t>personalFlowTotals</t>
  </si>
  <si>
    <t>bucket = STORED_TYPE_BUCKET[string(type ?? '')] (or 'none' when missing)
d = dec.parse(amount)
the answer = t</t>
  </si>
  <si>
    <t>Bucket is STORED_TYPE_BUCKET[string(type ?? '')] (or 'none' — when missing). D is dec.parse(amount). The answer is t.</t>
  </si>
  <si>
    <t>rows: StoredFlowRow[]</t>
  </si>
  <si>
    <t>PersonalFlowTotals</t>
  </si>
  <si>
    <t>MK-ST-F-014</t>
  </si>
  <si>
    <t>importKey</t>
  </si>
  <si>
    <t>the answer = account | date | WORD | amount | units | security | ref | description, joined with '|' (missing parts empty)</t>
  </si>
  <si>
    <t>The stable identity of an imported row: the account, the date, the institution's word in capitals, the amount, the units, the security, the reference and the description, joined with vertical bars. Re-importing the same row builds the same key, so it is never doubled.</t>
  </si>
  <si>
    <t>id: ImportIdentity</t>
  </si>
  <si>
    <t>MK-ST-F-015</t>
  </si>
  <si>
    <t>rowsFor</t>
  </si>
  <si>
    <t>rows where EVENTS[event].totals.includes(total)</t>
  </si>
  <si>
    <t>rows where EVENTS[event].totals.includes(total).</t>
  </si>
  <si>
    <t>MK-ST-F-016</t>
  </si>
  <si>
    <t>totalOf</t>
  </si>
  <si>
    <t>A total, summed SIGNED and EXACT — a reversal reduces its total instead of inflating it.</t>
  </si>
  <si>
    <t>dec.sum(rows for(rows, total).map((r) =&gt; signed amount))</t>
  </si>
  <si>
    <t>dec.sum(rows for(rows, total).map((r) =&gt; signed amount)).</t>
  </si>
  <si>
    <t>1. rows: LedgerRow[]
2. total: 'contributions' | 'withdrawals' | 'income' | 'costs'</t>
  </si>
  <si>
    <t>Dec</t>
  </si>
  <si>
    <t>1. MK-CF-F-132 map
2. MK-ST-F-015 rowsFor</t>
  </si>
  <si>
    <t>1. MK-CF-F-132 map → MK-ST-F-016 totalOf
2. MK-ST-F-015 rowsFor → MK-ST-F-016 totalOf</t>
  </si>
  <si>
    <t>MK-ST-F-017</t>
  </si>
  <si>
    <t>unclassified</t>
  </si>
  <si>
    <t>Everything we could not name, for the honest line on screen: "12 entries we could not classify".</t>
  </si>
  <si>
    <t>rows where recognised is missing</t>
  </si>
  <si>
    <t>rows where recognised is missing.</t>
  </si>
  <si>
    <t>rows: LedgerRow[]</t>
  </si>
  <si>
    <t>LedgerRow[]</t>
  </si>
  <si>
    <t>MK-ST-F-018</t>
  </si>
  <si>
    <t>readMoney</t>
  </si>
  <si>
    <t>Calculation Module code/engines/money.ts</t>
  </si>
  <si>
    <t>Read a raw amount into a Money, given how that source signs things.</t>
  </si>
  <si>
    <t>d = dec.parse(raw)
amount = dec.ZERO
direction = 'NONE'   when d = nothing
amount = dec.ZERO
direction = 'NONE'   when is zero()
negative means out = convention ! = 'POSITIVE_IS_OUT'
the answer:
amount = abs()
direction = stated (or 'NONE' when missing)
out = is neg()   if negative means out
!is neg()   otherwise</t>
  </si>
  <si>
    <t>D is dec.parse(raw). When d is missing, it answers amount = dec.ZERO; direction = 'NONE'. When is zero(), it answers amount = dec.ZERO; direction = 'NONE'. Negative means out is convention ! = 'POSITIVE_IS_OUT'. The answer is amount = abs(); direction = stated (or 'NONE' — when missing). Out is is neg() — when negative means out; !is neg() — otherwise.</t>
  </si>
  <si>
    <t>MK-ST-F-019</t>
  </si>
  <si>
    <t>signed</t>
  </si>
  <si>
    <t>The signed value, for arithmetic.</t>
  </si>
  <si>
    <t>amount.neg()   if direction = 'OUT'
amount   if direction = 'IN'
dec.ZERO   otherwise   otherwise</t>
  </si>
  <si>
    <t>amount.neg() — when direction = 'OUT'; amount — when direction = 'IN'; dec.ZERO — otherwise — otherwise.</t>
  </si>
  <si>
    <t>m: Money</t>
  </si>
  <si>
    <t>MK-ST-F-020</t>
  </si>
  <si>
    <t>sumSigned</t>
  </si>
  <si>
    <t>Add money SIGNED and EXACTLY — a credit and its reversal cancel to true zero, so a reconciliation can assert equality rather than a tolerance.</t>
  </si>
  <si>
    <t>dec.sum(items.map(signed))</t>
  </si>
  <si>
    <t>dec.sum(items.map(signed)).</t>
  </si>
  <si>
    <t>items: Money[]</t>
  </si>
  <si>
    <t>1. MK-CF-F-132 map
2. MK-ST-F-019 signed</t>
  </si>
  <si>
    <t>1. MK-CF-F-132 map → MK-ST-F-020 sumSigned
2. MK-ST-F-019 signed → MK-ST-F-020 sumSigned</t>
  </si>
  <si>
    <t>MK-ST-F-021</t>
  </si>
  <si>
    <t>toNumber</t>
  </si>
  <si>
    <t>Institution files write money as text: "$8,502.00 ", "($0.53)", "--", "1,234.56".</t>
  </si>
  <si>
    <t>nothing   when raw = nothing
raw   if number.is finite(raw)
nothing   otherwise   when raw is a number
t = string(raw).trim()
nothing   when t is missing (or t = '--' (or t = '-' (or t = 'n ÷ a' (or t = 'N ÷ A' when missing or zero) when missing or zero) when missing or zero) when missing or zero)
parenthesised = ÷ ^\(. × \)$ ÷ .test(t)
nothing   when t is missing (or ! ÷ ^-?\d × \.?\d+$ ÷ .test(t) when missing or zero)
n = parse float(t)
nothing   when !number.is finite(n)
the answer:
-size of(n)   if parenthesised
n   otherwise</t>
  </si>
  <si>
    <t>When raw is missing, it answers no answer. When raw is a number, it answers raw — when number.is finite(raw); no answer — otherwise. T is string(raw).trim(). When t is missing (or t = '--' (or t = '-' (or t = 'n divided by a' (or t = 'N divided by A' — when missing or zero) — when missing or zero) — when missing or zero) — when missing or zero), it answers no answer. Parenthesised is ÷ ^\(. times \)$ divided by .test(t). When t is missing (or ! divided by ^-?\d times \.?\d+$ divided by .test(t) — when missing or zero), it answers no answer. N is parse float(t). When !number.is finite(n), it answers no answer. The answer is -size of(n) — when parenthesised; n — otherwise.</t>
  </si>
  <si>
    <t>raw: number | string | null | undefined</t>
  </si>
  <si>
    <t>MK-XS-F-122 n → MK-ST-F-021 toNumber</t>
  </si>
  <si>
    <t>MK-ST-F-022</t>
  </si>
  <si>
    <t>reconcileAccountTotal</t>
  </si>
  <si>
    <t>Calculation Module code/engines/reconcile.ts</t>
  </si>
  <si>
    <t>ASSERTION 1 — holdings + cash = the broker's stated total.</t>
  </si>
  <si>
    <t>stated = dec.parse(stated total) (or dec.ZERO when missing)
the answer = verdict(parts, stated, 'what the account holds and the broker\'s own total')</t>
  </si>
  <si>
    <t>Stated is dec.parse(stated total) (or dec.ZERO — when missing). The answer is verdict(parts, stated, 'what the account holds and the broker\'s own total').</t>
  </si>
  <si>
    <t>1. MK-CF-F-132 map
2. MK-ST-F-060 verdict</t>
  </si>
  <si>
    <t>1. MK-CF-F-132 map → MK-ST-F-022 reconcileAccountTotal
2. MK-ST-F-060 verdict → MK-ST-F-022 reconcileAccountTotal</t>
  </si>
  <si>
    <t>MK-ST-F-023</t>
  </si>
  <si>
    <t>reconcileLedgerIdentity</t>
  </si>
  <si>
    <t>ASSERTION 2 — the accounting identity every statement satisfies, exactly.</t>
  </si>
  <si>
    <t>d = (v: unknown) =&gt; dec.parse(v) (or dec.ZERO when missing)
the answer = verdict(computed, D(ending), 'the change walk and the ending value')</t>
  </si>
  <si>
    <t>D is (v: unknown) =&gt; dec.parse(v) (or dec.ZERO — when missing). The answer is verdict(computed, D(ending), 'the change walk and the ending value').</t>
  </si>
  <si>
    <t>MK-ST-F-060 verdict</t>
  </si>
  <si>
    <t>MK-ST-F-060 verdict → MK-ST-F-023 reconcileLedgerIdentity</t>
  </si>
  <si>
    <t>MK-ST-F-024</t>
  </si>
  <si>
    <t>rmdStartAge</t>
  </si>
  <si>
    <t>The age required withdrawals begin, by birth year.</t>
  </si>
  <si>
    <t>start age = 75   when born 1960 or later
            73   otherwise</t>
  </si>
  <si>
    <t>The age required withdrawals begin. Born 1960 or later, 75; everyone else, 73 — including birth years before 1951, whose real start age was 72 or 70 and a half. An unknown birth year silently answers 73 rather than refusing. Finding A36.</t>
  </si>
  <si>
    <t>1. "Everything taken out, as a share of your gross" — on the setup questions, which appear on more than one screen
2. "Operating expense /month" — on the setup questions, which appear on more than one screen
3. "Surplus by month" — on the setup questions, which appear on more than one screen
4. "Your contribution (per month)" — on the setup questions, which appear on more than one screen
5. "Your retirement outlook" — on the setup questions, which appear on more than one screen</t>
  </si>
  <si>
    <t>· When the birth year is missing the start age is taken as 73 — the rule for those born 1951–1959, the middle of the 55–70 audience (A36). The whole schedule is coded: 70½ before 1949, 72 for 1949–1950, 73 for 1951–1959, 75 from 1960.</t>
  </si>
  <si>
    <t>MK-ST-F-056 has → MK-ST-F-024 rmdStartAge</t>
  </si>
  <si>
    <t>MK-ST-F-025</t>
  </si>
  <si>
    <t>rmdStartAgeFromAge</t>
  </si>
  <si>
    <t>The same rule when only an age is known (birth year ≈ this year − age; ±1 year of precision, which is what an age-only caller has).</t>
  </si>
  <si>
    <t>rmd start age(now year − age)</t>
  </si>
  <si>
    <t>rmd start age(now year minus age).</t>
  </si>
  <si>
    <t>1. age: number
2. nowYear: number</t>
  </si>
  <si>
    <t>MK-ST-F-056 has → MK-ST-F-024 rmdStartAge → MK-ST-F-025 rmdStartAgeFromAge</t>
  </si>
  <si>
    <t>MK-ST-F-026</t>
  </si>
  <si>
    <t>holdingId</t>
  </si>
  <si>
    <t>Calculation Module code/engines/snapshots.ts</t>
  </si>
  <si>
    <t>the answer = date | account id | security key</t>
  </si>
  <si>
    <t>The identity of one holding snapshot: its date, account and security, joined with vertical bars. No arithmetic.</t>
  </si>
  <si>
    <t>s: Pick&lt;HoldingSnapshot, 'date' | 'accountId' | 'securityKey'&gt;</t>
  </si>
  <si>
    <t>MK-ST-F-027</t>
  </si>
  <si>
    <t>accountId</t>
  </si>
  <si>
    <t>the answer = date | account id</t>
  </si>
  <si>
    <t>The identity of one account snapshot: its date and account, joined with a vertical bar. No arithmetic.</t>
  </si>
  <si>
    <t>s: Pick&lt;AccountSnapshot, 'date' | 'accountId'&gt;</t>
  </si>
  <si>
    <t>MK-ST-F-028</t>
  </si>
  <si>
    <t>buildDayFromAccounts</t>
  </si>
  <si>
    <t>Today's SnapshotDay, observed from the live account state.</t>
  </si>
  <si>
    <t>holdings = []
accts = []
ps = positions (or none when missing)
units = Σ over lots (or none when missing) of (shares (or 0 when missing or zero))
basis = Σ over lots (or none when missing) of ((shares or 0) × (cost per share or 0))
the answer:
date = date
holdings = holdings
accounts = accts
origin = 'observed'
written at = written at</t>
  </si>
  <si>
    <t>Holdings is []. Accts is []. Ps is positions (or none — when missing). Units: the shares (or 0 — when missing or zero) added up across lots (or none — when missing). Basis: the (shares or 0) times (cost per share or 0) added up across lots (or none — when missing). The answer is date = date; holdings = holdings; accounts = accts; origin = 'observed'; written at = written at.</t>
  </si>
  <si>
    <t>1. accounts: AccountLike[]
2. date: string
3. writtenAt: string</t>
  </si>
  <si>
    <t>SnapshotDay</t>
  </si>
  <si>
    <t>1. If balance is missing it uses 0.
2. If shares is missing it counts as zero, so nothing recorded and a real zero look the same.
3. If cost per share is missing it counts as zero, so nothing recorded and a real zero look the same.
4. Uses a built-in d a i l y y e a r s of 2.</t>
  </si>
  <si>
    <t>MK-ST-F-029</t>
  </si>
  <si>
    <t>prune</t>
  </si>
  <si>
    <t>Which days survive.</t>
  </si>
  <si>
    <t>cutoff = the date today
cutoff key = the first 10 of cutoff.to isostring()
all = a list with no repeats of for each of days: date
the answer = days where date ≥ cutoff key (or is month end(date, all) when missing or zero)</t>
  </si>
  <si>
    <t>Cutoff: the date today. Cutoff key: the first 10 of cutoff.to isostring(). All is a list with no repeats of for each of days: date. The answer is days where date is at least cutoff key (or is month end(date, all) — when missing or zero).</t>
  </si>
  <si>
    <t>1. days: SnapshotDay[]
2. today: string</t>
  </si>
  <si>
    <t>SnapshotDay[]</t>
  </si>
  <si>
    <t>1. MK-ST-F-061 isMonthEnd
2. MK-CF-F-132 map</t>
  </si>
  <si>
    <t>1. MK-ST-F-061 isMonthEnd
2. MK-CF-F-132 map
3. MK-ST-F-056 has</t>
  </si>
  <si>
    <t>1. MK-ST-F-056 has → MK-ST-F-061 isMonthEnd → MK-ST-F-029 prune
2. MK-CF-F-132 map → MK-ST-F-061 isMonthEnd → MK-ST-F-029 prune
3. MK-CF-F-132 map → MK-ST-F-029 prune</t>
  </si>
  <si>
    <t>MK-ST-F-030</t>
  </si>
  <si>
    <t>record</t>
  </si>
  <si>
    <t>── writing ───────────────────────────────────────────────────────────────────────────────────── Add a day.</t>
  </si>
  <si>
    <t>rest = days where date ! = day.date
the answer = [...rest, day].sort((a, b) =&gt; date.locale compare(date))</t>
  </si>
  <si>
    <t>Rest is days where date ! = day.date. The answer is [...rest, day].sort((a, b) =&gt; date.locale compare(date)).</t>
  </si>
  <si>
    <t>1. days: SnapshotDay[]
2. day: SnapshotDay</t>
  </si>
  <si>
    <t>valueOn</t>
  </si>
  <si>
    <t>── reading ───────────────────────────────────────────────────────────────────────────────────── What one account was worth on a date — the figure the old code had to back-solve.</t>
  </si>
  <si>
    <t>day = on or before(days, date)
nothing   when day is missing
in set = (id: string) =&gt; account ids.size = 0 (or account ids.has(id) when missing or zero)
holdings = Σ over day.holdings where in set(account id) of (value)
cash = Σ over day.accounts where in set(account id) of (cash + (typed value ?? 0))
nothing   when !day.holdings.some((h) =&gt; in set(account id)) and !day.accounts.some((a) =&gt; in set(account id))
the answer = holdings + cash</t>
  </si>
  <si>
    <t>Day is on or before(days, date). When day is missing, it answers no answer. In set is (id: string) =&gt; account ids.size = 0 (or account ids.has(id) — when missing or zero). Holdings: the value added up across day.holdings where in set(account id). Cash: the cash plus (typed value ?? 0) added up across day.accounts where in set(account id). When !day.holdings.some((h) =&gt; in set(account id)) and !day.accounts.some((a) =&gt; in set(account id)), it answers no answer. The answer is holdings plus cash.</t>
  </si>
  <si>
    <t>1. days: SnapshotDay[]
2. accountIds: Set&lt;string&gt;
3. date: string</t>
  </si>
  <si>
    <t>· If typed value is missing it uses 0.</t>
  </si>
  <si>
    <t>1. MK-ST-F-027 accountId
2. MK-CF-F-155 cash
3. MK-ST-F-056 has
4. MK-ST-F-033 onOrBefore</t>
  </si>
  <si>
    <t>1. MK-ST-F-027 accountId
2. MK-CF-F-155 cash
3. MK-ST-F-056 has
4. MK-ST-F-033 onOrBefore
5. MK-XS-F-122 n</t>
  </si>
  <si>
    <t>1. MK-ST-F-027 accountId → MK-ST-F-031 valueOn
2. MK-XS-F-122 n → MK-CF-F-155 cash → MK-ST-F-031 valueOn
3. MK-ST-F-056 has → MK-ST-F-031 valueOn
4. MK-ST-F-033 onOrBefore → MK-ST-F-031 valueOn</t>
  </si>
  <si>
    <t>MK-PF-M-001 · MK-PF-M-004</t>
  </si>
  <si>
    <t>MK-ST-F-032</t>
  </si>
  <si>
    <t>unitsOn</t>
  </si>
  <si>
    <t>How many units of one holding were held on a date — what the trend chart needs and never had.</t>
  </si>
  <si>
    <t>day = on or before(days, date)
h = day.holdings.find((x) =&gt; account id = acc id and security key = security key)
the answer:
units   if h
nothing   otherwise</t>
  </si>
  <si>
    <t>Day is on or before(days, date). H is day.holdings.find((x) =&gt; account id = acc id and security key = security key). The answer is units — when h; no answer — otherwise.</t>
  </si>
  <si>
    <t>1. days: SnapshotDay[]
2. accId: string
3. securityKey: string
4. date: string</t>
  </si>
  <si>
    <t>MK-ST-F-033 onOrBefore</t>
  </si>
  <si>
    <t>MK-ST-F-033 onOrBefore → MK-ST-F-032 unitsOn</t>
  </si>
  <si>
    <t>MK-ST-F-033</t>
  </si>
  <si>
    <t>onOrBefore</t>
  </si>
  <si>
    <t>The latest day at or before a date, or nothing when the record does not reach back that far.</t>
  </si>
  <si>
    <t>best = nothing
[LOOP — the answer is found inside a loop the extractor cannot render; the steps above are the ones before it. Read by hand.]</t>
  </si>
  <si>
    <t>Best is no answer. The answer is best. The answer is found inside a loop that cannot be rendered here; read the code by hand.</t>
  </si>
  <si>
    <t>1. days: T[]
2. date: string</t>
  </si>
  <si>
    <t>T | null</t>
  </si>
  <si>
    <t>MK-ST-F-034</t>
  </si>
  <si>
    <t>firstDate</t>
  </si>
  <si>
    <t>The first date the record covers — so a change figure can say what it is measured FROM, rather than presenting a figure measured from install day as though it covered the year.</t>
  </si>
  <si>
    <t>days.reduce((a, b) =&gt; (date &lt; date ? a : b)).date   if count of days
nothing   otherwise</t>
  </si>
  <si>
    <t>days.reduce((a, b) =&gt; (date &lt; date ? a : b)).date — when how many days there are; no answer — otherwise.</t>
  </si>
  <si>
    <t>days: T[]</t>
  </si>
  <si>
    <t>MK-ST-F-035</t>
  </si>
  <si>
    <t>covers</t>
  </si>
  <si>
    <t>Does the record actually cover this window?</t>
  </si>
  <si>
    <t>f = first date(days)
the answer = f ≠ nothing and f ≤ from</t>
  </si>
  <si>
    <t>F is first date(days). The answer is f is not no answer and f is at most from.</t>
  </si>
  <si>
    <t>1. days: SnapshotDay[]
2. from: string</t>
  </si>
  <si>
    <t>MK-ST-F-034 firstDate</t>
  </si>
  <si>
    <t>MK-ST-F-034 firstDate → MK-ST-F-035 covers</t>
  </si>
  <si>
    <t>MK-ST-F-036</t>
  </si>
  <si>
    <t>reconcile</t>
  </si>
  <si>
    <t>── the outside check ─────────────────────────────────────────────────────────────────────────── Our figure against the broker's own stated total.</t>
  </si>
  <si>
    <t>theirs = day.accounts.find((a) =&gt; account id = acc id).stated total (or nothing when missing)
the answer:
ours = ours
theirs = theirs
difference = nothing   if theirs = nothing
ours − theirs   otherwise</t>
  </si>
  <si>
    <t>Theirs is day.accounts.find((a) =&gt; account id = acc id).stated total (or no answer — when missing). The answer is ours = ours; theirs = theirs; difference is missing — when theirs is missing; ours minus theirs — otherwise.</t>
  </si>
  <si>
    <t>1. day: SnapshotDay
2. accId: string</t>
  </si>
  <si>
    <t>· If cash is missing it uses 0.</t>
  </si>
  <si>
    <t>MK-ST-F-037</t>
  </si>
  <si>
    <t>pendingUpload</t>
  </si>
  <si>
    <t>── the later cloud sync ──────────────────────────────────────────────────────────────────────── Everything not yet uploaded, oldest first.</t>
  </si>
  <si>
    <t>days where last uploaded is missing (or date &gt; last uploaded when missing or zero)</t>
  </si>
  <si>
    <t>days where last uploaded is missing (or date &gt; last uploaded — when missing or zero).</t>
  </si>
  <si>
    <t>1. days: SnapshotDay[]
2. lastUploaded: string | null</t>
  </si>
  <si>
    <t>MK-ST-F-038</t>
  </si>
  <si>
    <t>windowBounds</t>
  </si>
  <si>
    <t>Calculation Module code/engines/window-return.ts</t>
  </si>
  <si>
    <t>beginning as of = the day before the start
days = round((end − start) in days) + 1</t>
  </si>
  <si>
    <t>The bounds of a return window: the beginning value is read on the day BEFORE the start, and the window's length counts both boundary days (brief D3, 2026-08-20).</t>
  </si>
  <si>
    <t>1. start: string
2. end: string</t>
  </si>
  <si>
    <t>WindowBounds</t>
  </si>
  <si>
    <t>1. MK-ST-F-063 shiftDay
2. MK-ST-F-062 toUtc</t>
  </si>
  <si>
    <t>1. MK-ST-F-062 toUtc → MK-ST-F-063 shiftDay → MK-ST-F-038 windowBounds
2. MK-ST-F-062 toUtc → MK-ST-F-038 windowBounds</t>
  </si>
  <si>
    <t>MK-ST-F-039</t>
  </si>
  <si>
    <t>on</t>
  </si>
  <si>
    <t>src/domain/_shared/eventBus.ts</t>
  </si>
  <si>
    <t>() =&gt; handlers[event type].delete(handler as handler)</t>
  </si>
  <si>
    <t>() =&gt; handlers[event type].delete(handler as handler).</t>
  </si>
  <si>
    <t>1. eventType: string
2. handler: Handler&lt;T&gt;</t>
  </si>
  <si>
    <t>()</t>
  </si>
  <si>
    <t>MK-ST-F-040</t>
  </si>
  <si>
    <t>emit</t>
  </si>
  <si>
    <t>1. eventType: string
2. payload: T</t>
  </si>
  <si>
    <t>void</t>
  </si>
  <si>
    <t>MK-ST-F-041</t>
  </si>
  <si>
    <t>getUserDoc</t>
  </si>
  <si>
    <t>src/domain/_shared/firestore.ts</t>
  </si>
  <si>
    <t>4 · BRINGS DATA IN</t>
  </si>
  <si>
    <t>Read a single-document-per-user collection (e.g.</t>
  </si>
  <si>
    <t>snap = await get doc(doc(db, collection name, uid))
the answer:
snap.data() as T   if snap.exists()
nothing   otherwise</t>
  </si>
  <si>
    <t>Snap is await get doc(doc(db, collection name, uid)). The answer is snap.data() as T — when snap.exists(); no answer — otherwise.</t>
  </si>
  <si>
    <t>1. collectionName: string
2. uid: UserId</t>
  </si>
  <si>
    <t>Promise&lt;T | null&gt;</t>
  </si>
  <si>
    <t>1. MK-ST-F-027 accountId → MK-XS-F-175 uid → MK-ST-F-041 getUserDoc
2. MK-CF-F-137 findPos → MK-CF-F-138 addLot → MK-CF-F-111 applyTransaction → MK-XS-F-175 uid → MK-ST-F-041 getUserDoc
3. MK-CF-F-132 map → MK-CF-F-138 addLot → MK-CF-F-111 applyTransaction → MK-XS-F-175 uid → MK-ST-F-041 getUserDoc
4. MK-ST-F-043 newEntityId → MK-CF-F-138 addLot → MK-CF-F-111 applyTransaction → MK-XS-F-175 uid → MK-ST-F-041 getUserDoc
5. MK-CF-F-134 usesSleeve → MK-CF-F-136 bumpCash → MK-CF-F-111 applyTransaction → MK-XS-F-175 uid → MK-ST-F-041 getUserDoc
6. MK-CF-F-137 findPos → MK-CF-F-111 applyTransaction → MK-XS-F-175 uid → MK-ST-F-041 getUserDoc
7. MK-CF-F-132 map → MK-CF-F-111 applyTransaction → MK-XS-F-175 uid → MK-ST-F-041 getUserDoc
8. MK-CF-F-137 findPos → MK-CF-F-139 removeShares → MK-CF-F-111 applyTransaction → MK-XS-F-175 uid → MK-ST-F-041 getUserDoc
9. … and 4 more paths</t>
  </si>
  <si>
    <t>MK-ST-F-042</t>
  </si>
  <si>
    <t>setUserDoc</t>
  </si>
  <si>
    <t>Write/merge a single-document-per-user collection, stamping last_updated.</t>
  </si>
  <si>
    <t>1. collectionName: string
2. uid: UserId
3. data: T</t>
  </si>
  <si>
    <t>1. MK-ST-F-027 accountId → MK-XS-F-175 uid → MK-ST-F-042 setUserDoc
2. MK-CF-F-137 findPos → MK-CF-F-138 addLot → MK-CF-F-111 applyTransaction → MK-XS-F-175 uid → MK-ST-F-042 setUserDoc
3. MK-CF-F-132 map → MK-CF-F-138 addLot → MK-CF-F-111 applyTransaction → MK-XS-F-175 uid → MK-ST-F-042 setUserDoc
4. MK-ST-F-043 newEntityId → MK-CF-F-138 addLot → MK-CF-F-111 applyTransaction → MK-XS-F-175 uid → MK-ST-F-042 setUserDoc
5. MK-CF-F-134 usesSleeve → MK-CF-F-136 bumpCash → MK-CF-F-111 applyTransaction → MK-XS-F-175 uid → MK-ST-F-042 setUserDoc
6. MK-CF-F-137 findPos → MK-CF-F-111 applyTransaction → MK-XS-F-175 uid → MK-ST-F-042 setUserDoc
7. MK-CF-F-132 map → MK-CF-F-111 applyTransaction → MK-XS-F-175 uid → MK-ST-F-042 setUserDoc
8. MK-CF-F-137 findPos → MK-CF-F-139 removeShares → MK-CF-F-111 applyTransaction → MK-XS-F-175 uid → MK-ST-F-042 setUserDoc
9. … and 4 more paths</t>
  </si>
  <si>
    <t>MK-ST-F-043</t>
  </si>
  <si>
    <t>newEntityId</t>
  </si>
  <si>
    <t>src/domain/_shared/ids.ts</t>
  </si>
  <si>
    <t>What do we call this new thing?</t>
  </si>
  <si>
    <t>`${prefix}_${date.now().to string(36)}${math.random().to string(36).slice(2, 8)}`</t>
  </si>
  <si>
    <t>`${prefix}_${date.now().to string(36)}${math.random().to string(36).slice(2, 8)}`.</t>
  </si>
  <si>
    <t>prefix: string</t>
  </si>
  <si>
    <t>EntityId</t>
  </si>
  <si>
    <t>NEW_ID</t>
  </si>
  <si>
    <t>MK-ST-F-044</t>
  </si>
  <si>
    <t>setMoneyFormat</t>
  </si>
  <si>
    <t>src/domain/_shared/money.ts</t>
  </si>
  <si>
    <t>c = CURRENCIES.find((x) =&gt; code = currency)</t>
  </si>
  <si>
    <t>C is CURRENCIES.find((x) =&gt; code = currency).</t>
  </si>
  <si>
    <t>1. currency?: string | null
2. locale?: string | null</t>
  </si>
  <si>
    <t>1. MK-ST-F-053 money
2. MK-ST-F-055 round2</t>
  </si>
  <si>
    <t>1. MK-ST-F-053 money
2. MK-ST-F-055 round2
3. MK-ST-F-049 formatMoney
4. MK-XS-F-122 n
5. MK-ST-F-048 currencySymbol
6. MK-ST-F-039 on
7. MK-ST-F-047 activeCurrency</t>
  </si>
  <si>
    <t>1. MK-ST-F-047 activeCurrency → MK-ST-F-048 currencySymbol → MK-ST-F-049 formatMoney → MK-ST-F-053 money → MK-ST-F-044 setMoneyFormat
2. MK-XS-F-122 n → MK-ST-F-049 formatMoney → MK-ST-F-053 money → MK-ST-F-044 setMoneyFormat
3. MK-ST-F-039 on → MK-ST-F-049 formatMoney → MK-ST-F-053 money → MK-ST-F-044 setMoneyFormat
4. MK-XS-F-122 n → MK-ST-F-053 money → MK-ST-F-044 setMoneyFormat
5. MK-ST-F-055 round2 → MK-ST-F-044 setMoneyFormat</t>
  </si>
  <si>
    <t>MK-ST-F-045</t>
  </si>
  <si>
    <t>setHideBalances</t>
  </si>
  <si>
    <t>b: boolean</t>
  </si>
  <si>
    <t>MK-ST-F-046</t>
  </si>
  <si>
    <t>balancesHidden</t>
  </si>
  <si>
    <t>the answer = the hide-balances switch</t>
  </si>
  <si>
    <t>Whether the person has hidden balances on screen. No arithmetic.</t>
  </si>
  <si>
    <t>MK-ST-F-047</t>
  </si>
  <si>
    <t>activeCurrency</t>
  </si>
  <si>
    <t>Which currency is the app showing?</t>
  </si>
  <si>
    <t>the first of CURRENCIES.find((c) =&gt; code = code) (or CURRENCIES when missing)</t>
  </si>
  <si>
    <t>the first of CURRENCIES.find((c) =&gt; code = code) (or CURRENCIES — when missing).</t>
  </si>
  <si>
    <t>Currency</t>
  </si>
  <si>
    <t>CURRENCY</t>
  </si>
  <si>
    <t>MK-ST-F-048</t>
  </si>
  <si>
    <t>currencySymbol</t>
  </si>
  <si>
    <t>active currency().symbol</t>
  </si>
  <si>
    <t>active currency().symbol.</t>
  </si>
  <si>
    <t>1. "Amount" — on the Look back screen
2. "Break this into specific stocks, bonds, options…" — on the Net worth screen
3. "Estimated benefit" — on the Retirement cockpit screen
4. "HOW MUCH WILL YOU INVEST PER YEAR?" — on the setup questions, which appear on more than one screen
5. "How much (this disbursement)" — on the setup questions, which appear on more than one screen
6. "How much per month" — on the setup questions, which appear on more than one screen</t>
  </si>
  <si>
    <t>MK-ST-F-047 activeCurrency</t>
  </si>
  <si>
    <t>MK-ST-F-047 activeCurrency → MK-ST-F-048 currencySymbol</t>
  </si>
  <si>
    <t>MK-ST-F-049</t>
  </si>
  <si>
    <t>formatMoney</t>
  </si>
  <si>
    <t>Full amount, no minor units (matches the app's whole-number money style), locale-grouped.</t>
  </si>
  <si>
    <t>BALANCE_MASK   when hide
NOT_A_NUMBER   when !number.is finite(n)
v = round(n)
the answer = new intl.number format(locale, { style: 'currency', currency: code, maximum fraction digits: 0 }).format(v)
neg = '-'   if v &lt; 0
''   otherwise</t>
  </si>
  <si>
    <t>When hide, it answers BALANCE_MASK. When !number.is finite(n), it answers NOT_A_NUMBER. V is n, to a whole number. The answer is new intl.number format(locale, { style: 'currency', currency: code, maximum fraction digits: 0 }).format(v). Neg is '-' — when v &lt; 0; '' — otherwise.</t>
  </si>
  <si>
    <t>1. MK-ST-F-048 currencySymbol
2. MK-XS-F-122 n
3. MK-ST-F-039 on</t>
  </si>
  <si>
    <t>1. MK-ST-F-048 currencySymbol
2. MK-XS-F-122 n
3. MK-ST-F-039 on
4. MK-ST-F-047 activeCurrency</t>
  </si>
  <si>
    <t>1. MK-ST-F-047 activeCurrency → MK-ST-F-048 currencySymbol → MK-ST-F-049 formatMoney
2. MK-XS-F-122 n → MK-ST-F-049 formatMoney
3. MK-ST-F-039 on → MK-ST-F-049 formatMoney</t>
  </si>
  <si>
    <t>MONEY_IN_WORDS</t>
  </si>
  <si>
    <t>MK-ST-F-050</t>
  </si>
  <si>
    <t>formatMoneyCents</t>
  </si>
  <si>
    <t>Same as formatMoney but keeps 2 decimal places — for precise amounts (transactions, holdings, recurring lines).</t>
  </si>
  <si>
    <t>BALANCE_MASK   when hide
NOT_A_NUMBER   when !number.is finite(n)
v = n
the answer = new intl.number format(locale, { style: 'currency', currency: code, minimum fraction digits: 2, maximum fraction digits: 2 }).format(v)
neg = '-'   if v &lt; 0
''   otherwise</t>
  </si>
  <si>
    <t>When hide, it answers BALANCE_MASK. When !number.is finite(n), it answers NOT_A_NUMBER. V is n. The answer is new intl.number format(locale, { style: 'currency', currency: code, minimum fraction digits: 2, maximum fraction digits: 2 }).format(v). Neg is '-' — when v &lt; 0; '' — otherwise.</t>
  </si>
  <si>
    <t>1. MK-ST-F-048 currencySymbol
2. MK-XS-F-122 n</t>
  </si>
  <si>
    <t>1. MK-ST-F-048 currencySymbol
2. MK-XS-F-122 n
3. MK-ST-F-047 activeCurrency</t>
  </si>
  <si>
    <t>1. MK-ST-F-047 activeCurrency → MK-ST-F-048 currencySymbol → MK-ST-F-050 formatMoneyCents
2. MK-XS-F-122 n → MK-ST-F-050 formatMoneyCents</t>
  </si>
  <si>
    <t>MONEY_IN_WORDS_WITH_CENTS</t>
  </si>
  <si>
    <t>MK-ST-F-051</t>
  </si>
  <si>
    <t>moneyCompact</t>
  </si>
  <si>
    <t>Compact form for tight spaces (chart labels, donut center).</t>
  </si>
  <si>
    <t>BALANCE_MASK   when hide
s = currency symbol()
neg = '-'   if n &lt; 0
''   otherwise
a = size of(n)
`${neg}${s}${(a ÷ 1e6).to fixed(2).replace( ÷ \.?0+$ ÷ , '')}${style}`   when a ≥ 1e6
`${neg}${s}${math.round(a ÷ 1e3)}K`   when a ≥ 1e3
the answer = `${neg}${s}${math.round(a)}`</t>
  </si>
  <si>
    <t>When hide, it answers BALANCE_MASK. S is currency symbol(). Neg is '-' — when n &lt; 0; '' — otherwise. A is size of(n). When a is at least 1e6, it answers `${neg}${s}${(a divided by 1e6).to fixed(2).replace( divided by \.?0+$ divided by , '')}${style}`. When a is at least 1e3, it answers `${neg}${s}${math.a divided by 1e3, to a whole number}K`. The answer is `${neg}${s}${math.a, to a whole number}`.</t>
  </si>
  <si>
    <t>1. n: number
2. style: 'M' | 'MM' = 'MM'</t>
  </si>
  <si>
    <t>1. "NEST EGG" — on the Retirement cockpit screen
2. "Nest egg today" — on the Retirement cockpit screen, under "scRetired ?"
3. "Nest egg" — on the Retirement cockpit screen, under "RETIREMENT
4. WHERE YOU STAND"
5. "Projected nest egg" — on the Retirement cockpit screen
6. "Suggested withdrawal order" — on the Retirement cockpit screen
7. "Surplus" — on the Retirement cockpit screen, under "RETIREMENT
8. WHERE YOU STAND"</t>
  </si>
  <si>
    <t>1. Rounds the answer to a whole number.
2. Shows 2 decimal places.</t>
  </si>
  <si>
    <t>1. MK-ST-F-047 activeCurrency → MK-ST-F-048 currencySymbol → MK-ST-F-051 moneyCompact
2. MK-XS-F-122 n → MK-ST-F-051 moneyCompact</t>
  </si>
  <si>
    <t>MK-ST-F-052</t>
  </si>
  <si>
    <t>toNum</t>
  </si>
  <si>
    <t>n = parse float(string(v ?? '').replace( ÷ [^0 − 9.\-] ÷ g, ''))
the answer:
n   if number.is finite(n)
0   otherwise</t>
  </si>
  <si>
    <t>N is parse float(string(v ?? '').replace( divided by [^0 minus 9.\-] divided by g, '')). The answer is n — when number.is finite(n); 0 — otherwise.</t>
  </si>
  <si>
    <t>MK-XS-F-122 n → MK-ST-F-052 toNum</t>
  </si>
  <si>
    <t>MK-ST-F-053</t>
  </si>
  <si>
    <t>money</t>
  </si>
  <si>
    <t>Currency/locale-aware (delegates to the active money format; defaults to USD/en-US).</t>
  </si>
  <si>
    <t>format money(n)</t>
  </si>
  <si>
    <t>1. "ACCOUNTS (year-end)" — on the Tax organiser screen, under "ACCOUNTS (year-end)"
2. "Allocate to this goal ›" — on the Goals screen, under "YOUR GOALS"
3. "Amount" — on the budget screen
4. "Annual vesting cash flow" — on the setup questions, which appear on more than one screen
5. "Annuity / other" — on the setup questions, which appear on more than one screen
6. "Available /year" — on the setup questions, which appear on more than one screen</t>
  </si>
  <si>
    <t>1. MK-ST-F-049 formatMoney
2. MK-XS-F-122 n</t>
  </si>
  <si>
    <t>1. MK-ST-F-049 formatMoney
2. MK-XS-F-122 n
3. MK-ST-F-048 currencySymbol
4. MK-ST-F-039 on
5. MK-ST-F-047 activeCurrency</t>
  </si>
  <si>
    <t>1. MK-ST-F-047 activeCurrency → MK-ST-F-048 currencySymbol → MK-ST-F-049 formatMoney → MK-ST-F-053 money
2. MK-XS-F-122 n → MK-ST-F-049 formatMoney → MK-ST-F-053 money
3. MK-ST-F-039 on → MK-ST-F-049 formatMoney → MK-ST-F-053 money
4. MK-XS-F-122 n → MK-ST-F-053 money</t>
  </si>
  <si>
    <t>MK-ST-F-054</t>
  </si>
  <si>
    <t>money2</t>
  </si>
  <si>
    <t>Same, but keeps cents — for precise amounts (transactions, holdings).</t>
  </si>
  <si>
    <t>format money cents(n)</t>
  </si>
  <si>
    <t>1. "Monthly equivalent" — on the income screen
2. "No transactions yet." — on the Performance screen
3. "Total" — on the Import holdings screen
4. "Value" — on the Import holdings screen, under "REVIEW YOUR HOLDINGS"
5. "You earned" — on the income screen</t>
  </si>
  <si>
    <t>1. MK-ST-F-050 formatMoneyCents
2. MK-XS-F-122 n</t>
  </si>
  <si>
    <t>1. MK-ST-F-050 formatMoneyCents
2. MK-XS-F-122 n
3. MK-ST-F-048 currencySymbol
4. MK-ST-F-047 activeCurrency</t>
  </si>
  <si>
    <t>1. MK-ST-F-047 activeCurrency → MK-ST-F-048 currencySymbol → MK-ST-F-050 formatMoneyCents → MK-ST-F-054 money2
2. MK-XS-F-122 n → MK-ST-F-050 formatMoneyCents → MK-ST-F-054 money2
3. MK-XS-F-122 n → MK-ST-F-054 money2</t>
  </si>
  <si>
    <t>round2</t>
  </si>
  <si>
    <t>Rounds a money figure to the cent — two decimals.</t>
  </si>
  <si>
    <t>round2(n) = round(n × 100) ÷ 100</t>
  </si>
  <si>
    <t>Rounds to two decimal places — the cent. The hundred is the rounding scale, nothing to do with percentages or with an option contract being a hundred shares.</t>
  </si>
  <si>
    <t>· Rounds the answer to two decimals (cents).</t>
  </si>
  <si>
    <t>[from MK-NW-M-043, Assumptions; typed A15] does it round to 2 decimals or a whole number? Two contradicting statements.</t>
  </si>
  <si>
    <t>Two decimals: round(n × 100) ÷ 100. Both file lines are false (A15, C4); the generator misreads the idiom. Fix the generator and re-extract; the row then reads 'Rounds to two decimals (cents)'. Code right.</t>
  </si>
  <si>
    <t>WAITING ON YOU — answer to read · CODED, NOT TESTED (C4)</t>
  </si>
  <si>
    <t>MK-ST-F-056</t>
  </si>
  <si>
    <t>has</t>
  </si>
  <si>
    <t>re.test(s)</t>
  </si>
  <si>
    <t>1. s: string
2. re: RegExp</t>
  </si>
  <si>
    <t>MK-ST-F-057</t>
  </si>
  <si>
    <t>divRounded</t>
  </si>
  <si>
    <t>Calculation Module code/engines/decimal.ts</t>
  </si>
  <si>
    <t>Round-half-even division on bigints.</t>
  </si>
  <si>
    <t>negative = (num &lt; 0n) ! = (den &lt; 0n)
n = -num   if num &lt; 0n
-den   if num, d = den &lt; 0n
den   otherwise   otherwise
q = n ÷ d, r = (n % d) × 2n
out = q
the answer:
-out   if negative
out   otherwise</t>
  </si>
  <si>
    <t>Negative is (num &lt; 0n) ! = (den &lt; 0n). N is -num — when num &lt; 0n; -den — when num, d = den &lt; 0n; den — otherwise — otherwise. Q is n divided by d, r = (n % d) times 2n. Out is q. The answer is -out — when negative; out — otherwise.</t>
  </si>
  <si>
    <t>1. num: bigint
2. den: bigint</t>
  </si>
  <si>
    <t>bigint</t>
  </si>
  <si>
    <t>MK-ST-F-058</t>
  </si>
  <si>
    <t>numberOrUndefined</t>
  </si>
  <si>
    <t>n = v   if v is a number
na n   if v = nothing
parse float(string(v).replace( ÷ [$,\s] ÷ g, ''))   otherwise   otherwise
the answer:
n   if number.is finite(n)
undefined   otherwise</t>
  </si>
  <si>
    <t>N is v — when v is a number; na n — when v is missing; parse float(string(v).replace( divided by [$,\s] divided by g, '')) — otherwise — otherwise. The answer is n — when number.is finite(n); undefined — otherwise.</t>
  </si>
  <si>
    <t>v: unknown</t>
  </si>
  <si>
    <t>number | undefined</t>
  </si>
  <si>
    <t>MK-XS-F-122 n → MK-ST-F-058 numberOrUndefined</t>
  </si>
  <si>
    <t>MK-ST-F-059</t>
  </si>
  <si>
    <t>round8</t>
  </si>
  <si>
    <t>round(n × 1e8) ÷ 1e8</t>
  </si>
  <si>
    <t>n times 1e8, to a whole number divided by 1e8</t>
  </si>
  <si>
    <t>· Rounds the answer to 8 decimal places.</t>
  </si>
  <si>
    <t>MK-ST-F-060</t>
  </si>
  <si>
    <t>verdict</t>
  </si>
  <si>
    <t>difference = computed.sub(stated)</t>
  </si>
  <si>
    <t>Difference is computed.sub(stated).</t>
  </si>
  <si>
    <t>1. computed: Dec
2. stated: Dec
3. what: string</t>
  </si>
  <si>
    <t>Reconciliation</t>
  </si>
  <si>
    <t>MK-ST-F-061</t>
  </si>
  <si>
    <t>isMonthEnd</t>
  </si>
  <si>
    <t>last = the date y, m, 0).get date(
false   when the first 7)}-${string(d).pad start(2, '0')}` of all dates.has(`${date
the answer = true</t>
  </si>
  <si>
    <t>Last: the date y, m, 0).get date(. When the first 7)}-${string(d).pad start(2, '0')}` of all dates.has(`${date, it answers false. The answer is true.</t>
  </si>
  <si>
    <t>1. date: string
2. allDates: Set&lt;string&gt;</t>
  </si>
  <si>
    <t>1. MK-ST-F-056 has → MK-ST-F-061 isMonthEnd
2. MK-CF-F-132 map → MK-ST-F-061 isMonthEnd</t>
  </si>
  <si>
    <t>MK-ST-F-062</t>
  </si>
  <si>
    <t>toUtc</t>
  </si>
  <si>
    <t>the answer = the milliseconds since 1970 of the date at midnight UTC</t>
  </si>
  <si>
    <t>A 'YYYY-MM-DD' text as a moment in time at midnight UTC, so day arithmetic is unaffected by the device's timezone.</t>
  </si>
  <si>
    <t>d: string</t>
  </si>
  <si>
    <t>00:00Z`);</t>
  </si>
  <si>
    <t>MK-ST-F-063</t>
  </si>
  <si>
    <t>shiftDay</t>
  </si>
  <si>
    <t>the first 10 of the date to utc(d) + by × day ms).to isostring(</t>
  </si>
  <si>
    <t>the first 10 of the date to utc(d) plus by times day ms).to isostring(</t>
  </si>
  <si>
    <t>1. d: string
2. by: number</t>
  </si>
  <si>
    <t>MK-ST-F-062 toUtc</t>
  </si>
  <si>
    <t>MK-ST-F-062 toUtc → MK-ST-F-063 shiftDay</t>
  </si>
  <si>
    <t>MK-ST-F-064</t>
  </si>
  <si>
    <t>modifiedDietzOverWindow</t>
  </si>
  <si>
    <t>w = window bounds(start, end)
flows = flows (or none when missing)
net flows = dec.sum(flows.map((f) =&gt; amount))
gain = ending.sub(beginning).sub(net flows)
t = min(max(round((to utc(date) − to utc(start)) ÷ day ms), 0), days − 1)
the answer = (days − t) ÷ days
denom = Σ over flows of (amount.to number(8) × weight(each))  starting from beginning.to number(8)
dateless = flows.some((f) =&gt; !date)
limit = beginning.abs().to number(8) × DATELESS_FLOW_LIMIT
r = rate with(() =&gt; 0.5)
rate = rate with((f) =&gt; weight of(date!))
… the first steps only — the rest of the body needs reading by hand.</t>
  </si>
  <si>
    <t>W is window bounds(start, end). Flows is flows (or none — when missing). Net flows is dec.sum(flows.map((f) =&gt; amount)). Gain is ending.sub(beginning).sub(net flows). T: the smaller of the larger of (to utc(date and to a whole number minus to utc(start) divided by day ms) and 0, days minus 1). The answer is (days minus t) divided by days. Denom: the amount.to number(8) times weight(each)) starting from beginning.to number(8 added up across flows. Dateless is flows.some((f) =&gt; !date). Limit is beginning.abs().to number(8) times DATELESS_FLOW_LIMIT. R is rate with(() =&gt; 0.5). Rate is rate with((f) =&gt; weight of(date!)). Only the first steps are shown; the rest of the body needs reading by hand.</t>
  </si>
  <si>
    <t>1. "Return" — on the Account detail screen, under "THE HOLDINGS
2. $"</t>
  </si>
  <si>
    <t>1. MK-CF-F-132 map
2. MK-ST-F-053 money
3. MK-ST-F-021 toNumber
4. MK-ST-F-062 toUtc
5. MK-ST-F-038 windowBounds</t>
  </si>
  <si>
    <t>1. MK-CF-F-132 map
2. MK-ST-F-053 money
3. MK-ST-F-021 toNumber
4. MK-ST-F-062 toUtc
5. MK-ST-F-038 windowBounds
6. MK-ST-F-049 formatMoney
7. MK-XS-F-122 n
8. MK-ST-F-063 shiftDay
9. MK-ST-F-048 currencySymbol
10. MK-ST-F-039 on
11. MK-ST-F-047 activeCurrency</t>
  </si>
  <si>
    <t>1. MK-CF-F-132 map → MK-ST-F-064 modifiedDietzOverWindow
2. MK-ST-F-047 activeCurrency → MK-ST-F-048 currencySymbol → MK-ST-F-049 formatMoney → MK-ST-F-053 money → MK-ST-F-064 modifiedDietzOverWindow
3. MK-XS-F-122 n → MK-ST-F-049 formatMoney → MK-ST-F-053 money → MK-ST-F-064 modifiedDietzOverWindow
4. MK-ST-F-039 on → MK-ST-F-049 formatMoney → MK-ST-F-053 money → MK-ST-F-064 modifiedDietzOverWindow
5. MK-XS-F-122 n → MK-ST-F-053 money → MK-ST-F-064 modifiedDietzOverWindow
6. MK-XS-F-122 n → MK-ST-F-021 toNumber → MK-ST-F-064 modifiedDietzOverWindow
7. MK-ST-F-062 toUtc → MK-ST-F-064 modifiedDietzOverWindow
8. MK-ST-F-062 toUtc → MK-ST-F-063 shiftDay → MK-ST-F-038 windowBounds → MK-ST-F-064 modifiedDietzOverWindow
9. … and 1 more paths</t>
  </si>
  <si>
    <t>MK-ST-F-065</t>
  </si>
  <si>
    <t>isoLocalDate</t>
  </si>
  <si>
    <t>src/domain/_shared/dates.ts</t>
  </si>
  <si>
    <t>THE DATE A PERSON IS LIVING IN, not the one UTC is.</t>
  </si>
  <si>
    <t>`${get full year()}-${string(get month() + 1).pad start(2, '0')}-${string(get date()).pad start(2, '0')}`</t>
  </si>
  <si>
    <t>`${get full year()}-${string(get month() plus 1).pad start(2, '0')}-${string(get date()).pad start(2, '0')}`.</t>
  </si>
  <si>
    <t>"Date (opt)" — on the Performance screen</t>
  </si>
  <si>
    <t>MK-ST-F-066</t>
  </si>
  <si>
    <t>isDayKey</t>
  </si>
  <si>
    <t>Calculation Module code/engines/rebuild-history.ts</t>
  </si>
  <si>
    <t>d: unknown</t>
  </si>
  <si>
    <t>d is string</t>
  </si>
  <si>
    <t>MK-ST-F-067</t>
  </si>
  <si>
    <t>utcOfDay</t>
  </si>
  <si>
    <t>the first 4), +slice(5, 7) − 1, +slice(8, 10) of date.UTC(+d</t>
  </si>
  <si>
    <t>the first 4), +slice(5, 7) minus 1, +slice(8, 10) of date.UTC(+d</t>
  </si>
  <si>
    <t>MK-ST-F-068</t>
  </si>
  <si>
    <t>stepDay</t>
  </si>
  <si>
    <t>the first 10 of the date utc of day(d) + days × DAY).to isostring(</t>
  </si>
  <si>
    <t>the first 10 of the date utc of day(d) plus days times DAY).to isostring(</t>
  </si>
  <si>
    <t>1. d: string
2. days: number</t>
  </si>
  <si>
    <t>MK-ST-F-067 utcOfDay</t>
  </si>
  <si>
    <t>MK-ST-F-067 utcOfDay → MK-ST-F-068 stepDay</t>
  </si>
  <si>
    <t>MK-ST-F-069</t>
  </si>
  <si>
    <t>amountOf</t>
  </si>
  <si>
    <t>v   if typeof v = 'number' and number.is finite(v)
0   otherwise</t>
  </si>
  <si>
    <t>v — when typeof v = 'number' and number.is finite(v); 0 — otherwise</t>
  </si>
  <si>
    <t>0);</t>
  </si>
  <si>
    <t>1. "Certain months" — on the setup questions, which appear on more than one screen
2. "How many kids or dependents?" — on the setup questions, which appear on more than one screen
3. "Total interest" — on the setup questions, which appear on more than one screen
4. "When does it land? (pick the months)" — on the setup questions, which appear on more than one screen
5. "When is it due? (pick the months)" — on the setup questions, which appear on more than one screen</t>
  </si>
  <si>
    <t>MK-ST-F-070</t>
  </si>
  <si>
    <t>isOpening</t>
  </si>
  <si>
    <t>An opening row is the first capture of something that already existed — proof that the records do NOT reach behind it.</t>
  </si>
  <si>
    <t>type = 'OPENING_POSITION' (or type = 'OPENING_CASH' when missing or zero)</t>
  </si>
  <si>
    <t>type = 'OPENING_POSITION' (or type = 'OPENING_CASH' — when missing or zero)</t>
  </si>
  <si>
    <t>t: RebuildTxn</t>
  </si>
  <si>
    <t>MK-ST-F-071</t>
  </si>
  <si>
    <t>rebuildableFrom</t>
  </si>
  <si>
    <t>The earliest day this account's past can honestly be rebuilt to: the first record it gave us, but never behind an opening capture, because nothing explains what sat there before it.</t>
  </si>
  <si>
    <t>first = nothing
last opening = nothing
nothing   when first = nothing
the answer:
last opening   if last opening ≠ nothing and last opening &gt; first
first   otherwise</t>
  </si>
  <si>
    <t>First is no answer. Last opening is no answer. When first is missing, it answers no answer. The answer is last opening — when last opening is not no answer and last opening &gt; first; first — otherwise.</t>
  </si>
  <si>
    <t>1. txns: RebuildTxn[]
2. accountId: string</t>
  </si>
  <si>
    <t>1. MK-ST-F-066 isDayKey
2. MK-ST-F-070 isOpening</t>
  </si>
  <si>
    <t>1. MK-ST-F-066 isDayKey → MK-ST-F-071 rebuildableFrom
2. MK-ST-F-070 isOpening → MK-ST-F-071 rebuildableFrom</t>
  </si>
  <si>
    <t>MK-ST-F-072</t>
  </si>
  <si>
    <t>undo</t>
  </si>
  <si>
    <t>Undo one record: take the state on the day AFTER it back to the state before it happened.</t>
  </si>
  <si>
    <t>acc = account id
key = (ticker ?? '').trim().to upper case()
cash = (id: string, by: number) =&gt; cash of.set(id, (cash of.get(id) ?? 0) + by)
m = `${id}|${k}`
cur = held.get(m) (or units = 0 when missing)</t>
  </si>
  <si>
    <t>Acc is account id. Key is (ticker ?? '').trim().to upper case(). Cash is (id: string, by: number) =&gt; cash of.set(id, (cash of.get(id) ?? 0) plus by). M is `${id}|${k}`. Cur is held.get(m) (or units = 0 — when missing).</t>
  </si>
  <si>
    <t>1. t: RebuildTxn
2. held: Map&lt;string, Held&gt;
3. cashOf: Map&lt;string, number&gt;</t>
  </si>
  <si>
    <t>1. MK-ST-F-069 amountOf
2. MK-CF-F-155 cash
3. MK-ST-F-035 covers</t>
  </si>
  <si>
    <t>1. MK-ST-F-069 amountOf
2. MK-CF-F-155 cash
3. MK-ST-F-035 covers
4. MK-XS-F-122 n
5. MK-ST-F-034 firstDate</t>
  </si>
  <si>
    <t>1. MK-ST-F-069 amountOf → MK-ST-F-072 undo
2. MK-XS-F-122 n → MK-CF-F-155 cash → MK-ST-F-072 undo
3. MK-ST-F-034 firstDate → MK-ST-F-035 covers → MK-ST-F-072 undo</t>
  </si>
  <si>
    <t>MK-ST-F-073</t>
  </si>
  <si>
    <t>rebuildDays</t>
  </si>
  <si>
    <t>Rebuild the daily record backwards from today, for the accounts whose records can explain it.</t>
  </si>
  <si>
    <t>days = []
start by account = {}
skipped = []   when !is day key(today) (or !is day key(earliest) (or earliest &gt; today when missing or zero) when missing or zero)
wanted = accounts (or none when missing) where account ids.has(string(asset id))
days = []
start by account = {}
skipped = []   when count of wanted is missing
start by account = {}
from = rebuildable from(input.transactions ?? [], string(asset id))
starts = object.values(start by account)
days = []
start by account = {}
skipped = []   when count of starts is missing
floor = starts.reduce((m, d) =&gt; (d &lt; m ? d : m))
held = new map&lt;string, held&gt;()
cash of = new map&lt;string, number&gt;()
symbol of = new map&lt;string, string&gt;()
… the first steps only — the rest of the body needs reading by hand.</t>
  </si>
  <si>
    <t>When !is day key(today) (or !is day key(earliest) (or earliest &gt; today — when missing or zero) — when missing or zero), it answers days = []; start by account = {}; skipped = []. Wanted is accounts (or none — when missing) where account ids.has(string(asset id)). When how many wanted is missing there are, it answers days = []; start by account = {}; skipped = []. Start by account is {}. From is rebuildable from(input.transactions ?? [], string(asset id)). Starts is object.values(start by account). When how many starts is missing there are, it answers days = []; start by account = {}; skipped = []. Floor is starts.reduce((m, d) =&gt; (d &lt; m ? d : m)). Held is new map&lt;string, held&gt;(). Cash of is new map&lt;string, number&gt;(). Symbol of is new map&lt;string, string&gt;(). Only the first steps are shown; the rest of the body needs reading by hand.</t>
  </si>
  <si>
    <t>input: RebuildInput</t>
  </si>
  <si>
    <t>RebuildResult</t>
  </si>
  <si>
    <t>· Uses a built-in cursor of 0.</t>
  </si>
  <si>
    <t>1. MK-ST-F-069 amountOf
2. MK-CF-F-133 cashOf
3. MK-ST-F-056 has
4. MK-ST-F-066 isDayKey
5. MK-ST-F-070 isOpening
6. MK-CF-F-132 map
7. MK-ST-F-071 rebuildableFrom
8. MK-ST-F-068 stepDay
9. MK-ST-F-072 undo</t>
  </si>
  <si>
    <t>1. MK-ST-F-069 amountOf
2. MK-CF-F-133 cashOf
3. MK-ST-F-056 has
4. MK-ST-F-066 isDayKey
5. MK-ST-F-070 isOpening
6. MK-CF-F-132 map
7. MK-ST-F-071 rebuildableFrom
8. MK-ST-F-068 stepDay
9. MK-ST-F-072 undo
10. MK-ST-F-067 utcOfDay
11. MK-CF-F-155 cash
12. MK-ST-F-035 covers
13. MK-XS-F-122 n
14. MK-ST-F-034 firstDate</t>
  </si>
  <si>
    <t>1. MK-ST-F-069 amountOf → MK-ST-F-073 rebuildDays
2. MK-CF-F-133 cashOf → MK-ST-F-073 rebuildDays
3. MK-ST-F-056 has → MK-ST-F-073 rebuildDays
4. MK-ST-F-066 isDayKey → MK-ST-F-073 rebuildDays
5. MK-ST-F-070 isOpening → MK-ST-F-073 rebuildDays
6. MK-CF-F-132 map → MK-ST-F-073 rebuildDays
7. MK-ST-F-066 isDayKey → MK-ST-F-071 rebuildableFrom → MK-ST-F-073 rebuildDays
8. MK-ST-F-070 isOpening → MK-ST-F-071 rebuildableFrom → MK-ST-F-073 rebuildDays
9. … and 4 more paths</t>
  </si>
  <si>
    <t>MK-ST-F-074</t>
  </si>
  <si>
    <t>rebuiltSentence</t>
  </si>
  <si>
    <t>The one sentence the screen says about a rebuilt line: where it came from and where it starts.</t>
  </si>
  <si>
    <t>''   when from is missing
who = (institution ?? '').trim()
day = the date `${from}T12:00:00`).to locale date string('en − US', { month: 'short', day: 'numeric', year: 'numeric' }</t>
  </si>
  <si>
    <t>When from is missing, it answers ''. Who is (institution ?? '').trim(). Day: the date `${from}T12:00:00`).to locale date string('en minus US', { month: 'short', day: 'numeric', year: 'numeric' }.</t>
  </si>
  <si>
    <t>1. institution: string | null | undefined
2. from: string | null</t>
  </si>
  <si>
    <t>MK-XS-F-001</t>
  </si>
  <si>
    <t>planCompleteness</t>
  </si>
  <si>
    <t>src/domain/completeness/index.ts</t>
  </si>
  <si>
    <t>done count = checks where donecount of 
total = count of checks
the answer:
checks = checks
done count = done count
total = total
pct = round((done count ÷ total) × 100)</t>
  </si>
  <si>
    <t>Done count is checks where donecount of. Total: how many checks there are. The answer is checks = checks; done count = done count; total = total; pct = (done count divided by total, to a whole number times 100).</t>
  </si>
  <si>
    <t>i: CompletenessInput</t>
  </si>
  <si>
    <t>MK-XS-F-002</t>
  </si>
  <si>
    <t>dataGaps</t>
  </si>
  <si>
    <t>src/domain/gaps/index.ts</t>
  </si>
  <si>
    <t>Every incomplete promise across the given accounts.</t>
  </si>
  <si>
    <t>gaps = []
names = names for(accounts ?? [])
who = name of(a, names)
priced = price ≠ nothing and price &gt; 0
d = days since(last synced, now)
unreachable = (failures ?? []).find((f) =&gt; account id = asset id)
has activity = (transactions ?? []).some((t) =&gt; account id = asset id and (type = 'DIVIDEND' or type = 'INTEREST'))
cov = history coverage(a, window start, new date(now))   if window start
nothing   otherwise
d = days since(value as of, now)
the answer = gaps</t>
  </si>
  <si>
    <t>Gaps is []. Names is names for(accounts ?? []). Who is name of(a, names). Priced is price is not no answer and price &gt; 0. D is days since(last synced, now). Unreachable is (failures ?? []).find((f) =&gt; account id = asset id). Has activity is (transactions ?? []).some((t) =&gt; account id = asset id and (type = 'DIVIDEND' or type = 'INTEREST')). Cov is history coverage(a, window start, new date(now)) — when window start; no answer — otherwise. D is days since(value as of, now). The answer is gaps.</t>
  </si>
  <si>
    <t>1. If shares is missing it uses 0.
2. Treats a year as 365 days.
3. Uses today's date from the device clock, so the answer changes by itself overnight.</t>
  </si>
  <si>
    <t>1. MK-XS-F-170 daysSince
2. MK-NW-F-046 historyCoverage
3. MK-XS-F-120 nameOf
4. MK-XS-F-119 namesFor
5. MK-XS-F-118 prettyDate</t>
  </si>
  <si>
    <t>1. MK-XS-F-170 daysSince
2. MK-NW-F-046 historyCoverage
3. MK-XS-F-120 nameOf
4. MK-XS-F-119 namesFor
5. MK-XS-F-118 prettyDate
6. MK-CF-F-132 map
7. MK-NW-F-068 prettyDay
8. MK-NW-F-026 accountDisplayNames
9. MK-NW-F-025 accountDisplayName
10. MK-CF-F-155 cash
11. MK-XS-F-122 n
12. MK-NW-F-024 accountLastFour
13. MK-NW-F-012 taxTreatmentOf
14. MK-NW-F-023 wrapperWord</t>
  </si>
  <si>
    <t>1. MK-XS-F-170 daysSince → MK-XS-F-002 dataGaps
2. MK-CF-F-132 map → MK-NW-F-046 historyCoverage → MK-XS-F-002 dataGaps
3. MK-CF-F-132 map → MK-NW-F-068 prettyDay → MK-NW-F-046 historyCoverage → MK-XS-F-002 dataGaps
4. MK-XS-F-120 nameOf → MK-XS-F-002 dataGaps
5. accountDisplayNames (already above — a loop) → MK-NW-F-025 accountDisplayName → MK-NW-F-026 accountDisplayNames → MK-XS-F-119 namesFor → MK-XS-F-002 dataGaps
6. MK-NW-F-024 accountLastFour → MK-NW-F-025 accountDisplayName → MK-NW-F-026 accountDisplayNames → MK-XS-F-119 namesFor → MK-XS-F-002 dataGaps
7. MK-NW-F-012 taxTreatmentOf → MK-NW-F-025 accountDisplayName → MK-NW-F-026 accountDisplayNames → MK-XS-F-119 namesFor → MK-XS-F-002 dataGaps
8. MK-NW-F-023 wrapperWord → MK-NW-F-025 accountDisplayName → MK-NW-F-026 accountDisplayNames → MK-XS-F-119 namesFor → MK-XS-F-002 dataGaps
9. … and 4 more paths</t>
  </si>
  <si>
    <t>WHAT_IS_MISSING</t>
  </si>
  <si>
    <t>MK-XS-F-003</t>
  </si>
  <si>
    <t>gapsHeadline</t>
  </si>
  <si>
    <t>2 · DISPLAYED (presentation only)</t>
  </si>
  <si>
    <t>The banner sentence — plural-correct, and absent (null) when nothing is missing.</t>
  </si>
  <si>
    <t>nothing   when count of gaps is missing
'1 number needs more information'   if gaps.length = 1
`${gaps.length} numbers need more information`   otherwise</t>
  </si>
  <si>
    <t>When how many gaps is missing there are, it answers no answer. '1 number needs more information' — when gaps.length = 1; `${gaps.length} numbers need more information` — otherwise.</t>
  </si>
  <si>
    <t>gaps: DataGap[]</t>
  </si>
  <si>
    <t>MK-XS-F-004</t>
  </si>
  <si>
    <t>buildDatedGrid</t>
  </si>
  <si>
    <t>src/domain/grid/index.ts</t>
  </si>
  <si>
    <t>Build the dated 12-month grid.</t>
  </si>
  <si>
    <t>a = op (or none when missing)
now = opts.now (or new date() when missing)
rates = monthly tax rates(op, opts.now ?? new date())
net at = (s: number, gross: number) =&gt; gross × (1 − rates[cal month(s)])
start month = now.get month()
start year = now.get full year()
now idx = start year × 12 + start month
cal month = (s: number) =&gt; (start month + s) % 12
slot of = (m1to12: number) =&gt; ((m1to12 − 1) − start month + 12) % 12
slot of(m1to12)   when year is missing
idx = year × 12 + (m1to12 − 1) − now idx
[LOOP — the answer is found inside a loop the extractor cannot render; the steps above are the ones before it. Read by hand.]
… the first steps only — the rest of the body needs reading by hand.</t>
  </si>
  <si>
    <t>A is op (or none — when missing). Now is opts.now (or new date() — when missing). Rates is monthly tax rates(op, opts.now ?? new date()). Net at is (s: number, gross: number) =&gt; gross times (1 minus rates[cal month(s)]). Start month is now.get month(). Start year is now.get full year(). Now idx is start year times 12 plus start month. Cal month is (s: number) =&gt; (start month plus s) % 12. Slot of is (m1to12: number) =&gt; ((m1to12 minus 1) minus start month plus 12) % 12. When year is missing, it answers slot of(m1to12). Idx is year times 12 plus (m1to12 minus 1) minus now idx. The answer is found inside a loop that cannot be rendered here; read the code by hand. Only the first steps are shown; the rest of the body needs reading by hand.</t>
  </si>
  <si>
    <t>1. op: OnboardingProfile | null
2. opts: GridOptions = {}</t>
  </si>
  <si>
    <t>DatedGrid</t>
  </si>
  <si>
    <t>1. If year is missing it uses 0.
2. If a year is missing it uses 0.
3. If start balance is missing it uses 0.
4. Turns a monthly figure into a year by multiplying by twelve.
5. Uses today's date from the device clock, so the answer changes by itself overnight.
6. Never lets start idx fall below 0.
7. Caps end idx at 11.</t>
  </si>
  <si>
    <t>1. MK-CF-F-069 benefitActiveMonths
2. MK-CF-F-072 currentRetirementIncomeMonthly
3. MK-CF-F-018 equityByMonth
4. MK-ST-F-056 has
5. MK-CF-F-132 map
6. MK-ST-F-053 money
7. MK-CF-F-087 monthlyTaxRates
8. MK-CF-F-073 otherIncomeMonth
9. MK-CF-F-022 paymentShape
10. MK-CF-F-068 rentalNetAnnual
11. MK-CF-F-023 requiredPayment
12. MK-CF-F-060 salaryGrossByMonth
13. MK-CF-F-008 spendByMonth
14. MK-ST-F-052 toNum</t>
  </si>
  <si>
    <t>1. MK-CF-F-069 benefitActiveMonths
2. MK-CF-F-072 currentRetirementIncomeMonthly
3. MK-CF-F-018 equityByMonth
4. MK-ST-F-056 has
5. MK-CF-F-132 map
6. MK-ST-F-053 money
7. MK-CF-F-087 monthlyTaxRates
8. MK-CF-F-073 otherIncomeMonth
9. MK-CF-F-022 paymentShape
10. MK-CF-F-068 rentalNetAnnual
11. MK-CF-F-023 requiredPayment
12. MK-CF-F-060 salaryGrossByMonth
13. MK-CF-F-008 spendByMonth
14. MK-ST-F-052 toNum
15. MK-CF-F-075 retirementIncomeMonthly
16. MK-CF-F-062 equityRowValue
17. MK-CF-F-066 rsuAnnual
18. MK-CF-F-121 zero12
19. MK-ST-F-049 formatMoney
20. MK-XS-F-122 n
21. MK-CF-F-090 effectiveRate
22. MK-CF-F-085 filingStatusOf
23. MK-CF-F-089 over65CountOf
24. MK-CF-F-098 progressiveMonthlyTax
25. MK-CF-F-181 rateInForce
26. MK-CF-F-086 stateRateOf
27. MK-CF-F-088 taxableByCalendarMonth
28. MK-CF-F-021 defaultPaymentType
29. MK-CF-F-067 rentalList
30. MK-CF-F-176 sumMonthsOverEarners
31. MK-CF-F-177 wageGrossByMonth
32. MK-CF-F-120 pctBaseMonthly
33. MK-CF-F-004 spendBuckets
34. MK-CF-F-063 rowVestYear
35. MK-ST-F-048 currencySymbol
36. MK-ST-F-039 on
37. MK-CF-F-101 taxOwedFor
38. MK-CF-F-100 taxableIncomeFor
39. MK-CF-F-173 earnerWages
40. MK-CF-F-102 effectiveRateOnGrossFor
41. MK-CF-F-180 enteredLandsAnnual
42. MK-CF-F-082 salaryAnnual
43. MK-CF-F-084 taxableAnnual
44. MK-CF-F-065 equityVestWeights
45. MK-CF-F-071 extraIncome
46. MK-CF-F-130 enteredMonthlyRaw
47. MK-CF-F-166 hasMonthlySalaryTable
48. MK-ST-F-036 reconcile
49. MK-CF-F-167 salaryCalendarYear
50. MK-CF-F-092 incomeMonthlyGrid
51. MK-CF-F-003 categoryMonthly
52. MK-ST-F-047 activeCurrency
53. MK-CF-F-099 deductionFor
54. MK-CF-F-172 hasWage
55. MK-CF-F-074 tipsAnnual
56. MK-CF-F-070 benefitAnnual
57. MK-CF-F-165 salaryMonths
58. MK-CF-F-077 scholarshipByCalendarMonth
59. MK-PL-F-012 waterfall
60. MK-XS-F-027 takeHomeMonthly
61. MK-CF-F-187 seniorDeductionFor
62. MK-CF-F-081 salaryActiveMonths
63. MK-CF-F-011 savingsByMonth</t>
  </si>
  <si>
    <t>1. MK-CF-F-069 benefitActiveMonths → MK-XS-F-004 buildDatedGrid
2. MK-XS-F-122 n → MK-ST-F-052 toNum → MK-CF-F-075 retirementIncomeMonthly → MK-CF-F-072 currentRetirementIncomeMonthly → MK-XS-F-004 buildDatedGrid
3. MK-XS-F-122 n → MK-ST-F-052 toNum → MK-CF-F-062 equityRowValue → MK-CF-F-018 equityByMonth → MK-XS-F-004 buildDatedGrid
4. MK-XS-F-122 n → MK-ST-F-052 toNum → MK-CF-F-062 equityRowValue → MK-CF-F-066 rsuAnnual → MK-CF-F-018 equityByMonth → MK-XS-F-004 buildDatedGrid
5. MK-CF-F-132 map → MK-CF-F-066 rsuAnnual → MK-CF-F-018 equityByMonth → MK-XS-F-004 buildDatedGrid
6. MK-CF-F-063 rowVestYear → MK-CF-F-066 rsuAnnual → MK-CF-F-018 equityByMonth → MK-XS-F-004 buildDatedGrid
7. MK-XS-F-122 n → MK-ST-F-052 toNum → MK-CF-F-066 rsuAnnual → MK-CF-F-018 equityByMonth → MK-XS-F-004 buildDatedGrid
8. MK-CF-F-121 zero12 → MK-CF-F-018 equityByMonth → MK-XS-F-004 buildDatedGrid
9. … and 5 more paths</t>
  </si>
  <si>
    <t>src/domain/history.ts</t>
  </si>
  <si>
    <t>Chart series = monthly snapshots + daily points, chronological ('YYYY-MM' sorts before its days).</t>
  </si>
  <si>
    <t>pts = for each of read history(monthly): key = month
nw = net worth
the answer = pts.sort((a, b) =&gt; key.locale compare(key))</t>
  </si>
  <si>
    <t>Pts is for each of read history(monthly): key = month; nw = net worth. The answer is pts.sort((a, b) =&gt; key.locale compare(key)).</t>
  </si>
  <si>
    <t>1. MK-CF-F-132 map
2. MK-XS-F-009 readHistory</t>
  </si>
  <si>
    <t>1. MK-CF-F-132 map
2. MK-XS-F-009 readHistory
3. MK-XS-F-008 normalizeSnapshot
4. MK-CF-F-191 ym
5. MK-XS-F-121 isYm
6. MK-XS-F-122 n
7. MK-CF-O-002 spending
8. MK-CF-F-151 actualSpending
9. MK-CF-F-150 debtPaymentsCountedAsExpenses
10. MK-CF-F-153 radar
11. MK-CF-F-149 recurringDebtPayments
12. MK-CF-F-148 inMonth
13. MK-ST-F-052 toNum
14. MK-ST-F-056 has
15. MK-CF-F-022 paymentShape
16. MK-CF-F-152 isRadarItem
17. MK-CF-F-023 requiredPayment
18. MK-CF-F-021 defaultPaymentType</t>
  </si>
  <si>
    <t>MK-XS-F-006</t>
  </si>
  <si>
    <t>pruneDaily</t>
  </si>
  <si>
    <t>Prune helper for the store writer: newest DAILY_KEEP days survive.</t>
  </si>
  <si>
    <t>keys = the names in daily, in order
daily   when keys.length ≤ DAILY_KEEP
keep = a list with no repeats of keys.slice(-DAILY_KEEP)
the answer = object.from entries(object.entries(daily).filter(([k]) =&gt; keep.has(k)))</t>
  </si>
  <si>
    <t>Keys: the names in daily, in order. When keys.length is at most DAILY_KEEP, it answers daily. Keep is a list with no repeats of keys.slice(-DAILY_KEEP). The answer is object.from entries(object.entries(daily).filter(([k]) =&gt; keep.has(k))).</t>
  </si>
  <si>
    <t>daily: Record&lt;string, number&gt;</t>
  </si>
  <si>
    <t>MK-ST-F-056 has → MK-XS-F-006 pruneDaily</t>
  </si>
  <si>
    <t>MK-XS-F-007</t>
  </si>
  <si>
    <t>makeMonthlySnapshot</t>
  </si>
  <si>
    <t>The ONE writer — stamps the version and keeps the arithmetic identity by construction.</t>
  </si>
  <si>
    <t>net worth = gross assets − gross debt
v = the snapshot version</t>
  </si>
  <si>
    <t>Builds a month-end snapshot: net worth is assets minus debts, computed here and never stored as a third figure that could disagree with its own halves.</t>
  </si>
  <si>
    <t>i: Omit&lt;MonthlySnapshot, 'v' | 'net_worth'&gt; &amp; { net_worth?: number }</t>
  </si>
  <si>
    <t>MonthlySnapshot</t>
  </si>
  <si>
    <t>MK-XS-F-122 n → MK-XS-F-007 makeMonthlySnapshot</t>
  </si>
  <si>
    <t>MK-XS-F-008</t>
  </si>
  <si>
    <t>normalizeSnapshot</t>
  </si>
  <si>
    <t>Normalize ONE stored entry: v1 passes validated; a legacy blob (no `v`) maps best-effort; anything without a real month + net worth is dropped (null), never charted.</t>
  </si>
  <si>
    <t>nothing   when raw = nothing (or raw is not a object when missing or zero)
r = raw as record&lt;string, unknown&gt;
month = month as string   if is ym(month)
ym   if is ym(ym)
nothing   otherwise   otherwise
nothing   when month is missing
gross assets = n(gross assets, na n)
gross debt = n(gross debt, na n)
net worth = n(net worth, number.is finite(gross assets − gross debt) ? (gross assets − gross debt) : na n)
nothing   when !number.is finite(net worth)</t>
  </si>
  <si>
    <t>When raw is missing (or raw is a is missing object — when missing or zero), it answers no answer. R is raw as record&lt;string, unknown&gt;. Month is month as string — when is ym(month); ym — when is ym(ym); no answer — otherwise — otherwise. When month is missing, it answers no answer. Gross assets is n(gross assets, na n). Gross debt is n(gross debt, na n). Net worth is n(net worth, number.is finite(gross assets minus gross debt) ? (gross assets minus gross debt) : na n). When !number.is finite(net worth), it answers no answer.</t>
  </si>
  <si>
    <t>1. ym: string
2. raw: unknown</t>
  </si>
  <si>
    <t>MonthlySnapshot | null</t>
  </si>
  <si>
    <t>1. MK-XS-F-121 isYm
2. MK-XS-F-122 n
3. MK-CF-O-002 spending
4. MK-CF-F-191 ym</t>
  </si>
  <si>
    <t>1. MK-XS-F-121 isYm
2. MK-XS-F-122 n
3. MK-CF-O-002 spending
4. MK-CF-F-191 ym
5. MK-CF-F-151 actualSpending
6. MK-CF-F-150 debtPaymentsCountedAsExpenses
7. MK-CF-F-153 radar
8. MK-CF-F-149 recurringDebtPayments
9. MK-CF-F-148 inMonth
10. MK-ST-F-052 toNum
11. MK-ST-F-056 has
12. MK-CF-F-022 paymentShape
13. MK-CF-F-152 isRadarItem
14. MK-CF-F-023 requiredPayment
15. MK-CF-F-132 map
16. MK-CF-F-021 defaultPaymentType</t>
  </si>
  <si>
    <t>1. MK-XS-F-121 isYm → MK-XS-F-008 normalizeSnapshot
2. MK-XS-F-122 n → MK-XS-F-008 normalizeSnapshot
3. MK-CF-F-191 ym → MK-CF-F-148 inMonth → MK-CF-F-151 actualSpending → MK-CF-O-002 spending → MK-XS-F-008 normalizeSnapshot
4. MK-XS-F-122 n → MK-ST-F-052 toNum → MK-CF-F-151 actualSpending → MK-CF-O-002 spending → MK-XS-F-008 normalizeSnapshot
5. MK-CF-F-191 ym → MK-CF-F-151 actualSpending → MK-CF-O-002 spending → MK-XS-F-008 normalizeSnapshot
6. MK-ST-F-056 has → MK-CF-F-150 debtPaymentsCountedAsExpenses → MK-CF-O-002 spending → MK-XS-F-008 normalizeSnapshot
7. MK-CF-F-191 ym → MK-CF-F-148 inMonth → MK-CF-F-150 debtPaymentsCountedAsExpenses → MK-CF-O-002 spending → MK-XS-F-008 normalizeSnapshot
8. MK-CF-F-021 defaultPaymentType → MK-CF-F-022 paymentShape → MK-CF-F-150 debtPaymentsCountedAsExpenses → MK-CF-O-002 spending → MK-XS-F-008 normalizeSnapshot
9. … and 5 more paths</t>
  </si>
  <si>
    <t>SNAPSHOT_READ_ONE</t>
  </si>
  <si>
    <t>MK-XS-F-009</t>
  </si>
  <si>
    <t>readHistory</t>
  </si>
  <si>
    <t>The ONE reader every history surface uses: normalized, garbage-free, sorted by month.</t>
  </si>
  <si>
    <t>for each stored month: normalize snapshot(month, value); drop the unreadable ones; sort by month, oldest first</t>
  </si>
  <si>
    <t>Reads the stored monthly snapshots, drops any that cannot be read, and sorts them oldest first. No arithmetic beyond the ordering.</t>
  </si>
  <si>
    <t>raw: Record&lt;string, unknown&gt; | null | undefined</t>
  </si>
  <si>
    <t>MonthlySnapshot[]</t>
  </si>
  <si>
    <t>1. MK-CF-F-132 map
2. MK-XS-F-008 normalizeSnapshot
3. MK-CF-F-191 ym</t>
  </si>
  <si>
    <t>1. MK-CF-F-132 map
2. MK-XS-F-008 normalizeSnapshot
3. MK-CF-F-191 ym
4. MK-XS-F-121 isYm
5. MK-XS-F-122 n
6. MK-CF-O-002 spending
7. MK-CF-F-151 actualSpending
8. MK-CF-F-150 debtPaymentsCountedAsExpenses
9. MK-CF-F-153 radar
10. MK-CF-F-149 recurringDebtPayments
11. MK-CF-F-148 inMonth
12. MK-ST-F-052 toNum
13. MK-ST-F-056 has
14. MK-CF-F-022 paymentShape
15. MK-CF-F-152 isRadarItem
16. MK-CF-F-023 requiredPayment
17. MK-CF-F-021 defaultPaymentType</t>
  </si>
  <si>
    <t>1. MK-CF-F-132 map → MK-XS-F-009 readHistory
2. MK-XS-F-121 isYm → MK-XS-F-008 normalizeSnapshot → MK-XS-F-009 readHistory
3. MK-XS-F-122 n → MK-XS-F-008 normalizeSnapshot → MK-XS-F-009 readHistory
4. MK-CF-F-191 ym → MK-CF-F-148 inMonth → MK-CF-F-151 actualSpending → MK-CF-O-002 spending → MK-XS-F-008 normalizeSnapshot → MK-XS-F-009 readHistory
5. MK-XS-F-122 n → MK-ST-F-052 toNum → MK-CF-F-151 actualSpending → MK-CF-O-002 spending → MK-XS-F-008 normalizeSnapshot → MK-XS-F-009 readHistory
6. MK-CF-F-191 ym → MK-CF-F-151 actualSpending → MK-CF-O-002 spending → MK-XS-F-008 normalizeSnapshot → MK-XS-F-009 readHistory
7. MK-ST-F-056 has → MK-CF-F-150 debtPaymentsCountedAsExpenses → MK-CF-O-002 spending → MK-XS-F-008 normalizeSnapshot → MK-XS-F-009 readHistory
8. MK-CF-F-191 ym → MK-CF-F-148 inMonth → MK-CF-F-150 debtPaymentsCountedAsExpenses → MK-CF-O-002 spending → MK-XS-F-008 normalizeSnapshot → MK-XS-F-009 readHistory
9. … and 5 more paths</t>
  </si>
  <si>
    <t>MK-XS-F-010</t>
  </si>
  <si>
    <t>investableChangePct</t>
  </si>
  <si>
    <t>FOUNDER RULE 2026-08-04: the NW change PERCENT is measured on cash + investments only — property values move only when someone retypes them, so a total-net-worth percent is noise.</t>
  </si>
  <si>
    <t>nothing   when since key is missing (or not (current investable &gt; 0) when missing or zero)
base = (inv daily as any)[base key]   if base key ≠ nothing
nothing   otherwise
nothing   when base is not a number (or not (base &gt; 0) when missing or zero)
the answer = ((current investable − base) ÷ base) × 100</t>
  </si>
  <si>
    <t>When since key is missing (or not (current investable &gt; 0) — when missing or zero), it answers no answer. Base is (inv daily as any)[base key] — when base key is not no answer; no answer — otherwise. When base is a is missing number (or not (base &gt; 0) — when missing or zero), it answers no answer. The answer is ((current investable minus base) divided by base) times 100.</t>
  </si>
  <si>
    <t>NW_CHANGE_PCT</t>
  </si>
  <si>
    <t>MK-XS-F-011</t>
  </si>
  <si>
    <t>buildChangeWalk</t>
  </si>
  <si>
    <t>My net worth changed since last time — what actually caused it?</t>
  </si>
  <si>
    <t>contributions = max(0, args.contributions (or 0 when missing))
withdrawals = max(0, args.withdrawals (or 0 when missing))
dividends = max(0, args.dividends (or 0 when missing))
interest = max(0, args.interest (or 0 when missing))
debt principal = max(0, args.debt principal (or 0 when missing))
total = args.ending − args.beginning
wealth generated = total − contributions + withdrawals − debt principal
market change = wealth generated − dividends − interest</t>
  </si>
  <si>
    <t>Contributions is args.contributions (or 0 — when missing, never below zero). Withdrawals is args.withdrawals (or 0 — when missing, never below zero). Dividends is args.dividends (or 0 — when missing, never below zero). Interest is args.interest (or 0 — when missing, never below zero). Debt principal is args.debt principal (or 0 — when missing, never below zero). Total is args.ending minus args.beginning. Wealth generated is total minus contributions plus withdrawals minus debt principal. Market change is wealth generated minus dividends minus interest.</t>
  </si>
  <si>
    <t>1. "Wealth generated" — on the Account detail screen, under "THE HOLDINGS
2. $"</t>
  </si>
  <si>
    <t>1. If contributions is missing it uses 0.
2. If withdrawals is missing it uses 0.
3. If dividends is missing it uses 0.
4. If interest is missing it uses 0.
5. If debt principal is missing it uses 0.</t>
  </si>
  <si>
    <t>NW_CHANGE_WALK</t>
  </si>
  <si>
    <t>MK-XS-F-012</t>
  </si>
  <si>
    <t>decodeCsvBase64</t>
  </si>
  <si>
    <t>src/domain/import/holdingsImport.ts</t>
  </si>
  <si>
    <t>What is the text of the file that was picked?</t>
  </si>
  <si>
    <t>b = base64 to bytes(b64)
decode utf16(b, 2, true)   when length ≥ 2 and b[0] = 0xFF and b[1] = 0xFE
decode utf16(b, 2, false)   when length ≥ 2 and b[0] = 0xFE and b[1] = 0xFF
start = 0
nul = 0; const probe = min(count of b, 400)
decode utf16(b, 0, b[1] = 0)   when nul &gt; probe ÷ 4
[LOOP — the answer is found inside a loop the extractor cannot render; the steps above are the ones before it. Read by hand.]</t>
  </si>
  <si>
    <t>B is base64 to bytes(b64). When length is at least 2 and b[0] = 0xFF and b[1] = 0xFE, it answers decode utf16(b, 2, true). When length is at least 2 and b[0] = 0xFE and b[1] = 0xFF, it answers decode utf16(b, 2, false). Start is 0. Nul is 0; const probe = the smaller of how many b and 400 there are. When nul &gt; probe divided by 4, it answers decode utf16(b, 0, b[1] = 0). The answer is decode utf8(b, start). The answer is found inside a loop that cannot be rendered here; read the code by hand.</t>
  </si>
  <si>
    <t>b64: string</t>
  </si>
  <si>
    <t>1. Uses a built-in start of 0.
2. Uses a built-in nul of 0.
3. Caps length at 400.</t>
  </si>
  <si>
    <t>1. MK-XS-F-123 base64ToBytes
2. MK-XS-F-125 decodeUtf16
3. MK-XS-F-124 decodeUtf8</t>
  </si>
  <si>
    <t>1. MK-XS-F-123 base64ToBytes → MK-XS-F-012 decodeCsvBase64
2. MK-XS-F-125 decodeUtf16 → MK-XS-F-012 decodeCsvBase64
3. MK-XS-F-124 decodeUtf8 → MK-XS-F-012 decodeCsvBase64</t>
  </si>
  <si>
    <t>FILE_DECODE</t>
  </si>
  <si>
    <t>MK-XS-F-013</t>
  </si>
  <si>
    <t>parseCsv</t>
  </si>
  <si>
    <t>Minimal RFC-4180-ish CSV parser: handles quoted fields, embedded commas, "" escapes, CR/LF, BOM.</t>
  </si>
  <si>
    <t>rows = []
row = []
field = ''
in quotes = false
s = (text.char code at(0) = 0xFEFF ? text.slice(1) : text).replace( ÷ \r\n ÷ g, "\n").replace( ÷ \r ÷ g, "\n")
c = s[i]
the answer = rows where some((cell) =&gt; cell.trim() ! = '')</t>
  </si>
  <si>
    <t>Rows is []. Row is []. Field is ''. In quotes is false. S is (text.char code at(0) = 0xFEFF ? text.slice(1) : text).replace( divided by \r\n divided by g, "\n").replace( divided by \r divided by g, "\n"). C is s[i]. The answer is rows where some((cell) =&gt; cell.trim() ! = '').</t>
  </si>
  <si>
    <t>string[][]</t>
  </si>
  <si>
    <t>FILE_PARSE</t>
  </si>
  <si>
    <t>MK-XS-F-014</t>
  </si>
  <si>
    <t>classifyHolding</t>
  </si>
  <si>
    <t>For a line in a FILE you upload: which class is it?</t>
  </si>
  <si>
    <t>ticker = string(input.ticker ?? '').trim().replace( ÷ \ × +$ ÷ , '').replace( ÷ ^- ÷ , '').to upper case()
name = string(input.name ?? '').trim()
both = `${ticker} ${name}`.trim()
itype = string(input.institution type ?? '').trim().to upper case()
isub = string(input.institution sub type ?? '').trim().to upper case()
out(input.stated, 'you set this yourself')   when input.stated
out('stocks_funds', 'the institution says it is a money − market fund')   when isub = 'MONEYMARKET'
out('cash', 'the institution says it is cash')   when isub = 'CASH'
out(STRONG_TYPE[itype], `the institution's own type says ${itype}`)   when STRONG_TYPE[itype]
weak type = a list with no repeats of ['STOCK', 'MUTUALFUND', 'ETF', 'CS', 'ET', 'MF', 'OEF', 'CEF', 'ADR']
the answer = out('alternatives', 'the symbol is shaped like an option contract')
… the first steps only — the rest of the body needs reading by hand.</t>
  </si>
  <si>
    <t>Ticker is string(input.ticker ?? '').trim().replace( divided by \ times +$ divided by , '').replace( divided by ^- divided by , '').to upper case(). Name is string(input.name ?? '').trim(). Both is `${ticker} ${name}`.trim(). Itype is string(input.institution type ?? '').trim().to upper case(). Isub is string(input.institution sub type ?? '').trim().to upper case(). When input.stated, it answers out(input.stated, 'you set this yourself'). When isub = 'MONEYMARKET', it answers out('stocks_funds', 'the institution says it is a money minus market fund'). When isub = 'CASH', it answers out('cash', 'the institution says it is cash'). When STRONG_TYPE[itype], it answers out(STRONG_TYPE[itype], `the institution's own type says ${itype}`). Weak type is a list with no repeats of ['STOCK', 'MUTUALFUND', 'ETF', 'CS', 'ET', 'MF', 'OEF', 'CEF', 'ADR']. The answer is out('alternatives', 'the symbol is shaped like an option contract'). Only the first steps are shown; the rest of the body needs reading by hand.</t>
  </si>
  <si>
    <t>input: ClassifyInput</t>
  </si>
  <si>
    <t>1. MK-XS-F-147 call
2. MK-ST-F-056 has
3. MK-ST-F-001 looksFixedIncome</t>
  </si>
  <si>
    <t>1. MK-XS-F-147 call
2. MK-ST-F-056 has
3. MK-ST-F-001 looksFixedIncome
4. MK-ST-F-027 accountId
5. MK-XS-F-064 currentIdToken
6. MK-XS-F-112 relayUrl</t>
  </si>
  <si>
    <t>1. MK-ST-F-027 accountId → MK-XS-F-147 call → MK-XS-F-014 classifyHolding
2. MK-XS-F-064 currentIdToken → MK-XS-F-147 call → MK-XS-F-014 classifyHolding
3. MK-XS-F-112 relayUrl → MK-XS-F-147 call → MK-XS-F-014 classifyHolding
4. MK-ST-F-056 has → MK-XS-F-014 classifyHolding
5. MK-ST-F-001 looksFixedIncome → MK-XS-F-014 classifyHolding</t>
  </si>
  <si>
    <t>CLASS_FROM_FILE</t>
  </si>
  <si>
    <t>MK-XS-F-015</t>
  </si>
  <si>
    <t>importHoldings</t>
  </si>
  <si>
    <t>What holdings are in this file?</t>
  </si>
  <si>
    <t>rows = parse csv(text)
holdings = []
total = 0
skipped = 0
mapped = {}   when rows.length &lt; 2
h idx = find header row(rows)
headers = for each of rows[h idx]: trim()
symbol col = find col(headers, [ ÷ ^symbol$ ÷ i, ÷ ^ticker$ ÷ i, ÷ symbol|ticker ÷ i])
shares col = find col(headers, [ ÷ ^quantity$ ÷ i, ÷ quantity|shares|qty|units ÷ i])
per share col = find col(headers, [ ÷ cost. × (per|\ ÷ ). × sh|cost\ ÷ sh|average cost|avg\.? cost|price paid|purchase price|unit cost ÷ i])
total cost col = find col(headers, [ ÷ cost basis|total cost|cost amount|book cost ÷ i])
value col = find col(headers, [ ÷ ^value\s × \$?$ ÷ i, ÷ market value|current value|^value ÷ i])
date col = find col(headers, [ ÷ purchase date|acquired|acquisition|trade date|date ÷ i])
name col = find col(headers, [ ÷ description|security|name|fund|investment|holding|instrument ÷ i])
… the first steps only — the rest of the body needs reading by hand.</t>
  </si>
  <si>
    <t>Rows is parse csv(text). When rows.length &lt; 2, it answers holdings = []; total = 0; skipped = 0; mapped = {}. H idx is find header row(rows). Headers is for each of rows[h idx]: trim(). Symbol col is find col(headers, [ divided by ^symbol$ divided by i, divided by ^ticker$ divided by i, divided by symbol|ticker divided by i]). Shares col is find col(headers, [ divided by ^quantity$ divided by i, divided by quantity|shares|qty|units divided by i]). Per share col is find col(headers, [ divided by cost. times (per|\ divided by ). times sh|cost\ divided by sh|average cost|avg\.? cost|price paid|purchase price|unit cost divided by i]). Total cost col is find col(headers, [ divided by cost basis|total cost|cost amount|book cost divided by i]). Value col is find col(headers, [ divided by ^value\s times \$?$ divided by i, divided by market value|current value|^value divided by i]). Date col is find col(headers, [ divided by purchase date|acquired|acquisition|trade date|date divided by i]). Name col is find col(headers, [ divided by description|security|name|fund|investment|holding|instrument divided by i]). Only the first steps are shown; the rest of the body needs reading by hand.</t>
  </si>
  <si>
    <t>ImportResult</t>
  </si>
  <si>
    <t>· Uses a built-in skipped of 0.</t>
  </si>
  <si>
    <t>1. MK-XS-F-172 assetClassForSymbol
2. MK-XS-F-128 cleanTicker
3. MK-XS-F-126 findCol
4. MK-XS-F-129 findHeaderRow
5. MK-CF-F-132 map
6. MK-XS-F-171 numOrNaN
7. MK-XS-F-013 parseCsv
8. MK-XS-F-127 toIsoDate</t>
  </si>
  <si>
    <t>1. MK-XS-F-172 assetClassForSymbol
2. MK-XS-F-128 cleanTicker
3. MK-XS-F-126 findCol
4. MK-XS-F-129 findHeaderRow
5. MK-CF-F-132 map
6. MK-XS-F-171 numOrNaN
7. MK-XS-F-013 parseCsv
8. MK-XS-F-127 toIsoDate
9. MK-ST-F-011 classifyHoldingClass
10. MK-XS-F-122 n
11. MK-ST-F-010 nameEvidence
12. MK-XS-F-147 call
13. MK-ST-F-056 has
14. MK-ST-F-027 accountId
15. MK-XS-F-064 currentIdToken
16. MK-XS-F-112 relayUrl</t>
  </si>
  <si>
    <t>1. MK-ST-F-027 accountId → MK-XS-F-147 call → MK-ST-F-010 nameEvidence → MK-ST-F-011 classifyHoldingClass → MK-XS-F-172 assetClassForSymbol → MK-XS-F-015 importHoldings
2. MK-XS-F-064 currentIdToken → MK-XS-F-147 call → MK-ST-F-010 nameEvidence → MK-ST-F-011 classifyHoldingClass → MK-XS-F-172 assetClassForSymbol → MK-XS-F-015 importHoldings
3. MK-XS-F-112 relayUrl → MK-XS-F-147 call → MK-ST-F-010 nameEvidence → MK-ST-F-011 classifyHoldingClass → MK-XS-F-172 assetClassForSymbol → MK-XS-F-015 importHoldings
4. MK-ST-F-056 has → MK-ST-F-010 nameEvidence → MK-ST-F-011 classifyHoldingClass → MK-XS-F-172 assetClassForSymbol → MK-XS-F-015 importHoldings
5. MK-CF-F-132 map → MK-ST-F-010 nameEvidence → MK-ST-F-011 classifyHoldingClass → MK-XS-F-172 assetClassForSymbol → MK-XS-F-015 importHoldings
6. MK-XS-F-128 cleanTicker → MK-XS-F-015 importHoldings
7. MK-XS-F-126 findCol → MK-XS-F-015 importHoldings
8. MK-CF-F-132 map → MK-XS-F-129 findHeaderRow → MK-XS-F-015 importHoldings
9. … and 4 more paths</t>
  </si>
  <si>
    <t>FILE_IMPORT</t>
  </si>
  <si>
    <t>MK-XS-F-016</t>
  </si>
  <si>
    <t>matchImportAccount</t>
  </si>
  <si>
    <t>The existing account a fresh import from `institution` should offer to update (or null).</t>
  </si>
  <si>
    <t>target = norm inst(institution)
nothing   when target is missing
nothing   when count of candidates is missing</t>
  </si>
  <si>
    <t>Target is norm inst(institution). When target is missing, it answers no answer. When how many candidates is missing there are, it answers no answer.</t>
  </si>
  <si>
    <t>1. accounts: AssetAccount[]
2. institution: string</t>
  </si>
  <si>
    <t>AssetAccount | null</t>
  </si>
  <si>
    <t>"Account name" — on the Import holdings screen, under "REVIEW YOUR HOLDINGS"</t>
  </si>
  <si>
    <t>MK-XS-F-130 normInst</t>
  </si>
  <si>
    <t>MK-XS-F-130 normInst → MK-XS-F-016 matchImportAccount</t>
  </si>
  <si>
    <t>IMPORT_ACCOUNT_MATCH</t>
  </si>
  <si>
    <t>MK-XS-F-017</t>
  </si>
  <si>
    <t>currentAge</t>
  </si>
  <si>
    <t>src/domain/profile/calc.ts</t>
  </si>
  <si>
    <t>Age in whole years from birth month/year, as of `asOf` (defaults to now).</t>
  </si>
  <si>
    <t>nothing   when birth year is missing (or birth month is missing when missing or zero)
age = as of.get full year() − birth year
month idx = birth month − 1
the answer:
age   if age ≥ 0
nothing   otherwise</t>
  </si>
  <si>
    <t>When birth year is missing (or birth month is missing — when missing or zero), it answers no answer. Age is as of.get full year() minus birth year. Month idx is birth month minus 1. The answer is age — when age is at least 0; no answer — otherwise.</t>
  </si>
  <si>
    <t>TESTED, NOT VERIFIED (G9)</t>
  </si>
  <si>
    <t>MK-XS-F-018</t>
  </si>
  <si>
    <t>yearsToRetirement</t>
  </si>
  <si>
    <t>Years until the target retirement age (never negative).</t>
  </si>
  <si>
    <t>nothing   when age = nothing (or target retirement age is missing when missing or zero)
max(0, target retirement age − age)</t>
  </si>
  <si>
    <t>When age is missing (or target retirement age is missing — when missing or zero), it answers no answer. target retirement age minus age, never below zero.</t>
  </si>
  <si>
    <t>1. age: number | null
2. targetRetirementAge: number | null</t>
  </si>
  <si>
    <t>MK-XS-F-019</t>
  </si>
  <si>
    <t>retirementHorizonYears</t>
  </si>
  <si>
    <t>Years the money must last: retirement → plan-to age (default horizon if unset).</t>
  </si>
  <si>
    <t>nothing   when target retirement age is missing
horizon = (plan to age ?? DEFAULT_PLAN_TO_AGE) − target retirement age
the answer:
horizon   if horizon &gt; 0
nothing   otherwise</t>
  </si>
  <si>
    <t>When target retirement age is missing, it answers no answer. Horizon is (plan to age ?? DEFAULT_PLAN_TO_AGE) minus target retirement age. The answer is horizon — when horizon &gt; 0; no answer — otherwise.</t>
  </si>
  <si>
    <t>1. targetRetirementAge: number | null
2. planToAge: number | null</t>
  </si>
  <si>
    <t>MK-XS-F-020</t>
  </si>
  <si>
    <t>toReadModel</t>
  </si>
  <si>
    <t>Build the public read-model (profile + derived planning values).</t>
  </si>
  <si>
    <t>age = current age(birth year, birth month, as of)</t>
  </si>
  <si>
    <t>Age is current age(birth year, birth month, as of).</t>
  </si>
  <si>
    <t>1. p: Profile
2. asOf: Date = new Date()</t>
  </si>
  <si>
    <t>ProfileReadModel</t>
  </si>
  <si>
    <t>1. MK-XS-F-017 currentAge
2. MK-XS-F-019 retirementHorizonYears
3. MK-XS-F-018 yearsToRetirement</t>
  </si>
  <si>
    <t>1. MK-XS-F-017 currentAge → MK-XS-F-020 toReadModel
2. MK-XS-F-019 retirementHorizonYears → MK-XS-F-020 toReadModel
3. MK-XS-F-018 yearsToRetirement → MK-XS-F-020 toReadModel</t>
  </si>
  <si>
    <t>MK-XS-F-021</t>
  </si>
  <si>
    <t>loadProfile</t>
  </si>
  <si>
    <t>src/domain/profile/index.ts</t>
  </si>
  <si>
    <t>get user doc&lt;profile&gt;(COLLECTION, uid)</t>
  </si>
  <si>
    <t>get user doc&lt;profile&gt;(COLLECTION, uid).</t>
  </si>
  <si>
    <t>Promise&lt;Profile | null&gt;</t>
  </si>
  <si>
    <t>1. MK-ST-F-027 accountId → MK-XS-F-175 uid → MK-XS-F-021 loadProfile
2. MK-CF-F-137 findPos → MK-CF-F-138 addLot → MK-CF-F-111 applyTransaction → MK-XS-F-175 uid → MK-XS-F-021 loadProfile
3. MK-CF-F-132 map → MK-CF-F-138 addLot → MK-CF-F-111 applyTransaction → MK-XS-F-175 uid → MK-XS-F-021 loadProfile
4. MK-ST-F-043 newEntityId → MK-CF-F-138 addLot → MK-CF-F-111 applyTransaction → MK-XS-F-175 uid → MK-XS-F-021 loadProfile
5. MK-CF-F-134 usesSleeve → MK-CF-F-136 bumpCash → MK-CF-F-111 applyTransaction → MK-XS-F-175 uid → MK-XS-F-021 loadProfile
6. MK-CF-F-137 findPos → MK-CF-F-111 applyTransaction → MK-XS-F-175 uid → MK-XS-F-021 loadProfile
7. MK-CF-F-132 map → MK-CF-F-111 applyTransaction → MK-XS-F-175 uid → MK-XS-F-021 loadProfile
8. MK-CF-F-137 findPos → MK-CF-F-139 removeShares → MK-CF-F-111 applyTransaction → MK-XS-F-175 uid → MK-XS-F-021 loadProfile
9. … and 4 more paths</t>
  </si>
  <si>
    <t>MK-XS-F-022</t>
  </si>
  <si>
    <t>saveProfile</t>
  </si>
  <si>
    <t>profile: Profile</t>
  </si>
  <si>
    <t>1. MK-ST-F-040 emit → MK-XS-F-022 saveProfile
2. MK-ST-F-027 accountId → MK-XS-F-175 uid → MK-ST-F-042 setUserDoc → MK-XS-F-022 saveProfile
3. MK-CF-F-137 findPos → MK-CF-F-138 addLot → MK-CF-F-111 applyTransaction → MK-XS-F-175 uid → MK-ST-F-042 setUserDoc → MK-XS-F-022 saveProfile
4. MK-CF-F-132 map → MK-CF-F-138 addLot → MK-CF-F-111 applyTransaction → MK-XS-F-175 uid → MK-ST-F-042 setUserDoc → MK-XS-F-022 saveProfile
5. MK-ST-F-043 newEntityId → MK-CF-F-138 addLot → MK-CF-F-111 applyTransaction → MK-XS-F-175 uid → MK-ST-F-042 setUserDoc → MK-XS-F-022 saveProfile
6. MK-CF-F-134 usesSleeve → MK-CF-F-136 bumpCash → MK-CF-F-111 applyTransaction → MK-XS-F-175 uid → MK-ST-F-042 setUserDoc → MK-XS-F-022 saveProfile
7. MK-CF-F-137 findPos → MK-CF-F-111 applyTransaction → MK-XS-F-175 uid → MK-ST-F-042 setUserDoc → MK-XS-F-022 saveProfile
8. MK-CF-F-132 map → MK-CF-F-111 applyTransaction → MK-XS-F-175 uid → MK-ST-F-042 setUserDoc → MK-XS-F-022 saveProfile
9. … and 4 more paths</t>
  </si>
  <si>
    <t>MK-XS-F-023</t>
  </si>
  <si>
    <t>getProfileReadModel</t>
  </si>
  <si>
    <t>Profile + derived planning values (current age, years to retirement, horizon).</t>
  </si>
  <si>
    <t>p = await load profile(uid)
the answer:
to read model(p)   if p
nothing   otherwise</t>
  </si>
  <si>
    <t>P is await load profile(uid). The answer is to read model(p) — when p; no answer — otherwise.</t>
  </si>
  <si>
    <t>Promise&lt;ProfileReadModel | null&gt;</t>
  </si>
  <si>
    <t>1. MK-XS-F-021 loadProfile
2. MK-XS-F-020 toReadModel
3. MK-XS-F-175 uid</t>
  </si>
  <si>
    <t>1. MK-XS-F-021 loadProfile
2. MK-XS-F-020 toReadModel
3. MK-XS-F-175 uid
4. MK-XS-F-017 currentAge
5. MK-XS-F-019 retirementHorizonYears
6. MK-XS-F-018 yearsToRetirement
7. MK-ST-F-027 accountId
8. MK-CF-F-111 applyTransaction
9. MK-NW-F-040 assetsFromOnboarding
10. MK-PF-F-013 benchmarkTicker
11. MK-ST-F-028 buildDayFromAccounts
12. MK-PF-F-034 closeOnOrBefore
13. MK-CF-F-186 convertTakeHomeMode
14. MK-CF-F-038 debtsFromOnboarding
15. MK-XS-F-083 fetchPriceSeries
16. MK-PL-F-013 goalsFromOnboarding
17. MK-ST-F-056 has
18. MK-CF-F-116 inverseOf
19. MK-ST-F-065 isoLocalDate
20. MK-CF-F-112 makeTransaction
21. MK-CF-F-132 map
22. MK-XS-F-122 n
23. MK-ST-F-043 newEntityId
24. MK-XS-F-006 pruneDaily
25. MK-ST-F-073 rebuildDays
26. MK-NW-F-054 reclassifyAccounts
27. MK-XS-F-174 recomputeBalances
28. MK-CF-F-115 restoreUndo
29. MK-CF-F-109 reviewTransactions
30. MK-ST-F-044 setMoneyFormat
31. MK-CF-F-114 undoSnapshot
32. MK-CF-F-191 ym
33. MK-CF-F-138 addLot
34. MK-CF-F-136 bumpCash
35. MK-CF-F-137 findPos
36. MK-CF-F-139 removeShares
37. MK-PF-F-001 totalShares
38. MK-ST-F-052 toNum
39. MK-ST-F-053 money
40. MK-CF-F-085 filingStatusOf
41. MK-CF-F-097 grossFromNet
42. MK-CF-F-185 needsTakeHomeConversion
43. MK-CF-F-089 over65CountOf
44. MK-CF-F-037 inferDebtType
45. MK-ST-F-069 amountOf
46. MK-CF-F-133 cashOf
47. MK-ST-F-066 isDayKey
48. MK-ST-F-070 isOpening
49. MK-ST-F-071 rebuildableFrom
50. MK-ST-F-068 stepDay
51. MK-ST-F-072 undo
52. MK-NW-F-053 correctClassOf
53. MK-NW-F-008 incomeBearingClassOf
54. MK-PF-F-002 costBasis
55. MK-PF-F-009 latestClose
56. MK-PF-F-004 marketValue
57. MK-ST-F-030 record
58. MK-XS-F-024 resolveLens
59. MK-ST-F-055 round2
60. MK-CF-F-162 daysApart
61. MK-CF-F-108 isMoneyOut
62. MK-PL-F-074 median
63. MK-CF-F-131 normPayee
64. MK-CF-F-113 affectedAccountIds
65. MK-CF-F-134 usesSleeve
66. MK-ST-F-049 formatMoney
67. MK-CF-F-101 taxOwedFor
68. MK-ST-F-067 utcOfDay
69. MK-CF-F-155 cash
70. MK-ST-F-035 covers
71. MK-NW-F-009 maturityClass
72. MK-ST-F-010 nameEvidence
73. MK-PF-F-031 contractMultiplier
74. MK-CF-F-072 currentRetirementIncomeMonthly
75. MK-ST-F-048 currencySymbol
76. MK-ST-F-039 on
77. MK-CF-F-100 taxableIncomeFor
78. MK-ST-F-034 firstDate
79. MK-XS-F-147 call
80. MK-CF-F-075 retirementIncomeMonthly
81. MK-ST-F-047 activeCurrency
82. MK-CF-F-099 deductionFor
83. MK-XS-F-064 currentIdToken
84. MK-XS-F-112 relayUrl
85. MK-CF-F-187 seniorDeductionFor</t>
  </si>
  <si>
    <t>1. MK-ST-F-027 accountId → MK-XS-F-175 uid → MK-XS-F-021 loadProfile → MK-XS-F-023 getProfileReadModel
2. MK-CF-F-137 findPos → MK-CF-F-138 addLot → MK-CF-F-111 applyTransaction → MK-XS-F-175 uid → MK-XS-F-021 loadProfile → MK-XS-F-023 getProfileReadModel
3. MK-CF-F-132 map → MK-CF-F-138 addLot → MK-CF-F-111 applyTransaction → MK-XS-F-175 uid → MK-XS-F-021 loadProfile → MK-XS-F-023 getProfileReadModel
4. MK-ST-F-043 newEntityId → MK-CF-F-138 addLot → MK-CF-F-111 applyTransaction → MK-XS-F-175 uid → MK-XS-F-021 loadProfile → MK-XS-F-023 getProfileReadModel
5. MK-CF-F-134 usesSleeve → MK-CF-F-136 bumpCash → MK-CF-F-111 applyTransaction → MK-XS-F-175 uid → MK-XS-F-021 loadProfile → MK-XS-F-023 getProfileReadModel
6. MK-CF-F-137 findPos → MK-CF-F-111 applyTransaction → MK-XS-F-175 uid → MK-XS-F-021 loadProfile → MK-XS-F-023 getProfileReadModel
7. MK-CF-F-132 map → MK-CF-F-111 applyTransaction → MK-XS-F-175 uid → MK-XS-F-021 loadProfile → MK-XS-F-023 getProfileReadModel
8. MK-CF-F-137 findPos → MK-CF-F-139 removeShares → MK-CF-F-111 applyTransaction → MK-XS-F-175 uid → MK-XS-F-021 loadProfile → MK-XS-F-023 getProfileReadModel
9. … and 5 more paths</t>
  </si>
  <si>
    <t>MK-XS-F-024</t>
  </si>
  <si>
    <t>resolveLens</t>
  </si>
  <si>
    <t>src/domain/profile/lens.ts</t>
  </si>
  <si>
    <t>The person's explicit choice (first-run stage question / Settings → Your setup) wins.</t>
  </si>
  <si>
    <t>override   when override = 'working' (or override = 'retired' when missing or zero)
status = op.status
'retired'   when status = 'retired'
'retired'   when status = 'partial' and current retirement income monthly(op ?? {}) &gt; 0
the answer = 'working'</t>
  </si>
  <si>
    <t>When override = 'working' (or override = 'retired' — when missing or zero), it answers override. Status is op.status. When status = 'retired', it answers 'retired'. When status = 'partial' and current retirement income monthly(op ?? {}) &gt; 0, it answers 'retired'. The answer is 'working'.</t>
  </si>
  <si>
    <t>1. op: Record&lt;string, any&gt; | null | undefined
2. override?: Lens | null</t>
  </si>
  <si>
    <t>Lens</t>
  </si>
  <si>
    <t>1. "WILL MY MONEY LAST?" — on the Home screen, under "WILL MY MONEY LAST?"
2. "YOUR FIVE TABS — same order as the bar below" — on a card used on more than one screen (TopBar)</t>
  </si>
  <si>
    <t>MK-CF-F-072 currentRetirementIncomeMonthly</t>
  </si>
  <si>
    <t>1. MK-CF-F-072 currentRetirementIncomeMonthly
2. MK-CF-F-075 retirementIncomeMonthly
3. MK-ST-F-052 toNum
4. MK-XS-F-122 n</t>
  </si>
  <si>
    <t>MK-XS-F-122 n → MK-ST-F-052 toNum → MK-CF-F-075 retirementIncomeMonthly → MK-CF-F-072 currentRetirementIncomeMonthly → MK-XS-F-024 resolveLens</t>
  </si>
  <si>
    <t>WHICH_VIEW</t>
  </si>
  <si>
    <t>MK-XS-F-025</t>
  </si>
  <si>
    <t>tabOrder</t>
  </si>
  <si>
    <t>Bottom-bar order per lens (design pin: "Tab order is set once from stage; identical across sessions").</t>
  </si>
  <si>
    <t>retired → home, cashflow, analytics, plan, invest
otherwise → home, analytics, invest, cashflow, plan</t>
  </si>
  <si>
    <t>The order of the tabs for the person's lens — cash flow comes second for someone retired. No arithmetic.</t>
  </si>
  <si>
    <t>lens: Lens</t>
  </si>
  <si>
    <t>FccTab[]</t>
  </si>
  <si>
    <t>"YOUR FIVE TABS — same order as the bar below" — on a card used on more than one screen (TopBar)</t>
  </si>
  <si>
    <t>MK-XS-F-026</t>
  </si>
  <si>
    <t>profileFromOnboarding</t>
  </si>
  <si>
    <t>src/domain/profile/onboarding.ts</t>
  </si>
  <si>
    <t>`op` is the consolidated onboardingProfile: { status, name, ...answers }.</t>
  </si>
  <si>
    <t>Profile</t>
  </si>
  <si>
    <t>1. MK-XS-F-131 toInt
2. MK-XS-F-175 uid</t>
  </si>
  <si>
    <t>1. MK-XS-F-131 toInt
2. MK-XS-F-175 uid
3. MK-XS-F-122 n
4. MK-ST-F-027 accountId
5. MK-CF-F-111 applyTransaction
6. MK-NW-F-040 assetsFromOnboarding
7. MK-PF-F-013 benchmarkTicker
8. MK-ST-F-028 buildDayFromAccounts
9. MK-PF-F-034 closeOnOrBefore
10. MK-CF-F-186 convertTakeHomeMode
11. MK-CF-F-038 debtsFromOnboarding
12. MK-XS-F-083 fetchPriceSeries
13. MK-PL-F-013 goalsFromOnboarding
14. MK-ST-F-056 has
15. MK-CF-F-116 inverseOf
16. MK-ST-F-065 isoLocalDate
17. MK-CF-F-112 makeTransaction
18. MK-CF-F-132 map
19. MK-ST-F-043 newEntityId
20. MK-XS-F-006 pruneDaily
21. MK-ST-F-073 rebuildDays
22. MK-NW-F-054 reclassifyAccounts
23. MK-XS-F-174 recomputeBalances
24. MK-CF-F-115 restoreUndo
25. MK-CF-F-109 reviewTransactions
26. MK-ST-F-044 setMoneyFormat
27. MK-CF-F-114 undoSnapshot
28. MK-CF-F-191 ym
29. MK-CF-F-138 addLot
30. MK-CF-F-136 bumpCash
31. MK-CF-F-137 findPos
32. MK-CF-F-139 removeShares
33. MK-PF-F-001 totalShares
34. MK-ST-F-052 toNum
35. MK-ST-F-053 money
36. MK-CF-F-085 filingStatusOf
37. MK-CF-F-097 grossFromNet
38. MK-CF-F-185 needsTakeHomeConversion
39. MK-CF-F-089 over65CountOf
40. MK-CF-F-037 inferDebtType
41. MK-ST-F-069 amountOf
42. MK-CF-F-133 cashOf
43. MK-ST-F-066 isDayKey
44. MK-ST-F-070 isOpening
45. MK-ST-F-071 rebuildableFrom
46. MK-ST-F-068 stepDay
47. MK-ST-F-072 undo
48. MK-NW-F-053 correctClassOf
49. MK-NW-F-008 incomeBearingClassOf
50. MK-PF-F-002 costBasis
51. MK-PF-F-009 latestClose
52. MK-PF-F-004 marketValue
53. MK-ST-F-030 record
54. MK-XS-F-024 resolveLens
55. MK-ST-F-055 round2
56. MK-CF-F-162 daysApart
57. MK-CF-F-108 isMoneyOut
58. MK-PL-F-074 median
59. MK-CF-F-131 normPayee
60. MK-CF-F-113 affectedAccountIds
61. MK-CF-F-134 usesSleeve
62. MK-ST-F-049 formatMoney
63. MK-CF-F-101 taxOwedFor
64. MK-ST-F-067 utcOfDay
65. MK-CF-F-155 cash
66. MK-ST-F-035 covers
67. MK-NW-F-009 maturityClass
68. MK-ST-F-010 nameEvidence
69. MK-PF-F-031 contractMultiplier
70. MK-CF-F-072 currentRetirementIncomeMonthly
71. MK-ST-F-048 currencySymbol
72. MK-ST-F-039 on
73. MK-CF-F-100 taxableIncomeFor
74. MK-ST-F-034 firstDate
75. MK-XS-F-147 call
76. MK-CF-F-075 retirementIncomeMonthly
77. MK-ST-F-047 activeCurrency
78. MK-CF-F-099 deductionFor
79. MK-XS-F-064 currentIdToken
80. MK-XS-F-112 relayUrl
81. MK-CF-F-187 seniorDeductionFor</t>
  </si>
  <si>
    <t>1. MK-XS-F-122 n → MK-XS-F-131 toInt → MK-XS-F-026 profileFromOnboarding
2. MK-ST-F-027 accountId → MK-XS-F-175 uid → MK-XS-F-026 profileFromOnboarding
3. MK-CF-F-137 findPos → MK-CF-F-138 addLot → MK-CF-F-111 applyTransaction → MK-XS-F-175 uid → MK-XS-F-026 profileFromOnboarding
4. MK-CF-F-132 map → MK-CF-F-138 addLot → MK-CF-F-111 applyTransaction → MK-XS-F-175 uid → MK-XS-F-026 profileFromOnboarding
5. MK-ST-F-043 newEntityId → MK-CF-F-138 addLot → MK-CF-F-111 applyTransaction → MK-XS-F-175 uid → MK-XS-F-026 profileFromOnboarding
6. MK-CF-F-134 usesSleeve → MK-CF-F-136 bumpCash → MK-CF-F-111 applyTransaction → MK-XS-F-175 uid → MK-XS-F-026 profileFromOnboarding
7. MK-CF-F-137 findPos → MK-CF-F-111 applyTransaction → MK-XS-F-175 uid → MK-XS-F-026 profileFromOnboarding
8. MK-CF-F-132 map → MK-CF-F-111 applyTransaction → MK-XS-F-175 uid → MK-XS-F-026 profileFromOnboarding
9. … and 4 more paths</t>
  </si>
  <si>
    <t>MK-XS-F-027</t>
  </si>
  <si>
    <t>takeHomeMonthly</t>
  </si>
  <si>
    <t>src/domain/savings/index.ts</t>
  </si>
  <si>
    <t>True take-home per month: after tax AND after the 401(k) deduction (the cash that hits your account).</t>
  </si>
  <si>
    <t>1. MK-CF-F-092 incomeMonthlyGrid
2. MK-CF-F-011 savingsByMonth</t>
  </si>
  <si>
    <t>1. MK-CF-F-092 incomeMonthlyGrid
2. MK-CF-F-011 savingsByMonth
3. MK-CF-F-069 benefitActiveMonths
4. MK-CF-F-072 currentRetirementIncomeMonthly
5. MK-CF-F-065 equityVestWeights
6. MK-CF-F-071 extraIncome
7. MK-ST-F-056 has
8. MK-CF-F-132 map
9. MK-CF-F-087 monthlyTaxRates
10. MK-CF-F-073 otherIncomeMonth
11. MK-CF-F-181 rateInForce
12. MK-CF-F-068 rentalNetAnnual
13. MK-CF-F-066 rsuAnnual
14. MK-CF-F-060 salaryGrossByMonth
15. MK-CF-F-077 scholarshipByCalendarMonth
16. MK-CF-F-088 taxableByCalendarMonth
17. MK-ST-F-052 toNum
18. MK-PL-F-012 waterfall
19. MK-CF-F-008 spendByMonth
20. MK-CF-F-075 retirementIncomeMonthly
21. MK-CF-F-062 equityRowValue
22. MK-CF-F-070 benefitAnnual
23. MK-ST-F-039 on
24. MK-CF-F-090 effectiveRate
25. MK-CF-F-085 filingStatusOf
26. MK-CF-F-089 over65CountOf
27. MK-CF-F-098 progressiveMonthlyTax
28. MK-CF-F-086 stateRateOf
29. MK-CF-F-173 earnerWages
30. MK-CF-F-102 effectiveRateOnGrossFor
31. MK-CF-F-180 enteredLandsAnnual
32. MK-CF-F-082 salaryAnnual
33. MK-CF-F-084 taxableAnnual
34. MK-CF-F-067 rentalList
35. MK-CF-F-063 rowVestYear
36. MK-CF-F-176 sumMonthsOverEarners
37. MK-CF-F-177 wageGrossByMonth
38. MK-XS-F-122 n
39. MK-CF-F-120 pctBaseMonthly
40. MK-CF-F-004 spendBuckets
41. MK-CF-F-101 taxOwedFor
42. MK-CF-F-100 taxableIncomeFor
43. MK-CF-F-172 hasWage
44. MK-CF-F-074 tipsAnnual
45. MK-CF-F-130 enteredMonthlyRaw
46. MK-CF-F-166 hasMonthlySalaryTable
47. MK-ST-F-036 reconcile
48. MK-CF-F-167 salaryCalendarYear
49. MK-CF-F-003 categoryMonthly
50. MK-CF-F-099 deductionFor
51. MK-CF-F-081 salaryActiveMonths
52. MK-CF-F-165 salaryMonths
53. MK-CF-F-187 seniorDeductionFor</t>
  </si>
  <si>
    <t>1. MK-CF-F-069 benefitActiveMonths → MK-CF-F-092 incomeMonthlyGrid → MK-XS-F-027 takeHomeMonthly
2. MK-XS-F-122 n → MK-ST-F-052 toNum → MK-CF-F-075 retirementIncomeMonthly → MK-CF-F-072 currentRetirementIncomeMonthly → MK-CF-F-092 incomeMonthlyGrid → MK-XS-F-027 takeHomeMonthly
3. MK-XS-F-122 n → MK-ST-F-052 toNum → MK-CF-F-062 equityRowValue → MK-CF-F-065 equityVestWeights → MK-CF-F-092 incomeMonthlyGrid → MK-XS-F-027 takeHomeMonthly
4. MK-CF-F-132 map → MK-CF-F-065 equityVestWeights → MK-CF-F-092 incomeMonthlyGrid → MK-XS-F-027 takeHomeMonthly
5. MK-CF-F-069 benefitActiveMonths → MK-CF-F-070 benefitAnnual → MK-CF-F-071 extraIncome → MK-CF-F-092 incomeMonthlyGrid → MK-XS-F-027 takeHomeMonthly
6. MK-XS-F-122 n → MK-ST-F-052 toNum → MK-CF-F-070 benefitAnnual → MK-CF-F-071 extraIncome → MK-CF-F-092 incomeMonthlyGrid → MK-XS-F-027 takeHomeMonthly
7. MK-ST-F-039 on → MK-CF-F-071 extraIncome → MK-CF-F-092 incomeMonthlyGrid → MK-XS-F-027 takeHomeMonthly
8. MK-XS-F-122 n → MK-ST-F-052 toNum → MK-CF-F-071 extraIncome → MK-CF-F-092 incomeMonthlyGrid → MK-XS-F-027 takeHomeMonthly
9. … and 5 more paths</t>
  </si>
  <si>
    <t>MK-XS-F-028</t>
  </si>
  <si>
    <t>surplusByMonth</t>
  </si>
  <si>
    <t>Planned SURPLUS, month by month, AFTER debt (the canonical word, per the 2026-06-23 decision).</t>
  </si>
  <si>
    <t>debt = actual debt payment(debts)
the answer:
for each of savings by month(op): label = label
amount = amount − debt</t>
  </si>
  <si>
    <t>Debt is actual debt payment(debts). The answer is for each of savings by month(op): label = label; amount = amount minus debt.</t>
  </si>
  <si>
    <t>1. op: OnboardingProfile | null
2. debts: Debt[] = []</t>
  </si>
  <si>
    <t>1. MK-CF-F-026 actualDebtPayment
2. MK-CF-F-132 map
3. MK-ST-F-036 reconcile
4. MK-CF-F-011 savingsByMonth</t>
  </si>
  <si>
    <t>1. MK-CF-F-026 actualDebtPayment
2. MK-CF-F-132 map
3. MK-ST-F-036 reconcile
4. MK-CF-F-011 savingsByMonth
5. MK-CF-F-024 totalDebtMonthly
6. MK-CF-F-092 incomeMonthlyGrid
7. MK-CF-F-008 spendByMonth
8. MK-CF-F-023 requiredPayment
9. MK-CF-F-069 benefitActiveMonths
10. MK-CF-F-072 currentRetirementIncomeMonthly
11. MK-CF-F-065 equityVestWeights
12. MK-CF-F-071 extraIncome
13. MK-ST-F-056 has
14. MK-CF-F-087 monthlyTaxRates
15. MK-CF-F-073 otherIncomeMonth
16. MK-CF-F-181 rateInForce
17. MK-CF-F-068 rentalNetAnnual
18. MK-CF-F-066 rsuAnnual
19. MK-CF-F-060 salaryGrossByMonth
20. MK-CF-F-077 scholarshipByCalendarMonth
21. MK-CF-F-088 taxableByCalendarMonth
22. MK-ST-F-052 toNum
23. MK-PL-F-012 waterfall
24. MK-CF-F-120 pctBaseMonthly
25. MK-CF-F-004 spendBuckets
26. MK-CF-F-022 paymentShape
27. MK-CF-F-075 retirementIncomeMonthly
28. MK-CF-F-062 equityRowValue
29. MK-CF-F-070 benefitAnnual
30. MK-ST-F-039 on
31. MK-CF-F-090 effectiveRate
32. MK-CF-F-085 filingStatusOf
33. MK-CF-F-089 over65CountOf
34. MK-CF-F-098 progressiveMonthlyTax
35. MK-CF-F-086 stateRateOf
36. MK-CF-F-173 earnerWages
37. MK-CF-F-102 effectiveRateOnGrossFor
38. MK-CF-F-180 enteredLandsAnnual
39. MK-CF-F-082 salaryAnnual
40. MK-CF-F-084 taxableAnnual
41. MK-CF-F-067 rentalList
42. MK-CF-F-063 rowVestYear
43. MK-CF-F-176 sumMonthsOverEarners
44. MK-CF-F-177 wageGrossByMonth
45. MK-XS-F-122 n
46. MK-CF-F-003 categoryMonthly
47. MK-CF-F-021 defaultPaymentType
48. MK-CF-F-101 taxOwedFor
49. MK-CF-F-100 taxableIncomeFor
50. MK-CF-F-172 hasWage
51. MK-CF-F-074 tipsAnnual
52. MK-CF-F-130 enteredMonthlyRaw
53. MK-CF-F-166 hasMonthlySalaryTable
54. MK-CF-F-167 salaryCalendarYear
55. MK-XS-F-027 takeHomeMonthly
56. MK-CF-F-099 deductionFor
57. MK-CF-F-081 salaryActiveMonths
58. MK-CF-F-165 salaryMonths
59. MK-CF-F-187 seniorDeductionFor</t>
  </si>
  <si>
    <t>1. MK-CF-F-021 defaultPaymentType → MK-CF-F-022 paymentShape → MK-CF-F-023 requiredPayment → MK-CF-F-024 totalDebtMonthly → MK-CF-F-026 actualDebtPayment → MK-XS-F-028 surplusByMonth
2. MK-CF-F-132 map → MK-XS-F-028 surplusByMonth
3. MK-ST-F-036 reconcile → MK-XS-F-028 surplusByMonth
4. MK-CF-F-069 benefitActiveMonths → MK-CF-F-092 incomeMonthlyGrid → MK-CF-F-011 savingsByMonth → MK-XS-F-028 surplusByMonth
5. MK-ST-F-052 toNum → MK-CF-F-075 retirementIncomeMonthly → MK-CF-F-072 currentRetirementIncomeMonthly → MK-CF-F-092 incomeMonthlyGrid → MK-CF-F-011 savingsByMonth → MK-XS-F-028 surplusByMonth
6. MK-ST-F-052 toNum → MK-CF-F-062 equityRowValue → MK-CF-F-065 equityVestWeights → MK-CF-F-092 incomeMonthlyGrid → MK-CF-F-011 savingsByMonth → MK-XS-F-028 surplusByMonth
7. MK-CF-F-132 map → MK-CF-F-065 equityVestWeights → MK-CF-F-092 incomeMonthlyGrid → MK-CF-F-011 savingsByMonth → MK-XS-F-028 surplusByMonth
8. MK-CF-F-069 benefitActiveMonths → MK-CF-F-070 benefitAnnual → MK-CF-F-071 extraIncome → MK-CF-F-092 incomeMonthlyGrid → MK-CF-F-011 savingsByMonth → MK-XS-F-028 surplusByMonth
9. … and 4 more paths</t>
  </si>
  <si>
    <t>MK-XS-F-029</t>
  </si>
  <si>
    <t>monthlySavings</t>
  </si>
  <si>
    <t>Monthly savings (the FLOW) — Build-47 walk row 7: DERIVED as the 12-month average of surplusByMonth, so the flat figure and the by-month figures can never drift apart (they used to be two parallel formulas that merely CLAIMED to reconcile).</t>
  </si>
  <si>
    <t>months = surplus by month(op, debts)
the answer = Σ over months of (amount)÷ 12</t>
  </si>
  <si>
    <t>Months is surplus by month(op, debts). The answer: the amount added up across months÷ 12.</t>
  </si>
  <si>
    <t>"Free to put to work each month" — on the Goals together screen, under "CAN YOU DO IT ALL?"</t>
  </si>
  <si>
    <t>MK-XS-F-028 surplusByMonth</t>
  </si>
  <si>
    <t>1. MK-XS-F-028 surplusByMonth
2. MK-CF-F-026 actualDebtPayment
3. MK-CF-F-132 map
4. MK-ST-F-036 reconcile
5. MK-CF-F-011 savingsByMonth
6. MK-CF-F-024 totalDebtMonthly
7. MK-CF-F-092 incomeMonthlyGrid
8. MK-CF-F-008 spendByMonth
9. MK-CF-F-023 requiredPayment
10. MK-CF-F-069 benefitActiveMonths
11. MK-CF-F-072 currentRetirementIncomeMonthly
12. MK-CF-F-065 equityVestWeights
13. MK-CF-F-071 extraIncome
14. MK-ST-F-056 has
15. MK-CF-F-087 monthlyTaxRates
16. MK-CF-F-073 otherIncomeMonth
17. MK-CF-F-181 rateInForce
18. MK-CF-F-068 rentalNetAnnual
19. MK-CF-F-066 rsuAnnual
20. MK-CF-F-060 salaryGrossByMonth
21. MK-CF-F-077 scholarshipByCalendarMonth
22. MK-CF-F-088 taxableByCalendarMonth
23. MK-ST-F-052 toNum
24. MK-PL-F-012 waterfall
25. MK-CF-F-120 pctBaseMonthly
26. MK-CF-F-004 spendBuckets
27. MK-CF-F-022 paymentShape
28. MK-CF-F-075 retirementIncomeMonthly
29. MK-CF-F-062 equityRowValue
30. MK-CF-F-070 benefitAnnual
31. MK-ST-F-039 on
32. MK-CF-F-090 effectiveRate
33. MK-CF-F-085 filingStatusOf
34. MK-CF-F-089 over65CountOf
35. MK-CF-F-098 progressiveMonthlyTax
36. MK-CF-F-086 stateRateOf
37. MK-CF-F-173 earnerWages
38. MK-CF-F-102 effectiveRateOnGrossFor
39. MK-CF-F-180 enteredLandsAnnual
40. MK-CF-F-082 salaryAnnual
41. MK-CF-F-084 taxableAnnual
42. MK-CF-F-067 rentalList
43. MK-CF-F-063 rowVestYear
44. MK-CF-F-176 sumMonthsOverEarners
45. MK-CF-F-177 wageGrossByMonth
46. MK-XS-F-122 n
47. MK-CF-F-003 categoryMonthly
48. MK-CF-F-021 defaultPaymentType
49. MK-CF-F-101 taxOwedFor
50. MK-CF-F-100 taxableIncomeFor
51. MK-CF-F-172 hasWage
52. MK-CF-F-074 tipsAnnual
53. MK-CF-F-130 enteredMonthlyRaw
54. MK-CF-F-166 hasMonthlySalaryTable
55. MK-CF-F-167 salaryCalendarYear
56. MK-XS-F-027 takeHomeMonthly
57. MK-CF-F-099 deductionFor
58. MK-CF-F-081 salaryActiveMonths
59. MK-CF-F-165 salaryMonths
60. MK-CF-F-187 seniorDeductionFor</t>
  </si>
  <si>
    <t>1. MK-CF-F-022 paymentShape → MK-CF-F-023 requiredPayment → MK-CF-F-024 totalDebtMonthly → MK-CF-F-026 actualDebtPayment → MK-XS-F-028 surplusByMonth → MK-XS-F-029 monthlySavings
2. MK-CF-F-132 map → MK-XS-F-028 surplusByMonth → MK-XS-F-029 monthlySavings
3. MK-ST-F-036 reconcile → MK-XS-F-028 surplusByMonth → MK-XS-F-029 monthlySavings
4. MK-CF-F-069 benefitActiveMonths → MK-CF-F-092 incomeMonthlyGrid → MK-CF-F-011 savingsByMonth → MK-XS-F-028 surplusByMonth → MK-XS-F-029 monthlySavings
5. MK-CF-F-075 retirementIncomeMonthly → MK-CF-F-072 currentRetirementIncomeMonthly → MK-CF-F-092 incomeMonthlyGrid → MK-CF-F-011 savingsByMonth → MK-XS-F-028 surplusByMonth → MK-XS-F-029 monthlySavings
6. MK-CF-F-062 equityRowValue → MK-CF-F-065 equityVestWeights → MK-CF-F-092 incomeMonthlyGrid → MK-CF-F-011 savingsByMonth → MK-XS-F-028 surplusByMonth → MK-XS-F-029 monthlySavings
7. MK-CF-F-132 map → MK-CF-F-065 equityVestWeights → MK-CF-F-092 incomeMonthlyGrid → MK-CF-F-011 savingsByMonth → MK-XS-F-028 surplusByMonth → MK-XS-F-029 monthlySavings
8. MK-CF-F-070 benefitAnnual → MK-CF-F-071 extraIncome → MK-CF-F-092 incomeMonthlyGrid → MK-CF-F-011 savingsByMonth → MK-XS-F-028 surplusByMonth → MK-XS-F-029 monthlySavings
9. … and 4 more paths</t>
  </si>
  <si>
    <t>MK-XS-F-030</t>
  </si>
  <si>
    <t>effectiveAnnualContribution</t>
  </si>
  <si>
    <t>src/domain/snapshot.ts</t>
  </si>
  <si>
    <t>NEGATIVE CASH FLOW DRAINS WEALTH — committed contributions don't create money.</t>
  </si>
  <si>
    <t>a = op (or none when missing)
stated annual = monthly contributions from onboarding(op) × 12
has spend data = to num(monthly expenses) &gt; 0 (or array.is array(spend cats) and spend cats.length &gt; 0 when missing or zero)
stated annual   when has spend data is missing
free cash annual = Σ over savings by month(a as any) of (amount)
non401k annual = (to num(c roth) + to num(c invest) + to num(c property)) × 12
the answer = stated annual + min(0, free cash annual − non401k annual)</t>
  </si>
  <si>
    <t>A is op (or none — when missing). Stated annual is monthly contributions from onboarding(op) times 12. Has spend data is to num(monthly expenses) &gt; 0 (or array.is array(spend cats) and spend cats.length &gt; 0 — when missing or zero). When has spend data is missing, it answers stated annual. Free cash annual: the amount added up across savings by month(a as any). Non401k annual is (to num(c roth) plus to num(c invest) plus to num(c property)) times 12. The answer is stated annual plus the smaller of 0 and free cash annual minus non401k annual.</t>
  </si>
  <si>
    <t>1. MK-NW-F-041 monthlyContributionsFromOnboarding
2. MK-CF-F-011 savingsByMonth
3. MK-ST-F-052 toNum</t>
  </si>
  <si>
    <t>1. MK-NW-F-041 monthlyContributionsFromOnboarding
2. MK-CF-F-011 savingsByMonth
3. MK-ST-F-052 toNum
4. MK-CF-F-078 employerMatchMonthly
5. MK-CF-F-092 incomeMonthlyGrid
6. MK-CF-F-132 map
7. MK-CF-F-008 spendByMonth
8. MK-XS-F-122 n
9. MK-CF-F-175 sumOverEarners
10. MK-CF-F-178 wageMatchMonthly
11. MK-CF-F-069 benefitActiveMonths
12. MK-CF-F-072 currentRetirementIncomeMonthly
13. MK-CF-F-065 equityVestWeights
14. MK-CF-F-071 extraIncome
15. MK-ST-F-056 has
16. MK-CF-F-087 monthlyTaxRates
17. MK-CF-F-073 otherIncomeMonth
18. MK-CF-F-181 rateInForce
19. MK-CF-F-068 rentalNetAnnual
20. MK-CF-F-066 rsuAnnual
21. MK-CF-F-060 salaryGrossByMonth
22. MK-CF-F-077 scholarshipByCalendarMonth
23. MK-CF-F-088 taxableByCalendarMonth
24. MK-PL-F-012 waterfall
25. MK-CF-F-120 pctBaseMonthly
26. MK-CF-F-004 spendBuckets
27. MK-CF-F-173 earnerWages
28. MK-CF-F-075 retirementIncomeMonthly
29. MK-CF-F-062 equityRowValue
30. MK-CF-F-070 benefitAnnual
31. MK-ST-F-039 on
32. MK-CF-F-090 effectiveRate
33. MK-CF-F-085 filingStatusOf
34. MK-CF-F-089 over65CountOf
35. MK-CF-F-098 progressiveMonthlyTax
36. MK-CF-F-086 stateRateOf
37. MK-CF-F-102 effectiveRateOnGrossFor
38. MK-CF-F-180 enteredLandsAnnual
39. MK-CF-F-082 salaryAnnual
40. MK-CF-F-084 taxableAnnual
41. MK-CF-F-067 rentalList
42. MK-CF-F-063 rowVestYear
43. MK-CF-F-176 sumMonthsOverEarners
44. MK-CF-F-177 wageGrossByMonth
45. MK-CF-F-003 categoryMonthly
46. MK-CF-F-172 hasWage
47. MK-CF-F-101 taxOwedFor
48. MK-CF-F-100 taxableIncomeFor
49. MK-CF-F-074 tipsAnnual
50. MK-CF-F-130 enteredMonthlyRaw
51. MK-CF-F-166 hasMonthlySalaryTable
52. MK-ST-F-036 reconcile
53. MK-CF-F-167 salaryCalendarYear
54. MK-XS-F-027 takeHomeMonthly
55. MK-CF-F-099 deductionFor
56. MK-CF-F-081 salaryActiveMonths
57. MK-CF-F-165 salaryMonths
58. MK-CF-F-187 seniorDeductionFor</t>
  </si>
  <si>
    <t>1. MK-CF-F-172 hasWage → MK-CF-F-173 earnerWages → MK-CF-F-175 sumOverEarners → MK-CF-F-078 employerMatchMonthly → MK-NW-F-041 monthlyContributionsFromOnboarding → MK-XS-F-030 effectiveAnnualContribution
2. MK-XS-F-122 n → MK-ST-F-052 toNum → MK-CF-F-178 wageMatchMonthly → MK-CF-F-078 employerMatchMonthly → MK-NW-F-041 monthlyContributionsFromOnboarding → MK-XS-F-030 effectiveAnnualContribution
3. MK-XS-F-122 n → MK-ST-F-052 toNum → MK-NW-F-041 monthlyContributionsFromOnboarding → MK-XS-F-030 effectiveAnnualContribution
4. MK-CF-F-069 benefitActiveMonths → MK-CF-F-092 incomeMonthlyGrid → MK-CF-F-011 savingsByMonth → MK-XS-F-030 effectiveAnnualContribution
5. MK-ST-F-052 toNum → MK-CF-F-075 retirementIncomeMonthly → MK-CF-F-072 currentRetirementIncomeMonthly → MK-CF-F-092 incomeMonthlyGrid → MK-CF-F-011 savingsByMonth → MK-XS-F-030 effectiveAnnualContribution
6. MK-ST-F-052 toNum → MK-CF-F-062 equityRowValue → MK-CF-F-065 equityVestWeights → MK-CF-F-092 incomeMonthlyGrid → MK-CF-F-011 savingsByMonth → MK-XS-F-030 effectiveAnnualContribution
7. MK-CF-F-132 map → MK-CF-F-065 equityVestWeights → MK-CF-F-092 incomeMonthlyGrid → MK-CF-F-011 savingsByMonth → MK-XS-F-030 effectiveAnnualContribution
8. MK-CF-F-069 benefitActiveMonths → MK-CF-F-070 benefitAnnual → MK-CF-F-071 extraIncome → MK-CF-F-092 incomeMonthlyGrid → MK-CF-F-011 savingsByMonth → MK-XS-F-030 effectiveAnnualContribution
9. … and 5 more paths</t>
  </si>
  <si>
    <t>MK-XS-F-031</t>
  </si>
  <si>
    <t>buildSnapshot</t>
  </si>
  <si>
    <t>Build a snapshot from EXPLICIT net-worth rows.</t>
  </si>
  <si>
    <t>a = op (or none when missing)
profile = to read model(profile from onboarding(uid, op))
income doc = income from onboarding(uid, op)
income = build income state(uid, income doc.sources, income doc.tax)
acct rows = accounts
debt rows = liabilities
assets = build assets state(uid, acct rows)
debt = build debt state(uid, debt rows)
networth = build net worth(uid, assets.total asset value, debt.total debt balance)
budget = build budget state(uid, income.net monthly income, budget from onboarding(uid, op))
invest mo = to num(c roth) + to num(c invest) + to num(c property)
… the first steps only — the rest of the body needs reading by hand.</t>
  </si>
  <si>
    <t>A is op (or none — when missing). Profile is to read model(profile from onboarding(uid, op)). Income doc is income from onboarding(uid, op). Income is build income state(uid, income doc.sources, income doc.tax). Acct rows is accounts. Debt rows is liabilities. Assets is build assets state(uid, acct rows). Debt is build debt state(uid, debt rows). Networth is build net worth(uid, assets.total asset value, debt.total debt balance). Budget is build budget state(uid, income.net monthly income, budget from onboarding(uid, op)). Invest mo is to num(c roth) plus to num(c invest) plus to num(c property). Only the first steps are shown; the rest of the body needs reading by hand.</t>
  </si>
  <si>
    <t>1. If current age is missing it uses 35.
2. If target retirement age is missing it uses 65.
3. If plan to age is missing it uses 90.</t>
  </si>
  <si>
    <t>1. MK-NW-F-037 blendedReturn
2. MK-CF-F-013 budgetFromOnboarding
3. MK-NW-F-039 buildAssetsState
4. MK-CF-F-001 buildBudgetState
5. MK-CF-F-036 buildDebtState
6. MK-PL-F-011 buildGoalsState
7. MK-CF-F-049 buildIncomeState
8. MK-NW-F-065 buildNetWorth
9. MK-PL-F-053 buildRetirementState
10. MK-CF-F-155 cash
11. MK-XS-F-030 effectiveAnnualContribution
12. MK-PL-F-013 goalsFromOnboarding
13. MK-CF-F-076 guaranteedOutsideStreams
14. MK-CF-F-079 incomeFromOnboarding
15. MK-PL-F-083 inflationRateInForce
16. MK-CF-F-132 map
17. MK-XS-F-026 profileFromOnboarding
18. MK-NW-F-033 retirementEarmarkedValue
19. MK-PL-F-049 retirementSpendMonthly
20. MK-ST-F-052 toNum
21. MK-XS-F-020 toReadModel
22. MK-XS-F-175 uid</t>
  </si>
  <si>
    <t>1. MK-NW-F-037 blendedReturn
2. MK-CF-F-013 budgetFromOnboarding
3. MK-NW-F-039 buildAssetsState
4. MK-CF-F-001 buildBudgetState
5. MK-CF-F-036 buildDebtState
6. MK-PL-F-011 buildGoalsState
7. MK-CF-F-049 buildIncomeState
8. MK-NW-F-065 buildNetWorth
9. MK-PL-F-053 buildRetirementState
10. MK-CF-F-155 cash
11. MK-XS-F-030 effectiveAnnualContribution
12. MK-PL-F-013 goalsFromOnboarding
13. MK-CF-F-076 guaranteedOutsideStreams
14. MK-CF-F-079 incomeFromOnboarding
15. MK-PL-F-083 inflationRateInForce
16. MK-CF-F-132 map
17. MK-XS-F-026 profileFromOnboarding
18. MK-NW-F-033 retirementEarmarkedValue
19. MK-PL-F-049 retirementSpendMonthly
20. MK-ST-F-052 toNum
21. MK-XS-F-020 toReadModel
22. MK-XS-F-175 uid
23. MK-NW-F-034 benchmarkReturn
24. MK-NW-F-032 earmarkedAmount
25. MK-NW-F-031 primaryCarIdOf
26. MK-CF-F-002 plannedMonthlySpend
27. MK-CF-F-004 spendBuckets
28. MK-CF-F-026 actualDebtPayment
29. MK-CF-F-025 minimumDebtService
30. MK-PL-F-012 waterfall
31. MK-CF-F-048 effectiveTaxRate
32. MK-CF-F-046 employerMatchAnnual
33. MK-CF-F-045 grossAnnualBaseline
34. MK-CF-F-161 monthlyGrossOfSource
35. MK-CF-F-098 progressiveMonthlyTax
36. MK-CF-F-129 round4
37. MK-PL-F-050 simulate
38. MK-XS-F-122 n
39. MK-NW-F-041 monthlyContributionsFromOnboarding
40. MK-CF-F-011 savingsByMonth
41. MK-ST-F-043 newEntityId
42. MK-CF-F-070 benefitAnnual
43. MK-CF-F-072 currentRetirementIncomeMonthly
44. MK-CF-F-078 employerMatchMonthly
45. MK-CF-F-065 equityVestWeights
46. MK-CF-F-067 rentalList
47. MK-CF-F-066 rsuAnnual
48. MK-CF-F-082 salaryAnnual
49. MK-CF-F-074 tipsAnnual
50. MK-XS-F-131 toInt
51. MK-PL-F-047 colFactor
52. MK-PL-F-001 taxBucketSplit
53. MK-XS-F-017 currentAge
54. MK-XS-F-019 retirementHorizonYears
55. MK-XS-F-018 yearsToRetirement
56. MK-ST-F-027 accountId
57. MK-CF-F-111 applyTransaction
58. MK-NW-F-040 assetsFromOnboarding
59. MK-PF-F-013 benchmarkTicker
60. MK-ST-F-028 buildDayFromAccounts
61. MK-PF-F-034 closeOnOrBefore
62. MK-CF-F-186 convertTakeHomeMode
63. MK-CF-F-038 debtsFromOnboarding
64. MK-XS-F-083 fetchPriceSeries
65. MK-ST-F-056 has
66. MK-CF-F-116 inverseOf
67. MK-ST-F-065 isoLocalDate
68. MK-CF-F-112 makeTransaction
69. MK-XS-F-006 pruneDaily
70. MK-ST-F-073 rebuildDays
71. MK-NW-F-054 reclassifyAccounts
72. MK-XS-F-174 recomputeBalances
73. MK-CF-F-115 restoreUndo
74. MK-CF-F-109 reviewTransactions
75. MK-ST-F-044 setMoneyFormat
76. MK-CF-F-114 undoSnapshot
77. MK-CF-F-191 ym
78. MK-NW-F-007 assetKind
79. MK-NW-F-030 earmarkDefault
80. MK-NW-F-011 assetClassOf
81. MK-CF-F-092 incomeMonthlyGrid
82. MK-XS-F-027 takeHomeMonthly
83. MK-CF-F-003 categoryMonthly
84. MK-CF-F-024 totalDebtMonthly
85. MK-CF-F-022 paymentShape
86. MK-CF-F-102 effectiveRateOnGrossFor
87. MK-CF-F-044 annualNet
88. MK-CF-F-127 isRental
89. MK-CF-F-101 taxOwedFor
90. MK-CF-F-100 taxableIncomeFor
91. MK-PL-F-074 median
92. MK-PL-F-072 mulberry32
93. MK-PL-F-073 normal
94. MK-PL-F-075 pctOfSorted
95. MK-ST-F-025 rmdStartAgeFromAge
96. MK-CF-F-008 spendByMonth
97. MK-CF-F-069 benefitActiveMonths
98. MK-CF-F-075 retirementIncomeMonthly
99. MK-CF-F-175 sumOverEarners
100. MK-CF-F-178 wageMatchMonthly
101. MK-CF-F-062 equityRowValue
102. MK-CF-F-063 rowVestYear
103. MK-CF-F-060 salaryGrossByMonth
104. MK-CF-F-081 salaryActiveMonths
105. MK-CF-F-138 addLot
106. MK-CF-F-136 bumpCash
107. MK-CF-F-137 findPos
108. MK-CF-F-139 removeShares
109. MK-PF-F-001 totalShares
110. MK-ST-F-053 money
111. MK-CF-F-085 filingStatusOf
112. MK-CF-F-097 grossFromNet
113. MK-CF-F-185 needsTakeHomeConversion
114. MK-CF-F-089 over65CountOf
115. MK-CF-F-037 inferDebtType
116. MK-ST-F-069 amountOf
117. MK-CF-F-133 cashOf
118. MK-ST-F-066 isDayKey
119. MK-ST-F-070 isOpening
120. MK-ST-F-071 rebuildableFrom
121. MK-ST-F-068 stepDay
122. MK-ST-F-072 undo
123. MK-NW-F-053 correctClassOf
124. MK-NW-F-008 incomeBearingClassOf
125. MK-PF-F-002 costBasis
126. MK-PF-F-009 latestClose
127. MK-PF-F-004 marketValue
128. MK-ST-F-030 record
129. MK-XS-F-024 resolveLens
130. MK-ST-F-055 round2
131. MK-CF-F-162 daysApart
132. MK-CF-F-108 isMoneyOut
133. MK-CF-F-131 normPayee
134. MK-CF-F-113 affectedAccountIds
135. MK-NW-F-013 realEstateUseOf
136. MK-CF-F-071 extraIncome
137. MK-CF-F-087 monthlyTaxRates
138. MK-CF-F-073 otherIncomeMonth
139. MK-CF-F-181 rateInForce
140. MK-CF-F-068 rentalNetAnnual
141. MK-CF-F-077 scholarshipByCalendarMonth
142. MK-CF-F-088 taxableByCalendarMonth
143. MK-CF-F-120 pctBaseMonthly
144. MK-CF-F-023 requiredPayment
145. MK-CF-F-021 defaultPaymentType
146. MK-CF-F-099 deductionFor
147. MK-ST-F-024 rmdStartAge
148. MK-CF-F-173 earnerWages
149. MK-CF-F-176 sumMonthsOverEarners
150. MK-CF-F-177 wageGrossByMonth
151. MK-CF-F-134 usesSleeve
152. MK-ST-F-049 formatMoney
153. MK-ST-F-067 utcOfDay
154. MK-ST-F-035 covers
155. MK-NW-F-009 maturityClass
156. MK-ST-F-010 nameEvidence
157. MK-PF-F-031 contractMultiplier
158. MK-ST-F-039 on
159. MK-CF-F-090 effectiveRate
160. MK-CF-F-086 stateRateOf
161. MK-CF-F-180 enteredLandsAnnual
162. MK-CF-F-084 taxableAnnual
163. MK-CF-F-187 seniorDeductionFor
164. MK-CF-F-172 hasWage
165. MK-CF-F-130 enteredMonthlyRaw
166. MK-CF-F-166 hasMonthlySalaryTable
167. MK-ST-F-036 reconcile
168. MK-CF-F-167 salaryCalendarYear
169. MK-ST-F-048 currencySymbol
170. MK-ST-F-034 firstDate
171. MK-XS-F-147 call
172. MK-CF-F-165 salaryMonths
173. MK-ST-F-047 activeCurrency
174. MK-XS-F-064 currentIdToken
175. MK-XS-F-112 relayUrl</t>
  </si>
  <si>
    <t>1. MK-NW-F-008 incomeBearingClassOf → MK-NW-F-011 assetClassOf → MK-NW-F-007 assetKind → MK-NW-F-034 benchmarkReturn → MK-NW-F-037 blendedReturn → MK-XS-F-031 buildSnapshot
2. MK-XS-F-122 n → MK-CF-F-155 cash → MK-NW-F-007 assetKind → MK-NW-F-034 benchmarkReturn → MK-NW-F-037 blendedReturn → MK-XS-F-031 buildSnapshot
3. MK-NW-F-008 incomeBearingClassOf → MK-NW-F-011 assetClassOf → MK-NW-F-030 earmarkDefault → MK-NW-F-032 earmarkedAmount → MK-NW-F-037 blendedReturn → MK-XS-F-031 buildSnapshot
4. MK-NW-F-013 realEstateUseOf → MK-NW-F-030 earmarkDefault → MK-NW-F-032 earmarkedAmount → MK-NW-F-037 blendedReturn → MK-XS-F-031 buildSnapshot
5. MK-CF-F-155 cash → MK-NW-F-008 incomeBearingClassOf → MK-NW-F-011 assetClassOf → MK-NW-F-031 primaryCarIdOf → MK-NW-F-037 blendedReturn → MK-XS-F-031 buildSnapshot
6. MK-ST-F-010 nameEvidence → MK-NW-F-008 incomeBearingClassOf → MK-NW-F-011 assetClassOf → MK-NW-F-031 primaryCarIdOf → MK-NW-F-037 blendedReturn → MK-XS-F-031 buildSnapshot
7. MK-CF-F-069 benefitActiveMonths → MK-CF-F-092 incomeMonthlyGrid → MK-CF-F-002 plannedMonthlySpend → MK-CF-F-013 budgetFromOnboarding → MK-XS-F-031 buildSnapshot
8. MK-CF-F-075 retirementIncomeMonthly → MK-CF-F-072 currentRetirementIncomeMonthly → MK-CF-F-092 incomeMonthlyGrid → MK-CF-F-002 plannedMonthlySpend → MK-CF-F-013 budgetFromOnboarding → MK-XS-F-031 buildSnapshot
9. … and 5 more paths</t>
  </si>
  <si>
    <t>MK-XS-F-032</t>
  </si>
  <si>
    <t>snapshotFromOnboarding</t>
  </si>
  <si>
    <t>Snapshot from onboarding answers alone — for headless/test callers (and any surface that runs before Net Worth is set up).</t>
  </si>
  <si>
    <t>build snapshot(uid, op, econ, assets from onboarding(uid, op).accounts, debts from onboarding(uid, op).debts)</t>
  </si>
  <si>
    <t>build snapshot(uid, op, econ, assets from onboarding(uid, op).accounts, debts from onboarding(uid, op).debts).</t>
  </si>
  <si>
    <t>1. uid: UserId
2. op: Record&lt;string, any&gt; | null
3. econ: EconomicData</t>
  </si>
  <si>
    <t>FinancialSnapshot</t>
  </si>
  <si>
    <t>1. MK-NW-F-040 assetsFromOnboarding
2. MK-XS-F-031 buildSnapshot
3. MK-CF-F-038 debtsFromOnboarding
4. MK-XS-F-175 uid</t>
  </si>
  <si>
    <t>1. MK-NW-F-040 assetsFromOnboarding
2. MK-XS-F-031 buildSnapshot
3. MK-CF-F-038 debtsFromOnboarding
4. MK-XS-F-175 uid
5. MK-ST-F-043 newEntityId
6. MK-ST-F-052 toNum
7. MK-NW-F-037 blendedReturn
8. MK-CF-F-013 budgetFromOnboarding
9. MK-NW-F-039 buildAssetsState
10. MK-CF-F-001 buildBudgetState
11. MK-CF-F-036 buildDebtState
12. MK-PL-F-011 buildGoalsState
13. MK-CF-F-049 buildIncomeState
14. MK-NW-F-065 buildNetWorth
15. MK-PL-F-053 buildRetirementState
16. MK-CF-F-155 cash
17. MK-XS-F-030 effectiveAnnualContribution
18. MK-PL-F-013 goalsFromOnboarding
19. MK-CF-F-076 guaranteedOutsideStreams
20. MK-CF-F-079 incomeFromOnboarding
21. MK-PL-F-083 inflationRateInForce
22. MK-CF-F-132 map
23. MK-XS-F-026 profileFromOnboarding
24. MK-NW-F-033 retirementEarmarkedValue
25. MK-PL-F-049 retirementSpendMonthly
26. MK-XS-F-020 toReadModel
27. MK-CF-F-037 inferDebtType
28. MK-ST-F-027 accountId
29. MK-CF-F-111 applyTransaction
30. MK-PF-F-013 benchmarkTicker
31. MK-ST-F-028 buildDayFromAccounts
32. MK-PF-F-034 closeOnOrBefore
33. MK-CF-F-186 convertTakeHomeMode
34. MK-XS-F-083 fetchPriceSeries
35. MK-ST-F-056 has
36. MK-CF-F-116 inverseOf
37. MK-ST-F-065 isoLocalDate
38. MK-CF-F-112 makeTransaction
39. MK-XS-F-122 n
40. MK-XS-F-006 pruneDaily
41. MK-ST-F-073 rebuildDays
42. MK-NW-F-054 reclassifyAccounts
43. MK-XS-F-174 recomputeBalances
44. MK-CF-F-115 restoreUndo
45. MK-CF-F-109 reviewTransactions
46. MK-ST-F-044 setMoneyFormat
47. MK-CF-F-114 undoSnapshot
48. MK-CF-F-191 ym
49. MK-NW-F-034 benchmarkReturn
50. MK-NW-F-032 earmarkedAmount
51. MK-NW-F-031 primaryCarIdOf
52. MK-CF-F-002 plannedMonthlySpend
53. MK-CF-F-004 spendBuckets
54. MK-CF-F-026 actualDebtPayment
55. MK-CF-F-025 minimumDebtService
56. MK-PL-F-012 waterfall
57. MK-CF-F-048 effectiveTaxRate
58. MK-CF-F-046 employerMatchAnnual
59. MK-CF-F-045 grossAnnualBaseline
60. MK-CF-F-161 monthlyGrossOfSource
61. MK-CF-F-098 progressiveMonthlyTax
62. MK-CF-F-129 round4
63. MK-PL-F-050 simulate
64. MK-NW-F-041 monthlyContributionsFromOnboarding
65. MK-CF-F-011 savingsByMonth
66. MK-CF-F-070 benefitAnnual
67. MK-CF-F-072 currentRetirementIncomeMonthly
68. MK-CF-F-078 employerMatchMonthly
69. MK-CF-F-065 equityVestWeights
70. MK-CF-F-067 rentalList
71. MK-CF-F-066 rsuAnnual
72. MK-CF-F-082 salaryAnnual
73. MK-CF-F-074 tipsAnnual
74. MK-XS-F-131 toInt
75. MK-PL-F-047 colFactor
76. MK-PL-F-001 taxBucketSplit
77. MK-XS-F-017 currentAge
78. MK-XS-F-019 retirementHorizonYears
79. MK-XS-F-018 yearsToRetirement
80. MK-CF-F-138 addLot
81. MK-CF-F-136 bumpCash
82. MK-CF-F-137 findPos
83. MK-CF-F-139 removeShares
84. MK-PF-F-001 totalShares
85. MK-ST-F-053 money
86. MK-CF-F-085 filingStatusOf
87. MK-CF-F-097 grossFromNet
88. MK-CF-F-185 needsTakeHomeConversion
89. MK-CF-F-089 over65CountOf
90. MK-ST-F-069 amountOf
91. MK-CF-F-133 cashOf
92. MK-ST-F-066 isDayKey
93. MK-ST-F-070 isOpening
94. MK-ST-F-071 rebuildableFrom
95. MK-ST-F-068 stepDay
96. MK-ST-F-072 undo
97. MK-NW-F-053 correctClassOf
98. MK-NW-F-008 incomeBearingClassOf
99. MK-PF-F-002 costBasis
100. MK-PF-F-009 latestClose
101. MK-PF-F-004 marketValue
102. MK-ST-F-030 record
103. MK-XS-F-024 resolveLens
104. MK-ST-F-055 round2
105. MK-CF-F-162 daysApart
106. MK-CF-F-108 isMoneyOut
107. MK-PL-F-074 median
108. MK-CF-F-131 normPayee
109. MK-CF-F-113 affectedAccountIds
110. MK-NW-F-007 assetKind
111. MK-NW-F-030 earmarkDefault
112. MK-NW-F-011 assetClassOf
113. MK-CF-F-092 incomeMonthlyGrid
114. MK-XS-F-027 takeHomeMonthly
115. MK-CF-F-003 categoryMonthly
116. MK-CF-F-024 totalDebtMonthly
117. MK-CF-F-022 paymentShape
118. MK-CF-F-102 effectiveRateOnGrossFor
119. MK-CF-F-044 annualNet
120. MK-CF-F-127 isRental
121. MK-CF-F-101 taxOwedFor
122. MK-CF-F-100 taxableIncomeFor
123. MK-PL-F-072 mulberry32
124. MK-PL-F-073 normal
125. MK-PL-F-075 pctOfSorted
126. MK-ST-F-025 rmdStartAgeFromAge
127. MK-CF-F-008 spendByMonth
128. MK-CF-F-069 benefitActiveMonths
129. MK-CF-F-075 retirementIncomeMonthly
130. MK-CF-F-175 sumOverEarners
131. MK-CF-F-178 wageMatchMonthly
132. MK-CF-F-062 equityRowValue
133. MK-CF-F-063 rowVestYear
134. MK-CF-F-060 salaryGrossByMonth
135. MK-CF-F-081 salaryActiveMonths
136. MK-CF-F-134 usesSleeve
137. MK-ST-F-049 formatMoney
138. MK-ST-F-067 utcOfDay
139. MK-ST-F-035 covers
140. MK-NW-F-009 maturityClass
141. MK-ST-F-010 nameEvidence
142. MK-PF-F-031 contractMultiplier
143. MK-NW-F-013 realEstateUseOf
144. MK-CF-F-071 extraIncome
145. MK-CF-F-087 monthlyTaxRates
146. MK-CF-F-073 otherIncomeMonth
147. MK-CF-F-181 rateInForce
148. MK-CF-F-068 rentalNetAnnual
149. MK-CF-F-077 scholarshipByCalendarMonth
150. MK-CF-F-088 taxableByCalendarMonth
151. MK-CF-F-120 pctBaseMonthly
152. MK-CF-F-023 requiredPayment
153. MK-CF-F-021 defaultPaymentType
154. MK-CF-F-099 deductionFor
155. MK-ST-F-024 rmdStartAge
156. MK-CF-F-173 earnerWages
157. MK-CF-F-176 sumMonthsOverEarners
158. MK-CF-F-177 wageGrossByMonth
159. MK-ST-F-048 currencySymbol
160. MK-ST-F-039 on
161. MK-ST-F-034 firstDate
162. MK-XS-F-147 call
163. MK-CF-F-090 effectiveRate
164. MK-CF-F-086 stateRateOf
165. MK-CF-F-180 enteredLandsAnnual
166. MK-CF-F-084 taxableAnnual
167. MK-CF-F-187 seniorDeductionFor
168. MK-CF-F-172 hasWage
169. MK-CF-F-130 enteredMonthlyRaw
170. MK-CF-F-166 hasMonthlySalaryTable
171. MK-ST-F-036 reconcile
172. MK-CF-F-167 salaryCalendarYear
173. MK-ST-F-047 activeCurrency
174. MK-XS-F-064 currentIdToken
175. MK-XS-F-112 relayUrl
176. MK-CF-F-165 salaryMonths</t>
  </si>
  <si>
    <t>1. MK-ST-F-043 newEntityId → MK-NW-F-040 assetsFromOnboarding → MK-XS-F-032 snapshotFromOnboarding
2. MK-XS-F-122 n → MK-ST-F-052 toNum → MK-NW-F-040 assetsFromOnboarding → MK-XS-F-032 snapshotFromOnboarding
3. MK-ST-F-027 accountId → MK-XS-F-175 uid → MK-NW-F-040 assetsFromOnboarding → MK-XS-F-032 snapshotFromOnboarding
4. MK-CF-F-137 findPos → MK-CF-F-138 addLot → MK-CF-F-111 applyTransaction → MK-XS-F-175 uid → MK-NW-F-040 assetsFromOnboarding → MK-XS-F-032 snapshotFromOnboarding
5. MK-CF-F-132 map → MK-CF-F-138 addLot → MK-CF-F-111 applyTransaction → MK-XS-F-175 uid → MK-NW-F-040 assetsFromOnboarding → MK-XS-F-032 snapshotFromOnboarding
6. MK-ST-F-043 newEntityId → MK-CF-F-138 addLot → MK-CF-F-111 applyTransaction → MK-XS-F-175 uid → MK-NW-F-040 assetsFromOnboarding → MK-XS-F-032 snapshotFromOnboarding
7. MK-CF-F-134 usesSleeve → MK-CF-F-136 bumpCash → MK-CF-F-111 applyTransaction → MK-XS-F-175 uid → MK-NW-F-040 assetsFromOnboarding → MK-XS-F-032 snapshotFromOnboarding
8. MK-CF-F-137 findPos → MK-CF-F-111 applyTransaction → MK-XS-F-175 uid → MK-NW-F-040 assetsFromOnboarding → MK-XS-F-032 snapshotFromOnboarding
9. … and 5 more paths</t>
  </si>
  <si>
    <t>MK-XS-F-033</t>
  </si>
  <si>
    <t>resolveNetWorthRows</t>
  </si>
  <si>
    <t>The single rule for which net-worth rows a live UI surface should use, so Home + TopBar + the Net Worth screen never disagree (B-49).</t>
  </si>
  <si>
    <t>use live = nw seeded (or live accounts.length &gt; 0 (or live liabilities.length &gt; 0 when missing or zero) when missing or zero)</t>
  </si>
  <si>
    <t>Use live is nw seeded (or live accounts.length &gt; 0 (or live liabilities.length &gt; 0 — when missing or zero) — when missing or zero).</t>
  </si>
  <si>
    <t>1. MK-NW-F-040 assetsFromOnboarding
2. MK-CF-F-038 debtsFromOnboarding
3. MK-XS-F-175 uid</t>
  </si>
  <si>
    <t>1. MK-NW-F-040 assetsFromOnboarding
2. MK-CF-F-038 debtsFromOnboarding
3. MK-XS-F-175 uid
4. MK-ST-F-043 newEntityId
5. MK-ST-F-052 toNum
6. MK-CF-F-037 inferDebtType
7. MK-ST-F-027 accountId
8. MK-CF-F-111 applyTransaction
9. MK-PF-F-013 benchmarkTicker
10. MK-ST-F-028 buildDayFromAccounts
11. MK-PF-F-034 closeOnOrBefore
12. MK-CF-F-186 convertTakeHomeMode
13. MK-XS-F-083 fetchPriceSeries
14. MK-PL-F-013 goalsFromOnboarding
15. MK-ST-F-056 has
16. MK-CF-F-116 inverseOf
17. MK-ST-F-065 isoLocalDate
18. MK-CF-F-112 makeTransaction
19. MK-CF-F-132 map
20. MK-XS-F-122 n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MK-ST-F-053 money
36. MK-CF-F-085 filingStatusOf
37. MK-CF-F-097 grossFromNet
38. MK-CF-F-185 needsTakeHomeConversion
39. MK-CF-F-089 over65CountOf
40. MK-ST-F-069 amountOf
41. MK-CF-F-133 cashOf
42. MK-ST-F-066 isDayKey
43. MK-ST-F-070 isOpening
44. MK-ST-F-071 rebuildableFrom
45. MK-ST-F-068 stepDay
46. MK-ST-F-072 undo
47. MK-NW-F-053 correctClassOf
48. MK-NW-F-008 incomeBearingClassOf
49. MK-PF-F-002 costBasis
50. MK-PF-F-009 latestClose
51. MK-PF-F-004 marketValue
52. MK-ST-F-030 record
53. MK-XS-F-024 resolveLens
54. MK-ST-F-055 round2
55. MK-CF-F-162 daysApart
56. MK-CF-F-108 isMoneyOut
57. MK-PL-F-074 median
58. MK-CF-F-131 normPayee
59. MK-CF-F-113 affectedAccountIds
60. MK-CF-F-134 usesSleeve
61. MK-ST-F-049 formatMoney
62. MK-CF-F-101 taxOwedFor
63. MK-ST-F-067 utcOfDay
64. MK-CF-F-155 cash
65. MK-ST-F-035 covers
66. MK-NW-F-009 maturityClass
67. MK-ST-F-010 nameEvidence
68. MK-PF-F-031 contractMultiplier
69. MK-CF-F-072 currentRetirementIncomeMonthly
70. MK-ST-F-048 currencySymbol
71. MK-ST-F-039 on
72. MK-CF-F-100 taxableIncomeFor
73. MK-ST-F-034 firstDate
74. MK-XS-F-147 call
75. MK-CF-F-075 retirementIncomeMonthly
76. MK-ST-F-047 activeCurrency
77. MK-CF-F-099 deductionFor
78. MK-XS-F-064 currentIdToken
79. MK-XS-F-112 relayUrl
80. MK-CF-F-187 seniorDeductionFor</t>
  </si>
  <si>
    <t>1. MK-ST-F-043 newEntityId → MK-NW-F-040 assetsFromOnboarding → MK-XS-F-033 resolveNetWorthRows
2. MK-XS-F-122 n → MK-ST-F-052 toNum → MK-NW-F-040 assetsFromOnboarding → MK-XS-F-033 resolveNetWorthRows
3. MK-ST-F-027 accountId → MK-XS-F-175 uid → MK-NW-F-040 assetsFromOnboarding → MK-XS-F-033 resolveNetWorthRows
4. MK-CF-F-137 findPos → MK-CF-F-138 addLot → MK-CF-F-111 applyTransaction → MK-XS-F-175 uid → MK-NW-F-040 assetsFromOnboarding → MK-XS-F-033 resolveNetWorthRows
5. MK-CF-F-132 map → MK-CF-F-138 addLot → MK-CF-F-111 applyTransaction → MK-XS-F-175 uid → MK-NW-F-040 assetsFromOnboarding → MK-XS-F-033 resolveNetWorthRows
6. MK-ST-F-043 newEntityId → MK-CF-F-138 addLot → MK-CF-F-111 applyTransaction → MK-XS-F-175 uid → MK-NW-F-040 assetsFromOnboarding → MK-XS-F-033 resolveNetWorthRows
7. MK-CF-F-134 usesSleeve → MK-CF-F-136 bumpCash → MK-CF-F-111 applyTransaction → MK-XS-F-175 uid → MK-NW-F-040 assetsFromOnboarding → MK-XS-F-033 resolveNetWorthRows
8. MK-CF-F-137 findPos → MK-CF-F-111 applyTransaction → MK-XS-F-175 uid → MK-NW-F-040 assetsFromOnboarding → MK-XS-F-033 resolveNetWorthRows
9. … and 5 more paths</t>
  </si>
  <si>
    <t>NET_WORTH_ROWS</t>
  </si>
  <si>
    <t>MK-XS-F-034</t>
  </si>
  <si>
    <t>isLockAvailable</t>
  </si>
  <si>
    <t>src/services/appLock.ts</t>
  </si>
  <si>
    <t>True only when the device has biometric hardware AND the user has enrolled a biometric/passcode.</t>
  </si>
  <si>
    <t>m = load()
false   when has hardware async is missing
the answer = !!has hw and !!enrolled</t>
  </si>
  <si>
    <t>M is load(). When has hardware async is missing, it answers false. The answer is !!has hw and !!enrolled.</t>
  </si>
  <si>
    <t>Promise&lt;boolean&gt;</t>
  </si>
  <si>
    <t>MK-XS-F-132 load</t>
  </si>
  <si>
    <t>MK-XS-F-132 load → MK-XS-F-034 isLockAvailable</t>
  </si>
  <si>
    <t>MK-XS-F-035</t>
  </si>
  <si>
    <t>authenticate</t>
  </si>
  <si>
    <t>Prompt for Face ID / Touch ID / device passcode.</t>
  </si>
  <si>
    <t>m = load()
false   when authenticate async is missing
res = await authenticate async({ prompt message: reason, disable device fallback: false })
the answer = !!res.success</t>
  </si>
  <si>
    <t>M is load(). When authenticate async is missing, it answers false. Res is await authenticate async({ prompt message: reason, disable device fallback: false }). The answer is !!res.success.</t>
  </si>
  <si>
    <t>reason = 'Unlock MoneyKeel'</t>
  </si>
  <si>
    <t>MK-XS-F-132 load → MK-XS-F-035 authenticate</t>
  </si>
  <si>
    <t>MK-XS-F-036</t>
  </si>
  <si>
    <t>initCrashReporting</t>
  </si>
  <si>
    <t>src/services/crashReporter.ts</t>
  </si>
  <si>
    <t>Initialise crash reporting once, at app start.</t>
  </si>
  <si>
    <t>dsn = (constants.expo config.extra as any).SENTRY_DSN (or process.env.SENTRY_DSN (or '' when missing or zero) when missing or zero)
s = load sentry()</t>
  </si>
  <si>
    <t>Dsn is (constants.expo config.extra as any).SENTRY_DSN (or process.env.SENTRY_DSN (or '' — when missing or zero) — when missing or zero). S is load sentry().</t>
  </si>
  <si>
    <t>1. MK-XS-F-037 captureException
2. MK-XS-F-134 installGlobalHandler
3. MK-XS-F-133 loadSentry</t>
  </si>
  <si>
    <t>1. MK-XS-F-037 captureException → MK-XS-F-036 initCrashReporting
2. MK-XS-F-037 captureException → MK-XS-F-134 installGlobalHandler → MK-XS-F-036 initCrashReporting
3. MK-XS-F-133 loadSentry → MK-XS-F-036 initCrashReporting</t>
  </si>
  <si>
    <t>MK-XS-F-037</t>
  </si>
  <si>
    <t>captureException</t>
  </si>
  <si>
    <t>Report a caught error.</t>
  </si>
  <si>
    <t>1. error: unknown
2. extra?: Extra</t>
  </si>
  <si>
    <t>MK-XS-F-038</t>
  </si>
  <si>
    <t>setUserScope</t>
  </si>
  <si>
    <t>Tag the current user on reports (call after login; pass null on logout).</t>
  </si>
  <si>
    <t>uid: string | null</t>
  </si>
  <si>
    <t>MK-XS-F-039</t>
  </si>
  <si>
    <t>crashReportingEnabled</t>
  </si>
  <si>
    <t>Whether reports are actually shipping to Sentry (DSN + SDK present).</t>
  </si>
  <si>
    <t>enabled</t>
  </si>
  <si>
    <t>enabled.</t>
  </si>
  <si>
    <t>MK-XS-F-040</t>
  </si>
  <si>
    <t>sendTestReport</t>
  </si>
  <si>
    <t>B-L2 verification: send a harmless test event so you can confirm wiring in the Sentry dashboard (works on the production/TestFlight build).</t>
  </si>
  <si>
    <t>"Hide balances" — on the Settings screen, under "Security"</t>
  </si>
  <si>
    <t>MK-XS-F-037 captureException</t>
  </si>
  <si>
    <t>MK-XS-F-037 captureException → MK-XS-F-040 sendTestReport</t>
  </si>
  <si>
    <t>MK-XS-F-041</t>
  </si>
  <si>
    <t>cacheDataKey</t>
  </si>
  <si>
    <t>src/services/dataCrypto.ts</t>
  </si>
  <si>
    <t>── DEK lifecycle (the cached, unwrapped key the sync layer uses) ───── Cache the unwrapped DEK (memory + keychain).</t>
  </si>
  <si>
    <t>keeps the data-encryption key in memory and in the device's secure store</t>
  </si>
  <si>
    <t>Stores the data-encryption key in memory and in the secure keychain. Not a calculation.</t>
  </si>
  <si>
    <t>dek: string</t>
  </si>
  <si>
    <t>MK-XS-F-136 secureSet</t>
  </si>
  <si>
    <t>MK-XS-F-136 secureSet → MK-XS-F-041 cacheDataKey</t>
  </si>
  <si>
    <t>MK-XS-F-042</t>
  </si>
  <si>
    <t>getDataKey</t>
  </si>
  <si>
    <t>The cached DEK (memory → keychain), or null if it hasn't been unwrapped on this install yet.</t>
  </si>
  <si>
    <t>cached key   when cached key
cached key</t>
  </si>
  <si>
    <t>When cached key, it answers cached key. cached key.</t>
  </si>
  <si>
    <t>Promise&lt;string | null&gt;</t>
  </si>
  <si>
    <t>MK-XS-F-135 secureGet</t>
  </si>
  <si>
    <t>MK-XS-F-135 secureGet → MK-XS-F-042 getDataKey</t>
  </si>
  <si>
    <t>MK-XS-F-043</t>
  </si>
  <si>
    <t>clearDataKey</t>
  </si>
  <si>
    <t>Forget the DEK (on logout / account deletion).</t>
  </si>
  <si>
    <t>forgets the data-encryption key in memory and in the secure store</t>
  </si>
  <si>
    <t>Removes the data-encryption key from memory and the secure keychain — done at sign-out. Not a calculation.</t>
  </si>
  <si>
    <t>MK-XS-F-137 secureDelete</t>
  </si>
  <si>
    <t>MK-XS-F-137 secureDelete → MK-XS-F-043 clearDataKey</t>
  </si>
  <si>
    <t>MK-XS-F-044</t>
  </si>
  <si>
    <t>generateDataKey</t>
  </si>
  <si>
    <t>── Key generation ─────────────────────────────────────────────────── A fresh random 256-bit data key (hex).</t>
  </si>
  <si>
    <t>crypto js.lib.word array.random(32).to string(crypto js.enc.hex)</t>
  </si>
  <si>
    <t>crypto js.lib.word array.random(32).to string(crypto js.enc.hex).</t>
  </si>
  <si>
    <t>MK-XS-F-045</t>
  </si>
  <si>
    <t>generateRecoveryCode</t>
  </si>
  <si>
    <t>A human-friendly recovery code, e.g.</t>
  </si>
  <si>
    <t>bytes = crypto js.lib.word array.random(20)
words = bytes.words
out = ''
byte = (words[i &gt;&gt;&gt; 2] &gt;&gt;&gt; (24 − (i % 4) × 8)) &amp; 0xff
the answer = (out.match( ÷ .{1,4} ÷ g) as string[]).join('-')</t>
  </si>
  <si>
    <t>Bytes is crypto js.lib.word array.random(20). Words is bytes.words. Out is ''. Byte is (words[i &gt;&gt;&gt; 2] &gt;&gt;&gt; (24 minus (i % 4) times 8)) &amp; 0xff. The answer is (out.match( divided by .{1,4} divided by g) as string[]).join('-').</t>
  </si>
  <si>
    <t>MK-XS-F-046</t>
  </si>
  <si>
    <t>makeEnvelope</t>
  </si>
  <si>
    <t>Build the stored envelope: the DEK locked by both the password and the recovery code.</t>
  </si>
  <si>
    <t>p = wrap with secret(dek, uid, password)
r = wrap with secret(dek, uid, recovery code)</t>
  </si>
  <si>
    <t>p = wrap with secret(dek, uid, password); r = wrap with secret(dek, uid, recovery code).</t>
  </si>
  <si>
    <t>1. dek: string
2. uid: string
3. password: string
4. recoveryCode: string</t>
  </si>
  <si>
    <t>KeyEnvelope</t>
  </si>
  <si>
    <t>1. MK-XS-F-175 uid
2. MK-XS-F-139 wrapWithSecret</t>
  </si>
  <si>
    <t>1. MK-XS-F-175 uid
2. MK-XS-F-139 wrapWithSecret
3. MK-ST-F-027 accountId
4. MK-CF-F-111 applyTransaction
5. MK-NW-F-040 assetsFromOnboarding
6. MK-PF-F-013 benchmarkTicker
7. MK-ST-F-028 buildDayFromAccounts
8. MK-PF-F-034 closeOnOrBefore
9. MK-CF-F-186 convertTakeHomeMode
10. MK-CF-F-038 debtsFromOnboarding
11. MK-XS-F-083 fetchPriceSeries
12. MK-PL-F-013 goalsFromOnboarding
13. MK-ST-F-056 has
14. MK-CF-F-116 inverseOf
15. MK-ST-F-065 isoLocalDate
16. MK-CF-F-112 makeTransaction
17. MK-CF-F-132 map
18. MK-XS-F-122 n
19. MK-ST-F-043 newEntityId
20. MK-XS-F-006 pruneDaily
21. MK-ST-F-073 rebuildDays
22. MK-NW-F-054 reclassifyAccounts
23. MK-XS-F-174 recomputeBalances
24. MK-CF-F-115 restoreUndo
25. MK-CF-F-109 reviewTransactions
26. MK-ST-F-044 setMoneyFormat
27. MK-CF-F-114 undoSnapshot
28. MK-CF-F-191 ym
29. MK-XS-F-138 deriveKeyFromSecret
30. MK-XS-F-052 encryptWithKey
31. MK-CF-F-138 addLot
32. MK-CF-F-136 bumpCash
33. MK-CF-F-137 findPos
34. MK-CF-F-139 removeShares
35. MK-PF-F-001 totalShares
36. MK-ST-F-052 toNum
37. MK-ST-F-053 money
38. MK-CF-F-085 filingStatusOf
39. MK-CF-F-097 grossFromNet
40. MK-CF-F-185 needsTakeHomeConversion
41. MK-CF-F-089 over65CountOf
42. MK-CF-F-037 inferDebtType
43. MK-ST-F-069 amountOf
44. MK-CF-F-133 cashOf
45. MK-ST-F-066 isDayKey
46. MK-ST-F-070 isOpening
47. MK-ST-F-071 rebuildableFrom
48. MK-ST-F-068 stepDay
49. MK-ST-F-072 undo
50. MK-NW-F-053 correctClassOf
51. MK-NW-F-008 incomeBearingClassOf
52. MK-PF-F-002 costBasis
53. MK-PF-F-009 latestClose
54. MK-PF-F-004 marketValue
55. MK-ST-F-030 record
56. MK-XS-F-024 resolveLens
57. MK-ST-F-055 round2
58. MK-CF-F-162 daysApart
59. MK-CF-F-108 isMoneyOut
60. MK-PL-F-074 median
61. MK-CF-F-131 normPayee
62. MK-CF-F-113 affectedAccountIds
63. MK-CF-F-134 usesSleeve
64. MK-ST-F-049 formatMoney
65. MK-CF-F-101 taxOwedFor
66. MK-ST-F-067 utcOfDay
67. MK-CF-F-155 cash
68. MK-ST-F-035 covers
69. MK-NW-F-009 maturityClass
70. MK-ST-F-010 nameEvidence
71. MK-PF-F-031 contractMultiplier
72. MK-CF-F-072 currentRetirementIncomeMonthly
73. MK-ST-F-048 currencySymbol
74. MK-ST-F-039 on
75. MK-CF-F-100 taxableIncomeFor
76. MK-ST-F-034 firstDate
77. MK-XS-F-147 call
78. MK-CF-F-075 retirementIncomeMonthly
79. MK-ST-F-047 activeCurrency
80. MK-CF-F-099 deductionFor
81. MK-XS-F-064 currentIdToken
82. MK-XS-F-112 relayUrl
83. MK-CF-F-187 seniorDeductionFor</t>
  </si>
  <si>
    <t>1. MK-ST-F-027 accountId → MK-XS-F-175 uid → MK-XS-F-046 makeEnvelope
2. MK-CF-F-137 findPos → MK-CF-F-138 addLot → MK-CF-F-111 applyTransaction → MK-XS-F-175 uid → MK-XS-F-046 makeEnvelope
3. MK-CF-F-132 map → MK-CF-F-138 addLot → MK-CF-F-111 applyTransaction → MK-XS-F-175 uid → MK-XS-F-046 makeEnvelope
4. MK-ST-F-043 newEntityId → MK-CF-F-138 addLot → MK-CF-F-111 applyTransaction → MK-XS-F-175 uid → MK-XS-F-046 makeEnvelope
5. MK-CF-F-134 usesSleeve → MK-CF-F-136 bumpCash → MK-CF-F-111 applyTransaction → MK-XS-F-175 uid → MK-XS-F-046 makeEnvelope
6. MK-CF-F-137 findPos → MK-CF-F-111 applyTransaction → MK-XS-F-175 uid → MK-XS-F-046 makeEnvelope
7. MK-CF-F-132 map → MK-CF-F-111 applyTransaction → MK-XS-F-175 uid → MK-XS-F-046 makeEnvelope
8. MK-CF-F-137 findPos → MK-CF-F-139 removeShares → MK-CF-F-111 applyTransaction → MK-XS-F-175 uid → MK-XS-F-046 makeEnvelope
9. … and 5 more paths</t>
  </si>
  <si>
    <t>MK-XS-F-047</t>
  </si>
  <si>
    <t>unwrapWithPassword</t>
  </si>
  <si>
    <t>Unlock the DEK with the password (null if the password is wrong / was reset).</t>
  </si>
  <si>
    <t>decrypt with key(env.p, derive key from secret(password, uid))   if env.p
nothing   otherwise</t>
  </si>
  <si>
    <t>decrypt with key(env.p, derive key from secret(password, uid)) — when env.p; no answer — otherwise.</t>
  </si>
  <si>
    <t>1. env: KeyEnvelope
2. uid: string
3. password: string</t>
  </si>
  <si>
    <t>1. MK-XS-F-053 decryptWithKey
2. MK-XS-F-138 deriveKeyFromSecret
3. MK-XS-F-175 uid</t>
  </si>
  <si>
    <t>1. MK-XS-F-053 decryptWithKey
2. MK-XS-F-138 deriveKeyFromSecret
3. MK-XS-F-175 uid
4. MK-XS-F-051 isEncrypted
5. MK-ST-F-027 accountId
6. MK-CF-F-111 applyTransaction
7. MK-NW-F-040 assetsFromOnboarding
8. MK-PF-F-013 benchmarkTicker
9. MK-ST-F-028 buildDayFromAccounts
10. MK-PF-F-034 closeOnOrBefore
11. MK-CF-F-186 convertTakeHomeMode
12. MK-CF-F-038 debtsFromOnboarding
13. MK-XS-F-083 fetchPriceSeries
14. MK-PL-F-013 goalsFromOnboarding
15. MK-ST-F-056 has
16. MK-CF-F-116 inverseOf
17. MK-ST-F-065 isoLocalDate
18. MK-CF-F-112 makeTransaction
19. MK-CF-F-132 map
20. MK-XS-F-122 n
21. MK-ST-F-043 newEntityId
22. MK-XS-F-006 pruneDaily
23. MK-ST-F-073 rebuildDays
24. MK-NW-F-054 reclassifyAccounts
25. MK-XS-F-174 recomputeBalances
26. MK-CF-F-115 restoreUndo
27. MK-CF-F-109 reviewTransactions
28. MK-ST-F-044 setMoneyFormat
29. MK-CF-F-114 undoSnapshot
30. MK-CF-F-191 ym
31. MK-CF-F-138 addLot
32. MK-CF-F-136 bumpCash
33. MK-CF-F-137 findPos
34. MK-CF-F-139 removeShares
35. MK-PF-F-001 totalShares
36. MK-ST-F-052 toNum
37. MK-ST-F-053 money
38. MK-CF-F-085 filingStatusOf
39. MK-CF-F-097 grossFromNet
40. MK-CF-F-185 needsTakeHomeConversion
41. MK-CF-F-089 over65CountOf
42. MK-CF-F-037 inferDebtType
43. MK-ST-F-069 amountOf
44. MK-CF-F-133 cashOf
45. MK-ST-F-066 isDayKey
46. MK-ST-F-070 isOpening
47. MK-ST-F-071 rebuildableFrom
48. MK-ST-F-068 stepDay
49. MK-ST-F-072 undo
50. MK-NW-F-053 correctClassOf
51. MK-NW-F-008 incomeBearingClassOf
52. MK-PF-F-002 costBasis
53. MK-PF-F-009 latestClose
54. MK-PF-F-004 marketValue
55. MK-ST-F-030 record
56. MK-XS-F-024 resolveLens
57. MK-ST-F-055 round2
58. MK-CF-F-162 daysApart
59. MK-CF-F-108 isMoneyOut
60. MK-PL-F-074 median
61. MK-CF-F-131 normPayee
62. MK-CF-F-113 affectedAccountIds
63. MK-CF-F-134 usesSleeve
64. MK-ST-F-049 formatMoney
65. MK-CF-F-101 taxOwedFor
66. MK-ST-F-067 utcOfDay
67. MK-CF-F-155 cash
68. MK-ST-F-035 covers
69. MK-NW-F-009 maturityClass
70. MK-ST-F-010 nameEvidence
71. MK-PF-F-031 contractMultiplier
72. MK-CF-F-072 currentRetirementIncomeMonthly
73. MK-ST-F-048 currencySymbol
74. MK-ST-F-039 on
75. MK-CF-F-100 taxableIncomeFor
76. MK-ST-F-034 firstDate
77. MK-XS-F-147 call
78. MK-CF-F-075 retirementIncomeMonthly
79. MK-ST-F-047 activeCurrency
80. MK-CF-F-099 deductionFor
81. MK-XS-F-064 currentIdToken
82. MK-XS-F-112 relayUrl
83. MK-CF-F-187 seniorDeductionFor</t>
  </si>
  <si>
    <t>1. MK-XS-F-051 isEncrypted → MK-XS-F-053 decryptWithKey → MK-XS-F-047 unwrapWithPassword
2. MK-ST-F-027 accountId → MK-XS-F-175 uid → MK-XS-F-138 deriveKeyFromSecret → MK-XS-F-047 unwrapWithPassword
3. MK-CF-F-137 findPos → MK-CF-F-138 addLot → MK-CF-F-111 applyTransaction → MK-XS-F-175 uid → MK-XS-F-138 deriveKeyFromSecret → MK-XS-F-047 unwrapWithPassword
4. MK-CF-F-132 map → MK-CF-F-138 addLot → MK-CF-F-111 applyTransaction → MK-XS-F-175 uid → MK-XS-F-138 deriveKeyFromSecret → MK-XS-F-047 unwrapWithPassword
5. MK-ST-F-043 newEntityId → MK-CF-F-138 addLot → MK-CF-F-111 applyTransaction → MK-XS-F-175 uid → MK-XS-F-138 deriveKeyFromSecret → MK-XS-F-047 unwrapWithPassword
6. MK-CF-F-134 usesSleeve → MK-CF-F-136 bumpCash → MK-CF-F-111 applyTransaction → MK-XS-F-175 uid → MK-XS-F-138 deriveKeyFromSecret → MK-XS-F-047 unwrapWithPassword
7. MK-CF-F-137 findPos → MK-CF-F-111 applyTransaction → MK-XS-F-175 uid → MK-XS-F-138 deriveKeyFromSecret → MK-XS-F-047 unwrapWithPassword
8. MK-CF-F-132 map → MK-CF-F-111 applyTransaction → MK-XS-F-175 uid → MK-XS-F-138 deriveKeyFromSecret → MK-XS-F-047 unwrapWithPassword
9. … and 5 more paths</t>
  </si>
  <si>
    <t>MK-XS-F-048</t>
  </si>
  <si>
    <t>unwrapWithRecovery</t>
  </si>
  <si>
    <t>Unlock the DEK with the recovery code (null if the code is wrong).</t>
  </si>
  <si>
    <t>decrypt with key(env.r, derive key from secret(recovery code, uid))   if env.r
nothing   otherwise</t>
  </si>
  <si>
    <t>decrypt with key(env.r, derive key from secret(recovery code, uid)) — when env.r; no answer — otherwise.</t>
  </si>
  <si>
    <t>1. env: KeyEnvelope
2. uid: string
3. recoveryCode: string</t>
  </si>
  <si>
    <t>1. MK-XS-F-051 isEncrypted → MK-XS-F-053 decryptWithKey → MK-XS-F-048 unwrapWithRecovery
2. MK-ST-F-027 accountId → MK-XS-F-175 uid → MK-XS-F-138 deriveKeyFromSecret → MK-XS-F-048 unwrapWithRecovery
3. MK-CF-F-137 findPos → MK-CF-F-138 addLot → MK-CF-F-111 applyTransaction → MK-XS-F-175 uid → MK-XS-F-138 deriveKeyFromSecret → MK-XS-F-048 unwrapWithRecovery
4. MK-CF-F-132 map → MK-CF-F-138 addLot → MK-CF-F-111 applyTransaction → MK-XS-F-175 uid → MK-XS-F-138 deriveKeyFromSecret → MK-XS-F-048 unwrapWithRecovery
5. MK-ST-F-043 newEntityId → MK-CF-F-138 addLot → MK-CF-F-111 applyTransaction → MK-XS-F-175 uid → MK-XS-F-138 deriveKeyFromSecret → MK-XS-F-048 unwrapWithRecovery
6. MK-CF-F-134 usesSleeve → MK-CF-F-136 bumpCash → MK-CF-F-111 applyTransaction → MK-XS-F-175 uid → MK-XS-F-138 deriveKeyFromSecret → MK-XS-F-048 unwrapWithRecovery
7. MK-CF-F-137 findPos → MK-CF-F-111 applyTransaction → MK-XS-F-175 uid → MK-XS-F-138 deriveKeyFromSecret → MK-XS-F-048 unwrapWithRecovery
8. MK-CF-F-132 map → MK-CF-F-111 applyTransaction → MK-XS-F-175 uid → MK-XS-F-138 deriveKeyFromSecret → MK-XS-F-048 unwrapWithRecovery
9. … and 5 more paths</t>
  </si>
  <si>
    <t>MK-XS-F-049</t>
  </si>
  <si>
    <t>rewrapPassword</t>
  </si>
  <si>
    <t>Re-lock an existing envelope's password copy under a new password (after a recovery-code restore).</t>
  </si>
  <si>
    <t>...env = ...env
p = wrap with secret(dek, uid, new password)</t>
  </si>
  <si>
    <t>...env = ...env; p = wrap with secret(dek, uid, new password).</t>
  </si>
  <si>
    <t>1. env: KeyEnvelope
2. dek: string
3. uid: string
4. newPassword: string</t>
  </si>
  <si>
    <t>1. MK-ST-F-027 accountId → MK-XS-F-175 uid → MK-XS-F-049 rewrapPassword
2. MK-CF-F-137 findPos → MK-CF-F-138 addLot → MK-CF-F-111 applyTransaction → MK-XS-F-175 uid → MK-XS-F-049 rewrapPassword
3. MK-CF-F-132 map → MK-CF-F-138 addLot → MK-CF-F-111 applyTransaction → MK-XS-F-175 uid → MK-XS-F-049 rewrapPassword
4. MK-ST-F-043 newEntityId → MK-CF-F-138 addLot → MK-CF-F-111 applyTransaction → MK-XS-F-175 uid → MK-XS-F-049 rewrapPassword
5. MK-CF-F-134 usesSleeve → MK-CF-F-136 bumpCash → MK-CF-F-111 applyTransaction → MK-XS-F-175 uid → MK-XS-F-049 rewrapPassword
6. MK-CF-F-137 findPos → MK-CF-F-111 applyTransaction → MK-XS-F-175 uid → MK-XS-F-049 rewrapPassword
7. MK-CF-F-132 map → MK-CF-F-111 applyTransaction → MK-XS-F-175 uid → MK-XS-F-049 rewrapPassword
8. MK-CF-F-137 findPos → MK-CF-F-139 removeShares → MK-CF-F-111 applyTransaction → MK-XS-F-175 uid → MK-XS-F-049 rewrapPassword
9. … and 5 more paths</t>
  </si>
  <si>
    <t>MK-XS-F-050</t>
  </si>
  <si>
    <t>rewrapRecovery</t>
  </si>
  <si>
    <t>Replace an envelope's recovery copy with a new recovery code (rotate the code).</t>
  </si>
  <si>
    <t>...env = ...env
r = wrap with secret(dek, uid, recovery code)</t>
  </si>
  <si>
    <t>...env = ...env; r = wrap with secret(dek, uid, recovery code).</t>
  </si>
  <si>
    <t>1. env: KeyEnvelope
2. dek: string
3. uid: string
4. recoveryCode: string</t>
  </si>
  <si>
    <t>1. MK-ST-F-027 accountId → MK-XS-F-175 uid → MK-XS-F-050 rewrapRecovery
2. MK-CF-F-137 findPos → MK-CF-F-138 addLot → MK-CF-F-111 applyTransaction → MK-XS-F-175 uid → MK-XS-F-050 rewrapRecovery
3. MK-CF-F-132 map → MK-CF-F-138 addLot → MK-CF-F-111 applyTransaction → MK-XS-F-175 uid → MK-XS-F-050 rewrapRecovery
4. MK-ST-F-043 newEntityId → MK-CF-F-138 addLot → MK-CF-F-111 applyTransaction → MK-XS-F-175 uid → MK-XS-F-050 rewrapRecovery
5. MK-CF-F-134 usesSleeve → MK-CF-F-136 bumpCash → MK-CF-F-111 applyTransaction → MK-XS-F-175 uid → MK-XS-F-050 rewrapRecovery
6. MK-CF-F-137 findPos → MK-CF-F-111 applyTransaction → MK-XS-F-175 uid → MK-XS-F-050 rewrapRecovery
7. MK-CF-F-132 map → MK-CF-F-111 applyTransaction → MK-XS-F-175 uid → MK-XS-F-050 rewrapRecovery
8. MK-CF-F-137 findPos → MK-CF-F-139 removeShares → MK-CF-F-111 applyTransaction → MK-XS-F-175 uid → MK-XS-F-050 rewrapRecovery
9. … and 5 more paths</t>
  </si>
  <si>
    <t>MK-XS-F-051</t>
  </si>
  <si>
    <t>isEncrypted</t>
  </si>
  <si>
    <t>── Low-level AES helpers (also used to wrap the DEK) ─────────────────</t>
  </si>
  <si>
    <t>typeof v = 'string' and (v as string).starts with(PREFIX)</t>
  </si>
  <si>
    <t>typeof v = 'string' and (v as string).starts with(PREFIX).</t>
  </si>
  <si>
    <t>MK-XS-F-052</t>
  </si>
  <si>
    <t>encryptWithKey</t>
  </si>
  <si>
    <t>PREFIX + crypto js.AES.encrypt(JSON.stringify(obj), key hex).to string()</t>
  </si>
  <si>
    <t>PREFIX plus crypto js.AES.encrypt(JSON.stringify(obj), key hex).to string().</t>
  </si>
  <si>
    <t>1. obj: unknown
2. keyHex: string</t>
  </si>
  <si>
    <t>MK-XS-F-053</t>
  </si>
  <si>
    <t>decryptWithKey</t>
  </si>
  <si>
    <t>Decrypt an 'enc:'-tagged blob.</t>
  </si>
  <si>
    <t>nothing   when !is encrypted(blob)
plain = crypto js.AES.decrypt(blob.slice(PREFIX.length), key hex).to string(crypto js.enc.utf8)
the answer:
JSON.parse(plain)   if plain
nothing   otherwise</t>
  </si>
  <si>
    <t>When !is encrypted(blob), it answers no answer. Plain is crypto js.AES.decrypt(blob.slice(PREFIX.length), key hex).to string(crypto js.enc.utf8). The answer is JSON.parse(plain) — when plain; no answer — otherwise.</t>
  </si>
  <si>
    <t>1. blob: string
2. keyHex: string</t>
  </si>
  <si>
    <t>any | null</t>
  </si>
  <si>
    <t>MK-XS-F-051 isEncrypted</t>
  </si>
  <si>
    <t>MK-XS-F-051 isEncrypted → MK-XS-F-053 decryptWithKey</t>
  </si>
  <si>
    <t>MK-XS-F-054</t>
  </si>
  <si>
    <t>encryptForSync</t>
  </si>
  <si>
    <t>── The sync layer's interface (operates on the cached DEK) ─────────── Encrypt a payload with the cached DEK.</t>
  </si>
  <si>
    <t>key = await get data key()
the answer:
encrypt with key(obj, key)   if key
nothing   otherwise</t>
  </si>
  <si>
    <t>Key is await get data key(). The answer is encrypt with key(obj, key) — when key; no answer — otherwise.</t>
  </si>
  <si>
    <t>obj: unknown</t>
  </si>
  <si>
    <t>1. MK-XS-F-052 encryptWithKey
2. MK-XS-F-042 getDataKey</t>
  </si>
  <si>
    <t>1. MK-XS-F-052 encryptWithKey
2. MK-XS-F-042 getDataKey
3. MK-XS-F-135 secureGet</t>
  </si>
  <si>
    <t>1. MK-XS-F-052 encryptWithKey → MK-XS-F-054 encryptForSync
2. MK-XS-F-135 secureGet → MK-XS-F-042 getDataKey → MK-XS-F-054 encryptForSync</t>
  </si>
  <si>
    <t>MK-XS-F-055</t>
  </si>
  <si>
    <t>decryptFromSync</t>
  </si>
  <si>
    <t>Decrypt a synced value: ciphertext → object; legacy plaintext object → returned as-is; null if it's ciphertext we can't decrypt (no key).</t>
  </si>
  <si>
    <t>nothing   when value = nothing
value   when !is encrypted(value)
key = await get data key()
the answer:
decrypt with key(value as string, key)   if key
nothing   otherwise</t>
  </si>
  <si>
    <t>When value is missing, it answers no answer. When !is encrypted(value), it answers value. Key is await get data key(). The answer is decrypt with key(value as string, key) — when key; no answer — otherwise.</t>
  </si>
  <si>
    <t>value: unknown</t>
  </si>
  <si>
    <t>Promise&lt;any | null&gt;</t>
  </si>
  <si>
    <t>1. MK-XS-F-053 decryptWithKey
2. MK-XS-F-042 getDataKey
3. MK-XS-F-051 isEncrypted</t>
  </si>
  <si>
    <t>1. MK-XS-F-053 decryptWithKey
2. MK-XS-F-042 getDataKey
3. MK-XS-F-051 isEncrypted
4. MK-XS-F-135 secureGet</t>
  </si>
  <si>
    <t>1. MK-XS-F-051 isEncrypted → MK-XS-F-053 decryptWithKey → MK-XS-F-055 decryptFromSync
2. MK-XS-F-135 secureGet → MK-XS-F-042 getDataKey → MK-XS-F-055 decryptFromSync
3. MK-XS-F-051 isEncrypted → MK-XS-F-055 decryptFromSync</t>
  </si>
  <si>
    <t>MK-XS-F-056</t>
  </si>
  <si>
    <t>fetchEconomicData</t>
  </si>
  <si>
    <t>src/services/economicData.ts</t>
  </si>
  <si>
    <t>What are inflation and the 10-year Treasury yield?</t>
  </si>
  <si>
    <t>inflation rate = the fetched figure, or the fallback when the fetch failed
treasury yield = the fetched figure, or the fallback when the fetch failed
fetched at = now; each fallback flagged</t>
  </si>
  <si>
    <t>Fetches the inflation rate and the ten-year Treasury yield; when either fetch fails its fallback is used and FLAGGED as a fallback, never passed off as live.</t>
  </si>
  <si>
    <t>Promise&lt;EconomicData&gt;</t>
  </si>
  <si>
    <t>1. MK-XS-F-140 fetchInflation
2. MK-XS-F-141 fetchTreasuryYield</t>
  </si>
  <si>
    <t>1. MK-XS-F-140 fetchInflation → MK-XS-F-056 fetchEconomicData
2. MK-XS-F-141 fetchTreasuryYield → MK-XS-F-056 fetchEconomicData</t>
  </si>
  <si>
    <t>ECONOMIC_FIGURES</t>
  </si>
  <si>
    <t>MK-XS-F-057</t>
  </si>
  <si>
    <t>analyzeExpenses</t>
  </si>
  <si>
    <t>What is worth saying about this expenses?</t>
  </si>
  <si>
    <t>data = await res.json()
the answer = data as expense analysis</t>
  </si>
  <si>
    <t>Data is await res.json(). The answer is data as expense analysis.</t>
  </si>
  <si>
    <t>EXPENSE_COMMENTARY</t>
  </si>
  <si>
    <t>MK-XS-F-058</t>
  </si>
  <si>
    <t>parseReceipt</t>
  </si>
  <si>
    <t>src/services/receiptScan.ts</t>
  </si>
  <si>
    <t>Heuristic parse of receipt text → total amount + merchant.</t>
  </si>
  <si>
    <t>lines = for each of text.split( ÷ \r?\n ÷ ): trim() where boolean
merchant = lines.find((l) =&gt; ÷ [A − za − z]{3,} ÷ .test(l))
amt re = ÷ (\d{1,3}(?:,\d{3}) × \.\d{2}) ÷
to num = (s: string) =&gt; parse float(replace( ÷ , ÷ g, ''))
payment = ÷ \b(cash|tender|tendered|change|paid|payment|visa|mastercard|amex|discover|debit|credit|card|auth|approval|account)\b ÷ i
strong = ÷ \b(grand\s × total|amount\s × due|balance\s × due|total\s × due|balance|net)\b ÷ i
weak = ÷ \btotal\b ÷ i
sub = ÷ \bsub\s × -?\s × total\b ÷ i
savings hdr = ÷ \b(your\s+savings|total\s+savings|savings\s+value|your\s+points|rewards?|cash\s × off|coupons?)\b ÷ i
negative = ÷ -\s × \$?\s × \d ÷
safe amounts = []
… the first steps only — the rest of the body needs reading by hand.</t>
  </si>
  <si>
    <t>Lines is for each of text.split( divided by \r?\n divided by ): trim() where boolean. Merchant is lines.find((l) =&gt; divided by [A minus za minus z]{3,} divided by .test(l)). Amt re is ÷ (\d{1,3}(?:,\d{3}) times \.\d{2}) ÷. To num is (s: string) =&gt; parse float(replace( divided by , divided by g, '')). Payment is ÷ \b(cash|tender|tendered|change|paid|payment|visa|mastercard|amex|discover|debit|credit|card|auth|approval|account)\b divided by i. Strong is ÷ \b(grand\s times total|amount\s times due|balance\s times due|total\s times due|balance|net)\b divided by i. Weak is ÷ \btotal\b divided by i. Sub is ÷ \bsub\s times -?\s times total\b divided by i. Savings hdr is ÷ \b(your\s+savings|total\s+savings|savings\s+value|your\s+points|rewards?|cash\s times off|coupons?)\b divided by i. Negative is ÷ -\s times \$?\s times \d ÷. Safe amounts is []. Only the first steps are shown; the rest of the body needs reading by hand.</t>
  </si>
  <si>
    <t>1. MK-CF-F-132 map
2. MK-XS-F-093 stripNonMoney
3. MK-ST-F-052 toNum</t>
  </si>
  <si>
    <t>1. MK-CF-F-132 map
2. MK-XS-F-093 stripNonMoney
3. MK-ST-F-052 toNum
4. MK-XS-F-122 n</t>
  </si>
  <si>
    <t>1. MK-CF-F-132 map → MK-XS-F-058 parseReceipt
2. MK-XS-F-093 stripNonMoney → MK-XS-F-058 parseReceipt
3. MK-XS-F-122 n → MK-ST-F-052 toNum → MK-XS-F-058 parseReceipt</t>
  </si>
  <si>
    <t>READ_A_RECEIPT</t>
  </si>
  <si>
    <t>MK-XS-F-059</t>
  </si>
  <si>
    <t>readFileString</t>
  </si>
  <si>
    <t>src/services/fileRead.ts</t>
  </si>
  <si>
    <t>read as string async(uri, { encoding: encoding = 'base64' ? encoding type.base64 : encoding type.UTF8 })</t>
  </si>
  <si>
    <t>read as string async(uri, { encoding: encoding = 'base64' ? encoding type.base64 : encoding type.UTF8 }).</t>
  </si>
  <si>
    <t>1. uri: string
2. encoding: 'utf8' | 'base64' = 'utf8'</t>
  </si>
  <si>
    <t>Promise&lt;string&gt;</t>
  </si>
  <si>
    <t>MK-XS-F-060</t>
  </si>
  <si>
    <t>registerUser</t>
  </si>
  <si>
    <t>src/services/firebase.ts</t>
  </si>
  <si>
    <t>Returns the new user AND a one-time recovery code the caller MUST show the user to save.</t>
  </si>
  <si>
    <t>cred = await create user with email and password(auth, email, password)
dek = generate data key()
recovery code = generate recovery code()
key envelope = make envelope(dek, cred.user.uid, password, recovery code)
the answer:
user = cred.user
recovery code = recovery code</t>
  </si>
  <si>
    <t>Cred is await create user with email and password(auth, email, password). Dek is generate data key(). Recovery code is generate recovery code(). Key envelope is make envelope(dek, cred.user.uid, password, recovery code). The answer is user = cred.user; recovery code = recovery code.</t>
  </si>
  <si>
    <t>1. email: string
2. password: string
3. name: string
4. onCodeReady?: (code: string) =&gt; void</t>
  </si>
  <si>
    <t>1. MK-XS-F-041 cacheDataKey
2. MK-XS-F-044 generateDataKey
3. MK-XS-F-045 generateRecoveryCode
4. MK-XS-F-046 makeEnvelope
5. MK-XS-F-175 uid</t>
  </si>
  <si>
    <t>1. MK-XS-F-041 cacheDataKey
2. MK-XS-F-044 generateDataKey
3. MK-XS-F-045 generateRecoveryCode
4. MK-XS-F-046 makeEnvelope
5. MK-XS-F-175 uid
6. MK-XS-F-136 secureSet
7. MK-XS-F-139 wrapWithSecret
8. MK-ST-F-027 accountId
9. MK-CF-F-111 applyTransaction
10. MK-NW-F-040 assetsFromOnboarding
11. MK-PF-F-013 benchmarkTicker
12. MK-ST-F-028 buildDayFromAccounts
13. MK-PF-F-034 closeOnOrBefore
14. MK-CF-F-186 convertTakeHomeMode
15. MK-CF-F-038 debtsFromOnboarding
16. MK-XS-F-083 fetchPriceSeries
17. MK-PL-F-013 goalsFromOnboarding
18. MK-ST-F-056 has
19. MK-CF-F-116 inverseOf
20. MK-ST-F-065 isoLocalDate
21. MK-CF-F-112 makeTransaction
22. MK-CF-F-132 map
23. MK-XS-F-122 n
24. MK-ST-F-043 newEntityId
25. MK-XS-F-006 pruneDaily
26. MK-ST-F-073 rebuildDays
27. MK-NW-F-054 reclassifyAccounts
28. MK-XS-F-174 recomputeBalances
29. MK-CF-F-115 restoreUndo
30. MK-CF-F-109 reviewTransactions
31. MK-ST-F-044 setMoneyFormat
32. MK-CF-F-114 undoSnapshot
33. MK-CF-F-191 ym
34. MK-XS-F-138 deriveKeyFromSecret
35. MK-XS-F-052 encryptWithKey
36. MK-CF-F-138 addLot
37. MK-CF-F-136 bumpCash
38. MK-CF-F-137 findPos
39. MK-CF-F-139 removeShares
40. MK-PF-F-001 totalShares
41. MK-ST-F-052 toNum
42. MK-ST-F-053 money
43. MK-CF-F-085 filingStatusOf
44. MK-CF-F-097 grossFromNet
45. MK-CF-F-185 needsTakeHomeConversion
46. MK-CF-F-089 over65CountOf
47. MK-CF-F-037 inferDebtType
48. MK-ST-F-069 amountOf
49. MK-CF-F-133 cashOf
50. MK-ST-F-066 isDayKey
51. MK-ST-F-070 isOpening
52. MK-ST-F-071 rebuildableFrom
53. MK-ST-F-068 stepDay
54. MK-ST-F-072 undo
55. MK-NW-F-053 correctClassOf
56. MK-NW-F-008 incomeBearingClassOf
57. MK-PF-F-002 costBasis
58. MK-PF-F-009 latestClose
59. MK-PF-F-004 marketValue
60. MK-ST-F-030 record
61. MK-XS-F-024 resolveLens
62. MK-ST-F-055 round2
63. MK-CF-F-162 daysApart
64. MK-CF-F-108 isMoneyOut
65. MK-PL-F-074 median
66. MK-CF-F-131 normPayee
67. MK-CF-F-113 affectedAccountIds
68. MK-CF-F-134 usesSleeve
69. MK-ST-F-049 formatMoney
70. MK-CF-F-101 taxOwedFor
71. MK-ST-F-067 utcOfDay
72. MK-CF-F-155 cash
73. MK-ST-F-035 covers
74. MK-NW-F-009 maturityClass
75. MK-ST-F-010 nameEvidence
76. MK-PF-F-031 contractMultiplier
77. MK-CF-F-072 currentRetirementIncomeMonthly
78. MK-ST-F-048 currencySymbol
79. MK-ST-F-039 on
80. MK-CF-F-100 taxableIncomeFor
81. MK-ST-F-034 firstDate
82. MK-XS-F-147 call
83. MK-CF-F-075 retirementIncomeMonthly
84. MK-ST-F-047 activeCurrency
85. MK-CF-F-099 deductionFor
86. MK-XS-F-064 currentIdToken
87. MK-XS-F-112 relayUrl
88. MK-CF-F-187 seniorDeductionFor</t>
  </si>
  <si>
    <t>1. MK-XS-F-136 secureSet → MK-XS-F-041 cacheDataKey → MK-XS-F-060 registerUser
2. MK-XS-F-044 generateDataKey → MK-XS-F-060 registerUser
3. MK-XS-F-045 generateRecoveryCode → MK-XS-F-060 registerUser
4. MK-ST-F-027 accountId → MK-XS-F-175 uid → MK-XS-F-046 makeEnvelope → MK-XS-F-060 registerUser
5. MK-CF-F-137 findPos → MK-CF-F-138 addLot → MK-CF-F-111 applyTransaction → MK-XS-F-175 uid → MK-XS-F-046 makeEnvelope → MK-XS-F-060 registerUser
6. MK-CF-F-132 map → MK-CF-F-138 addLot → MK-CF-F-111 applyTransaction → MK-XS-F-175 uid → MK-XS-F-046 makeEnvelope → MK-XS-F-060 registerUser
7. MK-ST-F-043 newEntityId → MK-CF-F-138 addLot → MK-CF-F-111 applyTransaction → MK-XS-F-175 uid → MK-XS-F-046 makeEnvelope → MK-XS-F-060 registerUser
8. MK-CF-F-134 usesSleeve → MK-CF-F-136 bumpCash → MK-CF-F-111 applyTransaction → MK-XS-F-175 uid → MK-XS-F-046 makeEnvelope → MK-XS-F-060 registerUser
9. … and 5 more paths</t>
  </si>
  <si>
    <t>MK-XS-F-061</t>
  </si>
  <si>
    <t>resendVerification</t>
  </si>
  <si>
    <t>Resend the verification email to the signed-in user.</t>
  </si>
  <si>
    <t>sends the verification e-mail again to the signed-in person</t>
  </si>
  <si>
    <t>Resends the e-mail-verification message. Not a calculation.</t>
  </si>
  <si>
    <t>MK-XS-F-062</t>
  </si>
  <si>
    <t>refreshEmailVerified</t>
  </si>
  <si>
    <t>Re-check verification status from the server (call after the user clicks the email link).</t>
  </si>
  <si>
    <t>false   when auth.current user is missing
!!auth.current user.email verified</t>
  </si>
  <si>
    <t>When auth.current user is missing, it answers false. !!auth.current user.email verified.</t>
  </si>
  <si>
    <t>1. "Certain months" — on the setup questions, which appear on more than one screen
2. "HOW MUCH WILL YOU INVEST PER YEAR?" — on the setup questions, which appear on more than one screen
3. "When does it land? (pick the months)" — on the setup questions, which appear on more than one screen
4. "When is it due? (pick the months)" — on the setup questions, which appear on more than one screen</t>
  </si>
  <si>
    <t>MK-XS-F-063</t>
  </si>
  <si>
    <t>isEmailVerified</t>
  </si>
  <si>
    <t>!!auth.current user.email verified</t>
  </si>
  <si>
    <t>!!auth.current user.email verified.</t>
  </si>
  <si>
    <t>MK-XS-F-064</t>
  </si>
  <si>
    <t>currentIdToken</t>
  </si>
  <si>
    <t>The email of the account currently signed in to Firebase — the authoritative identity that account-level actions (delete, reauth) operate on.</t>
  </si>
  <si>
    <t>the answer = the signed-in person's identity token, or nothing</t>
  </si>
  <si>
    <t>The signed-in person's identity token for the relay, or nothing when nobody is signed in. Not a calculation.</t>
  </si>
  <si>
    <t>MK-XS-F-065</t>
  </si>
  <si>
    <t>currentUserEmail</t>
  </si>
  <si>
    <t>auth.current user.email (or nothing when missing)</t>
  </si>
  <si>
    <t>auth.current user.email (or no answer — when missing).</t>
  </si>
  <si>
    <t>"Confirm account deletion" — on the Settings screen, under "Account"</t>
  </si>
  <si>
    <t>MK-XS-F-066</t>
  </si>
  <si>
    <t>loginUser</t>
  </si>
  <si>
    <t>Returns the user plus the unlock status: • needsRecovery=true → the password can't open the data (it was reset); prompt for the recovery code.</t>
  </si>
  <si>
    <t>cred = await sign in with email and password(auth, email, password)
uid = cred.user.uid
snap = await get doc(doc(db, 'users', uid))
env = (snap.data() as any).key envelope   if snap.exists()
undefined   otherwise
dek = unwrap with password(env, uid, password)
the answer:
user = cred.user
needs recovery = true
dek = generate data key()
recovery code = generate recovery code()</t>
  </si>
  <si>
    <t>Cred is await sign in with email and password(auth, email, password). Uid is cred.user.uid. Snap is await get doc(doc(db, 'users', uid)). Env is (snap.data() as any).key envelope — when snap.exists(); undefined — otherwise. Dek is unwrap with password(env, uid, password). The answer is user = cred.user; needs recovery = true. Dek is generate data key(). Recovery code is generate recovery code().</t>
  </si>
  <si>
    <t>1. email: string
2. password: string
3. onCodeReady?: (code: string) =&gt; void</t>
  </si>
  <si>
    <t>Promise&lt;</t>
  </si>
  <si>
    <t>1. MK-XS-F-041 cacheDataKey
2. MK-XS-F-044 generateDataKey
3. MK-XS-F-045 generateRecoveryCode
4. MK-XS-F-046 makeEnvelope
5. MK-XS-F-060 registerUser
6. MK-XS-F-175 uid
7. MK-XS-F-047 unwrapWithPassword</t>
  </si>
  <si>
    <t>1. MK-XS-F-041 cacheDataKey
2. MK-XS-F-044 generateDataKey
3. MK-XS-F-045 generateRecoveryCode
4. MK-XS-F-046 makeEnvelope
5. MK-XS-F-060 registerUser
6. MK-XS-F-175 uid
7. MK-XS-F-047 unwrapWithPassword
8. MK-XS-F-136 secureSet
9. MK-XS-F-139 wrapWithSecret
10. MK-ST-F-027 accountId
11. MK-CF-F-111 applyTransaction
12. MK-NW-F-040 assetsFromOnboarding
13. MK-PF-F-013 benchmarkTicker
14. MK-ST-F-028 buildDayFromAccounts
15. MK-PF-F-034 closeOnOrBefore
16. MK-CF-F-186 convertTakeHomeMode
17. MK-CF-F-038 debtsFromOnboarding
18. MK-XS-F-083 fetchPriceSeries
19. MK-PL-F-013 goalsFromOnboarding
20. MK-ST-F-056 has
21. MK-CF-F-116 inverseOf
22. MK-ST-F-065 isoLocalDate
23. MK-CF-F-112 makeTransaction
24. MK-CF-F-132 map
25. MK-XS-F-122 n
26. MK-ST-F-043 newEntityId
27. MK-XS-F-006 pruneDaily
28. MK-ST-F-073 rebuildDays
29. MK-NW-F-054 reclassifyAccounts
30. MK-XS-F-174 recomputeBalances
31. MK-CF-F-115 restoreUndo
32. MK-CF-F-109 reviewTransactions
33. MK-ST-F-044 setMoneyFormat
34. MK-CF-F-114 undoSnapshot
35. MK-CF-F-191 ym
36. MK-XS-F-053 decryptWithKey
37. MK-XS-F-138 deriveKeyFromSecret
38. MK-XS-F-052 encryptWithKey
39. MK-CF-F-138 addLot
40. MK-CF-F-136 bumpCash
41. MK-CF-F-137 findPos
42. MK-CF-F-139 removeShares
43. MK-PF-F-001 totalShares
44. MK-ST-F-052 toNum
45. MK-ST-F-053 money
46. MK-CF-F-085 filingStatusOf
47. MK-CF-F-097 grossFromNet
48. MK-CF-F-185 needsTakeHomeConversion
49. MK-CF-F-089 over65CountOf
50. MK-CF-F-037 inferDebtType
51. MK-ST-F-069 amountOf
52. MK-CF-F-133 cashOf
53. MK-ST-F-066 isDayKey
54. MK-ST-F-070 isOpening
55. MK-ST-F-071 rebuildableFrom
56. MK-ST-F-068 stepDay
57. MK-ST-F-072 undo
58. MK-NW-F-053 correctClassOf
59. MK-NW-F-008 incomeBearingClassOf
60. MK-PF-F-002 costBasis
61. MK-PF-F-009 latestClose
62. MK-PF-F-004 marketValue
63. MK-ST-F-030 record
64. MK-XS-F-024 resolveLens
65. MK-ST-F-055 round2
66. MK-CF-F-162 daysApart
67. MK-CF-F-108 isMoneyOut
68. MK-PL-F-074 median
69. MK-CF-F-131 normPayee
70. MK-CF-F-113 affectedAccountIds
71. MK-XS-F-051 isEncrypted
72. MK-CF-F-134 usesSleeve
73. MK-ST-F-049 formatMoney
74. MK-CF-F-101 taxOwedFor
75. MK-ST-F-067 utcOfDay
76. MK-CF-F-155 cash
77. MK-ST-F-035 covers
78. MK-NW-F-009 maturityClass
79. MK-ST-F-010 nameEvidence
80. MK-PF-F-031 contractMultiplier
81. MK-CF-F-072 currentRetirementIncomeMonthly
82. MK-ST-F-048 currencySymbol
83. MK-ST-F-039 on
84. MK-CF-F-100 taxableIncomeFor
85. MK-ST-F-034 firstDate
86. MK-XS-F-147 call
87. MK-CF-F-075 retirementIncomeMonthly
88. MK-ST-F-047 activeCurrency
89. MK-CF-F-099 deductionFor
90. MK-XS-F-064 currentIdToken
91. MK-XS-F-112 relayUrl
92. MK-CF-F-187 seniorDeductionFor</t>
  </si>
  <si>
    <t>1. MK-XS-F-136 secureSet → MK-XS-F-041 cacheDataKey → MK-XS-F-066 loginUser
2. MK-XS-F-044 generateDataKey → MK-XS-F-066 loginUser
3. MK-XS-F-045 generateRecoveryCode → MK-XS-F-066 loginUser
4. MK-ST-F-027 accountId → MK-XS-F-175 uid → MK-XS-F-046 makeEnvelope → MK-XS-F-066 loginUser
5. MK-CF-F-137 findPos → MK-CF-F-138 addLot → MK-CF-F-111 applyTransaction → MK-XS-F-175 uid → MK-XS-F-046 makeEnvelope → MK-XS-F-066 loginUser
6. MK-CF-F-132 map → MK-CF-F-138 addLot → MK-CF-F-111 applyTransaction → MK-XS-F-175 uid → MK-XS-F-046 makeEnvelope → MK-XS-F-066 loginUser
7. MK-ST-F-043 newEntityId → MK-CF-F-138 addLot → MK-CF-F-111 applyTransaction → MK-XS-F-175 uid → MK-XS-F-046 makeEnvelope → MK-XS-F-066 loginUser
8. MK-CF-F-134 usesSleeve → MK-CF-F-136 bumpCash → MK-CF-F-111 applyTransaction → MK-XS-F-175 uid → MK-XS-F-046 makeEnvelope → MK-XS-F-066 loginUser
9. … and 5 more paths</t>
  </si>
  <si>
    <t>MK-XS-F-067</t>
  </si>
  <si>
    <t>restoreWithRecoveryCode</t>
  </si>
  <si>
    <t>After a password reset, restore data access with the recovery code, then re-lock the data under the NEW password.</t>
  </si>
  <si>
    <t>u = auth.current user
snap = await get doc(doc(db, 'users', uid))
env = (snap.data() as any).key envelope   if snap.exists()
undefined   otherwise
dek = unwrap with recovery(env, uid, recovery code)</t>
  </si>
  <si>
    <t>U is auth.current user. Snap is await get doc(doc(db, 'users', uid)). Env is (snap.data() as any).key envelope — when snap.exists(); undefined — otherwise. Dek is unwrap with recovery(env, uid, recovery code).</t>
  </si>
  <si>
    <t>1. recoveryCode: string
2. newPassword: string</t>
  </si>
  <si>
    <t>1. MK-XS-F-041 cacheDataKey
2. MK-XS-F-049 rewrapPassword
3. MK-XS-F-175 uid
4. MK-XS-F-048 unwrapWithRecovery</t>
  </si>
  <si>
    <t>1. MK-XS-F-041 cacheDataKey
2. MK-XS-F-049 rewrapPassword
3. MK-XS-F-175 uid
4. MK-XS-F-048 unwrapWithRecovery
5. MK-XS-F-136 secureSet
6. MK-XS-F-139 wrapWithSecret
7. MK-ST-F-027 accountId
8. MK-CF-F-111 applyTransaction
9. MK-NW-F-040 assetsFromOnboarding
10. MK-PF-F-013 benchmarkTicker
11. MK-ST-F-028 buildDayFromAccounts
12. MK-PF-F-034 closeOnOrBefore
13. MK-CF-F-186 convertTakeHomeMode
14. MK-CF-F-038 debtsFromOnboarding
15. MK-XS-F-083 fetchPriceSeries
16. MK-PL-F-013 goalsFromOnboarding
17. MK-ST-F-056 has
18. MK-CF-F-116 inverseOf
19. MK-ST-F-065 isoLocalDate
20. MK-CF-F-112 makeTransaction
21. MK-CF-F-132 map
22. MK-XS-F-122 n
23. MK-ST-F-043 newEntityId
24. MK-XS-F-006 pruneDaily
25. MK-ST-F-073 rebuildDays
26. MK-NW-F-054 reclassifyAccounts
27. MK-XS-F-174 recomputeBalances
28. MK-CF-F-115 restoreUndo
29. MK-CF-F-109 reviewTransactions
30. MK-ST-F-044 setMoneyFormat
31. MK-CF-F-114 undoSnapshot
32. MK-CF-F-191 ym
33. MK-XS-F-053 decryptWithKey
34. MK-XS-F-138 deriveKeyFromSecret
35. MK-XS-F-052 encryptWithKey
36. MK-CF-F-138 addLot
37. MK-CF-F-136 bumpCash
38. MK-CF-F-137 findPos
39. MK-CF-F-139 removeShares
40. MK-PF-F-001 totalShares
41. MK-ST-F-052 toNum
42. MK-ST-F-053 money
43. MK-CF-F-085 filingStatusOf
44. MK-CF-F-097 grossFromNet
45. MK-CF-F-185 needsTakeHomeConversion
46. MK-CF-F-089 over65CountOf
47. MK-CF-F-037 inferDebtType
48. MK-ST-F-069 amountOf
49. MK-CF-F-133 cashOf
50. MK-ST-F-066 isDayKey
51. MK-ST-F-070 isOpening
52. MK-ST-F-071 rebuildableFrom
53. MK-ST-F-068 stepDay
54. MK-ST-F-072 undo
55. MK-NW-F-053 correctClassOf
56. MK-NW-F-008 incomeBearingClassOf
57. MK-PF-F-002 costBasis
58. MK-PF-F-009 latestClose
59. MK-PF-F-004 marketValue
60. MK-ST-F-030 record
61. MK-XS-F-024 resolveLens
62. MK-ST-F-055 round2
63. MK-CF-F-162 daysApart
64. MK-CF-F-108 isMoneyOut
65. MK-PL-F-074 median
66. MK-CF-F-131 normPayee
67. MK-CF-F-113 affectedAccountIds
68. MK-XS-F-051 isEncrypted
69. MK-CF-F-134 usesSleeve
70. MK-ST-F-049 formatMoney
71. MK-CF-F-101 taxOwedFor
72. MK-ST-F-067 utcOfDay
73. MK-CF-F-155 cash
74. MK-ST-F-035 covers
75. MK-NW-F-009 maturityClass
76. MK-ST-F-010 nameEvidence
77. MK-PF-F-031 contractMultiplier
78. MK-CF-F-072 currentRetirementIncomeMonthly
79. MK-ST-F-048 currencySymbol
80. MK-ST-F-039 on
81. MK-CF-F-100 taxableIncomeFor
82. MK-ST-F-034 firstDate
83. MK-XS-F-147 call
84. MK-CF-F-075 retirementIncomeMonthly
85. MK-ST-F-047 activeCurrency
86. MK-CF-F-099 deductionFor
87. MK-XS-F-064 currentIdToken
88. MK-XS-F-112 relayUrl
89. MK-CF-F-187 seniorDeductionFor</t>
  </si>
  <si>
    <t>1. MK-XS-F-136 secureSet → MK-XS-F-041 cacheDataKey → MK-XS-F-067 restoreWithRecoveryCode
2. MK-ST-F-027 accountId → MK-XS-F-175 uid → MK-XS-F-049 rewrapPassword → MK-XS-F-067 restoreWithRecoveryCode
3. MK-CF-F-137 findPos → MK-CF-F-138 addLot → MK-CF-F-111 applyTransaction → MK-XS-F-175 uid → MK-XS-F-049 rewrapPassword → MK-XS-F-067 restoreWithRecoveryCode
4. MK-CF-F-132 map → MK-CF-F-138 addLot → MK-CF-F-111 applyTransaction → MK-XS-F-175 uid → MK-XS-F-049 rewrapPassword → MK-XS-F-067 restoreWithRecoveryCode
5. MK-ST-F-043 newEntityId → MK-CF-F-138 addLot → MK-CF-F-111 applyTransaction → MK-XS-F-175 uid → MK-XS-F-049 rewrapPassword → MK-XS-F-067 restoreWithRecoveryCode
6. MK-CF-F-134 usesSleeve → MK-CF-F-136 bumpCash → MK-CF-F-111 applyTransaction → MK-XS-F-175 uid → MK-XS-F-049 rewrapPassword → MK-XS-F-067 restoreWithRecoveryCode
7. MK-CF-F-137 findPos → MK-CF-F-111 applyTransaction → MK-XS-F-175 uid → MK-XS-F-049 rewrapPassword → MK-XS-F-067 restoreWithRecoveryCode
8. MK-CF-F-132 map → MK-CF-F-111 applyTransaction → MK-XS-F-175 uid → MK-XS-F-049 rewrapPassword → MK-XS-F-067 restoreWithRecoveryCode
9. … and 5 more paths</t>
  </si>
  <si>
    <t>MK-XS-F-068</t>
  </si>
  <si>
    <t>regenerateRecoveryCode</t>
  </si>
  <si>
    <t>Issue a NEW recovery code for the signed-in user (the old one stops working).</t>
  </si>
  <si>
    <t>u = auth.current user
dek = await get data key()
snap = await get doc(doc(db, 'users', uid))
env = snap.exists() and (snap.data() as any).key envelope (or p = ''
r = '' when missing or zero)
recovery code = generate recovery code()
the answer = recovery code</t>
  </si>
  <si>
    <t>U is auth.current user. Dek is await get data key(). Snap is await get doc(doc(db, 'users', uid)). Env is snap.exists() and (snap.data() as any).key envelope (or p = ''; r = '' — when missing or zero). Recovery code is generate recovery code(). The answer is recovery code.</t>
  </si>
  <si>
    <t>1. MK-XS-F-045 generateRecoveryCode
2. MK-XS-F-042 getDataKey
3. MK-XS-F-050 rewrapRecovery
4. MK-XS-F-175 uid</t>
  </si>
  <si>
    <t>1. MK-XS-F-045 generateRecoveryCode
2. MK-XS-F-042 getDataKey
3. MK-XS-F-050 rewrapRecovery
4. MK-XS-F-175 uid
5. MK-XS-F-135 secureGet
6. MK-XS-F-139 wrapWithSecret
7. MK-ST-F-027 accountId
8. MK-CF-F-111 applyTransaction
9. MK-NW-F-040 assetsFromOnboarding
10. MK-PF-F-013 benchmarkTicker
11. MK-ST-F-028 buildDayFromAccounts
12. MK-PF-F-034 closeOnOrBefore
13. MK-CF-F-186 convertTakeHomeMode
14. MK-CF-F-038 debtsFromOnboarding
15. MK-XS-F-083 fetchPriceSeries
16. MK-PL-F-013 goalsFromOnboarding
17. MK-ST-F-056 has
18. MK-CF-F-116 inverseOf
19. MK-ST-F-065 isoLocalDate
20. MK-CF-F-112 makeTransaction
21. MK-CF-F-132 map
22. MK-XS-F-122 n
23. MK-ST-F-043 newEntityId
24. MK-XS-F-006 pruneDaily
25. MK-ST-F-073 rebuildDays
26. MK-NW-F-054 reclassifyAccounts
27. MK-XS-F-174 recomputeBalances
28. MK-CF-F-115 restoreUndo
29. MK-CF-F-109 reviewTransactions
30. MK-ST-F-044 setMoneyFormat
31. MK-CF-F-114 undoSnapshot
32. MK-CF-F-191 ym
33. MK-XS-F-138 deriveKeyFromSecret
34. MK-XS-F-052 encryptWithKey
35. MK-CF-F-138 addLot
36. MK-CF-F-136 bumpCash
37. MK-CF-F-137 findPos
38. MK-CF-F-139 removeShares
39. MK-PF-F-001 totalShares
40. MK-ST-F-052 toNum
41. MK-ST-F-053 money
42. MK-CF-F-085 filingStatusOf
43. MK-CF-F-097 grossFromNet
44. MK-CF-F-185 needsTakeHomeConversion
45. MK-CF-F-089 over65CountOf
46. MK-CF-F-037 inferDebtType
47. MK-ST-F-069 amountOf
48. MK-CF-F-133 cashOf
49. MK-ST-F-066 isDayKey
50. MK-ST-F-070 isOpening
51. MK-ST-F-071 rebuildableFrom
52. MK-ST-F-068 stepDay
53. MK-ST-F-072 undo
54. MK-NW-F-053 correctClassOf
55. MK-NW-F-008 incomeBearingClassOf
56. MK-PF-F-002 costBasis
57. MK-PF-F-009 latestClose
58. MK-PF-F-004 marketValue
59. MK-ST-F-030 record
60. MK-XS-F-024 resolveLens
61. MK-ST-F-055 round2
62. MK-CF-F-162 daysApart
63. MK-CF-F-108 isMoneyOut
64. MK-PL-F-074 median
65. MK-CF-F-131 normPayee
66. MK-CF-F-113 affectedAccountIds
67. MK-CF-F-134 usesSleeve
68. MK-ST-F-049 formatMoney
69. MK-CF-F-101 taxOwedFor
70. MK-ST-F-067 utcOfDay
71. MK-CF-F-155 cash
72. MK-ST-F-035 covers
73. MK-NW-F-009 maturityClass
74. MK-ST-F-010 nameEvidence
75. MK-PF-F-031 contractMultiplier
76. MK-CF-F-072 currentRetirementIncomeMonthly
77. MK-ST-F-048 currencySymbol
78. MK-ST-F-039 on
79. MK-CF-F-100 taxableIncomeFor
80. MK-ST-F-034 firstDate
81. MK-XS-F-147 call
82. MK-CF-F-075 retirementIncomeMonthly
83. MK-ST-F-047 activeCurrency
84. MK-CF-F-099 deductionFor
85. MK-XS-F-064 currentIdToken
86. MK-XS-F-112 relayUrl
87. MK-CF-F-187 seniorDeductionFor</t>
  </si>
  <si>
    <t>1. MK-XS-F-045 generateRecoveryCode → MK-XS-F-068 regenerateRecoveryCode
2. MK-XS-F-135 secureGet → MK-XS-F-042 getDataKey → MK-XS-F-068 regenerateRecoveryCode
3. MK-ST-F-027 accountId → MK-XS-F-175 uid → MK-XS-F-050 rewrapRecovery → MK-XS-F-068 regenerateRecoveryCode
4. MK-CF-F-137 findPos → MK-CF-F-138 addLot → MK-CF-F-111 applyTransaction → MK-XS-F-175 uid → MK-XS-F-050 rewrapRecovery → MK-XS-F-068 regenerateRecoveryCode
5. MK-CF-F-132 map → MK-CF-F-138 addLot → MK-CF-F-111 applyTransaction → MK-XS-F-175 uid → MK-XS-F-050 rewrapRecovery → MK-XS-F-068 regenerateRecoveryCode
6. MK-ST-F-043 newEntityId → MK-CF-F-138 addLot → MK-CF-F-111 applyTransaction → MK-XS-F-175 uid → MK-XS-F-050 rewrapRecovery → MK-XS-F-068 regenerateRecoveryCode
7. MK-CF-F-134 usesSleeve → MK-CF-F-136 bumpCash → MK-CF-F-111 applyTransaction → MK-XS-F-175 uid → MK-XS-F-050 rewrapRecovery → MK-XS-F-068 regenerateRecoveryCode
8. MK-CF-F-137 findPos → MK-CF-F-111 applyTransaction → MK-XS-F-175 uid → MK-XS-F-050 rewrapRecovery → MK-XS-F-068 regenerateRecoveryCode
9. … and 5 more paths</t>
  </si>
  <si>
    <t>MK-XS-F-069</t>
  </si>
  <si>
    <t>logoutUser</t>
  </si>
  <si>
    <t>clears the data key, then signs out</t>
  </si>
  <si>
    <t>Forgets the decryption key and signs the person out. Not a calculation.</t>
  </si>
  <si>
    <t>MK-XS-F-043 clearDataKey</t>
  </si>
  <si>
    <t>1. MK-XS-F-043 clearDataKey
2. MK-XS-F-137 secureDelete</t>
  </si>
  <si>
    <t>MK-XS-F-137 secureDelete → MK-XS-F-043 clearDataKey → MK-XS-F-069 logoutUser</t>
  </si>
  <si>
    <t>MK-XS-F-070</t>
  </si>
  <si>
    <t>resetPassword</t>
  </si>
  <si>
    <t>sends a password-reset e-mail to the address</t>
  </si>
  <si>
    <t>Sends the password-reset e-mail. Not a calculation.</t>
  </si>
  <si>
    <t>email: string</t>
  </si>
  <si>
    <t>MK-XS-F-071</t>
  </si>
  <si>
    <t>onAuthChange</t>
  </si>
  <si>
    <t>on auth state changed(auth, callback)</t>
  </si>
  <si>
    <t>on auth state changed(auth, callback).</t>
  </si>
  <si>
    <t>callback: (user: any) =&gt; void</t>
  </si>
  <si>
    <t>MK-XS-F-072</t>
  </si>
  <si>
    <t>deleteAccount</t>
  </si>
  <si>
    <t>Permanently delete the signed-in user's account (App Store Guideline 5.1.1(v)).</t>
  </si>
  <si>
    <t>u = auth.current user
cred = email auth provider.credential(email, password)
root = await load user root(uid)</t>
  </si>
  <si>
    <t>U is auth.current user. Cred is email auth provider.credential(email, password). Root is await load user root(uid).</t>
  </si>
  <si>
    <t>password: string</t>
  </si>
  <si>
    <t>1. MK-XS-F-035 authenticate
2. MK-XS-F-043 clearDataKey
3. MK-XS-F-079 loadUserRoot
4. MK-XS-F-175 uid</t>
  </si>
  <si>
    <t>1. MK-XS-F-035 authenticate
2. MK-XS-F-043 clearDataKey
3. MK-XS-F-079 loadUserRoot
4. MK-XS-F-175 uid
5. MK-XS-F-132 load
6. MK-XS-F-137 secureDelete
7. MK-XS-F-055 decryptFromSync
8. MK-ST-F-027 accountId
9. MK-CF-F-111 applyTransaction
10. MK-NW-F-040 assetsFromOnboarding
11. MK-PF-F-013 benchmarkTicker
12. MK-ST-F-028 buildDayFromAccounts
13. MK-PF-F-034 closeOnOrBefore
14. MK-CF-F-186 convertTakeHomeMode
15. MK-CF-F-038 debtsFromOnboarding
16. MK-XS-F-083 fetchPriceSeries
17. MK-PL-F-013 goalsFromOnboarding
18. MK-ST-F-056 has
19. MK-CF-F-116 inverseOf
20. MK-ST-F-065 isoLocalDate
21. MK-CF-F-112 makeTransaction
22. MK-CF-F-132 map
23. MK-XS-F-122 n
24. MK-ST-F-043 newEntityId
25. MK-XS-F-006 pruneDaily
26. MK-ST-F-073 rebuildDays
27. MK-NW-F-054 reclassifyAccounts
28. MK-XS-F-174 recomputeBalances
29. MK-CF-F-115 restoreUndo
30. MK-CF-F-109 reviewTransactions
31. MK-ST-F-044 setMoneyFormat
32. MK-CF-F-114 undoSnapshot
33. MK-CF-F-191 ym
34. MK-XS-F-053 decryptWithKey
35. MK-XS-F-042 getDataKey
36. MK-XS-F-051 isEncrypted
37. MK-CF-F-138 addLot
38. MK-CF-F-136 bumpCash
39. MK-CF-F-137 findPos
40. MK-CF-F-139 removeShares
41. MK-PF-F-001 totalShares
42. MK-ST-F-052 toNum
43. MK-ST-F-053 money
44. MK-CF-F-085 filingStatusOf
45. MK-CF-F-097 grossFromNet
46. MK-CF-F-185 needsTakeHomeConversion
47. MK-CF-F-089 over65CountOf
48. MK-CF-F-037 inferDebtType
49. MK-ST-F-069 amountOf
50. MK-CF-F-133 cashOf
51. MK-ST-F-066 isDayKey
52. MK-ST-F-070 isOpening
53. MK-ST-F-071 rebuildableFrom
54. MK-ST-F-068 stepDay
55. MK-ST-F-072 undo
56. MK-NW-F-053 correctClassOf
57. MK-NW-F-008 incomeBearingClassOf
58. MK-PF-F-002 costBasis
59. MK-PF-F-009 latestClose
60. MK-PF-F-004 marketValue
61. MK-ST-F-030 record
62. MK-XS-F-024 resolveLens
63. MK-ST-F-055 round2
64. MK-CF-F-162 daysApart
65. MK-CF-F-108 isMoneyOut
66. MK-PL-F-074 median
67. MK-CF-F-131 normPayee
68. MK-CF-F-113 affectedAccountIds
69. MK-XS-F-135 secureGet
70. MK-CF-F-134 usesSleeve
71. MK-ST-F-049 formatMoney
72. MK-CF-F-101 taxOwedFor
73. MK-ST-F-067 utcOfDay
74. MK-CF-F-155 cash
75. MK-ST-F-035 covers
76. MK-NW-F-009 maturityClass
77. MK-ST-F-010 nameEvidence
78. MK-PF-F-031 contractMultiplier
79. MK-CF-F-072 currentRetirementIncomeMonthly
80. MK-ST-F-048 currencySymbol
81. MK-ST-F-039 on
82. MK-CF-F-100 taxableIncomeFor
83. MK-ST-F-034 firstDate
84. MK-XS-F-147 call
85. MK-CF-F-075 retirementIncomeMonthly
86. MK-ST-F-047 activeCurrency
87. MK-CF-F-099 deductionFor
88. MK-XS-F-064 currentIdToken
89. MK-XS-F-112 relayUrl
90. MK-CF-F-187 seniorDeductionFor</t>
  </si>
  <si>
    <t>1. MK-XS-F-132 load → MK-XS-F-035 authenticate → MK-XS-F-072 deleteAccount
2. MK-XS-F-137 secureDelete → MK-XS-F-043 clearDataKey → MK-XS-F-072 deleteAccount
3. MK-XS-F-051 isEncrypted → MK-XS-F-053 decryptWithKey → MK-XS-F-055 decryptFromSync → MK-XS-F-079 loadUserRoot → MK-XS-F-072 deleteAccount
4. MK-XS-F-135 secureGet → MK-XS-F-042 getDataKey → MK-XS-F-055 decryptFromSync → MK-XS-F-079 loadUserRoot → MK-XS-F-072 deleteAccount
5. MK-XS-F-051 isEncrypted → MK-XS-F-055 decryptFromSync → MK-XS-F-079 loadUserRoot → MK-XS-F-072 deleteAccount
6. MK-ST-F-027 accountId → MK-XS-F-175 uid → MK-XS-F-079 loadUserRoot → MK-XS-F-072 deleteAccount
7. MK-CF-F-137 findPos → MK-CF-F-138 addLot → MK-CF-F-111 applyTransaction → MK-XS-F-175 uid → MK-XS-F-079 loadUserRoot → MK-XS-F-072 deleteAccount
8. MK-CF-F-132 map → MK-CF-F-138 addLot → MK-CF-F-111 applyTransaction → MK-XS-F-175 uid → MK-XS-F-079 loadUserRoot → MK-XS-F-072 deleteAccount
9. … and 5 more paths</t>
  </si>
  <si>
    <t>MK-XS-F-073</t>
  </si>
  <si>
    <t>saveUserData</t>
  </si>
  <si>
    <t>Sync fields stored ENCRYPTED under users/{uid}.appStateEnc (zero-knowledge — see dataCrypto.ts).</t>
  </si>
  <si>
    <t>clean = JSON.parse(JSON.stringify(data ?? {}))
enc = await encrypt for sync(clean)</t>
  </si>
  <si>
    <t>Clean is JSON.parse(JSON.stringify(data ?? {})). Enc is await encrypt for sync(clean).</t>
  </si>
  <si>
    <t>1. uid: string
2. data: object</t>
  </si>
  <si>
    <t>1. MK-XS-F-054 encryptForSync
2. MK-XS-F-175 uid</t>
  </si>
  <si>
    <t>1. MK-XS-F-054 encryptForSync
2. MK-XS-F-175 uid
3. MK-XS-F-052 encryptWithKey
4. MK-XS-F-042 getDataKey
5. MK-ST-F-027 accountId
6. MK-CF-F-111 applyTransaction
7. MK-NW-F-040 assetsFromOnboarding
8. MK-PF-F-013 benchmarkTicker
9. MK-ST-F-028 buildDayFromAccounts
10. MK-PF-F-034 closeOnOrBefore
11. MK-CF-F-186 convertTakeHomeMode
12. MK-CF-F-038 debtsFromOnboarding
13. MK-XS-F-083 fetchPriceSeries
14. MK-PL-F-013 goalsFromOnboarding
15. MK-ST-F-056 has
16. MK-CF-F-116 inverseOf
17. MK-ST-F-065 isoLocalDate
18. MK-CF-F-112 makeTransaction
19. MK-CF-F-132 map
20. MK-XS-F-122 n
21. MK-ST-F-043 newEntityId
22. MK-XS-F-006 pruneDaily
23. MK-ST-F-073 rebuildDays
24. MK-NW-F-054 reclassifyAccounts
25. MK-XS-F-174 recomputeBalances
26. MK-CF-F-115 restoreUndo
27. MK-CF-F-109 reviewTransactions
28. MK-ST-F-044 setMoneyFormat
29. MK-CF-F-114 undoSnapshot
30. MK-CF-F-191 ym
31. MK-XS-F-135 secureGet
32. MK-CF-F-138 addLot
33. MK-CF-F-136 bumpCash
34. MK-CF-F-137 findPos
35. MK-CF-F-139 removeShares
36. MK-PF-F-001 totalShares
37. MK-ST-F-052 toNum
38. MK-ST-F-053 money
39. MK-CF-F-085 filingStatusOf
40. MK-CF-F-097 grossFromNet
41. MK-CF-F-185 needsTakeHomeConversion
42. MK-CF-F-089 over65CountOf
43. MK-CF-F-037 inferDebtType
44. MK-ST-F-069 amountOf
45. MK-CF-F-133 cashOf
46. MK-ST-F-066 isDayKey
47. MK-ST-F-070 isOpening
48. MK-ST-F-071 rebuildableFrom
49. MK-ST-F-068 stepDay
50. MK-ST-F-072 undo
51. MK-NW-F-053 correctClassOf
52. MK-NW-F-008 incomeBearingClassOf
53. MK-PF-F-002 costBasis
54. MK-PF-F-009 latestClose
55. MK-PF-F-004 marketValue
56. MK-ST-F-030 record
57. MK-XS-F-024 resolveLens
58. MK-ST-F-055 round2
59. MK-CF-F-162 daysApart
60. MK-CF-F-108 isMoneyOut
61. MK-PL-F-074 median
62. MK-CF-F-131 normPayee
63. MK-CF-F-113 affectedAccountIds
64. MK-CF-F-134 usesSleeve
65. MK-ST-F-049 formatMoney
66. MK-CF-F-101 taxOwedFor
67. MK-ST-F-067 utcOfDay
68. MK-CF-F-155 cash
69. MK-ST-F-035 covers
70. MK-NW-F-009 maturityClass
71. MK-ST-F-010 nameEvidence
72. MK-PF-F-031 contractMultiplier
73. MK-CF-F-072 currentRetirementIncomeMonthly
74. MK-ST-F-048 currencySymbol
75. MK-ST-F-039 on
76. MK-CF-F-100 taxableIncomeFor
77. MK-ST-F-034 firstDate
78. MK-XS-F-147 call
79. MK-CF-F-075 retirementIncomeMonthly
80. MK-ST-F-047 activeCurrency
81. MK-CF-F-099 deductionFor
82. MK-XS-F-064 currentIdToken
83. MK-XS-F-112 relayUrl
84. MK-CF-F-187 seniorDeductionFor</t>
  </si>
  <si>
    <t>1. MK-XS-F-052 encryptWithKey → MK-XS-F-054 encryptForSync → MK-XS-F-073 saveUserData
2. MK-XS-F-135 secureGet → MK-XS-F-042 getDataKey → MK-XS-F-054 encryptForSync → MK-XS-F-073 saveUserData
3. MK-ST-F-027 accountId → MK-XS-F-175 uid → MK-XS-F-073 saveUserData
4. MK-CF-F-137 findPos → MK-CF-F-138 addLot → MK-CF-F-111 applyTransaction → MK-XS-F-175 uid → MK-XS-F-073 saveUserData
5. MK-CF-F-132 map → MK-CF-F-138 addLot → MK-CF-F-111 applyTransaction → MK-XS-F-175 uid → MK-XS-F-073 saveUserData
6. MK-ST-F-043 newEntityId → MK-CF-F-138 addLot → MK-CF-F-111 applyTransaction → MK-XS-F-175 uid → MK-XS-F-073 saveUserData
7. MK-CF-F-134 usesSleeve → MK-CF-F-136 bumpCash → MK-CF-F-111 applyTransaction → MK-XS-F-175 uid → MK-XS-F-073 saveUserData
8. MK-CF-F-137 findPos → MK-CF-F-111 applyTransaction → MK-XS-F-175 uid → MK-XS-F-073 saveUserData
9. … and 4 more paths</t>
  </si>
  <si>
    <t>MK-XS-F-074</t>
  </si>
  <si>
    <t>loadUserData</t>
  </si>
  <si>
    <t>snap = await get doc(doc(db, 'users', uid))
nothing   when !snap.exists()
d = snap.data()
await decrypt from sync(app state enc)   when app state enc ≠ nothing
the answer = app state (or nothing when missing)</t>
  </si>
  <si>
    <t>Snap is await get doc(doc(db, 'users', uid)). When !snap.exists(), it answers no answer. D is snap.data(). When app state enc is not no answer, it answers await decrypt from sync(app state enc). The answer is app state (or no answer — when missing).</t>
  </si>
  <si>
    <t>uid: string</t>
  </si>
  <si>
    <t>Promise&lt;Record&lt;string, any&gt; | null&gt;</t>
  </si>
  <si>
    <t>"Restore your data" — on the auth screen</t>
  </si>
  <si>
    <t>1. MK-XS-F-055 decryptFromSync
2. MK-XS-F-175 uid</t>
  </si>
  <si>
    <t>1. MK-XS-F-055 decryptFromSync
2. MK-XS-F-175 uid
3. MK-XS-F-053 decryptWithKey
4. MK-XS-F-042 getDataKey
5. MK-XS-F-051 isEncrypted
6. MK-ST-F-027 accountId
7. MK-CF-F-111 applyTransaction
8. MK-NW-F-040 assetsFromOnboarding
9. MK-PF-F-013 benchmarkTicker
10. MK-ST-F-028 buildDayFromAccounts
11. MK-PF-F-034 closeOnOrBefore
12. MK-CF-F-186 convertTakeHomeMode
13. MK-CF-F-038 debtsFromOnboarding
14. MK-XS-F-083 fetchPriceSeries
15. MK-PL-F-013 goalsFromOnboarding
16. MK-ST-F-056 has
17. MK-CF-F-116 inverseOf
18. MK-ST-F-065 isoLocalDate
19. MK-CF-F-112 makeTransaction
20. MK-CF-F-132 map
21. MK-XS-F-122 n
22. MK-ST-F-043 newEntityId
23. MK-XS-F-006 pruneDaily
24. MK-ST-F-073 rebuildDays
25. MK-NW-F-054 reclassifyAccounts
26. MK-XS-F-174 recomputeBalances
27. MK-CF-F-115 restoreUndo
28. MK-CF-F-109 reviewTransactions
29. MK-ST-F-044 setMoneyFormat
30. MK-CF-F-114 undoSnapshot
31. MK-CF-F-191 ym
32. MK-XS-F-135 secureGet
33. MK-CF-F-138 addLot
34. MK-CF-F-136 bumpCash
35. MK-CF-F-137 findPos
36. MK-CF-F-139 removeShares
37. MK-PF-F-001 totalShares
38. MK-ST-F-052 toNum
39. MK-ST-F-053 money
40. MK-CF-F-085 filingStatusOf
41. MK-CF-F-097 grossFromNet
42. MK-CF-F-185 needsTakeHomeConversion
43. MK-CF-F-089 over65CountOf
44. MK-CF-F-037 inferDebtType
45. MK-ST-F-069 amountOf
46. MK-CF-F-133 cashOf
47. MK-ST-F-066 isDayKey
48. MK-ST-F-070 isOpening
49. MK-ST-F-071 rebuildableFrom
50. MK-ST-F-068 stepDay
51. MK-ST-F-072 undo
52. MK-NW-F-053 correctClassOf
53. MK-NW-F-008 incomeBearingClassOf
54. MK-PF-F-002 costBasis
55. MK-PF-F-009 latestClose
56. MK-PF-F-004 marketValue
57. MK-ST-F-030 record
58. MK-XS-F-024 resolveLens
59. MK-ST-F-055 round2
60. MK-CF-F-162 daysApart
61. MK-CF-F-108 isMoneyOut
62. MK-PL-F-074 median
63. MK-CF-F-131 normPayee
64. MK-CF-F-113 affectedAccountIds
65. MK-CF-F-134 usesSleeve
66. MK-ST-F-049 formatMoney
67. MK-CF-F-101 taxOwedFor
68. MK-ST-F-067 utcOfDay
69. MK-CF-F-155 cash
70. MK-ST-F-035 covers
71. MK-NW-F-009 maturityClass
72. MK-ST-F-010 nameEvidence
73. MK-PF-F-031 contractMultiplier
74. MK-CF-F-072 currentRetirementIncomeMonthly
75. MK-ST-F-048 currencySymbol
76. MK-ST-F-039 on
77. MK-CF-F-100 taxableIncomeFor
78. MK-ST-F-034 firstDate
79. MK-XS-F-147 call
80. MK-CF-F-075 retirementIncomeMonthly
81. MK-ST-F-047 activeCurrency
82. MK-CF-F-099 deductionFor
83. MK-XS-F-064 currentIdToken
84. MK-XS-F-112 relayUrl
85. MK-CF-F-187 seniorDeductionFor</t>
  </si>
  <si>
    <t>1. MK-XS-F-051 isEncrypted → MK-XS-F-053 decryptWithKey → MK-XS-F-055 decryptFromSync → MK-XS-F-074 loadUserData
2. MK-XS-F-135 secureGet → MK-XS-F-042 getDataKey → MK-XS-F-055 decryptFromSync → MK-XS-F-074 loadUserData
3. MK-XS-F-051 isEncrypted → MK-XS-F-055 decryptFromSync → MK-XS-F-074 loadUserData
4. MK-ST-F-027 accountId → MK-XS-F-175 uid → MK-XS-F-074 loadUserData
5. MK-CF-F-137 findPos → MK-CF-F-138 addLot → MK-CF-F-111 applyTransaction → MK-XS-F-175 uid → MK-XS-F-074 loadUserData
6. MK-CF-F-132 map → MK-CF-F-138 addLot → MK-CF-F-111 applyTransaction → MK-XS-F-175 uid → MK-XS-F-074 loadUserData
7. MK-ST-F-043 newEntityId → MK-CF-F-138 addLot → MK-CF-F-111 applyTransaction → MK-XS-F-175 uid → MK-XS-F-074 loadUserData
8. MK-CF-F-134 usesSleeve → MK-CF-F-136 bumpCash → MK-CF-F-111 applyTransaction → MK-XS-F-175 uid → MK-XS-F-074 loadUserData
9. … and 4 more paths</t>
  </si>
  <si>
    <t>MK-XS-F-075</t>
  </si>
  <si>
    <t>createInvite</t>
  </si>
  <si>
    <t>Create an invite code pointing at this household's shared data doc.</t>
  </si>
  <si>
    <t>code = make invite code()
the answer = code</t>
  </si>
  <si>
    <t>Code is make invite code(). The answer is code.</t>
  </si>
  <si>
    <t>1. householdId: string
2. inviterName: string | null</t>
  </si>
  <si>
    <t>"Vesting schedule" — on the setup questions, which appear on more than one screen</t>
  </si>
  <si>
    <t>MK-XS-F-142 makeInviteCode</t>
  </si>
  <si>
    <t>MK-XS-F-142 makeInviteCode → MK-XS-F-075 createInvite</t>
  </si>
  <si>
    <t>MK-XS-F-076</t>
  </si>
  <si>
    <t>lookupInvite</t>
  </si>
  <si>
    <t>snap = await get doc(doc(db, 'invites', code.trim().to upper case()))
nothing   when !snap.exists()
d = snap.data() as any
the answer:
household id = household id
inviter name = inviter name (or nothing when missing)   if household id
nothing   otherwise</t>
  </si>
  <si>
    <t>Snap is await get doc(doc(db, 'invites', code.trim().to upper case())). When !snap.exists(), it answers no answer. D is snap.data() as any. The answer is household id = household id; inviter name = inviter name (or no answer when missing) — when household id; no answer — otherwise.</t>
  </si>
  <si>
    <t>code: string</t>
  </si>
  <si>
    <t>MK-XS-F-077</t>
  </si>
  <si>
    <t>setUserHousehold</t>
  </si>
  <si>
    <t>Record household membership on the member's own user doc (survives reinstall/new device).</t>
  </si>
  <si>
    <t>1. uid: string
2. householdId: string</t>
  </si>
  <si>
    <t>1. MK-XS-F-074 loadUserData
2. MK-XS-F-175 uid</t>
  </si>
  <si>
    <t>1. MK-XS-F-074 loadUserData
2. MK-XS-F-175 uid
3. MK-XS-F-055 decryptFromSync
4. MK-ST-F-027 accountId
5. MK-CF-F-111 applyTransaction
6. MK-NW-F-040 assetsFromOnboarding
7. MK-PF-F-013 benchmarkTicker
8. MK-ST-F-028 buildDayFromAccounts
9. MK-PF-F-034 closeOnOrBefore
10. MK-CF-F-186 convertTakeHomeMode
11. MK-CF-F-038 debtsFromOnboarding
12. MK-XS-F-083 fetchPriceSeries
13. MK-PL-F-013 goalsFromOnboarding
14. MK-ST-F-056 has
15. MK-CF-F-116 inverseOf
16. MK-ST-F-065 isoLocalDate
17. MK-CF-F-112 makeTransaction
18. MK-CF-F-132 map
19. MK-XS-F-122 n
20. MK-ST-F-043 newEntityId
21. MK-XS-F-006 pruneDaily
22. MK-ST-F-073 rebuildDays
23. MK-NW-F-054 reclassifyAccounts
24. MK-XS-F-174 recomputeBalances
25. MK-CF-F-115 restoreUndo
26. MK-CF-F-109 reviewTransactions
27. MK-ST-F-044 setMoneyFormat
28. MK-CF-F-114 undoSnapshot
29. MK-CF-F-191 ym
30. MK-XS-F-053 decryptWithKey
31. MK-XS-F-042 getDataKey
32. MK-XS-F-051 isEncrypted
33. MK-CF-F-138 addLot
34. MK-CF-F-136 bumpCash
35. MK-CF-F-137 findPos
36. MK-CF-F-139 removeShares
37. MK-PF-F-001 totalShares
38. MK-ST-F-052 toNum
39. MK-ST-F-053 money
40. MK-CF-F-085 filingStatusOf
41. MK-CF-F-097 grossFromNet
42. MK-CF-F-185 needsTakeHomeConversion
43. MK-CF-F-089 over65CountOf
44. MK-CF-F-037 inferDebtType
45. MK-ST-F-069 amountOf
46. MK-CF-F-133 cashOf
47. MK-ST-F-066 isDayKey
48. MK-ST-F-070 isOpening
49. MK-ST-F-071 rebuildableFrom
50. MK-ST-F-068 stepDay
51. MK-ST-F-072 undo
52. MK-NW-F-053 correctClassOf
53. MK-NW-F-008 incomeBearingClassOf
54. MK-PF-F-002 costBasis
55. MK-PF-F-009 latestClose
56. MK-PF-F-004 marketValue
57. MK-ST-F-030 record
58. MK-XS-F-024 resolveLens
59. MK-ST-F-055 round2
60. MK-CF-F-162 daysApart
61. MK-CF-F-108 isMoneyOut
62. MK-PL-F-074 median
63. MK-CF-F-131 normPayee
64. MK-CF-F-113 affectedAccountIds
65. MK-XS-F-135 secureGet
66. MK-CF-F-134 usesSleeve
67. MK-ST-F-049 formatMoney
68. MK-CF-F-101 taxOwedFor
69. MK-ST-F-067 utcOfDay
70. MK-CF-F-155 cash
71. MK-ST-F-035 covers
72. MK-NW-F-009 maturityClass
73. MK-ST-F-010 nameEvidence
74. MK-PF-F-031 contractMultiplier
75. MK-CF-F-072 currentRetirementIncomeMonthly
76. MK-ST-F-048 currencySymbol
77. MK-ST-F-039 on
78. MK-CF-F-100 taxableIncomeFor
79. MK-ST-F-034 firstDate
80. MK-XS-F-147 call
81. MK-CF-F-075 retirementIncomeMonthly
82. MK-ST-F-047 activeCurrency
83. MK-CF-F-099 deductionFor
84. MK-XS-F-064 currentIdToken
85. MK-XS-F-112 relayUrl
86. MK-CF-F-187 seniorDeductionFor</t>
  </si>
  <si>
    <t>1. MK-XS-F-051 isEncrypted → MK-XS-F-053 decryptWithKey → MK-XS-F-055 decryptFromSync → MK-XS-F-074 loadUserData → MK-XS-F-077 setUserHousehold
2. MK-XS-F-135 secureGet → MK-XS-F-042 getDataKey → MK-XS-F-055 decryptFromSync → MK-XS-F-074 loadUserData → MK-XS-F-077 setUserHousehold
3. MK-XS-F-051 isEncrypted → MK-XS-F-055 decryptFromSync → MK-XS-F-074 loadUserData → MK-XS-F-077 setUserHousehold
4. MK-ST-F-027 accountId → MK-XS-F-175 uid → MK-XS-F-074 loadUserData → MK-XS-F-077 setUserHousehold
5. MK-CF-F-137 findPos → MK-CF-F-138 addLot → MK-CF-F-111 applyTransaction → MK-XS-F-175 uid → MK-XS-F-074 loadUserData → MK-XS-F-077 setUserHousehold
6. MK-CF-F-132 map → MK-CF-F-138 addLot → MK-CF-F-111 applyTransaction → MK-XS-F-175 uid → MK-XS-F-074 loadUserData → MK-XS-F-077 setUserHousehold
7. MK-ST-F-043 newEntityId → MK-CF-F-138 addLot → MK-CF-F-111 applyTransaction → MK-XS-F-175 uid → MK-XS-F-074 loadUserData → MK-XS-F-077 setUserHousehold
8. MK-CF-F-134 usesSleeve → MK-CF-F-136 bumpCash → MK-CF-F-111 applyTransaction → MK-XS-F-175 uid → MK-XS-F-074 loadUserData → MK-XS-F-077 setUserHousehold
9. … and 5 more paths</t>
  </si>
  <si>
    <t>MK-XS-F-078</t>
  </si>
  <si>
    <t>joinHouseholdMembership</t>
  </si>
  <si>
    <t>Claim membership in {householdId} by writing the member doc the security rules gate access on.</t>
  </si>
  <si>
    <t>1. uid: string
2. householdId: string
3. code: string</t>
  </si>
  <si>
    <t>1. MK-ST-F-027 accountId → MK-XS-F-175 uid → MK-XS-F-078 joinHouseholdMembership
2. MK-CF-F-137 findPos → MK-CF-F-138 addLot → MK-CF-F-111 applyTransaction → MK-XS-F-175 uid → MK-XS-F-078 joinHouseholdMembership
3. MK-CF-F-132 map → MK-CF-F-138 addLot → MK-CF-F-111 applyTransaction → MK-XS-F-175 uid → MK-XS-F-078 joinHouseholdMembership
4. MK-ST-F-043 newEntityId → MK-CF-F-138 addLot → MK-CF-F-111 applyTransaction → MK-XS-F-175 uid → MK-XS-F-078 joinHouseholdMembership
5. MK-CF-F-134 usesSleeve → MK-CF-F-136 bumpCash → MK-CF-F-111 applyTransaction → MK-XS-F-175 uid → MK-XS-F-078 joinHouseholdMembership
6. MK-CF-F-137 findPos → MK-CF-F-111 applyTransaction → MK-XS-F-175 uid → MK-XS-F-078 joinHouseholdMembership
7. MK-CF-F-132 map → MK-CF-F-111 applyTransaction → MK-XS-F-175 uid → MK-XS-F-078 joinHouseholdMembership
8. MK-CF-F-137 findPos → MK-CF-F-139 removeShares → MK-CF-F-111 applyTransaction → MK-XS-F-175 uid → MK-XS-F-078 joinHouseholdMembership
9. … and 4 more paths</t>
  </si>
  <si>
    <t>MK-XS-F-079</t>
  </si>
  <si>
    <t>loadUserRoot</t>
  </si>
  <si>
    <t>The member's own top-level doc fields (householdId + decrypted appState) in one read.</t>
  </si>
  <si>
    <t>snap = await get doc(doc(db, 'users', uid))
household id = nothing
app state = nothing   when !snap.exists()
d = snap.data() as any
app state = await decrypt from sync(app state enc)   if app state enc ≠ nothing
app state (or nothing when missing)   otherwise
the answer:
household id = household id (or nothing when missing)
app state = app state</t>
  </si>
  <si>
    <t>Snap is await get doc(doc(db, 'users', uid)). When !snap.exists(), it answers household id is missing; app state is missing. D is snap.data() as any. App state is await decrypt from sync(app state enc) — when app state enc is not no answer; app state (or no answer — when missing) — otherwise. The answer is household id = household id (or no answer — when missing); app state = app state.</t>
  </si>
  <si>
    <t>1. MK-XS-F-051 isEncrypted → MK-XS-F-053 decryptWithKey → MK-XS-F-055 decryptFromSync → MK-XS-F-079 loadUserRoot
2. MK-XS-F-135 secureGet → MK-XS-F-042 getDataKey → MK-XS-F-055 decryptFromSync → MK-XS-F-079 loadUserRoot
3. MK-XS-F-051 isEncrypted → MK-XS-F-055 decryptFromSync → MK-XS-F-079 loadUserRoot
4. MK-ST-F-027 accountId → MK-XS-F-175 uid → MK-XS-F-079 loadUserRoot
5. MK-CF-F-137 findPos → MK-CF-F-138 addLot → MK-CF-F-111 applyTransaction → MK-XS-F-175 uid → MK-XS-F-079 loadUserRoot
6. MK-CF-F-132 map → MK-CF-F-138 addLot → MK-CF-F-111 applyTransaction → MK-XS-F-175 uid → MK-XS-F-079 loadUserRoot
7. MK-ST-F-043 newEntityId → MK-CF-F-138 addLot → MK-CF-F-111 applyTransaction → MK-XS-F-175 uid → MK-XS-F-079 loadUserRoot
8. MK-CF-F-134 usesSleeve → MK-CF-F-136 bumpCash → MK-CF-F-111 applyTransaction → MK-XS-F-175 uid → MK-XS-F-079 loadUserRoot
9. … and 4 more paths</t>
  </si>
  <si>
    <t>MK-XS-F-080</t>
  </si>
  <si>
    <t>submitFeedback</t>
  </si>
  <si>
    <t>MK-XS-F-081</t>
  </si>
  <si>
    <t>isPlausibleTicker</t>
  </si>
  <si>
    <t>src/services/marketData.ts</t>
  </si>
  <si>
    <t>Is a ticker plausibly valid before we spend a network call?</t>
  </si>
  <si>
    <t>÷ ^[A − za − z]{1,6}([.\-][A − za − z]{1,4})?$ ÷ .test((ticker ?? '').trim())</t>
  </si>
  <si>
    <t>÷ ^[A minus za minus z]{1,6}([.\-][A minus za minus z]{1,4})?$ divided by .test((ticker ?? '').trim()).</t>
  </si>
  <si>
    <t>ticker: string</t>
  </si>
  <si>
    <t>TICKER_PLAUSIBLE</t>
  </si>
  <si>
    <t>Human freshness of the price cache + whether it's stale enough to warn (markets move daily, so anything older than ~4 days — a long weekend/holiday — is worth a "may be out of date" note).</t>
  </si>
  <si>
    <t>age   = now − the moment prices were last fetched
stale = age ≥ 4 days,  or nothing was ever fetched,  or the moment cannot be read</t>
  </si>
  <si>
    <t>How long since prices last came back, said in days or hours. Four days, because a long weekend or a holiday can put three days between two perfectly normal updates and a false alarm teaches people to ignore the real one. Never fetched, unreadable, or dated in the future all read STALE — silence is not good news.</t>
  </si>
  <si>
    <t>1. fetchedAt: string | null | undefined
2. now: number</t>
  </si>
  <si>
    <t>PriceFreshness</t>
  </si>
  <si>
    <t>MK-XS-F-083</t>
  </si>
  <si>
    <t>fetchPriceSeries</t>
  </si>
  <si>
    <t>Fetch many tickers in parallel; returns only the ones that resolved.</t>
  </si>
  <si>
    <t>unique = array.from(new set(tickers.map((t) =&gt; trim().to upper case()).filter(boolean)))
results = await promise.all settled(unique.map((t) =&gt; provider.fetch series(t, range)))
out = {}
r = results[i]
the answer = out</t>
  </si>
  <si>
    <t>Unique is array.from(new set(tickers.map((t) =&gt; trim().to upper case()).filter(boolean))). Results is await promise.all settled(unique.map((t) =&gt; provider.fetch series(t, range))). Out is {}. R is results[i]. The answer is out.</t>
  </si>
  <si>
    <t>MK-CF-F-132 map → MK-XS-F-083 fetchPriceSeries</t>
  </si>
  <si>
    <t>MK-XS-F-084</t>
  </si>
  <si>
    <t>requestNotificationPermission</t>
  </si>
  <si>
    <t>src/services/notifications.ts</t>
  </si>
  <si>
    <t>false   when device.is device is missing
true   when existing = 'granted'
status = 'granted'</t>
  </si>
  <si>
    <t>When device.is device is missing, it answers false. When existing = 'granted', it answers true. status = 'granted'.</t>
  </si>
  <si>
    <t>MK-XS-F-085</t>
  </si>
  <si>
    <t>scheduleStreakReminder</t>
  </si>
  <si>
    <t>── Schedule daily streak reminder ─────────────────────────────────</t>
  </si>
  <si>
    <t>cancels the existing reminder, then schedules a daily one at 20:00</t>
  </si>
  <si>
    <t>Schedules the daily 8 pm streak reminder, replacing any existing one. Not a calculation.</t>
  </si>
  <si>
    <t>MK-XS-F-086</t>
  </si>
  <si>
    <t>cancelStreakReminder</t>
  </si>
  <si>
    <t>── Cancel streak reminder (e.g.</t>
  </si>
  <si>
    <t>cancels the daily reminder</t>
  </si>
  <si>
    <t>Cancels the daily streak reminder. Not a calculation.</t>
  </si>
  <si>
    <t>MK-XS-F-087</t>
  </si>
  <si>
    <t>scheduleRmdReminder</t>
  </si>
  <si>
    <t>── Required-withdrawal reminders (FCC Plan r48/r51 — logistics only, no timing advice) ── November 1 nudge ahead of the Dec 31 deadline (this year or a future start year).</t>
  </si>
  <si>
    <t>id = `rmd − reminder-${year}`
fire at = the date year, 10, 1, 10, 0, 0
false   when fire at.get time() ≤ date.now()
the answer = true</t>
  </si>
  <si>
    <t>Id is `rmd minus reminder-${year}`. Fire at: the date year, 10, 1, 10, 0, 0. When fire at.get time() is at most date.now(), it answers false. The answer is true.</t>
  </si>
  <si>
    <t>year: number</t>
  </si>
  <si>
    <t>MK-XS-F-088</t>
  </si>
  <si>
    <t>sendBudgetAlert</t>
  </si>
  <si>
    <t>── Budget alert (fire immediately) ────────────────────────────────</t>
  </si>
  <si>
    <t>sends one alert now: '&lt;category&gt; budget at &lt;round(pct)&gt;%'</t>
  </si>
  <si>
    <t>Sends an immediate alert naming the category and how much of its budget is used, to the whole percent. Display only.</t>
  </si>
  <si>
    <t>1. category: string
2. pct: number</t>
  </si>
  <si>
    <t>MK-XS-F-089</t>
  </si>
  <si>
    <t>scheduleWeeklySummary</t>
  </si>
  <si>
    <t>── Weekly summary notification ────────────────────────────────────</t>
  </si>
  <si>
    <t>cancels the existing summary, then schedules a weekly one on Monday at 09:00</t>
  </si>
  <si>
    <t>Schedules the Monday 9 am weekly summary, replacing any existing one. Not a calculation.</t>
  </si>
  <si>
    <t>MK-XS-F-090</t>
  </si>
  <si>
    <t>addNotificationResponseListener</t>
  </si>
  <si>
    <t>── Listen for notification taps ───────────────────────────────────</t>
  </si>
  <si>
    <t>screen = response.notification.request.content.data.screen as string</t>
  </si>
  <si>
    <t>Screen is response.notification.request.content.data.screen as string.</t>
  </si>
  <si>
    <t>MK-XS-F-091</t>
  </si>
  <si>
    <t>scheduleSsWindowReminder</t>
  </si>
  <si>
    <t>── Social Security claim-window reminder (design r18, built pre-48 per founder decision) ── Fires the month the claim window opens (their 62nd-birthday month), 10:00 on the 1st.</t>
  </si>
  <si>
    <t>id = 'ss − window − reminder'
fire at = the date opens year, opens month1 − 1, 1, 10, 0, 0
false   when fire at.get time() ≤ date.now()
the answer = true</t>
  </si>
  <si>
    <t>Id is 'ss minus window minus reminder'. Fire at: the date opens year, opens month1 minus 1, 1, 10, 0, 0. When fire at.get time() is at most date.now(), it answers false. The answer is true.</t>
  </si>
  <si>
    <t>1. opensYear: number
2. opensMonth1: number</t>
  </si>
  <si>
    <t>MK-XS-F-092</t>
  </si>
  <si>
    <t>parseReceiptWithOCR</t>
  </si>
  <si>
    <t>src/services/receiptOCR.ts</t>
  </si>
  <si>
    <t>Sends a receipt image to Google Cloud Vision API for OCR, then parses the raw text to extract store, total, date, category.</t>
  </si>
  <si>
    <t>the answer = nothing
json = await response.json()
raw text = json.responses.[0].full text annotation.text (or '' when missing or zero)
nothing   when raw text is missing</t>
  </si>
  <si>
    <t>The answer is no answer. Json is await response.json(). Raw text is json.responses.[0].full text annotation.text (or '' — when missing or zero). When raw text is missing, it answers no answer.</t>
  </si>
  <si>
    <t>imageUri: string</t>
  </si>
  <si>
    <t>Promise&lt;ParsedReceipt | null&gt;</t>
  </si>
  <si>
    <t>MK-XS-F-094 parseReceiptText</t>
  </si>
  <si>
    <t>1. MK-XS-F-094 parseReceiptText
2. MK-XS-F-144 guessCategory
3. MK-CF-F-132 map
4. MK-XS-F-058 parseReceipt
5. MK-XS-F-093 stripNonMoney
6. MK-ST-F-052 toNum
7. MK-XS-F-122 n</t>
  </si>
  <si>
    <t>1. MK-XS-F-144 guessCategory → MK-XS-F-094 parseReceiptText → MK-XS-F-092 parseReceiptWithOCR
2. MK-CF-F-132 map → MK-XS-F-094 parseReceiptText → MK-XS-F-092 parseReceiptWithOCR
3. MK-CF-F-132 map → MK-XS-F-058 parseReceipt → MK-XS-F-094 parseReceiptText → MK-XS-F-092 parseReceiptWithOCR
4. MK-XS-F-093 stripNonMoney → MK-XS-F-058 parseReceipt → MK-XS-F-094 parseReceiptText → MK-XS-F-092 parseReceiptWithOCR
5. MK-XS-F-122 n → MK-ST-F-052 toNum → MK-XS-F-058 parseReceipt → MK-XS-F-094 parseReceiptText → MK-XS-F-092 parseReceiptWithOCR
6. MK-XS-F-093 stripNonMoney → MK-XS-F-094 parseReceiptText → MK-XS-F-092 parseReceiptWithOCR</t>
  </si>
  <si>
    <t>MK-XS-F-093</t>
  </si>
  <si>
    <t>stripNonMoney</t>
  </si>
  <si>
    <t>A DATE IS NOT MONEY.</t>
  </si>
  <si>
    <t>the answer = the line with dates (30.04.24, 04/30/24, 2024-04-30) and times (08:30, 7:54:10) blanked out</t>
  </si>
  <si>
    <t>Blanks the dates and times on a receipt line so only the money figures remain for reading. No arithmetic.</t>
  </si>
  <si>
    <t>line: string</t>
  </si>
  <si>
    <t>MK-XS-F-094</t>
  </si>
  <si>
    <t>parseReceiptText</t>
  </si>
  <si>
    <t>lines = for each of text.split('\n'): trim() where boolean
payment line = ÷ \b(cash|tender|tendered|change|paid|payment|visa|mastercard|amex|discover|debit|credit|card|auth|approval|account)\b ÷ i
strong total = ÷ \b(grand\s × total|amount\s × due|balance\s × due|total\s × due|balance|net)\b ÷ i
weak total = ÷ \b(total|fee)\b ÷ i
subtotal line = ÷ \bsub\s × -?\s × total\b ÷ i
savings hdr = ÷ \b(your\s+savings|total\s+savings|savings\s+value|your\s+points|rewards?|cash\s × off|coupons?)\b ÷ i
negative line = ÷ -\s × \$?\s × \d ÷
amount = ÷ \$?\s × ([\d,]+\.[\d]{2})\b ÷
m = strip non money(l).match(AMOUNT)
v = parse float(m[1].replace( ÷ , ÷ g, ''))   if m
na n   otherwise
the answer:
v   if number.is finite(v) and v &gt; 0 and v &lt; 10000
nothing   otherwise
… the first steps only — the rest of the body needs reading by hand.</t>
  </si>
  <si>
    <t>Lines is for each of text.split('\n'): trim() where boolean. Payment line is ÷ \b(cash|tender|tendered|change|paid|payment|visa|mastercard|amex|discover|debit|credit|card|auth|approval|account)\b divided by i. Strong total is ÷ \b(grand\s times total|amount\s times due|balance\s times due|total\s times due|balance|net)\b divided by i. Weak total is ÷ \b(total|fee)\b divided by i. Subtotal line is ÷ \bsub\s times -?\s times total\b divided by i. Savings hdr is ÷ \b(your\s+savings|total\s+savings|savings\s+value|your\s+points|rewards?|cash\s times off|coupons?)\b divided by i. Negative line is ÷ -\s times \$?\s times \d ÷. Amount is ÷ \$?\s times ([\d,]+\.[\d]{2})\b ÷. M is strip non money(l).match(AMOUNT). V is parse float(m[1].replace( divided by , divided by g, '')) — when m; na n — otherwise. The answer is v — when number.is finite(v) and v &gt; 0 and v &lt; 10000; no answer — otherwise. Only the first steps are shown; the rest of the body needs reading by hand.</t>
  </si>
  <si>
    <t>ParsedReceipt</t>
  </si>
  <si>
    <t>1. Uses a built-in strong t of 0.
2. Uses a built-in weak t of 0.
3. Uses a built-in subtotal of 0.
4. Uses a built-in largest safe of 0.
5. Uses today's date from the device clock, so the answer changes by itself overnight.</t>
  </si>
  <si>
    <t>1. MK-XS-F-144 guessCategory
2. MK-CF-F-132 map
3. MK-XS-F-058 parseReceipt
4. MK-XS-F-093 stripNonMoney</t>
  </si>
  <si>
    <t>1. MK-XS-F-144 guessCategory
2. MK-CF-F-132 map
3. MK-XS-F-058 parseReceipt
4. MK-XS-F-093 stripNonMoney
5. MK-ST-F-052 toNum
6. MK-XS-F-122 n</t>
  </si>
  <si>
    <t>1. MK-XS-F-144 guessCategory → MK-XS-F-094 parseReceiptText
2. MK-CF-F-132 map → MK-XS-F-094 parseReceiptText
3. MK-CF-F-132 map → MK-XS-F-058 parseReceipt → MK-XS-F-094 parseReceiptText
4. MK-XS-F-093 stripNonMoney → MK-XS-F-058 parseReceipt → MK-XS-F-094 parseReceiptText
5. MK-XS-F-122 n → MK-ST-F-052 toNum → MK-XS-F-058 parseReceipt → MK-XS-F-094 parseReceiptText
6. MK-XS-F-093 stripNonMoney → MK-XS-F-094 parseReceiptText</t>
  </si>
  <si>
    <t>MK-XS-F-095</t>
  </si>
  <si>
    <t>ocrAvailable</t>
  </si>
  <si>
    <t>the answer = true when the text-recognition module is present and usable</t>
  </si>
  <si>
    <t>Whether receipt scanning is available on this device. Not a calculation.</t>
  </si>
  <si>
    <t>MK-XS-F-096</t>
  </si>
  <si>
    <t>pickReceipt</t>
  </si>
  <si>
    <t>Capture (camera) or pick (library) a receipt image; returns its uri or null if cancelled/denied.</t>
  </si>
  <si>
    <t>p = await image picker.request camera permissions async()
nothing   when granted is missing
r = await image picker.launch camera async({ quality: 0.6 })
the answer:
nothing   if canceled
assets.[0].uri (or nothing when missing)   otherwise
p = await image picker.request media library permissions async()
nothing   when granted is missing
r = await image picker.launch image library async({ quality: 0.6 })</t>
  </si>
  <si>
    <t>P is await image picker.request camera permissions async(). When granted is missing, it answers no answer. R is await image picker.launch camera async({ quality: 0.6 }). The answer is no answer — when canceled; assets.[0].uri (or no answer — when missing) — otherwise. P is await image picker.request media library permissions async(). When granted is missing, it answers no answer. R is await image picker.launch image library async({ quality: 0.6 }).</t>
  </si>
  <si>
    <t>source: 'camera' | 'library'</t>
  </si>
  <si>
    <t>MK-XS-F-097</t>
  </si>
  <si>
    <t>ocrReceipt</t>
  </si>
  <si>
    <t>raw = ''   when !ocr available()
res = await mlkit.recognize(uri)
text = res.text (or '' when missing)
the answer:
...parse receipt(text) = ...parse receipt(text)
raw = text</t>
  </si>
  <si>
    <t>When !ocr available(), it answers raw = ''. Res is await mlkit.recognize(uri). Text is res.text (or '' — when missing). The answer is ...parse receipt(text) = ...parse receipt(text); raw = text.</t>
  </si>
  <si>
    <t>uri: string</t>
  </si>
  <si>
    <t>1. MK-XS-F-095 ocrAvailable
2. MK-XS-F-058 parseReceipt</t>
  </si>
  <si>
    <t>1. MK-XS-F-095 ocrAvailable
2. MK-XS-F-058 parseReceipt
3. MK-CF-F-132 map
4. MK-XS-F-093 stripNonMoney
5. MK-ST-F-052 toNum
6. MK-XS-F-122 n</t>
  </si>
  <si>
    <t>1. MK-XS-F-095 ocrAvailable → MK-XS-F-097 ocrReceipt
2. MK-CF-F-132 map → MK-XS-F-058 parseReceipt → MK-XS-F-097 ocrReceipt
3. MK-XS-F-093 stripNonMoney → MK-XS-F-058 parseReceipt → MK-XS-F-097 ocrReceipt
4. MK-XS-F-122 n → MK-ST-F-052 toNum → MK-XS-F-058 parseReceipt → MK-XS-F-097 ocrReceipt</t>
  </si>
  <si>
    <t>MK-XS-F-098</t>
  </si>
  <si>
    <t>setSyncProviderForTesting</t>
  </si>
  <si>
    <t>src/services/sync/index.ts</t>
  </si>
  <si>
    <t>p: SyncProvider | null</t>
  </si>
  <si>
    <t>MK-XS-F-099</t>
  </si>
  <si>
    <t>activeSyncProvider</t>
  </si>
  <si>
    <t>The one lookup the UI uses.</t>
  </si>
  <si>
    <t>override provider   when override provider ! = undefined
new sandbox sync provider()   if typeof __DEV__ ! = 'undefined' and __DEV__
nothing   otherwise</t>
  </si>
  <si>
    <t>When override provider ! = undefined, it answers override provider. new sandbox sync provider() — when typeof __DEV__ ! = 'undefined' and __DEV__; no answer — otherwise.</t>
  </si>
  <si>
    <t>SyncProvider | null</t>
  </si>
  <si>
    <t>MK-XS-F-100</t>
  </si>
  <si>
    <t>connectionFreshness</t>
  </si>
  <si>
    <t>How old a connected account's last successful sync is.</t>
  </si>
  <si>
    <t>nothing   when last synced is missing
t = date.parse(last synced)
nothing   when number.is na n(t)
days = max(0, round down((now − t) ÷ 86400000))
label = 'today'
stale = false
days old = 0   when days = 0
label = 'yesterday'
stale = false
days old = 1   when days = 1
the answer:
label = `${days} days old`
stale = days &gt; 3
days old = days</t>
  </si>
  <si>
    <t>When last synced is missing, it answers no answer. T is date.parse(last synced). When number.is na n(t), it answers no answer. Days is (now minus t, rounded down divided by 86400000, never below zero). When days = 0, it answers label = 'today'; stale = false; days old = 0. When days = 1, it answers label = 'yesterday'; stale = false; days old = 1. The answer is label = `${days} days old`; stale = days &gt; 3; days old = days.</t>
  </si>
  <si>
    <t>1. lastSynced: string | null | undefined
2. now: number = Date.now()</t>
  </si>
  <si>
    <t>ConnectionFreshness | null</t>
  </si>
  <si>
    <t>MK-XS-F-101</t>
  </si>
  <si>
    <t>stAssetId</t>
  </si>
  <si>
    <t>src/services/sync/ingest.ts</t>
  </si>
  <si>
    <t>What do we call this connected account internally?</t>
  </si>
  <si>
    <t>the answer = 'st-' + the SnapTrade account identifier</t>
  </si>
  <si>
    <t>The app's identifier for a connected account: the institution's identifier with an 'st-' prefix. No arithmetic.</t>
  </si>
  <si>
    <t>snapTradeAccountId: string</t>
  </si>
  <si>
    <t>ACCOUNT_IDENTITY</t>
  </si>
  <si>
    <t>MK-XS-F-102</t>
  </si>
  <si>
    <t>ingestSync</t>
  </si>
  <si>
    <t>A broker just sent us data — what changes?</t>
  </si>
  <si>
    <t>accounts = [...existing accounts]
seen keys = { ...existing seen keys }
new transactions = []
needs wrapper confirm = []
st = account
guess = map account type(st.raw type, st.account category)
tail = string(st.number).slice(-4)   if st.number
''   otherwise
mask = `••${tail}`   if ÷ ^\d{4}$ ÷ .test(tail)
undefined   otherwise
inst = st.institution name.trim().to lower case()
asset id = prior.asset id (or st asset id(st.id) when missing)
mapped = for each of positions (or none when missing): map position where (m): m is non nullable&lt;typeof m&gt; =&gt; !!m
… the first steps only — the rest of the body needs reading by hand.</t>
  </si>
  <si>
    <t>Accounts is [...existing accounts]. Seen keys is { ...existing seen keys }. New transactions is []. Needs wrapper confirm is []. St is account. Guess is map account type(st.raw type, st.account category). Tail is string(st.number).slice(-4) — when st.number; '' — otherwise. Mask is `••${tail}` — when divided by ^\d{4}$ divided by .test(tail); undefined — otherwise. Inst is st.institution name.trim().to lower case(). Asset id is prior.asset id (or st asset id(st.id) — when missing). Mapped is for each of positions (or none — when missing): map position where (m): m is non nullable&lt;typeof m&gt; =&gt; !!m. Only the first steps are shown; the rest of the body needs reading by hand.</t>
  </si>
  <si>
    <t>1. If cost per share is missing it uses 0.
2. If target return is missing it uses 8%.
3. If balance is missing it uses 0.
4. If shares is missing it counts as zero, so nothing recorded and a real zero look the same.
5. If cost per share is missing it counts as zero, so nothing recorded and a real zero look the same.
6. If value is missing it counts as zero, so nothing recorded and a real zero look the same.
7. Uses today's date from the device clock, so the answer changes by itself overnight.
8. Rounds the answer to two decimals (cents).</t>
  </si>
  <si>
    <t>1. MK-NW-F-026 accountDisplayNames
2. MK-XS-F-108 activityKey
3. MK-ST-F-011 classifyHoldingClass
4. MK-CF-F-132 map
5. MK-XS-F-104 mapAccountType
6. MK-XS-F-106 mapOptionHolding
7. MK-XS-F-105 mapPosition
8. MK-XS-F-111 mergeHistoryFrom
9. MK-XS-F-110 netCashSleeve
10. MK-ST-F-043 newEntityId
11. MK-ST-F-022 reconcileAccountTotal
12. MK-XS-F-101 stAssetId
13. MK-ST-F-012 toLedgerRow
14. MK-ST-F-021 toNumber</t>
  </si>
  <si>
    <t>1. MK-NW-F-026 accountDisplayNames
2. MK-XS-F-108 activityKey
3. MK-ST-F-011 classifyHoldingClass
4. MK-CF-F-132 map
5. MK-XS-F-104 mapAccountType
6. MK-XS-F-106 mapOptionHolding
7. MK-XS-F-105 mapPosition
8. MK-XS-F-111 mergeHistoryFrom
9. MK-XS-F-110 netCashSleeve
10. MK-ST-F-043 newEntityId
11. MK-ST-F-022 reconcileAccountTotal
12. MK-XS-F-101 stAssetId
13. MK-ST-F-012 toLedgerRow
14. MK-ST-F-021 toNumber
15. MK-NW-F-025 accountDisplayName
16. MK-CF-F-155 cash
17. MK-XS-F-122 n
18. MK-ST-F-027 accountId
19. MK-ST-F-014 importKey
20. MK-ST-F-010 nameEvidence
21. MK-ST-F-056 has
22. MK-ST-F-007 classifyEvent
23. MK-XS-F-146 prettyExpiry
24. MK-XS-F-145 flatSymbol
25. MK-ST-F-060 verdict
26. MK-ST-F-053 money
27. MK-ST-F-058 numberOrUndefined
28. MK-ST-F-018 readMoney
29. MK-ST-F-019 signed
30. MK-NW-F-024 accountLastFour
31. MK-NW-F-012 taxTreatmentOf
32. MK-NW-F-023 wrapperWord
33. MK-XS-F-147 call
34. MK-ST-F-049 formatMoney
35. MK-XS-F-064 currentIdToken
36. MK-XS-F-112 relayUrl
37. MK-ST-F-048 currencySymbol
38. MK-ST-F-039 on
39. MK-ST-F-047 activeCurrency</t>
  </si>
  <si>
    <t>1. accountDisplayNames (already above — a loop) → MK-NW-F-025 accountDisplayName → MK-NW-F-026 accountDisplayNames → MK-XS-F-102 ingestSync
2. MK-NW-F-024 accountLastFour → MK-NW-F-025 accountDisplayName → MK-NW-F-026 accountDisplayNames → MK-XS-F-102 ingestSync
3. MK-NW-F-012 taxTreatmentOf → MK-NW-F-025 accountDisplayName → MK-NW-F-026 accountDisplayNames → MK-XS-F-102 ingestSync
4. MK-NW-F-023 wrapperWord → MK-NW-F-025 accountDisplayName → MK-NW-F-026 accountDisplayNames → MK-XS-F-102 ingestSync
5. MK-XS-F-122 n → MK-CF-F-155 cash → MK-NW-F-026 accountDisplayNames → MK-XS-F-102 ingestSync
6. MK-CF-F-132 map → MK-NW-F-026 accountDisplayNames → MK-XS-F-102 ingestSync
7. MK-XS-F-122 n → MK-NW-F-026 accountDisplayNames → MK-XS-F-102 ingestSync
8. MK-ST-F-027 accountId → MK-XS-F-108 activityKey → MK-XS-F-102 ingestSync
9. … and 5 more paths</t>
  </si>
  <si>
    <t>SYNC_ONE_ACCOUNT</t>
  </si>
  <si>
    <t>MK-XS-F-103</t>
  </si>
  <si>
    <t>confirmWrapper</t>
  </si>
  <si>
    <t>Mark an account's wrapper as USER-CONFIRMED — future syncs never override it.</t>
  </si>
  <si>
    <t>for each of accounts: ...each = ...each
kind = kind
tax bucket = tax bucket
wrapper confirmed = true   if asset id = asset id
each   otherwise</t>
  </si>
  <si>
    <t>for each of accounts: ...each = ...each; kind = kind; tax bucket = tax bucket; wrapper confirmed = true — when asset id = asset id; each — otherwise.</t>
  </si>
  <si>
    <t>1. accounts: AssetAccount[]
2. assetId: string
3. kind: string
4. taxBucket: AssetAccount['tax_bucket']</t>
  </si>
  <si>
    <t>MK-CF-F-132 map → MK-XS-F-103 confirmWrapper</t>
  </si>
  <si>
    <t>CONFIRM_TAX_TYPE</t>
  </si>
  <si>
    <t>MK-XS-F-104</t>
  </si>
  <si>
    <t>mapAccountType</t>
  </si>
  <si>
    <t>src/services/sync/snaptrade.ts</t>
  </si>
  <si>
    <t>What kind of account is this, and how is it taxed?</t>
  </si>
  <si>
    <t>t = (raw type ?? '').to lower case()
has = (...words: string[]) =&gt; words.some((w) =&gt; includes(w))
kind = '401k'   if has('401')
'roth_ira'   otherwise
tax bucket = 'ROTH'
confident = true   when has('roth')
kind = '401k'
tax bucket = 'PRE_TAX'
confident = true   when has('401k', '401(k)', '403b', '403(b)', '457')
kind = 'trad_ira'
tax bucket = 'PRE_TAX'
confident = true   when has('rollover', 'traditional', 'sep', 'simple ira')
kind = 'trad_ira'
tax bucket = 'PRE_TAX'
confident = true   when has('ira')
kind = 'hsa'
tax bucket = 'PRE_TAX'
confident = true   when has('hsa')
kind = 'checking'
tax bucket = 'CASH'
confident = true   when has('checking')
kind = 'brokerage'
tax bucket = 'TAXABLE'
confident = false   when has('savings')
kind = 'college_529'
tax bucket = 'TAXABLE'
confident = true   when has('529', 'education')
the answer:
kind = 'brokerage'
tax bucket = 'TAXABLE'
confident = true
… the first steps only — the rest of the body needs reading by hand.</t>
  </si>
  <si>
    <t>T is (raw type ?? '').to lower case(). Has is (...words: string[]) =&gt; words.some((w) =&gt; includes(w)). When has('roth'), it answers kind = '401k' — when has('401'); 'roth_ira' — otherwise; tax bucket = 'ROTH'; confident = true. When has('401k', '401(k)', '403b', '403(b)', '457'), it answers kind = '401k'; tax bucket = 'PRE_TAX'; confident = true. When has('rollover', 'traditional', 'sep', 'simple ira'), it answers kind = 'trad_ira'; tax bucket = 'PRE_TAX'; confident = true. When has('ira'), it answers kind = 'trad_ira'; tax bucket = 'PRE_TAX'; confident = true. When has('hsa'), it answers kind = 'hsa'; tax bucket = 'PRE_TAX'; confident = true. When has('checking'), it answers kind = 'checking'; tax bucket = 'CASH'; confident = true. When has('savings'), it answers kind = 'brokerage'; tax bucket = 'TAXABLE'; confident = false. When has('529', 'education'), it answers kind = 'college_529'; tax bucket = 'TAXABLE'; confident = true. The answer is kind = 'brokerage'; tax bucket = 'TAXABLE'; confident = true. Only the first steps are shown; the rest of the body needs reading by hand.</t>
  </si>
  <si>
    <t>1. rawType: string | null | undefined
2. category?: string | null</t>
  </si>
  <si>
    <t>WrapperGuess</t>
  </si>
  <si>
    <t>MK-ST-F-056 has → MK-XS-F-104 mapAccountType</t>
  </si>
  <si>
    <t>ACCOUNT_TAX_TYPE_GUESS</t>
  </si>
  <si>
    <t>MK-XS-F-105</t>
  </si>
  <si>
    <t>mapPosition</t>
  </si>
  <si>
    <t>B7 (founder brief 2026-08-20): classification lives in the ONE function — name first, broker tag as fallback only.</t>
  </si>
  <si>
    <t>sym = flat symbol(p)
shares = units (or 0 when missing)
nothing   when sym is missing (or shares = 0 when missing or zero)
code = (sym.type.code ?? '').to lower case()
tick = (sym.raw symbol or sym.symbol or '').to upper case()</t>
  </si>
  <si>
    <t>Sym is flat symbol(p). Shares is units (or 0 — when missing). When sym is missing (or shares = 0 — when missing or zero), it answers no answer. Code is (sym.type.code ?? '').to lower case(). Tick is (sym.raw symbol or sym.symbol or '').to upper case().</t>
  </si>
  <si>
    <t>p: StPosition</t>
  </si>
  <si>
    <t>MappedPosition | null</t>
  </si>
  <si>
    <t>1. If units is missing it uses 0.
2. If quantity is missing it uses 0.</t>
  </si>
  <si>
    <t>1. MK-ST-F-011 classifyHoldingClass
2. MK-XS-F-145 flatSymbol
3. MK-CF-F-132 map</t>
  </si>
  <si>
    <t>1. MK-ST-F-011 classifyHoldingClass
2. MK-XS-F-145 flatSymbol
3. MK-CF-F-132 map
4. MK-ST-F-010 nameEvidence
5. MK-XS-F-147 call
6. MK-ST-F-056 has
7. MK-ST-F-027 accountId
8. MK-XS-F-064 currentIdToken
9. MK-XS-F-112 relayUrl</t>
  </si>
  <si>
    <t>1. MK-ST-F-027 accountId → MK-XS-F-147 call → MK-ST-F-010 nameEvidence → MK-ST-F-011 classifyHoldingClass → MK-XS-F-105 mapPosition
2. MK-XS-F-064 currentIdToken → MK-XS-F-147 call → MK-ST-F-010 nameEvidence → MK-ST-F-011 classifyHoldingClass → MK-XS-F-105 mapPosition
3. MK-XS-F-112 relayUrl → MK-XS-F-147 call → MK-ST-F-010 nameEvidence → MK-ST-F-011 classifyHoldingClass → MK-XS-F-105 mapPosition
4. MK-ST-F-056 has → MK-ST-F-010 nameEvidence → MK-ST-F-011 classifyHoldingClass → MK-XS-F-105 mapPosition
5. MK-CF-F-132 map → MK-ST-F-010 nameEvidence → MK-ST-F-011 classifyHoldingClass → MK-XS-F-105 mapPosition
6. MK-XS-F-145 flatSymbol → MK-XS-F-105 mapPosition
7. MK-CF-F-132 map → MK-XS-F-105 mapPosition</t>
  </si>
  <si>
    <t>CLASS_FROM_BROKER</t>
  </si>
  <si>
    <t>MK-XS-F-106</t>
  </si>
  <si>
    <t>mapOptionHolding</t>
  </si>
  <si>
    <t>What is this option position worth, and what do we call it?</t>
  </si>
  <si>
    <t>os = symbol.option symbol
contracts = units (or 0 when missing)
nothing   when os is missing (or contracts = 0 when missing or zero)
under = (os.underlying symbol.raw symbol or os.underlying symbol.symbol or os.ticker or '?').to upper case()
kind word = 'put'   if os.option type = 'PUT'
'call'   otherwise
strike = `$${os.strike price}`   if os.strike price ≠ nothing
''   otherwise</t>
  </si>
  <si>
    <t>Os is symbol.option symbol. Contracts is units (or 0 — when missing). When os is missing (or contracts = 0 — when missing or zero), it answers no answer. Under is (os.underlying symbol.raw symbol or os.underlying symbol.symbol or os.ticker or '?').to upper case(). Kind word is 'put' — when os.option type = 'PUT'; 'call' — otherwise. Strike is `$${os.strike price}` — when os.strike price is not no answer; '' — otherwise.</t>
  </si>
  <si>
    <t>1. o: StOptionHolding
2. multiplier = 100</t>
  </si>
  <si>
    <t>MappedOption | null</t>
  </si>
  <si>
    <t>1. If units is missing it uses 0.
2. If price is missing it uses 0.
3. Rounds the answer to two decimals (cents).</t>
  </si>
  <si>
    <t>1. MK-ST-F-007 classifyEvent
2. MK-XS-F-146 prettyExpiry</t>
  </si>
  <si>
    <t>1. MK-ST-F-007 classifyEvent
2. MK-XS-F-146 prettyExpiry
3. MK-CF-F-132 map</t>
  </si>
  <si>
    <t>1. MK-ST-F-007 classifyEvent → MK-XS-F-106 mapOptionHolding
2. MK-CF-F-132 map → MK-XS-F-146 prettyExpiry → MK-XS-F-106 mapOptionHolding</t>
  </si>
  <si>
    <t>OPTION_HOLDING</t>
  </si>
  <si>
    <t>MK-XS-F-107</t>
  </si>
  <si>
    <t>mapActivityType</t>
  </si>
  <si>
    <t>A line arrived from the broker. Is this money you paid IN, money you took OUT, or something that happened inside the account?</t>
  </si>
  <si>
    <t>t = (type ?? '').to upper case()
is option = !!option symbol (or !!option type when missing or zero)
the answer:
txn type = t as 'BUY' | 'SELL'
note = 'option purchase'   if t = 'BUY'
'option sale'   otherwise
txn type = 'FEE'
note = `broker: ${type}`   when includes('FEE')
txn type = 'DEPOSIT'
note = `broker: ${type ?? 'unknown'}`   when (amount ?? 0) &gt; 0
txn type = 'WITHDRAWAL'
note = `broker: ${type ?? 'unknown'}`   when (amount ?? 0) &lt; 0</t>
  </si>
  <si>
    <t>T is (type ?? '').to upper case(). Is option is !!option symbol (or !!option type — when missing or zero). The answer is txn type = t as 'BUY' | 'SELL'; note = 'option purchase' — when t = 'BUY'; 'option sale' — otherwise. When includes('FEE'), it answers txn type = 'FEE'; note = `broker: ${type}`. When (amount ?? 0) &gt; 0, it answers txn type = 'DEPOSIT'; note = `broker: ${type ?? 'unknown'}`. When (amount ?? 0) &lt; 0, it answers txn type = 'WITHDRAWAL'; note = `broker: ${type ?? 'unknown'}`.</t>
  </si>
  <si>
    <t>a: StActivity</t>
  </si>
  <si>
    <t>MappedActivity</t>
  </si>
  <si>
    <t>· If amount is missing it uses 0.</t>
  </si>
  <si>
    <t>MK-XS-F-122 n → MK-CF-F-155 cash → MK-XS-F-107 mapActivityType</t>
  </si>
  <si>
    <t>TRANSLATE_BROKER_WORD</t>
  </si>
  <si>
    <t>MK-XS-F-108</t>
  </si>
  <si>
    <t>activityKey</t>
  </si>
  <si>
    <t>── duplicate-proofing ───────────────────────────────────────────────────────────────────────── SnapTrade activity ids can change when they reprocess history, so identity = the composite of everything that makes the row THAT row.</t>
  </si>
  <si>
    <t>the answer = import key(account, trade date or settlement date, type, amount, units, security, reference, description)</t>
  </si>
  <si>
    <t>The stable identity of one imported activity row, built by MK-ST-F-014 importKey from the account, the date, the type, the amount, the units, the security, the reference and the description.</t>
  </si>
  <si>
    <t>1. accountId: string
2. a: StActivity</t>
  </si>
  <si>
    <t>1. MK-ST-F-027 accountId
2. MK-ST-F-014 importKey</t>
  </si>
  <si>
    <t>1. MK-ST-F-027 accountId → MK-XS-F-108 activityKey
2. MK-ST-F-014 importKey → MK-XS-F-108 activityKey</t>
  </si>
  <si>
    <t>ACTIVITY_IDENTITY</t>
  </si>
  <si>
    <t>MK-XS-F-109</t>
  </si>
  <si>
    <t>dedupeActivities</t>
  </si>
  <si>
    <t>Which of these activities are new since the last sync?</t>
  </si>
  <si>
    <t>fresh = []
k = activity key(account id, a)
the answer = fresh</t>
  </si>
  <si>
    <t>Fresh is []. K is activity key(account id, a). The answer is fresh.</t>
  </si>
  <si>
    <t>1. accountId: string
2. incoming: StActivity[]
3. seenKeys: Set&lt;string&gt;</t>
  </si>
  <si>
    <t>StActivity[]</t>
  </si>
  <si>
    <t>1. MK-ST-F-027 accountId
2. MK-XS-F-108 activityKey
3. MK-ST-F-056 has</t>
  </si>
  <si>
    <t>1. MK-ST-F-027 accountId
2. MK-XS-F-108 activityKey
3. MK-ST-F-056 has
4. MK-ST-F-014 importKey</t>
  </si>
  <si>
    <t>1. MK-ST-F-027 accountId → MK-XS-F-109 dedupeActivities
2. MK-ST-F-027 accountId → MK-XS-F-108 activityKey → MK-XS-F-109 dedupeActivities
3. MK-ST-F-014 importKey → MK-XS-F-108 activityKey → MK-XS-F-109 dedupeActivities
4. MK-ST-F-056 has → MK-XS-F-109 dedupeActivities</t>
  </si>
  <si>
    <t>ALREADY_SEEN_CHECK</t>
  </si>
  <si>
    <t>MK-XS-F-110</t>
  </si>
  <si>
    <t>netCashSleeve</t>
  </si>
  <si>
    <t>── the cash sleeve, deduped ─────────────────────────────────────────────────────────────────── SnapTrade counts money-market (cash_equivalent) positions INSIDE balances.cash too.</t>
  </si>
  <si>
    <t>net = round((balances cash ?? 0) − mmf, 2 dp)
the answer:
0   if net &lt; 0 and net &gt; -1
net   otherwise</t>
  </si>
  <si>
    <t>Net is (balances cash ?? 0) minus mmf, to the cent. The answer is 0 — when net &lt; 0 and net &gt; -1; net — otherwise.</t>
  </si>
  <si>
    <t>1. balancesCash: number | null | undefined
2. positions: MappedPosition[]</t>
  </si>
  <si>
    <t>1. If price is missing it uses 0.
2. If balances cash is missing it uses 0.
3. Rounds the answer to two decimals (cents).</t>
  </si>
  <si>
    <t>UNINVESTED_CASH</t>
  </si>
  <si>
    <t>MK-XS-F-111</t>
  </si>
  <si>
    <t>mergeHistoryFrom</t>
  </si>
  <si>
    <t>FOUNDER RULE 2026-08-04: record how far back the broker's OWN activity feed reaches, so a "past year" income figure can label itself honestly.</t>
  </si>
  <si>
    <t>earliest now = the first of dates
existing   when earliest now is missing
earliest now   when existing is missing
the answer:
earliest now   if earliest now &lt; existing
existing   otherwise</t>
  </si>
  <si>
    <t>Earliest now: the first of dates. When earliest now is missing, it answers existing. When existing is missing, it answers earliest now. The answer is earliest now — when earliest now &lt; existing; existing — otherwise.</t>
  </si>
  <si>
    <t>1. existing: string | undefined
2. activityDates: (string | null | undefined)[]</t>
  </si>
  <si>
    <t>MK-CF-F-132 map → MK-XS-F-111 mergeHistoryFrom</t>
  </si>
  <si>
    <t>HISTORY_DEPTH</t>
  </si>
  <si>
    <t>MK-XS-F-112</t>
  </si>
  <si>
    <t>relayUrl</t>
  </si>
  <si>
    <t>src/services/sync/snaptradeClient.ts</t>
  </si>
  <si>
    <t>the answer = the relay address from the app config, else from the environment, else nothing</t>
  </si>
  <si>
    <t>Where the connection relay lives, read from the app configuration. Not a calculation.</t>
  </si>
  <si>
    <t>MK-XS-F-113</t>
  </si>
  <si>
    <t>snaptradeConfigured</t>
  </si>
  <si>
    <t>!!relay url()</t>
  </si>
  <si>
    <t>MK-XS-F-112 relayUrl</t>
  </si>
  <si>
    <t>MK-XS-F-112 relayUrl → MK-XS-F-113 snaptradeConfigured</t>
  </si>
  <si>
    <t>MK-XS-F-114</t>
  </si>
  <si>
    <t>usdCash</t>
  </si>
  <si>
    <t>USD cash across the balances list (v1 is USD-only; other currencies are ignored, not guessed).</t>
  </si>
  <si>
    <t>the answer = Σ over balances in USD (or with no currency) of (cash, or 0)</t>
  </si>
  <si>
    <t>Adds up the cash balances a connected account reports in US dollars (a balance with no currency code counts as dollars). Other currencies are left out.</t>
  </si>
  <si>
    <t>balances: HoldingsPayload['balances'] | null | undefined</t>
  </si>
  <si>
    <t>MK-XS-F-115</t>
  </si>
  <si>
    <t>shouldDailySync</t>
  </si>
  <si>
    <t>src/services/sync/snaptradeSync.ts</t>
  </si>
  <si>
    <t>true   when last sync at is missing
t = date.parse(last sync at)
the answer = number.is na n(t) (or now − t &gt; 20 × 3600000 when missing or zero)</t>
  </si>
  <si>
    <t>When last sync at is missing, it answers true. T is date.parse(last sync at). The answer is number.is na n(t) (or now minus t &gt; 20 times 3600000 — when missing or zero).</t>
  </si>
  <si>
    <t>1. lastSyncAt: string | null | undefined
2. now: number = Date.now()</t>
  </si>
  <si>
    <t>MK-XS-F-116</t>
  </si>
  <si>
    <t>runSnapTradeSync</t>
  </si>
  <si>
    <t>Full sync. Returns the number of accounts synced (0 = nothing connected).</t>
  </si>
  <si>
    <t>0   when !snaptrade configured()
s = use store.get state() as any
0   when !opts.force and !should daily sync(snaptrade last sync at)
connections = await snaptrade api.connections()
the answer = 0
accounts = await snaptrade api.accounts()
cursors = { ...(snaptrade activity cursor ?? {}) }
payloads = []
failed = []
now iso = the date ).to isostring(
h = await snaptrade api.holdings(account.id)
… the first steps only — the rest of the body needs reading by hand.</t>
  </si>
  <si>
    <t>When !snaptrade configured(), it answers 0. S is use store.get state() as any. When !opts.force and !should daily sync(snaptrade last sync at), it answers 0. Connections is await snaptrade api.connections(). The answer is 0. Accounts is await snaptrade api.accounts(). Cursors is { ...(snaptrade activity cursor ?? {}) }. Payloads is []. Failed is []. Now iso: the date ).to isostring(. H is await snaptrade api.holdings(account.id). Only the first steps are shown; the rest of the body needs reading by hand.</t>
  </si>
  <si>
    <t>1. opts: { force?: boolean } = {}
2. reads the app's stored data</t>
  </si>
  <si>
    <t>Promise&lt;number&gt;</t>
  </si>
  <si>
    <t>1. MK-XS-F-149 allActivities
2. MK-CF-F-132 map
3. MK-XS-F-115 shouldDailySync
4. MK-XS-F-113 snaptradeConfigured
5. MK-XS-F-101 stAssetId
6. MK-XS-F-114 usdCash</t>
  </si>
  <si>
    <t>1. MK-XS-F-149 allActivities
2. MK-CF-F-132 map
3. MK-XS-F-115 shouldDailySync
4. MK-XS-F-113 snaptradeConfigured
5. MK-XS-F-101 stAssetId
6. MK-XS-F-114 usdCash
7. MK-ST-F-027 accountId
8. MK-XS-F-148 unwrapActivities
9. MK-XS-F-112 relayUrl</t>
  </si>
  <si>
    <t>1. MK-ST-F-027 accountId → MK-XS-F-149 allActivities → MK-XS-F-116 runSnapTradeSync
2. MK-XS-F-148 unwrapActivities → MK-XS-F-149 allActivities → MK-XS-F-116 runSnapTradeSync
3. MK-CF-F-132 map → MK-XS-F-116 runSnapTradeSync
4. MK-XS-F-115 shouldDailySync → MK-XS-F-116 runSnapTradeSync
5. MK-XS-F-112 relayUrl → MK-XS-F-113 snaptradeConfigured → MK-XS-F-116 runSnapTradeSync
6. MK-XS-F-101 stAssetId → MK-XS-F-116 runSnapTradeSync
7. MK-XS-F-114 usdCash → MK-XS-F-116 runSnapTradeSync</t>
  </si>
  <si>
    <t>MK-XS-F-118</t>
  </si>
  <si>
    <t>prettyDate</t>
  </si>
  <si>
    <t>d = the date `${iso}-15T12:00:00`   if iso.length = 7
`${iso}T12:00:00`   otherwise
the answer:
iso   if is na n(get time())
to locale date string('en − US', { month: 'short', day: 'numeric' })   otherwise</t>
  </si>
  <si>
    <t>D: the date `${iso}-15T12:00:00` — when iso.length = 7; `${iso}T12:00:00` — otherwise. The answer is iso — when is na n(get time()); to locale date string('en minus US', { month: 'short', day: 'numeric' }) — otherwise.</t>
  </si>
  <si>
    <t>MK-XS-F-119</t>
  </si>
  <si>
    <t>namesFor</t>
  </si>
  <si>
    <t>Founder finding 2026-08-11: this named an account by its INSTITUTION alone, so two Vanguard accounts produced two identical banner lines ("Vanguard last updated Aug 3" twice) with no way to tell which was which.</t>
  </si>
  <si>
    <t>account display names(accounts)</t>
  </si>
  <si>
    <t>MK-NW-F-026 accountDisplayNames</t>
  </si>
  <si>
    <t>1. MK-NW-F-026 accountDisplayNames
2. MK-NW-F-025 accountDisplayName
3. MK-CF-F-155 cash
4. MK-CF-F-132 map
5. MK-XS-F-122 n
6. MK-NW-F-024 accountLastFour
7. MK-NW-F-012 taxTreatmentOf
8. MK-NW-F-023 wrapperWord</t>
  </si>
  <si>
    <t>1. accountDisplayNames (already above — a loop) → MK-NW-F-025 accountDisplayName → MK-NW-F-026 accountDisplayNames → MK-XS-F-119 namesFor
2. MK-NW-F-024 accountLastFour → MK-NW-F-025 accountDisplayName → MK-NW-F-026 accountDisplayNames → MK-XS-F-119 namesFor
3. MK-NW-F-012 taxTreatmentOf → MK-NW-F-025 accountDisplayName → MK-NW-F-026 accountDisplayNames → MK-XS-F-119 namesFor
4. MK-NW-F-023 wrapperWord → MK-NW-F-025 accountDisplayName → MK-NW-F-026 accountDisplayNames → MK-XS-F-119 namesFor
5. MK-XS-F-122 n → MK-CF-F-155 cash → MK-NW-F-026 accountDisplayNames → MK-XS-F-119 namesFor
6. MK-CF-F-132 map → MK-NW-F-026 accountDisplayNames → MK-XS-F-119 namesFor
7. MK-XS-F-122 n → MK-NW-F-026 accountDisplayNames → MK-XS-F-119 namesFor</t>
  </si>
  <si>
    <t>MK-XS-F-120</t>
  </si>
  <si>
    <t>nameOf</t>
  </si>
  <si>
    <t>the answer = the person's name for the account, else the institution, else the label, else 'this account'</t>
  </si>
  <si>
    <t>What to call an account in a sentence — the person's own name for it, then the institution, then the label. No arithmetic.</t>
  </si>
  <si>
    <t>1. a: AssetAccount
2. names: Map&lt;string, string&gt;</t>
  </si>
  <si>
    <t>MK-XS-F-121</t>
  </si>
  <si>
    <t>isYm</t>
  </si>
  <si>
    <t>the answer = true when the text is exactly 'YYYY-MM'</t>
  </si>
  <si>
    <t>Whether a text is a month key of the form 'YYYY-MM'. No arithmetic.</t>
  </si>
  <si>
    <t>s: unknown</t>
  </si>
  <si>
    <t>s is string</t>
  </si>
  <si>
    <t>MK-XS-F-122</t>
  </si>
  <si>
    <t>v   if typeof v = 'number' and number.is finite(v)
fallback   otherwise</t>
  </si>
  <si>
    <t>v — when typeof v = 'number' and number.is finite(v); fallback — otherwise</t>
  </si>
  <si>
    <t>1. v: unknown
2. fallback = 0</t>
  </si>
  <si>
    <t>MK-XS-F-123</t>
  </si>
  <si>
    <t>base64ToBytes</t>
  </si>
  <si>
    <t>c = b64.replace( ÷ [^A − za − z0 − 9+ ÷ ] ÷ g, '')
out = []
e1 = B64.index of(c[i]), e2 = B64.index of(c[i + 1]), e3 = B64.index of(c[i + 2]), e4 = B64.index of(c[i + 3])
n = (e1 &lt;&lt; 18) | (e2 &lt;&lt; 12) | ((e3 &amp; 63) &lt;&lt; 6) | (e4 &amp; 63)
the answer = out</t>
  </si>
  <si>
    <t>C is b64.replace( divided by [^A minus za minus z0 minus 9+ divided by ] divided by g, ''). Out is []. E1 is B64.index of(c[i]), e2 = B64.index of(c[i plus 1]), e3 = B64.index of(c[i plus 2]), e4 = B64.index of(c[i plus 3]). N is (e1 &lt;&lt; 18) | (e2 &lt;&lt; 12) | ((e3 &amp; 63) &lt;&lt; 6) | (e4 &amp; 63). The answer is out.</t>
  </si>
  <si>
    <t>MK-XS-F-124</t>
  </si>
  <si>
    <t>decodeUtf8</t>
  </si>
  <si>
    <t>s = ''
c = b[i++]
the answer = s</t>
  </si>
  <si>
    <t>S is ''. C is b[i++]. The answer is s.</t>
  </si>
  <si>
    <t>1. b: number[]
2. start = 0</t>
  </si>
  <si>
    <t>MK-XS-F-125</t>
  </si>
  <si>
    <t>decodeUtf16</t>
  </si>
  <si>
    <t>s = ''
[LOOP — the answer is found inside a loop the extractor cannot render; the steps above are the ones before it. Read by hand.]</t>
  </si>
  <si>
    <t>S is ''. The answer is s. The answer is found inside a loop that cannot be rendered here; read the code by hand.</t>
  </si>
  <si>
    <t>1. b: number[]
2. start: number
3. le: boolean</t>
  </si>
  <si>
    <t>MK-XS-F-126</t>
  </si>
  <si>
    <t>findCol</t>
  </si>
  <si>
    <t>i = headers.find index((h) =&gt; re.test(h))
i   when i ≥ 0
[LOOP — the answer is found inside a loop the extractor cannot render; the steps above are the ones before it. Read by hand.]</t>
  </si>
  <si>
    <t>I is headers.find index((h) =&gt; re.test(h)). When i is at least 0, it answers i. The answer is -1. The answer is found inside a loop that cannot be rendered here; read the code by hand.</t>
  </si>
  <si>
    <t>1. headers: string[]
2. patterns: RegExp[]</t>
  </si>
  <si>
    <t>MK-XS-F-127</t>
  </si>
  <si>
    <t>toIsoDate</t>
  </si>
  <si>
    <t>Normalise a date cell to 'YYYY-MM-DD', or undefined if it isn't a usable date.</t>
  </si>
  <si>
    <t>t = (v ?? '').trim()
undefined   when t is missing
m = match( ÷ ^(\d{4})[- ÷ ](\d{1,2})[- ÷ ](\d{1,2})$ ÷ )
`${m[1]}-${m[2].pad start(2, '0')}-${m[3].pad start(2, '0')}`   when m
`${m[3]}-${m[1].pad start(2, '0')}-${m[2].pad start(2, '0')}`   when m
the answer = undefined</t>
  </si>
  <si>
    <t>T is (v ?? '').trim(). When t is missing, it answers undefined. M is match( divided by ^(\d{4})[- divided by ](\d{1,2})[- divided by ](\d{1,2})$ divided by ). When m, it answers `${m[1]}-${m[2].pad start(2, '0')}-${m[3].pad start(2, '0')}`. When m, it answers `${m[3]}-${m[1].pad start(2, '0')}-${m[2].pad start(2, '0')}`. The answer is undefined.</t>
  </si>
  <si>
    <t>v: string</t>
  </si>
  <si>
    <t>MK-XS-F-128</t>
  </si>
  <si>
    <t>cleanTicker</t>
  </si>
  <si>
    <t>A plausible tradeable ticker: 1–10 chars, letters/digits/.-, at least one letter, no spaces.</t>
  </si>
  <si>
    <t>t = (v ?? '').trim().to upper case()
nothing   when t is missing (or ÷ \s ÷ .test(t) (or length &gt; 10 when missing or zero) when missing or zero)
nothing   when ! ÷ [A − Z] ÷ .test(t) (or ! ÷ ^[A − Z0 − 9.\-]+$ ÷ .test(t) when missing or zero)
nothing   when ['TOTAL', 'CASH', 'SUBTOTAL', 'N ÷ A', 'SYMBOL', 'TICKER'].includes(t)
the answer = t</t>
  </si>
  <si>
    <t>T is (v ?? '').trim().to upper case(). When t is missing (or divided by \s divided by .test(t) (or length &gt; 10 — when missing or zero) — when missing or zero), it answers no answer. When ! divided by [A minus Z] divided by .test(t) (or ! divided by ^[A minus Z0 minus 9.\-]+$ divided by .test(t) — when missing or zero), it answers no answer. When ['TOTAL', 'CASH', 'SUBTOTAL', 'N divided by A', 'SYMBOL', 'TICKER'].includes(t), it answers no answer. The answer is t.</t>
  </si>
  <si>
    <t>MK-XS-F-129</t>
  </si>
  <si>
    <t>findHeaderRow</t>
  </si>
  <si>
    <t>Find the real positions header — the first row that has BOTH a symbol/ticker AND a quantity/shares column (skips brokerage preambles like "Account Summary" and filter headers).</t>
  </si>
  <si>
    <t>h = for each of rows[i]: trim()
has sym = some((c) =&gt; ÷ ^(symbol|ticker)$ ÷ test(c))
has qty = some((c) =&gt; ÷ ^(quantity|shares|qty|units)$ ÷ test(c))
i   when has sym and has qty
[LOOP — the answer is found inside a loop the extractor cannot render; the steps above are the ones before it. Read by hand.]</t>
  </si>
  <si>
    <t>H is for each of rows[i]: trim(). Has sym is some((c) =&gt; divided by ^(symbol|ticker)$ divided by test(c)). Has qty is some((c) =&gt; divided by ^(quantity|shares|qty|units)$ divided by test(c)). When has sym and has qty, it answers i. The answer is 0. The answer is found inside a loop that cannot be rendered here; read the code by hand.</t>
  </si>
  <si>
    <t>rows: string[][]</t>
  </si>
  <si>
    <t>MK-CF-F-132 map → MK-XS-F-129 findHeaderRow</t>
  </si>
  <si>
    <t>MK-XS-F-130</t>
  </si>
  <si>
    <t>normInst</t>
  </si>
  <si>
    <t>(s ?? '').trim().to lower case().replace( ÷ [^a − z0 − 9] ÷ g, '')</t>
  </si>
  <si>
    <t>(s ?? '').trim().to lower case().replace( divided by [^a minus z0 minus 9] divided by g, '')</t>
  </si>
  <si>
    <t>s?: string</t>
  </si>
  <si>
    <t>MK-XS-F-131</t>
  </si>
  <si>
    <t>toInt</t>
  </si>
  <si>
    <t>n = parse int(string(v ?? '').replace( ÷ [^0 − 9] ÷ g, ''), 10)
the answer:
n   if number.is finite(n)
nothing   otherwise</t>
  </si>
  <si>
    <t>N is parse int(string(v ?? '').replace( divided by [^0 minus 9] divided by g, ''), 10). The answer is n — when number.is finite(n); no answer — otherwise.</t>
  </si>
  <si>
    <t>MK-XS-F-122 n → MK-XS-F-131 toInt</t>
  </si>
  <si>
    <t>MK-XS-F-132</t>
  </si>
  <si>
    <t>load</t>
  </si>
  <si>
    <t>LA   when LA
LA</t>
  </si>
  <si>
    <t>When LA, it answers LA. LA.</t>
  </si>
  <si>
    <t>any</t>
  </si>
  <si>
    <t>MK-XS-F-133</t>
  </si>
  <si>
    <t>loadSentry</t>
  </si>
  <si>
    <t>the answer = the crash-reporting module, or nothing when it is absent</t>
  </si>
  <si>
    <t>Loads the crash reporter if it is installed. Not a calculation.</t>
  </si>
  <si>
    <t>MK-XS-F-134</t>
  </si>
  <si>
    <t>installGlobalHandler</t>
  </si>
  <si>
    <t>g = global this as any
prev = error utils.get global handler.()</t>
  </si>
  <si>
    <t>G is global this as any. Prev is error utils.get global handler.().</t>
  </si>
  <si>
    <t>MK-XS-F-037 captureException → MK-XS-F-134 installGlobalHandler</t>
  </si>
  <si>
    <t>MK-XS-F-135</t>
  </si>
  <si>
    <t>secureGet</t>
  </si>
  <si>
    <t>name: string</t>
  </si>
  <si>
    <t>MK-XS-F-136</t>
  </si>
  <si>
    <t>secureSet</t>
  </si>
  <si>
    <t>1. name: string
2. value: string</t>
  </si>
  <si>
    <t>MK-XS-F-137</t>
  </si>
  <si>
    <t>secureDelete</t>
  </si>
  <si>
    <t>MK-XS-F-138</t>
  </si>
  <si>
    <t>deriveKeyFromSecret</t>
  </si>
  <si>
    <t>── Wrapping (lock/unlock the DEK with a password or recovery code) ───</t>
  </si>
  <si>
    <t>crypto js.PBKDF2(secret.trim(), uid, { key size: 256 ÷ 32, iterations: PBKDF2_ITERS }).to string(crypto js.enc.hex)</t>
  </si>
  <si>
    <t>crypto js.PBKDF2(secret.trim(), uid, { key size: 256 divided by 32, iterations: PBKDF2_ITERS }).to string(crypto js.enc.hex).</t>
  </si>
  <si>
    <t>1. secret: string
2. uid: string</t>
  </si>
  <si>
    <t>1. MK-ST-F-027 accountId → MK-XS-F-175 uid → MK-XS-F-138 deriveKeyFromSecret
2. MK-CF-F-137 findPos → MK-CF-F-138 addLot → MK-CF-F-111 applyTransaction → MK-XS-F-175 uid → MK-XS-F-138 deriveKeyFromSecret
3. MK-CF-F-132 map → MK-CF-F-138 addLot → MK-CF-F-111 applyTransaction → MK-XS-F-175 uid → MK-XS-F-138 deriveKeyFromSecret
4. MK-ST-F-043 newEntityId → MK-CF-F-138 addLot → MK-CF-F-111 applyTransaction → MK-XS-F-175 uid → MK-XS-F-138 deriveKeyFromSecret
5. MK-CF-F-134 usesSleeve → MK-CF-F-136 bumpCash → MK-CF-F-111 applyTransaction → MK-XS-F-175 uid → MK-XS-F-138 deriveKeyFromSecret
6. MK-CF-F-137 findPos → MK-CF-F-111 applyTransaction → MK-XS-F-175 uid → MK-XS-F-138 deriveKeyFromSecret
7. MK-CF-F-132 map → MK-CF-F-111 applyTransaction → MK-XS-F-175 uid → MK-XS-F-138 deriveKeyFromSecret
8. MK-CF-F-137 findPos → MK-CF-F-139 removeShares → MK-CF-F-111 applyTransaction → MK-XS-F-175 uid → MK-XS-F-138 deriveKeyFromSecret
9. … and 4 more paths</t>
  </si>
  <si>
    <t>MK-XS-F-139</t>
  </si>
  <si>
    <t>wrapWithSecret</t>
  </si>
  <si>
    <t>encrypt with key(dek, derive key from secret(secret, uid))</t>
  </si>
  <si>
    <t>encrypt with key(dek, derive key from secret(secret, uid)).</t>
  </si>
  <si>
    <t>1. dek: string
2. uid: string
3. secret: string</t>
  </si>
  <si>
    <t>1. MK-XS-F-138 deriveKeyFromSecret
2. MK-XS-F-052 encryptWithKey
3. MK-XS-F-175 uid</t>
  </si>
  <si>
    <t>1. MK-XS-F-138 deriveKeyFromSecret
2. MK-XS-F-052 encryptWithKey
3. MK-XS-F-175 uid
4. MK-ST-F-027 accountId
5. MK-CF-F-111 applyTransaction
6. MK-NW-F-040 assetsFromOnboarding
7. MK-PF-F-013 benchmarkTicker
8. MK-ST-F-028 buildDayFromAccounts
9. MK-PF-F-034 closeOnOrBefore
10. MK-CF-F-186 convertTakeHomeMode
11. MK-CF-F-038 debtsFromOnboarding
12. MK-XS-F-083 fetchPriceSeries
13. MK-PL-F-013 goalsFromOnboarding
14. MK-ST-F-056 has
15. MK-CF-F-116 inverseOf
16. MK-ST-F-065 isoLocalDate
17. MK-CF-F-112 makeTransaction
18. MK-CF-F-132 map
19. MK-XS-F-122 n
20. MK-ST-F-043 newEntityId
21. MK-XS-F-006 pruneDaily
22. MK-ST-F-073 rebuildDays
23. MK-NW-F-054 reclassifyAccounts
24. MK-XS-F-174 recomputeBalances
25. MK-CF-F-115 restoreUndo
26. MK-CF-F-109 reviewTransactions
27. MK-ST-F-044 setMoneyFormat
28. MK-CF-F-114 undoSnapshot
29. MK-CF-F-191 ym
30. MK-CF-F-138 addLot
31. MK-CF-F-136 bumpCash
32. MK-CF-F-137 findPos
33. MK-CF-F-139 removeShares
34. MK-PF-F-001 totalShares
35. MK-ST-F-052 toNum
36. MK-ST-F-053 money
37. MK-CF-F-085 filingStatusOf
38. MK-CF-F-097 grossFromNet
39. MK-CF-F-185 needsTakeHomeConversion
40. MK-CF-F-089 over65CountOf
41. MK-CF-F-037 inferDebtType
42. MK-ST-F-069 amountOf
43. MK-CF-F-133 cashOf
44. MK-ST-F-066 isDayKey
45. MK-ST-F-070 isOpening
46. MK-ST-F-071 rebuildableFrom
47. MK-ST-F-068 stepDay
48. MK-ST-F-072 undo
49. MK-NW-F-053 correctClassOf
50. MK-NW-F-008 incomeBearingClassOf
51. MK-PF-F-002 costBasis
52. MK-PF-F-009 latestClose
53. MK-PF-F-004 marketValue
54. MK-ST-F-030 record
55. MK-XS-F-024 resolveLens
56. MK-ST-F-055 round2
57. MK-CF-F-162 daysApart
58. MK-CF-F-108 isMoneyOut
59. MK-PL-F-074 median
60. MK-CF-F-131 normPayee
61. MK-CF-F-113 affectedAccountIds
62. MK-CF-F-134 usesSleeve
63. MK-ST-F-049 formatMoney
64. MK-CF-F-101 taxOwedFor
65. MK-ST-F-067 utcOfDay
66. MK-CF-F-155 cash
67. MK-ST-F-035 covers
68. MK-NW-F-009 maturityClass
69. MK-ST-F-010 nameEvidence
70. MK-PF-F-031 contractMultiplier
71. MK-CF-F-072 currentRetirementIncomeMonthly
72. MK-ST-F-048 currencySymbol
73. MK-ST-F-039 on
74. MK-CF-F-100 taxableIncomeFor
75. MK-ST-F-034 firstDate
76. MK-XS-F-147 call
77. MK-CF-F-075 retirementIncomeMonthly
78. MK-ST-F-047 activeCurrency
79. MK-CF-F-099 deductionFor
80. MK-XS-F-064 currentIdToken
81. MK-XS-F-112 relayUrl
82. MK-CF-F-187 seniorDeductionFor</t>
  </si>
  <si>
    <t>1. MK-ST-F-027 accountId → MK-XS-F-175 uid → MK-XS-F-138 deriveKeyFromSecret → MK-XS-F-139 wrapWithSecret
2. MK-CF-F-137 findPos → MK-CF-F-138 addLot → MK-CF-F-111 applyTransaction → MK-XS-F-175 uid → MK-XS-F-138 deriveKeyFromSecret → MK-XS-F-139 wrapWithSecret
3. MK-CF-F-132 map → MK-CF-F-138 addLot → MK-CF-F-111 applyTransaction → MK-XS-F-175 uid → MK-XS-F-138 deriveKeyFromSecret → MK-XS-F-139 wrapWithSecret
4. MK-ST-F-043 newEntityId → MK-CF-F-138 addLot → MK-CF-F-111 applyTransaction → MK-XS-F-175 uid → MK-XS-F-138 deriveKeyFromSecret → MK-XS-F-139 wrapWithSecret
5. MK-CF-F-134 usesSleeve → MK-CF-F-136 bumpCash → MK-CF-F-111 applyTransaction → MK-XS-F-175 uid → MK-XS-F-138 deriveKeyFromSecret → MK-XS-F-139 wrapWithSecret
6. MK-CF-F-137 findPos → MK-CF-F-111 applyTransaction → MK-XS-F-175 uid → MK-XS-F-138 deriveKeyFromSecret → MK-XS-F-139 wrapWithSecret
7. MK-CF-F-132 map → MK-CF-F-111 applyTransaction → MK-XS-F-175 uid → MK-XS-F-138 deriveKeyFromSecret → MK-XS-F-139 wrapWithSecret
8. MK-CF-F-137 findPos → MK-CF-F-139 removeShares → MK-CF-F-111 applyTransaction → MK-XS-F-175 uid → MK-XS-F-138 deriveKeyFromSecret → MK-XS-F-139 wrapWithSecret
9. … and 5 more paths</t>
  </si>
  <si>
    <t>MK-XS-F-140</t>
  </si>
  <si>
    <t>fetchInflation</t>
  </si>
  <si>
    <t>res = await fetch(BLS_API + BLS_CPI_SERIES)
json = await res.json()
series = json.results.series.[0].data
latest = parse float(series[0].value)
year ago = parse float(series[12].value)
rate = ((latest − year ago) ÷ year ago) × 100
the answer = round(rate, 2 dp)</t>
  </si>
  <si>
    <t>Res is await fetch(BLS_API plus BLS_CPI_SERIES). Json is await res.json(). Series is json.results.series.[0].data. Latest is parse float(series[0].value). Year ago is parse float(series[12].value). Rate is ((latest minus year ago) divided by year ago) times 100. The answer is rate, to the cent.</t>
  </si>
  <si>
    <t>MK-XS-F-141</t>
  </si>
  <si>
    <t>fetchTreasuryYield</t>
  </si>
  <si>
    <t>res = await fetch(TREASURY_API)
csv = await res.text()
rows = csv.trim().split('\n').slice(1)
value = rows[i].split(',')[1].trim()
rate = parse float(value)
[LOOP — the answer is found inside a loop the extractor cannot render; the steps above are the ones before it. Read by hand.]</t>
  </si>
  <si>
    <t>Res is await fetch(TREASURY_API). Csv is await res.text(). Rows is csv.trim().split('\n').slice(1). Value is rows[i].split(',')[1].trim(). Rate is parse float(value). The answer is rate, to the cent. The answer is found inside a loop that cannot be rendered here; read the code by hand.</t>
  </si>
  <si>
    <t>MK-XS-F-142</t>
  </si>
  <si>
    <t>makeInviteCode</t>
  </si>
  <si>
    <t>── Household / spouse invites ───────────────────────────────────── Spouses share ONE data document: all reads/writes go to users/{householdId} where householdId = the inviter's uid.</t>
  </si>
  <si>
    <t>alphabet = 'ABCDEFGHJKMNPQRSTUVWXYZ23456789'
the answer = array.from({ length: 6 }, () =&gt; ALPHABET[math.floor(math.random() × ALPHABET.length)]).join('')</t>
  </si>
  <si>
    <t>Alphabet is 'ABCDEFGHJKMNPQRSTUVWXYZ23456789'. The answer is array.from({ length: 6 }, () =&gt; ALPHABET[math.floor(math.random() times ALPHABET.length)]).join('').</t>
  </si>
  <si>
    <t>MK-XS-F-143</t>
  </si>
  <si>
    <t>yahooSymbol</t>
  </si>
  <si>
    <t>Map a plain ticker to the provider's symbol convention (crypto needs the -USD pair on Yahoo).</t>
  </si>
  <si>
    <t>t = ticker.trim().to upper case()
''   when t is missing
'BTC − USD'   when t = 'BTC' (or t = 'BTCUSD' when missing or zero)
'ETH − USD'   when t = 'ETH' (or t = 'ETHUSD' when missing or zero)
the answer = t
sym = yahoo symbol(ticker)
nothing   when sym is missing
res = await fetch(url, { headers: { 'user − Agent': 'mozilla ÷ 5.0', accept: 'application ÷ json' } })
nothing   when res.ok is missing
json = await res.json()
result = the first of json.chart.result?.
… the first steps only — the rest of the body needs reading by hand.</t>
  </si>
  <si>
    <t>T is ticker.trim().to upper case(). When t is missing, it answers ''. When t = 'BTC' (or t = 'BTCUSD' — when missing or zero), it answers 'BTC minus USD'. When t = 'ETH' (or t = 'ETHUSD' — when missing or zero), it answers 'ETH minus USD'. The answer is t. Sym is yahoo symbol(ticker). When sym is missing, it answers no answer. Res is await fetch(url, { headers: { 'user minus Agent': 'mozilla divided by 5.0', accept: 'application divided by json' } }). When res.ok is missing, it answers no answer. Json is await res.json(). Result: the first of json.chart.result?.. Only the first steps are shown; the rest of the body needs reading by hand.</t>
  </si>
  <si>
    <t>[from MK-NW-M-029, Formula (mathematical)] Is the formula embedded directly in the code and not as a separate function? Live price was to be sourced from Yahoo or similar engine.</t>
  </si>
  <si>
    <t>This is the feed: Yahoo Finance daily closes, free, no key. 'Current price' on the holding screen = the last close of this series, picked on the screen (no named function). Answer in full on MK-NW-M-029.</t>
  </si>
  <si>
    <t>MK-XS-F-144</t>
  </si>
  <si>
    <t>guessCategory</t>
  </si>
  <si>
    <t>lower = (store + ' ' + text).to lower case()
'Gas'   when ÷ gas|fuel|shell|chevron|bp|exxon|mobil|circle k|speedway|wawa ÷ .test(lower)
'Dining'   when ÷ restaurant|cafe|pizza|burger|sushi|diner|grill|kitchen|bar |tavern|starbucks|mcdonald|subway|chipotle|taco|chick ÷ .test(lower)
'Health'   when ÷ pharmacy|cvs|walgreen|rite aid|health|clinic|doctor|hospital|medical|dental ÷ .test(lower)
'Subscriptions'   when ÷ netflix|hulu|disney|spotify|amazon prime|apple|subscription|recurring ÷ .test(lower)
'Transit'   when ÷ uber|lyft|taxi|transit|metro|bus |train|airline|flight|parking ÷ .test(lower)
'Groceries'   when ÷ walmart|target|costco|kroger|whole foods|trader|safeway|publix|aldi|grocery|market|food ÷ .test(lower)
'Shopping'   when ÷ home depot|lowe|ikea|furniture|hardware ÷ .test(lower)
'Utilities'   when ÷ electric|water|gas bill|utility|internet|phone bill|at&amp;t|verizon|comcast ÷ .test(lower)
the answer = 'Other'</t>
  </si>
  <si>
    <t>Lower is (store plus ' ' plus text).to lower case(). When ÷ gas|fuel|shell|chevron|bp|exxon|mobil|circle k|speedway|wawa divided by .test(lower), it answers 'Gas'. When ÷ restaurant|cafe|pizza|burger|sushi|diner|grill|kitchen|bar |tavern|starbucks|mcdonald|subway|chipotle|taco|chick divided by .test(lower), it answers 'Dining'. When ÷ pharmacy|cvs|walgreen|rite aid|health|clinic|doctor|hospital|medical|dental divided by .test(lower), it answers 'Health'. When ÷ netflix|hulu|disney|spotify|amazon prime|apple|subscription|recurring divided by .test(lower), it answers 'Subscriptions'. When ÷ uber|lyft|taxi|transit|metro|bus |train|airline|flight|parking divided by .test(lower), it answers 'Transit'. When ÷ walmart|target|costco|kroger|whole foods|trader|safeway|publix|aldi|grocery|market|food divided by .test(lower), it answers 'Groceries'. When ÷ home depot|lowe|ikea|furniture|hardware divided by .test(lower), it answers 'Shopping'. When ÷ electric|water|gas bill|utility|internet|phone bill|at&amp;t|verizon|comcast divided by .test(lower), it answers 'Utilities'. The answer is 'Other'.</t>
  </si>
  <si>
    <t>1. store: string
2. text: string</t>
  </si>
  <si>
    <t>MK-XS-F-145</t>
  </si>
  <si>
    <t>flatSymbol</t>
  </si>
  <si>
    <t>── positions → our holdings ───────────────────────────────────────────────────────────────────</t>
  </si>
  <si>
    <t>s = symbol
nothing   when s is missing
the answer:
symbol   if symbol and typeof symbol = 'object'
s   otherwise</t>
  </si>
  <si>
    <t>S is symbol. When s is missing, it answers no answer. The answer is symbol — when symbol and typeof symbol = 'object'; s — otherwise.</t>
  </si>
  <si>
    <t>StSymbol | null</t>
  </si>
  <si>
    <t>MK-XS-F-146</t>
  </si>
  <si>
    <t>prettyExpiry</t>
  </si>
  <si>
    <t>`${MONTHS[m − 1]} ${d} ${y}`   if y and m and d
'unknown expiry'   otherwise</t>
  </si>
  <si>
    <t>`${MONTHS[m minus 1]} ${d} ${y}` — when y and m and d; 'unknown expiry' — otherwise.</t>
  </si>
  <si>
    <t>iso: string | null | undefined</t>
  </si>
  <si>
    <t>MK-CF-F-132 map → MK-XS-F-146 prettyExpiry</t>
  </si>
  <si>
    <t>MK-XS-F-147</t>
  </si>
  <si>
    <t>call</t>
  </si>
  <si>
    <t>url = relay url()
token = await current id token()
data = await res.json().catch(() =&gt; nothing)
the answer = data as T</t>
  </si>
  <si>
    <t>Url is relay url(). Token is await current id token(). Data is await res.json().catch(() =&gt; no answer). The answer is data as T.</t>
  </si>
  <si>
    <t>1. action: string
2. params: Record&lt;string, unknown&gt; = {}</t>
  </si>
  <si>
    <t>Promise&lt;T&gt;</t>
  </si>
  <si>
    <t>1. MK-ST-F-027 accountId
2. MK-XS-F-064 currentIdToken
3. MK-XS-F-112 relayUrl</t>
  </si>
  <si>
    <t>1. MK-ST-F-027 accountId → MK-XS-F-147 call
2. MK-XS-F-064 currentIdToken → MK-XS-F-147 call
3. MK-XS-F-112 relayUrl → MK-XS-F-147 call</t>
  </si>
  <si>
    <t>MK-XS-F-148</t>
  </si>
  <si>
    <t>unwrapActivities</t>
  </si>
  <si>
    <t>SnapTrade wraps this endpoint in a pagination envelope {data, pagination:{total}} — LIVE-VERIFIED 2026-07-19 against a real E*TRADE connection (their docs' examples show a bare array; production does not).</t>
  </si>
  <si>
    <t>batch = raw
total = nothing   when array.is array(raw)
data = (raw as { data?: unknown } | nothing | undefined).data
total = (raw as { pagination?: { total?: number } } | nothing | undefined).pagination.total
the answer:
batch = data as st activity[]   if array.is array(data)
[]   otherwise
total = total   if total is a number
nothing   otherwise</t>
  </si>
  <si>
    <t>When array.is array(raw), it answers batch = raw; total is missing. Data is (raw as { data?: unknown } | no answer | undefined).data. Total is (raw as { pagination?: { total?: number } } | no answer | undefined).pagination.total. The answer is batch = data as st activity[] — when array.is array(data); [] — otherwise; total = total — when total is a number; no answer — otherwise.</t>
  </si>
  <si>
    <t>raw: unknown</t>
  </si>
  <si>
    <t>MK-XS-F-149</t>
  </si>
  <si>
    <t>allActivities</t>
  </si>
  <si>
    <t>1. accountId: string
2. startDate?: string</t>
  </si>
  <si>
    <t>Promise&lt;StActivity[]&gt;</t>
  </si>
  <si>
    <t>· Uses a built-in page of 0.</t>
  </si>
  <si>
    <t>1. MK-ST-F-027 accountId
2. MK-XS-F-148 unwrapActivities</t>
  </si>
  <si>
    <t>1. MK-ST-F-027 accountId → MK-XS-F-149 allActivities
2. MK-XS-F-148 unwrapActivities → MK-XS-F-149 allActivities</t>
  </si>
  <si>
    <t>MK-XS-F-170</t>
  </si>
  <si>
    <t>daysSince</t>
  </si>
  <si>
    <t>nothing   when iso is missing
t = date.parse(string(iso))
the answer:
nothing   if number.is na n(t)
max(0, round down((now − t) ÷ 86400000))   otherwise</t>
  </si>
  <si>
    <t>When iso is missing, it answers no answer. T is date.parse(string(iso)). The answer is no answer — when number.is na n(t); (now minus t, rounded down divided by 86400000, never below zero) — otherwise.</t>
  </si>
  <si>
    <t>1. iso: string | null | undefined
2. now: number</t>
  </si>
  <si>
    <t>MK-XS-F-171</t>
  </si>
  <si>
    <t>numOrNaN</t>
  </si>
  <si>
    <t>n = parse float(string(v ?? '').replace( ÷ [$,%\s] ÷ g, '').replace( ÷ [()] ÷ g, ''))
the answer:
n   if number.is finite(n)
na n   otherwise</t>
  </si>
  <si>
    <t>N is parse float(string(v ?? '').replace( divided by [$,%\s] divided by g, '').replace( divided by [()] divided by g, '')). The answer is n — when number.is finite(n); na n — otherwise.</t>
  </si>
  <si>
    <t>MK-XS-F-122 n → MK-XS-F-171 numOrNaN</t>
  </si>
  <si>
    <t>MK-XS-F-172</t>
  </si>
  <si>
    <t>assetClassForSymbol</t>
  </si>
  <si>
    <t>B7 (founder brief 2026-08-20): classification lives in the ONE function — this road only adapts.</t>
  </si>
  <si>
    <t>classify holding class({ ticker: symbol, name, has security identity: true }).cls</t>
  </si>
  <si>
    <t>classify holding class({ ticker: symbol, name, has security identity: true }).cls.</t>
  </si>
  <si>
    <t>1. symbol: string
2. name = ''</t>
  </si>
  <si>
    <t>MK-ST-F-011 classifyHoldingClass</t>
  </si>
  <si>
    <t>1. MK-ST-F-011 classifyHoldingClass
2. MK-ST-F-010 nameEvidence
3. MK-XS-F-147 call
4. MK-ST-F-056 has
5. MK-CF-F-132 map
6. MK-ST-F-027 accountId
7. MK-XS-F-064 currentIdToken
8. MK-XS-F-112 relayUrl</t>
  </si>
  <si>
    <t>1. MK-ST-F-027 accountId → MK-XS-F-147 call → MK-ST-F-010 nameEvidence → MK-ST-F-011 classifyHoldingClass → MK-XS-F-172 assetClassForSymbol
2. MK-XS-F-064 currentIdToken → MK-XS-F-147 call → MK-ST-F-010 nameEvidence → MK-ST-F-011 classifyHoldingClass → MK-XS-F-172 assetClassForSymbol
3. MK-XS-F-112 relayUrl → MK-XS-F-147 call → MK-ST-F-010 nameEvidence → MK-ST-F-011 classifyHoldingClass → MK-XS-F-172 assetClassForSymbol
4. MK-ST-F-056 has → MK-ST-F-010 nameEvidence → MK-ST-F-011 classifyHoldingClass → MK-XS-F-172 assetClassForSymbol
5. MK-CF-F-132 map → MK-ST-F-010 nameEvidence → MK-ST-F-011 classifyHoldingClass → MK-XS-F-172 assetClassForSymbol</t>
  </si>
  <si>
    <t>MK-XS-F-173</t>
  </si>
  <si>
    <t>getOrCreateKey</t>
  </si>
  <si>
    <t>src/store/secureStorage.ts</t>
  </si>
  <si>
    <t>cached key   when cached key
key = await secure get(KEY_NAME)
the answer = key
raw = await async storage.get item(name)
nothing   when raw = nothing
raw   when !raw.starts with(PREFIX)
key = await get or create key()
plain = crypto js.AES.decrypt(raw.slice(PREFIX.length), key).to string(crypto js.enc.utf8)
key = await get or create key()
cipher = crypto js.AES.encrypt(value, key).to string()</t>
  </si>
  <si>
    <t>When cached key, it answers cached key. Key is await secure get(KEY_NAME). The answer is key. Raw is await async storage.get item(name). When raw is missing, it answers no answer. When !raw.starts with(PREFIX), it answers raw. Key is await get or create key(). Plain is crypto js.AES.decrypt(raw.slice(PREFIX.length), key).to string(crypto js.enc.utf8). Key is await get or create key(). Cipher is crypto js.AES.encrypt(value, key).to string().</t>
  </si>
  <si>
    <t>1. MK-XS-F-135 secureGet
2. MK-XS-F-136 secureSet</t>
  </si>
  <si>
    <t>1. MK-XS-F-135 secureGet → MK-XS-F-173 getOrCreateKey
2. MK-XS-F-136 secureSet → MK-XS-F-173 getOrCreateKey</t>
  </si>
  <si>
    <t>MK-XS-F-174</t>
  </si>
  <si>
    <t>recomputeBalances</t>
  </si>
  <si>
    <t>src/store/useStore.ts</t>
  </si>
  <si>
    <t>Recompute the cached `balance` of every ledger-managed account = cash sleeve + Σ(position × live price).</t>
  </si>
  <si>
    <t>a   when source = 'connected'
ledger managed = derive balance = true (or cash balance ≠ nothing when missing or zero)
a   when ledger managed is missing
mv = (positions ?? []).reduce((t, p) =&gt; { const px = latest close(cache[ticker.trim().to upper case()]); return t + (px = nothing ? cost basis(p) : market value(p, px)); }, 0)
the answer:
...a = ...a
balance = round((cash balance or 0) + mv, 2 dp)</t>
  </si>
  <si>
    <t>When source = 'connected', it answers a. Ledger managed is derive balance = true (or cash balance is not no answer — when missing or zero). When ledger managed is missing, it answers a. Mv is (positions ?? []).reduce((t, p) =&gt; { const px = latest close(cache[ticker.trim().to upper case()]); return t plus (px is missing ? cost basis(p) : market value(p, px)); }, 0). The answer is ...a = ...a; balance = (cash balance or 0) plus mv, to the cent.</t>
  </si>
  <si>
    <t>1. accs: AssetAccount[]
2. cache: Record&lt;string, PriceSeries&gt;</t>
  </si>
  <si>
    <t>1. MK-ST-F-028 buildDayFromAccounts
2. MK-PF-F-002 costBasis
3. MK-CF-F-038 debtsFromOnboarding
4. MK-PF-F-009 latestClose
5. MK-CF-F-132 map
6. MK-PF-F-004 marketValue
7. MK-ST-F-030 record
8. MK-XS-F-024 resolveLens
9. MK-ST-F-055 round2
10. MK-ST-F-044 setMoneyFormat</t>
  </si>
  <si>
    <t>1. MK-ST-F-028 buildDayFromAccounts
2. MK-PF-F-002 costBasis
3. MK-CF-F-038 debtsFromOnboarding
4. MK-PF-F-009 latestClose
5. MK-CF-F-132 map
6. MK-PF-F-004 marketValue
7. MK-ST-F-030 record
8. MK-XS-F-024 resolveLens
9. MK-ST-F-055 round2
10. MK-ST-F-044 setMoneyFormat
11. MK-PF-F-031 contractMultiplier
12. MK-CF-F-037 inferDebtType
13. MK-ST-F-043 newEntityId
14. MK-ST-F-052 toNum
15. MK-XS-F-175 uid
16. MK-PF-F-001 totalShares
17. MK-CF-F-072 currentRetirementIncomeMonthly
18. MK-ST-F-053 money
19. MK-XS-F-122 n
20. MK-ST-F-027 accountId
21. MK-CF-F-111 applyTransaction
22. MK-NW-F-040 assetsFromOnboarding
23. MK-PF-F-013 benchmarkTicker
24. MK-PF-F-034 closeOnOrBefore
25. MK-CF-F-186 convertTakeHomeMode
26. MK-XS-F-083 fetchPriceSeries
27. MK-PL-F-013 goalsFromOnboarding
28. MK-ST-F-056 has
29. MK-CF-F-116 inverseOf
30. MK-ST-F-065 isoLocalDate
31. MK-CF-F-112 makeTransaction
32. MK-XS-F-006 pruneDaily
33. MK-ST-F-073 rebuildDays
34. MK-NW-F-054 reclassifyAccounts
35. MK-CF-F-115 restoreUndo
36. MK-CF-F-109 reviewTransactions
37. MK-CF-F-114 undoSnapshot
38. MK-CF-F-191 ym
39. MK-CF-F-075 retirementIncomeMonthly
40. MK-ST-F-049 formatMoney
41. MK-CF-F-138 addLot
42. MK-CF-F-136 bumpCash
43. MK-CF-F-137 findPos
44. MK-CF-F-139 removeShares
45. MK-CF-F-085 filingStatusOf
46. MK-CF-F-097 grossFromNet
47. MK-CF-F-185 needsTakeHomeConversion
48. MK-CF-F-089 over65CountOf
49. MK-ST-F-069 amountOf
50. MK-CF-F-133 cashOf
51. MK-ST-F-066 isDayKey
52. MK-ST-F-070 isOpening
53. MK-ST-F-071 rebuildableFrom
54. MK-ST-F-068 stepDay
55. MK-ST-F-072 undo
56. MK-NW-F-053 correctClassOf
57. MK-NW-F-008 incomeBearingClassOf
58. MK-CF-F-162 daysApart
59. MK-CF-F-108 isMoneyOut
60. MK-PL-F-074 median
61. MK-CF-F-131 normPayee
62. MK-CF-F-113 affectedAccountIds
63. MK-ST-F-048 currencySymbol
64. MK-ST-F-039 on
65. MK-CF-F-134 usesSleeve
66. MK-CF-F-101 taxOwedFor
67. MK-ST-F-067 utcOfDay
68. MK-CF-F-155 cash
69. MK-ST-F-035 covers
70. MK-NW-F-009 maturityClass
71. MK-ST-F-010 nameEvidence
72. MK-ST-F-047 activeCurrency
73. MK-CF-F-100 taxableIncomeFor
74. MK-ST-F-034 firstDate
75. MK-XS-F-147 call
76. MK-CF-F-099 deductionFor
77. MK-XS-F-064 currentIdToken
78. MK-XS-F-112 relayUrl
79. MK-CF-F-187 seniorDeductionFor</t>
  </si>
  <si>
    <t>1. MK-ST-F-028 buildDayFromAccounts → MK-XS-F-174 recomputeBalances
2. MK-PF-F-031 contractMultiplier → MK-PF-F-002 costBasis → MK-XS-F-174 recomputeBalances
3. MK-CF-F-037 inferDebtType → MK-CF-F-038 debtsFromOnboarding → MK-XS-F-174 recomputeBalances
4. MK-ST-F-043 newEntityId → MK-CF-F-038 debtsFromOnboarding → MK-XS-F-174 recomputeBalances
5. MK-XS-F-122 n → MK-ST-F-052 toNum → MK-CF-F-038 debtsFromOnboarding → MK-XS-F-174 recomputeBalances
6. MK-ST-F-027 accountId → MK-XS-F-175 uid → MK-CF-F-038 debtsFromOnboarding → MK-XS-F-174 recomputeBalances
7. MK-CF-F-137 findPos → MK-CF-F-138 addLot → MK-CF-F-111 applyTransaction → MK-XS-F-175 uid → MK-CF-F-038 debtsFromOnboarding → MK-XS-F-174 recomputeBalances
8. MK-CF-F-132 map → MK-CF-F-138 addLot → MK-CF-F-111 applyTransaction → MK-XS-F-175 uid → MK-CF-F-038 debtsFromOnboarding → MK-XS-F-174 recomputeBalances
9. … and 5 more paths</t>
  </si>
  <si>
    <t>MK-XS-F-175</t>
  </si>
  <si>
    <t>uid</t>
  </si>
  <si>
    <t>math.random().to string(36).slice(2, 10) + date.now().to string(36)
{}   when f is missing
{}   when goals seeded
goals seeded = true   when count of fresh is missing
a   when it is missing
g   when it is missing
{}   when reclassify version = RECLASSIFY_VERSION
{}   when count of linked is missing
rebuilt from = out.start by account
rebuilt at = the date ).to isostring(   when count of out.days is missing
{}   when prev is missing
r   when active is missing
[LOOP — the answer is found inside a loop the extractor cannot render; the steps above are the ones before it. Read by hand.]
… the first steps only — the rest of the body needs reading by hand.</t>
  </si>
  <si>
    <t>math.random().to string(36).slice(2, 10) plus date.now().to string(36). When f is missing, it answers {}. When goals seeded, it answers {}. When how many fresh is missing there are, it answers goals seeded = true. When it is missing, it answers a. When it is missing, it answers g. When reclassify version = RECLASSIFY_VERSION, it answers {}. When how many linked is missing there are, it answers {}. When how many out.days is missing there are, it answers rebuilt from = out.start by account; rebuilt at = the date ).to isostring(. When prev is missing, it answers {}. When active is missing, it answers r. The answer is found inside a loop that cannot be rendered here; read the code by hand. Only the first steps are shown; the rest of the body needs reading by hand.</t>
  </si>
  <si>
    <t>1. Nothing is handed to it
2. reads the app's stored data</t>
  </si>
  <si>
    <t>1. If length is missing it uses 0.
2. If change amount is missing it uses 0.
3. If allocated by month[ym] is missing it uses 0.
4. If ym] is missing it uses 0.
5. If saved is missing it counts as zero, so nothing recorded and a real zero look the same.
6. Uses a built-in total of 0.
7. Uses today's date from the device clock, so the answer changes by itself overnight.
8. Rounds the answer to two decimals (cents).</t>
  </si>
  <si>
    <t>1. MK-ST-F-027 accountId
2. MK-CF-F-111 applyTransaction
3. MK-NW-F-040 assetsFromOnboarding
4. MK-PF-F-013 benchmarkTicker
5. MK-ST-F-028 buildDayFromAccounts
6. MK-PF-F-034 closeOnOrBefore
7. MK-CF-F-186 convertTakeHomeMode
8. MK-CF-F-038 debtsFromOnboarding
9. MK-XS-F-083 fetchPriceSeries
10. MK-PL-F-013 goalsFromOnboarding
11. MK-ST-F-056 has
12. MK-CF-F-116 inverseOf
13. MK-ST-F-065 isoLocalDate
14. MK-CF-F-112 makeTransaction
15. MK-CF-F-132 map
16. MK-XS-F-122 n
17. MK-ST-F-043 newEntityId
18. MK-XS-F-006 pruneDaily
19. MK-ST-F-073 rebuildDays
20. MK-NW-F-054 reclassifyAccounts
21. MK-XS-F-174 recomputeBalances
22. MK-CF-F-115 restoreUndo
23. MK-CF-F-109 reviewTransactions
24. MK-ST-F-044 setMoneyFormat
25. MK-CF-F-114 undoSnapshot
26. MK-CF-F-191 ym</t>
  </si>
  <si>
    <t>1. MK-ST-F-027 accountId
2. MK-CF-F-111 applyTransaction
3. MK-NW-F-040 assetsFromOnboarding
4. MK-PF-F-013 benchmarkTicker
5. MK-ST-F-028 buildDayFromAccounts
6. MK-PF-F-034 closeOnOrBefore
7. MK-CF-F-186 convertTakeHomeMode
8. MK-CF-F-038 debtsFromOnboarding
9. MK-XS-F-083 fetchPriceSeries
10. MK-PL-F-013 goalsFromOnboarding
11. MK-ST-F-056 has
12. MK-CF-F-116 inverseOf
13. MK-ST-F-065 isoLocalDate
14. MK-CF-F-112 makeTransaction
15. MK-CF-F-132 map
16. MK-XS-F-122 n
17. MK-ST-F-043 newEntityId
18. MK-XS-F-006 pruneDaily
19. MK-ST-F-073 rebuildDays
20. MK-NW-F-054 reclassifyAccounts
21. MK-XS-F-174 recomputeBalances
22. MK-CF-F-115 restoreUndo
23. MK-CF-F-109 reviewTransactions
24. MK-ST-F-044 setMoneyFormat
25. MK-CF-F-114 undoSnapshot
26. MK-CF-F-191 ym
27. MK-CF-F-138 addLot
28. MK-CF-F-136 bumpCash
29. MK-CF-F-137 findPos
30. MK-CF-F-139 removeShares
31. MK-PF-F-001 totalShares
32. MK-ST-F-052 toNum
33. MK-ST-F-053 money
34. MK-CF-F-085 filingStatusOf
35. MK-CF-F-097 grossFromNet
36. MK-CF-F-185 needsTakeHomeConversion
37. MK-CF-F-089 over65CountOf
38. MK-CF-F-037 inferDebtType
39. MK-ST-F-069 amountOf
40. MK-CF-F-133 cashOf
41. MK-ST-F-066 isDayKey
42. MK-ST-F-070 isOpening
43. MK-ST-F-071 rebuildableFrom
44. MK-ST-F-068 stepDay
45. MK-ST-F-072 undo
46. MK-NW-F-053 correctClassOf
47. MK-NW-F-008 incomeBearingClassOf
48. MK-PF-F-002 costBasis
49. MK-PF-F-009 latestClose
50. MK-PF-F-004 marketValue
51. MK-ST-F-030 record
52. MK-XS-F-024 resolveLens
53. MK-ST-F-055 round2
54. MK-CF-F-162 daysApart
55. MK-CF-F-108 isMoneyOut
56. MK-PL-F-074 median
57. MK-CF-F-131 normPayee
58. MK-CF-F-113 affectedAccountIds
59. MK-CF-F-134 usesSleeve
60. MK-ST-F-049 formatMoney
61. MK-CF-F-101 taxOwedFor
62. MK-ST-F-067 utcOfDay
63. MK-CF-F-155 cash
64. MK-ST-F-035 covers
65. MK-NW-F-009 maturityClass
66. MK-ST-F-010 nameEvidence
67. MK-PF-F-031 contractMultiplier
68. MK-CF-F-072 currentRetirementIncomeMonthly
69. MK-ST-F-048 currencySymbol
70. MK-ST-F-039 on
71. MK-CF-F-100 taxableIncomeFor
72. MK-ST-F-034 firstDate
73. MK-XS-F-147 call
74. MK-CF-F-075 retirementIncomeMonthly
75. MK-ST-F-047 activeCurrency
76. MK-CF-F-099 deductionFor
77. MK-XS-F-064 currentIdToken
78. MK-XS-F-112 relayUrl
79. MK-CF-F-187 seniorDeductionFor</t>
  </si>
  <si>
    <t>1. MK-ST-F-027 accountId → MK-XS-F-175 uid
2. MK-CF-F-137 findPos → MK-CF-F-138 addLot → MK-CF-F-111 applyTransaction → MK-XS-F-175 uid
3. MK-CF-F-132 map → MK-CF-F-138 addLot → MK-CF-F-111 applyTransaction → MK-XS-F-175 uid
4. MK-ST-F-043 newEntityId → MK-CF-F-138 addLot → MK-CF-F-111 applyTransaction → MK-XS-F-175 uid
5. MK-CF-F-134 usesSleeve → MK-CF-F-136 bumpCash → MK-CF-F-111 applyTransaction → MK-XS-F-175 uid
6. MK-CF-F-137 findPos → MK-CF-F-111 applyTransaction → MK-XS-F-175 uid
7. MK-CF-F-132 map → MK-CF-F-111 applyTransaction → MK-XS-F-175 uid
8. MK-CF-F-137 findPos → MK-CF-F-139 removeShares → MK-CF-F-111 applyTransaction → MK-XS-F-175 uid
9. … and 5 more paths</t>
  </si>
  <si>
    <t>MK-XS-F-176</t>
  </si>
  <si>
    <t>useMonthlyStats</t>
  </si>
  <si>
    <t>── Selectors ──────────────────────────────────────────────────────────</t>
  </si>
  <si>
    <t>now = new date()
d = the date date
the answer = to date string() = now.to date string()
week ago = the date now.get time() − 7 × 86400000
period income = Σ over incomes where filter by period(date) of (amount)
period spend = Σ over expenses where filter by period(date) of (amount)
period savings = Σ over savings where filter by period(date) of (amount)
total savings = Σ over savings of (amount)
remaining = period income − period spend − period savings
pct spent = min((period spend ÷ period income) × 100, 100)   if period income &gt; 0
0   otherwise
is over budget = period spend + period savings &gt; period income and period income &gt; 0
… the first steps only — the rest of the body needs reading by hand.</t>
  </si>
  <si>
    <t>Now is new date(). D: the date date. The answer is to date string() = now.to date string(). Week ago: the date now.get time() minus 7 times 86400000. Period income: the amount added up across incomes where filter by period(date). Period spend: the amount added up across expenses where filter by period(date). Period savings: the amount added up across savings where filter by period(date). Total savings: the amount added up across savings. Remaining is period income minus period spend minus period savings. Pct spent: the smaller of (period spend divided by period income) times 100 and 100 — when period income &gt; 0; 0 — otherwise. Is over budget is period spend plus period savings &gt; period income and period income &gt; 0. Only the first steps are shown; the rest of the body needs reading by hand.</t>
  </si>
  <si>
    <t>MK-XS-F-177</t>
  </si>
  <si>
    <t>useCategorySpend</t>
  </si>
  <si>
    <t>now = new date()
d = the date date
to date string() = now.to date string()   when budget frequency = 'daily'
d ≥ new date(now.get time() − 7 × 86400000)   when budget frequency = 'weekly'
the answer = get full year() = now.get full year() and get month() = now.get month()
map = {}</t>
  </si>
  <si>
    <t>Now is new date(). D: the date date. When budget frequency = 'daily', it answers to date string() = now.to date string(). When budget frequency = 'weekly', it answers d is at least new date(now.get time() minus 7 times 86400000). The answer is get full year() = now.get full year() and get month() = now.get month(). Map is {}.</t>
  </si>
  <si>
    <t>1. If category] is missing it counts as zero, so nothing recorded and a real zero look the same.
2. Uses today's date from the device clock, so the answer changes by itself overnight.</t>
  </si>
  <si>
    <t>MK-CF-F-132 map → MK-XS-F-177 useCategorySpend</t>
  </si>
  <si>
    <t>MK-XS-F-178</t>
  </si>
  <si>
    <t>useLevel</t>
  </si>
  <si>
    <t>xp = use store((s) =&gt; xp)
current = levels[0], next = levels[1]
pct = min(((xp − current.min) ÷ (next.min − current.min)) × 100, 100)   if next.min &gt; current.min
100   otherwise
the answer = { ...current, next, xp, pct }</t>
  </si>
  <si>
    <t>Xp is use store((s) =&gt; xp). Current is levels[0], next = levels[1]. Pct: the smaller of ((xp minus current.min) divided by (next.min minus current.min)) times 100 and 100 — when next.min &gt; current.min; 100 — otherwise. The answer is { ...current, next, xp, pct }.</t>
  </si>
  <si>
    <t>MK-XS-F-179</t>
  </si>
  <si>
    <t>ageToday</t>
  </si>
  <si>
    <t>THE AGE A SCREEN SHOWS AND THE PLAN RUNS ON — G9 (founder, 2026-09-12: "ask for it"): the birthday-aware age when the birth month is known (the onboarding asks for it), otherwise the age attained in the calendar year (this year − birth year), and NOTHING when the birth year is unknown — never a stand-in month, never a stand-in age.</t>
  </si>
  <si>
    <t>y = number(birth year); if (!y or !number.is finite(y)) return nothing
m = birth month read as a number
current age(y, m, as of)   when m ≥ 1 and m ≤ 12
the answer = as of.get full year() − y</t>
  </si>
  <si>
    <t>Y is number(birth year); — when (!y or !number.is finite(y)) return no answer. M is birth month read as a number. When m is at least 1 and m is at most 12, it answers current age(y, m, as of). The answer is as of.get full year() minus y.</t>
  </si>
  <si>
    <t>1. birthYear: number | null | undefined
2. birthMonth: number | null | undefined
3. asOf: Date = new Date()</t>
  </si>
  <si>
    <t>1. Uses today's date from the device clock, so the answer changes by itself overnight.
2. G9 (founder, 2026-09-12): birthday-aware when the birth month is known (the onboarding asks for it), the year-attained age when only the year is known, nothing when the birth year is unknown — never a stand-in month or age. Limits use the year-attained age instead (G1).</t>
  </si>
  <si>
    <t>MK-XS-F-017 currentAge</t>
  </si>
  <si>
    <t>MK-XS-F-017 currentAge → MK-XS-F-179 ageToday</t>
  </si>
  <si>
    <t>MK-XS-F-180</t>
  </si>
  <si>
    <t>declareFigures</t>
  </si>
  <si>
    <t>MoneyKeel/functions/_figure-spec.ts</t>
  </si>
  <si>
    <t>Declare the figures a door hands out.</t>
  </si>
  <si>
    <t>f: T</t>
  </si>
  <si>
    <t>MK-XS-F-181</t>
  </si>
  <si>
    <t>merge</t>
  </si>
  <si>
    <t>MoneyKeel/functions/figures.ts</t>
  </si>
  <si>
    <t>out = {}
from = {}
the answer = out</t>
  </si>
  <si>
    <t>Out is {}. From is {}. The answer is out.</t>
  </si>
  <si>
    <t>Record&lt;string, FigureSpec&gt;</t>
  </si>
  <si>
    <t>MK-CF-F-132 map → MK-XS-F-181 merge</t>
  </si>
  <si>
    <t>MK-XS-F-182</t>
  </si>
  <si>
    <t>figureSpec</t>
  </si>
  <si>
    <t>The declaration behind an identifier, or a refusal that names the identifier — never a silent blank.</t>
  </si>
  <si>
    <t>spec = FIGURE_REGISTER[id]
the answer = spec</t>
  </si>
  <si>
    <t>Spec is FIGURE_REGISTER[id]. The answer is spec.</t>
  </si>
  <si>
    <t>id: string</t>
  </si>
  <si>
    <t>FigureSpec</t>
  </si>
  <si>
    <t>Functions</t>
  </si>
  <si>
    <t>Handed nothing, and reads no stored data</t>
  </si>
  <si>
    <t>Handed nothing, but reads the stored data</t>
  </si>
  <si>
    <t>Does not declare what it gives back</t>
  </si>
  <si>
    <t>Neither: nothing in, nothing declared out</t>
  </si>
  <si>
    <t>A function handed nothing that reads no stored data has its answer from a constant, the clock, or something the code does not show. A function that does not declare what it gives back cannot be checked for returning the right shape. Both are counted here rather than described.</t>
  </si>
  <si>
    <t>TOTAL</t>
  </si>
  <si>
    <t>Figures</t>
  </si>
  <si>
    <t>Behind one function only</t>
  </si>
  <si>
    <t>Behind 2 to 5 functions</t>
  </si>
  <si>
    <t>Behind more than 5 functions</t>
  </si>
  <si>
    <t>No function on record</t>
  </si>
  <si>
    <t>Counting the function that produces a figure PLUS every function below it. A figure standing on many functions is not wrong, but a wrong one has that many places to have started.</t>
  </si>
  <si>
    <t>Shown on more than one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</si>
</sst>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1F3864"/>
      <name val="Calibri"/>
      <family val="2"/>
    </font>
    <font>
      <b/>
      <sz val="11"/>
      <color rgb="FF9C0006"/>
      <name val="Calibri"/>
      <family val="2"/>
    </font>
    <font>
      <sz val="10"/>
      <name val="Menlo"/>
      <family val="2"/>
    </font>
    <font>
      <b/>
      <sz val="11"/>
      <name val="Calibri"/>
      <family val="2"/>
    </font>
    <font>
      <b/>
      <sz val="11"/>
      <color rgb="FFFFFFFF"/>
      <name val="Calibri"/>
      <family val="2"/>
    </font>
  </fonts>
  <fills count="7">
    <fill>
      <patternFill patternType="none"/>
    </fill>
    <fill>
      <patternFill patternType="gray125"/>
    </fill>
    <fill>
      <patternFill patternType="solid">
        <fgColor rgb="FFE2EFDA"/>
      </patternFill>
    </fill>
    <fill>
      <patternFill patternType="solid">
        <fgColor rgb="FFFFF2CC"/>
      </patternFill>
    </fill>
    <fill>
      <patternFill patternType="solid">
        <fgColor rgb="FFFCE4D6"/>
      </patternFill>
    </fill>
    <fill>
      <patternFill patternType="solid">
        <fgColor rgb="FFDDEBF7"/>
      </patternFill>
    </fill>
    <fill>
      <patternFill patternType="solid">
        <fgColor rgb="FF1F4E78"/>
      </patternFill>
    </fill>
  </fills>
  <borders count="1">
    <border>
      <left/>
      <right/>
      <top/>
      <bottom/>
      <diagonal/>
    </border>
  </borders>
  <cellStyleXfs count="1">
    <xf numFmtId="0" fontId="0" fillId="0" borderId="0"/>
  </cellStyleXfs>
  <cellXfs count="12">
    <xf numFmtId="0" fontId="0" fillId="0" borderId="0" xfId="0"/>
    <xf numFmtId="0" fontId="5" fillId="6" borderId="0" xfId="0" applyFont="1" applyFill="1" applyAlignment="1">
      <alignment vertical="center" wrapText="1"/>
    </xf>
    <xf numFmtId="0" fontId="4" fillId="3" borderId="0" xfId="0" applyFont="1" applyFill="1" applyAlignment="1">
      <alignment vertical="top" wrapText="1"/>
    </xf>
    <xf numFmtId="0" fontId="0" fillId="0" borderId="0" xfId="0" applyAlignment="1">
      <alignment vertical="top" wrapText="1"/>
    </xf>
    <xf numFmtId="0" fontId="4" fillId="0" borderId="0" xfId="0" applyFont="1" applyAlignment="1">
      <alignment vertical="top" wrapText="1"/>
    </xf>
    <xf numFmtId="0" fontId="1" fillId="0" borderId="0" xfId="0" applyFont="1"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6"/>
  <sheetViews>
    <sheetView tabSelected="1" workbookViewId="0">
      <pane ySplit="1" topLeftCell="A2" activePane="bottomLeft" state="frozen"/>
      <selection pane="bottomLeft"/>
    </sheetView>
  </sheetViews>
  <sheetFormatPr baseColWidth="10" defaultColWidth="8.83203125" defaultRowHeight="15" x14ac:dyDescent="0.2"/>
  <cols>
    <col min="1" max="1" width="46" customWidth="1"/>
    <col min="2" max="2" width="52" customWidth="1"/>
  </cols>
  <sheetData>
    <row r="1" spans="1:2" ht="15" customHeight="1" x14ac:dyDescent="0.2">
      <c r="A1" s="1" t="s">
        <v>0</v>
      </c>
      <c r="B1" s="1" t="s">
        <v>1</v>
      </c>
    </row>
    <row r="2" spans="1:2" ht="60" customHeight="1" x14ac:dyDescent="0.2">
      <c r="A2" s="2" t="s">
        <v>2</v>
      </c>
      <c r="B2" s="3" t="s">
        <v>3</v>
      </c>
    </row>
    <row r="3" spans="1:2" ht="60" customHeight="1" x14ac:dyDescent="0.2">
      <c r="A3" s="4" t="s">
        <v>4</v>
      </c>
      <c r="B3" s="3" t="s">
        <v>5</v>
      </c>
    </row>
    <row r="4" spans="1:2" ht="15" customHeight="1" x14ac:dyDescent="0.2">
      <c r="A4" s="4" t="s">
        <v>6</v>
      </c>
      <c r="B4" s="3" t="s">
        <v>7</v>
      </c>
    </row>
    <row r="5" spans="1:2" ht="30" customHeight="1" x14ac:dyDescent="0.2">
      <c r="A5" s="4" t="s">
        <v>8</v>
      </c>
      <c r="B5" s="3" t="s">
        <v>9</v>
      </c>
    </row>
    <row r="6" spans="1:2" ht="60" customHeight="1" x14ac:dyDescent="0.2">
      <c r="A6" s="4" t="s">
        <v>10</v>
      </c>
      <c r="B6" s="3" t="s">
        <v>11</v>
      </c>
    </row>
    <row r="7" spans="1:2" ht="15" customHeight="1" x14ac:dyDescent="0.2">
      <c r="A7" s="4"/>
      <c r="B7" s="3"/>
    </row>
    <row r="8" spans="1:2" ht="60" customHeight="1" x14ac:dyDescent="0.2">
      <c r="A8" s="4" t="s">
        <v>12</v>
      </c>
      <c r="B8" s="3" t="s">
        <v>13</v>
      </c>
    </row>
    <row r="9" spans="1:2" ht="45" customHeight="1" x14ac:dyDescent="0.2">
      <c r="A9" s="4" t="s">
        <v>14</v>
      </c>
      <c r="B9" s="3" t="s">
        <v>15</v>
      </c>
    </row>
    <row r="10" spans="1:2" ht="60" customHeight="1" x14ac:dyDescent="0.2">
      <c r="A10" s="4" t="s">
        <v>16</v>
      </c>
      <c r="B10" s="3" t="s">
        <v>17</v>
      </c>
    </row>
    <row r="11" spans="1:2" ht="30" customHeight="1" x14ac:dyDescent="0.2">
      <c r="A11" s="4" t="s">
        <v>18</v>
      </c>
      <c r="B11" s="3" t="s">
        <v>19</v>
      </c>
    </row>
    <row r="12" spans="1:2" ht="30" customHeight="1" x14ac:dyDescent="0.2">
      <c r="A12" s="4" t="s">
        <v>20</v>
      </c>
      <c r="B12" s="3" t="s">
        <v>21</v>
      </c>
    </row>
    <row r="13" spans="1:2" ht="30" customHeight="1" x14ac:dyDescent="0.2">
      <c r="A13" s="4" t="s">
        <v>22</v>
      </c>
      <c r="B13" s="3" t="s">
        <v>23</v>
      </c>
    </row>
    <row r="14" spans="1:2" ht="30" customHeight="1" x14ac:dyDescent="0.2">
      <c r="A14" s="4" t="s">
        <v>24</v>
      </c>
      <c r="B14" s="3" t="s">
        <v>25</v>
      </c>
    </row>
    <row r="15" spans="1:2" ht="30" customHeight="1" x14ac:dyDescent="0.2">
      <c r="A15" s="4" t="s">
        <v>26</v>
      </c>
      <c r="B15" s="3" t="s">
        <v>27</v>
      </c>
    </row>
    <row r="16" spans="1:2" ht="30" customHeight="1" x14ac:dyDescent="0.2">
      <c r="A16" s="4" t="s">
        <v>28</v>
      </c>
      <c r="B16" s="3" t="s">
        <v>29</v>
      </c>
    </row>
    <row r="17" spans="1:2" ht="60" customHeight="1" x14ac:dyDescent="0.2">
      <c r="A17" s="4" t="s">
        <v>30</v>
      </c>
      <c r="B17" s="3" t="s">
        <v>31</v>
      </c>
    </row>
    <row r="18" spans="1:2" ht="60" customHeight="1" x14ac:dyDescent="0.2">
      <c r="A18" s="4" t="s">
        <v>32</v>
      </c>
      <c r="B18" s="3" t="s">
        <v>33</v>
      </c>
    </row>
    <row r="19" spans="1:2" ht="60" customHeight="1" x14ac:dyDescent="0.2">
      <c r="A19" s="4" t="s">
        <v>34</v>
      </c>
      <c r="B19" s="3" t="s">
        <v>35</v>
      </c>
    </row>
    <row r="20" spans="1:2" ht="60" customHeight="1" x14ac:dyDescent="0.2">
      <c r="A20" s="4" t="s">
        <v>36</v>
      </c>
      <c r="B20" s="3" t="s">
        <v>37</v>
      </c>
    </row>
    <row r="21" spans="1:2" ht="60" customHeight="1" x14ac:dyDescent="0.2">
      <c r="A21" s="4" t="s">
        <v>38</v>
      </c>
      <c r="B21" s="3" t="s">
        <v>39</v>
      </c>
    </row>
    <row r="22" spans="1:2" ht="60" customHeight="1" x14ac:dyDescent="0.2">
      <c r="A22" s="4" t="s">
        <v>40</v>
      </c>
      <c r="B22" s="3" t="s">
        <v>41</v>
      </c>
    </row>
    <row r="23" spans="1:2" ht="60" customHeight="1" x14ac:dyDescent="0.2">
      <c r="A23" s="4" t="s">
        <v>42</v>
      </c>
      <c r="B23" s="3" t="s">
        <v>43</v>
      </c>
    </row>
    <row r="24" spans="1:2" ht="30" customHeight="1" x14ac:dyDescent="0.2">
      <c r="A24" s="4" t="s">
        <v>44</v>
      </c>
      <c r="B24" s="3" t="s">
        <v>45</v>
      </c>
    </row>
    <row r="25" spans="1:2" ht="15" customHeight="1" x14ac:dyDescent="0.2">
      <c r="A25" s="4"/>
      <c r="B25" s="3"/>
    </row>
    <row r="26" spans="1:2" ht="60" customHeight="1" x14ac:dyDescent="0.2">
      <c r="A26" s="4" t="s">
        <v>46</v>
      </c>
      <c r="B26" s="3" t="s">
        <v>47</v>
      </c>
    </row>
    <row r="27" spans="1:2" ht="30" customHeight="1" x14ac:dyDescent="0.2">
      <c r="A27" s="4" t="s">
        <v>48</v>
      </c>
      <c r="B27" s="3" t="s">
        <v>49</v>
      </c>
    </row>
    <row r="28" spans="1:2" ht="45" customHeight="1" x14ac:dyDescent="0.2">
      <c r="A28" s="4" t="s">
        <v>50</v>
      </c>
      <c r="B28" s="3" t="s">
        <v>51</v>
      </c>
    </row>
    <row r="29" spans="1:2" ht="60" customHeight="1" x14ac:dyDescent="0.2">
      <c r="A29" s="4" t="s">
        <v>52</v>
      </c>
      <c r="B29" s="3" t="s">
        <v>53</v>
      </c>
    </row>
    <row r="30" spans="1:2" ht="60" customHeight="1" x14ac:dyDescent="0.2">
      <c r="A30" s="4" t="s">
        <v>54</v>
      </c>
      <c r="B30" s="3" t="s">
        <v>55</v>
      </c>
    </row>
    <row r="31" spans="1:2" ht="60" customHeight="1" x14ac:dyDescent="0.2">
      <c r="A31" s="4" t="s">
        <v>56</v>
      </c>
      <c r="B31" s="3" t="s">
        <v>57</v>
      </c>
    </row>
    <row r="32" spans="1:2" ht="60" customHeight="1" x14ac:dyDescent="0.2">
      <c r="A32" s="4" t="s">
        <v>58</v>
      </c>
      <c r="B32" s="3" t="s">
        <v>59</v>
      </c>
    </row>
    <row r="33" spans="1:2" ht="45" customHeight="1" x14ac:dyDescent="0.2">
      <c r="A33" s="4" t="s">
        <v>60</v>
      </c>
      <c r="B33" s="3" t="s">
        <v>61</v>
      </c>
    </row>
    <row r="34" spans="1:2" ht="30" customHeight="1" x14ac:dyDescent="0.2">
      <c r="A34" s="4" t="s">
        <v>62</v>
      </c>
      <c r="B34" s="3" t="s">
        <v>63</v>
      </c>
    </row>
    <row r="35" spans="1:2" ht="45" customHeight="1" x14ac:dyDescent="0.2">
      <c r="A35" s="4" t="s">
        <v>64</v>
      </c>
      <c r="B35" s="3" t="s">
        <v>65</v>
      </c>
    </row>
    <row r="36" spans="1:2" ht="45" customHeight="1" x14ac:dyDescent="0.2">
      <c r="A36" s="4" t="s">
        <v>66</v>
      </c>
      <c r="B36" s="3" t="s">
        <v>67</v>
      </c>
    </row>
    <row r="37" spans="1:2" ht="45" customHeight="1" x14ac:dyDescent="0.2">
      <c r="A37" s="4" t="s">
        <v>68</v>
      </c>
      <c r="B37" s="3" t="s">
        <v>69</v>
      </c>
    </row>
    <row r="38" spans="1:2" ht="30" customHeight="1" x14ac:dyDescent="0.2">
      <c r="A38" s="4" t="s">
        <v>70</v>
      </c>
      <c r="B38" s="3" t="s">
        <v>71</v>
      </c>
    </row>
    <row r="39" spans="1:2" ht="30" customHeight="1" x14ac:dyDescent="0.2">
      <c r="A39" s="4" t="s">
        <v>72</v>
      </c>
      <c r="B39" s="3" t="s">
        <v>73</v>
      </c>
    </row>
    <row r="40" spans="1:2" ht="45" customHeight="1" x14ac:dyDescent="0.2">
      <c r="A40" s="4" t="s">
        <v>74</v>
      </c>
      <c r="B40" s="3" t="s">
        <v>75</v>
      </c>
    </row>
    <row r="41" spans="1:2" ht="15" customHeight="1" x14ac:dyDescent="0.2">
      <c r="A41" s="4" t="s">
        <v>76</v>
      </c>
      <c r="B41" s="3" t="s">
        <v>77</v>
      </c>
    </row>
    <row r="42" spans="1:2" ht="45" customHeight="1" x14ac:dyDescent="0.2">
      <c r="A42" s="4" t="s">
        <v>78</v>
      </c>
      <c r="B42" s="3" t="s">
        <v>79</v>
      </c>
    </row>
    <row r="43" spans="1:2" ht="30" customHeight="1" x14ac:dyDescent="0.2">
      <c r="A43" s="4" t="s">
        <v>80</v>
      </c>
      <c r="B43" s="3" t="s">
        <v>81</v>
      </c>
    </row>
    <row r="44" spans="1:2" ht="60" customHeight="1" x14ac:dyDescent="0.2">
      <c r="A44" s="4" t="s">
        <v>82</v>
      </c>
      <c r="B44" s="3" t="s">
        <v>83</v>
      </c>
    </row>
    <row r="45" spans="1:2" ht="45" customHeight="1" x14ac:dyDescent="0.2">
      <c r="A45" s="4" t="s">
        <v>84</v>
      </c>
      <c r="B45" s="3" t="s">
        <v>85</v>
      </c>
    </row>
    <row r="46" spans="1:2" ht="30" customHeight="1" x14ac:dyDescent="0.2">
      <c r="A46" s="4" t="s">
        <v>86</v>
      </c>
      <c r="B46" s="3" t="s">
        <v>87</v>
      </c>
    </row>
    <row r="47" spans="1:2" ht="15" customHeight="1" x14ac:dyDescent="0.2">
      <c r="A47" s="4" t="s">
        <v>88</v>
      </c>
      <c r="B47" s="3" t="s">
        <v>89</v>
      </c>
    </row>
    <row r="48" spans="1:2" ht="60" customHeight="1" x14ac:dyDescent="0.2">
      <c r="A48" s="4" t="s">
        <v>90</v>
      </c>
      <c r="B48" s="3" t="s">
        <v>91</v>
      </c>
    </row>
    <row r="49" spans="1:2" ht="60" customHeight="1" x14ac:dyDescent="0.2">
      <c r="A49" s="4" t="s">
        <v>92</v>
      </c>
      <c r="B49" s="3" t="s">
        <v>93</v>
      </c>
    </row>
    <row r="50" spans="1:2" ht="45" customHeight="1" x14ac:dyDescent="0.2">
      <c r="A50" s="4" t="s">
        <v>48</v>
      </c>
      <c r="B50" s="3" t="s">
        <v>94</v>
      </c>
    </row>
    <row r="51" spans="1:2" ht="60" customHeight="1" x14ac:dyDescent="0.2">
      <c r="A51" s="4" t="s">
        <v>95</v>
      </c>
      <c r="B51" s="3" t="s">
        <v>96</v>
      </c>
    </row>
    <row r="52" spans="1:2" ht="60" customHeight="1" x14ac:dyDescent="0.2">
      <c r="A52" s="4" t="s">
        <v>97</v>
      </c>
      <c r="B52" s="3" t="s">
        <v>98</v>
      </c>
    </row>
    <row r="53" spans="1:2" ht="60" customHeight="1" x14ac:dyDescent="0.2">
      <c r="A53" s="4" t="s">
        <v>99</v>
      </c>
      <c r="B53" s="3" t="s">
        <v>100</v>
      </c>
    </row>
    <row r="54" spans="1:2" ht="60" customHeight="1" x14ac:dyDescent="0.2">
      <c r="A54" s="4" t="s">
        <v>101</v>
      </c>
      <c r="B54" s="3" t="s">
        <v>102</v>
      </c>
    </row>
    <row r="55" spans="1:2" ht="60" customHeight="1" x14ac:dyDescent="0.2">
      <c r="A55" s="4" t="s">
        <v>103</v>
      </c>
      <c r="B55" s="3" t="s">
        <v>104</v>
      </c>
    </row>
    <row r="56" spans="1:2" ht="60" customHeight="1" x14ac:dyDescent="0.2">
      <c r="A56" s="4" t="s">
        <v>105</v>
      </c>
      <c r="B56" s="3" t="s">
        <v>106</v>
      </c>
    </row>
    <row r="57" spans="1:2" ht="45" customHeight="1" x14ac:dyDescent="0.2">
      <c r="A57" s="4" t="s">
        <v>107</v>
      </c>
      <c r="B57" s="3" t="s">
        <v>108</v>
      </c>
    </row>
    <row r="58" spans="1:2" ht="60" customHeight="1" x14ac:dyDescent="0.2">
      <c r="A58" s="4" t="s">
        <v>109</v>
      </c>
      <c r="B58" s="3" t="s">
        <v>110</v>
      </c>
    </row>
    <row r="59" spans="1:2" ht="60" customHeight="1" x14ac:dyDescent="0.2">
      <c r="A59" s="4" t="s">
        <v>111</v>
      </c>
      <c r="B59" s="3" t="s">
        <v>112</v>
      </c>
    </row>
    <row r="60" spans="1:2" ht="60" customHeight="1" x14ac:dyDescent="0.2">
      <c r="A60" s="4" t="s">
        <v>113</v>
      </c>
      <c r="B60" s="3" t="s">
        <v>114</v>
      </c>
    </row>
    <row r="61" spans="1:2" ht="45" customHeight="1" x14ac:dyDescent="0.2">
      <c r="A61" s="4" t="s">
        <v>115</v>
      </c>
      <c r="B61" s="3" t="s">
        <v>116</v>
      </c>
    </row>
    <row r="62" spans="1:2" ht="60" customHeight="1" x14ac:dyDescent="0.2">
      <c r="A62" s="4" t="s">
        <v>117</v>
      </c>
      <c r="B62" s="3" t="s">
        <v>118</v>
      </c>
    </row>
    <row r="63" spans="1:2" ht="60" customHeight="1" x14ac:dyDescent="0.2">
      <c r="A63" s="4" t="s">
        <v>119</v>
      </c>
      <c r="B63" s="3" t="s">
        <v>120</v>
      </c>
    </row>
    <row r="64" spans="1:2" ht="60" customHeight="1" x14ac:dyDescent="0.2">
      <c r="A64" s="4" t="s">
        <v>121</v>
      </c>
      <c r="B64" s="3" t="s">
        <v>122</v>
      </c>
    </row>
    <row r="65" spans="1:2" ht="60" customHeight="1" x14ac:dyDescent="0.2">
      <c r="A65" s="4" t="s">
        <v>123</v>
      </c>
      <c r="B65" s="3" t="s">
        <v>124</v>
      </c>
    </row>
    <row r="66" spans="1:2" ht="60" customHeight="1" x14ac:dyDescent="0.2">
      <c r="A66" s="4" t="s">
        <v>125</v>
      </c>
      <c r="B66" s="3" t="s">
        <v>126</v>
      </c>
    </row>
    <row r="67" spans="1:2" ht="60" customHeight="1" x14ac:dyDescent="0.2">
      <c r="A67" s="4" t="s">
        <v>127</v>
      </c>
      <c r="B67" s="3" t="s">
        <v>128</v>
      </c>
    </row>
    <row r="68" spans="1:2" ht="60" customHeight="1" x14ac:dyDescent="0.2">
      <c r="A68" s="4" t="s">
        <v>129</v>
      </c>
      <c r="B68" s="3" t="s">
        <v>130</v>
      </c>
    </row>
    <row r="69" spans="1:2" ht="45" customHeight="1" x14ac:dyDescent="0.2">
      <c r="A69" s="4" t="s">
        <v>131</v>
      </c>
      <c r="B69" s="3" t="s">
        <v>132</v>
      </c>
    </row>
    <row r="70" spans="1:2" ht="60" customHeight="1" x14ac:dyDescent="0.2">
      <c r="A70" s="4" t="s">
        <v>133</v>
      </c>
      <c r="B70" s="3" t="s">
        <v>134</v>
      </c>
    </row>
    <row r="71" spans="1:2" ht="30" customHeight="1" x14ac:dyDescent="0.2">
      <c r="A71" s="4" t="s">
        <v>135</v>
      </c>
      <c r="B71" s="3" t="s">
        <v>136</v>
      </c>
    </row>
    <row r="72" spans="1:2" ht="60" customHeight="1" x14ac:dyDescent="0.2">
      <c r="A72" s="4" t="s">
        <v>137</v>
      </c>
      <c r="B72" s="3" t="s">
        <v>138</v>
      </c>
    </row>
    <row r="73" spans="1:2" ht="45" customHeight="1" x14ac:dyDescent="0.2">
      <c r="A73" s="4" t="s">
        <v>48</v>
      </c>
      <c r="B73" s="3" t="s">
        <v>139</v>
      </c>
    </row>
    <row r="74" spans="1:2" ht="60" customHeight="1" x14ac:dyDescent="0.2">
      <c r="A74" s="4" t="s">
        <v>140</v>
      </c>
      <c r="B74" s="3" t="s">
        <v>141</v>
      </c>
    </row>
    <row r="75" spans="1:2" ht="60" customHeight="1" x14ac:dyDescent="0.2">
      <c r="A75" s="4" t="s">
        <v>142</v>
      </c>
      <c r="B75" s="3" t="s">
        <v>143</v>
      </c>
    </row>
    <row r="76" spans="1:2" ht="60" customHeight="1" x14ac:dyDescent="0.2">
      <c r="A76" s="4" t="s">
        <v>144</v>
      </c>
      <c r="B76" s="3" t="s">
        <v>145</v>
      </c>
    </row>
    <row r="77" spans="1:2" ht="15" customHeight="1" x14ac:dyDescent="0.2">
      <c r="A77" s="4"/>
      <c r="B77" s="3"/>
    </row>
    <row r="78" spans="1:2" ht="60" customHeight="1" x14ac:dyDescent="0.2">
      <c r="A78" s="4" t="s">
        <v>146</v>
      </c>
      <c r="B78" s="3" t="s">
        <v>147</v>
      </c>
    </row>
    <row r="79" spans="1:2" ht="60" customHeight="1" x14ac:dyDescent="0.2">
      <c r="A79" s="4" t="s">
        <v>148</v>
      </c>
      <c r="B79" s="3" t="s">
        <v>149</v>
      </c>
    </row>
    <row r="80" spans="1:2" ht="60" customHeight="1" x14ac:dyDescent="0.2">
      <c r="A80" s="4" t="s">
        <v>150</v>
      </c>
      <c r="B80" s="3" t="s">
        <v>151</v>
      </c>
    </row>
    <row r="81" spans="1:2" ht="30" customHeight="1" x14ac:dyDescent="0.2">
      <c r="A81" s="4" t="s">
        <v>152</v>
      </c>
      <c r="B81" s="3" t="s">
        <v>153</v>
      </c>
    </row>
    <row r="82" spans="1:2" ht="15" customHeight="1" x14ac:dyDescent="0.2">
      <c r="A82" s="4" t="s">
        <v>154</v>
      </c>
      <c r="B82" s="3" t="s">
        <v>155</v>
      </c>
    </row>
    <row r="83" spans="1:2" ht="45" customHeight="1" x14ac:dyDescent="0.2">
      <c r="A83" s="4" t="s">
        <v>156</v>
      </c>
      <c r="B83" s="3" t="s">
        <v>157</v>
      </c>
    </row>
    <row r="84" spans="1:2" ht="15" customHeight="1" x14ac:dyDescent="0.2">
      <c r="A84" s="4"/>
      <c r="B84" s="3"/>
    </row>
    <row r="85" spans="1:2" ht="30" customHeight="1" x14ac:dyDescent="0.2">
      <c r="A85" s="4" t="s">
        <v>158</v>
      </c>
      <c r="B85" s="3" t="s">
        <v>159</v>
      </c>
    </row>
    <row r="86" spans="1:2" ht="30" customHeight="1" x14ac:dyDescent="0.2">
      <c r="A86" s="4" t="s">
        <v>160</v>
      </c>
      <c r="B86" s="3" t="s">
        <v>161</v>
      </c>
    </row>
    <row r="87" spans="1:2" ht="30" customHeight="1" x14ac:dyDescent="0.2">
      <c r="A87" s="4" t="s">
        <v>162</v>
      </c>
      <c r="B87" s="3" t="s">
        <v>163</v>
      </c>
    </row>
    <row r="88" spans="1:2" ht="15" customHeight="1" x14ac:dyDescent="0.2">
      <c r="A88" s="4"/>
      <c r="B88" s="3"/>
    </row>
    <row r="89" spans="1:2" ht="60" customHeight="1" x14ac:dyDescent="0.2">
      <c r="A89" s="4" t="s">
        <v>164</v>
      </c>
      <c r="B89" s="3" t="s">
        <v>165</v>
      </c>
    </row>
    <row r="90" spans="1:2" ht="60" customHeight="1" x14ac:dyDescent="0.2">
      <c r="A90" s="4" t="s">
        <v>166</v>
      </c>
      <c r="B90" s="3" t="s">
        <v>167</v>
      </c>
    </row>
    <row r="91" spans="1:2" ht="15" customHeight="1" x14ac:dyDescent="0.2">
      <c r="A91" s="4" t="s">
        <v>168</v>
      </c>
      <c r="B91" s="3" t="s">
        <v>168</v>
      </c>
    </row>
    <row r="92" spans="1:2" ht="60" customHeight="1" x14ac:dyDescent="0.2">
      <c r="A92" s="4" t="s">
        <v>169</v>
      </c>
      <c r="B92" s="3" t="s">
        <v>170</v>
      </c>
    </row>
    <row r="93" spans="1:2" ht="60" customHeight="1" x14ac:dyDescent="0.2">
      <c r="A93" s="4" t="s">
        <v>171</v>
      </c>
      <c r="B93" s="3" t="s">
        <v>172</v>
      </c>
    </row>
    <row r="94" spans="1:2" ht="60" customHeight="1" x14ac:dyDescent="0.2">
      <c r="A94" s="4" t="s">
        <v>173</v>
      </c>
      <c r="B94" s="3" t="s">
        <v>174</v>
      </c>
    </row>
    <row r="95" spans="1:2" ht="60" customHeight="1" x14ac:dyDescent="0.2">
      <c r="A95" s="4" t="s">
        <v>175</v>
      </c>
      <c r="B95" s="3" t="s">
        <v>176</v>
      </c>
    </row>
    <row r="96" spans="1:2" ht="60" customHeight="1" x14ac:dyDescent="0.2">
      <c r="A96" s="4" t="s">
        <v>177</v>
      </c>
      <c r="B96" s="3" t="s">
        <v>178</v>
      </c>
    </row>
    <row r="97" spans="1:2" ht="60" customHeight="1" x14ac:dyDescent="0.2">
      <c r="A97" s="4" t="s">
        <v>179</v>
      </c>
      <c r="B97" s="3" t="s">
        <v>180</v>
      </c>
    </row>
    <row r="98" spans="1:2" ht="60" customHeight="1" x14ac:dyDescent="0.2">
      <c r="A98" s="4" t="s">
        <v>181</v>
      </c>
      <c r="B98" s="3" t="s">
        <v>182</v>
      </c>
    </row>
    <row r="99" spans="1:2" ht="60" customHeight="1" x14ac:dyDescent="0.2">
      <c r="A99" s="4" t="s">
        <v>183</v>
      </c>
      <c r="B99" s="3" t="s">
        <v>184</v>
      </c>
    </row>
    <row r="100" spans="1:2" ht="60" customHeight="1" x14ac:dyDescent="0.2">
      <c r="A100" s="4" t="s">
        <v>185</v>
      </c>
      <c r="B100" s="3" t="s">
        <v>186</v>
      </c>
    </row>
    <row r="101" spans="1:2" ht="60" customHeight="1" x14ac:dyDescent="0.2">
      <c r="A101" s="4" t="s">
        <v>187</v>
      </c>
      <c r="B101" s="3" t="s">
        <v>188</v>
      </c>
    </row>
    <row r="102" spans="1:2" ht="60" customHeight="1" x14ac:dyDescent="0.2">
      <c r="A102" s="4" t="s">
        <v>189</v>
      </c>
      <c r="B102" s="3" t="s">
        <v>190</v>
      </c>
    </row>
    <row r="103" spans="1:2" ht="60" customHeight="1" x14ac:dyDescent="0.2">
      <c r="A103" s="4" t="s">
        <v>191</v>
      </c>
      <c r="B103" s="3" t="s">
        <v>192</v>
      </c>
    </row>
    <row r="104" spans="1:2" ht="60" customHeight="1" x14ac:dyDescent="0.2">
      <c r="A104" s="4" t="s">
        <v>193</v>
      </c>
      <c r="B104" s="3" t="s">
        <v>194</v>
      </c>
    </row>
    <row r="105" spans="1:2" ht="60" customHeight="1" x14ac:dyDescent="0.2">
      <c r="A105" s="4" t="s">
        <v>195</v>
      </c>
      <c r="B105" s="3" t="s">
        <v>196</v>
      </c>
    </row>
    <row r="106" spans="1:2" ht="60" customHeight="1" x14ac:dyDescent="0.2">
      <c r="A106" s="4" t="s">
        <v>197</v>
      </c>
      <c r="B106" s="3" t="s">
        <v>198</v>
      </c>
    </row>
    <row r="107" spans="1:2" ht="60" customHeight="1" x14ac:dyDescent="0.2">
      <c r="A107" s="4" t="s">
        <v>199</v>
      </c>
      <c r="B107" s="3" t="s">
        <v>200</v>
      </c>
    </row>
    <row r="108" spans="1:2" ht="60" customHeight="1" x14ac:dyDescent="0.2">
      <c r="A108" s="4" t="s">
        <v>201</v>
      </c>
      <c r="B108" s="3" t="s">
        <v>202</v>
      </c>
    </row>
    <row r="109" spans="1:2" ht="30" customHeight="1" x14ac:dyDescent="0.2">
      <c r="A109" s="4" t="s">
        <v>203</v>
      </c>
      <c r="B109" s="3" t="s">
        <v>204</v>
      </c>
    </row>
    <row r="110" spans="1:2" ht="60" customHeight="1" x14ac:dyDescent="0.2">
      <c r="A110" s="4" t="s">
        <v>205</v>
      </c>
      <c r="B110" s="3" t="s">
        <v>206</v>
      </c>
    </row>
    <row r="111" spans="1:2" ht="60" customHeight="1" x14ac:dyDescent="0.2">
      <c r="A111" s="4" t="s">
        <v>207</v>
      </c>
      <c r="B111" s="3" t="s">
        <v>208</v>
      </c>
    </row>
    <row r="112" spans="1:2" ht="60" customHeight="1" x14ac:dyDescent="0.2">
      <c r="A112" s="4" t="s">
        <v>209</v>
      </c>
      <c r="B112" s="3" t="s">
        <v>210</v>
      </c>
    </row>
    <row r="113" spans="1:2" ht="60" customHeight="1" x14ac:dyDescent="0.2">
      <c r="A113" s="4" t="s">
        <v>211</v>
      </c>
      <c r="B113" s="3" t="s">
        <v>212</v>
      </c>
    </row>
    <row r="114" spans="1:2" ht="60" customHeight="1" x14ac:dyDescent="0.2">
      <c r="A114" s="4" t="s">
        <v>213</v>
      </c>
      <c r="B114" s="3" t="s">
        <v>214</v>
      </c>
    </row>
    <row r="115" spans="1:2" ht="60" customHeight="1" x14ac:dyDescent="0.2">
      <c r="A115" s="4" t="s">
        <v>215</v>
      </c>
      <c r="B115" s="3" t="s">
        <v>216</v>
      </c>
    </row>
    <row r="116" spans="1:2" ht="60" customHeight="1" x14ac:dyDescent="0.2">
      <c r="A116" s="4" t="s">
        <v>217</v>
      </c>
      <c r="B116" s="3" t="s">
        <v>218</v>
      </c>
    </row>
    <row r="117" spans="1:2" ht="15" customHeight="1" x14ac:dyDescent="0.2">
      <c r="A117" s="4"/>
      <c r="B117" s="3"/>
    </row>
    <row r="118" spans="1:2" ht="60" customHeight="1" x14ac:dyDescent="0.2">
      <c r="A118" s="4" t="s">
        <v>219</v>
      </c>
      <c r="B118" s="3" t="s">
        <v>220</v>
      </c>
    </row>
    <row r="119" spans="1:2" ht="60" customHeight="1" x14ac:dyDescent="0.2">
      <c r="A119" s="4" t="s">
        <v>221</v>
      </c>
      <c r="B119" s="3" t="s">
        <v>222</v>
      </c>
    </row>
    <row r="120" spans="1:2" ht="60" customHeight="1" x14ac:dyDescent="0.2">
      <c r="A120" s="4" t="s">
        <v>223</v>
      </c>
      <c r="B120" s="3" t="s">
        <v>224</v>
      </c>
    </row>
    <row r="121" spans="1:2" ht="45" customHeight="1" x14ac:dyDescent="0.2">
      <c r="A121" s="4" t="s">
        <v>225</v>
      </c>
      <c r="B121" s="3" t="s">
        <v>226</v>
      </c>
    </row>
    <row r="122" spans="1:2" ht="60" customHeight="1" x14ac:dyDescent="0.2">
      <c r="A122" s="4" t="s">
        <v>227</v>
      </c>
      <c r="B122" s="3" t="s">
        <v>228</v>
      </c>
    </row>
    <row r="123" spans="1:2" ht="60" customHeight="1" x14ac:dyDescent="0.2">
      <c r="A123" s="4" t="s">
        <v>229</v>
      </c>
      <c r="B123" s="3" t="s">
        <v>230</v>
      </c>
    </row>
    <row r="124" spans="1:2" ht="60" customHeight="1" x14ac:dyDescent="0.2">
      <c r="A124" s="4" t="s">
        <v>231</v>
      </c>
      <c r="B124" s="3" t="s">
        <v>232</v>
      </c>
    </row>
    <row r="125" spans="1:2" ht="60" customHeight="1" x14ac:dyDescent="0.2">
      <c r="A125" s="4" t="s">
        <v>233</v>
      </c>
      <c r="B125" s="3" t="s">
        <v>234</v>
      </c>
    </row>
    <row r="126" spans="1:2" ht="60" customHeight="1" x14ac:dyDescent="0.2">
      <c r="A126" s="4" t="s">
        <v>235</v>
      </c>
      <c r="B126" s="3" t="s">
        <v>236</v>
      </c>
    </row>
    <row r="127" spans="1:2" ht="60" customHeight="1" x14ac:dyDescent="0.2">
      <c r="A127" s="4" t="s">
        <v>237</v>
      </c>
      <c r="B127" s="3" t="s">
        <v>238</v>
      </c>
    </row>
    <row r="128" spans="1:2" ht="60" customHeight="1" x14ac:dyDescent="0.2">
      <c r="A128" s="4" t="s">
        <v>239</v>
      </c>
      <c r="B128" s="3" t="s">
        <v>240</v>
      </c>
    </row>
    <row r="129" spans="1:2" ht="60" customHeight="1" x14ac:dyDescent="0.2">
      <c r="A129" s="4" t="s">
        <v>241</v>
      </c>
      <c r="B129" s="3" t="s">
        <v>242</v>
      </c>
    </row>
    <row r="130" spans="1:2" ht="60" customHeight="1" x14ac:dyDescent="0.2">
      <c r="A130" s="4" t="s">
        <v>243</v>
      </c>
      <c r="B130" s="3" t="s">
        <v>244</v>
      </c>
    </row>
    <row r="131" spans="1:2" ht="60" customHeight="1" x14ac:dyDescent="0.2">
      <c r="A131" s="4" t="s">
        <v>245</v>
      </c>
      <c r="B131" s="3" t="s">
        <v>246</v>
      </c>
    </row>
    <row r="132" spans="1:2" ht="60" customHeight="1" x14ac:dyDescent="0.2">
      <c r="A132" s="4" t="s">
        <v>247</v>
      </c>
      <c r="B132" s="3" t="s">
        <v>248</v>
      </c>
    </row>
    <row r="133" spans="1:2" ht="60" customHeight="1" x14ac:dyDescent="0.2">
      <c r="A133" s="4" t="s">
        <v>249</v>
      </c>
      <c r="B133" s="3" t="s">
        <v>250</v>
      </c>
    </row>
    <row r="134" spans="1:2" ht="15" customHeight="1" x14ac:dyDescent="0.2">
      <c r="A134" s="4"/>
      <c r="B134" s="3"/>
    </row>
    <row r="135" spans="1:2" ht="60" customHeight="1" x14ac:dyDescent="0.2">
      <c r="A135" s="4" t="s">
        <v>251</v>
      </c>
      <c r="B135" s="3" t="s">
        <v>252</v>
      </c>
    </row>
    <row r="136" spans="1:2" ht="30" customHeight="1" x14ac:dyDescent="0.2">
      <c r="A136" s="4" t="s">
        <v>253</v>
      </c>
      <c r="B136" s="3" t="s">
        <v>254</v>
      </c>
    </row>
    <row r="137" spans="1:2" ht="15" customHeight="1" x14ac:dyDescent="0.2">
      <c r="A137" s="4" t="s">
        <v>255</v>
      </c>
      <c r="B137" s="3" t="s">
        <v>256</v>
      </c>
    </row>
    <row r="138" spans="1:2" ht="30" customHeight="1" x14ac:dyDescent="0.2">
      <c r="A138" s="4" t="s">
        <v>257</v>
      </c>
      <c r="B138" s="3" t="s">
        <v>258</v>
      </c>
    </row>
    <row r="139" spans="1:2" ht="30" customHeight="1" x14ac:dyDescent="0.2">
      <c r="A139" s="4" t="s">
        <v>259</v>
      </c>
      <c r="B139" s="3" t="s">
        <v>260</v>
      </c>
    </row>
    <row r="140" spans="1:2" ht="30" customHeight="1" x14ac:dyDescent="0.2">
      <c r="A140" s="4" t="s">
        <v>261</v>
      </c>
      <c r="B140" s="3" t="s">
        <v>258</v>
      </c>
    </row>
    <row r="141" spans="1:2" ht="30" customHeight="1" x14ac:dyDescent="0.2">
      <c r="A141" s="4" t="s">
        <v>262</v>
      </c>
      <c r="B141" s="3" t="s">
        <v>263</v>
      </c>
    </row>
    <row r="142" spans="1:2" ht="30" customHeight="1" x14ac:dyDescent="0.2">
      <c r="A142" s="4" t="s">
        <v>264</v>
      </c>
      <c r="B142" s="3" t="s">
        <v>265</v>
      </c>
    </row>
    <row r="143" spans="1:2" ht="30" customHeight="1" x14ac:dyDescent="0.2">
      <c r="A143" s="4" t="s">
        <v>266</v>
      </c>
      <c r="B143" s="3" t="s">
        <v>267</v>
      </c>
    </row>
    <row r="144" spans="1:2" ht="15" customHeight="1" x14ac:dyDescent="0.2">
      <c r="A144" s="4" t="s">
        <v>268</v>
      </c>
      <c r="B144" s="3" t="s">
        <v>269</v>
      </c>
    </row>
    <row r="145" spans="1:2" ht="15" customHeight="1" x14ac:dyDescent="0.2">
      <c r="A145" s="4" t="s">
        <v>270</v>
      </c>
      <c r="B145" s="3" t="s">
        <v>271</v>
      </c>
    </row>
    <row r="146" spans="1:2" ht="30" customHeight="1" x14ac:dyDescent="0.2">
      <c r="A146" s="4" t="s">
        <v>272</v>
      </c>
      <c r="B146" s="3" t="s">
        <v>273</v>
      </c>
    </row>
    <row r="147" spans="1:2" ht="30" customHeight="1" x14ac:dyDescent="0.2">
      <c r="A147" s="4" t="s">
        <v>274</v>
      </c>
      <c r="B147" s="3" t="s">
        <v>275</v>
      </c>
    </row>
    <row r="148" spans="1:2" ht="30" customHeight="1" x14ac:dyDescent="0.2">
      <c r="A148" s="4" t="s">
        <v>276</v>
      </c>
      <c r="B148" s="3" t="s">
        <v>277</v>
      </c>
    </row>
    <row r="149" spans="1:2" ht="15" customHeight="1" x14ac:dyDescent="0.2">
      <c r="A149" s="4" t="s">
        <v>278</v>
      </c>
      <c r="B149" s="3" t="s">
        <v>279</v>
      </c>
    </row>
    <row r="150" spans="1:2" ht="30" customHeight="1" x14ac:dyDescent="0.2">
      <c r="A150" s="4" t="s">
        <v>280</v>
      </c>
      <c r="B150" s="3" t="s">
        <v>281</v>
      </c>
    </row>
    <row r="151" spans="1:2" ht="30" customHeight="1" x14ac:dyDescent="0.2">
      <c r="A151" s="4" t="s">
        <v>282</v>
      </c>
      <c r="B151" s="3" t="s">
        <v>283</v>
      </c>
    </row>
    <row r="152" spans="1:2" ht="30" customHeight="1" x14ac:dyDescent="0.2">
      <c r="A152" s="4" t="s">
        <v>284</v>
      </c>
      <c r="B152" s="3" t="s">
        <v>285</v>
      </c>
    </row>
    <row r="153" spans="1:2" ht="30" customHeight="1" x14ac:dyDescent="0.2">
      <c r="A153" s="4" t="s">
        <v>286</v>
      </c>
      <c r="B153" s="3" t="s">
        <v>287</v>
      </c>
    </row>
    <row r="154" spans="1:2" ht="30" customHeight="1" x14ac:dyDescent="0.2">
      <c r="A154" s="4" t="s">
        <v>288</v>
      </c>
      <c r="B154" s="3" t="s">
        <v>289</v>
      </c>
    </row>
    <row r="155" spans="1:2" ht="15" customHeight="1" x14ac:dyDescent="0.2">
      <c r="A155" s="4" t="s">
        <v>290</v>
      </c>
      <c r="B155" s="3" t="s">
        <v>291</v>
      </c>
    </row>
    <row r="156" spans="1:2" ht="15" customHeight="1" x14ac:dyDescent="0.2">
      <c r="A156" s="4" t="s">
        <v>292</v>
      </c>
      <c r="B156" s="3" t="s">
        <v>291</v>
      </c>
    </row>
    <row r="157" spans="1:2" ht="30" customHeight="1" x14ac:dyDescent="0.2">
      <c r="A157" s="4" t="s">
        <v>293</v>
      </c>
      <c r="B157" s="3" t="s">
        <v>294</v>
      </c>
    </row>
    <row r="158" spans="1:2" ht="30" customHeight="1" x14ac:dyDescent="0.2">
      <c r="A158" s="4" t="s">
        <v>295</v>
      </c>
      <c r="B158" s="3" t="s">
        <v>296</v>
      </c>
    </row>
    <row r="159" spans="1:2" ht="60" customHeight="1" x14ac:dyDescent="0.2">
      <c r="A159" s="4" t="s">
        <v>297</v>
      </c>
      <c r="B159" s="3" t="s">
        <v>298</v>
      </c>
    </row>
    <row r="160" spans="1:2" ht="60" customHeight="1" x14ac:dyDescent="0.2">
      <c r="A160" s="4" t="s">
        <v>299</v>
      </c>
      <c r="B160" s="3" t="s">
        <v>300</v>
      </c>
    </row>
    <row r="161" spans="1:2" ht="60" customHeight="1" x14ac:dyDescent="0.2">
      <c r="A161" s="4" t="s">
        <v>301</v>
      </c>
      <c r="B161" s="3" t="s">
        <v>302</v>
      </c>
    </row>
    <row r="162" spans="1:2" ht="60" customHeight="1" x14ac:dyDescent="0.2">
      <c r="A162" s="4" t="s">
        <v>303</v>
      </c>
      <c r="B162" s="3" t="s">
        <v>304</v>
      </c>
    </row>
    <row r="163" spans="1:2" ht="60" customHeight="1" x14ac:dyDescent="0.2">
      <c r="A163" s="4" t="s">
        <v>305</v>
      </c>
      <c r="B163" s="3" t="s">
        <v>306</v>
      </c>
    </row>
    <row r="164" spans="1:2" ht="60" customHeight="1" x14ac:dyDescent="0.2">
      <c r="A164" s="4" t="s">
        <v>307</v>
      </c>
      <c r="B164" s="3" t="s">
        <v>308</v>
      </c>
    </row>
    <row r="165" spans="1:2" ht="60" customHeight="1" x14ac:dyDescent="0.2">
      <c r="A165" s="4" t="s">
        <v>309</v>
      </c>
      <c r="B165" s="3" t="s">
        <v>310</v>
      </c>
    </row>
    <row r="166" spans="1:2" ht="60" customHeight="1" x14ac:dyDescent="0.2">
      <c r="A166" s="4" t="s">
        <v>311</v>
      </c>
      <c r="B166" s="3" t="s">
        <v>312</v>
      </c>
    </row>
  </sheetData>
  <autoFilter ref="A1:B16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4" width="30" customWidth="1"/>
  </cols>
  <sheetData>
    <row r="1" spans="1:4" ht="30" customHeight="1" x14ac:dyDescent="0.2">
      <c r="A1" s="1" t="s">
        <v>313</v>
      </c>
      <c r="B1" s="1" t="s">
        <v>314</v>
      </c>
      <c r="C1" s="1" t="s">
        <v>315</v>
      </c>
      <c r="D1" s="1" t="s">
        <v>316</v>
      </c>
    </row>
    <row r="2" spans="1:4" ht="15" customHeight="1" x14ac:dyDescent="0.2">
      <c r="A2" s="3"/>
      <c r="B2" s="5" t="s">
        <v>317</v>
      </c>
      <c r="C2" s="3"/>
      <c r="D2" s="3"/>
    </row>
    <row r="3" spans="1:4" ht="45" customHeight="1" x14ac:dyDescent="0.2">
      <c r="A3" s="3" t="s">
        <v>318</v>
      </c>
      <c r="B3" s="3" t="s">
        <v>319</v>
      </c>
      <c r="C3" s="3" t="s">
        <v>320</v>
      </c>
      <c r="D3" s="3" t="s">
        <v>321</v>
      </c>
    </row>
    <row r="4" spans="1:4" ht="60" customHeight="1" x14ac:dyDescent="0.2">
      <c r="A4" s="3" t="s">
        <v>322</v>
      </c>
      <c r="B4" s="3" t="s">
        <v>323</v>
      </c>
      <c r="C4" s="3" t="s">
        <v>324</v>
      </c>
      <c r="D4" s="3" t="s">
        <v>325</v>
      </c>
    </row>
    <row r="5" spans="1:4" ht="60" customHeight="1" x14ac:dyDescent="0.2">
      <c r="A5" s="3" t="s">
        <v>326</v>
      </c>
      <c r="B5" s="3" t="s">
        <v>327</v>
      </c>
      <c r="C5" s="3" t="s">
        <v>328</v>
      </c>
      <c r="D5" s="3" t="s">
        <v>329</v>
      </c>
    </row>
    <row r="6" spans="1:4" ht="60" customHeight="1" x14ac:dyDescent="0.2">
      <c r="A6" s="3" t="s">
        <v>330</v>
      </c>
      <c r="B6" s="3" t="s">
        <v>331</v>
      </c>
      <c r="C6" s="3" t="s">
        <v>332</v>
      </c>
      <c r="D6" s="3" t="s">
        <v>333</v>
      </c>
    </row>
    <row r="7" spans="1:4" ht="60" customHeight="1" x14ac:dyDescent="0.2">
      <c r="A7" s="3" t="s">
        <v>334</v>
      </c>
      <c r="B7" s="3" t="s">
        <v>335</v>
      </c>
      <c r="C7" s="3" t="s">
        <v>336</v>
      </c>
      <c r="D7" s="3" t="s">
        <v>337</v>
      </c>
    </row>
    <row r="8" spans="1:4" ht="60" customHeight="1" x14ac:dyDescent="0.2">
      <c r="A8" s="3" t="s">
        <v>338</v>
      </c>
      <c r="B8" s="3" t="s">
        <v>339</v>
      </c>
      <c r="C8" s="3" t="s">
        <v>340</v>
      </c>
      <c r="D8" s="3" t="s">
        <v>341</v>
      </c>
    </row>
    <row r="9" spans="1:4" ht="60" customHeight="1" x14ac:dyDescent="0.2">
      <c r="A9" s="3" t="s">
        <v>342</v>
      </c>
      <c r="B9" s="3" t="s">
        <v>343</v>
      </c>
      <c r="C9" s="3" t="s">
        <v>89</v>
      </c>
      <c r="D9" s="3" t="s">
        <v>341</v>
      </c>
    </row>
    <row r="10" spans="1:4" ht="15" customHeight="1" x14ac:dyDescent="0.2">
      <c r="A10" s="3"/>
      <c r="B10" s="5" t="s">
        <v>344</v>
      </c>
      <c r="C10" s="3"/>
      <c r="D10" s="3"/>
    </row>
    <row r="11" spans="1:4" ht="60" customHeight="1" x14ac:dyDescent="0.2">
      <c r="A11" s="3" t="s">
        <v>345</v>
      </c>
      <c r="B11" s="3" t="s">
        <v>346</v>
      </c>
      <c r="C11" s="3" t="s">
        <v>347</v>
      </c>
      <c r="D11" s="3" t="s">
        <v>348</v>
      </c>
    </row>
    <row r="12" spans="1:4" ht="60" customHeight="1" x14ac:dyDescent="0.2">
      <c r="A12" s="3" t="s">
        <v>349</v>
      </c>
      <c r="B12" s="3" t="s">
        <v>350</v>
      </c>
      <c r="C12" s="3" t="s">
        <v>351</v>
      </c>
      <c r="D12" s="3" t="s">
        <v>352</v>
      </c>
    </row>
    <row r="13" spans="1:4" ht="60" customHeight="1" x14ac:dyDescent="0.2">
      <c r="A13" s="3" t="s">
        <v>353</v>
      </c>
      <c r="B13" s="3" t="s">
        <v>354</v>
      </c>
      <c r="C13" s="3" t="s">
        <v>355</v>
      </c>
      <c r="D13" s="3" t="s">
        <v>356</v>
      </c>
    </row>
    <row r="14" spans="1:4" ht="15" customHeight="1" x14ac:dyDescent="0.2">
      <c r="A14" s="3"/>
      <c r="B14" s="5" t="s">
        <v>357</v>
      </c>
      <c r="C14" s="3"/>
      <c r="D14" s="3"/>
    </row>
    <row r="15" spans="1:4" ht="60" customHeight="1" x14ac:dyDescent="0.2">
      <c r="A15" s="3" t="s">
        <v>358</v>
      </c>
      <c r="B15" s="3" t="s">
        <v>359</v>
      </c>
      <c r="C15" s="3" t="s">
        <v>360</v>
      </c>
      <c r="D15" s="3" t="s">
        <v>361</v>
      </c>
    </row>
    <row r="16" spans="1:4" ht="60" customHeight="1" x14ac:dyDescent="0.2">
      <c r="A16" s="3" t="s">
        <v>362</v>
      </c>
      <c r="B16" s="3" t="s">
        <v>363</v>
      </c>
      <c r="C16" s="3" t="s">
        <v>364</v>
      </c>
      <c r="D16" s="3" t="s">
        <v>365</v>
      </c>
    </row>
    <row r="17" spans="1:4" ht="15" customHeight="1" x14ac:dyDescent="0.2">
      <c r="A17" s="3"/>
      <c r="B17" s="5" t="s">
        <v>366</v>
      </c>
      <c r="C17" s="3"/>
      <c r="D17" s="3"/>
    </row>
    <row r="18" spans="1:4" ht="60" customHeight="1" x14ac:dyDescent="0.2">
      <c r="A18" s="3" t="s">
        <v>367</v>
      </c>
      <c r="B18" s="3" t="s">
        <v>368</v>
      </c>
      <c r="C18" s="3" t="s">
        <v>369</v>
      </c>
      <c r="D18" s="3" t="s">
        <v>370</v>
      </c>
    </row>
    <row r="19" spans="1:4" ht="30" customHeight="1" x14ac:dyDescent="0.2">
      <c r="A19" s="3" t="s">
        <v>371</v>
      </c>
      <c r="B19" s="3" t="s">
        <v>372</v>
      </c>
      <c r="C19" s="3" t="s">
        <v>373</v>
      </c>
      <c r="D19" s="3" t="s">
        <v>374</v>
      </c>
    </row>
    <row r="20" spans="1:4" ht="30" customHeight="1" x14ac:dyDescent="0.2">
      <c r="A20" s="3"/>
      <c r="B20" s="5" t="s">
        <v>375</v>
      </c>
      <c r="C20" s="3"/>
      <c r="D20" s="3"/>
    </row>
    <row r="21" spans="1:4" ht="45" customHeight="1" x14ac:dyDescent="0.2">
      <c r="A21" s="3" t="s">
        <v>376</v>
      </c>
      <c r="B21" s="3" t="s">
        <v>377</v>
      </c>
      <c r="C21" s="3" t="s">
        <v>378</v>
      </c>
      <c r="D21" s="3" t="s">
        <v>379</v>
      </c>
    </row>
    <row r="22" spans="1:4" ht="60" customHeight="1" x14ac:dyDescent="0.2">
      <c r="A22" s="3" t="s">
        <v>380</v>
      </c>
      <c r="B22" s="3" t="s">
        <v>381</v>
      </c>
      <c r="C22" s="3" t="s">
        <v>382</v>
      </c>
      <c r="D22" s="3" t="s">
        <v>383</v>
      </c>
    </row>
    <row r="23" spans="1:4" ht="60" customHeight="1" x14ac:dyDescent="0.2">
      <c r="A23" s="3" t="s">
        <v>384</v>
      </c>
      <c r="B23" s="3" t="s">
        <v>385</v>
      </c>
      <c r="C23" s="3" t="s">
        <v>386</v>
      </c>
      <c r="D23" s="3" t="s">
        <v>374</v>
      </c>
    </row>
    <row r="24" spans="1:4" ht="60" customHeight="1" x14ac:dyDescent="0.2">
      <c r="A24" s="3" t="s">
        <v>387</v>
      </c>
      <c r="B24" s="3" t="s">
        <v>388</v>
      </c>
      <c r="C24" s="3" t="s">
        <v>389</v>
      </c>
      <c r="D24" s="3" t="s">
        <v>390</v>
      </c>
    </row>
    <row r="25" spans="1:4" ht="60" customHeight="1" x14ac:dyDescent="0.2">
      <c r="A25" s="3" t="s">
        <v>391</v>
      </c>
      <c r="B25" s="3" t="s">
        <v>392</v>
      </c>
      <c r="C25" s="3" t="s">
        <v>393</v>
      </c>
      <c r="D25" s="3" t="s">
        <v>394</v>
      </c>
    </row>
    <row r="26" spans="1:4" ht="60" customHeight="1" x14ac:dyDescent="0.2">
      <c r="A26" s="3" t="s">
        <v>395</v>
      </c>
      <c r="B26" s="3" t="s">
        <v>396</v>
      </c>
      <c r="C26" s="3" t="s">
        <v>397</v>
      </c>
      <c r="D26" s="3" t="s">
        <v>398</v>
      </c>
    </row>
    <row r="27" spans="1:4" ht="60" customHeight="1" x14ac:dyDescent="0.2">
      <c r="A27" s="3" t="s">
        <v>399</v>
      </c>
      <c r="B27" s="3" t="s">
        <v>400</v>
      </c>
      <c r="C27" s="3" t="s">
        <v>401</v>
      </c>
      <c r="D27" s="3" t="s">
        <v>402</v>
      </c>
    </row>
    <row r="28" spans="1:4" ht="60" customHeight="1" x14ac:dyDescent="0.2">
      <c r="A28" s="3" t="s">
        <v>403</v>
      </c>
      <c r="B28" s="3" t="s">
        <v>404</v>
      </c>
      <c r="C28" s="3" t="s">
        <v>405</v>
      </c>
      <c r="D28" s="3" t="s">
        <v>406</v>
      </c>
    </row>
    <row r="29" spans="1:4" ht="60" customHeight="1" x14ac:dyDescent="0.2">
      <c r="A29" s="3" t="s">
        <v>407</v>
      </c>
      <c r="B29" s="3" t="s">
        <v>408</v>
      </c>
      <c r="C29" s="3" t="s">
        <v>409</v>
      </c>
      <c r="D29" s="3" t="s">
        <v>410</v>
      </c>
    </row>
    <row r="30" spans="1:4" ht="60" customHeight="1" x14ac:dyDescent="0.2">
      <c r="A30" s="3" t="s">
        <v>411</v>
      </c>
      <c r="B30" s="3" t="s">
        <v>412</v>
      </c>
      <c r="C30" s="3" t="s">
        <v>413</v>
      </c>
      <c r="D30" s="3" t="s">
        <v>414</v>
      </c>
    </row>
  </sheetData>
  <autoFilter ref="A1:D3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1" width="30" customWidth="1"/>
  </cols>
  <sheetData>
    <row r="1" spans="1:11" ht="30" customHeight="1" x14ac:dyDescent="0.2">
      <c r="A1" s="1" t="s">
        <v>415</v>
      </c>
      <c r="B1" s="1" t="s">
        <v>416</v>
      </c>
      <c r="C1" s="1" t="s">
        <v>417</v>
      </c>
      <c r="D1" s="1" t="s">
        <v>418</v>
      </c>
      <c r="E1" s="1" t="s">
        <v>419</v>
      </c>
      <c r="F1" s="1" t="s">
        <v>420</v>
      </c>
      <c r="G1" s="1" t="s">
        <v>421</v>
      </c>
      <c r="H1" s="1" t="s">
        <v>422</v>
      </c>
      <c r="I1" s="1" t="s">
        <v>423</v>
      </c>
      <c r="J1" s="1" t="s">
        <v>424</v>
      </c>
      <c r="K1" s="1" t="s">
        <v>425</v>
      </c>
    </row>
    <row r="2" spans="1:11" ht="60" customHeight="1" x14ac:dyDescent="0.2">
      <c r="A2" s="5" t="s">
        <v>426</v>
      </c>
      <c r="B2" s="3"/>
      <c r="C2" s="3"/>
      <c r="D2" s="3"/>
      <c r="E2" s="3"/>
      <c r="F2" s="3"/>
      <c r="G2" s="3"/>
      <c r="H2" s="3"/>
      <c r="I2" s="3"/>
      <c r="J2" s="3"/>
      <c r="K2" s="3"/>
    </row>
    <row r="3" spans="1:11" ht="60" customHeight="1" x14ac:dyDescent="0.2">
      <c r="A3" s="3" t="s">
        <v>427</v>
      </c>
      <c r="B3" s="3" t="s">
        <v>428</v>
      </c>
      <c r="C3" s="3" t="s">
        <v>429</v>
      </c>
      <c r="D3" s="3" t="s">
        <v>430</v>
      </c>
      <c r="E3" s="3" t="s">
        <v>431</v>
      </c>
      <c r="F3" s="6" t="s">
        <v>432</v>
      </c>
      <c r="G3" s="3" t="s">
        <v>433</v>
      </c>
      <c r="H3" s="3" t="s">
        <v>434</v>
      </c>
      <c r="I3" s="3" t="s">
        <v>428</v>
      </c>
      <c r="J3" s="3"/>
      <c r="K3" s="3"/>
    </row>
    <row r="4" spans="1:11" ht="60" customHeight="1" x14ac:dyDescent="0.2">
      <c r="A4" s="3" t="s">
        <v>435</v>
      </c>
      <c r="B4" s="3" t="s">
        <v>428</v>
      </c>
      <c r="C4" s="3" t="s">
        <v>429</v>
      </c>
      <c r="D4" s="3" t="s">
        <v>436</v>
      </c>
      <c r="E4" s="3" t="s">
        <v>437</v>
      </c>
      <c r="F4" s="6" t="s">
        <v>432</v>
      </c>
      <c r="G4" s="3" t="s">
        <v>438</v>
      </c>
      <c r="H4" s="3" t="s">
        <v>439</v>
      </c>
      <c r="I4" s="3" t="s">
        <v>428</v>
      </c>
      <c r="J4" s="3"/>
      <c r="K4" s="3"/>
    </row>
    <row r="5" spans="1:11" ht="60" customHeight="1" x14ac:dyDescent="0.2">
      <c r="A5" s="3" t="s">
        <v>440</v>
      </c>
      <c r="B5" s="3" t="s">
        <v>428</v>
      </c>
      <c r="C5" s="3" t="s">
        <v>429</v>
      </c>
      <c r="D5" s="3" t="s">
        <v>441</v>
      </c>
      <c r="E5" s="3" t="s">
        <v>442</v>
      </c>
      <c r="F5" s="6" t="s">
        <v>432</v>
      </c>
      <c r="G5" s="3" t="s">
        <v>443</v>
      </c>
      <c r="H5" s="3" t="s">
        <v>444</v>
      </c>
      <c r="I5" s="3" t="s">
        <v>428</v>
      </c>
      <c r="J5" s="3"/>
      <c r="K5" s="3"/>
    </row>
    <row r="6" spans="1:11" ht="60" customHeight="1" x14ac:dyDescent="0.2">
      <c r="A6" s="3" t="s">
        <v>445</v>
      </c>
      <c r="B6" s="3" t="s">
        <v>428</v>
      </c>
      <c r="C6" s="3" t="s">
        <v>429</v>
      </c>
      <c r="D6" s="3" t="s">
        <v>446</v>
      </c>
      <c r="E6" s="3" t="s">
        <v>447</v>
      </c>
      <c r="F6" s="6" t="s">
        <v>432</v>
      </c>
      <c r="G6" s="3" t="s">
        <v>448</v>
      </c>
      <c r="H6" s="3" t="s">
        <v>449</v>
      </c>
      <c r="I6" s="3" t="s">
        <v>428</v>
      </c>
      <c r="J6" s="3"/>
      <c r="K6" s="3" t="s">
        <v>450</v>
      </c>
    </row>
    <row r="7" spans="1:11" ht="60" customHeight="1" x14ac:dyDescent="0.2">
      <c r="A7" s="3" t="s">
        <v>451</v>
      </c>
      <c r="B7" s="3" t="s">
        <v>428</v>
      </c>
      <c r="C7" s="3" t="s">
        <v>429</v>
      </c>
      <c r="D7" s="3" t="s">
        <v>452</v>
      </c>
      <c r="E7" s="3" t="s">
        <v>453</v>
      </c>
      <c r="F7" s="6" t="s">
        <v>432</v>
      </c>
      <c r="G7" s="3" t="s">
        <v>454</v>
      </c>
      <c r="H7" s="3" t="s">
        <v>455</v>
      </c>
      <c r="I7" s="3" t="s">
        <v>428</v>
      </c>
      <c r="J7" s="3"/>
      <c r="K7" s="3" t="s">
        <v>456</v>
      </c>
    </row>
    <row r="8" spans="1:11" ht="60" customHeight="1" x14ac:dyDescent="0.2">
      <c r="A8" s="3" t="s">
        <v>457</v>
      </c>
      <c r="B8" s="3" t="s">
        <v>428</v>
      </c>
      <c r="C8" s="3" t="s">
        <v>429</v>
      </c>
      <c r="D8" s="3" t="s">
        <v>458</v>
      </c>
      <c r="E8" s="3" t="s">
        <v>459</v>
      </c>
      <c r="F8" s="6" t="s">
        <v>432</v>
      </c>
      <c r="G8" s="3" t="s">
        <v>460</v>
      </c>
      <c r="H8" s="3" t="s">
        <v>461</v>
      </c>
      <c r="I8" s="3" t="s">
        <v>428</v>
      </c>
      <c r="J8" s="3"/>
      <c r="K8" s="3" t="s">
        <v>462</v>
      </c>
    </row>
    <row r="9" spans="1:11" ht="60" customHeight="1" x14ac:dyDescent="0.2">
      <c r="A9" s="3" t="s">
        <v>463</v>
      </c>
      <c r="B9" s="3" t="s">
        <v>428</v>
      </c>
      <c r="C9" s="3" t="s">
        <v>429</v>
      </c>
      <c r="D9" s="3" t="s">
        <v>464</v>
      </c>
      <c r="E9" s="3" t="s">
        <v>465</v>
      </c>
      <c r="F9" s="6" t="s">
        <v>432</v>
      </c>
      <c r="G9" s="3" t="s">
        <v>466</v>
      </c>
      <c r="H9" s="3" t="s">
        <v>461</v>
      </c>
      <c r="I9" s="3" t="s">
        <v>428</v>
      </c>
      <c r="J9" s="3"/>
      <c r="K9" s="3" t="s">
        <v>462</v>
      </c>
    </row>
    <row r="10" spans="1:11" ht="45" customHeight="1" x14ac:dyDescent="0.2">
      <c r="A10" s="3" t="s">
        <v>467</v>
      </c>
      <c r="B10" s="3" t="s">
        <v>428</v>
      </c>
      <c r="C10" s="3" t="s">
        <v>429</v>
      </c>
      <c r="D10" s="3" t="s">
        <v>468</v>
      </c>
      <c r="E10" s="3" t="s">
        <v>469</v>
      </c>
      <c r="F10" s="6" t="s">
        <v>432</v>
      </c>
      <c r="G10" s="3" t="s">
        <v>470</v>
      </c>
      <c r="H10" s="3" t="s">
        <v>471</v>
      </c>
      <c r="I10" s="3" t="s">
        <v>428</v>
      </c>
      <c r="J10" s="3"/>
      <c r="K10" s="3"/>
    </row>
    <row r="11" spans="1:11" ht="60" customHeight="1" x14ac:dyDescent="0.2">
      <c r="A11" s="3" t="s">
        <v>472</v>
      </c>
      <c r="B11" s="3" t="s">
        <v>428</v>
      </c>
      <c r="C11" s="3" t="s">
        <v>429</v>
      </c>
      <c r="D11" s="3" t="s">
        <v>473</v>
      </c>
      <c r="E11" s="3" t="s">
        <v>474</v>
      </c>
      <c r="F11" s="6" t="s">
        <v>432</v>
      </c>
      <c r="G11" s="3" t="s">
        <v>475</v>
      </c>
      <c r="H11" s="3" t="s">
        <v>461</v>
      </c>
      <c r="I11" s="3" t="s">
        <v>428</v>
      </c>
      <c r="J11" s="3"/>
      <c r="K11" s="3" t="s">
        <v>462</v>
      </c>
    </row>
    <row r="12" spans="1:11" ht="60" customHeight="1" x14ac:dyDescent="0.2">
      <c r="A12" s="3" t="s">
        <v>476</v>
      </c>
      <c r="B12" s="3" t="s">
        <v>428</v>
      </c>
      <c r="C12" s="3" t="s">
        <v>429</v>
      </c>
      <c r="D12" s="3" t="s">
        <v>477</v>
      </c>
      <c r="E12" s="3" t="s">
        <v>478</v>
      </c>
      <c r="F12" s="6" t="s">
        <v>432</v>
      </c>
      <c r="G12" s="3" t="s">
        <v>466</v>
      </c>
      <c r="H12" s="3" t="s">
        <v>461</v>
      </c>
      <c r="I12" s="3" t="s">
        <v>428</v>
      </c>
      <c r="J12" s="3"/>
      <c r="K12" s="3" t="s">
        <v>462</v>
      </c>
    </row>
    <row r="13" spans="1:11" ht="60" customHeight="1" x14ac:dyDescent="0.2">
      <c r="A13" s="3" t="s">
        <v>479</v>
      </c>
      <c r="B13" s="3" t="s">
        <v>428</v>
      </c>
      <c r="C13" s="3" t="s">
        <v>429</v>
      </c>
      <c r="D13" s="3" t="s">
        <v>480</v>
      </c>
      <c r="E13" s="3" t="s">
        <v>481</v>
      </c>
      <c r="F13" s="6" t="s">
        <v>432</v>
      </c>
      <c r="G13" s="3" t="s">
        <v>482</v>
      </c>
      <c r="H13" s="3" t="s">
        <v>461</v>
      </c>
      <c r="I13" s="3" t="s">
        <v>428</v>
      </c>
      <c r="J13" s="3"/>
      <c r="K13" s="3" t="s">
        <v>462</v>
      </c>
    </row>
    <row r="14" spans="1:11" ht="60" customHeight="1" x14ac:dyDescent="0.2">
      <c r="A14" s="3" t="s">
        <v>483</v>
      </c>
      <c r="B14" s="3" t="s">
        <v>428</v>
      </c>
      <c r="C14" s="3" t="s">
        <v>484</v>
      </c>
      <c r="D14" s="3" t="s">
        <v>485</v>
      </c>
      <c r="E14" s="3" t="s">
        <v>486</v>
      </c>
      <c r="F14" s="6" t="s">
        <v>432</v>
      </c>
      <c r="G14" s="3" t="s">
        <v>487</v>
      </c>
      <c r="H14" s="3" t="s">
        <v>488</v>
      </c>
      <c r="I14" s="3" t="s">
        <v>428</v>
      </c>
      <c r="J14" s="3"/>
      <c r="K14" s="3" t="s">
        <v>489</v>
      </c>
    </row>
    <row r="15" spans="1:11" ht="60" customHeight="1" x14ac:dyDescent="0.2">
      <c r="A15" s="3" t="s">
        <v>490</v>
      </c>
      <c r="B15" s="3" t="s">
        <v>428</v>
      </c>
      <c r="C15" s="3" t="s">
        <v>491</v>
      </c>
      <c r="D15" s="3" t="s">
        <v>492</v>
      </c>
      <c r="E15" s="3" t="s">
        <v>493</v>
      </c>
      <c r="F15" s="6" t="s">
        <v>432</v>
      </c>
      <c r="G15" s="3" t="s">
        <v>494</v>
      </c>
      <c r="H15" s="3" t="s">
        <v>495</v>
      </c>
      <c r="I15" s="3" t="s">
        <v>428</v>
      </c>
      <c r="J15" s="3"/>
      <c r="K15" s="3" t="s">
        <v>496</v>
      </c>
    </row>
    <row r="16" spans="1:11" ht="60" customHeight="1" x14ac:dyDescent="0.2">
      <c r="A16" s="3" t="s">
        <v>497</v>
      </c>
      <c r="B16" s="3" t="s">
        <v>428</v>
      </c>
      <c r="C16" s="3" t="s">
        <v>429</v>
      </c>
      <c r="D16" s="3" t="s">
        <v>498</v>
      </c>
      <c r="E16" s="3" t="s">
        <v>499</v>
      </c>
      <c r="F16" s="6" t="s">
        <v>432</v>
      </c>
      <c r="G16" s="3" t="s">
        <v>500</v>
      </c>
      <c r="H16" s="3" t="s">
        <v>501</v>
      </c>
      <c r="I16" s="3" t="s">
        <v>428</v>
      </c>
      <c r="J16" s="3"/>
      <c r="K16" s="3" t="s">
        <v>462</v>
      </c>
    </row>
    <row r="17" spans="1:11" ht="60" customHeight="1" x14ac:dyDescent="0.2">
      <c r="A17" s="3" t="s">
        <v>502</v>
      </c>
      <c r="B17" s="3" t="s">
        <v>428</v>
      </c>
      <c r="C17" s="3" t="s">
        <v>429</v>
      </c>
      <c r="D17" s="3" t="s">
        <v>503</v>
      </c>
      <c r="E17" s="3" t="s">
        <v>504</v>
      </c>
      <c r="F17" s="6" t="s">
        <v>432</v>
      </c>
      <c r="G17" s="3" t="s">
        <v>466</v>
      </c>
      <c r="H17" s="3" t="s">
        <v>461</v>
      </c>
      <c r="I17" s="3" t="s">
        <v>505</v>
      </c>
      <c r="J17" s="3"/>
      <c r="K17" s="3" t="s">
        <v>462</v>
      </c>
    </row>
    <row r="18" spans="1:11" ht="60" customHeight="1" x14ac:dyDescent="0.2">
      <c r="A18" s="3" t="s">
        <v>506</v>
      </c>
      <c r="B18" s="3" t="s">
        <v>428</v>
      </c>
      <c r="C18" s="3" t="s">
        <v>429</v>
      </c>
      <c r="D18" s="3" t="s">
        <v>507</v>
      </c>
      <c r="E18" s="3" t="s">
        <v>508</v>
      </c>
      <c r="F18" s="6" t="s">
        <v>432</v>
      </c>
      <c r="G18" s="3" t="s">
        <v>509</v>
      </c>
      <c r="H18" s="3" t="s">
        <v>510</v>
      </c>
      <c r="I18" s="3" t="s">
        <v>428</v>
      </c>
      <c r="J18" s="3"/>
      <c r="K18" s="3" t="s">
        <v>462</v>
      </c>
    </row>
    <row r="19" spans="1:11" ht="60" customHeight="1" x14ac:dyDescent="0.2">
      <c r="A19" s="3" t="s">
        <v>511</v>
      </c>
      <c r="B19" s="3" t="s">
        <v>428</v>
      </c>
      <c r="C19" s="3" t="s">
        <v>429</v>
      </c>
      <c r="D19" s="3" t="s">
        <v>512</v>
      </c>
      <c r="E19" s="3" t="s">
        <v>513</v>
      </c>
      <c r="F19" s="6" t="s">
        <v>432</v>
      </c>
      <c r="G19" s="3" t="s">
        <v>514</v>
      </c>
      <c r="H19" s="3" t="s">
        <v>515</v>
      </c>
      <c r="I19" s="3" t="s">
        <v>428</v>
      </c>
      <c r="J19" s="3"/>
      <c r="K19" s="3" t="s">
        <v>462</v>
      </c>
    </row>
    <row r="20" spans="1:11" ht="60" customHeight="1" x14ac:dyDescent="0.2">
      <c r="A20" s="3" t="s">
        <v>516</v>
      </c>
      <c r="B20" s="3" t="s">
        <v>428</v>
      </c>
      <c r="C20" s="3" t="s">
        <v>517</v>
      </c>
      <c r="D20" s="3" t="s">
        <v>518</v>
      </c>
      <c r="E20" s="3" t="s">
        <v>519</v>
      </c>
      <c r="F20" s="7" t="s">
        <v>520</v>
      </c>
      <c r="G20" s="3" t="s">
        <v>521</v>
      </c>
      <c r="H20" s="3" t="s">
        <v>522</v>
      </c>
      <c r="I20" s="3" t="s">
        <v>505</v>
      </c>
      <c r="J20" s="3"/>
      <c r="K20" s="3" t="s">
        <v>523</v>
      </c>
    </row>
    <row r="21" spans="1:11" ht="60" customHeight="1" x14ac:dyDescent="0.2">
      <c r="A21" s="3" t="s">
        <v>524</v>
      </c>
      <c r="B21" s="3" t="s">
        <v>428</v>
      </c>
      <c r="C21" s="3" t="s">
        <v>429</v>
      </c>
      <c r="D21" s="3" t="s">
        <v>525</v>
      </c>
      <c r="E21" s="3" t="s">
        <v>526</v>
      </c>
      <c r="F21" s="6" t="s">
        <v>432</v>
      </c>
      <c r="G21" s="3" t="s">
        <v>527</v>
      </c>
      <c r="H21" s="3" t="s">
        <v>515</v>
      </c>
      <c r="I21" s="3" t="s">
        <v>428</v>
      </c>
      <c r="J21" s="3"/>
      <c r="K21" s="3" t="s">
        <v>462</v>
      </c>
    </row>
    <row r="22" spans="1:11" ht="60" customHeight="1" x14ac:dyDescent="0.2">
      <c r="A22" s="3" t="s">
        <v>528</v>
      </c>
      <c r="B22" s="3" t="s">
        <v>428</v>
      </c>
      <c r="C22" s="3" t="s">
        <v>429</v>
      </c>
      <c r="D22" s="3" t="s">
        <v>529</v>
      </c>
      <c r="E22" s="3" t="s">
        <v>530</v>
      </c>
      <c r="F22" s="6" t="s">
        <v>432</v>
      </c>
      <c r="G22" s="3" t="s">
        <v>531</v>
      </c>
      <c r="H22" s="3" t="s">
        <v>532</v>
      </c>
      <c r="I22" s="3" t="s">
        <v>428</v>
      </c>
      <c r="J22" s="3"/>
      <c r="K22" s="3"/>
    </row>
    <row r="23" spans="1:11" ht="60" customHeight="1" x14ac:dyDescent="0.2">
      <c r="A23" s="3" t="s">
        <v>533</v>
      </c>
      <c r="B23" s="3" t="s">
        <v>505</v>
      </c>
      <c r="C23" s="3" t="s">
        <v>534</v>
      </c>
      <c r="D23" s="3" t="s">
        <v>535</v>
      </c>
      <c r="E23" s="3" t="s">
        <v>536</v>
      </c>
      <c r="F23" s="6" t="s">
        <v>432</v>
      </c>
      <c r="G23" s="3" t="s">
        <v>537</v>
      </c>
      <c r="H23" s="3" t="s">
        <v>538</v>
      </c>
      <c r="I23" s="3" t="s">
        <v>539</v>
      </c>
      <c r="J23" s="3"/>
      <c r="K23" s="3" t="s">
        <v>540</v>
      </c>
    </row>
    <row r="24" spans="1:11" ht="60" customHeight="1" x14ac:dyDescent="0.2">
      <c r="A24" s="3" t="s">
        <v>541</v>
      </c>
      <c r="B24" s="3" t="s">
        <v>428</v>
      </c>
      <c r="C24" s="3" t="s">
        <v>429</v>
      </c>
      <c r="D24" s="3" t="s">
        <v>542</v>
      </c>
      <c r="E24" s="3" t="s">
        <v>543</v>
      </c>
      <c r="F24" s="6" t="s">
        <v>432</v>
      </c>
      <c r="G24" s="3" t="s">
        <v>514</v>
      </c>
      <c r="H24" s="3" t="s">
        <v>515</v>
      </c>
      <c r="I24" s="3" t="s">
        <v>428</v>
      </c>
      <c r="J24" s="3"/>
      <c r="K24" s="3" t="s">
        <v>544</v>
      </c>
    </row>
    <row r="25" spans="1:11" ht="60" customHeight="1" x14ac:dyDescent="0.2">
      <c r="A25" s="3" t="s">
        <v>545</v>
      </c>
      <c r="B25" s="3" t="s">
        <v>428</v>
      </c>
      <c r="C25" s="3" t="s">
        <v>429</v>
      </c>
      <c r="D25" s="3" t="s">
        <v>546</v>
      </c>
      <c r="E25" s="3" t="s">
        <v>547</v>
      </c>
      <c r="F25" s="6" t="s">
        <v>432</v>
      </c>
      <c r="G25" s="3" t="s">
        <v>548</v>
      </c>
      <c r="H25" s="3" t="s">
        <v>549</v>
      </c>
      <c r="I25" s="3" t="s">
        <v>428</v>
      </c>
      <c r="J25" s="3"/>
      <c r="K25" s="3"/>
    </row>
    <row r="26" spans="1:11" ht="60" customHeight="1" x14ac:dyDescent="0.2">
      <c r="A26" s="3" t="s">
        <v>550</v>
      </c>
      <c r="B26" s="3" t="s">
        <v>428</v>
      </c>
      <c r="C26" s="3" t="s">
        <v>429</v>
      </c>
      <c r="D26" s="3" t="s">
        <v>551</v>
      </c>
      <c r="E26" s="3" t="s">
        <v>552</v>
      </c>
      <c r="F26" s="6" t="s">
        <v>432</v>
      </c>
      <c r="G26" s="3" t="s">
        <v>553</v>
      </c>
      <c r="H26" s="3" t="s">
        <v>501</v>
      </c>
      <c r="I26" s="3" t="s">
        <v>428</v>
      </c>
      <c r="J26" s="3"/>
      <c r="K26" s="3" t="s">
        <v>462</v>
      </c>
    </row>
    <row r="27" spans="1:11" ht="60" customHeight="1" x14ac:dyDescent="0.2">
      <c r="A27" s="3" t="s">
        <v>554</v>
      </c>
      <c r="B27" s="3" t="s">
        <v>505</v>
      </c>
      <c r="C27" s="3" t="s">
        <v>534</v>
      </c>
      <c r="D27" s="3" t="s">
        <v>555</v>
      </c>
      <c r="E27" s="3" t="s">
        <v>556</v>
      </c>
      <c r="F27" s="6" t="s">
        <v>432</v>
      </c>
      <c r="G27" s="3" t="s">
        <v>557</v>
      </c>
      <c r="H27" s="3" t="s">
        <v>558</v>
      </c>
      <c r="I27" s="3" t="s">
        <v>505</v>
      </c>
      <c r="J27" s="3"/>
      <c r="K27" s="3"/>
    </row>
    <row r="28" spans="1:11" ht="60" customHeight="1" x14ac:dyDescent="0.2">
      <c r="A28" s="3" t="s">
        <v>559</v>
      </c>
      <c r="B28" s="3" t="s">
        <v>428</v>
      </c>
      <c r="C28" s="3" t="s">
        <v>429</v>
      </c>
      <c r="D28" s="3" t="s">
        <v>560</v>
      </c>
      <c r="E28" s="3" t="s">
        <v>561</v>
      </c>
      <c r="F28" s="6" t="s">
        <v>432</v>
      </c>
      <c r="G28" s="3" t="s">
        <v>466</v>
      </c>
      <c r="H28" s="3" t="s">
        <v>461</v>
      </c>
      <c r="I28" s="3" t="s">
        <v>505</v>
      </c>
      <c r="J28" s="3"/>
      <c r="K28" s="3" t="s">
        <v>562</v>
      </c>
    </row>
    <row r="29" spans="1:11" ht="45" customHeight="1" x14ac:dyDescent="0.2">
      <c r="A29" s="3" t="s">
        <v>563</v>
      </c>
      <c r="B29" s="3" t="s">
        <v>428</v>
      </c>
      <c r="C29" s="3" t="s">
        <v>429</v>
      </c>
      <c r="D29" s="3" t="s">
        <v>564</v>
      </c>
      <c r="E29" s="3" t="s">
        <v>565</v>
      </c>
      <c r="F29" s="7" t="s">
        <v>566</v>
      </c>
      <c r="G29" s="3" t="s">
        <v>567</v>
      </c>
      <c r="H29" s="3" t="s">
        <v>568</v>
      </c>
      <c r="I29" s="3" t="s">
        <v>428</v>
      </c>
      <c r="J29" s="3"/>
      <c r="K29" s="3" t="s">
        <v>569</v>
      </c>
    </row>
    <row r="30" spans="1:11" ht="60" customHeight="1" x14ac:dyDescent="0.2">
      <c r="A30" s="3" t="s">
        <v>570</v>
      </c>
      <c r="B30" s="3" t="s">
        <v>571</v>
      </c>
      <c r="C30" s="3" t="s">
        <v>572</v>
      </c>
      <c r="D30" s="3" t="s">
        <v>573</v>
      </c>
      <c r="E30" s="3" t="s">
        <v>574</v>
      </c>
      <c r="F30" s="6" t="s">
        <v>432</v>
      </c>
      <c r="G30" s="3" t="s">
        <v>575</v>
      </c>
      <c r="H30" s="3" t="s">
        <v>576</v>
      </c>
      <c r="I30" s="3" t="s">
        <v>577</v>
      </c>
      <c r="J30" s="3"/>
      <c r="K30" s="3"/>
    </row>
    <row r="31" spans="1:11" ht="60" customHeight="1" x14ac:dyDescent="0.2">
      <c r="A31" s="3" t="s">
        <v>578</v>
      </c>
      <c r="B31" s="3" t="s">
        <v>571</v>
      </c>
      <c r="C31" s="3" t="s">
        <v>572</v>
      </c>
      <c r="D31" s="3" t="s">
        <v>579</v>
      </c>
      <c r="E31" s="3" t="s">
        <v>574</v>
      </c>
      <c r="F31" s="6" t="s">
        <v>432</v>
      </c>
      <c r="G31" s="3" t="s">
        <v>580</v>
      </c>
      <c r="H31" s="3" t="s">
        <v>581</v>
      </c>
      <c r="I31" s="3" t="s">
        <v>577</v>
      </c>
      <c r="J31" s="3"/>
      <c r="K31" s="3"/>
    </row>
    <row r="32" spans="1:11" ht="60" customHeight="1" x14ac:dyDescent="0.2">
      <c r="A32" s="3" t="s">
        <v>582</v>
      </c>
      <c r="B32" s="3" t="s">
        <v>571</v>
      </c>
      <c r="C32" s="3" t="s">
        <v>572</v>
      </c>
      <c r="D32" s="3" t="s">
        <v>583</v>
      </c>
      <c r="E32" s="3" t="s">
        <v>574</v>
      </c>
      <c r="F32" s="6" t="s">
        <v>432</v>
      </c>
      <c r="G32" s="3" t="s">
        <v>584</v>
      </c>
      <c r="H32" s="3" t="s">
        <v>585</v>
      </c>
      <c r="I32" s="3" t="s">
        <v>539</v>
      </c>
      <c r="J32" s="3"/>
      <c r="K32" s="3" t="s">
        <v>586</v>
      </c>
    </row>
    <row r="33" spans="1:11" ht="60" customHeight="1" x14ac:dyDescent="0.2">
      <c r="A33" s="3" t="s">
        <v>587</v>
      </c>
      <c r="B33" s="3" t="s">
        <v>571</v>
      </c>
      <c r="C33" s="3" t="s">
        <v>572</v>
      </c>
      <c r="D33" s="3" t="s">
        <v>588</v>
      </c>
      <c r="E33" s="3" t="s">
        <v>574</v>
      </c>
      <c r="F33" s="6" t="s">
        <v>432</v>
      </c>
      <c r="G33" s="3" t="s">
        <v>589</v>
      </c>
      <c r="H33" s="3" t="s">
        <v>590</v>
      </c>
      <c r="I33" s="3" t="s">
        <v>577</v>
      </c>
      <c r="J33" s="3"/>
      <c r="K33" s="3"/>
    </row>
    <row r="34" spans="1:11" ht="60" customHeight="1" x14ac:dyDescent="0.2">
      <c r="A34" s="3" t="s">
        <v>591</v>
      </c>
      <c r="B34" s="3" t="s">
        <v>571</v>
      </c>
      <c r="C34" s="3" t="s">
        <v>572</v>
      </c>
      <c r="D34" s="3" t="s">
        <v>592</v>
      </c>
      <c r="E34" s="3" t="s">
        <v>574</v>
      </c>
      <c r="F34" s="6" t="s">
        <v>432</v>
      </c>
      <c r="G34" s="3" t="s">
        <v>593</v>
      </c>
      <c r="H34" s="3" t="s">
        <v>594</v>
      </c>
      <c r="I34" s="3" t="s">
        <v>577</v>
      </c>
      <c r="J34" s="3"/>
      <c r="K34" s="3"/>
    </row>
    <row r="35" spans="1:11" ht="60" customHeight="1" x14ac:dyDescent="0.2">
      <c r="A35" s="3" t="s">
        <v>595</v>
      </c>
      <c r="B35" s="3" t="s">
        <v>571</v>
      </c>
      <c r="C35" s="3" t="s">
        <v>572</v>
      </c>
      <c r="D35" s="3" t="s">
        <v>596</v>
      </c>
      <c r="E35" s="3" t="s">
        <v>574</v>
      </c>
      <c r="F35" s="6" t="s">
        <v>432</v>
      </c>
      <c r="G35" s="3" t="s">
        <v>597</v>
      </c>
      <c r="H35" s="3" t="s">
        <v>598</v>
      </c>
      <c r="I35" s="3" t="s">
        <v>577</v>
      </c>
      <c r="J35" s="3"/>
      <c r="K35" s="3"/>
    </row>
    <row r="36" spans="1:11" ht="60" customHeight="1" x14ac:dyDescent="0.2">
      <c r="A36" s="3" t="s">
        <v>599</v>
      </c>
      <c r="B36" s="3" t="s">
        <v>571</v>
      </c>
      <c r="C36" s="3" t="s">
        <v>572</v>
      </c>
      <c r="D36" s="3" t="s">
        <v>600</v>
      </c>
      <c r="E36" s="3" t="s">
        <v>574</v>
      </c>
      <c r="F36" s="6" t="s">
        <v>432</v>
      </c>
      <c r="G36" s="3" t="s">
        <v>601</v>
      </c>
      <c r="H36" s="3" t="s">
        <v>602</v>
      </c>
      <c r="I36" s="3" t="s">
        <v>577</v>
      </c>
      <c r="J36" s="3"/>
      <c r="K36" s="3"/>
    </row>
    <row r="37" spans="1:11" ht="60" customHeight="1" x14ac:dyDescent="0.2">
      <c r="A37" s="3" t="s">
        <v>603</v>
      </c>
      <c r="B37" s="3" t="s">
        <v>604</v>
      </c>
      <c r="C37" s="3" t="s">
        <v>605</v>
      </c>
      <c r="D37" s="3" t="s">
        <v>606</v>
      </c>
      <c r="E37" s="3" t="s">
        <v>607</v>
      </c>
      <c r="F37" s="6" t="s">
        <v>432</v>
      </c>
      <c r="G37" s="3" t="s">
        <v>608</v>
      </c>
      <c r="H37" s="3" t="s">
        <v>609</v>
      </c>
      <c r="I37" s="3" t="s">
        <v>577</v>
      </c>
      <c r="J37" s="3"/>
      <c r="K37" s="3" t="s">
        <v>610</v>
      </c>
    </row>
    <row r="38" spans="1:11" ht="60" customHeight="1" x14ac:dyDescent="0.2">
      <c r="A38" s="3" t="s">
        <v>611</v>
      </c>
      <c r="B38" s="3" t="s">
        <v>604</v>
      </c>
      <c r="C38" s="3" t="s">
        <v>605</v>
      </c>
      <c r="D38" s="3" t="s">
        <v>612</v>
      </c>
      <c r="E38" s="3" t="s">
        <v>613</v>
      </c>
      <c r="F38" s="6" t="s">
        <v>432</v>
      </c>
      <c r="G38" s="3" t="s">
        <v>614</v>
      </c>
      <c r="H38" s="3" t="s">
        <v>615</v>
      </c>
      <c r="I38" s="3" t="s">
        <v>505</v>
      </c>
      <c r="J38" s="3"/>
      <c r="K38" s="3" t="s">
        <v>616</v>
      </c>
    </row>
    <row r="39" spans="1:11" ht="60" customHeight="1" x14ac:dyDescent="0.2">
      <c r="A39" s="3" t="s">
        <v>617</v>
      </c>
      <c r="B39" s="3" t="s">
        <v>604</v>
      </c>
      <c r="C39" s="3" t="s">
        <v>605</v>
      </c>
      <c r="D39" s="3" t="s">
        <v>618</v>
      </c>
      <c r="E39" s="3" t="s">
        <v>619</v>
      </c>
      <c r="F39" s="6" t="s">
        <v>432</v>
      </c>
      <c r="G39" s="3" t="s">
        <v>620</v>
      </c>
      <c r="H39" s="3" t="s">
        <v>621</v>
      </c>
      <c r="I39" s="3" t="s">
        <v>577</v>
      </c>
      <c r="J39" s="3"/>
      <c r="K39" s="3" t="s">
        <v>622</v>
      </c>
    </row>
    <row r="40" spans="1:11" ht="60" customHeight="1" x14ac:dyDescent="0.2">
      <c r="A40" s="3" t="s">
        <v>623</v>
      </c>
      <c r="B40" s="3" t="s">
        <v>604</v>
      </c>
      <c r="C40" s="3" t="s">
        <v>605</v>
      </c>
      <c r="D40" s="3" t="s">
        <v>624</v>
      </c>
      <c r="E40" s="3" t="s">
        <v>613</v>
      </c>
      <c r="F40" s="6" t="s">
        <v>432</v>
      </c>
      <c r="G40" s="3" t="s">
        <v>625</v>
      </c>
      <c r="H40" s="3" t="s">
        <v>609</v>
      </c>
      <c r="I40" s="3" t="s">
        <v>577</v>
      </c>
      <c r="J40" s="3"/>
      <c r="K40" s="3" t="s">
        <v>626</v>
      </c>
    </row>
    <row r="41" spans="1:11" ht="60" customHeight="1" x14ac:dyDescent="0.2">
      <c r="A41" s="3" t="s">
        <v>627</v>
      </c>
      <c r="B41" s="3" t="s">
        <v>604</v>
      </c>
      <c r="C41" s="3" t="s">
        <v>605</v>
      </c>
      <c r="D41" s="3" t="s">
        <v>628</v>
      </c>
      <c r="E41" s="3" t="s">
        <v>629</v>
      </c>
      <c r="F41" s="6" t="s">
        <v>432</v>
      </c>
      <c r="G41" s="3" t="s">
        <v>630</v>
      </c>
      <c r="H41" s="3" t="s">
        <v>631</v>
      </c>
      <c r="I41" s="3" t="s">
        <v>428</v>
      </c>
      <c r="J41" s="3"/>
      <c r="K41" s="3" t="s">
        <v>462</v>
      </c>
    </row>
    <row r="42" spans="1:11" ht="60" customHeight="1" x14ac:dyDescent="0.2">
      <c r="A42" s="3" t="s">
        <v>632</v>
      </c>
      <c r="B42" s="3" t="s">
        <v>604</v>
      </c>
      <c r="C42" s="3" t="s">
        <v>605</v>
      </c>
      <c r="D42" s="3" t="s">
        <v>633</v>
      </c>
      <c r="E42" s="3" t="s">
        <v>634</v>
      </c>
      <c r="F42" s="6" t="s">
        <v>432</v>
      </c>
      <c r="G42" s="3" t="s">
        <v>635</v>
      </c>
      <c r="H42" s="3" t="s">
        <v>636</v>
      </c>
      <c r="I42" s="3" t="s">
        <v>577</v>
      </c>
      <c r="J42" s="3"/>
      <c r="K42" s="3" t="s">
        <v>637</v>
      </c>
    </row>
    <row r="43" spans="1:11" ht="60" customHeight="1" x14ac:dyDescent="0.2">
      <c r="A43" s="3" t="s">
        <v>638</v>
      </c>
      <c r="B43" s="3" t="s">
        <v>604</v>
      </c>
      <c r="C43" s="3" t="s">
        <v>605</v>
      </c>
      <c r="D43" s="3" t="s">
        <v>639</v>
      </c>
      <c r="E43" s="3" t="s">
        <v>640</v>
      </c>
      <c r="F43" s="6" t="s">
        <v>432</v>
      </c>
      <c r="G43" s="3" t="s">
        <v>641</v>
      </c>
      <c r="H43" s="3" t="s">
        <v>642</v>
      </c>
      <c r="I43" s="3" t="s">
        <v>577</v>
      </c>
      <c r="J43" s="3"/>
      <c r="K43" s="3" t="s">
        <v>643</v>
      </c>
    </row>
    <row r="44" spans="1:11" ht="60" customHeight="1" x14ac:dyDescent="0.2">
      <c r="A44" s="3" t="s">
        <v>644</v>
      </c>
      <c r="B44" s="3" t="s">
        <v>604</v>
      </c>
      <c r="C44" s="3" t="s">
        <v>645</v>
      </c>
      <c r="D44" s="3" t="s">
        <v>646</v>
      </c>
      <c r="E44" s="3" t="s">
        <v>647</v>
      </c>
      <c r="F44" s="8" t="s">
        <v>648</v>
      </c>
      <c r="G44" s="3" t="s">
        <v>649</v>
      </c>
      <c r="H44" s="3" t="s">
        <v>650</v>
      </c>
      <c r="I44" s="3"/>
      <c r="J44" s="3"/>
      <c r="K44" s="3" t="s">
        <v>651</v>
      </c>
    </row>
    <row r="45" spans="1:11" ht="60" customHeight="1" x14ac:dyDescent="0.2">
      <c r="A45" s="3" t="s">
        <v>652</v>
      </c>
      <c r="B45" s="3" t="s">
        <v>428</v>
      </c>
      <c r="C45" s="3" t="s">
        <v>653</v>
      </c>
      <c r="D45" s="3" t="s">
        <v>654</v>
      </c>
      <c r="E45" s="3" t="s">
        <v>655</v>
      </c>
      <c r="F45" s="6" t="s">
        <v>432</v>
      </c>
      <c r="G45" s="3" t="s">
        <v>656</v>
      </c>
      <c r="H45" s="3" t="s">
        <v>657</v>
      </c>
      <c r="I45" s="3" t="s">
        <v>428</v>
      </c>
      <c r="J45" s="3"/>
      <c r="K45" s="3"/>
    </row>
    <row r="46" spans="1:11" ht="60" customHeight="1" x14ac:dyDescent="0.2">
      <c r="A46" s="3" t="s">
        <v>658</v>
      </c>
      <c r="B46" s="3" t="s">
        <v>659</v>
      </c>
      <c r="C46" s="3" t="s">
        <v>660</v>
      </c>
      <c r="D46" s="3" t="s">
        <v>661</v>
      </c>
      <c r="E46" s="3" t="s">
        <v>574</v>
      </c>
      <c r="F46" s="6" t="s">
        <v>432</v>
      </c>
      <c r="G46" s="3" t="s">
        <v>662</v>
      </c>
      <c r="H46" s="3" t="s">
        <v>663</v>
      </c>
      <c r="I46" s="3" t="s">
        <v>577</v>
      </c>
      <c r="J46" s="3"/>
      <c r="K46" s="3"/>
    </row>
    <row r="47" spans="1:11" ht="60" customHeight="1" x14ac:dyDescent="0.2">
      <c r="A47" s="3" t="s">
        <v>664</v>
      </c>
      <c r="B47" s="3" t="s">
        <v>659</v>
      </c>
      <c r="C47" s="3" t="s">
        <v>660</v>
      </c>
      <c r="D47" s="3" t="s">
        <v>665</v>
      </c>
      <c r="E47" s="3" t="s">
        <v>574</v>
      </c>
      <c r="F47" s="6" t="s">
        <v>432</v>
      </c>
      <c r="G47" s="3" t="s">
        <v>666</v>
      </c>
      <c r="H47" s="3" t="s">
        <v>667</v>
      </c>
      <c r="I47" s="3" t="s">
        <v>577</v>
      </c>
      <c r="J47" s="3"/>
      <c r="K47" s="3"/>
    </row>
    <row r="48" spans="1:11" ht="60" customHeight="1" x14ac:dyDescent="0.2">
      <c r="A48" s="3" t="s">
        <v>668</v>
      </c>
      <c r="B48" s="3" t="s">
        <v>659</v>
      </c>
      <c r="C48" s="3" t="s">
        <v>660</v>
      </c>
      <c r="D48" s="3" t="s">
        <v>669</v>
      </c>
      <c r="E48" s="3" t="s">
        <v>574</v>
      </c>
      <c r="F48" s="6" t="s">
        <v>432</v>
      </c>
      <c r="G48" s="3" t="s">
        <v>670</v>
      </c>
      <c r="H48" s="3" t="s">
        <v>671</v>
      </c>
      <c r="I48" s="3" t="s">
        <v>577</v>
      </c>
      <c r="J48" s="3"/>
      <c r="K48" s="3"/>
    </row>
    <row r="49" spans="1:11" ht="60" customHeight="1" x14ac:dyDescent="0.2">
      <c r="A49" s="3" t="s">
        <v>672</v>
      </c>
      <c r="B49" s="3" t="s">
        <v>659</v>
      </c>
      <c r="C49" s="3" t="s">
        <v>660</v>
      </c>
      <c r="D49" s="3" t="s">
        <v>673</v>
      </c>
      <c r="E49" s="3" t="s">
        <v>574</v>
      </c>
      <c r="F49" s="6" t="s">
        <v>432</v>
      </c>
      <c r="G49" s="3" t="s">
        <v>674</v>
      </c>
      <c r="H49" s="3" t="s">
        <v>675</v>
      </c>
      <c r="I49" s="3" t="s">
        <v>539</v>
      </c>
      <c r="J49" s="3"/>
      <c r="K49" s="3" t="s">
        <v>676</v>
      </c>
    </row>
    <row r="50" spans="1:11" ht="60" customHeight="1" x14ac:dyDescent="0.2">
      <c r="A50" s="3" t="s">
        <v>677</v>
      </c>
      <c r="B50" s="3" t="s">
        <v>659</v>
      </c>
      <c r="C50" s="3" t="s">
        <v>660</v>
      </c>
      <c r="D50" s="3" t="s">
        <v>678</v>
      </c>
      <c r="E50" s="3" t="s">
        <v>574</v>
      </c>
      <c r="F50" s="6" t="s">
        <v>432</v>
      </c>
      <c r="G50" s="3" t="s">
        <v>679</v>
      </c>
      <c r="H50" s="3" t="s">
        <v>680</v>
      </c>
      <c r="I50" s="3" t="s">
        <v>577</v>
      </c>
      <c r="J50" s="3"/>
      <c r="K50" s="3"/>
    </row>
    <row r="51" spans="1:11" ht="60" customHeight="1" x14ac:dyDescent="0.2">
      <c r="A51" s="3" t="s">
        <v>681</v>
      </c>
      <c r="B51" s="3" t="s">
        <v>659</v>
      </c>
      <c r="C51" s="3" t="s">
        <v>660</v>
      </c>
      <c r="D51" s="3" t="s">
        <v>682</v>
      </c>
      <c r="E51" s="3" t="s">
        <v>574</v>
      </c>
      <c r="F51" s="6" t="s">
        <v>432</v>
      </c>
      <c r="G51" s="3" t="s">
        <v>683</v>
      </c>
      <c r="H51" s="3" t="s">
        <v>684</v>
      </c>
      <c r="I51" s="3" t="s">
        <v>539</v>
      </c>
      <c r="J51" s="3"/>
      <c r="K51" s="3" t="s">
        <v>685</v>
      </c>
    </row>
    <row r="52" spans="1:11" ht="60" customHeight="1" x14ac:dyDescent="0.2">
      <c r="A52" s="3" t="s">
        <v>686</v>
      </c>
      <c r="B52" s="3" t="s">
        <v>659</v>
      </c>
      <c r="C52" s="3" t="s">
        <v>660</v>
      </c>
      <c r="D52" s="3" t="s">
        <v>687</v>
      </c>
      <c r="E52" s="3" t="s">
        <v>574</v>
      </c>
      <c r="F52" s="6" t="s">
        <v>432</v>
      </c>
      <c r="G52" s="3" t="s">
        <v>688</v>
      </c>
      <c r="H52" s="3" t="s">
        <v>689</v>
      </c>
      <c r="I52" s="3" t="s">
        <v>539</v>
      </c>
      <c r="J52" s="3"/>
      <c r="K52" s="3" t="s">
        <v>690</v>
      </c>
    </row>
    <row r="53" spans="1:11" ht="60" customHeight="1" x14ac:dyDescent="0.2">
      <c r="A53" s="3" t="s">
        <v>691</v>
      </c>
      <c r="B53" s="3" t="s">
        <v>659</v>
      </c>
      <c r="C53" s="3" t="s">
        <v>660</v>
      </c>
      <c r="D53" s="3" t="s">
        <v>692</v>
      </c>
      <c r="E53" s="3" t="s">
        <v>574</v>
      </c>
      <c r="F53" s="6" t="s">
        <v>432</v>
      </c>
      <c r="G53" s="3" t="s">
        <v>693</v>
      </c>
      <c r="H53" s="3" t="s">
        <v>694</v>
      </c>
      <c r="I53" s="3" t="s">
        <v>577</v>
      </c>
      <c r="J53" s="3"/>
      <c r="K53" s="3"/>
    </row>
    <row r="54" spans="1:11" ht="60" customHeight="1" x14ac:dyDescent="0.2">
      <c r="A54" s="3" t="s">
        <v>695</v>
      </c>
      <c r="B54" s="3" t="s">
        <v>659</v>
      </c>
      <c r="C54" s="3" t="s">
        <v>660</v>
      </c>
      <c r="D54" s="3" t="s">
        <v>696</v>
      </c>
      <c r="E54" s="3" t="s">
        <v>574</v>
      </c>
      <c r="F54" s="6" t="s">
        <v>432</v>
      </c>
      <c r="G54" s="3" t="s">
        <v>697</v>
      </c>
      <c r="H54" s="3" t="s">
        <v>698</v>
      </c>
      <c r="I54" s="3" t="s">
        <v>577</v>
      </c>
      <c r="J54" s="3"/>
      <c r="K54" s="3"/>
    </row>
    <row r="55" spans="1:11" ht="60" customHeight="1" x14ac:dyDescent="0.2">
      <c r="A55" s="3" t="s">
        <v>699</v>
      </c>
      <c r="B55" s="3" t="s">
        <v>700</v>
      </c>
      <c r="C55" s="3" t="s">
        <v>701</v>
      </c>
      <c r="D55" s="3" t="s">
        <v>702</v>
      </c>
      <c r="E55" s="3" t="s">
        <v>703</v>
      </c>
      <c r="F55" s="7" t="s">
        <v>566</v>
      </c>
      <c r="G55" s="3" t="s">
        <v>704</v>
      </c>
      <c r="H55" s="3" t="s">
        <v>705</v>
      </c>
      <c r="I55" s="3" t="s">
        <v>700</v>
      </c>
      <c r="J55" s="3"/>
      <c r="K55" s="3" t="s">
        <v>706</v>
      </c>
    </row>
    <row r="56" spans="1:11" ht="60" customHeight="1" x14ac:dyDescent="0.2">
      <c r="A56" s="3" t="s">
        <v>707</v>
      </c>
      <c r="B56" s="3" t="s">
        <v>604</v>
      </c>
      <c r="C56" s="3" t="s">
        <v>708</v>
      </c>
      <c r="D56" s="3" t="s">
        <v>709</v>
      </c>
      <c r="E56" s="3" t="s">
        <v>710</v>
      </c>
      <c r="F56" s="7" t="s">
        <v>711</v>
      </c>
      <c r="G56" s="3" t="s">
        <v>712</v>
      </c>
      <c r="H56" s="3" t="s">
        <v>713</v>
      </c>
      <c r="I56" s="3" t="s">
        <v>714</v>
      </c>
      <c r="J56" s="3"/>
      <c r="K56" s="3" t="s">
        <v>715</v>
      </c>
    </row>
    <row r="57" spans="1:11" ht="60" customHeight="1" x14ac:dyDescent="0.2">
      <c r="A57" s="3" t="s">
        <v>716</v>
      </c>
      <c r="B57" s="3" t="s">
        <v>717</v>
      </c>
      <c r="C57" s="3" t="s">
        <v>718</v>
      </c>
      <c r="D57" s="3" t="s">
        <v>719</v>
      </c>
      <c r="E57" s="3" t="s">
        <v>720</v>
      </c>
      <c r="F57" s="6" t="s">
        <v>432</v>
      </c>
      <c r="G57" s="3" t="s">
        <v>721</v>
      </c>
      <c r="H57" s="3" t="s">
        <v>722</v>
      </c>
      <c r="I57" s="3" t="s">
        <v>539</v>
      </c>
      <c r="J57" s="3"/>
      <c r="K57" s="3" t="s">
        <v>723</v>
      </c>
    </row>
    <row r="58" spans="1:11" ht="60" customHeight="1" x14ac:dyDescent="0.2">
      <c r="A58" s="3" t="s">
        <v>724</v>
      </c>
      <c r="B58" s="3" t="s">
        <v>725</v>
      </c>
      <c r="C58" s="3" t="s">
        <v>726</v>
      </c>
      <c r="D58" s="3" t="s">
        <v>727</v>
      </c>
      <c r="E58" s="3" t="s">
        <v>728</v>
      </c>
      <c r="F58" s="6" t="s">
        <v>432</v>
      </c>
      <c r="G58" s="3" t="s">
        <v>729</v>
      </c>
      <c r="H58" s="3" t="s">
        <v>730</v>
      </c>
      <c r="I58" s="3" t="s">
        <v>731</v>
      </c>
      <c r="J58" s="3"/>
      <c r="K58" s="3"/>
    </row>
    <row r="59" spans="1:11" ht="60" customHeight="1" x14ac:dyDescent="0.2">
      <c r="A59" s="3" t="s">
        <v>732</v>
      </c>
      <c r="B59" s="3" t="s">
        <v>725</v>
      </c>
      <c r="C59" s="3" t="s">
        <v>726</v>
      </c>
      <c r="D59" s="3" t="s">
        <v>733</v>
      </c>
      <c r="E59" s="3" t="s">
        <v>734</v>
      </c>
      <c r="F59" s="7" t="s">
        <v>566</v>
      </c>
      <c r="G59" s="3" t="s">
        <v>735</v>
      </c>
      <c r="H59" s="3" t="s">
        <v>736</v>
      </c>
      <c r="I59" s="3" t="s">
        <v>731</v>
      </c>
      <c r="J59" s="3"/>
      <c r="K59" s="3" t="s">
        <v>737</v>
      </c>
    </row>
    <row r="60" spans="1:11" ht="60" customHeight="1" x14ac:dyDescent="0.2">
      <c r="A60" s="3" t="s">
        <v>738</v>
      </c>
      <c r="B60" s="3" t="s">
        <v>725</v>
      </c>
      <c r="C60" s="3" t="s">
        <v>726</v>
      </c>
      <c r="D60" s="3" t="s">
        <v>739</v>
      </c>
      <c r="E60" s="3" t="s">
        <v>740</v>
      </c>
      <c r="F60" s="7" t="s">
        <v>711</v>
      </c>
      <c r="G60" s="3" t="s">
        <v>741</v>
      </c>
      <c r="H60" s="3" t="s">
        <v>650</v>
      </c>
      <c r="I60" s="3" t="s">
        <v>731</v>
      </c>
      <c r="J60" s="3"/>
      <c r="K60" s="3" t="s">
        <v>742</v>
      </c>
    </row>
    <row r="61" spans="1:11" ht="60" customHeight="1" x14ac:dyDescent="0.2">
      <c r="A61" s="3" t="s">
        <v>743</v>
      </c>
      <c r="B61" s="3" t="s">
        <v>725</v>
      </c>
      <c r="C61" s="3" t="s">
        <v>726</v>
      </c>
      <c r="D61" s="3" t="s">
        <v>744</v>
      </c>
      <c r="E61" s="3" t="s">
        <v>745</v>
      </c>
      <c r="F61" s="6" t="s">
        <v>432</v>
      </c>
      <c r="G61" s="3" t="s">
        <v>746</v>
      </c>
      <c r="H61" s="3" t="s">
        <v>747</v>
      </c>
      <c r="I61" s="3" t="s">
        <v>731</v>
      </c>
      <c r="J61" s="3"/>
      <c r="K61" s="3"/>
    </row>
    <row r="62" spans="1:11" ht="60" customHeight="1" x14ac:dyDescent="0.2">
      <c r="A62" s="3" t="s">
        <v>748</v>
      </c>
      <c r="B62" s="3" t="s">
        <v>725</v>
      </c>
      <c r="C62" s="3" t="s">
        <v>726</v>
      </c>
      <c r="D62" s="3" t="s">
        <v>749</v>
      </c>
      <c r="E62" s="3" t="s">
        <v>750</v>
      </c>
      <c r="F62" s="8" t="s">
        <v>648</v>
      </c>
      <c r="G62" s="3" t="s">
        <v>751</v>
      </c>
      <c r="H62" s="3" t="s">
        <v>650</v>
      </c>
      <c r="I62" s="3"/>
      <c r="J62" s="3"/>
      <c r="K62" s="3"/>
    </row>
    <row r="63" spans="1:11" ht="60" customHeight="1" x14ac:dyDescent="0.2">
      <c r="A63" s="3" t="s">
        <v>752</v>
      </c>
      <c r="B63" s="3" t="s">
        <v>725</v>
      </c>
      <c r="C63" s="3" t="s">
        <v>726</v>
      </c>
      <c r="D63" s="3" t="s">
        <v>753</v>
      </c>
      <c r="E63" s="3" t="s">
        <v>754</v>
      </c>
      <c r="F63" s="6" t="s">
        <v>432</v>
      </c>
      <c r="G63" s="3" t="s">
        <v>755</v>
      </c>
      <c r="H63" s="3" t="s">
        <v>756</v>
      </c>
      <c r="I63" s="3" t="s">
        <v>731</v>
      </c>
      <c r="J63" s="3"/>
      <c r="K63" s="3"/>
    </row>
    <row r="64" spans="1:11" ht="60" customHeight="1" x14ac:dyDescent="0.2">
      <c r="A64" s="3" t="s">
        <v>757</v>
      </c>
      <c r="B64" s="3" t="s">
        <v>725</v>
      </c>
      <c r="C64" s="3" t="s">
        <v>726</v>
      </c>
      <c r="D64" s="3" t="s">
        <v>758</v>
      </c>
      <c r="E64" s="3" t="s">
        <v>759</v>
      </c>
      <c r="F64" s="7" t="s">
        <v>711</v>
      </c>
      <c r="G64" s="3" t="s">
        <v>760</v>
      </c>
      <c r="H64" s="3" t="s">
        <v>650</v>
      </c>
      <c r="I64" s="3" t="s">
        <v>731</v>
      </c>
      <c r="J64" s="3"/>
      <c r="K64" s="3" t="s">
        <v>761</v>
      </c>
    </row>
    <row r="65" spans="1:11" ht="60" customHeight="1" x14ac:dyDescent="0.2">
      <c r="A65" s="3" t="s">
        <v>762</v>
      </c>
      <c r="B65" s="3" t="s">
        <v>725</v>
      </c>
      <c r="C65" s="3" t="s">
        <v>726</v>
      </c>
      <c r="D65" s="3" t="s">
        <v>763</v>
      </c>
      <c r="E65" s="3" t="s">
        <v>764</v>
      </c>
      <c r="F65" s="8" t="s">
        <v>648</v>
      </c>
      <c r="G65" s="3" t="s">
        <v>765</v>
      </c>
      <c r="H65" s="3" t="s">
        <v>650</v>
      </c>
      <c r="I65" s="3"/>
      <c r="J65" s="3"/>
      <c r="K65" s="3"/>
    </row>
    <row r="66" spans="1:11" ht="60" customHeight="1" x14ac:dyDescent="0.2">
      <c r="A66" s="3" t="s">
        <v>766</v>
      </c>
      <c r="B66" s="3" t="s">
        <v>725</v>
      </c>
      <c r="C66" s="3" t="s">
        <v>726</v>
      </c>
      <c r="D66" s="3" t="s">
        <v>767</v>
      </c>
      <c r="E66" s="3" t="s">
        <v>768</v>
      </c>
      <c r="F66" s="6" t="s">
        <v>432</v>
      </c>
      <c r="G66" s="3" t="s">
        <v>769</v>
      </c>
      <c r="H66" s="3" t="s">
        <v>770</v>
      </c>
      <c r="I66" s="3" t="s">
        <v>731</v>
      </c>
      <c r="J66" s="3"/>
      <c r="K66" s="3"/>
    </row>
    <row r="67" spans="1:11" ht="60" customHeight="1" x14ac:dyDescent="0.2">
      <c r="A67" s="3" t="s">
        <v>771</v>
      </c>
      <c r="B67" s="3" t="s">
        <v>725</v>
      </c>
      <c r="C67" s="3" t="s">
        <v>726</v>
      </c>
      <c r="D67" s="3" t="s">
        <v>772</v>
      </c>
      <c r="E67" s="3" t="s">
        <v>773</v>
      </c>
      <c r="F67" s="6" t="s">
        <v>432</v>
      </c>
      <c r="G67" s="3" t="s">
        <v>774</v>
      </c>
      <c r="H67" s="3" t="s">
        <v>775</v>
      </c>
      <c r="I67" s="3" t="s">
        <v>731</v>
      </c>
      <c r="J67" s="3"/>
      <c r="K67" s="3"/>
    </row>
    <row r="68" spans="1:11" ht="60" customHeight="1" x14ac:dyDescent="0.2">
      <c r="A68" s="3" t="s">
        <v>776</v>
      </c>
      <c r="B68" s="3" t="s">
        <v>725</v>
      </c>
      <c r="C68" s="3" t="s">
        <v>726</v>
      </c>
      <c r="D68" s="3" t="s">
        <v>777</v>
      </c>
      <c r="E68" s="3" t="s">
        <v>778</v>
      </c>
      <c r="F68" s="6" t="s">
        <v>432</v>
      </c>
      <c r="G68" s="3" t="s">
        <v>779</v>
      </c>
      <c r="H68" s="3" t="s">
        <v>780</v>
      </c>
      <c r="I68" s="3" t="s">
        <v>731</v>
      </c>
      <c r="J68" s="3"/>
      <c r="K68" s="3"/>
    </row>
    <row r="69" spans="1:11" ht="60" customHeight="1" x14ac:dyDescent="0.2">
      <c r="A69" s="3" t="s">
        <v>781</v>
      </c>
      <c r="B69" s="3" t="s">
        <v>725</v>
      </c>
      <c r="C69" s="3" t="s">
        <v>726</v>
      </c>
      <c r="D69" s="3" t="s">
        <v>782</v>
      </c>
      <c r="E69" s="3" t="s">
        <v>783</v>
      </c>
      <c r="F69" s="6" t="s">
        <v>432</v>
      </c>
      <c r="G69" s="3" t="s">
        <v>784</v>
      </c>
      <c r="H69" s="3" t="s">
        <v>785</v>
      </c>
      <c r="I69" s="3" t="s">
        <v>731</v>
      </c>
      <c r="J69" s="3"/>
      <c r="K69" s="3"/>
    </row>
    <row r="70" spans="1:11" ht="60" customHeight="1" x14ac:dyDescent="0.2">
      <c r="A70" s="3" t="s">
        <v>786</v>
      </c>
      <c r="B70" s="3" t="s">
        <v>725</v>
      </c>
      <c r="C70" s="3" t="s">
        <v>726</v>
      </c>
      <c r="D70" s="3" t="s">
        <v>787</v>
      </c>
      <c r="E70" s="3" t="s">
        <v>788</v>
      </c>
      <c r="F70" s="6" t="s">
        <v>432</v>
      </c>
      <c r="G70" s="3" t="s">
        <v>789</v>
      </c>
      <c r="H70" s="3" t="s">
        <v>790</v>
      </c>
      <c r="I70" s="3" t="s">
        <v>731</v>
      </c>
      <c r="J70" s="3"/>
      <c r="K70" s="3"/>
    </row>
    <row r="71" spans="1:11" ht="60" customHeight="1" x14ac:dyDescent="0.2">
      <c r="A71" s="3" t="s">
        <v>791</v>
      </c>
      <c r="B71" s="3" t="s">
        <v>725</v>
      </c>
      <c r="C71" s="3" t="s">
        <v>726</v>
      </c>
      <c r="D71" s="3" t="s">
        <v>792</v>
      </c>
      <c r="E71" s="3" t="s">
        <v>793</v>
      </c>
      <c r="F71" s="6" t="s">
        <v>432</v>
      </c>
      <c r="G71" s="3" t="s">
        <v>794</v>
      </c>
      <c r="H71" s="3" t="s">
        <v>795</v>
      </c>
      <c r="I71" s="3" t="s">
        <v>731</v>
      </c>
      <c r="J71" s="3"/>
      <c r="K71" s="3" t="s">
        <v>796</v>
      </c>
    </row>
    <row r="72" spans="1:11" ht="60" customHeight="1" x14ac:dyDescent="0.2">
      <c r="A72" s="3" t="s">
        <v>797</v>
      </c>
      <c r="B72" s="3" t="s">
        <v>725</v>
      </c>
      <c r="C72" s="3" t="s">
        <v>726</v>
      </c>
      <c r="D72" s="3" t="s">
        <v>798</v>
      </c>
      <c r="E72" s="3" t="s">
        <v>799</v>
      </c>
      <c r="F72" s="6" t="s">
        <v>432</v>
      </c>
      <c r="G72" s="3" t="s">
        <v>800</v>
      </c>
      <c r="H72" s="3" t="s">
        <v>801</v>
      </c>
      <c r="I72" s="3" t="s">
        <v>731</v>
      </c>
      <c r="J72" s="3"/>
      <c r="K72" s="3"/>
    </row>
    <row r="73" spans="1:11" ht="60" customHeight="1" x14ac:dyDescent="0.2">
      <c r="A73" s="3" t="s">
        <v>802</v>
      </c>
      <c r="B73" s="3" t="s">
        <v>725</v>
      </c>
      <c r="C73" s="3" t="s">
        <v>726</v>
      </c>
      <c r="D73" s="3" t="s">
        <v>803</v>
      </c>
      <c r="E73" s="3" t="s">
        <v>754</v>
      </c>
      <c r="F73" s="6" t="s">
        <v>432</v>
      </c>
      <c r="G73" s="3" t="s">
        <v>804</v>
      </c>
      <c r="H73" s="3" t="s">
        <v>756</v>
      </c>
      <c r="I73" s="3" t="s">
        <v>731</v>
      </c>
      <c r="J73" s="3"/>
      <c r="K73" s="3" t="s">
        <v>805</v>
      </c>
    </row>
    <row r="74" spans="1:11" ht="60" customHeight="1" x14ac:dyDescent="0.2">
      <c r="A74" s="3" t="s">
        <v>806</v>
      </c>
      <c r="B74" s="3" t="s">
        <v>725</v>
      </c>
      <c r="C74" s="3" t="s">
        <v>726</v>
      </c>
      <c r="D74" s="3" t="s">
        <v>807</v>
      </c>
      <c r="E74" s="3" t="s">
        <v>808</v>
      </c>
      <c r="F74" s="6" t="s">
        <v>432</v>
      </c>
      <c r="G74" s="3" t="s">
        <v>809</v>
      </c>
      <c r="H74" s="3" t="s">
        <v>810</v>
      </c>
      <c r="I74" s="3" t="s">
        <v>731</v>
      </c>
      <c r="J74" s="3"/>
      <c r="K74" s="3"/>
    </row>
    <row r="75" spans="1:11" ht="60" customHeight="1" x14ac:dyDescent="0.2">
      <c r="A75" s="3" t="s">
        <v>811</v>
      </c>
      <c r="B75" s="3" t="s">
        <v>725</v>
      </c>
      <c r="C75" s="3" t="s">
        <v>726</v>
      </c>
      <c r="D75" s="3" t="s">
        <v>812</v>
      </c>
      <c r="E75" s="3" t="s">
        <v>650</v>
      </c>
      <c r="F75" s="8" t="s">
        <v>648</v>
      </c>
      <c r="G75" s="3" t="s">
        <v>813</v>
      </c>
      <c r="H75" s="3" t="s">
        <v>650</v>
      </c>
      <c r="I75" s="3"/>
      <c r="J75" s="3"/>
      <c r="K75" s="3"/>
    </row>
    <row r="76" spans="1:11" ht="60" customHeight="1" x14ac:dyDescent="0.2">
      <c r="A76" s="3" t="s">
        <v>814</v>
      </c>
      <c r="B76" s="3" t="s">
        <v>725</v>
      </c>
      <c r="C76" s="3" t="s">
        <v>726</v>
      </c>
      <c r="D76" s="3" t="s">
        <v>815</v>
      </c>
      <c r="E76" s="3" t="s">
        <v>816</v>
      </c>
      <c r="F76" s="8" t="s">
        <v>648</v>
      </c>
      <c r="G76" s="3" t="s">
        <v>817</v>
      </c>
      <c r="H76" s="3" t="s">
        <v>650</v>
      </c>
      <c r="I76" s="3"/>
      <c r="J76" s="3"/>
      <c r="K76" s="3"/>
    </row>
    <row r="77" spans="1:11" ht="60" customHeight="1" x14ac:dyDescent="0.2">
      <c r="A77" s="3" t="s">
        <v>818</v>
      </c>
      <c r="B77" s="3" t="s">
        <v>725</v>
      </c>
      <c r="C77" s="3" t="s">
        <v>726</v>
      </c>
      <c r="D77" s="3" t="s">
        <v>819</v>
      </c>
      <c r="E77" s="3" t="s">
        <v>820</v>
      </c>
      <c r="F77" s="8" t="s">
        <v>648</v>
      </c>
      <c r="G77" s="3" t="s">
        <v>817</v>
      </c>
      <c r="H77" s="3" t="s">
        <v>650</v>
      </c>
      <c r="I77" s="3"/>
      <c r="J77" s="3"/>
      <c r="K77" s="3"/>
    </row>
    <row r="78" spans="1:11" ht="60" customHeight="1" x14ac:dyDescent="0.2">
      <c r="A78" s="3" t="s">
        <v>821</v>
      </c>
      <c r="B78" s="3" t="s">
        <v>725</v>
      </c>
      <c r="C78" s="3" t="s">
        <v>726</v>
      </c>
      <c r="D78" s="3" t="s">
        <v>822</v>
      </c>
      <c r="E78" s="3" t="s">
        <v>823</v>
      </c>
      <c r="F78" s="6" t="s">
        <v>432</v>
      </c>
      <c r="G78" s="3" t="s">
        <v>824</v>
      </c>
      <c r="H78" s="3" t="s">
        <v>825</v>
      </c>
      <c r="I78" s="3" t="s">
        <v>731</v>
      </c>
      <c r="J78" s="3"/>
      <c r="K78" s="3"/>
    </row>
    <row r="79" spans="1:11" ht="60" customHeight="1" x14ac:dyDescent="0.2">
      <c r="A79" s="3" t="s">
        <v>826</v>
      </c>
      <c r="B79" s="3" t="s">
        <v>725</v>
      </c>
      <c r="C79" s="3" t="s">
        <v>726</v>
      </c>
      <c r="D79" s="3" t="s">
        <v>827</v>
      </c>
      <c r="E79" s="3" t="s">
        <v>828</v>
      </c>
      <c r="F79" s="6" t="s">
        <v>432</v>
      </c>
      <c r="G79" s="3" t="s">
        <v>829</v>
      </c>
      <c r="H79" s="3" t="s">
        <v>825</v>
      </c>
      <c r="I79" s="3" t="s">
        <v>731</v>
      </c>
      <c r="J79" s="3"/>
      <c r="K79" s="3"/>
    </row>
    <row r="80" spans="1:11" ht="60" customHeight="1" x14ac:dyDescent="0.2">
      <c r="A80" s="3" t="s">
        <v>830</v>
      </c>
      <c r="B80" s="3" t="s">
        <v>725</v>
      </c>
      <c r="C80" s="3" t="s">
        <v>726</v>
      </c>
      <c r="D80" s="3" t="s">
        <v>831</v>
      </c>
      <c r="E80" s="3" t="s">
        <v>832</v>
      </c>
      <c r="F80" s="8" t="s">
        <v>648</v>
      </c>
      <c r="G80" s="3" t="s">
        <v>833</v>
      </c>
      <c r="H80" s="3" t="s">
        <v>650</v>
      </c>
      <c r="I80" s="3"/>
      <c r="J80" s="3"/>
      <c r="K80" s="3"/>
    </row>
    <row r="81" spans="1:11" ht="60" customHeight="1" x14ac:dyDescent="0.2">
      <c r="A81" s="3" t="s">
        <v>834</v>
      </c>
      <c r="B81" s="3" t="s">
        <v>725</v>
      </c>
      <c r="C81" s="3" t="s">
        <v>726</v>
      </c>
      <c r="D81" s="3" t="s">
        <v>835</v>
      </c>
      <c r="E81" s="3" t="s">
        <v>836</v>
      </c>
      <c r="F81" s="8" t="s">
        <v>648</v>
      </c>
      <c r="G81" s="3" t="s">
        <v>817</v>
      </c>
      <c r="H81" s="3" t="s">
        <v>650</v>
      </c>
      <c r="I81" s="3"/>
      <c r="J81" s="3"/>
      <c r="K81" s="3"/>
    </row>
    <row r="82" spans="1:11" ht="60" customHeight="1" x14ac:dyDescent="0.2">
      <c r="A82" s="3" t="s">
        <v>837</v>
      </c>
      <c r="B82" s="3" t="s">
        <v>725</v>
      </c>
      <c r="C82" s="3" t="s">
        <v>726</v>
      </c>
      <c r="D82" s="3" t="s">
        <v>838</v>
      </c>
      <c r="E82" s="3" t="s">
        <v>839</v>
      </c>
      <c r="F82" s="6" t="s">
        <v>432</v>
      </c>
      <c r="G82" s="3" t="s">
        <v>840</v>
      </c>
      <c r="H82" s="3" t="s">
        <v>841</v>
      </c>
      <c r="I82" s="3" t="s">
        <v>731</v>
      </c>
      <c r="J82" s="3"/>
      <c r="K82" s="3"/>
    </row>
    <row r="83" spans="1:11" ht="60" customHeight="1" x14ac:dyDescent="0.2">
      <c r="A83" s="3" t="s">
        <v>842</v>
      </c>
      <c r="B83" s="3" t="s">
        <v>725</v>
      </c>
      <c r="C83" s="3" t="s">
        <v>726</v>
      </c>
      <c r="D83" s="3" t="s">
        <v>843</v>
      </c>
      <c r="E83" s="3" t="s">
        <v>650</v>
      </c>
      <c r="F83" s="8" t="s">
        <v>648</v>
      </c>
      <c r="G83" s="3" t="s">
        <v>844</v>
      </c>
      <c r="H83" s="3" t="s">
        <v>650</v>
      </c>
      <c r="I83" s="3"/>
      <c r="J83" s="3"/>
      <c r="K83" s="3"/>
    </row>
    <row r="84" spans="1:11" ht="60" customHeight="1" x14ac:dyDescent="0.2">
      <c r="A84" s="3" t="s">
        <v>845</v>
      </c>
      <c r="B84" s="3" t="s">
        <v>725</v>
      </c>
      <c r="C84" s="3" t="s">
        <v>726</v>
      </c>
      <c r="D84" s="3" t="s">
        <v>846</v>
      </c>
      <c r="E84" s="3" t="s">
        <v>847</v>
      </c>
      <c r="F84" s="8" t="s">
        <v>648</v>
      </c>
      <c r="G84" s="3" t="s">
        <v>848</v>
      </c>
      <c r="H84" s="3" t="s">
        <v>650</v>
      </c>
      <c r="I84" s="3"/>
      <c r="J84" s="3"/>
      <c r="K84" s="3" t="s">
        <v>849</v>
      </c>
    </row>
    <row r="85" spans="1:11" ht="60" customHeight="1" x14ac:dyDescent="0.2">
      <c r="A85" s="3" t="s">
        <v>850</v>
      </c>
      <c r="B85" s="3" t="s">
        <v>725</v>
      </c>
      <c r="C85" s="3" t="s">
        <v>726</v>
      </c>
      <c r="D85" s="3" t="s">
        <v>851</v>
      </c>
      <c r="E85" s="3" t="s">
        <v>852</v>
      </c>
      <c r="F85" s="7" t="s">
        <v>853</v>
      </c>
      <c r="G85" s="3" t="s">
        <v>854</v>
      </c>
      <c r="H85" s="3" t="s">
        <v>855</v>
      </c>
      <c r="I85" s="3" t="s">
        <v>731</v>
      </c>
      <c r="J85" s="3"/>
      <c r="K85" s="3"/>
    </row>
    <row r="86" spans="1:11" ht="60" customHeight="1" x14ac:dyDescent="0.2">
      <c r="A86" s="3" t="s">
        <v>856</v>
      </c>
      <c r="B86" s="3" t="s">
        <v>725</v>
      </c>
      <c r="C86" s="3" t="s">
        <v>726</v>
      </c>
      <c r="D86" s="3" t="s">
        <v>857</v>
      </c>
      <c r="E86" s="3" t="s">
        <v>858</v>
      </c>
      <c r="F86" s="8" t="s">
        <v>648</v>
      </c>
      <c r="G86" s="3" t="s">
        <v>859</v>
      </c>
      <c r="H86" s="3" t="s">
        <v>650</v>
      </c>
      <c r="I86" s="3"/>
      <c r="J86" s="3"/>
      <c r="K86" s="3" t="s">
        <v>860</v>
      </c>
    </row>
    <row r="87" spans="1:11" ht="60" customHeight="1" x14ac:dyDescent="0.2">
      <c r="A87" s="3" t="s">
        <v>861</v>
      </c>
      <c r="B87" s="3" t="s">
        <v>725</v>
      </c>
      <c r="C87" s="3" t="s">
        <v>726</v>
      </c>
      <c r="D87" s="3" t="s">
        <v>862</v>
      </c>
      <c r="E87" s="3" t="s">
        <v>863</v>
      </c>
      <c r="F87" s="6" t="s">
        <v>432</v>
      </c>
      <c r="G87" s="3" t="s">
        <v>864</v>
      </c>
      <c r="H87" s="3" t="s">
        <v>865</v>
      </c>
      <c r="I87" s="3" t="s">
        <v>731</v>
      </c>
      <c r="J87" s="3"/>
      <c r="K87" s="3" t="s">
        <v>866</v>
      </c>
    </row>
    <row r="88" spans="1:11" ht="60" customHeight="1" x14ac:dyDescent="0.2">
      <c r="A88" s="3" t="s">
        <v>867</v>
      </c>
      <c r="B88" s="3" t="s">
        <v>725</v>
      </c>
      <c r="C88" s="3" t="s">
        <v>726</v>
      </c>
      <c r="D88" s="3" t="s">
        <v>868</v>
      </c>
      <c r="E88" s="3" t="s">
        <v>869</v>
      </c>
      <c r="F88" s="6" t="s">
        <v>432</v>
      </c>
      <c r="G88" s="3" t="s">
        <v>870</v>
      </c>
      <c r="H88" s="3" t="s">
        <v>871</v>
      </c>
      <c r="I88" s="3" t="s">
        <v>731</v>
      </c>
      <c r="J88" s="3"/>
      <c r="K88" s="3"/>
    </row>
    <row r="89" spans="1:11" ht="60" customHeight="1" x14ac:dyDescent="0.2">
      <c r="A89" s="3" t="s">
        <v>872</v>
      </c>
      <c r="B89" s="3" t="s">
        <v>725</v>
      </c>
      <c r="C89" s="3" t="s">
        <v>726</v>
      </c>
      <c r="D89" s="3" t="s">
        <v>873</v>
      </c>
      <c r="E89" s="3" t="s">
        <v>874</v>
      </c>
      <c r="F89" s="6" t="s">
        <v>432</v>
      </c>
      <c r="G89" s="3" t="s">
        <v>875</v>
      </c>
      <c r="H89" s="3" t="s">
        <v>876</v>
      </c>
      <c r="I89" s="3" t="s">
        <v>731</v>
      </c>
      <c r="J89" s="3"/>
      <c r="K89" s="3"/>
    </row>
    <row r="90" spans="1:11" ht="60" customHeight="1" x14ac:dyDescent="0.2">
      <c r="A90" s="3" t="s">
        <v>877</v>
      </c>
      <c r="B90" s="3" t="s">
        <v>725</v>
      </c>
      <c r="C90" s="3" t="s">
        <v>726</v>
      </c>
      <c r="D90" s="3" t="s">
        <v>878</v>
      </c>
      <c r="E90" s="3" t="s">
        <v>874</v>
      </c>
      <c r="F90" s="7" t="s">
        <v>566</v>
      </c>
      <c r="G90" s="3" t="s">
        <v>879</v>
      </c>
      <c r="H90" s="3" t="s">
        <v>650</v>
      </c>
      <c r="I90" s="3" t="s">
        <v>731</v>
      </c>
      <c r="J90" s="3"/>
      <c r="K90" s="3"/>
    </row>
    <row r="91" spans="1:11" ht="60" customHeight="1" x14ac:dyDescent="0.2">
      <c r="A91" s="3" t="s">
        <v>880</v>
      </c>
      <c r="B91" s="3" t="s">
        <v>725</v>
      </c>
      <c r="C91" s="3" t="s">
        <v>726</v>
      </c>
      <c r="D91" s="3" t="s">
        <v>881</v>
      </c>
      <c r="E91" s="3" t="s">
        <v>882</v>
      </c>
      <c r="F91" s="6" t="s">
        <v>432</v>
      </c>
      <c r="G91" s="3" t="s">
        <v>883</v>
      </c>
      <c r="H91" s="3" t="s">
        <v>884</v>
      </c>
      <c r="I91" s="3" t="s">
        <v>731</v>
      </c>
      <c r="J91" s="3"/>
      <c r="K91" s="3" t="s">
        <v>885</v>
      </c>
    </row>
    <row r="92" spans="1:11" ht="60" customHeight="1" x14ac:dyDescent="0.2">
      <c r="A92" s="3" t="s">
        <v>886</v>
      </c>
      <c r="B92" s="3" t="s">
        <v>539</v>
      </c>
      <c r="C92" s="3" t="s">
        <v>887</v>
      </c>
      <c r="D92" s="3" t="s">
        <v>888</v>
      </c>
      <c r="E92" s="3" t="s">
        <v>889</v>
      </c>
      <c r="F92" s="6" t="s">
        <v>432</v>
      </c>
      <c r="G92" s="3" t="s">
        <v>890</v>
      </c>
      <c r="H92" s="3" t="s">
        <v>891</v>
      </c>
      <c r="I92" s="3" t="s">
        <v>539</v>
      </c>
      <c r="J92" s="3"/>
      <c r="K92" s="3"/>
    </row>
    <row r="93" spans="1:11" ht="60" customHeight="1" x14ac:dyDescent="0.2">
      <c r="A93" s="3" t="s">
        <v>892</v>
      </c>
      <c r="B93" s="3" t="s">
        <v>539</v>
      </c>
      <c r="C93" s="3" t="s">
        <v>887</v>
      </c>
      <c r="D93" s="3" t="s">
        <v>893</v>
      </c>
      <c r="E93" s="3" t="s">
        <v>894</v>
      </c>
      <c r="F93" s="6" t="s">
        <v>432</v>
      </c>
      <c r="G93" s="3" t="s">
        <v>895</v>
      </c>
      <c r="H93" s="3" t="s">
        <v>896</v>
      </c>
      <c r="I93" s="3" t="s">
        <v>539</v>
      </c>
      <c r="J93" s="3"/>
      <c r="K93" s="3"/>
    </row>
    <row r="94" spans="1:11" ht="60" customHeight="1" x14ac:dyDescent="0.2">
      <c r="A94" s="3" t="s">
        <v>897</v>
      </c>
      <c r="B94" s="3" t="s">
        <v>539</v>
      </c>
      <c r="C94" s="3" t="s">
        <v>887</v>
      </c>
      <c r="D94" s="3" t="s">
        <v>898</v>
      </c>
      <c r="E94" s="3" t="s">
        <v>899</v>
      </c>
      <c r="F94" s="6" t="s">
        <v>432</v>
      </c>
      <c r="G94" s="3" t="s">
        <v>900</v>
      </c>
      <c r="H94" s="3" t="s">
        <v>901</v>
      </c>
      <c r="I94" s="3" t="s">
        <v>539</v>
      </c>
      <c r="J94" s="3"/>
      <c r="K94" s="3" t="s">
        <v>902</v>
      </c>
    </row>
    <row r="95" spans="1:11" ht="60" customHeight="1" x14ac:dyDescent="0.2">
      <c r="A95" s="3" t="s">
        <v>903</v>
      </c>
      <c r="B95" s="3" t="s">
        <v>539</v>
      </c>
      <c r="C95" s="3" t="s">
        <v>887</v>
      </c>
      <c r="D95" s="3" t="s">
        <v>904</v>
      </c>
      <c r="E95" s="3" t="s">
        <v>905</v>
      </c>
      <c r="F95" s="6" t="s">
        <v>432</v>
      </c>
      <c r="G95" s="3" t="s">
        <v>906</v>
      </c>
      <c r="H95" s="3" t="s">
        <v>907</v>
      </c>
      <c r="I95" s="3" t="s">
        <v>539</v>
      </c>
      <c r="J95" s="3"/>
      <c r="K95" s="3"/>
    </row>
    <row r="96" spans="1:11" ht="60" customHeight="1" x14ac:dyDescent="0.2">
      <c r="A96" s="3" t="s">
        <v>908</v>
      </c>
      <c r="B96" s="3" t="s">
        <v>539</v>
      </c>
      <c r="C96" s="3" t="s">
        <v>887</v>
      </c>
      <c r="D96" s="3" t="s">
        <v>909</v>
      </c>
      <c r="E96" s="3" t="s">
        <v>910</v>
      </c>
      <c r="F96" s="6" t="s">
        <v>432</v>
      </c>
      <c r="G96" s="3" t="s">
        <v>911</v>
      </c>
      <c r="H96" s="3" t="s">
        <v>912</v>
      </c>
      <c r="I96" s="3" t="s">
        <v>539</v>
      </c>
      <c r="J96" s="3"/>
      <c r="K96" s="3" t="s">
        <v>913</v>
      </c>
    </row>
    <row r="97" spans="1:11" ht="60" customHeight="1" x14ac:dyDescent="0.2">
      <c r="A97" s="3" t="s">
        <v>914</v>
      </c>
      <c r="B97" s="3" t="s">
        <v>539</v>
      </c>
      <c r="C97" s="3" t="s">
        <v>887</v>
      </c>
      <c r="D97" s="3" t="s">
        <v>915</v>
      </c>
      <c r="E97" s="3" t="s">
        <v>916</v>
      </c>
      <c r="F97" s="6" t="s">
        <v>432</v>
      </c>
      <c r="G97" s="3" t="s">
        <v>917</v>
      </c>
      <c r="H97" s="3" t="s">
        <v>918</v>
      </c>
      <c r="I97" s="3" t="s">
        <v>539</v>
      </c>
      <c r="J97" s="3"/>
      <c r="K97" s="3"/>
    </row>
    <row r="98" spans="1:11" ht="60" customHeight="1" x14ac:dyDescent="0.2">
      <c r="A98" s="3" t="s">
        <v>919</v>
      </c>
      <c r="B98" s="3" t="s">
        <v>539</v>
      </c>
      <c r="C98" s="3" t="s">
        <v>887</v>
      </c>
      <c r="D98" s="3" t="s">
        <v>920</v>
      </c>
      <c r="E98" s="3" t="s">
        <v>921</v>
      </c>
      <c r="F98" s="6" t="s">
        <v>432</v>
      </c>
      <c r="G98" s="3" t="s">
        <v>922</v>
      </c>
      <c r="H98" s="3" t="s">
        <v>923</v>
      </c>
      <c r="I98" s="3" t="s">
        <v>539</v>
      </c>
      <c r="J98" s="3"/>
      <c r="K98" s="3"/>
    </row>
    <row r="99" spans="1:11" ht="60" customHeight="1" x14ac:dyDescent="0.2">
      <c r="A99" s="3" t="s">
        <v>924</v>
      </c>
      <c r="B99" s="3" t="s">
        <v>539</v>
      </c>
      <c r="C99" s="3" t="s">
        <v>887</v>
      </c>
      <c r="D99" s="3" t="s">
        <v>925</v>
      </c>
      <c r="E99" s="3" t="s">
        <v>926</v>
      </c>
      <c r="F99" s="6" t="s">
        <v>432</v>
      </c>
      <c r="G99" s="3" t="s">
        <v>927</v>
      </c>
      <c r="H99" s="3" t="s">
        <v>928</v>
      </c>
      <c r="I99" s="3" t="s">
        <v>539</v>
      </c>
      <c r="J99" s="3"/>
      <c r="K99" s="3"/>
    </row>
    <row r="100" spans="1:11" ht="60" customHeight="1" x14ac:dyDescent="0.2">
      <c r="A100" s="3" t="s">
        <v>929</v>
      </c>
      <c r="B100" s="3" t="s">
        <v>539</v>
      </c>
      <c r="C100" s="3" t="s">
        <v>887</v>
      </c>
      <c r="D100" s="3" t="s">
        <v>930</v>
      </c>
      <c r="E100" s="3" t="s">
        <v>931</v>
      </c>
      <c r="F100" s="6" t="s">
        <v>432</v>
      </c>
      <c r="G100" s="3" t="s">
        <v>932</v>
      </c>
      <c r="H100" s="3" t="s">
        <v>933</v>
      </c>
      <c r="I100" s="3" t="s">
        <v>539</v>
      </c>
      <c r="J100" s="3"/>
      <c r="K100" s="3" t="s">
        <v>934</v>
      </c>
    </row>
    <row r="101" spans="1:11" ht="60" customHeight="1" x14ac:dyDescent="0.2">
      <c r="A101" s="3" t="s">
        <v>935</v>
      </c>
      <c r="B101" s="3" t="s">
        <v>539</v>
      </c>
      <c r="C101" s="3" t="s">
        <v>887</v>
      </c>
      <c r="D101" s="3" t="s">
        <v>936</v>
      </c>
      <c r="E101" s="3" t="s">
        <v>937</v>
      </c>
      <c r="F101" s="6" t="s">
        <v>432</v>
      </c>
      <c r="G101" s="3" t="s">
        <v>938</v>
      </c>
      <c r="H101" s="3" t="s">
        <v>923</v>
      </c>
      <c r="I101" s="3" t="s">
        <v>539</v>
      </c>
      <c r="J101" s="3"/>
      <c r="K101" s="3"/>
    </row>
    <row r="102" spans="1:11" ht="60" customHeight="1" x14ac:dyDescent="0.2">
      <c r="A102" s="3" t="s">
        <v>939</v>
      </c>
      <c r="B102" s="3" t="s">
        <v>539</v>
      </c>
      <c r="C102" s="3" t="s">
        <v>887</v>
      </c>
      <c r="D102" s="3" t="s">
        <v>940</v>
      </c>
      <c r="E102" s="3" t="s">
        <v>941</v>
      </c>
      <c r="F102" s="6" t="s">
        <v>432</v>
      </c>
      <c r="G102" s="3" t="s">
        <v>942</v>
      </c>
      <c r="H102" s="3" t="s">
        <v>943</v>
      </c>
      <c r="I102" s="3" t="s">
        <v>539</v>
      </c>
      <c r="J102" s="3"/>
      <c r="K102" s="3" t="s">
        <v>944</v>
      </c>
    </row>
    <row r="103" spans="1:11" ht="60" customHeight="1" x14ac:dyDescent="0.2">
      <c r="A103" s="3" t="s">
        <v>945</v>
      </c>
      <c r="B103" s="3" t="s">
        <v>539</v>
      </c>
      <c r="C103" s="3" t="s">
        <v>946</v>
      </c>
      <c r="D103" s="3" t="s">
        <v>947</v>
      </c>
      <c r="E103" s="3" t="s">
        <v>948</v>
      </c>
      <c r="F103" s="6" t="s">
        <v>432</v>
      </c>
      <c r="G103" s="3" t="s">
        <v>949</v>
      </c>
      <c r="H103" s="3" t="s">
        <v>950</v>
      </c>
      <c r="I103" s="3" t="s">
        <v>539</v>
      </c>
      <c r="J103" s="3"/>
      <c r="K103" s="3" t="s">
        <v>951</v>
      </c>
    </row>
    <row r="104" spans="1:11" ht="60" customHeight="1" x14ac:dyDescent="0.2">
      <c r="A104" s="3" t="s">
        <v>952</v>
      </c>
      <c r="B104" s="3" t="s">
        <v>539</v>
      </c>
      <c r="C104" s="3" t="s">
        <v>953</v>
      </c>
      <c r="D104" s="3" t="s">
        <v>954</v>
      </c>
      <c r="E104" s="3" t="s">
        <v>955</v>
      </c>
      <c r="F104" s="6" t="s">
        <v>432</v>
      </c>
      <c r="G104" s="3" t="s">
        <v>956</v>
      </c>
      <c r="H104" s="3" t="s">
        <v>957</v>
      </c>
      <c r="I104" s="3" t="s">
        <v>539</v>
      </c>
      <c r="J104" s="3"/>
      <c r="K104" s="3" t="s">
        <v>958</v>
      </c>
    </row>
    <row r="105" spans="1:11" ht="60" customHeight="1" x14ac:dyDescent="0.2">
      <c r="A105" s="3" t="s">
        <v>959</v>
      </c>
      <c r="B105" s="3" t="s">
        <v>960</v>
      </c>
      <c r="C105" s="3" t="s">
        <v>961</v>
      </c>
      <c r="D105" s="3" t="s">
        <v>962</v>
      </c>
      <c r="E105" s="3" t="s">
        <v>963</v>
      </c>
      <c r="F105" s="8" t="s">
        <v>648</v>
      </c>
      <c r="G105" s="3"/>
      <c r="H105" s="3"/>
      <c r="I105" s="3"/>
      <c r="J105" s="3"/>
      <c r="K105" s="3" t="s">
        <v>964</v>
      </c>
    </row>
    <row r="106" spans="1:11" ht="60" customHeight="1" x14ac:dyDescent="0.2">
      <c r="A106" s="3" t="s">
        <v>965</v>
      </c>
      <c r="B106" s="3" t="s">
        <v>960</v>
      </c>
      <c r="C106" s="3" t="s">
        <v>961</v>
      </c>
      <c r="D106" s="3" t="s">
        <v>966</v>
      </c>
      <c r="E106" s="3" t="s">
        <v>963</v>
      </c>
      <c r="F106" s="8" t="s">
        <v>648</v>
      </c>
      <c r="G106" s="3"/>
      <c r="H106" s="3"/>
      <c r="I106" s="3"/>
      <c r="J106" s="3"/>
      <c r="K106" s="3" t="s">
        <v>964</v>
      </c>
    </row>
    <row r="107" spans="1:11" ht="60" customHeight="1" x14ac:dyDescent="0.2">
      <c r="A107" s="3" t="s">
        <v>967</v>
      </c>
      <c r="B107" s="3" t="s">
        <v>960</v>
      </c>
      <c r="C107" s="3" t="s">
        <v>961</v>
      </c>
      <c r="D107" s="3" t="s">
        <v>968</v>
      </c>
      <c r="E107" s="3" t="s">
        <v>963</v>
      </c>
      <c r="F107" s="8" t="s">
        <v>648</v>
      </c>
      <c r="G107" s="3"/>
      <c r="H107" s="3"/>
      <c r="I107" s="3"/>
      <c r="J107" s="3"/>
      <c r="K107" s="3" t="s">
        <v>964</v>
      </c>
    </row>
    <row r="108" spans="1:11" ht="60" customHeight="1" x14ac:dyDescent="0.2">
      <c r="A108" s="3" t="s">
        <v>969</v>
      </c>
      <c r="B108" s="3" t="s">
        <v>960</v>
      </c>
      <c r="C108" s="3" t="s">
        <v>961</v>
      </c>
      <c r="D108" s="3" t="s">
        <v>970</v>
      </c>
      <c r="E108" s="3" t="s">
        <v>963</v>
      </c>
      <c r="F108" s="8" t="s">
        <v>648</v>
      </c>
      <c r="G108" s="3"/>
      <c r="H108" s="3"/>
      <c r="I108" s="3"/>
      <c r="J108" s="3"/>
      <c r="K108" s="3" t="s">
        <v>964</v>
      </c>
    </row>
    <row r="109" spans="1:11" ht="60" customHeight="1" x14ac:dyDescent="0.2">
      <c r="A109" s="3" t="s">
        <v>971</v>
      </c>
      <c r="B109" s="3" t="s">
        <v>960</v>
      </c>
      <c r="C109" s="3" t="s">
        <v>961</v>
      </c>
      <c r="D109" s="3" t="s">
        <v>972</v>
      </c>
      <c r="E109" s="3" t="s">
        <v>963</v>
      </c>
      <c r="F109" s="8" t="s">
        <v>648</v>
      </c>
      <c r="G109" s="3"/>
      <c r="H109" s="3"/>
      <c r="I109" s="3"/>
      <c r="J109" s="3"/>
      <c r="K109" s="3" t="s">
        <v>964</v>
      </c>
    </row>
    <row r="110" spans="1:11" ht="60" customHeight="1" x14ac:dyDescent="0.2">
      <c r="A110" s="3" t="s">
        <v>973</v>
      </c>
      <c r="B110" s="3" t="s">
        <v>960</v>
      </c>
      <c r="C110" s="3" t="s">
        <v>961</v>
      </c>
      <c r="D110" s="3" t="s">
        <v>974</v>
      </c>
      <c r="E110" s="3" t="s">
        <v>963</v>
      </c>
      <c r="F110" s="8" t="s">
        <v>648</v>
      </c>
      <c r="G110" s="3"/>
      <c r="H110" s="3"/>
      <c r="I110" s="3"/>
      <c r="J110" s="3"/>
      <c r="K110" s="3" t="s">
        <v>964</v>
      </c>
    </row>
    <row r="111" spans="1:11" ht="60" customHeight="1" x14ac:dyDescent="0.2">
      <c r="A111" s="3" t="s">
        <v>975</v>
      </c>
      <c r="B111" s="3" t="s">
        <v>960</v>
      </c>
      <c r="C111" s="3" t="s">
        <v>961</v>
      </c>
      <c r="D111" s="3" t="s">
        <v>976</v>
      </c>
      <c r="E111" s="3" t="s">
        <v>963</v>
      </c>
      <c r="F111" s="8" t="s">
        <v>648</v>
      </c>
      <c r="G111" s="3"/>
      <c r="H111" s="3"/>
      <c r="I111" s="3"/>
      <c r="J111" s="3"/>
      <c r="K111" s="3" t="s">
        <v>964</v>
      </c>
    </row>
    <row r="112" spans="1:11" ht="60" customHeight="1" x14ac:dyDescent="0.2">
      <c r="A112" s="3" t="s">
        <v>977</v>
      </c>
      <c r="B112" s="3" t="s">
        <v>960</v>
      </c>
      <c r="C112" s="3" t="s">
        <v>961</v>
      </c>
      <c r="D112" s="3" t="s">
        <v>978</v>
      </c>
      <c r="E112" s="3" t="s">
        <v>963</v>
      </c>
      <c r="F112" s="8" t="s">
        <v>648</v>
      </c>
      <c r="G112" s="3"/>
      <c r="H112" s="3"/>
      <c r="I112" s="3"/>
      <c r="J112" s="3"/>
      <c r="K112" s="3" t="s">
        <v>964</v>
      </c>
    </row>
    <row r="113" spans="1:11" ht="60" customHeight="1" x14ac:dyDescent="0.2">
      <c r="A113" s="3" t="s">
        <v>979</v>
      </c>
      <c r="B113" s="3" t="s">
        <v>960</v>
      </c>
      <c r="C113" s="3" t="s">
        <v>961</v>
      </c>
      <c r="D113" s="3" t="s">
        <v>980</v>
      </c>
      <c r="E113" s="3" t="s">
        <v>963</v>
      </c>
      <c r="F113" s="8" t="s">
        <v>648</v>
      </c>
      <c r="G113" s="3"/>
      <c r="H113" s="3"/>
      <c r="I113" s="3"/>
      <c r="J113" s="3"/>
      <c r="K113" s="3" t="s">
        <v>964</v>
      </c>
    </row>
    <row r="114" spans="1:11" ht="60" customHeight="1" x14ac:dyDescent="0.2">
      <c r="A114" s="3" t="s">
        <v>981</v>
      </c>
      <c r="B114" s="3" t="s">
        <v>960</v>
      </c>
      <c r="C114" s="3" t="s">
        <v>961</v>
      </c>
      <c r="D114" s="3" t="s">
        <v>982</v>
      </c>
      <c r="E114" s="3" t="s">
        <v>963</v>
      </c>
      <c r="F114" s="8" t="s">
        <v>648</v>
      </c>
      <c r="G114" s="3"/>
      <c r="H114" s="3"/>
      <c r="I114" s="3"/>
      <c r="J114" s="3"/>
      <c r="K114" s="3" t="s">
        <v>964</v>
      </c>
    </row>
    <row r="115" spans="1:11" ht="60" customHeight="1" x14ac:dyDescent="0.2">
      <c r="A115" s="3" t="s">
        <v>983</v>
      </c>
      <c r="B115" s="3" t="s">
        <v>984</v>
      </c>
      <c r="C115" s="3" t="s">
        <v>985</v>
      </c>
      <c r="D115" s="3" t="s">
        <v>986</v>
      </c>
      <c r="E115" s="3" t="s">
        <v>987</v>
      </c>
      <c r="F115" s="6" t="s">
        <v>432</v>
      </c>
      <c r="G115" s="3" t="s">
        <v>988</v>
      </c>
      <c r="H115" s="3" t="s">
        <v>989</v>
      </c>
      <c r="I115" s="3" t="s">
        <v>984</v>
      </c>
      <c r="J115" s="3"/>
      <c r="K115" s="3" t="s">
        <v>990</v>
      </c>
    </row>
    <row r="116" spans="1:11" ht="60" customHeight="1" x14ac:dyDescent="0.2">
      <c r="A116" s="3" t="s">
        <v>991</v>
      </c>
      <c r="B116" s="3" t="s">
        <v>984</v>
      </c>
      <c r="C116" s="3" t="s">
        <v>992</v>
      </c>
      <c r="D116" s="3" t="s">
        <v>993</v>
      </c>
      <c r="E116" s="3" t="s">
        <v>994</v>
      </c>
      <c r="F116" s="6" t="s">
        <v>432</v>
      </c>
      <c r="G116" s="3" t="s">
        <v>995</v>
      </c>
      <c r="H116" s="3" t="s">
        <v>996</v>
      </c>
      <c r="I116" s="3" t="s">
        <v>984</v>
      </c>
      <c r="J116" s="3"/>
      <c r="K116" s="3" t="s">
        <v>997</v>
      </c>
    </row>
    <row r="117" spans="1:11" ht="60" customHeight="1" x14ac:dyDescent="0.2">
      <c r="A117" s="3" t="s">
        <v>998</v>
      </c>
      <c r="B117" s="3" t="s">
        <v>984</v>
      </c>
      <c r="C117" s="3" t="s">
        <v>999</v>
      </c>
      <c r="D117" s="3" t="s">
        <v>1000</v>
      </c>
      <c r="E117" s="3" t="s">
        <v>1001</v>
      </c>
      <c r="F117" s="6" t="s">
        <v>432</v>
      </c>
      <c r="G117" s="3" t="s">
        <v>1002</v>
      </c>
      <c r="H117" s="3" t="s">
        <v>1003</v>
      </c>
      <c r="I117" s="3" t="s">
        <v>984</v>
      </c>
      <c r="J117" s="3"/>
      <c r="K117" s="3" t="s">
        <v>1004</v>
      </c>
    </row>
    <row r="118" spans="1:11" ht="60" customHeight="1" x14ac:dyDescent="0.2">
      <c r="A118" s="3" t="s">
        <v>1005</v>
      </c>
      <c r="B118" s="3" t="s">
        <v>984</v>
      </c>
      <c r="C118" s="3" t="s">
        <v>1006</v>
      </c>
      <c r="D118" s="3" t="s">
        <v>1007</v>
      </c>
      <c r="E118" s="3" t="s">
        <v>1008</v>
      </c>
      <c r="F118" s="7" t="s">
        <v>566</v>
      </c>
      <c r="G118" s="3" t="s">
        <v>1009</v>
      </c>
      <c r="H118" s="3" t="s">
        <v>1010</v>
      </c>
      <c r="I118" s="3" t="s">
        <v>984</v>
      </c>
      <c r="J118" s="3"/>
      <c r="K118" s="3" t="s">
        <v>1011</v>
      </c>
    </row>
    <row r="119" spans="1:11" ht="60" customHeight="1" x14ac:dyDescent="0.2">
      <c r="A119" s="3" t="s">
        <v>1012</v>
      </c>
      <c r="B119" s="3" t="s">
        <v>984</v>
      </c>
      <c r="C119" s="3" t="s">
        <v>1013</v>
      </c>
      <c r="D119" s="3" t="s">
        <v>1014</v>
      </c>
      <c r="E119" s="3" t="s">
        <v>1015</v>
      </c>
      <c r="F119" s="6" t="s">
        <v>432</v>
      </c>
      <c r="G119" s="3" t="s">
        <v>1016</v>
      </c>
      <c r="H119" s="3" t="s">
        <v>1017</v>
      </c>
      <c r="I119" s="3" t="s">
        <v>984</v>
      </c>
      <c r="J119" s="3"/>
      <c r="K119" s="3" t="s">
        <v>1018</v>
      </c>
    </row>
    <row r="120" spans="1:11" ht="60" customHeight="1" x14ac:dyDescent="0.2">
      <c r="A120" s="3" t="s">
        <v>1019</v>
      </c>
      <c r="B120" s="3" t="s">
        <v>984</v>
      </c>
      <c r="C120" s="3" t="s">
        <v>1013</v>
      </c>
      <c r="D120" s="3" t="s">
        <v>1020</v>
      </c>
      <c r="E120" s="3" t="s">
        <v>1021</v>
      </c>
      <c r="F120" s="6" t="s">
        <v>432</v>
      </c>
      <c r="G120" s="3"/>
      <c r="H120" s="3"/>
      <c r="I120" s="3"/>
      <c r="J120" s="3"/>
      <c r="K120" s="3" t="s">
        <v>1022</v>
      </c>
    </row>
    <row r="121" spans="1:11" ht="60" customHeight="1" x14ac:dyDescent="0.2">
      <c r="A121" s="3" t="s">
        <v>1023</v>
      </c>
      <c r="B121" s="3" t="s">
        <v>984</v>
      </c>
      <c r="C121" s="3" t="s">
        <v>1013</v>
      </c>
      <c r="D121" s="3" t="s">
        <v>1024</v>
      </c>
      <c r="E121" s="3" t="s">
        <v>1025</v>
      </c>
      <c r="F121" s="8" t="s">
        <v>648</v>
      </c>
      <c r="G121" s="3"/>
      <c r="H121" s="3"/>
      <c r="I121" s="3"/>
      <c r="J121" s="3"/>
      <c r="K121" s="3" t="s">
        <v>1026</v>
      </c>
    </row>
    <row r="122" spans="1:11" ht="60" customHeight="1" x14ac:dyDescent="0.2">
      <c r="A122" s="3" t="s">
        <v>1027</v>
      </c>
      <c r="B122" s="3" t="s">
        <v>984</v>
      </c>
      <c r="C122" s="3" t="s">
        <v>1028</v>
      </c>
      <c r="D122" s="3" t="s">
        <v>1029</v>
      </c>
      <c r="E122" s="3" t="s">
        <v>1030</v>
      </c>
      <c r="F122" s="6" t="s">
        <v>432</v>
      </c>
      <c r="G122" s="3" t="s">
        <v>1031</v>
      </c>
      <c r="H122" s="3" t="s">
        <v>1032</v>
      </c>
      <c r="I122" s="3" t="s">
        <v>984</v>
      </c>
      <c r="J122" s="3"/>
      <c r="K122" s="3" t="s">
        <v>1033</v>
      </c>
    </row>
    <row r="123" spans="1:11" ht="60" customHeight="1" x14ac:dyDescent="0.2">
      <c r="A123" s="3" t="s">
        <v>1034</v>
      </c>
      <c r="B123" s="3" t="s">
        <v>984</v>
      </c>
      <c r="C123" s="3" t="s">
        <v>1028</v>
      </c>
      <c r="D123" s="3" t="s">
        <v>1035</v>
      </c>
      <c r="E123" s="3" t="s">
        <v>1036</v>
      </c>
      <c r="F123" s="6" t="s">
        <v>432</v>
      </c>
      <c r="G123" s="3" t="s">
        <v>1037</v>
      </c>
      <c r="H123" s="3" t="s">
        <v>1038</v>
      </c>
      <c r="I123" s="3" t="s">
        <v>984</v>
      </c>
      <c r="J123" s="3"/>
      <c r="K123" s="3" t="s">
        <v>1039</v>
      </c>
    </row>
    <row r="124" spans="1:11" ht="45" customHeight="1" x14ac:dyDescent="0.2">
      <c r="A124" s="3" t="s">
        <v>1040</v>
      </c>
      <c r="B124" s="3" t="s">
        <v>984</v>
      </c>
      <c r="C124" s="3" t="s">
        <v>1028</v>
      </c>
      <c r="D124" s="3" t="s">
        <v>1041</v>
      </c>
      <c r="E124" s="3" t="s">
        <v>1042</v>
      </c>
      <c r="F124" s="6" t="s">
        <v>432</v>
      </c>
      <c r="G124" s="3" t="s">
        <v>1043</v>
      </c>
      <c r="H124" s="3" t="s">
        <v>1044</v>
      </c>
      <c r="I124" s="3" t="s">
        <v>984</v>
      </c>
      <c r="J124" s="3"/>
      <c r="K124" s="3" t="s">
        <v>1045</v>
      </c>
    </row>
    <row r="125" spans="1:11" ht="60" customHeight="1" x14ac:dyDescent="0.2">
      <c r="A125" s="3" t="s">
        <v>1046</v>
      </c>
      <c r="B125" s="3" t="s">
        <v>984</v>
      </c>
      <c r="C125" s="3" t="s">
        <v>1028</v>
      </c>
      <c r="D125" s="3" t="s">
        <v>1047</v>
      </c>
      <c r="E125" s="3" t="s">
        <v>1048</v>
      </c>
      <c r="F125" s="6" t="s">
        <v>432</v>
      </c>
      <c r="G125" s="3" t="s">
        <v>1049</v>
      </c>
      <c r="H125" s="3" t="s">
        <v>1050</v>
      </c>
      <c r="I125" s="3" t="s">
        <v>984</v>
      </c>
      <c r="J125" s="3"/>
      <c r="K125" s="3" t="s">
        <v>1051</v>
      </c>
    </row>
    <row r="126" spans="1:11" ht="60" customHeight="1" x14ac:dyDescent="0.2">
      <c r="A126" s="3" t="s">
        <v>1052</v>
      </c>
      <c r="B126" s="3" t="s">
        <v>984</v>
      </c>
      <c r="C126" s="3" t="s">
        <v>1028</v>
      </c>
      <c r="D126" s="3" t="s">
        <v>1053</v>
      </c>
      <c r="E126" s="3" t="s">
        <v>1054</v>
      </c>
      <c r="F126" s="6" t="s">
        <v>432</v>
      </c>
      <c r="G126" s="3" t="s">
        <v>1055</v>
      </c>
      <c r="H126" s="3" t="s">
        <v>1056</v>
      </c>
      <c r="I126" s="3" t="s">
        <v>984</v>
      </c>
      <c r="J126" s="3"/>
      <c r="K126" s="3" t="s">
        <v>1057</v>
      </c>
    </row>
    <row r="127" spans="1:11" ht="60" customHeight="1" x14ac:dyDescent="0.2">
      <c r="A127" s="3" t="s">
        <v>1058</v>
      </c>
      <c r="B127" s="3" t="s">
        <v>984</v>
      </c>
      <c r="C127" s="3" t="s">
        <v>1028</v>
      </c>
      <c r="D127" s="3" t="s">
        <v>1059</v>
      </c>
      <c r="E127" s="3" t="s">
        <v>1060</v>
      </c>
      <c r="F127" s="8" t="s">
        <v>648</v>
      </c>
      <c r="G127" s="3"/>
      <c r="H127" s="3"/>
      <c r="I127" s="3"/>
      <c r="J127" s="3"/>
      <c r="K127" s="3" t="s">
        <v>1061</v>
      </c>
    </row>
    <row r="128" spans="1:11" ht="60" customHeight="1" x14ac:dyDescent="0.2">
      <c r="A128" s="3" t="s">
        <v>1062</v>
      </c>
      <c r="B128" s="3" t="s">
        <v>984</v>
      </c>
      <c r="C128" s="3" t="s">
        <v>1028</v>
      </c>
      <c r="D128" s="3" t="s">
        <v>1063</v>
      </c>
      <c r="E128" s="3" t="s">
        <v>1064</v>
      </c>
      <c r="F128" s="6" t="s">
        <v>432</v>
      </c>
      <c r="G128" s="3" t="s">
        <v>1065</v>
      </c>
      <c r="H128" s="3" t="s">
        <v>1066</v>
      </c>
      <c r="I128" s="3" t="s">
        <v>984</v>
      </c>
      <c r="J128" s="3"/>
      <c r="K128" s="3" t="s">
        <v>1067</v>
      </c>
    </row>
    <row r="129" spans="1:11" ht="60" customHeight="1" x14ac:dyDescent="0.2">
      <c r="A129" s="3" t="s">
        <v>1068</v>
      </c>
      <c r="B129" s="3" t="s">
        <v>1069</v>
      </c>
      <c r="C129" s="3" t="s">
        <v>1070</v>
      </c>
      <c r="D129" s="3" t="s">
        <v>1071</v>
      </c>
      <c r="E129" s="3" t="s">
        <v>1072</v>
      </c>
      <c r="F129" s="6" t="s">
        <v>432</v>
      </c>
      <c r="G129" s="3" t="s">
        <v>1073</v>
      </c>
      <c r="H129" s="3" t="s">
        <v>1074</v>
      </c>
      <c r="I129" s="3" t="s">
        <v>1069</v>
      </c>
      <c r="J129" s="3"/>
      <c r="K129" s="3" t="s">
        <v>1075</v>
      </c>
    </row>
    <row r="130" spans="1:11" ht="60" customHeight="1" x14ac:dyDescent="0.2">
      <c r="A130" s="3" t="s">
        <v>1076</v>
      </c>
      <c r="B130" s="3" t="s">
        <v>1069</v>
      </c>
      <c r="C130" s="3" t="s">
        <v>1077</v>
      </c>
      <c r="D130" s="3" t="s">
        <v>1078</v>
      </c>
      <c r="E130" s="3" t="s">
        <v>1079</v>
      </c>
      <c r="F130" s="6" t="s">
        <v>432</v>
      </c>
      <c r="G130" s="3" t="s">
        <v>1080</v>
      </c>
      <c r="H130" s="3" t="s">
        <v>1081</v>
      </c>
      <c r="I130" s="3" t="s">
        <v>1069</v>
      </c>
      <c r="J130" s="3"/>
      <c r="K130" s="3" t="s">
        <v>1082</v>
      </c>
    </row>
    <row r="131" spans="1:11" ht="60" customHeight="1" x14ac:dyDescent="0.2">
      <c r="A131" s="3" t="s">
        <v>1083</v>
      </c>
      <c r="B131" s="3" t="s">
        <v>1069</v>
      </c>
      <c r="C131" s="3" t="s">
        <v>1084</v>
      </c>
      <c r="D131" s="3" t="s">
        <v>1085</v>
      </c>
      <c r="E131" s="3" t="s">
        <v>1086</v>
      </c>
      <c r="F131" s="6" t="s">
        <v>432</v>
      </c>
      <c r="G131" s="3" t="s">
        <v>1087</v>
      </c>
      <c r="H131" s="3" t="s">
        <v>1088</v>
      </c>
      <c r="I131" s="3" t="s">
        <v>1069</v>
      </c>
      <c r="J131" s="3"/>
      <c r="K131" s="3" t="s">
        <v>1089</v>
      </c>
    </row>
    <row r="132" spans="1:11" ht="60" customHeight="1" x14ac:dyDescent="0.2">
      <c r="A132" s="3" t="s">
        <v>1090</v>
      </c>
      <c r="B132" s="3" t="s">
        <v>1069</v>
      </c>
      <c r="C132" s="3" t="s">
        <v>1091</v>
      </c>
      <c r="D132" s="3" t="s">
        <v>1092</v>
      </c>
      <c r="E132" s="3" t="s">
        <v>1093</v>
      </c>
      <c r="F132" s="6" t="s">
        <v>432</v>
      </c>
      <c r="G132" s="3" t="s">
        <v>1094</v>
      </c>
      <c r="H132" s="3" t="s">
        <v>1081</v>
      </c>
      <c r="I132" s="3" t="s">
        <v>1069</v>
      </c>
      <c r="J132" s="3"/>
      <c r="K132" s="3" t="s">
        <v>1095</v>
      </c>
    </row>
    <row r="133" spans="1:11" ht="60" customHeight="1" x14ac:dyDescent="0.2">
      <c r="A133" s="3" t="s">
        <v>1096</v>
      </c>
      <c r="B133" s="3" t="s">
        <v>1069</v>
      </c>
      <c r="C133" s="3" t="s">
        <v>1084</v>
      </c>
      <c r="D133" s="3" t="s">
        <v>1097</v>
      </c>
      <c r="E133" s="3" t="s">
        <v>1098</v>
      </c>
      <c r="F133" s="6" t="s">
        <v>432</v>
      </c>
      <c r="G133" s="3" t="s">
        <v>1099</v>
      </c>
      <c r="H133" s="3" t="s">
        <v>1081</v>
      </c>
      <c r="I133" s="3" t="s">
        <v>1069</v>
      </c>
      <c r="J133" s="3"/>
      <c r="K133" s="3" t="s">
        <v>1100</v>
      </c>
    </row>
    <row r="134" spans="1:11" ht="60" customHeight="1" x14ac:dyDescent="0.2">
      <c r="A134" s="3" t="s">
        <v>1101</v>
      </c>
      <c r="B134" s="3" t="s">
        <v>1102</v>
      </c>
      <c r="C134" s="3" t="s">
        <v>1103</v>
      </c>
      <c r="D134" s="3" t="s">
        <v>1104</v>
      </c>
      <c r="E134" s="3" t="s">
        <v>1105</v>
      </c>
      <c r="F134" s="8" t="s">
        <v>648</v>
      </c>
      <c r="G134" s="3" t="s">
        <v>1106</v>
      </c>
      <c r="H134" s="3" t="s">
        <v>1107</v>
      </c>
      <c r="I134" s="3"/>
      <c r="J134" s="3"/>
      <c r="K134" s="3" t="s">
        <v>1108</v>
      </c>
    </row>
    <row r="135" spans="1:11" ht="45" customHeight="1" x14ac:dyDescent="0.2">
      <c r="A135" s="3" t="s">
        <v>1109</v>
      </c>
      <c r="B135" s="3" t="s">
        <v>1102</v>
      </c>
      <c r="C135" s="3" t="s">
        <v>1103</v>
      </c>
      <c r="D135" s="3" t="s">
        <v>1110</v>
      </c>
      <c r="E135" s="3" t="s">
        <v>1105</v>
      </c>
      <c r="F135" s="8" t="s">
        <v>648</v>
      </c>
      <c r="G135" s="3" t="s">
        <v>1111</v>
      </c>
      <c r="H135" s="3" t="s">
        <v>1107</v>
      </c>
      <c r="I135" s="3"/>
      <c r="J135" s="3"/>
      <c r="K135" s="3" t="s">
        <v>1108</v>
      </c>
    </row>
    <row r="136" spans="1:11" ht="45" customHeight="1" x14ac:dyDescent="0.2">
      <c r="A136" s="3" t="s">
        <v>1112</v>
      </c>
      <c r="B136" s="3" t="s">
        <v>1102</v>
      </c>
      <c r="C136" s="3" t="s">
        <v>1103</v>
      </c>
      <c r="D136" s="3" t="s">
        <v>1113</v>
      </c>
      <c r="E136" s="3" t="s">
        <v>1105</v>
      </c>
      <c r="F136" s="8" t="s">
        <v>648</v>
      </c>
      <c r="G136" s="3" t="s">
        <v>1114</v>
      </c>
      <c r="H136" s="3" t="s">
        <v>1107</v>
      </c>
      <c r="I136" s="3"/>
      <c r="J136" s="3"/>
      <c r="K136" s="3" t="s">
        <v>1108</v>
      </c>
    </row>
    <row r="137" spans="1:11" ht="60" customHeight="1" x14ac:dyDescent="0.2">
      <c r="A137" s="3" t="s">
        <v>1115</v>
      </c>
      <c r="B137" s="3" t="s">
        <v>1102</v>
      </c>
      <c r="C137" s="3" t="s">
        <v>1103</v>
      </c>
      <c r="D137" s="3" t="s">
        <v>1116</v>
      </c>
      <c r="E137" s="3" t="s">
        <v>1105</v>
      </c>
      <c r="F137" s="8" t="s">
        <v>648</v>
      </c>
      <c r="G137" s="3" t="s">
        <v>1117</v>
      </c>
      <c r="H137" s="3" t="s">
        <v>1107</v>
      </c>
      <c r="I137" s="3"/>
      <c r="J137" s="3"/>
      <c r="K137" s="3" t="s">
        <v>1108</v>
      </c>
    </row>
    <row r="138" spans="1:11" ht="60" customHeight="1" x14ac:dyDescent="0.2">
      <c r="A138" s="3" t="s">
        <v>1118</v>
      </c>
      <c r="B138" s="3" t="s">
        <v>1102</v>
      </c>
      <c r="C138" s="3" t="s">
        <v>1103</v>
      </c>
      <c r="D138" s="3" t="s">
        <v>1119</v>
      </c>
      <c r="E138" s="3" t="s">
        <v>1105</v>
      </c>
      <c r="F138" s="8" t="s">
        <v>648</v>
      </c>
      <c r="G138" s="3" t="s">
        <v>1120</v>
      </c>
      <c r="H138" s="3" t="s">
        <v>1107</v>
      </c>
      <c r="I138" s="3"/>
      <c r="J138" s="3"/>
      <c r="K138" s="3" t="s">
        <v>1108</v>
      </c>
    </row>
    <row r="139" spans="1:11" ht="60" customHeight="1" x14ac:dyDescent="0.2">
      <c r="A139" s="3" t="s">
        <v>1121</v>
      </c>
      <c r="B139" s="3" t="s">
        <v>1102</v>
      </c>
      <c r="C139" s="3" t="s">
        <v>1103</v>
      </c>
      <c r="D139" s="3" t="s">
        <v>1122</v>
      </c>
      <c r="E139" s="3" t="s">
        <v>1105</v>
      </c>
      <c r="F139" s="8" t="s">
        <v>648</v>
      </c>
      <c r="G139" s="3" t="s">
        <v>1123</v>
      </c>
      <c r="H139" s="3" t="s">
        <v>1107</v>
      </c>
      <c r="I139" s="3"/>
      <c r="J139" s="3"/>
      <c r="K139" s="3" t="s">
        <v>1124</v>
      </c>
    </row>
    <row r="140" spans="1:11" ht="60" customHeight="1" x14ac:dyDescent="0.2">
      <c r="A140" s="3" t="s">
        <v>1125</v>
      </c>
      <c r="B140" s="3" t="s">
        <v>1102</v>
      </c>
      <c r="C140" s="3" t="s">
        <v>1103</v>
      </c>
      <c r="D140" s="3" t="s">
        <v>1126</v>
      </c>
      <c r="E140" s="3" t="s">
        <v>1105</v>
      </c>
      <c r="F140" s="8" t="s">
        <v>648</v>
      </c>
      <c r="G140" s="3" t="s">
        <v>1127</v>
      </c>
      <c r="H140" s="3" t="s">
        <v>1107</v>
      </c>
      <c r="I140" s="3"/>
      <c r="J140" s="3"/>
      <c r="K140" s="3" t="s">
        <v>1108</v>
      </c>
    </row>
    <row r="141" spans="1:11" ht="60" customHeight="1" x14ac:dyDescent="0.2">
      <c r="A141" s="3" t="s">
        <v>1128</v>
      </c>
      <c r="B141" s="3" t="s">
        <v>1102</v>
      </c>
      <c r="C141" s="3" t="s">
        <v>1103</v>
      </c>
      <c r="D141" s="3" t="s">
        <v>1129</v>
      </c>
      <c r="E141" s="3" t="s">
        <v>1105</v>
      </c>
      <c r="F141" s="8" t="s">
        <v>648</v>
      </c>
      <c r="G141" s="3" t="s">
        <v>1130</v>
      </c>
      <c r="H141" s="3" t="s">
        <v>1107</v>
      </c>
      <c r="I141" s="3"/>
      <c r="J141" s="3"/>
      <c r="K141" s="3" t="s">
        <v>1108</v>
      </c>
    </row>
    <row r="142" spans="1:11" ht="60" customHeight="1" x14ac:dyDescent="0.2">
      <c r="A142" s="3" t="s">
        <v>1131</v>
      </c>
      <c r="B142" s="3" t="s">
        <v>1102</v>
      </c>
      <c r="C142" s="3" t="s">
        <v>1132</v>
      </c>
      <c r="D142" s="3" t="s">
        <v>1133</v>
      </c>
      <c r="E142" s="3" t="s">
        <v>1134</v>
      </c>
      <c r="F142" s="6" t="s">
        <v>432</v>
      </c>
      <c r="G142" s="3" t="s">
        <v>1135</v>
      </c>
      <c r="H142" s="3" t="s">
        <v>1081</v>
      </c>
      <c r="I142" s="3" t="s">
        <v>1102</v>
      </c>
      <c r="J142" s="3"/>
      <c r="K142" s="3"/>
    </row>
    <row r="143" spans="1:11" ht="60" customHeight="1" x14ac:dyDescent="0.2">
      <c r="A143" s="3" t="s">
        <v>1136</v>
      </c>
      <c r="B143" s="3" t="s">
        <v>1102</v>
      </c>
      <c r="C143" s="3" t="s">
        <v>1137</v>
      </c>
      <c r="D143" s="3" t="s">
        <v>1138</v>
      </c>
      <c r="E143" s="3" t="s">
        <v>1139</v>
      </c>
      <c r="F143" s="6" t="s">
        <v>432</v>
      </c>
      <c r="G143" s="3" t="s">
        <v>1140</v>
      </c>
      <c r="H143" s="3" t="s">
        <v>1141</v>
      </c>
      <c r="I143" s="3" t="s">
        <v>1102</v>
      </c>
      <c r="J143" s="3"/>
      <c r="K143" s="3" t="s">
        <v>1142</v>
      </c>
    </row>
    <row r="144" spans="1:11" ht="60" customHeight="1" x14ac:dyDescent="0.2">
      <c r="A144" s="3" t="s">
        <v>1143</v>
      </c>
      <c r="B144" s="3" t="s">
        <v>1102</v>
      </c>
      <c r="C144" s="3" t="s">
        <v>1144</v>
      </c>
      <c r="D144" s="3" t="s">
        <v>1145</v>
      </c>
      <c r="E144" s="3" t="s">
        <v>1146</v>
      </c>
      <c r="F144" s="6" t="s">
        <v>432</v>
      </c>
      <c r="G144" s="3" t="s">
        <v>1147</v>
      </c>
      <c r="H144" s="3" t="s">
        <v>1148</v>
      </c>
      <c r="I144" s="3" t="s">
        <v>1102</v>
      </c>
      <c r="J144" s="3"/>
      <c r="K144" s="3"/>
    </row>
    <row r="145" spans="1:11" ht="60" customHeight="1" x14ac:dyDescent="0.2">
      <c r="A145" s="3" t="s">
        <v>1149</v>
      </c>
      <c r="B145" s="3" t="s">
        <v>1150</v>
      </c>
      <c r="C145" s="3" t="s">
        <v>1151</v>
      </c>
      <c r="D145" s="3" t="s">
        <v>1152</v>
      </c>
      <c r="E145" s="3" t="s">
        <v>1153</v>
      </c>
      <c r="F145" s="8" t="s">
        <v>648</v>
      </c>
      <c r="G145" s="3"/>
      <c r="H145" s="3"/>
      <c r="I145" s="3"/>
      <c r="J145" s="3"/>
      <c r="K145" s="3" t="s">
        <v>1154</v>
      </c>
    </row>
    <row r="146" spans="1:11" ht="60" customHeight="1" x14ac:dyDescent="0.2">
      <c r="A146" s="3" t="s">
        <v>1155</v>
      </c>
      <c r="B146" s="3" t="s">
        <v>1150</v>
      </c>
      <c r="C146" s="3" t="s">
        <v>1156</v>
      </c>
      <c r="D146" s="3" t="s">
        <v>1157</v>
      </c>
      <c r="E146" s="3" t="s">
        <v>1158</v>
      </c>
      <c r="F146" s="8" t="s">
        <v>648</v>
      </c>
      <c r="G146" s="3"/>
      <c r="H146" s="3"/>
      <c r="I146" s="3"/>
      <c r="J146" s="3"/>
      <c r="K146" s="3" t="s">
        <v>1159</v>
      </c>
    </row>
    <row r="147" spans="1:11" ht="60" customHeight="1" x14ac:dyDescent="0.2">
      <c r="A147" s="3" t="s">
        <v>1160</v>
      </c>
      <c r="B147" s="3" t="s">
        <v>1150</v>
      </c>
      <c r="C147" s="3" t="s">
        <v>1161</v>
      </c>
      <c r="D147" s="3" t="s">
        <v>1162</v>
      </c>
      <c r="E147" s="3" t="s">
        <v>1163</v>
      </c>
      <c r="F147" s="8" t="s">
        <v>648</v>
      </c>
      <c r="G147" s="3"/>
      <c r="H147" s="3"/>
      <c r="I147" s="3"/>
      <c r="J147" s="3"/>
      <c r="K147" s="3" t="s">
        <v>1164</v>
      </c>
    </row>
    <row r="148" spans="1:11" ht="60" customHeight="1" x14ac:dyDescent="0.2">
      <c r="A148" s="3" t="s">
        <v>1165</v>
      </c>
      <c r="B148" s="3" t="s">
        <v>1150</v>
      </c>
      <c r="C148" s="3" t="s">
        <v>1166</v>
      </c>
      <c r="D148" s="3" t="s">
        <v>1167</v>
      </c>
      <c r="E148" s="3" t="s">
        <v>1168</v>
      </c>
      <c r="F148" s="8" t="s">
        <v>648</v>
      </c>
      <c r="G148" s="3"/>
      <c r="H148" s="3"/>
      <c r="I148" s="3"/>
      <c r="J148" s="3"/>
      <c r="K148" s="3" t="s">
        <v>1169</v>
      </c>
    </row>
    <row r="149" spans="1:11" ht="60" customHeight="1" x14ac:dyDescent="0.2">
      <c r="A149" s="3" t="s">
        <v>1170</v>
      </c>
      <c r="B149" s="3" t="s">
        <v>1150</v>
      </c>
      <c r="C149" s="3" t="s">
        <v>1171</v>
      </c>
      <c r="D149" s="3" t="s">
        <v>1157</v>
      </c>
      <c r="E149" s="3" t="s">
        <v>1172</v>
      </c>
      <c r="F149" s="8" t="s">
        <v>648</v>
      </c>
      <c r="G149" s="3"/>
      <c r="H149" s="3"/>
      <c r="I149" s="3"/>
      <c r="J149" s="3"/>
      <c r="K149" s="3" t="s">
        <v>1173</v>
      </c>
    </row>
    <row r="150" spans="1:11" ht="60" customHeight="1" x14ac:dyDescent="0.2">
      <c r="A150" s="3" t="s">
        <v>1174</v>
      </c>
      <c r="B150" s="3" t="s">
        <v>1150</v>
      </c>
      <c r="C150" s="3" t="s">
        <v>1175</v>
      </c>
      <c r="D150" s="3" t="s">
        <v>1157</v>
      </c>
      <c r="E150" s="3" t="s">
        <v>1176</v>
      </c>
      <c r="F150" s="8" t="s">
        <v>648</v>
      </c>
      <c r="G150" s="3"/>
      <c r="H150" s="3"/>
      <c r="I150" s="3"/>
      <c r="J150" s="3"/>
      <c r="K150" s="3" t="s">
        <v>1177</v>
      </c>
    </row>
    <row r="151" spans="1:11" ht="60" customHeight="1" x14ac:dyDescent="0.2">
      <c r="A151" s="3" t="s">
        <v>1178</v>
      </c>
      <c r="B151" s="3" t="s">
        <v>1150</v>
      </c>
      <c r="C151" s="3" t="s">
        <v>1179</v>
      </c>
      <c r="D151" s="3" t="s">
        <v>1157</v>
      </c>
      <c r="E151" s="3" t="s">
        <v>1180</v>
      </c>
      <c r="F151" s="8" t="s">
        <v>648</v>
      </c>
      <c r="G151" s="3"/>
      <c r="H151" s="3"/>
      <c r="I151" s="3"/>
      <c r="J151" s="3"/>
      <c r="K151" s="3" t="s">
        <v>1181</v>
      </c>
    </row>
    <row r="152" spans="1:11" ht="60" customHeight="1" x14ac:dyDescent="0.2">
      <c r="A152" s="3" t="s">
        <v>1182</v>
      </c>
      <c r="B152" s="3" t="s">
        <v>1150</v>
      </c>
      <c r="C152" s="3" t="s">
        <v>1183</v>
      </c>
      <c r="D152" s="3" t="s">
        <v>1157</v>
      </c>
      <c r="E152" s="3" t="s">
        <v>1184</v>
      </c>
      <c r="F152" s="8" t="s">
        <v>648</v>
      </c>
      <c r="G152" s="3"/>
      <c r="H152" s="3"/>
      <c r="I152" s="3"/>
      <c r="J152" s="3"/>
      <c r="K152" s="3" t="s">
        <v>1185</v>
      </c>
    </row>
    <row r="153" spans="1:11" ht="60" customHeight="1" x14ac:dyDescent="0.2">
      <c r="A153" s="3" t="s">
        <v>1186</v>
      </c>
      <c r="B153" s="3" t="s">
        <v>1150</v>
      </c>
      <c r="C153" s="3" t="s">
        <v>1187</v>
      </c>
      <c r="D153" s="3" t="s">
        <v>1188</v>
      </c>
      <c r="E153" s="3" t="s">
        <v>1189</v>
      </c>
      <c r="F153" s="8" t="s">
        <v>648</v>
      </c>
      <c r="G153" s="3"/>
      <c r="H153" s="3"/>
      <c r="I153" s="3"/>
      <c r="J153" s="3"/>
      <c r="K153" s="3" t="s">
        <v>1190</v>
      </c>
    </row>
    <row r="154" spans="1:11" ht="60" customHeight="1" x14ac:dyDescent="0.2">
      <c r="A154" s="3" t="s">
        <v>1191</v>
      </c>
      <c r="B154" s="3" t="s">
        <v>1150</v>
      </c>
      <c r="C154" s="3" t="s">
        <v>1192</v>
      </c>
      <c r="D154" s="3" t="s">
        <v>1157</v>
      </c>
      <c r="E154" s="3" t="s">
        <v>1193</v>
      </c>
      <c r="F154" s="8" t="s">
        <v>648</v>
      </c>
      <c r="G154" s="3"/>
      <c r="H154" s="3"/>
      <c r="I154" s="3"/>
      <c r="J154" s="3"/>
      <c r="K154" s="3" t="s">
        <v>1194</v>
      </c>
    </row>
    <row r="155" spans="1:11" ht="60" customHeight="1" x14ac:dyDescent="0.2">
      <c r="A155" s="3" t="s">
        <v>1195</v>
      </c>
      <c r="B155" s="3" t="s">
        <v>1150</v>
      </c>
      <c r="C155" s="3" t="s">
        <v>1196</v>
      </c>
      <c r="D155" s="3" t="s">
        <v>1157</v>
      </c>
      <c r="E155" s="3" t="s">
        <v>1197</v>
      </c>
      <c r="F155" s="8" t="s">
        <v>648</v>
      </c>
      <c r="G155" s="3"/>
      <c r="H155" s="3"/>
      <c r="I155" s="3"/>
      <c r="J155" s="3"/>
      <c r="K155" s="3" t="s">
        <v>1198</v>
      </c>
    </row>
    <row r="156" spans="1:11" ht="60" customHeight="1" x14ac:dyDescent="0.2">
      <c r="A156" s="3" t="s">
        <v>1199</v>
      </c>
      <c r="B156" s="3" t="s">
        <v>1150</v>
      </c>
      <c r="C156" s="3" t="s">
        <v>1200</v>
      </c>
      <c r="D156" s="3" t="s">
        <v>1157</v>
      </c>
      <c r="E156" s="3" t="s">
        <v>1201</v>
      </c>
      <c r="F156" s="8" t="s">
        <v>648</v>
      </c>
      <c r="G156" s="3"/>
      <c r="H156" s="3"/>
      <c r="I156" s="3"/>
      <c r="J156" s="3"/>
      <c r="K156" s="3" t="s">
        <v>1202</v>
      </c>
    </row>
    <row r="157" spans="1:11" ht="60" customHeight="1" x14ac:dyDescent="0.2">
      <c r="A157" s="3" t="s">
        <v>1203</v>
      </c>
      <c r="B157" s="3" t="s">
        <v>1150</v>
      </c>
      <c r="C157" s="3" t="s">
        <v>1204</v>
      </c>
      <c r="D157" s="3" t="s">
        <v>1157</v>
      </c>
      <c r="E157" s="3" t="s">
        <v>1205</v>
      </c>
      <c r="F157" s="8" t="s">
        <v>648</v>
      </c>
      <c r="G157" s="3"/>
      <c r="H157" s="3"/>
      <c r="I157" s="3"/>
      <c r="J157" s="3"/>
      <c r="K157" s="3" t="s">
        <v>1206</v>
      </c>
    </row>
  </sheetData>
  <autoFilter ref="A1:K15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2"/>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6" width="30" customWidth="1"/>
  </cols>
  <sheetData>
    <row r="1" spans="1:6" ht="30" customHeight="1" x14ac:dyDescent="0.2">
      <c r="A1" s="1" t="s">
        <v>1207</v>
      </c>
      <c r="B1" s="1" t="s">
        <v>1208</v>
      </c>
      <c r="C1" s="1" t="s">
        <v>1209</v>
      </c>
      <c r="D1" s="1" t="s">
        <v>1210</v>
      </c>
      <c r="E1" s="1" t="s">
        <v>1211</v>
      </c>
      <c r="F1" s="1" t="s">
        <v>425</v>
      </c>
    </row>
    <row r="2" spans="1:6" ht="15" customHeight="1" x14ac:dyDescent="0.2">
      <c r="A2" s="3" t="s">
        <v>1212</v>
      </c>
      <c r="B2" s="3" t="s">
        <v>1213</v>
      </c>
      <c r="C2" s="3" t="s">
        <v>1214</v>
      </c>
      <c r="D2" s="6" t="s">
        <v>1215</v>
      </c>
      <c r="E2" s="3"/>
      <c r="F2" s="3"/>
    </row>
    <row r="3" spans="1:6" ht="60" customHeight="1" x14ac:dyDescent="0.2">
      <c r="A3" s="3" t="s">
        <v>1212</v>
      </c>
      <c r="B3" s="3" t="s">
        <v>1216</v>
      </c>
      <c r="C3" s="3" t="s">
        <v>650</v>
      </c>
      <c r="D3" s="8" t="s">
        <v>1217</v>
      </c>
      <c r="E3" s="3" t="s">
        <v>1218</v>
      </c>
      <c r="F3" s="3" t="s">
        <v>1219</v>
      </c>
    </row>
    <row r="4" spans="1:6" ht="30" customHeight="1" x14ac:dyDescent="0.2">
      <c r="A4" s="3" t="s">
        <v>1212</v>
      </c>
      <c r="B4" s="3" t="s">
        <v>1220</v>
      </c>
      <c r="C4" s="3" t="s">
        <v>650</v>
      </c>
      <c r="D4" s="8" t="s">
        <v>1217</v>
      </c>
      <c r="E4" s="3" t="s">
        <v>1221</v>
      </c>
      <c r="F4" s="3" t="s">
        <v>1222</v>
      </c>
    </row>
    <row r="5" spans="1:6" ht="30" customHeight="1" x14ac:dyDescent="0.2">
      <c r="A5" s="3" t="s">
        <v>1212</v>
      </c>
      <c r="B5" s="3" t="s">
        <v>1223</v>
      </c>
      <c r="C5" s="3" t="s">
        <v>650</v>
      </c>
      <c r="D5" s="8" t="s">
        <v>1217</v>
      </c>
      <c r="E5" s="3" t="s">
        <v>1221</v>
      </c>
      <c r="F5" s="3" t="s">
        <v>1224</v>
      </c>
    </row>
    <row r="6" spans="1:6" ht="15" customHeight="1" x14ac:dyDescent="0.2">
      <c r="A6" s="3" t="s">
        <v>1212</v>
      </c>
      <c r="B6" s="3" t="s">
        <v>1225</v>
      </c>
      <c r="C6" s="3" t="s">
        <v>1226</v>
      </c>
      <c r="D6" s="6" t="s">
        <v>1215</v>
      </c>
      <c r="E6" s="3"/>
      <c r="F6" s="3"/>
    </row>
    <row r="7" spans="1:6" ht="45" customHeight="1" x14ac:dyDescent="0.2">
      <c r="A7" s="3" t="s">
        <v>1212</v>
      </c>
      <c r="B7" s="3" t="s">
        <v>1227</v>
      </c>
      <c r="C7" s="3" t="s">
        <v>650</v>
      </c>
      <c r="D7" s="8" t="s">
        <v>1217</v>
      </c>
      <c r="E7" s="3" t="s">
        <v>1228</v>
      </c>
      <c r="F7" s="3" t="s">
        <v>1229</v>
      </c>
    </row>
    <row r="8" spans="1:6" ht="15" customHeight="1" x14ac:dyDescent="0.2">
      <c r="A8" s="3" t="s">
        <v>1212</v>
      </c>
      <c r="B8" s="3" t="s">
        <v>1230</v>
      </c>
      <c r="C8" s="3" t="s">
        <v>650</v>
      </c>
      <c r="D8" s="8" t="s">
        <v>1217</v>
      </c>
      <c r="E8" s="3" t="s">
        <v>1221</v>
      </c>
      <c r="F8" s="3"/>
    </row>
    <row r="9" spans="1:6" ht="15" customHeight="1" x14ac:dyDescent="0.2">
      <c r="A9" s="3" t="s">
        <v>1212</v>
      </c>
      <c r="B9" s="3" t="s">
        <v>1231</v>
      </c>
      <c r="C9" s="3" t="s">
        <v>650</v>
      </c>
      <c r="D9" s="8" t="s">
        <v>1217</v>
      </c>
      <c r="E9" s="3" t="s">
        <v>1232</v>
      </c>
      <c r="F9" s="3"/>
    </row>
    <row r="10" spans="1:6" ht="30" customHeight="1" x14ac:dyDescent="0.2">
      <c r="A10" s="3" t="s">
        <v>1212</v>
      </c>
      <c r="B10" s="3" t="s">
        <v>1233</v>
      </c>
      <c r="C10" s="3" t="s">
        <v>1234</v>
      </c>
      <c r="D10" s="6" t="s">
        <v>1215</v>
      </c>
      <c r="E10" s="3"/>
      <c r="F10" s="3"/>
    </row>
    <row r="11" spans="1:6" ht="30" customHeight="1" x14ac:dyDescent="0.2">
      <c r="A11" s="3" t="s">
        <v>1212</v>
      </c>
      <c r="B11" s="3" t="s">
        <v>1235</v>
      </c>
      <c r="C11" s="3" t="s">
        <v>1236</v>
      </c>
      <c r="D11" s="9" t="s">
        <v>1237</v>
      </c>
      <c r="E11" s="3" t="s">
        <v>1221</v>
      </c>
      <c r="F11" s="3"/>
    </row>
    <row r="12" spans="1:6" ht="30" customHeight="1" x14ac:dyDescent="0.2">
      <c r="A12" s="3" t="s">
        <v>1212</v>
      </c>
      <c r="B12" s="3" t="s">
        <v>1238</v>
      </c>
      <c r="C12" s="3" t="s">
        <v>1239</v>
      </c>
      <c r="D12" s="9" t="s">
        <v>1237</v>
      </c>
      <c r="E12" s="3" t="s">
        <v>1221</v>
      </c>
      <c r="F12" s="3"/>
    </row>
    <row r="13" spans="1:6" ht="45" customHeight="1" x14ac:dyDescent="0.2">
      <c r="A13" s="3" t="s">
        <v>1212</v>
      </c>
      <c r="B13" s="3" t="s">
        <v>1240</v>
      </c>
      <c r="C13" s="3" t="s">
        <v>650</v>
      </c>
      <c r="D13" s="8" t="s">
        <v>1217</v>
      </c>
      <c r="E13" s="3" t="s">
        <v>1221</v>
      </c>
      <c r="F13" s="3" t="s">
        <v>1241</v>
      </c>
    </row>
    <row r="14" spans="1:6" ht="30" customHeight="1" x14ac:dyDescent="0.2">
      <c r="A14" s="3" t="s">
        <v>1212</v>
      </c>
      <c r="B14" s="3" t="s">
        <v>1242</v>
      </c>
      <c r="C14" s="3" t="s">
        <v>1243</v>
      </c>
      <c r="D14" s="6" t="s">
        <v>1215</v>
      </c>
      <c r="E14" s="3"/>
      <c r="F14" s="3"/>
    </row>
    <row r="15" spans="1:6" ht="15" customHeight="1" x14ac:dyDescent="0.2">
      <c r="A15" s="3" t="s">
        <v>1212</v>
      </c>
      <c r="B15" s="3" t="s">
        <v>1244</v>
      </c>
      <c r="C15" s="3" t="s">
        <v>1245</v>
      </c>
      <c r="D15" s="6" t="s">
        <v>1215</v>
      </c>
      <c r="E15" s="3"/>
      <c r="F15" s="3"/>
    </row>
    <row r="16" spans="1:6" ht="45" customHeight="1" x14ac:dyDescent="0.2">
      <c r="A16" s="3" t="s">
        <v>1212</v>
      </c>
      <c r="B16" s="3" t="s">
        <v>1246</v>
      </c>
      <c r="C16" s="3" t="s">
        <v>650</v>
      </c>
      <c r="D16" s="8" t="s">
        <v>1217</v>
      </c>
      <c r="E16" s="3" t="s">
        <v>1218</v>
      </c>
      <c r="F16" s="3" t="s">
        <v>1247</v>
      </c>
    </row>
    <row r="17" spans="1:6" ht="45" customHeight="1" x14ac:dyDescent="0.2">
      <c r="A17" s="3" t="s">
        <v>1212</v>
      </c>
      <c r="B17" s="3" t="s">
        <v>1248</v>
      </c>
      <c r="C17" s="3" t="s">
        <v>1249</v>
      </c>
      <c r="D17" s="9" t="s">
        <v>1250</v>
      </c>
      <c r="E17" s="3"/>
      <c r="F17" s="3"/>
    </row>
    <row r="18" spans="1:6" ht="30" customHeight="1" x14ac:dyDescent="0.2">
      <c r="A18" s="3" t="s">
        <v>1212</v>
      </c>
      <c r="B18" s="3" t="s">
        <v>1251</v>
      </c>
      <c r="C18" s="3" t="s">
        <v>1252</v>
      </c>
      <c r="D18" s="9" t="s">
        <v>1237</v>
      </c>
      <c r="E18" s="3" t="s">
        <v>1253</v>
      </c>
      <c r="F18" s="3" t="s">
        <v>1254</v>
      </c>
    </row>
    <row r="19" spans="1:6" ht="15" customHeight="1" x14ac:dyDescent="0.2">
      <c r="A19" s="3" t="s">
        <v>1212</v>
      </c>
      <c r="B19" s="3" t="s">
        <v>1255</v>
      </c>
      <c r="C19" s="3" t="s">
        <v>650</v>
      </c>
      <c r="D19" s="8" t="s">
        <v>1217</v>
      </c>
      <c r="E19" s="3" t="s">
        <v>1256</v>
      </c>
      <c r="F19" s="3"/>
    </row>
    <row r="20" spans="1:6" ht="15" customHeight="1" x14ac:dyDescent="0.2">
      <c r="A20" s="3" t="s">
        <v>1257</v>
      </c>
      <c r="B20" s="3" t="s">
        <v>1213</v>
      </c>
      <c r="C20" s="3" t="s">
        <v>1214</v>
      </c>
      <c r="D20" s="6" t="s">
        <v>1215</v>
      </c>
      <c r="E20" s="3"/>
      <c r="F20" s="3"/>
    </row>
    <row r="21" spans="1:6" ht="15" customHeight="1" x14ac:dyDescent="0.2">
      <c r="A21" s="3" t="s">
        <v>1257</v>
      </c>
      <c r="B21" s="3" t="s">
        <v>1216</v>
      </c>
      <c r="C21" s="3" t="s">
        <v>650</v>
      </c>
      <c r="D21" s="8" t="s">
        <v>1217</v>
      </c>
      <c r="E21" s="3" t="s">
        <v>1218</v>
      </c>
      <c r="F21" s="3"/>
    </row>
    <row r="22" spans="1:6" ht="45" customHeight="1" x14ac:dyDescent="0.2">
      <c r="A22" s="3" t="s">
        <v>1257</v>
      </c>
      <c r="B22" s="3" t="s">
        <v>1258</v>
      </c>
      <c r="C22" s="3" t="s">
        <v>1259</v>
      </c>
      <c r="D22" s="6" t="s">
        <v>1215</v>
      </c>
      <c r="E22" s="3"/>
      <c r="F22" s="3"/>
    </row>
    <row r="23" spans="1:6" ht="15" customHeight="1" x14ac:dyDescent="0.2">
      <c r="A23" s="3" t="s">
        <v>1257</v>
      </c>
      <c r="B23" s="3" t="s">
        <v>1227</v>
      </c>
      <c r="C23" s="3" t="s">
        <v>1260</v>
      </c>
      <c r="D23" s="6" t="s">
        <v>1215</v>
      </c>
      <c r="E23" s="3"/>
      <c r="F23" s="3"/>
    </row>
    <row r="24" spans="1:6" ht="30" customHeight="1" x14ac:dyDescent="0.2">
      <c r="A24" s="3" t="s">
        <v>1257</v>
      </c>
      <c r="B24" s="3" t="s">
        <v>1230</v>
      </c>
      <c r="C24" s="3" t="s">
        <v>1261</v>
      </c>
      <c r="D24" s="6" t="s">
        <v>1215</v>
      </c>
      <c r="E24" s="3"/>
      <c r="F24" s="3"/>
    </row>
    <row r="25" spans="1:6" ht="15" customHeight="1" x14ac:dyDescent="0.2">
      <c r="A25" s="3" t="s">
        <v>1257</v>
      </c>
      <c r="B25" s="3" t="s">
        <v>1231</v>
      </c>
      <c r="C25" s="3" t="s">
        <v>1262</v>
      </c>
      <c r="D25" s="6" t="s">
        <v>1215</v>
      </c>
      <c r="E25" s="3"/>
      <c r="F25" s="3"/>
    </row>
    <row r="26" spans="1:6" ht="30" customHeight="1" x14ac:dyDescent="0.2">
      <c r="A26" s="3" t="s">
        <v>1257</v>
      </c>
      <c r="B26" s="3" t="s">
        <v>1233</v>
      </c>
      <c r="C26" s="3" t="s">
        <v>1263</v>
      </c>
      <c r="D26" s="9" t="s">
        <v>1250</v>
      </c>
      <c r="E26" s="3"/>
      <c r="F26" s="3"/>
    </row>
    <row r="27" spans="1:6" ht="30" customHeight="1" x14ac:dyDescent="0.2">
      <c r="A27" s="3" t="s">
        <v>1257</v>
      </c>
      <c r="B27" s="3" t="s">
        <v>1235</v>
      </c>
      <c r="C27" s="3" t="s">
        <v>1264</v>
      </c>
      <c r="D27" s="9" t="s">
        <v>1250</v>
      </c>
      <c r="E27" s="3"/>
      <c r="F27" s="3"/>
    </row>
    <row r="28" spans="1:6" ht="30" customHeight="1" x14ac:dyDescent="0.2">
      <c r="A28" s="3" t="s">
        <v>1257</v>
      </c>
      <c r="B28" s="3" t="s">
        <v>1238</v>
      </c>
      <c r="C28" s="3" t="s">
        <v>1265</v>
      </c>
      <c r="D28" s="9" t="s">
        <v>1250</v>
      </c>
      <c r="E28" s="3"/>
      <c r="F28" s="3"/>
    </row>
    <row r="29" spans="1:6" ht="30" customHeight="1" x14ac:dyDescent="0.2">
      <c r="A29" s="3" t="s">
        <v>1257</v>
      </c>
      <c r="B29" s="3" t="s">
        <v>1240</v>
      </c>
      <c r="C29" s="3" t="s">
        <v>1266</v>
      </c>
      <c r="D29" s="6" t="s">
        <v>1215</v>
      </c>
      <c r="E29" s="3"/>
      <c r="F29" s="3"/>
    </row>
    <row r="30" spans="1:6" ht="45" customHeight="1" x14ac:dyDescent="0.2">
      <c r="A30" s="3" t="s">
        <v>1257</v>
      </c>
      <c r="B30" s="3" t="s">
        <v>1267</v>
      </c>
      <c r="C30" s="3" t="s">
        <v>1268</v>
      </c>
      <c r="D30" s="6" t="s">
        <v>1215</v>
      </c>
      <c r="E30" s="3"/>
      <c r="F30" s="3"/>
    </row>
    <row r="31" spans="1:6" ht="15" customHeight="1" x14ac:dyDescent="0.2">
      <c r="A31" s="3" t="s">
        <v>1257</v>
      </c>
      <c r="B31" s="3" t="s">
        <v>1269</v>
      </c>
      <c r="C31" s="3" t="s">
        <v>650</v>
      </c>
      <c r="D31" s="8" t="s">
        <v>1217</v>
      </c>
      <c r="E31" s="3" t="s">
        <v>1218</v>
      </c>
      <c r="F31" s="3"/>
    </row>
    <row r="32" spans="1:6" ht="30" customHeight="1" x14ac:dyDescent="0.2">
      <c r="A32" s="3" t="s">
        <v>1257</v>
      </c>
      <c r="B32" s="3" t="s">
        <v>1248</v>
      </c>
      <c r="C32" s="3" t="s">
        <v>1270</v>
      </c>
      <c r="D32" s="9" t="s">
        <v>1250</v>
      </c>
      <c r="E32" s="3"/>
      <c r="F32" s="3"/>
    </row>
    <row r="33" spans="1:6" ht="15" customHeight="1" x14ac:dyDescent="0.2">
      <c r="A33" s="3" t="s">
        <v>1271</v>
      </c>
      <c r="B33" s="3" t="s">
        <v>1213</v>
      </c>
      <c r="C33" s="3" t="s">
        <v>1214</v>
      </c>
      <c r="D33" s="6" t="s">
        <v>1215</v>
      </c>
      <c r="E33" s="3"/>
      <c r="F33" s="3"/>
    </row>
    <row r="34" spans="1:6" ht="15" customHeight="1" x14ac:dyDescent="0.2">
      <c r="A34" s="3" t="s">
        <v>1271</v>
      </c>
      <c r="B34" s="3" t="s">
        <v>1216</v>
      </c>
      <c r="C34" s="3" t="s">
        <v>650</v>
      </c>
      <c r="D34" s="8" t="s">
        <v>1217</v>
      </c>
      <c r="E34" s="3" t="s">
        <v>1218</v>
      </c>
      <c r="F34" s="3"/>
    </row>
    <row r="35" spans="1:6" ht="30" customHeight="1" x14ac:dyDescent="0.2">
      <c r="A35" s="3" t="s">
        <v>1271</v>
      </c>
      <c r="B35" s="3" t="s">
        <v>1272</v>
      </c>
      <c r="C35" s="3" t="s">
        <v>650</v>
      </c>
      <c r="D35" s="8" t="s">
        <v>1217</v>
      </c>
      <c r="E35" s="3" t="s">
        <v>1273</v>
      </c>
      <c r="F35" s="3" t="s">
        <v>1274</v>
      </c>
    </row>
    <row r="36" spans="1:6" ht="15" customHeight="1" x14ac:dyDescent="0.2">
      <c r="A36" s="3" t="s">
        <v>1271</v>
      </c>
      <c r="B36" s="3" t="s">
        <v>1227</v>
      </c>
      <c r="C36" s="3" t="s">
        <v>1275</v>
      </c>
      <c r="D36" s="6" t="s">
        <v>1276</v>
      </c>
      <c r="E36" s="3" t="s">
        <v>1277</v>
      </c>
      <c r="F36" s="3"/>
    </row>
    <row r="37" spans="1:6" ht="15" customHeight="1" x14ac:dyDescent="0.2">
      <c r="A37" s="3" t="s">
        <v>1271</v>
      </c>
      <c r="B37" s="3" t="s">
        <v>1230</v>
      </c>
      <c r="C37" s="3" t="s">
        <v>1278</v>
      </c>
      <c r="D37" s="6" t="s">
        <v>1215</v>
      </c>
      <c r="E37" s="3"/>
      <c r="F37" s="3"/>
    </row>
    <row r="38" spans="1:6" ht="30" customHeight="1" x14ac:dyDescent="0.2">
      <c r="A38" s="3" t="s">
        <v>1271</v>
      </c>
      <c r="B38" s="3" t="s">
        <v>1231</v>
      </c>
      <c r="C38" s="3" t="s">
        <v>1279</v>
      </c>
      <c r="D38" s="6" t="s">
        <v>1280</v>
      </c>
      <c r="E38" s="3" t="s">
        <v>1281</v>
      </c>
      <c r="F38" s="3"/>
    </row>
    <row r="39" spans="1:6" ht="30" customHeight="1" x14ac:dyDescent="0.2">
      <c r="A39" s="3" t="s">
        <v>1271</v>
      </c>
      <c r="B39" s="3" t="s">
        <v>1233</v>
      </c>
      <c r="C39" s="3" t="s">
        <v>1282</v>
      </c>
      <c r="D39" s="9" t="s">
        <v>1237</v>
      </c>
      <c r="E39" s="3" t="s">
        <v>1281</v>
      </c>
      <c r="F39" s="3"/>
    </row>
    <row r="40" spans="1:6" ht="15" customHeight="1" x14ac:dyDescent="0.2">
      <c r="A40" s="3" t="s">
        <v>1271</v>
      </c>
      <c r="B40" s="3" t="s">
        <v>1235</v>
      </c>
      <c r="C40" s="3" t="s">
        <v>1283</v>
      </c>
      <c r="D40" s="9" t="s">
        <v>1250</v>
      </c>
      <c r="E40" s="3"/>
      <c r="F40" s="3"/>
    </row>
    <row r="41" spans="1:6" ht="15" customHeight="1" x14ac:dyDescent="0.2">
      <c r="A41" s="3" t="s">
        <v>1271</v>
      </c>
      <c r="B41" s="3" t="s">
        <v>1238</v>
      </c>
      <c r="C41" s="3" t="s">
        <v>1283</v>
      </c>
      <c r="D41" s="9" t="s">
        <v>1250</v>
      </c>
      <c r="E41" s="3"/>
      <c r="F41" s="3"/>
    </row>
    <row r="42" spans="1:6" ht="15" customHeight="1" x14ac:dyDescent="0.2">
      <c r="A42" s="3" t="s">
        <v>1271</v>
      </c>
      <c r="B42" s="3" t="s">
        <v>1240</v>
      </c>
      <c r="C42" s="3" t="s">
        <v>1278</v>
      </c>
      <c r="D42" s="6" t="s">
        <v>1215</v>
      </c>
      <c r="E42" s="3"/>
      <c r="F42" s="3"/>
    </row>
    <row r="43" spans="1:6" ht="60" customHeight="1" x14ac:dyDescent="0.2">
      <c r="A43" s="3" t="s">
        <v>1271</v>
      </c>
      <c r="B43" s="3" t="s">
        <v>1267</v>
      </c>
      <c r="C43" s="3" t="s">
        <v>1284</v>
      </c>
      <c r="D43" s="3" t="s">
        <v>1285</v>
      </c>
      <c r="E43" s="3"/>
      <c r="F43" s="3"/>
    </row>
    <row r="44" spans="1:6" ht="60" customHeight="1" x14ac:dyDescent="0.2">
      <c r="A44" s="3" t="s">
        <v>1271</v>
      </c>
      <c r="B44" s="3" t="s">
        <v>1269</v>
      </c>
      <c r="C44" s="3" t="s">
        <v>1284</v>
      </c>
      <c r="D44" s="3" t="s">
        <v>1285</v>
      </c>
      <c r="E44" s="3"/>
      <c r="F44" s="3"/>
    </row>
    <row r="45" spans="1:6" ht="60" customHeight="1" x14ac:dyDescent="0.2">
      <c r="A45" s="3" t="s">
        <v>1271</v>
      </c>
      <c r="B45" s="3" t="s">
        <v>1248</v>
      </c>
      <c r="C45" s="3" t="s">
        <v>1284</v>
      </c>
      <c r="D45" s="3" t="s">
        <v>1285</v>
      </c>
      <c r="E45" s="3"/>
      <c r="F45" s="3"/>
    </row>
    <row r="46" spans="1:6" ht="15" customHeight="1" x14ac:dyDescent="0.2">
      <c r="A46" s="3" t="s">
        <v>1286</v>
      </c>
      <c r="B46" s="3" t="s">
        <v>1213</v>
      </c>
      <c r="C46" s="3" t="s">
        <v>1214</v>
      </c>
      <c r="D46" s="6" t="s">
        <v>1215</v>
      </c>
      <c r="E46" s="3"/>
      <c r="F46" s="3"/>
    </row>
    <row r="47" spans="1:6" ht="15" customHeight="1" x14ac:dyDescent="0.2">
      <c r="A47" s="3" t="s">
        <v>1286</v>
      </c>
      <c r="B47" s="3" t="s">
        <v>1216</v>
      </c>
      <c r="C47" s="3" t="s">
        <v>650</v>
      </c>
      <c r="D47" s="8" t="s">
        <v>1217</v>
      </c>
      <c r="E47" s="3" t="s">
        <v>1218</v>
      </c>
      <c r="F47" s="3"/>
    </row>
    <row r="48" spans="1:6" ht="45" customHeight="1" x14ac:dyDescent="0.2">
      <c r="A48" s="3" t="s">
        <v>1286</v>
      </c>
      <c r="B48" s="3" t="s">
        <v>1287</v>
      </c>
      <c r="C48" s="3" t="s">
        <v>1288</v>
      </c>
      <c r="D48" s="6" t="s">
        <v>1215</v>
      </c>
      <c r="E48" s="3"/>
      <c r="F48" s="3"/>
    </row>
    <row r="49" spans="1:6" ht="45" customHeight="1" x14ac:dyDescent="0.2">
      <c r="A49" s="3" t="s">
        <v>1286</v>
      </c>
      <c r="B49" s="3" t="s">
        <v>1289</v>
      </c>
      <c r="C49" s="3" t="s">
        <v>1290</v>
      </c>
      <c r="D49" s="6" t="s">
        <v>1215</v>
      </c>
      <c r="E49" s="3"/>
      <c r="F49" s="3"/>
    </row>
    <row r="50" spans="1:6" ht="15" customHeight="1" x14ac:dyDescent="0.2">
      <c r="A50" s="3" t="s">
        <v>1286</v>
      </c>
      <c r="B50" s="3" t="s">
        <v>1230</v>
      </c>
      <c r="C50" s="3" t="s">
        <v>1278</v>
      </c>
      <c r="D50" s="6" t="s">
        <v>1215</v>
      </c>
      <c r="E50" s="3"/>
      <c r="F50" s="3"/>
    </row>
    <row r="51" spans="1:6" ht="15" customHeight="1" x14ac:dyDescent="0.2">
      <c r="A51" s="3" t="s">
        <v>1286</v>
      </c>
      <c r="B51" s="3" t="s">
        <v>1231</v>
      </c>
      <c r="C51" s="3" t="s">
        <v>1291</v>
      </c>
      <c r="D51" s="6" t="s">
        <v>1215</v>
      </c>
      <c r="E51" s="3"/>
      <c r="F51" s="3"/>
    </row>
    <row r="52" spans="1:6" ht="15" customHeight="1" x14ac:dyDescent="0.2">
      <c r="A52" s="3" t="s">
        <v>1286</v>
      </c>
      <c r="B52" s="3" t="s">
        <v>1233</v>
      </c>
      <c r="C52" s="3" t="s">
        <v>1292</v>
      </c>
      <c r="D52" s="9" t="s">
        <v>1250</v>
      </c>
      <c r="E52" s="3"/>
      <c r="F52" s="3"/>
    </row>
    <row r="53" spans="1:6" ht="15" customHeight="1" x14ac:dyDescent="0.2">
      <c r="A53" s="3" t="s">
        <v>1286</v>
      </c>
      <c r="B53" s="3" t="s">
        <v>1235</v>
      </c>
      <c r="C53" s="3" t="s">
        <v>1293</v>
      </c>
      <c r="D53" s="9" t="s">
        <v>1250</v>
      </c>
      <c r="E53" s="3"/>
      <c r="F53" s="3"/>
    </row>
    <row r="54" spans="1:6" ht="15" customHeight="1" x14ac:dyDescent="0.2">
      <c r="A54" s="3" t="s">
        <v>1286</v>
      </c>
      <c r="B54" s="3" t="s">
        <v>1238</v>
      </c>
      <c r="C54" s="3" t="s">
        <v>1294</v>
      </c>
      <c r="D54" s="9" t="s">
        <v>1250</v>
      </c>
      <c r="E54" s="3"/>
      <c r="F54" s="3"/>
    </row>
    <row r="55" spans="1:6" ht="15" customHeight="1" x14ac:dyDescent="0.2">
      <c r="A55" s="3" t="s">
        <v>1286</v>
      </c>
      <c r="B55" s="3" t="s">
        <v>1240</v>
      </c>
      <c r="C55" s="3" t="s">
        <v>1278</v>
      </c>
      <c r="D55" s="6" t="s">
        <v>1215</v>
      </c>
      <c r="E55" s="3"/>
      <c r="F55" s="3"/>
    </row>
    <row r="56" spans="1:6" ht="15" customHeight="1" x14ac:dyDescent="0.2">
      <c r="A56" s="3" t="s">
        <v>1286</v>
      </c>
      <c r="B56" s="3" t="s">
        <v>1267</v>
      </c>
      <c r="C56" s="3" t="s">
        <v>1295</v>
      </c>
      <c r="D56" s="3" t="s">
        <v>1285</v>
      </c>
      <c r="E56" s="3"/>
      <c r="F56" s="3"/>
    </row>
    <row r="57" spans="1:6" ht="15" customHeight="1" x14ac:dyDescent="0.2">
      <c r="A57" s="3" t="s">
        <v>1286</v>
      </c>
      <c r="B57" s="3" t="s">
        <v>1269</v>
      </c>
      <c r="C57" s="3" t="s">
        <v>1296</v>
      </c>
      <c r="D57" s="3" t="s">
        <v>1285</v>
      </c>
      <c r="E57" s="3"/>
      <c r="F57" s="3"/>
    </row>
    <row r="58" spans="1:6" ht="15" customHeight="1" x14ac:dyDescent="0.2">
      <c r="A58" s="3" t="s">
        <v>1286</v>
      </c>
      <c r="B58" s="3" t="s">
        <v>1248</v>
      </c>
      <c r="C58" s="3" t="s">
        <v>1296</v>
      </c>
      <c r="D58" s="3" t="s">
        <v>1285</v>
      </c>
      <c r="E58" s="3"/>
      <c r="F58" s="3"/>
    </row>
    <row r="59" spans="1:6" ht="15" customHeight="1" x14ac:dyDescent="0.2">
      <c r="A59" s="3" t="s">
        <v>1297</v>
      </c>
      <c r="B59" s="3" t="s">
        <v>1213</v>
      </c>
      <c r="C59" s="3" t="s">
        <v>1298</v>
      </c>
      <c r="D59" s="6" t="s">
        <v>1215</v>
      </c>
      <c r="E59" s="3"/>
      <c r="F59" s="3"/>
    </row>
    <row r="60" spans="1:6" ht="15" customHeight="1" x14ac:dyDescent="0.2">
      <c r="A60" s="3" t="s">
        <v>1297</v>
      </c>
      <c r="B60" s="3" t="s">
        <v>1216</v>
      </c>
      <c r="C60" s="3" t="s">
        <v>650</v>
      </c>
      <c r="D60" s="8" t="s">
        <v>1217</v>
      </c>
      <c r="E60" s="3" t="s">
        <v>1218</v>
      </c>
      <c r="F60" s="3"/>
    </row>
    <row r="61" spans="1:6" ht="15" customHeight="1" x14ac:dyDescent="0.2">
      <c r="A61" s="3" t="s">
        <v>1297</v>
      </c>
      <c r="B61" s="3" t="s">
        <v>1299</v>
      </c>
      <c r="C61" s="3" t="s">
        <v>1300</v>
      </c>
      <c r="D61" s="6" t="s">
        <v>1215</v>
      </c>
      <c r="E61" s="3"/>
      <c r="F61" s="3"/>
    </row>
    <row r="62" spans="1:6" ht="15" customHeight="1" x14ac:dyDescent="0.2">
      <c r="A62" s="3" t="s">
        <v>1297</v>
      </c>
      <c r="B62" s="3" t="s">
        <v>1301</v>
      </c>
      <c r="C62" s="3" t="s">
        <v>1302</v>
      </c>
      <c r="D62" s="6" t="s">
        <v>1215</v>
      </c>
      <c r="E62" s="3"/>
      <c r="F62" s="3"/>
    </row>
    <row r="63" spans="1:6" ht="15" customHeight="1" x14ac:dyDescent="0.2">
      <c r="A63" s="3" t="s">
        <v>1297</v>
      </c>
      <c r="B63" s="3" t="s">
        <v>1303</v>
      </c>
      <c r="C63" s="3" t="s">
        <v>1302</v>
      </c>
      <c r="D63" s="6" t="s">
        <v>1215</v>
      </c>
      <c r="E63" s="3"/>
      <c r="F63" s="3"/>
    </row>
    <row r="64" spans="1:6" ht="15" customHeight="1" x14ac:dyDescent="0.2">
      <c r="A64" s="3" t="s">
        <v>1297</v>
      </c>
      <c r="B64" s="3" t="s">
        <v>1304</v>
      </c>
      <c r="C64" s="3" t="s">
        <v>1305</v>
      </c>
      <c r="D64" s="6" t="s">
        <v>1215</v>
      </c>
      <c r="E64" s="3"/>
      <c r="F64" s="3"/>
    </row>
    <row r="65" spans="1:6" ht="30" customHeight="1" x14ac:dyDescent="0.2">
      <c r="A65" s="3" t="s">
        <v>1297</v>
      </c>
      <c r="B65" s="3" t="s">
        <v>1227</v>
      </c>
      <c r="C65" s="3" t="s">
        <v>1306</v>
      </c>
      <c r="D65" s="6" t="s">
        <v>1307</v>
      </c>
      <c r="E65" s="3" t="s">
        <v>1308</v>
      </c>
      <c r="F65" s="3"/>
    </row>
    <row r="66" spans="1:6" ht="15" customHeight="1" x14ac:dyDescent="0.2">
      <c r="A66" s="3" t="s">
        <v>1297</v>
      </c>
      <c r="B66" s="3" t="s">
        <v>1230</v>
      </c>
      <c r="C66" s="3" t="s">
        <v>1278</v>
      </c>
      <c r="D66" s="6" t="s">
        <v>1215</v>
      </c>
      <c r="E66" s="3"/>
      <c r="F66" s="3"/>
    </row>
    <row r="67" spans="1:6" ht="15" customHeight="1" x14ac:dyDescent="0.2">
      <c r="A67" s="3" t="s">
        <v>1297</v>
      </c>
      <c r="B67" s="3" t="s">
        <v>1231</v>
      </c>
      <c r="C67" s="3" t="s">
        <v>1291</v>
      </c>
      <c r="D67" s="6" t="s">
        <v>1215</v>
      </c>
      <c r="E67" s="3"/>
      <c r="F67" s="3"/>
    </row>
    <row r="68" spans="1:6" ht="30" customHeight="1" x14ac:dyDescent="0.2">
      <c r="A68" s="3" t="s">
        <v>1297</v>
      </c>
      <c r="B68" s="3" t="s">
        <v>1233</v>
      </c>
      <c r="C68" s="3" t="s">
        <v>1309</v>
      </c>
      <c r="D68" s="9" t="s">
        <v>1310</v>
      </c>
      <c r="E68" s="3" t="s">
        <v>1311</v>
      </c>
      <c r="F68" s="3"/>
    </row>
    <row r="69" spans="1:6" ht="15" customHeight="1" x14ac:dyDescent="0.2">
      <c r="A69" s="3" t="s">
        <v>1297</v>
      </c>
      <c r="B69" s="3" t="s">
        <v>1235</v>
      </c>
      <c r="C69" s="3" t="s">
        <v>1283</v>
      </c>
      <c r="D69" s="9" t="s">
        <v>1250</v>
      </c>
      <c r="E69" s="3"/>
      <c r="F69" s="3"/>
    </row>
    <row r="70" spans="1:6" ht="15" customHeight="1" x14ac:dyDescent="0.2">
      <c r="A70" s="3" t="s">
        <v>1297</v>
      </c>
      <c r="B70" s="3" t="s">
        <v>1238</v>
      </c>
      <c r="C70" s="3" t="s">
        <v>1283</v>
      </c>
      <c r="D70" s="9" t="s">
        <v>1250</v>
      </c>
      <c r="E70" s="3"/>
      <c r="F70" s="3"/>
    </row>
    <row r="71" spans="1:6" ht="15" customHeight="1" x14ac:dyDescent="0.2">
      <c r="A71" s="3" t="s">
        <v>1297</v>
      </c>
      <c r="B71" s="3" t="s">
        <v>1240</v>
      </c>
      <c r="C71" s="3" t="s">
        <v>1278</v>
      </c>
      <c r="D71" s="6" t="s">
        <v>1215</v>
      </c>
      <c r="E71" s="3"/>
      <c r="F71" s="3"/>
    </row>
    <row r="72" spans="1:6" ht="45" customHeight="1" x14ac:dyDescent="0.2">
      <c r="A72" s="3" t="s">
        <v>1312</v>
      </c>
      <c r="B72" s="3" t="s">
        <v>1313</v>
      </c>
      <c r="C72" s="3" t="s">
        <v>650</v>
      </c>
      <c r="D72" s="3" t="s">
        <v>1285</v>
      </c>
      <c r="E72" s="3" t="s">
        <v>1314</v>
      </c>
      <c r="F72" s="3" t="s">
        <v>1315</v>
      </c>
    </row>
  </sheetData>
  <autoFilter ref="A1:F7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8"/>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2"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2" customWidth="1"/>
    <col min="32" max="32" width="12" customWidth="1"/>
    <col min="33" max="33" width="11" customWidth="1"/>
    <col min="34" max="34" width="42" customWidth="1"/>
    <col min="35" max="35" width="52" customWidth="1"/>
    <col min="36" max="36" width="46" customWidth="1"/>
    <col min="37" max="37" width="20" customWidth="1"/>
    <col min="38" max="38" width="36" customWidth="1"/>
    <col min="39" max="40" width="30" customWidth="1"/>
  </cols>
  <sheetData>
    <row r="1" spans="1:40" ht="45" customHeight="1" x14ac:dyDescent="0.2">
      <c r="A1" s="1" t="s">
        <v>1316</v>
      </c>
      <c r="B1" s="1" t="s">
        <v>1317</v>
      </c>
      <c r="C1" s="1" t="s">
        <v>1318</v>
      </c>
      <c r="D1" s="1" t="s">
        <v>1319</v>
      </c>
      <c r="E1" s="1" t="s">
        <v>1320</v>
      </c>
      <c r="F1" s="1" t="s">
        <v>1321</v>
      </c>
      <c r="G1" s="1" t="s">
        <v>1322</v>
      </c>
      <c r="H1" s="1" t="s">
        <v>1323</v>
      </c>
      <c r="I1" s="1" t="s">
        <v>1324</v>
      </c>
      <c r="J1" s="1" t="s">
        <v>1325</v>
      </c>
      <c r="K1" s="1" t="s">
        <v>1326</v>
      </c>
      <c r="L1" s="1" t="s">
        <v>335</v>
      </c>
      <c r="M1" s="1" t="s">
        <v>1327</v>
      </c>
      <c r="N1" s="1" t="s">
        <v>1328</v>
      </c>
      <c r="O1" s="1" t="s">
        <v>1329</v>
      </c>
      <c r="P1" s="1" t="s">
        <v>1330</v>
      </c>
      <c r="Q1" s="1" t="s">
        <v>1331</v>
      </c>
      <c r="R1" s="1" t="s">
        <v>1332</v>
      </c>
      <c r="S1" s="1" t="s">
        <v>1333</v>
      </c>
      <c r="T1" s="1" t="s">
        <v>1334</v>
      </c>
      <c r="U1" s="1" t="s">
        <v>1335</v>
      </c>
      <c r="V1" s="1" t="s">
        <v>1336</v>
      </c>
      <c r="W1" s="1" t="s">
        <v>1337</v>
      </c>
      <c r="X1" s="1" t="s">
        <v>1338</v>
      </c>
      <c r="Y1" s="1" t="s">
        <v>1339</v>
      </c>
      <c r="Z1" s="1" t="s">
        <v>1340</v>
      </c>
      <c r="AA1" s="1" t="s">
        <v>1341</v>
      </c>
      <c r="AB1" s="1" t="s">
        <v>1342</v>
      </c>
      <c r="AC1" s="1" t="s">
        <v>1343</v>
      </c>
      <c r="AD1" s="1" t="s">
        <v>1344</v>
      </c>
      <c r="AE1" s="1" t="s">
        <v>1345</v>
      </c>
      <c r="AF1" s="1" t="s">
        <v>1346</v>
      </c>
      <c r="AG1" s="1" t="s">
        <v>1347</v>
      </c>
      <c r="AH1" s="1" t="s">
        <v>1348</v>
      </c>
      <c r="AI1" s="1" t="s">
        <v>1349</v>
      </c>
      <c r="AJ1" s="1" t="s">
        <v>1350</v>
      </c>
      <c r="AK1" s="1" t="s">
        <v>1351</v>
      </c>
      <c r="AL1" s="1" t="s">
        <v>1352</v>
      </c>
      <c r="AM1" s="1" t="s">
        <v>1353</v>
      </c>
      <c r="AN1" s="1" t="s">
        <v>1210</v>
      </c>
    </row>
    <row r="2" spans="1:40" ht="60" customHeight="1" x14ac:dyDescent="0.2">
      <c r="A2" s="3" t="s">
        <v>561</v>
      </c>
      <c r="B2" s="3" t="s">
        <v>1354</v>
      </c>
      <c r="C2" s="3" t="s">
        <v>1355</v>
      </c>
      <c r="D2" s="3" t="s">
        <v>1356</v>
      </c>
      <c r="E2" s="3" t="s">
        <v>1357</v>
      </c>
      <c r="F2" s="3" t="s">
        <v>1358</v>
      </c>
      <c r="G2" s="3" t="s">
        <v>1359</v>
      </c>
      <c r="H2" s="3" t="s">
        <v>1360</v>
      </c>
      <c r="I2" s="3" t="s">
        <v>1361</v>
      </c>
      <c r="J2" s="3" t="s">
        <v>1362</v>
      </c>
      <c r="K2" s="3" t="s">
        <v>1363</v>
      </c>
      <c r="L2" s="3" t="s">
        <v>1364</v>
      </c>
      <c r="M2" s="3" t="s">
        <v>1365</v>
      </c>
      <c r="N2" s="3" t="s">
        <v>1366</v>
      </c>
      <c r="O2" s="3" t="s">
        <v>1367</v>
      </c>
      <c r="P2" s="3" t="s">
        <v>1368</v>
      </c>
      <c r="Q2" s="3" t="s">
        <v>1369</v>
      </c>
      <c r="R2" s="3"/>
      <c r="S2" s="3" t="s">
        <v>1370</v>
      </c>
      <c r="T2" s="3" t="s">
        <v>1371</v>
      </c>
      <c r="U2" s="3"/>
      <c r="V2" s="7" t="s">
        <v>1372</v>
      </c>
      <c r="W2" s="7" t="s">
        <v>1373</v>
      </c>
      <c r="X2" s="3"/>
      <c r="Y2" s="3" t="s">
        <v>1374</v>
      </c>
      <c r="Z2" s="3" t="s">
        <v>1375</v>
      </c>
      <c r="AA2" s="3" t="s">
        <v>1376</v>
      </c>
      <c r="AB2" s="3" t="s">
        <v>1377</v>
      </c>
      <c r="AC2" s="3" t="s">
        <v>1378</v>
      </c>
      <c r="AD2" s="3"/>
      <c r="AE2" s="3" t="s">
        <v>1379</v>
      </c>
      <c r="AF2" s="3" t="s">
        <v>1380</v>
      </c>
      <c r="AG2" s="3" t="s">
        <v>1150</v>
      </c>
      <c r="AH2" s="3"/>
      <c r="AI2" s="3"/>
      <c r="AJ2" s="3" t="s">
        <v>1381</v>
      </c>
      <c r="AK2" s="3" t="s">
        <v>1382</v>
      </c>
      <c r="AL2" s="3"/>
      <c r="AM2" s="3"/>
      <c r="AN2" s="7" t="s">
        <v>1383</v>
      </c>
    </row>
    <row r="3" spans="1:40" ht="60" customHeight="1" x14ac:dyDescent="0.2">
      <c r="A3" s="3" t="s">
        <v>474</v>
      </c>
      <c r="B3" s="3" t="s">
        <v>1384</v>
      </c>
      <c r="C3" s="3" t="s">
        <v>1355</v>
      </c>
      <c r="D3" s="3" t="s">
        <v>1385</v>
      </c>
      <c r="E3" s="3" t="s">
        <v>1386</v>
      </c>
      <c r="F3" s="3" t="s">
        <v>1387</v>
      </c>
      <c r="G3" s="3" t="s">
        <v>1388</v>
      </c>
      <c r="H3" s="3" t="s">
        <v>1389</v>
      </c>
      <c r="I3" s="3" t="s">
        <v>1390</v>
      </c>
      <c r="J3" s="3" t="s">
        <v>1391</v>
      </c>
      <c r="K3" s="3" t="s">
        <v>1392</v>
      </c>
      <c r="L3" s="3" t="s">
        <v>1393</v>
      </c>
      <c r="M3" s="3" t="s">
        <v>1394</v>
      </c>
      <c r="N3" s="3" t="s">
        <v>1395</v>
      </c>
      <c r="O3" s="3" t="s">
        <v>1396</v>
      </c>
      <c r="P3" s="3" t="s">
        <v>1397</v>
      </c>
      <c r="Q3" s="3" t="s">
        <v>1398</v>
      </c>
      <c r="R3" s="3"/>
      <c r="S3" s="3"/>
      <c r="T3" s="3" t="s">
        <v>1399</v>
      </c>
      <c r="U3" s="3"/>
      <c r="V3" s="3"/>
      <c r="W3" s="3"/>
      <c r="X3" s="3"/>
      <c r="Y3" s="3" t="s">
        <v>1374</v>
      </c>
      <c r="Z3" s="3" t="s">
        <v>1375</v>
      </c>
      <c r="AA3" s="3" t="s">
        <v>1400</v>
      </c>
      <c r="AB3" s="3" t="s">
        <v>1401</v>
      </c>
      <c r="AC3" s="3" t="s">
        <v>1378</v>
      </c>
      <c r="AD3" s="3"/>
      <c r="AE3" s="3" t="s">
        <v>1402</v>
      </c>
      <c r="AF3" s="3" t="s">
        <v>1380</v>
      </c>
      <c r="AG3" s="3" t="s">
        <v>700</v>
      </c>
      <c r="AH3" s="3"/>
      <c r="AI3" s="3"/>
      <c r="AJ3" s="3" t="s">
        <v>1403</v>
      </c>
      <c r="AK3" s="3" t="s">
        <v>1382</v>
      </c>
      <c r="AL3" s="3"/>
      <c r="AM3" s="3"/>
      <c r="AN3" s="8" t="s">
        <v>1404</v>
      </c>
    </row>
    <row r="4" spans="1:40" ht="60" customHeight="1" x14ac:dyDescent="0.2">
      <c r="A4" s="3" t="s">
        <v>1405</v>
      </c>
      <c r="B4" s="3" t="s">
        <v>1406</v>
      </c>
      <c r="C4" s="3" t="s">
        <v>1355</v>
      </c>
      <c r="D4" s="3" t="s">
        <v>1407</v>
      </c>
      <c r="E4" s="3" t="s">
        <v>1408</v>
      </c>
      <c r="F4" s="3" t="s">
        <v>1409</v>
      </c>
      <c r="G4" s="3" t="s">
        <v>1410</v>
      </c>
      <c r="H4" s="3" t="s">
        <v>1411</v>
      </c>
      <c r="I4" s="3" t="s">
        <v>1412</v>
      </c>
      <c r="J4" s="3" t="s">
        <v>1413</v>
      </c>
      <c r="K4" s="3" t="s">
        <v>1414</v>
      </c>
      <c r="L4" s="3" t="s">
        <v>1415</v>
      </c>
      <c r="M4" s="3" t="s">
        <v>1394</v>
      </c>
      <c r="N4" s="3" t="s">
        <v>1395</v>
      </c>
      <c r="O4" s="3" t="s">
        <v>1416</v>
      </c>
      <c r="P4" s="3" t="s">
        <v>1417</v>
      </c>
      <c r="Q4" s="3" t="s">
        <v>1418</v>
      </c>
      <c r="R4" s="3"/>
      <c r="S4" s="3"/>
      <c r="T4" s="3" t="s">
        <v>1399</v>
      </c>
      <c r="U4" s="3"/>
      <c r="V4" s="3"/>
      <c r="W4" s="3"/>
      <c r="X4" s="3"/>
      <c r="Y4" s="3" t="s">
        <v>1374</v>
      </c>
      <c r="Z4" s="3" t="s">
        <v>1375</v>
      </c>
      <c r="AA4" s="3" t="s">
        <v>1419</v>
      </c>
      <c r="AB4" s="3" t="s">
        <v>1420</v>
      </c>
      <c r="AC4" s="3" t="s">
        <v>1378</v>
      </c>
      <c r="AD4" s="3" t="s">
        <v>1421</v>
      </c>
      <c r="AE4" s="3" t="s">
        <v>1422</v>
      </c>
      <c r="AF4" s="3" t="s">
        <v>1380</v>
      </c>
      <c r="AG4" s="3" t="s">
        <v>700</v>
      </c>
      <c r="AH4" s="3"/>
      <c r="AI4" s="3"/>
      <c r="AJ4" s="3" t="s">
        <v>1423</v>
      </c>
      <c r="AK4" s="3" t="s">
        <v>1382</v>
      </c>
      <c r="AL4" s="3"/>
      <c r="AM4" s="3"/>
      <c r="AN4" s="8" t="s">
        <v>1424</v>
      </c>
    </row>
    <row r="5" spans="1:40" ht="60" customHeight="1" x14ac:dyDescent="0.2">
      <c r="A5" s="3" t="s">
        <v>1425</v>
      </c>
      <c r="B5" s="3" t="s">
        <v>1406</v>
      </c>
      <c r="C5" s="3" t="s">
        <v>1355</v>
      </c>
      <c r="D5" s="3" t="s">
        <v>1426</v>
      </c>
      <c r="E5" s="3" t="s">
        <v>1427</v>
      </c>
      <c r="F5" s="3" t="s">
        <v>1428</v>
      </c>
      <c r="G5" s="3" t="s">
        <v>1429</v>
      </c>
      <c r="H5" s="3" t="s">
        <v>1430</v>
      </c>
      <c r="I5" s="3" t="s">
        <v>1431</v>
      </c>
      <c r="J5" s="3" t="s">
        <v>1413</v>
      </c>
      <c r="K5" s="3" t="s">
        <v>1414</v>
      </c>
      <c r="L5" s="3" t="s">
        <v>1432</v>
      </c>
      <c r="M5" s="3" t="s">
        <v>1365</v>
      </c>
      <c r="N5" s="3" t="s">
        <v>1395</v>
      </c>
      <c r="O5" s="3" t="s">
        <v>1433</v>
      </c>
      <c r="P5" s="3" t="s">
        <v>1434</v>
      </c>
      <c r="Q5" s="3" t="s">
        <v>1435</v>
      </c>
      <c r="R5" s="3"/>
      <c r="S5" s="3"/>
      <c r="T5" s="3" t="s">
        <v>1399</v>
      </c>
      <c r="U5" s="3" t="s">
        <v>1436</v>
      </c>
      <c r="V5" s="3"/>
      <c r="W5" s="3"/>
      <c r="X5" s="3"/>
      <c r="Y5" s="3" t="s">
        <v>1374</v>
      </c>
      <c r="Z5" s="3" t="s">
        <v>1375</v>
      </c>
      <c r="AA5" s="3" t="s">
        <v>1437</v>
      </c>
      <c r="AB5" s="3" t="s">
        <v>1438</v>
      </c>
      <c r="AC5" s="3" t="s">
        <v>1378</v>
      </c>
      <c r="AD5" s="3" t="s">
        <v>1439</v>
      </c>
      <c r="AE5" s="3" t="s">
        <v>1440</v>
      </c>
      <c r="AF5" s="3" t="s">
        <v>1380</v>
      </c>
      <c r="AG5" s="3" t="s">
        <v>700</v>
      </c>
      <c r="AH5" s="3"/>
      <c r="AI5" s="3"/>
      <c r="AJ5" s="3" t="s">
        <v>1441</v>
      </c>
      <c r="AK5" s="3" t="s">
        <v>1382</v>
      </c>
      <c r="AL5" s="3"/>
      <c r="AM5" s="3"/>
      <c r="AN5" s="8" t="s">
        <v>1442</v>
      </c>
    </row>
    <row r="6" spans="1:40" ht="60" customHeight="1" x14ac:dyDescent="0.2">
      <c r="A6" s="3" t="s">
        <v>1443</v>
      </c>
      <c r="B6" s="3" t="s">
        <v>1406</v>
      </c>
      <c r="C6" s="3" t="s">
        <v>1355</v>
      </c>
      <c r="D6" s="3" t="s">
        <v>1444</v>
      </c>
      <c r="E6" s="3" t="s">
        <v>1445</v>
      </c>
      <c r="F6" s="3" t="s">
        <v>1446</v>
      </c>
      <c r="G6" s="3"/>
      <c r="H6" s="3" t="s">
        <v>1447</v>
      </c>
      <c r="I6" s="3" t="s">
        <v>1448</v>
      </c>
      <c r="J6" s="3" t="s">
        <v>1413</v>
      </c>
      <c r="K6" s="3" t="s">
        <v>1414</v>
      </c>
      <c r="L6" s="3" t="s">
        <v>1449</v>
      </c>
      <c r="M6" s="3" t="s">
        <v>1394</v>
      </c>
      <c r="N6" s="3" t="s">
        <v>1395</v>
      </c>
      <c r="O6" s="3" t="s">
        <v>1450</v>
      </c>
      <c r="P6" s="3" t="s">
        <v>1450</v>
      </c>
      <c r="Q6" s="3" t="s">
        <v>1451</v>
      </c>
      <c r="R6" s="3"/>
      <c r="S6" s="3"/>
      <c r="T6" s="3" t="s">
        <v>1399</v>
      </c>
      <c r="U6" s="3"/>
      <c r="V6" s="3"/>
      <c r="W6" s="3"/>
      <c r="X6" s="3"/>
      <c r="Y6" s="3" t="s">
        <v>1374</v>
      </c>
      <c r="Z6" s="3" t="s">
        <v>1375</v>
      </c>
      <c r="AA6" s="3" t="s">
        <v>1437</v>
      </c>
      <c r="AB6" s="3" t="s">
        <v>1452</v>
      </c>
      <c r="AC6" s="3" t="s">
        <v>1453</v>
      </c>
      <c r="AD6" s="3"/>
      <c r="AE6" s="3" t="s">
        <v>1454</v>
      </c>
      <c r="AF6" s="3" t="s">
        <v>1380</v>
      </c>
      <c r="AG6" s="3" t="s">
        <v>700</v>
      </c>
      <c r="AH6" s="3"/>
      <c r="AI6" s="3"/>
      <c r="AJ6" s="3" t="s">
        <v>1455</v>
      </c>
      <c r="AK6" s="3" t="s">
        <v>1382</v>
      </c>
      <c r="AL6" s="3"/>
      <c r="AM6" s="3"/>
      <c r="AN6" s="8" t="s">
        <v>1456</v>
      </c>
    </row>
    <row r="7" spans="1:40" ht="60" customHeight="1" x14ac:dyDescent="0.2">
      <c r="A7" s="3" t="s">
        <v>1457</v>
      </c>
      <c r="B7" s="3"/>
      <c r="C7" s="3" t="s">
        <v>1458</v>
      </c>
      <c r="D7" s="3" t="s">
        <v>1459</v>
      </c>
      <c r="E7" s="3" t="s">
        <v>1460</v>
      </c>
      <c r="F7" s="3" t="s">
        <v>1461</v>
      </c>
      <c r="G7" s="3" t="s">
        <v>1462</v>
      </c>
      <c r="H7" s="3" t="s">
        <v>1463</v>
      </c>
      <c r="I7" s="3" t="s">
        <v>1463</v>
      </c>
      <c r="J7" s="3" t="s">
        <v>1464</v>
      </c>
      <c r="K7" s="3" t="s">
        <v>1465</v>
      </c>
      <c r="L7" s="3" t="s">
        <v>1466</v>
      </c>
      <c r="M7" s="3" t="s">
        <v>1467</v>
      </c>
      <c r="N7" s="3" t="s">
        <v>1468</v>
      </c>
      <c r="O7" s="3" t="s">
        <v>1469</v>
      </c>
      <c r="P7" s="3" t="s">
        <v>1470</v>
      </c>
      <c r="Q7" s="3" t="s">
        <v>1471</v>
      </c>
      <c r="R7" s="3" t="s">
        <v>1471</v>
      </c>
      <c r="S7" s="3"/>
      <c r="T7" s="3" t="s">
        <v>1471</v>
      </c>
      <c r="U7" s="3" t="s">
        <v>1472</v>
      </c>
      <c r="V7" s="3" t="s">
        <v>1473</v>
      </c>
      <c r="W7" s="3" t="s">
        <v>1474</v>
      </c>
      <c r="X7" s="3"/>
      <c r="Y7" s="3"/>
      <c r="Z7" s="3" t="s">
        <v>1475</v>
      </c>
      <c r="AA7" s="3"/>
      <c r="AB7" s="3"/>
      <c r="AC7" s="3"/>
      <c r="AD7" s="3"/>
      <c r="AE7" s="3" t="s">
        <v>1476</v>
      </c>
      <c r="AF7" s="3" t="s">
        <v>1380</v>
      </c>
      <c r="AG7" s="3" t="s">
        <v>7</v>
      </c>
      <c r="AH7" s="3"/>
      <c r="AI7" s="3"/>
      <c r="AJ7" s="3" t="s">
        <v>1477</v>
      </c>
      <c r="AK7" s="3" t="s">
        <v>1382</v>
      </c>
      <c r="AL7" s="3" t="s">
        <v>1478</v>
      </c>
      <c r="AM7" s="3"/>
      <c r="AN7" s="8" t="s">
        <v>1479</v>
      </c>
    </row>
    <row r="8" spans="1:40" ht="60" customHeight="1" x14ac:dyDescent="0.2">
      <c r="A8" s="3" t="s">
        <v>1480</v>
      </c>
      <c r="B8" s="3"/>
      <c r="C8" s="3" t="s">
        <v>1458</v>
      </c>
      <c r="D8" s="3" t="s">
        <v>1481</v>
      </c>
      <c r="E8" s="3" t="s">
        <v>1482</v>
      </c>
      <c r="F8" s="3" t="s">
        <v>1461</v>
      </c>
      <c r="G8" s="3" t="s">
        <v>1462</v>
      </c>
      <c r="H8" s="3" t="s">
        <v>1483</v>
      </c>
      <c r="I8" s="3" t="s">
        <v>1484</v>
      </c>
      <c r="J8" s="3" t="s">
        <v>1485</v>
      </c>
      <c r="K8" s="3" t="s">
        <v>1465</v>
      </c>
      <c r="L8" s="3" t="s">
        <v>1466</v>
      </c>
      <c r="M8" s="3" t="s">
        <v>1467</v>
      </c>
      <c r="N8" s="3" t="s">
        <v>1468</v>
      </c>
      <c r="O8" s="3" t="s">
        <v>1469</v>
      </c>
      <c r="P8" s="3" t="s">
        <v>1470</v>
      </c>
      <c r="Q8" s="3" t="s">
        <v>1471</v>
      </c>
      <c r="R8" s="3" t="s">
        <v>1471</v>
      </c>
      <c r="S8" s="3"/>
      <c r="T8" s="3" t="s">
        <v>1471</v>
      </c>
      <c r="U8" s="3"/>
      <c r="V8" s="3"/>
      <c r="W8" s="3"/>
      <c r="X8" s="3"/>
      <c r="Y8" s="3"/>
      <c r="Z8" s="3" t="s">
        <v>1475</v>
      </c>
      <c r="AA8" s="3"/>
      <c r="AB8" s="3"/>
      <c r="AC8" s="3"/>
      <c r="AD8" s="3"/>
      <c r="AE8" s="3" t="s">
        <v>1486</v>
      </c>
      <c r="AF8" s="3" t="s">
        <v>1380</v>
      </c>
      <c r="AG8" s="3" t="s">
        <v>7</v>
      </c>
      <c r="AH8" s="3"/>
      <c r="AI8" s="3"/>
      <c r="AJ8" s="3" t="s">
        <v>1477</v>
      </c>
      <c r="AK8" s="3" t="s">
        <v>1382</v>
      </c>
      <c r="AL8" s="3"/>
      <c r="AM8" s="3"/>
      <c r="AN8" s="8" t="s">
        <v>1479</v>
      </c>
    </row>
  </sheetData>
  <autoFilter ref="A1:AN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14"/>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2"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2" customWidth="1"/>
    <col min="32" max="32" width="12" customWidth="1"/>
    <col min="33" max="33" width="11" customWidth="1"/>
    <col min="34" max="34" width="42" customWidth="1"/>
    <col min="35" max="35" width="52" customWidth="1"/>
    <col min="36" max="36" width="46" customWidth="1"/>
    <col min="37" max="37" width="20" customWidth="1"/>
    <col min="38" max="38" width="36" customWidth="1"/>
    <col min="39" max="40" width="30" customWidth="1"/>
  </cols>
  <sheetData>
    <row r="1" spans="1:40" ht="45" customHeight="1" x14ac:dyDescent="0.2">
      <c r="A1" s="1" t="s">
        <v>1316</v>
      </c>
      <c r="B1" s="1" t="s">
        <v>1317</v>
      </c>
      <c r="C1" s="1" t="s">
        <v>1318</v>
      </c>
      <c r="D1" s="1" t="s">
        <v>1319</v>
      </c>
      <c r="E1" s="1" t="s">
        <v>1320</v>
      </c>
      <c r="F1" s="1" t="s">
        <v>1321</v>
      </c>
      <c r="G1" s="1" t="s">
        <v>1322</v>
      </c>
      <c r="H1" s="1" t="s">
        <v>1323</v>
      </c>
      <c r="I1" s="1" t="s">
        <v>1324</v>
      </c>
      <c r="J1" s="1" t="s">
        <v>1325</v>
      </c>
      <c r="K1" s="1" t="s">
        <v>1326</v>
      </c>
      <c r="L1" s="1" t="s">
        <v>335</v>
      </c>
      <c r="M1" s="1" t="s">
        <v>1327</v>
      </c>
      <c r="N1" s="1" t="s">
        <v>1328</v>
      </c>
      <c r="O1" s="1" t="s">
        <v>1329</v>
      </c>
      <c r="P1" s="1" t="s">
        <v>1330</v>
      </c>
      <c r="Q1" s="1" t="s">
        <v>1331</v>
      </c>
      <c r="R1" s="1" t="s">
        <v>1332</v>
      </c>
      <c r="S1" s="1" t="s">
        <v>1333</v>
      </c>
      <c r="T1" s="1" t="s">
        <v>1334</v>
      </c>
      <c r="U1" s="1" t="s">
        <v>1335</v>
      </c>
      <c r="V1" s="1" t="s">
        <v>1336</v>
      </c>
      <c r="W1" s="1" t="s">
        <v>1337</v>
      </c>
      <c r="X1" s="1" t="s">
        <v>1338</v>
      </c>
      <c r="Y1" s="1" t="s">
        <v>1339</v>
      </c>
      <c r="Z1" s="1" t="s">
        <v>1340</v>
      </c>
      <c r="AA1" s="1" t="s">
        <v>1341</v>
      </c>
      <c r="AB1" s="1" t="s">
        <v>1342</v>
      </c>
      <c r="AC1" s="1" t="s">
        <v>1343</v>
      </c>
      <c r="AD1" s="1" t="s">
        <v>1344</v>
      </c>
      <c r="AE1" s="1" t="s">
        <v>1345</v>
      </c>
      <c r="AF1" s="1" t="s">
        <v>1346</v>
      </c>
      <c r="AG1" s="1" t="s">
        <v>1347</v>
      </c>
      <c r="AH1" s="1" t="s">
        <v>1348</v>
      </c>
      <c r="AI1" s="1" t="s">
        <v>1349</v>
      </c>
      <c r="AJ1" s="1" t="s">
        <v>1350</v>
      </c>
      <c r="AK1" s="1" t="s">
        <v>1351</v>
      </c>
      <c r="AL1" s="1" t="s">
        <v>1352</v>
      </c>
      <c r="AM1" s="1" t="s">
        <v>1353</v>
      </c>
      <c r="AN1" s="1" t="s">
        <v>1210</v>
      </c>
    </row>
    <row r="2" spans="1:40" ht="60" customHeight="1" x14ac:dyDescent="0.2">
      <c r="A2" s="3" t="s">
        <v>1487</v>
      </c>
      <c r="B2" s="3" t="s">
        <v>1488</v>
      </c>
      <c r="C2" s="3" t="s">
        <v>1355</v>
      </c>
      <c r="D2" s="3" t="s">
        <v>1489</v>
      </c>
      <c r="E2" s="3" t="s">
        <v>1490</v>
      </c>
      <c r="F2" s="3" t="s">
        <v>1491</v>
      </c>
      <c r="G2" s="3" t="s">
        <v>1492</v>
      </c>
      <c r="H2" s="3" t="s">
        <v>1493</v>
      </c>
      <c r="I2" s="3" t="s">
        <v>1494</v>
      </c>
      <c r="J2" s="3" t="s">
        <v>1495</v>
      </c>
      <c r="K2" s="3" t="s">
        <v>1496</v>
      </c>
      <c r="L2" s="3" t="s">
        <v>1497</v>
      </c>
      <c r="M2" s="3" t="s">
        <v>1365</v>
      </c>
      <c r="N2" s="3" t="s">
        <v>1366</v>
      </c>
      <c r="O2" s="3" t="s">
        <v>1498</v>
      </c>
      <c r="P2" s="3" t="s">
        <v>1499</v>
      </c>
      <c r="Q2" s="3" t="s">
        <v>1500</v>
      </c>
      <c r="R2" s="3" t="s">
        <v>1501</v>
      </c>
      <c r="S2" s="3" t="s">
        <v>1502</v>
      </c>
      <c r="T2" s="3" t="s">
        <v>1399</v>
      </c>
      <c r="U2" s="3"/>
      <c r="V2" s="7" t="s">
        <v>1503</v>
      </c>
      <c r="W2" s="7"/>
      <c r="X2" s="3"/>
      <c r="Y2" s="3" t="s">
        <v>1374</v>
      </c>
      <c r="Z2" s="3" t="s">
        <v>1375</v>
      </c>
      <c r="AA2" s="3" t="s">
        <v>1437</v>
      </c>
      <c r="AB2" s="3" t="s">
        <v>1504</v>
      </c>
      <c r="AC2" s="3" t="s">
        <v>1378</v>
      </c>
      <c r="AD2" s="3"/>
      <c r="AE2" s="3" t="s">
        <v>1454</v>
      </c>
      <c r="AF2" s="3" t="s">
        <v>1380</v>
      </c>
      <c r="AG2" s="3" t="s">
        <v>1150</v>
      </c>
      <c r="AH2" s="3"/>
      <c r="AI2" s="3"/>
      <c r="AJ2" s="3" t="s">
        <v>1505</v>
      </c>
      <c r="AK2" s="3" t="s">
        <v>1382</v>
      </c>
      <c r="AL2" s="3"/>
      <c r="AM2" s="3"/>
      <c r="AN2" s="7" t="s">
        <v>1506</v>
      </c>
    </row>
    <row r="3" spans="1:40" ht="60" customHeight="1" x14ac:dyDescent="0.2">
      <c r="A3" s="3" t="s">
        <v>1507</v>
      </c>
      <c r="B3" s="3" t="s">
        <v>1488</v>
      </c>
      <c r="C3" s="3" t="s">
        <v>1355</v>
      </c>
      <c r="D3" s="3" t="s">
        <v>1508</v>
      </c>
      <c r="E3" s="3" t="s">
        <v>1509</v>
      </c>
      <c r="F3" s="3" t="s">
        <v>1510</v>
      </c>
      <c r="G3" s="3" t="s">
        <v>1511</v>
      </c>
      <c r="H3" s="3" t="s">
        <v>1512</v>
      </c>
      <c r="I3" s="3" t="s">
        <v>1513</v>
      </c>
      <c r="J3" s="3" t="s">
        <v>1413</v>
      </c>
      <c r="K3" s="3" t="s">
        <v>1414</v>
      </c>
      <c r="L3" s="3" t="s">
        <v>1514</v>
      </c>
      <c r="M3" s="3" t="s">
        <v>1365</v>
      </c>
      <c r="N3" s="3" t="s">
        <v>1366</v>
      </c>
      <c r="O3" s="3" t="s">
        <v>1515</v>
      </c>
      <c r="P3" s="3" t="s">
        <v>1516</v>
      </c>
      <c r="Q3" s="3" t="s">
        <v>1517</v>
      </c>
      <c r="R3" s="3"/>
      <c r="S3" s="3"/>
      <c r="T3" s="3" t="s">
        <v>1399</v>
      </c>
      <c r="U3" s="3"/>
      <c r="V3" s="3"/>
      <c r="W3" s="3"/>
      <c r="X3" s="3"/>
      <c r="Y3" s="3" t="s">
        <v>1374</v>
      </c>
      <c r="Z3" s="3" t="s">
        <v>1375</v>
      </c>
      <c r="AA3" s="3" t="s">
        <v>1437</v>
      </c>
      <c r="AB3" s="3" t="s">
        <v>1504</v>
      </c>
      <c r="AC3" s="3" t="s">
        <v>1378</v>
      </c>
      <c r="AD3" s="3"/>
      <c r="AE3" s="3" t="s">
        <v>1454</v>
      </c>
      <c r="AF3" s="3" t="s">
        <v>1380</v>
      </c>
      <c r="AG3" s="3" t="s">
        <v>700</v>
      </c>
      <c r="AH3" s="3"/>
      <c r="AI3" s="3"/>
      <c r="AJ3" s="3" t="s">
        <v>1518</v>
      </c>
      <c r="AK3" s="3" t="s">
        <v>1382</v>
      </c>
      <c r="AL3" s="3"/>
      <c r="AM3" s="3"/>
      <c r="AN3" s="8" t="s">
        <v>1479</v>
      </c>
    </row>
    <row r="4" spans="1:40" ht="60" customHeight="1" x14ac:dyDescent="0.2">
      <c r="A4" s="3" t="s">
        <v>1519</v>
      </c>
      <c r="B4" s="3" t="s">
        <v>1488</v>
      </c>
      <c r="C4" s="3" t="s">
        <v>1355</v>
      </c>
      <c r="D4" s="3" t="s">
        <v>1520</v>
      </c>
      <c r="E4" s="3" t="s">
        <v>1521</v>
      </c>
      <c r="F4" s="3" t="s">
        <v>1522</v>
      </c>
      <c r="G4" s="3"/>
      <c r="H4" s="3" t="s">
        <v>1523</v>
      </c>
      <c r="I4" s="3" t="s">
        <v>1524</v>
      </c>
      <c r="J4" s="3" t="s">
        <v>1413</v>
      </c>
      <c r="K4" s="3" t="s">
        <v>1414</v>
      </c>
      <c r="L4" s="3" t="s">
        <v>1514</v>
      </c>
      <c r="M4" s="3" t="s">
        <v>1365</v>
      </c>
      <c r="N4" s="3" t="s">
        <v>1366</v>
      </c>
      <c r="O4" s="3" t="s">
        <v>1450</v>
      </c>
      <c r="P4" s="3" t="s">
        <v>1450</v>
      </c>
      <c r="Q4" s="3" t="s">
        <v>1451</v>
      </c>
      <c r="R4" s="3"/>
      <c r="S4" s="3"/>
      <c r="T4" s="3" t="s">
        <v>1399</v>
      </c>
      <c r="U4" s="3" t="s">
        <v>1525</v>
      </c>
      <c r="V4" s="3"/>
      <c r="W4" s="3"/>
      <c r="X4" s="3"/>
      <c r="Y4" s="3" t="s">
        <v>1374</v>
      </c>
      <c r="Z4" s="3" t="s">
        <v>1375</v>
      </c>
      <c r="AA4" s="3" t="s">
        <v>1437</v>
      </c>
      <c r="AB4" s="3" t="s">
        <v>1452</v>
      </c>
      <c r="AC4" s="3" t="s">
        <v>1526</v>
      </c>
      <c r="AD4" s="3"/>
      <c r="AE4" s="3" t="s">
        <v>1454</v>
      </c>
      <c r="AF4" s="3" t="s">
        <v>1527</v>
      </c>
      <c r="AG4" s="3" t="s">
        <v>700</v>
      </c>
      <c r="AH4" s="3"/>
      <c r="AI4" s="3"/>
      <c r="AJ4" s="3" t="s">
        <v>1455</v>
      </c>
      <c r="AK4" s="3" t="s">
        <v>1382</v>
      </c>
      <c r="AL4" s="3"/>
      <c r="AM4" s="3"/>
      <c r="AN4" s="8" t="s">
        <v>1528</v>
      </c>
    </row>
    <row r="5" spans="1:40" ht="60" customHeight="1" x14ac:dyDescent="0.2">
      <c r="A5" s="3" t="s">
        <v>1529</v>
      </c>
      <c r="B5" s="3" t="s">
        <v>1488</v>
      </c>
      <c r="C5" s="3" t="s">
        <v>1355</v>
      </c>
      <c r="D5" s="3" t="s">
        <v>1530</v>
      </c>
      <c r="E5" s="3" t="s">
        <v>1531</v>
      </c>
      <c r="F5" s="3" t="s">
        <v>1446</v>
      </c>
      <c r="G5" s="3"/>
      <c r="H5" s="3" t="s">
        <v>1532</v>
      </c>
      <c r="I5" s="3" t="s">
        <v>1448</v>
      </c>
      <c r="J5" s="3" t="s">
        <v>1413</v>
      </c>
      <c r="K5" s="3" t="s">
        <v>1392</v>
      </c>
      <c r="L5" s="3" t="s">
        <v>1449</v>
      </c>
      <c r="M5" s="3" t="s">
        <v>1365</v>
      </c>
      <c r="N5" s="3" t="s">
        <v>1366</v>
      </c>
      <c r="O5" s="3" t="s">
        <v>1450</v>
      </c>
      <c r="P5" s="3" t="s">
        <v>1450</v>
      </c>
      <c r="Q5" s="3" t="s">
        <v>1451</v>
      </c>
      <c r="R5" s="3"/>
      <c r="S5" s="3"/>
      <c r="T5" s="3" t="s">
        <v>1399</v>
      </c>
      <c r="U5" s="3"/>
      <c r="V5" s="3"/>
      <c r="W5" s="3"/>
      <c r="X5" s="3"/>
      <c r="Y5" s="3" t="s">
        <v>1374</v>
      </c>
      <c r="Z5" s="3" t="s">
        <v>1375</v>
      </c>
      <c r="AA5" s="3" t="s">
        <v>1437</v>
      </c>
      <c r="AB5" s="3" t="s">
        <v>1452</v>
      </c>
      <c r="AC5" s="3" t="s">
        <v>1453</v>
      </c>
      <c r="AD5" s="3"/>
      <c r="AE5" s="3" t="s">
        <v>1454</v>
      </c>
      <c r="AF5" s="3" t="s">
        <v>1380</v>
      </c>
      <c r="AG5" s="3" t="s">
        <v>700</v>
      </c>
      <c r="AH5" s="3"/>
      <c r="AI5" s="3"/>
      <c r="AJ5" s="3" t="s">
        <v>1455</v>
      </c>
      <c r="AK5" s="3" t="s">
        <v>1382</v>
      </c>
      <c r="AL5" s="3"/>
      <c r="AM5" s="3"/>
      <c r="AN5" s="8" t="s">
        <v>1456</v>
      </c>
    </row>
    <row r="6" spans="1:40" ht="45" customHeight="1" x14ac:dyDescent="0.2">
      <c r="A6" s="3"/>
      <c r="B6" s="3" t="s">
        <v>1488</v>
      </c>
      <c r="C6" s="3" t="s">
        <v>1533</v>
      </c>
      <c r="D6" s="3"/>
      <c r="E6" s="3"/>
      <c r="F6" s="3"/>
      <c r="G6" s="3"/>
      <c r="H6" s="3"/>
      <c r="I6" s="3"/>
      <c r="J6" s="3"/>
      <c r="K6" s="3"/>
      <c r="L6" s="3"/>
      <c r="M6" s="3"/>
      <c r="N6" s="3"/>
      <c r="O6" s="3"/>
      <c r="P6" s="3"/>
      <c r="Q6" s="3"/>
      <c r="R6" s="3"/>
      <c r="S6" s="3"/>
      <c r="T6" s="3"/>
      <c r="U6" s="3"/>
      <c r="V6" s="3"/>
      <c r="W6" s="3"/>
      <c r="X6" s="3" t="s">
        <v>1534</v>
      </c>
      <c r="Y6" s="3"/>
      <c r="Z6" s="3"/>
      <c r="AA6" s="3"/>
      <c r="AB6" s="3"/>
      <c r="AC6" s="3"/>
      <c r="AD6" s="3"/>
      <c r="AE6" s="3"/>
      <c r="AF6" s="3"/>
      <c r="AG6" s="3"/>
      <c r="AH6" s="3"/>
      <c r="AI6" s="3"/>
      <c r="AJ6" s="3"/>
      <c r="AK6" s="3"/>
      <c r="AL6" s="3"/>
      <c r="AM6" s="3"/>
      <c r="AN6" s="3"/>
    </row>
    <row r="7" spans="1:40" ht="60" customHeight="1" x14ac:dyDescent="0.2">
      <c r="A7" s="3"/>
      <c r="B7" s="3" t="s">
        <v>1488</v>
      </c>
      <c r="C7" s="3" t="s">
        <v>1535</v>
      </c>
      <c r="D7" s="3" t="s">
        <v>650</v>
      </c>
      <c r="E7" s="3" t="s">
        <v>650</v>
      </c>
      <c r="F7" s="3" t="s">
        <v>650</v>
      </c>
      <c r="G7" s="3"/>
      <c r="H7" s="3"/>
      <c r="I7" s="3"/>
      <c r="J7" s="3"/>
      <c r="K7" s="3"/>
      <c r="L7" s="3"/>
      <c r="M7" s="3"/>
      <c r="N7" s="3"/>
      <c r="O7" s="3"/>
      <c r="P7" s="3"/>
      <c r="Q7" s="3"/>
      <c r="R7" s="3"/>
      <c r="S7" s="3"/>
      <c r="T7" s="3"/>
      <c r="U7" s="3"/>
      <c r="V7" s="3"/>
      <c r="W7" s="3"/>
      <c r="X7" s="3" t="s">
        <v>1374</v>
      </c>
      <c r="Y7" s="3" t="s">
        <v>1536</v>
      </c>
      <c r="Z7" s="3"/>
      <c r="AA7" s="3"/>
      <c r="AB7" s="3"/>
      <c r="AC7" s="3"/>
      <c r="AD7" s="3"/>
      <c r="AE7" s="3"/>
      <c r="AF7" s="3"/>
      <c r="AG7" s="3"/>
      <c r="AH7" s="3"/>
      <c r="AI7" s="3"/>
      <c r="AJ7" s="3"/>
      <c r="AK7" s="3"/>
      <c r="AL7" s="3"/>
      <c r="AM7" s="3"/>
      <c r="AN7" s="3"/>
    </row>
    <row r="8" spans="1:40" ht="45" customHeight="1" x14ac:dyDescent="0.2">
      <c r="A8" s="3"/>
      <c r="B8" s="3" t="s">
        <v>1488</v>
      </c>
      <c r="C8" s="3" t="s">
        <v>1537</v>
      </c>
      <c r="D8" s="3"/>
      <c r="E8" s="3"/>
      <c r="F8" s="3"/>
      <c r="G8" s="3"/>
      <c r="H8" s="3"/>
      <c r="I8" s="3"/>
      <c r="J8" s="3"/>
      <c r="K8" s="3"/>
      <c r="L8" s="3"/>
      <c r="M8" s="3"/>
      <c r="N8" s="3"/>
      <c r="O8" s="3"/>
      <c r="P8" s="3"/>
      <c r="Q8" s="3"/>
      <c r="R8" s="3"/>
      <c r="S8" s="3"/>
      <c r="T8" s="3"/>
      <c r="U8" s="3"/>
      <c r="V8" s="3"/>
      <c r="W8" s="3"/>
      <c r="X8" s="3" t="s">
        <v>1534</v>
      </c>
      <c r="Y8" s="3"/>
      <c r="Z8" s="3"/>
      <c r="AA8" s="3"/>
      <c r="AB8" s="3"/>
      <c r="AC8" s="3"/>
      <c r="AD8" s="3"/>
      <c r="AE8" s="3"/>
      <c r="AF8" s="3"/>
      <c r="AG8" s="3"/>
      <c r="AH8" s="3"/>
      <c r="AI8" s="3"/>
      <c r="AJ8" s="3"/>
      <c r="AK8" s="3"/>
      <c r="AL8" s="3"/>
      <c r="AM8" s="3"/>
      <c r="AN8" s="3"/>
    </row>
    <row r="9" spans="1:40" ht="60" customHeight="1" x14ac:dyDescent="0.2">
      <c r="A9" s="3"/>
      <c r="B9" s="3" t="s">
        <v>1488</v>
      </c>
      <c r="C9" s="3" t="s">
        <v>1538</v>
      </c>
      <c r="D9" s="3" t="s">
        <v>650</v>
      </c>
      <c r="E9" s="3" t="s">
        <v>650</v>
      </c>
      <c r="F9" s="3" t="s">
        <v>650</v>
      </c>
      <c r="G9" s="3"/>
      <c r="H9" s="3"/>
      <c r="I9" s="3"/>
      <c r="J9" s="3"/>
      <c r="K9" s="3"/>
      <c r="L9" s="3"/>
      <c r="M9" s="3"/>
      <c r="N9" s="3"/>
      <c r="O9" s="3"/>
      <c r="P9" s="3"/>
      <c r="Q9" s="3"/>
      <c r="R9" s="3"/>
      <c r="S9" s="3"/>
      <c r="T9" s="3"/>
      <c r="U9" s="3"/>
      <c r="V9" s="3"/>
      <c r="W9" s="3"/>
      <c r="X9" s="3" t="s">
        <v>1374</v>
      </c>
      <c r="Y9" s="3" t="s">
        <v>1536</v>
      </c>
      <c r="Z9" s="3"/>
      <c r="AA9" s="3"/>
      <c r="AB9" s="3"/>
      <c r="AC9" s="3"/>
      <c r="AD9" s="3"/>
      <c r="AE9" s="3"/>
      <c r="AF9" s="3"/>
      <c r="AG9" s="3"/>
      <c r="AH9" s="3"/>
      <c r="AI9" s="3"/>
      <c r="AJ9" s="3"/>
      <c r="AK9" s="3"/>
      <c r="AL9" s="3"/>
      <c r="AM9" s="3"/>
      <c r="AN9" s="3"/>
    </row>
    <row r="10" spans="1:40" ht="45" customHeight="1" x14ac:dyDescent="0.2">
      <c r="A10" s="3"/>
      <c r="B10" s="3" t="s">
        <v>1488</v>
      </c>
      <c r="C10" s="3" t="s">
        <v>1539</v>
      </c>
      <c r="D10" s="3"/>
      <c r="E10" s="3"/>
      <c r="F10" s="3"/>
      <c r="G10" s="3"/>
      <c r="H10" s="3"/>
      <c r="I10" s="3"/>
      <c r="J10" s="3"/>
      <c r="K10" s="3"/>
      <c r="L10" s="3"/>
      <c r="M10" s="3"/>
      <c r="N10" s="3"/>
      <c r="O10" s="3"/>
      <c r="P10" s="3"/>
      <c r="Q10" s="3"/>
      <c r="R10" s="3"/>
      <c r="S10" s="3"/>
      <c r="T10" s="3"/>
      <c r="U10" s="3"/>
      <c r="V10" s="3"/>
      <c r="W10" s="3"/>
      <c r="X10" s="3" t="s">
        <v>1534</v>
      </c>
      <c r="Y10" s="3"/>
      <c r="Z10" s="3"/>
      <c r="AA10" s="3"/>
      <c r="AB10" s="3"/>
      <c r="AC10" s="3"/>
      <c r="AD10" s="3"/>
      <c r="AE10" s="3"/>
      <c r="AF10" s="3"/>
      <c r="AG10" s="3"/>
      <c r="AH10" s="3"/>
      <c r="AI10" s="3"/>
      <c r="AJ10" s="3"/>
      <c r="AK10" s="3"/>
      <c r="AL10" s="3"/>
      <c r="AM10" s="3"/>
      <c r="AN10" s="3"/>
    </row>
    <row r="11" spans="1:40" ht="60" customHeight="1" x14ac:dyDescent="0.2">
      <c r="A11" s="3"/>
      <c r="B11" s="3" t="s">
        <v>1488</v>
      </c>
      <c r="C11" s="3" t="s">
        <v>1540</v>
      </c>
      <c r="D11" s="3" t="s">
        <v>650</v>
      </c>
      <c r="E11" s="3" t="s">
        <v>650</v>
      </c>
      <c r="F11" s="3" t="s">
        <v>650</v>
      </c>
      <c r="G11" s="3"/>
      <c r="H11" s="3"/>
      <c r="I11" s="3"/>
      <c r="J11" s="3"/>
      <c r="K11" s="3"/>
      <c r="L11" s="3"/>
      <c r="M11" s="3"/>
      <c r="N11" s="3"/>
      <c r="O11" s="3"/>
      <c r="P11" s="3"/>
      <c r="Q11" s="3"/>
      <c r="R11" s="3"/>
      <c r="S11" s="3"/>
      <c r="T11" s="3"/>
      <c r="U11" s="3"/>
      <c r="V11" s="3"/>
      <c r="W11" s="3"/>
      <c r="X11" s="3" t="s">
        <v>1374</v>
      </c>
      <c r="Y11" s="3" t="s">
        <v>1536</v>
      </c>
      <c r="Z11" s="3"/>
      <c r="AA11" s="3"/>
      <c r="AB11" s="3"/>
      <c r="AC11" s="3"/>
      <c r="AD11" s="3"/>
      <c r="AE11" s="3"/>
      <c r="AF11" s="3"/>
      <c r="AG11" s="3"/>
      <c r="AH11" s="3"/>
      <c r="AI11" s="3"/>
      <c r="AJ11" s="3"/>
      <c r="AK11" s="3"/>
      <c r="AL11" s="3"/>
      <c r="AM11" s="3"/>
      <c r="AN11" s="3"/>
    </row>
    <row r="12" spans="1:40" ht="45" customHeight="1" x14ac:dyDescent="0.2">
      <c r="A12" s="3"/>
      <c r="B12" s="3" t="s">
        <v>1488</v>
      </c>
      <c r="C12" s="3" t="s">
        <v>1541</v>
      </c>
      <c r="D12" s="3"/>
      <c r="E12" s="3"/>
      <c r="F12" s="3"/>
      <c r="G12" s="3"/>
      <c r="H12" s="3"/>
      <c r="I12" s="3"/>
      <c r="J12" s="3"/>
      <c r="K12" s="3"/>
      <c r="L12" s="3"/>
      <c r="M12" s="3"/>
      <c r="N12" s="3"/>
      <c r="O12" s="3"/>
      <c r="P12" s="3"/>
      <c r="Q12" s="3"/>
      <c r="R12" s="3"/>
      <c r="S12" s="3"/>
      <c r="T12" s="3"/>
      <c r="U12" s="3"/>
      <c r="V12" s="3"/>
      <c r="W12" s="3"/>
      <c r="X12" s="3" t="s">
        <v>1534</v>
      </c>
      <c r="Y12" s="3"/>
      <c r="Z12" s="3"/>
      <c r="AA12" s="3"/>
      <c r="AB12" s="3"/>
      <c r="AC12" s="3"/>
      <c r="AD12" s="3"/>
      <c r="AE12" s="3"/>
      <c r="AF12" s="3"/>
      <c r="AG12" s="3"/>
      <c r="AH12" s="3"/>
      <c r="AI12" s="3"/>
      <c r="AJ12" s="3"/>
      <c r="AK12" s="3"/>
      <c r="AL12" s="3"/>
      <c r="AM12" s="3"/>
      <c r="AN12" s="3"/>
    </row>
    <row r="13" spans="1:40" ht="60" customHeight="1" x14ac:dyDescent="0.2">
      <c r="A13" s="3"/>
      <c r="B13" s="3" t="s">
        <v>1488</v>
      </c>
      <c r="C13" s="3" t="s">
        <v>1542</v>
      </c>
      <c r="D13" s="3" t="s">
        <v>650</v>
      </c>
      <c r="E13" s="3" t="s">
        <v>650</v>
      </c>
      <c r="F13" s="3" t="s">
        <v>650</v>
      </c>
      <c r="G13" s="3"/>
      <c r="H13" s="3"/>
      <c r="I13" s="3"/>
      <c r="J13" s="3"/>
      <c r="K13" s="3"/>
      <c r="L13" s="3"/>
      <c r="M13" s="3"/>
      <c r="N13" s="3"/>
      <c r="O13" s="3"/>
      <c r="P13" s="3"/>
      <c r="Q13" s="3"/>
      <c r="R13" s="3"/>
      <c r="S13" s="3"/>
      <c r="T13" s="3"/>
      <c r="U13" s="3"/>
      <c r="V13" s="3"/>
      <c r="W13" s="3"/>
      <c r="X13" s="3" t="s">
        <v>1374</v>
      </c>
      <c r="Y13" s="3" t="s">
        <v>1536</v>
      </c>
      <c r="Z13" s="3"/>
      <c r="AA13" s="3"/>
      <c r="AB13" s="3"/>
      <c r="AC13" s="3"/>
      <c r="AD13" s="3"/>
      <c r="AE13" s="3"/>
      <c r="AF13" s="3"/>
      <c r="AG13" s="3"/>
      <c r="AH13" s="3"/>
      <c r="AI13" s="3"/>
      <c r="AJ13" s="3"/>
      <c r="AK13" s="3"/>
      <c r="AL13" s="3"/>
      <c r="AM13" s="3"/>
      <c r="AN13" s="3"/>
    </row>
    <row r="14" spans="1:40" ht="60" customHeight="1" x14ac:dyDescent="0.2">
      <c r="A14" s="3"/>
      <c r="B14" s="3" t="s">
        <v>1488</v>
      </c>
      <c r="C14" s="3" t="s">
        <v>1543</v>
      </c>
      <c r="D14" s="3" t="s">
        <v>650</v>
      </c>
      <c r="E14" s="3" t="s">
        <v>650</v>
      </c>
      <c r="F14" s="3" t="s">
        <v>650</v>
      </c>
      <c r="G14" s="3"/>
      <c r="H14" s="3"/>
      <c r="I14" s="3"/>
      <c r="J14" s="3"/>
      <c r="K14" s="3"/>
      <c r="L14" s="3"/>
      <c r="M14" s="3"/>
      <c r="N14" s="3"/>
      <c r="O14" s="3"/>
      <c r="P14" s="3"/>
      <c r="Q14" s="3"/>
      <c r="R14" s="3"/>
      <c r="S14" s="3"/>
      <c r="T14" s="3"/>
      <c r="U14" s="3"/>
      <c r="V14" s="3"/>
      <c r="W14" s="3"/>
      <c r="X14" s="3" t="s">
        <v>1374</v>
      </c>
      <c r="Y14" s="3" t="s">
        <v>1544</v>
      </c>
      <c r="Z14" s="3"/>
      <c r="AA14" s="3"/>
      <c r="AB14" s="3"/>
      <c r="AC14" s="3"/>
      <c r="AD14" s="3"/>
      <c r="AE14" s="3"/>
      <c r="AF14" s="3"/>
      <c r="AG14" s="3"/>
      <c r="AH14" s="3"/>
      <c r="AI14" s="3"/>
      <c r="AJ14" s="3"/>
      <c r="AK14" s="3"/>
      <c r="AL14" s="3"/>
      <c r="AM14" s="3"/>
      <c r="AN14" s="3"/>
    </row>
  </sheetData>
  <autoFilter ref="A1:AN1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54"/>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2"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2" customWidth="1"/>
    <col min="32" max="32" width="12" customWidth="1"/>
    <col min="33" max="33" width="11" customWidth="1"/>
    <col min="34" max="34" width="42" customWidth="1"/>
    <col min="35" max="35" width="52" customWidth="1"/>
    <col min="36" max="36" width="46" customWidth="1"/>
    <col min="37" max="37" width="20" customWidth="1"/>
    <col min="38" max="38" width="36" customWidth="1"/>
    <col min="39" max="40" width="30" customWidth="1"/>
  </cols>
  <sheetData>
    <row r="1" spans="1:40" ht="45" customHeight="1" x14ac:dyDescent="0.2">
      <c r="A1" s="1" t="s">
        <v>1316</v>
      </c>
      <c r="B1" s="1" t="s">
        <v>1317</v>
      </c>
      <c r="C1" s="1" t="s">
        <v>1318</v>
      </c>
      <c r="D1" s="1" t="s">
        <v>1319</v>
      </c>
      <c r="E1" s="1" t="s">
        <v>1320</v>
      </c>
      <c r="F1" s="1" t="s">
        <v>1321</v>
      </c>
      <c r="G1" s="1" t="s">
        <v>1322</v>
      </c>
      <c r="H1" s="1" t="s">
        <v>1323</v>
      </c>
      <c r="I1" s="1" t="s">
        <v>1324</v>
      </c>
      <c r="J1" s="1" t="s">
        <v>1325</v>
      </c>
      <c r="K1" s="1" t="s">
        <v>1326</v>
      </c>
      <c r="L1" s="1" t="s">
        <v>335</v>
      </c>
      <c r="M1" s="1" t="s">
        <v>1327</v>
      </c>
      <c r="N1" s="1" t="s">
        <v>1328</v>
      </c>
      <c r="O1" s="1" t="s">
        <v>1329</v>
      </c>
      <c r="P1" s="1" t="s">
        <v>1330</v>
      </c>
      <c r="Q1" s="1" t="s">
        <v>1331</v>
      </c>
      <c r="R1" s="1" t="s">
        <v>1332</v>
      </c>
      <c r="S1" s="1" t="s">
        <v>1333</v>
      </c>
      <c r="T1" s="1" t="s">
        <v>1334</v>
      </c>
      <c r="U1" s="1" t="s">
        <v>1335</v>
      </c>
      <c r="V1" s="1" t="s">
        <v>1336</v>
      </c>
      <c r="W1" s="1" t="s">
        <v>1337</v>
      </c>
      <c r="X1" s="1" t="s">
        <v>1338</v>
      </c>
      <c r="Y1" s="1" t="s">
        <v>1339</v>
      </c>
      <c r="Z1" s="1" t="s">
        <v>1340</v>
      </c>
      <c r="AA1" s="1" t="s">
        <v>1341</v>
      </c>
      <c r="AB1" s="1" t="s">
        <v>1342</v>
      </c>
      <c r="AC1" s="1" t="s">
        <v>1343</v>
      </c>
      <c r="AD1" s="1" t="s">
        <v>1344</v>
      </c>
      <c r="AE1" s="1" t="s">
        <v>1345</v>
      </c>
      <c r="AF1" s="1" t="s">
        <v>1346</v>
      </c>
      <c r="AG1" s="1" t="s">
        <v>1347</v>
      </c>
      <c r="AH1" s="1" t="s">
        <v>1348</v>
      </c>
      <c r="AI1" s="1" t="s">
        <v>1349</v>
      </c>
      <c r="AJ1" s="1" t="s">
        <v>1350</v>
      </c>
      <c r="AK1" s="1" t="s">
        <v>1351</v>
      </c>
      <c r="AL1" s="1" t="s">
        <v>1352</v>
      </c>
      <c r="AM1" s="1" t="s">
        <v>1353</v>
      </c>
      <c r="AN1" s="1" t="s">
        <v>1210</v>
      </c>
    </row>
    <row r="2" spans="1:40" ht="60" customHeight="1" x14ac:dyDescent="0.2">
      <c r="A2" s="3" t="s">
        <v>1545</v>
      </c>
      <c r="B2" s="3" t="s">
        <v>1546</v>
      </c>
      <c r="C2" s="3" t="s">
        <v>1355</v>
      </c>
      <c r="D2" s="3" t="s">
        <v>1547</v>
      </c>
      <c r="E2" s="3" t="s">
        <v>1548</v>
      </c>
      <c r="F2" s="3" t="s">
        <v>1549</v>
      </c>
      <c r="G2" s="3" t="s">
        <v>1550</v>
      </c>
      <c r="H2" s="3" t="s">
        <v>1551</v>
      </c>
      <c r="I2" s="3" t="s">
        <v>1552</v>
      </c>
      <c r="J2" s="3" t="s">
        <v>1553</v>
      </c>
      <c r="K2" s="3" t="s">
        <v>1414</v>
      </c>
      <c r="L2" s="3" t="s">
        <v>1554</v>
      </c>
      <c r="M2" s="3" t="s">
        <v>1365</v>
      </c>
      <c r="N2" s="3" t="s">
        <v>1366</v>
      </c>
      <c r="O2" s="3" t="s">
        <v>1555</v>
      </c>
      <c r="P2" s="3" t="s">
        <v>1556</v>
      </c>
      <c r="Q2" s="3" t="s">
        <v>1557</v>
      </c>
      <c r="R2" s="3"/>
      <c r="S2" s="3" t="s">
        <v>1558</v>
      </c>
      <c r="T2" s="3" t="s">
        <v>1399</v>
      </c>
      <c r="U2" s="3"/>
      <c r="V2" s="7" t="s">
        <v>1559</v>
      </c>
      <c r="W2" s="7"/>
      <c r="X2" s="3"/>
      <c r="Y2" s="3" t="s">
        <v>1374</v>
      </c>
      <c r="Z2" s="3" t="s">
        <v>1375</v>
      </c>
      <c r="AA2" s="3" t="s">
        <v>1437</v>
      </c>
      <c r="AB2" s="3" t="s">
        <v>1560</v>
      </c>
      <c r="AC2" s="3" t="s">
        <v>1378</v>
      </c>
      <c r="AD2" s="3"/>
      <c r="AE2" s="3" t="s">
        <v>1561</v>
      </c>
      <c r="AF2" s="3" t="s">
        <v>1380</v>
      </c>
      <c r="AG2" s="3" t="s">
        <v>1150</v>
      </c>
      <c r="AH2" s="3"/>
      <c r="AI2" s="3"/>
      <c r="AJ2" s="3" t="s">
        <v>1562</v>
      </c>
      <c r="AK2" s="3" t="s">
        <v>1382</v>
      </c>
      <c r="AL2" s="3"/>
      <c r="AM2" s="3"/>
      <c r="AN2" s="7" t="s">
        <v>1563</v>
      </c>
    </row>
    <row r="3" spans="1:40" ht="60" customHeight="1" x14ac:dyDescent="0.2">
      <c r="A3" s="3" t="s">
        <v>1564</v>
      </c>
      <c r="B3" s="3" t="s">
        <v>1546</v>
      </c>
      <c r="C3" s="3" t="s">
        <v>1355</v>
      </c>
      <c r="D3" s="3" t="s">
        <v>1565</v>
      </c>
      <c r="E3" s="3" t="s">
        <v>1566</v>
      </c>
      <c r="F3" s="3" t="s">
        <v>1549</v>
      </c>
      <c r="G3" s="3" t="s">
        <v>1550</v>
      </c>
      <c r="H3" s="3" t="s">
        <v>1567</v>
      </c>
      <c r="I3" s="3" t="s">
        <v>1552</v>
      </c>
      <c r="J3" s="3" t="s">
        <v>1553</v>
      </c>
      <c r="K3" s="3" t="s">
        <v>1414</v>
      </c>
      <c r="L3" s="3" t="s">
        <v>1554</v>
      </c>
      <c r="M3" s="3" t="s">
        <v>1365</v>
      </c>
      <c r="N3" s="3" t="s">
        <v>1366</v>
      </c>
      <c r="O3" s="3" t="s">
        <v>1555</v>
      </c>
      <c r="P3" s="3" t="s">
        <v>1556</v>
      </c>
      <c r="Q3" s="3" t="s">
        <v>1557</v>
      </c>
      <c r="R3" s="3"/>
      <c r="S3" s="3" t="s">
        <v>1558</v>
      </c>
      <c r="T3" s="3" t="s">
        <v>1399</v>
      </c>
      <c r="U3" s="3"/>
      <c r="V3" s="3"/>
      <c r="W3" s="3"/>
      <c r="X3" s="3"/>
      <c r="Y3" s="3" t="s">
        <v>1374</v>
      </c>
      <c r="Z3" s="3" t="s">
        <v>1375</v>
      </c>
      <c r="AA3" s="3" t="s">
        <v>1437</v>
      </c>
      <c r="AB3" s="3" t="s">
        <v>1560</v>
      </c>
      <c r="AC3" s="3" t="s">
        <v>1378</v>
      </c>
      <c r="AD3" s="3"/>
      <c r="AE3" s="3" t="s">
        <v>1568</v>
      </c>
      <c r="AF3" s="3" t="s">
        <v>1380</v>
      </c>
      <c r="AG3" s="3" t="s">
        <v>1150</v>
      </c>
      <c r="AH3" s="3"/>
      <c r="AI3" s="3"/>
      <c r="AJ3" s="3" t="s">
        <v>1562</v>
      </c>
      <c r="AK3" s="3" t="s">
        <v>1382</v>
      </c>
      <c r="AL3" s="3"/>
      <c r="AM3" s="3"/>
      <c r="AN3" s="8" t="s">
        <v>1479</v>
      </c>
    </row>
    <row r="4" spans="1:40" ht="60" customHeight="1" x14ac:dyDescent="0.2">
      <c r="A4" s="3" t="s">
        <v>1569</v>
      </c>
      <c r="B4" s="3" t="s">
        <v>1546</v>
      </c>
      <c r="C4" s="3" t="s">
        <v>1355</v>
      </c>
      <c r="D4" s="3" t="s">
        <v>1570</v>
      </c>
      <c r="E4" s="3" t="s">
        <v>1571</v>
      </c>
      <c r="F4" s="3" t="s">
        <v>1446</v>
      </c>
      <c r="G4" s="3"/>
      <c r="H4" s="3" t="s">
        <v>1572</v>
      </c>
      <c r="I4" s="3" t="s">
        <v>1573</v>
      </c>
      <c r="J4" s="3" t="s">
        <v>1413</v>
      </c>
      <c r="K4" s="3" t="s">
        <v>1414</v>
      </c>
      <c r="L4" s="3" t="s">
        <v>1449</v>
      </c>
      <c r="M4" s="3" t="s">
        <v>1365</v>
      </c>
      <c r="N4" s="3" t="s">
        <v>1366</v>
      </c>
      <c r="O4" s="3" t="s">
        <v>1450</v>
      </c>
      <c r="P4" s="3" t="s">
        <v>1450</v>
      </c>
      <c r="Q4" s="3" t="s">
        <v>1451</v>
      </c>
      <c r="R4" s="3"/>
      <c r="S4" s="3" t="s">
        <v>1574</v>
      </c>
      <c r="T4" s="3" t="s">
        <v>1399</v>
      </c>
      <c r="U4" s="3"/>
      <c r="V4" s="3"/>
      <c r="W4" s="3"/>
      <c r="X4" s="3"/>
      <c r="Y4" s="3" t="s">
        <v>1374</v>
      </c>
      <c r="Z4" s="3" t="s">
        <v>1375</v>
      </c>
      <c r="AA4" s="3" t="s">
        <v>1575</v>
      </c>
      <c r="AB4" s="3" t="s">
        <v>1452</v>
      </c>
      <c r="AC4" s="3" t="s">
        <v>1453</v>
      </c>
      <c r="AD4" s="3"/>
      <c r="AE4" s="3" t="s">
        <v>1576</v>
      </c>
      <c r="AF4" s="3" t="s">
        <v>1380</v>
      </c>
      <c r="AG4" s="3" t="s">
        <v>428</v>
      </c>
      <c r="AH4" s="3"/>
      <c r="AI4" s="3"/>
      <c r="AJ4" s="3" t="s">
        <v>1455</v>
      </c>
      <c r="AK4" s="3" t="s">
        <v>1382</v>
      </c>
      <c r="AL4" s="3"/>
      <c r="AM4" s="3"/>
      <c r="AN4" s="8" t="s">
        <v>1479</v>
      </c>
    </row>
    <row r="5" spans="1:40" ht="60" customHeight="1" x14ac:dyDescent="0.2">
      <c r="A5" s="3" t="s">
        <v>1577</v>
      </c>
      <c r="B5" s="3" t="s">
        <v>1546</v>
      </c>
      <c r="C5" s="3" t="s">
        <v>1355</v>
      </c>
      <c r="D5" s="3" t="s">
        <v>1578</v>
      </c>
      <c r="E5" s="3" t="s">
        <v>1579</v>
      </c>
      <c r="F5" s="3" t="s">
        <v>1580</v>
      </c>
      <c r="G5" s="3" t="s">
        <v>1581</v>
      </c>
      <c r="H5" s="3" t="s">
        <v>1582</v>
      </c>
      <c r="I5" s="3" t="s">
        <v>1583</v>
      </c>
      <c r="J5" s="3" t="s">
        <v>1584</v>
      </c>
      <c r="K5" s="3" t="s">
        <v>1585</v>
      </c>
      <c r="L5" s="3" t="s">
        <v>1466</v>
      </c>
      <c r="M5" s="3" t="s">
        <v>1586</v>
      </c>
      <c r="N5" s="3" t="s">
        <v>1366</v>
      </c>
      <c r="O5" s="3" t="s">
        <v>1587</v>
      </c>
      <c r="P5" s="3" t="s">
        <v>1588</v>
      </c>
      <c r="Q5" s="3" t="s">
        <v>1589</v>
      </c>
      <c r="R5" s="3" t="s">
        <v>1590</v>
      </c>
      <c r="S5" s="3" t="s">
        <v>1591</v>
      </c>
      <c r="T5" s="3" t="s">
        <v>1399</v>
      </c>
      <c r="U5" s="3"/>
      <c r="V5" s="7" t="s">
        <v>1592</v>
      </c>
      <c r="W5" s="7"/>
      <c r="X5" s="3"/>
      <c r="Y5" s="3" t="s">
        <v>1374</v>
      </c>
      <c r="Z5" s="3" t="s">
        <v>1375</v>
      </c>
      <c r="AA5" s="3" t="s">
        <v>1593</v>
      </c>
      <c r="AB5" s="3" t="s">
        <v>1594</v>
      </c>
      <c r="AC5" s="3" t="s">
        <v>1378</v>
      </c>
      <c r="AD5" s="3"/>
      <c r="AE5" s="3" t="s">
        <v>1595</v>
      </c>
      <c r="AF5" s="3" t="s">
        <v>1380</v>
      </c>
      <c r="AG5" s="3" t="s">
        <v>1150</v>
      </c>
      <c r="AH5" s="3"/>
      <c r="AI5" s="3"/>
      <c r="AJ5" s="3" t="s">
        <v>1596</v>
      </c>
      <c r="AK5" s="3" t="s">
        <v>1382</v>
      </c>
      <c r="AL5" s="3"/>
      <c r="AM5" s="3"/>
      <c r="AN5" s="7" t="s">
        <v>1597</v>
      </c>
    </row>
    <row r="6" spans="1:40" ht="60" customHeight="1" x14ac:dyDescent="0.2">
      <c r="A6" s="3" t="s">
        <v>1598</v>
      </c>
      <c r="B6" s="3" t="s">
        <v>1546</v>
      </c>
      <c r="C6" s="3" t="s">
        <v>1355</v>
      </c>
      <c r="D6" s="3" t="s">
        <v>1599</v>
      </c>
      <c r="E6" s="3" t="s">
        <v>1600</v>
      </c>
      <c r="F6" s="3" t="s">
        <v>1601</v>
      </c>
      <c r="G6" s="3" t="s">
        <v>1602</v>
      </c>
      <c r="H6" s="3" t="s">
        <v>1603</v>
      </c>
      <c r="I6" s="3" t="s">
        <v>1604</v>
      </c>
      <c r="J6" s="3" t="s">
        <v>1605</v>
      </c>
      <c r="K6" s="3" t="s">
        <v>1606</v>
      </c>
      <c r="L6" s="3" t="s">
        <v>1607</v>
      </c>
      <c r="M6" s="3" t="s">
        <v>1365</v>
      </c>
      <c r="N6" s="3" t="s">
        <v>1608</v>
      </c>
      <c r="O6" s="3" t="s">
        <v>1609</v>
      </c>
      <c r="P6" s="3" t="s">
        <v>1610</v>
      </c>
      <c r="Q6" s="3" t="s">
        <v>1611</v>
      </c>
      <c r="R6" s="3"/>
      <c r="S6" s="3" t="s">
        <v>1612</v>
      </c>
      <c r="T6" s="3" t="s">
        <v>1613</v>
      </c>
      <c r="U6" s="3" t="s">
        <v>1614</v>
      </c>
      <c r="V6" s="7" t="s">
        <v>1615</v>
      </c>
      <c r="W6" s="7"/>
      <c r="X6" s="3"/>
      <c r="Y6" s="3" t="s">
        <v>1374</v>
      </c>
      <c r="Z6" s="3" t="s">
        <v>1375</v>
      </c>
      <c r="AA6" s="3" t="s">
        <v>1616</v>
      </c>
      <c r="AB6" s="3" t="s">
        <v>1617</v>
      </c>
      <c r="AC6" s="3" t="s">
        <v>1378</v>
      </c>
      <c r="AD6" s="3" t="s">
        <v>1618</v>
      </c>
      <c r="AE6" s="3" t="s">
        <v>1619</v>
      </c>
      <c r="AF6" s="3" t="s">
        <v>1620</v>
      </c>
      <c r="AG6" s="3" t="s">
        <v>1150</v>
      </c>
      <c r="AH6" s="3"/>
      <c r="AI6" s="3"/>
      <c r="AJ6" s="3" t="s">
        <v>1621</v>
      </c>
      <c r="AK6" s="3" t="s">
        <v>1382</v>
      </c>
      <c r="AL6" s="3"/>
      <c r="AM6" s="3"/>
      <c r="AN6" s="7" t="s">
        <v>1622</v>
      </c>
    </row>
    <row r="7" spans="1:40" ht="60" customHeight="1" x14ac:dyDescent="0.2">
      <c r="A7" s="3" t="s">
        <v>1623</v>
      </c>
      <c r="B7" s="3" t="s">
        <v>1546</v>
      </c>
      <c r="C7" s="3" t="s">
        <v>1355</v>
      </c>
      <c r="D7" s="3" t="s">
        <v>1624</v>
      </c>
      <c r="E7" s="3" t="s">
        <v>1625</v>
      </c>
      <c r="F7" s="3" t="s">
        <v>1626</v>
      </c>
      <c r="G7" s="3" t="s">
        <v>1627</v>
      </c>
      <c r="H7" s="3" t="s">
        <v>1628</v>
      </c>
      <c r="I7" s="3" t="s">
        <v>1629</v>
      </c>
      <c r="J7" s="3" t="s">
        <v>1630</v>
      </c>
      <c r="K7" s="3" t="s">
        <v>1414</v>
      </c>
      <c r="L7" s="3" t="s">
        <v>1631</v>
      </c>
      <c r="M7" s="3" t="s">
        <v>1365</v>
      </c>
      <c r="N7" s="3" t="s">
        <v>1366</v>
      </c>
      <c r="O7" s="3" t="s">
        <v>1632</v>
      </c>
      <c r="P7" s="3" t="s">
        <v>1633</v>
      </c>
      <c r="Q7" s="3" t="s">
        <v>1634</v>
      </c>
      <c r="R7" s="3"/>
      <c r="S7" s="3"/>
      <c r="T7" s="3" t="s">
        <v>1635</v>
      </c>
      <c r="U7" s="3" t="s">
        <v>1636</v>
      </c>
      <c r="V7" s="3"/>
      <c r="W7" s="3"/>
      <c r="X7" s="3"/>
      <c r="Y7" s="3" t="s">
        <v>1374</v>
      </c>
      <c r="Z7" s="3" t="s">
        <v>1375</v>
      </c>
      <c r="AA7" s="3" t="s">
        <v>1437</v>
      </c>
      <c r="AB7" s="3" t="s">
        <v>1504</v>
      </c>
      <c r="AC7" s="3" t="s">
        <v>1378</v>
      </c>
      <c r="AD7" s="3"/>
      <c r="AE7" s="3" t="s">
        <v>1454</v>
      </c>
      <c r="AF7" s="3" t="s">
        <v>1637</v>
      </c>
      <c r="AG7" s="3" t="s">
        <v>700</v>
      </c>
      <c r="AH7" s="3"/>
      <c r="AI7" s="3"/>
      <c r="AJ7" s="3" t="s">
        <v>1638</v>
      </c>
      <c r="AK7" s="3" t="s">
        <v>1382</v>
      </c>
      <c r="AL7" s="3"/>
      <c r="AM7" s="3"/>
      <c r="AN7" s="8" t="s">
        <v>1479</v>
      </c>
    </row>
    <row r="8" spans="1:40" ht="45" customHeight="1" x14ac:dyDescent="0.2">
      <c r="A8" s="3"/>
      <c r="B8" s="3" t="s">
        <v>1546</v>
      </c>
      <c r="C8" s="3" t="s">
        <v>1533</v>
      </c>
      <c r="D8" s="3"/>
      <c r="E8" s="3"/>
      <c r="F8" s="3"/>
      <c r="G8" s="3"/>
      <c r="H8" s="3"/>
      <c r="I8" s="3"/>
      <c r="J8" s="3"/>
      <c r="K8" s="3"/>
      <c r="L8" s="3"/>
      <c r="M8" s="3"/>
      <c r="N8" s="3"/>
      <c r="O8" s="3"/>
      <c r="P8" s="3"/>
      <c r="Q8" s="3"/>
      <c r="R8" s="3"/>
      <c r="S8" s="3"/>
      <c r="T8" s="3"/>
      <c r="U8" s="3"/>
      <c r="V8" s="3"/>
      <c r="W8" s="3"/>
      <c r="X8" s="3" t="s">
        <v>1534</v>
      </c>
      <c r="Y8" s="3"/>
      <c r="Z8" s="3"/>
      <c r="AA8" s="3"/>
      <c r="AB8" s="3"/>
      <c r="AC8" s="3"/>
      <c r="AD8" s="3"/>
      <c r="AE8" s="3"/>
      <c r="AF8" s="3"/>
      <c r="AG8" s="3"/>
      <c r="AH8" s="3"/>
      <c r="AI8" s="3"/>
      <c r="AJ8" s="3"/>
      <c r="AK8" s="3"/>
      <c r="AL8" s="3"/>
      <c r="AM8" s="3"/>
      <c r="AN8" s="3"/>
    </row>
    <row r="9" spans="1:40" ht="45" customHeight="1" x14ac:dyDescent="0.2">
      <c r="A9" s="3"/>
      <c r="B9" s="3" t="s">
        <v>1546</v>
      </c>
      <c r="C9" s="3" t="s">
        <v>1537</v>
      </c>
      <c r="D9" s="3"/>
      <c r="E9" s="3"/>
      <c r="F9" s="3"/>
      <c r="G9" s="3"/>
      <c r="H9" s="3"/>
      <c r="I9" s="3"/>
      <c r="J9" s="3"/>
      <c r="K9" s="3"/>
      <c r="L9" s="3"/>
      <c r="M9" s="3"/>
      <c r="N9" s="3"/>
      <c r="O9" s="3"/>
      <c r="P9" s="3"/>
      <c r="Q9" s="3"/>
      <c r="R9" s="3"/>
      <c r="S9" s="3"/>
      <c r="T9" s="3"/>
      <c r="U9" s="3"/>
      <c r="V9" s="3"/>
      <c r="W9" s="3"/>
      <c r="X9" s="3" t="s">
        <v>1534</v>
      </c>
      <c r="Y9" s="3"/>
      <c r="Z9" s="3"/>
      <c r="AA9" s="3"/>
      <c r="AB9" s="3"/>
      <c r="AC9" s="3"/>
      <c r="AD9" s="3"/>
      <c r="AE9" s="3"/>
      <c r="AF9" s="3"/>
      <c r="AG9" s="3"/>
      <c r="AH9" s="3"/>
      <c r="AI9" s="3"/>
      <c r="AJ9" s="3"/>
      <c r="AK9" s="3"/>
      <c r="AL9" s="3"/>
      <c r="AM9" s="3"/>
      <c r="AN9" s="3"/>
    </row>
    <row r="10" spans="1:40" ht="45" customHeight="1" x14ac:dyDescent="0.2">
      <c r="A10" s="3"/>
      <c r="B10" s="3" t="s">
        <v>1546</v>
      </c>
      <c r="C10" s="3" t="s">
        <v>1539</v>
      </c>
      <c r="D10" s="3"/>
      <c r="E10" s="3"/>
      <c r="F10" s="3"/>
      <c r="G10" s="3"/>
      <c r="H10" s="3"/>
      <c r="I10" s="3"/>
      <c r="J10" s="3"/>
      <c r="K10" s="3"/>
      <c r="L10" s="3"/>
      <c r="M10" s="3"/>
      <c r="N10" s="3"/>
      <c r="O10" s="3"/>
      <c r="P10" s="3"/>
      <c r="Q10" s="3"/>
      <c r="R10" s="3"/>
      <c r="S10" s="3"/>
      <c r="T10" s="3"/>
      <c r="U10" s="3"/>
      <c r="V10" s="3"/>
      <c r="W10" s="3"/>
      <c r="X10" s="3" t="s">
        <v>1534</v>
      </c>
      <c r="Y10" s="3"/>
      <c r="Z10" s="3"/>
      <c r="AA10" s="3"/>
      <c r="AB10" s="3"/>
      <c r="AC10" s="3"/>
      <c r="AD10" s="3"/>
      <c r="AE10" s="3"/>
      <c r="AF10" s="3"/>
      <c r="AG10" s="3"/>
      <c r="AH10" s="3"/>
      <c r="AI10" s="3"/>
      <c r="AJ10" s="3"/>
      <c r="AK10" s="3"/>
      <c r="AL10" s="3"/>
      <c r="AM10" s="3"/>
      <c r="AN10" s="3"/>
    </row>
    <row r="11" spans="1:40" ht="45" customHeight="1" x14ac:dyDescent="0.2">
      <c r="A11" s="3"/>
      <c r="B11" s="3" t="s">
        <v>1546</v>
      </c>
      <c r="C11" s="3" t="s">
        <v>1639</v>
      </c>
      <c r="D11" s="3"/>
      <c r="E11" s="3"/>
      <c r="F11" s="3"/>
      <c r="G11" s="3"/>
      <c r="H11" s="3"/>
      <c r="I11" s="3"/>
      <c r="J11" s="3"/>
      <c r="K11" s="3"/>
      <c r="L11" s="3"/>
      <c r="M11" s="3"/>
      <c r="N11" s="3"/>
      <c r="O11" s="3"/>
      <c r="P11" s="3"/>
      <c r="Q11" s="3"/>
      <c r="R11" s="3"/>
      <c r="S11" s="3"/>
      <c r="T11" s="3"/>
      <c r="U11" s="3"/>
      <c r="V11" s="3"/>
      <c r="W11" s="3"/>
      <c r="X11" s="3" t="s">
        <v>1534</v>
      </c>
      <c r="Y11" s="3"/>
      <c r="Z11" s="3"/>
      <c r="AA11" s="3"/>
      <c r="AB11" s="3"/>
      <c r="AC11" s="3"/>
      <c r="AD11" s="3"/>
      <c r="AE11" s="3"/>
      <c r="AF11" s="3"/>
      <c r="AG11" s="3"/>
      <c r="AH11" s="3"/>
      <c r="AI11" s="3"/>
      <c r="AJ11" s="3"/>
      <c r="AK11" s="3"/>
      <c r="AL11" s="3"/>
      <c r="AM11" s="3"/>
      <c r="AN11" s="3"/>
    </row>
    <row r="12" spans="1:40" ht="45" customHeight="1" x14ac:dyDescent="0.2">
      <c r="A12" s="3"/>
      <c r="B12" s="3" t="s">
        <v>1546</v>
      </c>
      <c r="C12" s="3" t="s">
        <v>1541</v>
      </c>
      <c r="D12" s="3"/>
      <c r="E12" s="3"/>
      <c r="F12" s="3"/>
      <c r="G12" s="3"/>
      <c r="H12" s="3"/>
      <c r="I12" s="3"/>
      <c r="J12" s="3"/>
      <c r="K12" s="3"/>
      <c r="L12" s="3"/>
      <c r="M12" s="3"/>
      <c r="N12" s="3"/>
      <c r="O12" s="3"/>
      <c r="P12" s="3"/>
      <c r="Q12" s="3"/>
      <c r="R12" s="3"/>
      <c r="S12" s="3"/>
      <c r="T12" s="3"/>
      <c r="U12" s="3"/>
      <c r="V12" s="3"/>
      <c r="W12" s="3"/>
      <c r="X12" s="3" t="s">
        <v>1534</v>
      </c>
      <c r="Y12" s="3"/>
      <c r="Z12" s="3"/>
      <c r="AA12" s="3"/>
      <c r="AB12" s="3"/>
      <c r="AC12" s="3"/>
      <c r="AD12" s="3"/>
      <c r="AE12" s="3"/>
      <c r="AF12" s="3"/>
      <c r="AG12" s="3"/>
      <c r="AH12" s="3"/>
      <c r="AI12" s="3"/>
      <c r="AJ12" s="3"/>
      <c r="AK12" s="3"/>
      <c r="AL12" s="3"/>
      <c r="AM12" s="3"/>
      <c r="AN12" s="3"/>
    </row>
    <row r="13" spans="1:40" ht="60" customHeight="1" x14ac:dyDescent="0.2">
      <c r="A13" s="3" t="s">
        <v>1640</v>
      </c>
      <c r="B13" s="3" t="s">
        <v>1546</v>
      </c>
      <c r="C13" s="3" t="s">
        <v>1641</v>
      </c>
      <c r="D13" s="3" t="s">
        <v>1642</v>
      </c>
      <c r="E13" s="3" t="s">
        <v>1643</v>
      </c>
      <c r="F13" s="3" t="s">
        <v>1461</v>
      </c>
      <c r="G13" s="3" t="s">
        <v>1462</v>
      </c>
      <c r="H13" s="3" t="s">
        <v>1644</v>
      </c>
      <c r="I13" s="3" t="s">
        <v>1644</v>
      </c>
      <c r="J13" s="3" t="s">
        <v>1645</v>
      </c>
      <c r="K13" s="3" t="s">
        <v>1646</v>
      </c>
      <c r="L13" s="3" t="s">
        <v>1647</v>
      </c>
      <c r="M13" s="3" t="s">
        <v>1467</v>
      </c>
      <c r="N13" s="3" t="s">
        <v>1468</v>
      </c>
      <c r="O13" s="3" t="s">
        <v>1469</v>
      </c>
      <c r="P13" s="3" t="s">
        <v>1470</v>
      </c>
      <c r="Q13" s="3" t="s">
        <v>1648</v>
      </c>
      <c r="R13" s="3" t="s">
        <v>1648</v>
      </c>
      <c r="S13" s="3"/>
      <c r="T13" s="3" t="s">
        <v>1648</v>
      </c>
      <c r="U13" s="3"/>
      <c r="V13" s="7" t="s">
        <v>1649</v>
      </c>
      <c r="W13" s="7"/>
      <c r="X13" s="3"/>
      <c r="Y13" s="3"/>
      <c r="Z13" s="3" t="s">
        <v>1475</v>
      </c>
      <c r="AA13" s="3"/>
      <c r="AB13" s="3"/>
      <c r="AC13" s="3"/>
      <c r="AD13" s="3"/>
      <c r="AE13" s="3" t="s">
        <v>1650</v>
      </c>
      <c r="AF13" s="3" t="s">
        <v>1380</v>
      </c>
      <c r="AG13" s="3" t="s">
        <v>7</v>
      </c>
      <c r="AH13" s="3"/>
      <c r="AI13" s="3"/>
      <c r="AJ13" s="3" t="s">
        <v>1477</v>
      </c>
      <c r="AK13" s="3" t="s">
        <v>1382</v>
      </c>
      <c r="AL13" s="3"/>
      <c r="AM13" s="3"/>
      <c r="AN13" s="7" t="s">
        <v>1651</v>
      </c>
    </row>
    <row r="14" spans="1:40" ht="60" customHeight="1" x14ac:dyDescent="0.2">
      <c r="A14" s="3" t="s">
        <v>1652</v>
      </c>
      <c r="B14" s="3" t="s">
        <v>1546</v>
      </c>
      <c r="C14" s="3" t="s">
        <v>1641</v>
      </c>
      <c r="D14" s="3" t="s">
        <v>1653</v>
      </c>
      <c r="E14" s="3" t="s">
        <v>1654</v>
      </c>
      <c r="F14" s="3" t="s">
        <v>1461</v>
      </c>
      <c r="G14" s="3" t="s">
        <v>1462</v>
      </c>
      <c r="H14" s="3" t="s">
        <v>1655</v>
      </c>
      <c r="I14" s="3" t="s">
        <v>1655</v>
      </c>
      <c r="J14" s="3" t="s">
        <v>1485</v>
      </c>
      <c r="K14" s="3" t="s">
        <v>1465</v>
      </c>
      <c r="L14" s="3" t="s">
        <v>1466</v>
      </c>
      <c r="M14" s="3" t="s">
        <v>1467</v>
      </c>
      <c r="N14" s="3" t="s">
        <v>1468</v>
      </c>
      <c r="O14" s="3" t="s">
        <v>1469</v>
      </c>
      <c r="P14" s="3" t="s">
        <v>1470</v>
      </c>
      <c r="Q14" s="3" t="s">
        <v>1471</v>
      </c>
      <c r="R14" s="3" t="s">
        <v>1471</v>
      </c>
      <c r="S14" s="3"/>
      <c r="T14" s="3" t="s">
        <v>1471</v>
      </c>
      <c r="U14" s="3"/>
      <c r="V14" s="3"/>
      <c r="W14" s="3"/>
      <c r="X14" s="3"/>
      <c r="Y14" s="3"/>
      <c r="Z14" s="3" t="s">
        <v>1475</v>
      </c>
      <c r="AA14" s="3"/>
      <c r="AB14" s="3"/>
      <c r="AC14" s="3"/>
      <c r="AD14" s="3"/>
      <c r="AE14" s="3" t="s">
        <v>1656</v>
      </c>
      <c r="AF14" s="3" t="s">
        <v>1380</v>
      </c>
      <c r="AG14" s="3" t="s">
        <v>7</v>
      </c>
      <c r="AH14" s="3"/>
      <c r="AI14" s="3"/>
      <c r="AJ14" s="3" t="s">
        <v>1477</v>
      </c>
      <c r="AK14" s="3" t="s">
        <v>1382</v>
      </c>
      <c r="AL14" s="3"/>
      <c r="AM14" s="3"/>
      <c r="AN14" s="8" t="s">
        <v>1479</v>
      </c>
    </row>
    <row r="15" spans="1:40" ht="60" customHeight="1" x14ac:dyDescent="0.2">
      <c r="A15" s="3" t="s">
        <v>1657</v>
      </c>
      <c r="B15" s="3" t="s">
        <v>1546</v>
      </c>
      <c r="C15" s="3" t="s">
        <v>1658</v>
      </c>
      <c r="D15" s="3" t="s">
        <v>1659</v>
      </c>
      <c r="E15" s="3" t="s">
        <v>1660</v>
      </c>
      <c r="F15" s="3" t="s">
        <v>1461</v>
      </c>
      <c r="G15" s="3" t="s">
        <v>1462</v>
      </c>
      <c r="H15" s="3" t="s">
        <v>1661</v>
      </c>
      <c r="I15" s="3" t="s">
        <v>1662</v>
      </c>
      <c r="J15" s="3" t="s">
        <v>1485</v>
      </c>
      <c r="K15" s="3" t="s">
        <v>1465</v>
      </c>
      <c r="L15" s="3" t="s">
        <v>1466</v>
      </c>
      <c r="M15" s="3" t="s">
        <v>1467</v>
      </c>
      <c r="N15" s="3" t="s">
        <v>1468</v>
      </c>
      <c r="O15" s="3" t="s">
        <v>1469</v>
      </c>
      <c r="P15" s="3" t="s">
        <v>1470</v>
      </c>
      <c r="Q15" s="3" t="s">
        <v>1663</v>
      </c>
      <c r="R15" s="3" t="s">
        <v>1663</v>
      </c>
      <c r="S15" s="3"/>
      <c r="T15" s="3" t="s">
        <v>1663</v>
      </c>
      <c r="U15" s="3"/>
      <c r="V15" s="3"/>
      <c r="W15" s="3"/>
      <c r="X15" s="3"/>
      <c r="Y15" s="3"/>
      <c r="Z15" s="3" t="s">
        <v>1475</v>
      </c>
      <c r="AA15" s="3"/>
      <c r="AB15" s="3"/>
      <c r="AC15" s="3"/>
      <c r="AD15" s="3"/>
      <c r="AE15" s="3" t="s">
        <v>1664</v>
      </c>
      <c r="AF15" s="3" t="s">
        <v>1380</v>
      </c>
      <c r="AG15" s="3" t="s">
        <v>7</v>
      </c>
      <c r="AH15" s="3"/>
      <c r="AI15" s="3"/>
      <c r="AJ15" s="3" t="s">
        <v>1477</v>
      </c>
      <c r="AK15" s="3" t="s">
        <v>1382</v>
      </c>
      <c r="AL15" s="3"/>
      <c r="AM15" s="3"/>
      <c r="AN15" s="8" t="s">
        <v>1479</v>
      </c>
    </row>
    <row r="16" spans="1:40" ht="60" customHeight="1" x14ac:dyDescent="0.2">
      <c r="A16" s="3" t="s">
        <v>1665</v>
      </c>
      <c r="B16" s="3" t="s">
        <v>1546</v>
      </c>
      <c r="C16" s="3" t="s">
        <v>1641</v>
      </c>
      <c r="D16" s="3" t="s">
        <v>1666</v>
      </c>
      <c r="E16" s="3" t="s">
        <v>1667</v>
      </c>
      <c r="F16" s="3" t="s">
        <v>1461</v>
      </c>
      <c r="G16" s="3" t="s">
        <v>1462</v>
      </c>
      <c r="H16" s="3" t="s">
        <v>1668</v>
      </c>
      <c r="I16" s="3" t="s">
        <v>1668</v>
      </c>
      <c r="J16" s="3" t="s">
        <v>1485</v>
      </c>
      <c r="K16" s="3" t="s">
        <v>1465</v>
      </c>
      <c r="L16" s="3" t="s">
        <v>1466</v>
      </c>
      <c r="M16" s="3" t="s">
        <v>1669</v>
      </c>
      <c r="N16" s="3" t="s">
        <v>1468</v>
      </c>
      <c r="O16" s="3" t="s">
        <v>1469</v>
      </c>
      <c r="P16" s="3" t="s">
        <v>1470</v>
      </c>
      <c r="Q16" s="3" t="s">
        <v>1471</v>
      </c>
      <c r="R16" s="3" t="s">
        <v>1471</v>
      </c>
      <c r="S16" s="3"/>
      <c r="T16" s="3" t="s">
        <v>1471</v>
      </c>
      <c r="U16" s="3"/>
      <c r="V16" s="7" t="s">
        <v>1670</v>
      </c>
      <c r="W16" s="7"/>
      <c r="X16" s="3"/>
      <c r="Y16" s="3"/>
      <c r="Z16" s="3" t="s">
        <v>1475</v>
      </c>
      <c r="AA16" s="3"/>
      <c r="AB16" s="3"/>
      <c r="AC16" s="3"/>
      <c r="AD16" s="3"/>
      <c r="AE16" s="3" t="s">
        <v>1656</v>
      </c>
      <c r="AF16" s="3" t="s">
        <v>1380</v>
      </c>
      <c r="AG16" s="3" t="s">
        <v>7</v>
      </c>
      <c r="AH16" s="3"/>
      <c r="AI16" s="3"/>
      <c r="AJ16" s="3" t="s">
        <v>1477</v>
      </c>
      <c r="AK16" s="3" t="s">
        <v>1382</v>
      </c>
      <c r="AL16" s="3"/>
      <c r="AM16" s="3"/>
      <c r="AN16" s="7" t="s">
        <v>1671</v>
      </c>
    </row>
    <row r="17" spans="1:40" ht="60" customHeight="1" x14ac:dyDescent="0.2">
      <c r="A17" s="3" t="s">
        <v>1672</v>
      </c>
      <c r="B17" s="3" t="s">
        <v>1546</v>
      </c>
      <c r="C17" s="3" t="s">
        <v>1641</v>
      </c>
      <c r="D17" s="3" t="s">
        <v>1673</v>
      </c>
      <c r="E17" s="3" t="s">
        <v>1674</v>
      </c>
      <c r="F17" s="3" t="s">
        <v>1461</v>
      </c>
      <c r="G17" s="3" t="s">
        <v>1462</v>
      </c>
      <c r="H17" s="3" t="s">
        <v>1675</v>
      </c>
      <c r="I17" s="3" t="s">
        <v>1675</v>
      </c>
      <c r="J17" s="3" t="s">
        <v>1676</v>
      </c>
      <c r="K17" s="3" t="s">
        <v>1465</v>
      </c>
      <c r="L17" s="3" t="s">
        <v>1677</v>
      </c>
      <c r="M17" s="3" t="s">
        <v>1467</v>
      </c>
      <c r="N17" s="3" t="s">
        <v>1468</v>
      </c>
      <c r="O17" s="3" t="s">
        <v>1469</v>
      </c>
      <c r="P17" s="3" t="s">
        <v>1470</v>
      </c>
      <c r="Q17" s="3" t="s">
        <v>1471</v>
      </c>
      <c r="R17" s="3" t="s">
        <v>1471</v>
      </c>
      <c r="S17" s="3"/>
      <c r="T17" s="3" t="s">
        <v>1471</v>
      </c>
      <c r="U17" s="3"/>
      <c r="V17" s="3"/>
      <c r="W17" s="3"/>
      <c r="X17" s="3"/>
      <c r="Y17" s="3"/>
      <c r="Z17" s="3" t="s">
        <v>1475</v>
      </c>
      <c r="AA17" s="3"/>
      <c r="AB17" s="3"/>
      <c r="AC17" s="3"/>
      <c r="AD17" s="3"/>
      <c r="AE17" s="3" t="s">
        <v>1678</v>
      </c>
      <c r="AF17" s="3" t="s">
        <v>1380</v>
      </c>
      <c r="AG17" s="3" t="s">
        <v>7</v>
      </c>
      <c r="AH17" s="3"/>
      <c r="AI17" s="3"/>
      <c r="AJ17" s="3" t="s">
        <v>1477</v>
      </c>
      <c r="AK17" s="3" t="s">
        <v>1382</v>
      </c>
      <c r="AL17" s="3"/>
      <c r="AM17" s="3"/>
      <c r="AN17" s="8" t="s">
        <v>1479</v>
      </c>
    </row>
    <row r="18" spans="1:40" ht="60" customHeight="1" x14ac:dyDescent="0.2">
      <c r="A18" s="3" t="s">
        <v>1679</v>
      </c>
      <c r="B18" s="3" t="s">
        <v>1546</v>
      </c>
      <c r="C18" s="3" t="s">
        <v>1641</v>
      </c>
      <c r="D18" s="3" t="s">
        <v>1680</v>
      </c>
      <c r="E18" s="3" t="s">
        <v>1681</v>
      </c>
      <c r="F18" s="3" t="s">
        <v>1461</v>
      </c>
      <c r="G18" s="3"/>
      <c r="H18" s="3" t="s">
        <v>1682</v>
      </c>
      <c r="I18" s="3" t="s">
        <v>1683</v>
      </c>
      <c r="J18" s="3" t="s">
        <v>1676</v>
      </c>
      <c r="K18" s="3" t="s">
        <v>1465</v>
      </c>
      <c r="L18" s="3" t="s">
        <v>1677</v>
      </c>
      <c r="M18" s="3" t="s">
        <v>1684</v>
      </c>
      <c r="N18" s="3" t="s">
        <v>1468</v>
      </c>
      <c r="O18" s="3" t="s">
        <v>1450</v>
      </c>
      <c r="P18" s="3" t="s">
        <v>1470</v>
      </c>
      <c r="Q18" s="3" t="s">
        <v>1471</v>
      </c>
      <c r="R18" s="3" t="s">
        <v>1471</v>
      </c>
      <c r="S18" s="3"/>
      <c r="T18" s="3" t="s">
        <v>1471</v>
      </c>
      <c r="U18" s="3"/>
      <c r="V18" s="3"/>
      <c r="W18" s="3"/>
      <c r="X18" s="3"/>
      <c r="Y18" s="3"/>
      <c r="Z18" s="3" t="s">
        <v>1475</v>
      </c>
      <c r="AA18" s="3"/>
      <c r="AB18" s="3"/>
      <c r="AC18" s="3"/>
      <c r="AD18" s="3"/>
      <c r="AE18" s="3" t="s">
        <v>1678</v>
      </c>
      <c r="AF18" s="3" t="s">
        <v>1380</v>
      </c>
      <c r="AG18" s="3" t="s">
        <v>7</v>
      </c>
      <c r="AH18" s="3"/>
      <c r="AI18" s="3"/>
      <c r="AJ18" s="3" t="s">
        <v>1455</v>
      </c>
      <c r="AK18" s="3" t="s">
        <v>1382</v>
      </c>
      <c r="AL18" s="3"/>
      <c r="AM18" s="3"/>
      <c r="AN18" s="8" t="s">
        <v>1479</v>
      </c>
    </row>
    <row r="19" spans="1:40" ht="60" customHeight="1" x14ac:dyDescent="0.2">
      <c r="A19" s="3" t="s">
        <v>478</v>
      </c>
      <c r="B19" s="3" t="s">
        <v>1546</v>
      </c>
      <c r="C19" s="3" t="s">
        <v>1641</v>
      </c>
      <c r="D19" s="3" t="s">
        <v>1685</v>
      </c>
      <c r="E19" s="3" t="s">
        <v>1686</v>
      </c>
      <c r="F19" s="3" t="s">
        <v>1461</v>
      </c>
      <c r="G19" s="3" t="s">
        <v>1462</v>
      </c>
      <c r="H19" s="3" t="s">
        <v>1687</v>
      </c>
      <c r="I19" s="3" t="s">
        <v>1688</v>
      </c>
      <c r="J19" s="3" t="s">
        <v>1676</v>
      </c>
      <c r="K19" s="3" t="s">
        <v>1689</v>
      </c>
      <c r="L19" s="3" t="s">
        <v>1690</v>
      </c>
      <c r="M19" s="3" t="s">
        <v>1684</v>
      </c>
      <c r="N19" s="3" t="s">
        <v>1691</v>
      </c>
      <c r="O19" s="3" t="s">
        <v>1469</v>
      </c>
      <c r="P19" s="3" t="s">
        <v>1470</v>
      </c>
      <c r="Q19" s="3" t="s">
        <v>1692</v>
      </c>
      <c r="R19" s="3" t="s">
        <v>1692</v>
      </c>
      <c r="S19" s="3"/>
      <c r="T19" s="3" t="s">
        <v>1692</v>
      </c>
      <c r="U19" s="3"/>
      <c r="V19" s="3"/>
      <c r="W19" s="3"/>
      <c r="X19" s="3"/>
      <c r="Y19" s="3"/>
      <c r="Z19" s="3" t="s">
        <v>1475</v>
      </c>
      <c r="AA19" s="3"/>
      <c r="AB19" s="3"/>
      <c r="AC19" s="3"/>
      <c r="AD19" s="3"/>
      <c r="AE19" s="3" t="s">
        <v>1693</v>
      </c>
      <c r="AF19" s="3" t="s">
        <v>1380</v>
      </c>
      <c r="AG19" s="3" t="s">
        <v>7</v>
      </c>
      <c r="AH19" s="3"/>
      <c r="AI19" s="3"/>
      <c r="AJ19" s="3" t="s">
        <v>1477</v>
      </c>
      <c r="AK19" s="3" t="s">
        <v>1382</v>
      </c>
      <c r="AL19" s="3"/>
      <c r="AM19" s="3"/>
      <c r="AN19" s="8" t="s">
        <v>1479</v>
      </c>
    </row>
    <row r="20" spans="1:40" ht="60" customHeight="1" x14ac:dyDescent="0.2">
      <c r="A20" s="3" t="s">
        <v>1694</v>
      </c>
      <c r="B20" s="3" t="s">
        <v>1546</v>
      </c>
      <c r="C20" s="3" t="s">
        <v>1695</v>
      </c>
      <c r="D20" s="3" t="s">
        <v>1696</v>
      </c>
      <c r="E20" s="3" t="s">
        <v>1697</v>
      </c>
      <c r="F20" s="3" t="s">
        <v>1461</v>
      </c>
      <c r="G20" s="3" t="s">
        <v>1698</v>
      </c>
      <c r="H20" s="3" t="s">
        <v>1699</v>
      </c>
      <c r="I20" s="3" t="s">
        <v>1700</v>
      </c>
      <c r="J20" s="3" t="s">
        <v>1676</v>
      </c>
      <c r="K20" s="3" t="s">
        <v>1689</v>
      </c>
      <c r="L20" s="3" t="s">
        <v>1677</v>
      </c>
      <c r="M20" s="3" t="s">
        <v>1467</v>
      </c>
      <c r="N20" s="3" t="s">
        <v>1691</v>
      </c>
      <c r="O20" s="3" t="s">
        <v>1701</v>
      </c>
      <c r="P20" s="3" t="s">
        <v>1470</v>
      </c>
      <c r="Q20" s="3" t="s">
        <v>1471</v>
      </c>
      <c r="R20" s="3" t="s">
        <v>1471</v>
      </c>
      <c r="S20" s="3"/>
      <c r="T20" s="3" t="s">
        <v>1471</v>
      </c>
      <c r="U20" s="3"/>
      <c r="V20" s="3"/>
      <c r="W20" s="3"/>
      <c r="X20" s="3"/>
      <c r="Y20" s="3"/>
      <c r="Z20" s="3" t="s">
        <v>1475</v>
      </c>
      <c r="AA20" s="3"/>
      <c r="AB20" s="3"/>
      <c r="AC20" s="3"/>
      <c r="AD20" s="3"/>
      <c r="AE20" s="3" t="s">
        <v>1678</v>
      </c>
      <c r="AF20" s="3" t="s">
        <v>1380</v>
      </c>
      <c r="AG20" s="3" t="s">
        <v>7</v>
      </c>
      <c r="AH20" s="3"/>
      <c r="AI20" s="3"/>
      <c r="AJ20" s="3" t="s">
        <v>1702</v>
      </c>
      <c r="AK20" s="3" t="s">
        <v>1382</v>
      </c>
      <c r="AL20" s="3"/>
      <c r="AM20" s="3"/>
      <c r="AN20" s="8" t="s">
        <v>1479</v>
      </c>
    </row>
    <row r="21" spans="1:40" ht="60" customHeight="1" x14ac:dyDescent="0.2">
      <c r="A21" s="3" t="s">
        <v>1703</v>
      </c>
      <c r="B21" s="3" t="s">
        <v>1546</v>
      </c>
      <c r="C21" s="3" t="s">
        <v>1704</v>
      </c>
      <c r="D21" s="3" t="s">
        <v>1705</v>
      </c>
      <c r="E21" s="3" t="s">
        <v>1706</v>
      </c>
      <c r="F21" s="3" t="s">
        <v>1707</v>
      </c>
      <c r="G21" s="3" t="s">
        <v>1708</v>
      </c>
      <c r="H21" s="3" t="s">
        <v>1709</v>
      </c>
      <c r="I21" s="3" t="s">
        <v>1710</v>
      </c>
      <c r="J21" s="3" t="s">
        <v>1711</v>
      </c>
      <c r="K21" s="3" t="s">
        <v>1712</v>
      </c>
      <c r="L21" s="3" t="s">
        <v>1713</v>
      </c>
      <c r="M21" s="3" t="s">
        <v>1467</v>
      </c>
      <c r="N21" s="3" t="s">
        <v>1468</v>
      </c>
      <c r="O21" s="3" t="s">
        <v>1714</v>
      </c>
      <c r="P21" s="3" t="s">
        <v>1715</v>
      </c>
      <c r="Q21" s="3" t="s">
        <v>1716</v>
      </c>
      <c r="R21" s="3" t="s">
        <v>1716</v>
      </c>
      <c r="S21" s="3"/>
      <c r="T21" s="3" t="s">
        <v>1717</v>
      </c>
      <c r="U21" s="3"/>
      <c r="V21" s="3" t="s">
        <v>1718</v>
      </c>
      <c r="W21" s="3" t="s">
        <v>1719</v>
      </c>
      <c r="X21" s="3"/>
      <c r="Y21" s="3"/>
      <c r="Z21" s="3" t="s">
        <v>1475</v>
      </c>
      <c r="AA21" s="3"/>
      <c r="AB21" s="3"/>
      <c r="AC21" s="3"/>
      <c r="AD21" s="3"/>
      <c r="AE21" s="3" t="s">
        <v>1720</v>
      </c>
      <c r="AF21" s="3" t="s">
        <v>1380</v>
      </c>
      <c r="AG21" s="3" t="s">
        <v>7</v>
      </c>
      <c r="AH21" s="3"/>
      <c r="AI21" s="3"/>
      <c r="AJ21" s="3" t="s">
        <v>1721</v>
      </c>
      <c r="AK21" s="3" t="s">
        <v>1382</v>
      </c>
      <c r="AL21" s="3"/>
      <c r="AM21" s="3"/>
      <c r="AN21" s="8" t="s">
        <v>1722</v>
      </c>
    </row>
    <row r="22" spans="1:40" ht="60" customHeight="1" x14ac:dyDescent="0.2">
      <c r="A22" s="3" t="s">
        <v>1723</v>
      </c>
      <c r="B22" s="3" t="s">
        <v>1546</v>
      </c>
      <c r="C22" s="3" t="s">
        <v>1641</v>
      </c>
      <c r="D22" s="3" t="s">
        <v>1724</v>
      </c>
      <c r="E22" s="3" t="s">
        <v>1725</v>
      </c>
      <c r="F22" s="3" t="s">
        <v>1726</v>
      </c>
      <c r="G22" s="3" t="s">
        <v>1727</v>
      </c>
      <c r="H22" s="3" t="s">
        <v>1728</v>
      </c>
      <c r="I22" s="3" t="s">
        <v>1729</v>
      </c>
      <c r="J22" s="3" t="s">
        <v>1711</v>
      </c>
      <c r="K22" s="3" t="s">
        <v>1730</v>
      </c>
      <c r="L22" s="3" t="s">
        <v>1731</v>
      </c>
      <c r="M22" s="3" t="s">
        <v>1467</v>
      </c>
      <c r="N22" s="3" t="s">
        <v>1468</v>
      </c>
      <c r="O22" s="3" t="s">
        <v>1732</v>
      </c>
      <c r="P22" s="3" t="s">
        <v>1715</v>
      </c>
      <c r="Q22" s="3" t="s">
        <v>1471</v>
      </c>
      <c r="R22" s="3" t="s">
        <v>1471</v>
      </c>
      <c r="S22" s="3"/>
      <c r="T22" s="3" t="s">
        <v>1733</v>
      </c>
      <c r="U22" s="3"/>
      <c r="V22" s="3"/>
      <c r="W22" s="3"/>
      <c r="X22" s="3"/>
      <c r="Y22" s="3"/>
      <c r="Z22" s="3" t="s">
        <v>1475</v>
      </c>
      <c r="AA22" s="3"/>
      <c r="AB22" s="3"/>
      <c r="AC22" s="3"/>
      <c r="AD22" s="3"/>
      <c r="AE22" s="3" t="s">
        <v>1734</v>
      </c>
      <c r="AF22" s="3" t="s">
        <v>1380</v>
      </c>
      <c r="AG22" s="3" t="s">
        <v>7</v>
      </c>
      <c r="AH22" s="3"/>
      <c r="AI22" s="3"/>
      <c r="AJ22" s="3" t="s">
        <v>1735</v>
      </c>
      <c r="AK22" s="3" t="s">
        <v>1382</v>
      </c>
      <c r="AL22" s="3"/>
      <c r="AM22" s="3"/>
      <c r="AN22" s="8" t="s">
        <v>1722</v>
      </c>
    </row>
    <row r="23" spans="1:40" ht="60" customHeight="1" x14ac:dyDescent="0.2">
      <c r="A23" s="3" t="s">
        <v>1736</v>
      </c>
      <c r="B23" s="3" t="s">
        <v>1546</v>
      </c>
      <c r="C23" s="3" t="s">
        <v>1641</v>
      </c>
      <c r="D23" s="3" t="s">
        <v>1737</v>
      </c>
      <c r="E23" s="3" t="s">
        <v>1738</v>
      </c>
      <c r="F23" s="3" t="s">
        <v>1461</v>
      </c>
      <c r="G23" s="3" t="s">
        <v>1462</v>
      </c>
      <c r="H23" s="3" t="s">
        <v>1739</v>
      </c>
      <c r="I23" s="3" t="s">
        <v>1739</v>
      </c>
      <c r="J23" s="3" t="s">
        <v>1464</v>
      </c>
      <c r="K23" s="3" t="s">
        <v>1730</v>
      </c>
      <c r="L23" s="3" t="s">
        <v>1466</v>
      </c>
      <c r="M23" s="3" t="s">
        <v>1467</v>
      </c>
      <c r="N23" s="3" t="s">
        <v>1468</v>
      </c>
      <c r="O23" s="3" t="s">
        <v>1469</v>
      </c>
      <c r="P23" s="3" t="s">
        <v>1470</v>
      </c>
      <c r="Q23" s="3" t="s">
        <v>1471</v>
      </c>
      <c r="R23" s="3" t="s">
        <v>1471</v>
      </c>
      <c r="S23" s="3"/>
      <c r="T23" s="3" t="s">
        <v>1471</v>
      </c>
      <c r="U23" s="3"/>
      <c r="V23" s="3"/>
      <c r="W23" s="3"/>
      <c r="X23" s="3"/>
      <c r="Y23" s="3"/>
      <c r="Z23" s="3" t="s">
        <v>1475</v>
      </c>
      <c r="AA23" s="3"/>
      <c r="AB23" s="3"/>
      <c r="AC23" s="3"/>
      <c r="AD23" s="3"/>
      <c r="AE23" s="3" t="s">
        <v>1656</v>
      </c>
      <c r="AF23" s="3" t="s">
        <v>1380</v>
      </c>
      <c r="AG23" s="3" t="s">
        <v>7</v>
      </c>
      <c r="AH23" s="3"/>
      <c r="AI23" s="3"/>
      <c r="AJ23" s="3" t="s">
        <v>1477</v>
      </c>
      <c r="AK23" s="3" t="s">
        <v>1382</v>
      </c>
      <c r="AL23" s="3"/>
      <c r="AM23" s="3"/>
      <c r="AN23" s="8" t="s">
        <v>1479</v>
      </c>
    </row>
    <row r="24" spans="1:40" ht="60" customHeight="1" x14ac:dyDescent="0.2">
      <c r="A24" s="3" t="s">
        <v>1740</v>
      </c>
      <c r="B24" s="3" t="s">
        <v>1546</v>
      </c>
      <c r="C24" s="3" t="s">
        <v>1533</v>
      </c>
      <c r="D24" s="3" t="s">
        <v>1741</v>
      </c>
      <c r="E24" s="3" t="s">
        <v>1742</v>
      </c>
      <c r="F24" s="3" t="s">
        <v>1743</v>
      </c>
      <c r="G24" s="3"/>
      <c r="H24" s="3" t="s">
        <v>1744</v>
      </c>
      <c r="I24" s="3" t="s">
        <v>1745</v>
      </c>
      <c r="J24" s="3" t="s">
        <v>1485</v>
      </c>
      <c r="K24" s="3" t="s">
        <v>1465</v>
      </c>
      <c r="L24" s="3" t="s">
        <v>1746</v>
      </c>
      <c r="M24" s="3" t="s">
        <v>1747</v>
      </c>
      <c r="N24" s="3" t="s">
        <v>1468</v>
      </c>
      <c r="O24" s="3" t="s">
        <v>1450</v>
      </c>
      <c r="P24" s="3" t="s">
        <v>1748</v>
      </c>
      <c r="Q24" s="3" t="s">
        <v>1471</v>
      </c>
      <c r="R24" s="3" t="s">
        <v>1471</v>
      </c>
      <c r="S24" s="3"/>
      <c r="T24" s="3" t="s">
        <v>1471</v>
      </c>
      <c r="U24" s="3" t="s">
        <v>1749</v>
      </c>
      <c r="V24" s="3"/>
      <c r="W24" s="3"/>
      <c r="X24" s="3"/>
      <c r="Y24" s="3"/>
      <c r="Z24" s="3" t="s">
        <v>1475</v>
      </c>
      <c r="AA24" s="3"/>
      <c r="AB24" s="3"/>
      <c r="AC24" s="3"/>
      <c r="AD24" s="3"/>
      <c r="AE24" s="3"/>
      <c r="AF24" s="3" t="s">
        <v>1380</v>
      </c>
      <c r="AG24" s="3" t="s">
        <v>7</v>
      </c>
      <c r="AH24" s="3"/>
      <c r="AI24" s="3"/>
      <c r="AJ24" s="3" t="s">
        <v>1455</v>
      </c>
      <c r="AK24" s="3" t="s">
        <v>1382</v>
      </c>
      <c r="AL24" s="3"/>
      <c r="AM24" s="3"/>
      <c r="AN24" s="8" t="s">
        <v>1750</v>
      </c>
    </row>
    <row r="25" spans="1:40" ht="60" customHeight="1" x14ac:dyDescent="0.2">
      <c r="A25" s="3" t="s">
        <v>1751</v>
      </c>
      <c r="B25" s="3" t="s">
        <v>1546</v>
      </c>
      <c r="C25" s="3" t="s">
        <v>1533</v>
      </c>
      <c r="D25" s="3" t="s">
        <v>1752</v>
      </c>
      <c r="E25" s="3" t="s">
        <v>1753</v>
      </c>
      <c r="F25" s="3" t="s">
        <v>1743</v>
      </c>
      <c r="G25" s="3" t="s">
        <v>1754</v>
      </c>
      <c r="H25" s="3" t="s">
        <v>1755</v>
      </c>
      <c r="I25" s="3" t="s">
        <v>1755</v>
      </c>
      <c r="J25" s="3" t="s">
        <v>1756</v>
      </c>
      <c r="K25" s="3" t="s">
        <v>1465</v>
      </c>
      <c r="L25" s="3" t="s">
        <v>1432</v>
      </c>
      <c r="M25" s="3" t="s">
        <v>1747</v>
      </c>
      <c r="N25" s="3" t="s">
        <v>1468</v>
      </c>
      <c r="O25" s="3" t="s">
        <v>1757</v>
      </c>
      <c r="P25" s="3" t="s">
        <v>1748</v>
      </c>
      <c r="Q25" s="3" t="s">
        <v>1758</v>
      </c>
      <c r="R25" s="3" t="s">
        <v>1758</v>
      </c>
      <c r="S25" s="3"/>
      <c r="T25" s="3" t="s">
        <v>1758</v>
      </c>
      <c r="U25" s="3"/>
      <c r="V25" s="7" t="s">
        <v>1759</v>
      </c>
      <c r="W25" s="7"/>
      <c r="X25" s="3"/>
      <c r="Y25" s="3"/>
      <c r="Z25" s="3" t="s">
        <v>1475</v>
      </c>
      <c r="AA25" s="3"/>
      <c r="AB25" s="3"/>
      <c r="AC25" s="3"/>
      <c r="AD25" s="3"/>
      <c r="AE25" s="3" t="s">
        <v>1760</v>
      </c>
      <c r="AF25" s="3" t="s">
        <v>1380</v>
      </c>
      <c r="AG25" s="3" t="s">
        <v>7</v>
      </c>
      <c r="AH25" s="3"/>
      <c r="AI25" s="3"/>
      <c r="AJ25" s="3" t="s">
        <v>1761</v>
      </c>
      <c r="AK25" s="3" t="s">
        <v>1382</v>
      </c>
      <c r="AL25" s="3"/>
      <c r="AM25" s="3"/>
      <c r="AN25" s="7" t="s">
        <v>1762</v>
      </c>
    </row>
    <row r="26" spans="1:40" ht="60" customHeight="1" x14ac:dyDescent="0.2">
      <c r="A26" s="3" t="s">
        <v>1763</v>
      </c>
      <c r="B26" s="3" t="s">
        <v>1546</v>
      </c>
      <c r="C26" s="3" t="s">
        <v>1533</v>
      </c>
      <c r="D26" s="3" t="s">
        <v>1764</v>
      </c>
      <c r="E26" s="3" t="s">
        <v>1765</v>
      </c>
      <c r="F26" s="3" t="s">
        <v>1743</v>
      </c>
      <c r="G26" s="3" t="s">
        <v>1754</v>
      </c>
      <c r="H26" s="3" t="s">
        <v>1766</v>
      </c>
      <c r="I26" s="3" t="s">
        <v>1766</v>
      </c>
      <c r="J26" s="3" t="s">
        <v>1485</v>
      </c>
      <c r="K26" s="3" t="s">
        <v>1465</v>
      </c>
      <c r="L26" s="3" t="s">
        <v>1767</v>
      </c>
      <c r="M26" s="3" t="s">
        <v>1768</v>
      </c>
      <c r="N26" s="3" t="s">
        <v>1468</v>
      </c>
      <c r="O26" s="3" t="s">
        <v>1757</v>
      </c>
      <c r="P26" s="3" t="s">
        <v>1748</v>
      </c>
      <c r="Q26" s="3" t="s">
        <v>1769</v>
      </c>
      <c r="R26" s="3" t="s">
        <v>1769</v>
      </c>
      <c r="S26" s="3"/>
      <c r="T26" s="3" t="s">
        <v>1769</v>
      </c>
      <c r="U26" s="3"/>
      <c r="V26" s="3"/>
      <c r="W26" s="3"/>
      <c r="X26" s="3"/>
      <c r="Y26" s="3"/>
      <c r="Z26" s="3" t="s">
        <v>1475</v>
      </c>
      <c r="AA26" s="3"/>
      <c r="AB26" s="3"/>
      <c r="AC26" s="3"/>
      <c r="AD26" s="3"/>
      <c r="AE26" s="3" t="s">
        <v>1770</v>
      </c>
      <c r="AF26" s="3" t="s">
        <v>1380</v>
      </c>
      <c r="AG26" s="3" t="s">
        <v>7</v>
      </c>
      <c r="AH26" s="3"/>
      <c r="AI26" s="3"/>
      <c r="AJ26" s="3" t="s">
        <v>1761</v>
      </c>
      <c r="AK26" s="3" t="s">
        <v>1382</v>
      </c>
      <c r="AL26" s="3"/>
      <c r="AM26" s="3"/>
      <c r="AN26" s="8" t="s">
        <v>1750</v>
      </c>
    </row>
    <row r="27" spans="1:40" ht="60" customHeight="1" x14ac:dyDescent="0.2">
      <c r="A27" s="3" t="s">
        <v>1771</v>
      </c>
      <c r="B27" s="3" t="s">
        <v>1546</v>
      </c>
      <c r="C27" s="3" t="s">
        <v>1533</v>
      </c>
      <c r="D27" s="3" t="s">
        <v>1772</v>
      </c>
      <c r="E27" s="3" t="s">
        <v>1773</v>
      </c>
      <c r="F27" s="3" t="s">
        <v>1743</v>
      </c>
      <c r="G27" s="3" t="s">
        <v>1754</v>
      </c>
      <c r="H27" s="3" t="s">
        <v>1774</v>
      </c>
      <c r="I27" s="3" t="s">
        <v>1774</v>
      </c>
      <c r="J27" s="3" t="s">
        <v>1775</v>
      </c>
      <c r="K27" s="3" t="s">
        <v>1730</v>
      </c>
      <c r="L27" s="3" t="s">
        <v>1432</v>
      </c>
      <c r="M27" s="3" t="s">
        <v>1776</v>
      </c>
      <c r="N27" s="3" t="s">
        <v>1468</v>
      </c>
      <c r="O27" s="3" t="s">
        <v>1757</v>
      </c>
      <c r="P27" s="3" t="s">
        <v>1748</v>
      </c>
      <c r="Q27" s="3" t="s">
        <v>1777</v>
      </c>
      <c r="R27" s="3" t="s">
        <v>1777</v>
      </c>
      <c r="S27" s="3"/>
      <c r="T27" s="3" t="s">
        <v>1777</v>
      </c>
      <c r="U27" s="3"/>
      <c r="V27" s="3"/>
      <c r="W27" s="3"/>
      <c r="X27" s="3"/>
      <c r="Y27" s="3"/>
      <c r="Z27" s="3" t="s">
        <v>1475</v>
      </c>
      <c r="AA27" s="3"/>
      <c r="AB27" s="3"/>
      <c r="AC27" s="3"/>
      <c r="AD27" s="3"/>
      <c r="AE27" s="3" t="s">
        <v>1760</v>
      </c>
      <c r="AF27" s="3" t="s">
        <v>1380</v>
      </c>
      <c r="AG27" s="3" t="s">
        <v>7</v>
      </c>
      <c r="AH27" s="3"/>
      <c r="AI27" s="3"/>
      <c r="AJ27" s="3" t="s">
        <v>1761</v>
      </c>
      <c r="AK27" s="3" t="s">
        <v>1382</v>
      </c>
      <c r="AL27" s="3"/>
      <c r="AM27" s="3"/>
      <c r="AN27" s="8" t="s">
        <v>1750</v>
      </c>
    </row>
    <row r="28" spans="1:40" ht="60" customHeight="1" x14ac:dyDescent="0.2">
      <c r="A28" s="3" t="s">
        <v>1778</v>
      </c>
      <c r="B28" s="3" t="s">
        <v>1546</v>
      </c>
      <c r="C28" s="3" t="s">
        <v>1533</v>
      </c>
      <c r="D28" s="3" t="s">
        <v>1779</v>
      </c>
      <c r="E28" s="3" t="s">
        <v>1780</v>
      </c>
      <c r="F28" s="3" t="s">
        <v>1743</v>
      </c>
      <c r="G28" s="3"/>
      <c r="H28" s="3" t="s">
        <v>1781</v>
      </c>
      <c r="I28" s="3" t="s">
        <v>1782</v>
      </c>
      <c r="J28" s="3" t="s">
        <v>1775</v>
      </c>
      <c r="K28" s="3" t="s">
        <v>1783</v>
      </c>
      <c r="L28" s="3" t="s">
        <v>1784</v>
      </c>
      <c r="M28" s="3" t="s">
        <v>1747</v>
      </c>
      <c r="N28" s="3" t="s">
        <v>1468</v>
      </c>
      <c r="O28" s="3" t="s">
        <v>1450</v>
      </c>
      <c r="P28" s="3" t="s">
        <v>1748</v>
      </c>
      <c r="Q28" s="3" t="s">
        <v>1471</v>
      </c>
      <c r="R28" s="3" t="s">
        <v>1471</v>
      </c>
      <c r="S28" s="3"/>
      <c r="T28" s="3" t="s">
        <v>1471</v>
      </c>
      <c r="U28" s="3"/>
      <c r="V28" s="3"/>
      <c r="W28" s="3"/>
      <c r="X28" s="3"/>
      <c r="Y28" s="3"/>
      <c r="Z28" s="3" t="s">
        <v>1475</v>
      </c>
      <c r="AA28" s="3"/>
      <c r="AB28" s="3"/>
      <c r="AC28" s="3"/>
      <c r="AD28" s="3"/>
      <c r="AE28" s="3"/>
      <c r="AF28" s="3" t="s">
        <v>1380</v>
      </c>
      <c r="AG28" s="3" t="s">
        <v>7</v>
      </c>
      <c r="AH28" s="3"/>
      <c r="AI28" s="3"/>
      <c r="AJ28" s="3" t="s">
        <v>1455</v>
      </c>
      <c r="AK28" s="3" t="s">
        <v>1382</v>
      </c>
      <c r="AL28" s="3"/>
      <c r="AM28" s="3"/>
      <c r="AN28" s="8" t="s">
        <v>1750</v>
      </c>
    </row>
    <row r="29" spans="1:40" ht="60" customHeight="1" x14ac:dyDescent="0.2">
      <c r="A29" s="3" t="s">
        <v>1785</v>
      </c>
      <c r="B29" s="3" t="s">
        <v>1546</v>
      </c>
      <c r="C29" s="3" t="s">
        <v>1533</v>
      </c>
      <c r="D29" s="3" t="s">
        <v>1786</v>
      </c>
      <c r="E29" s="3" t="s">
        <v>1787</v>
      </c>
      <c r="F29" s="3" t="s">
        <v>1788</v>
      </c>
      <c r="G29" s="3" t="s">
        <v>1789</v>
      </c>
      <c r="H29" s="3" t="s">
        <v>1790</v>
      </c>
      <c r="I29" s="3" t="s">
        <v>1790</v>
      </c>
      <c r="J29" s="3" t="s">
        <v>1485</v>
      </c>
      <c r="K29" s="3" t="s">
        <v>1465</v>
      </c>
      <c r="L29" s="3" t="s">
        <v>1791</v>
      </c>
      <c r="M29" s="3" t="s">
        <v>1792</v>
      </c>
      <c r="N29" s="3" t="s">
        <v>1468</v>
      </c>
      <c r="O29" s="3" t="s">
        <v>1793</v>
      </c>
      <c r="P29" s="3" t="s">
        <v>1794</v>
      </c>
      <c r="Q29" s="3" t="s">
        <v>1471</v>
      </c>
      <c r="R29" s="3" t="s">
        <v>1471</v>
      </c>
      <c r="S29" s="3"/>
      <c r="T29" s="3" t="s">
        <v>1471</v>
      </c>
      <c r="U29" s="3"/>
      <c r="V29" s="7" t="s">
        <v>1795</v>
      </c>
      <c r="W29" s="7"/>
      <c r="X29" s="3"/>
      <c r="Y29" s="3"/>
      <c r="Z29" s="3" t="s">
        <v>1475</v>
      </c>
      <c r="AA29" s="3"/>
      <c r="AB29" s="3"/>
      <c r="AC29" s="3"/>
      <c r="AD29" s="3"/>
      <c r="AE29" s="3" t="s">
        <v>1796</v>
      </c>
      <c r="AF29" s="3" t="s">
        <v>1380</v>
      </c>
      <c r="AG29" s="3" t="s">
        <v>7</v>
      </c>
      <c r="AH29" s="3"/>
      <c r="AI29" s="3"/>
      <c r="AJ29" s="3" t="s">
        <v>1797</v>
      </c>
      <c r="AK29" s="3" t="s">
        <v>1382</v>
      </c>
      <c r="AL29" s="3"/>
      <c r="AM29" s="3"/>
      <c r="AN29" s="7" t="s">
        <v>1798</v>
      </c>
    </row>
    <row r="30" spans="1:40" ht="60" customHeight="1" x14ac:dyDescent="0.2">
      <c r="A30" s="3" t="s">
        <v>1799</v>
      </c>
      <c r="B30" s="3" t="s">
        <v>1546</v>
      </c>
      <c r="C30" s="3" t="s">
        <v>1533</v>
      </c>
      <c r="D30" s="3" t="s">
        <v>1800</v>
      </c>
      <c r="E30" s="3" t="s">
        <v>1801</v>
      </c>
      <c r="F30" s="3" t="s">
        <v>1788</v>
      </c>
      <c r="G30" s="3" t="s">
        <v>1789</v>
      </c>
      <c r="H30" s="3" t="s">
        <v>1802</v>
      </c>
      <c r="I30" s="3" t="s">
        <v>1802</v>
      </c>
      <c r="J30" s="3" t="s">
        <v>1485</v>
      </c>
      <c r="K30" s="3" t="s">
        <v>1730</v>
      </c>
      <c r="L30" s="3" t="s">
        <v>1803</v>
      </c>
      <c r="M30" s="3" t="s">
        <v>1792</v>
      </c>
      <c r="N30" s="3" t="s">
        <v>1468</v>
      </c>
      <c r="O30" s="3" t="s">
        <v>1793</v>
      </c>
      <c r="P30" s="3" t="s">
        <v>1794</v>
      </c>
      <c r="Q30" s="3" t="s">
        <v>1471</v>
      </c>
      <c r="R30" s="3" t="s">
        <v>1471</v>
      </c>
      <c r="S30" s="3"/>
      <c r="T30" s="3" t="s">
        <v>1471</v>
      </c>
      <c r="U30" s="3"/>
      <c r="V30" s="7" t="s">
        <v>1804</v>
      </c>
      <c r="W30" s="7"/>
      <c r="X30" s="3"/>
      <c r="Y30" s="3"/>
      <c r="Z30" s="3" t="s">
        <v>1475</v>
      </c>
      <c r="AA30" s="3"/>
      <c r="AB30" s="3"/>
      <c r="AC30" s="3"/>
      <c r="AD30" s="3"/>
      <c r="AE30" s="3"/>
      <c r="AF30" s="3" t="s">
        <v>1380</v>
      </c>
      <c r="AG30" s="3" t="s">
        <v>7</v>
      </c>
      <c r="AH30" s="3"/>
      <c r="AI30" s="3"/>
      <c r="AJ30" s="3" t="s">
        <v>1797</v>
      </c>
      <c r="AK30" s="3" t="s">
        <v>1382</v>
      </c>
      <c r="AL30" s="3"/>
      <c r="AM30" s="3"/>
      <c r="AN30" s="7" t="s">
        <v>1805</v>
      </c>
    </row>
    <row r="31" spans="1:40" ht="60" customHeight="1" x14ac:dyDescent="0.2">
      <c r="A31" s="3" t="s">
        <v>1806</v>
      </c>
      <c r="B31" s="3" t="s">
        <v>1546</v>
      </c>
      <c r="C31" s="3" t="s">
        <v>1533</v>
      </c>
      <c r="D31" s="3" t="s">
        <v>1807</v>
      </c>
      <c r="E31" s="3" t="s">
        <v>1808</v>
      </c>
      <c r="F31" s="3" t="s">
        <v>1788</v>
      </c>
      <c r="G31" s="3" t="s">
        <v>1789</v>
      </c>
      <c r="H31" s="3" t="s">
        <v>1809</v>
      </c>
      <c r="I31" s="3" t="s">
        <v>1810</v>
      </c>
      <c r="J31" s="3" t="s">
        <v>1485</v>
      </c>
      <c r="K31" s="3" t="s">
        <v>1730</v>
      </c>
      <c r="L31" s="3" t="s">
        <v>1811</v>
      </c>
      <c r="M31" s="3" t="s">
        <v>1792</v>
      </c>
      <c r="N31" s="3" t="s">
        <v>1468</v>
      </c>
      <c r="O31" s="3" t="s">
        <v>1793</v>
      </c>
      <c r="P31" s="3" t="s">
        <v>1794</v>
      </c>
      <c r="Q31" s="3" t="s">
        <v>1471</v>
      </c>
      <c r="R31" s="3" t="s">
        <v>1471</v>
      </c>
      <c r="S31" s="3"/>
      <c r="T31" s="3" t="s">
        <v>1471</v>
      </c>
      <c r="U31" s="3"/>
      <c r="V31" s="3"/>
      <c r="W31" s="3"/>
      <c r="X31" s="3"/>
      <c r="Y31" s="3"/>
      <c r="Z31" s="3" t="s">
        <v>1475</v>
      </c>
      <c r="AA31" s="3"/>
      <c r="AB31" s="3"/>
      <c r="AC31" s="3"/>
      <c r="AD31" s="3"/>
      <c r="AE31" s="3" t="s">
        <v>1812</v>
      </c>
      <c r="AF31" s="3" t="s">
        <v>1380</v>
      </c>
      <c r="AG31" s="3" t="s">
        <v>7</v>
      </c>
      <c r="AH31" s="3"/>
      <c r="AI31" s="3"/>
      <c r="AJ31" s="3" t="s">
        <v>1797</v>
      </c>
      <c r="AK31" s="3" t="s">
        <v>1382</v>
      </c>
      <c r="AL31" s="3"/>
      <c r="AM31" s="3"/>
      <c r="AN31" s="8" t="s">
        <v>1813</v>
      </c>
    </row>
    <row r="32" spans="1:40" ht="60" customHeight="1" x14ac:dyDescent="0.2">
      <c r="A32" s="3" t="s">
        <v>481</v>
      </c>
      <c r="B32" s="3" t="s">
        <v>1546</v>
      </c>
      <c r="C32" s="3" t="s">
        <v>1533</v>
      </c>
      <c r="D32" s="3" t="s">
        <v>1814</v>
      </c>
      <c r="E32" s="3" t="s">
        <v>1815</v>
      </c>
      <c r="F32" s="3" t="s">
        <v>1788</v>
      </c>
      <c r="G32" s="3" t="s">
        <v>1789</v>
      </c>
      <c r="H32" s="3" t="s">
        <v>1816</v>
      </c>
      <c r="I32" s="3" t="s">
        <v>1817</v>
      </c>
      <c r="J32" s="3" t="s">
        <v>1485</v>
      </c>
      <c r="K32" s="3" t="s">
        <v>1646</v>
      </c>
      <c r="L32" s="3" t="s">
        <v>1818</v>
      </c>
      <c r="M32" s="3" t="s">
        <v>1792</v>
      </c>
      <c r="N32" s="3" t="s">
        <v>1468</v>
      </c>
      <c r="O32" s="3" t="s">
        <v>1793</v>
      </c>
      <c r="P32" s="3" t="s">
        <v>1794</v>
      </c>
      <c r="Q32" s="3" t="s">
        <v>1819</v>
      </c>
      <c r="R32" s="3" t="s">
        <v>1819</v>
      </c>
      <c r="S32" s="3"/>
      <c r="T32" s="3" t="s">
        <v>1819</v>
      </c>
      <c r="U32" s="3"/>
      <c r="V32" s="7" t="s">
        <v>1820</v>
      </c>
      <c r="W32" s="7"/>
      <c r="X32" s="3"/>
      <c r="Y32" s="3"/>
      <c r="Z32" s="3" t="s">
        <v>1475</v>
      </c>
      <c r="AA32" s="3"/>
      <c r="AB32" s="3"/>
      <c r="AC32" s="3"/>
      <c r="AD32" s="3"/>
      <c r="AE32" s="3" t="s">
        <v>1821</v>
      </c>
      <c r="AF32" s="3" t="s">
        <v>1380</v>
      </c>
      <c r="AG32" s="3" t="s">
        <v>7</v>
      </c>
      <c r="AH32" s="3"/>
      <c r="AI32" s="3"/>
      <c r="AJ32" s="3" t="s">
        <v>1797</v>
      </c>
      <c r="AK32" s="3" t="s">
        <v>1382</v>
      </c>
      <c r="AL32" s="3"/>
      <c r="AM32" s="3"/>
      <c r="AN32" s="7" t="s">
        <v>1822</v>
      </c>
    </row>
    <row r="33" spans="1:40" ht="60" customHeight="1" x14ac:dyDescent="0.2">
      <c r="A33" s="3" t="s">
        <v>1823</v>
      </c>
      <c r="B33" s="3" t="s">
        <v>1546</v>
      </c>
      <c r="C33" s="3" t="s">
        <v>1533</v>
      </c>
      <c r="D33" s="3" t="s">
        <v>1824</v>
      </c>
      <c r="E33" s="3" t="s">
        <v>1825</v>
      </c>
      <c r="F33" s="3" t="s">
        <v>1788</v>
      </c>
      <c r="G33" s="3" t="s">
        <v>1789</v>
      </c>
      <c r="H33" s="3" t="s">
        <v>1826</v>
      </c>
      <c r="I33" s="3" t="s">
        <v>1826</v>
      </c>
      <c r="J33" s="3" t="s">
        <v>1485</v>
      </c>
      <c r="K33" s="3" t="s">
        <v>1646</v>
      </c>
      <c r="L33" s="3" t="s">
        <v>1827</v>
      </c>
      <c r="M33" s="3" t="s">
        <v>1792</v>
      </c>
      <c r="N33" s="3" t="s">
        <v>1468</v>
      </c>
      <c r="O33" s="3" t="s">
        <v>1793</v>
      </c>
      <c r="P33" s="3" t="s">
        <v>1794</v>
      </c>
      <c r="Q33" s="3" t="s">
        <v>1471</v>
      </c>
      <c r="R33" s="3" t="s">
        <v>1471</v>
      </c>
      <c r="S33" s="3"/>
      <c r="T33" s="3" t="s">
        <v>1471</v>
      </c>
      <c r="U33" s="3"/>
      <c r="V33" s="3"/>
      <c r="W33" s="3"/>
      <c r="X33" s="3"/>
      <c r="Y33" s="3"/>
      <c r="Z33" s="3" t="s">
        <v>1475</v>
      </c>
      <c r="AA33" s="3"/>
      <c r="AB33" s="3"/>
      <c r="AC33" s="3"/>
      <c r="AD33" s="3"/>
      <c r="AE33" s="3"/>
      <c r="AF33" s="3" t="s">
        <v>1380</v>
      </c>
      <c r="AG33" s="3" t="s">
        <v>7</v>
      </c>
      <c r="AH33" s="3"/>
      <c r="AI33" s="3"/>
      <c r="AJ33" s="3" t="s">
        <v>1797</v>
      </c>
      <c r="AK33" s="3" t="s">
        <v>1382</v>
      </c>
      <c r="AL33" s="3"/>
      <c r="AM33" s="3"/>
      <c r="AN33" s="8" t="s">
        <v>1813</v>
      </c>
    </row>
    <row r="34" spans="1:40" ht="60" customHeight="1" x14ac:dyDescent="0.2">
      <c r="A34" s="3" t="s">
        <v>1828</v>
      </c>
      <c r="B34" s="3" t="s">
        <v>1546</v>
      </c>
      <c r="C34" s="3" t="s">
        <v>1533</v>
      </c>
      <c r="D34" s="3" t="s">
        <v>1829</v>
      </c>
      <c r="E34" s="3" t="s">
        <v>1830</v>
      </c>
      <c r="F34" s="3" t="s">
        <v>1788</v>
      </c>
      <c r="G34" s="3" t="s">
        <v>1831</v>
      </c>
      <c r="H34" s="3" t="s">
        <v>1832</v>
      </c>
      <c r="I34" s="3" t="s">
        <v>1833</v>
      </c>
      <c r="J34" s="3" t="s">
        <v>1485</v>
      </c>
      <c r="K34" s="3" t="s">
        <v>1730</v>
      </c>
      <c r="L34" s="3" t="s">
        <v>1834</v>
      </c>
      <c r="M34" s="3" t="s">
        <v>1792</v>
      </c>
      <c r="N34" s="3" t="s">
        <v>1468</v>
      </c>
      <c r="O34" s="3" t="s">
        <v>1835</v>
      </c>
      <c r="P34" s="3" t="s">
        <v>1794</v>
      </c>
      <c r="Q34" s="3" t="s">
        <v>1836</v>
      </c>
      <c r="R34" s="3" t="s">
        <v>1836</v>
      </c>
      <c r="S34" s="3"/>
      <c r="T34" s="3" t="s">
        <v>1836</v>
      </c>
      <c r="U34" s="3"/>
      <c r="V34" s="3"/>
      <c r="W34" s="3"/>
      <c r="X34" s="3"/>
      <c r="Y34" s="3"/>
      <c r="Z34" s="3" t="s">
        <v>1475</v>
      </c>
      <c r="AA34" s="3"/>
      <c r="AB34" s="3"/>
      <c r="AC34" s="3"/>
      <c r="AD34" s="3"/>
      <c r="AE34" s="3"/>
      <c r="AF34" s="3" t="s">
        <v>1380</v>
      </c>
      <c r="AG34" s="3" t="s">
        <v>7</v>
      </c>
      <c r="AH34" s="3"/>
      <c r="AI34" s="3"/>
      <c r="AJ34" s="3" t="s">
        <v>1837</v>
      </c>
      <c r="AK34" s="3" t="s">
        <v>1382</v>
      </c>
      <c r="AL34" s="3"/>
      <c r="AM34" s="3"/>
      <c r="AN34" s="8" t="s">
        <v>1813</v>
      </c>
    </row>
    <row r="35" spans="1:40" ht="60" customHeight="1" x14ac:dyDescent="0.2">
      <c r="A35" s="3" t="s">
        <v>1838</v>
      </c>
      <c r="B35" s="3" t="s">
        <v>1546</v>
      </c>
      <c r="C35" s="3" t="s">
        <v>1539</v>
      </c>
      <c r="D35" s="3" t="s">
        <v>1839</v>
      </c>
      <c r="E35" s="3" t="s">
        <v>1840</v>
      </c>
      <c r="F35" s="3" t="s">
        <v>1841</v>
      </c>
      <c r="G35" s="3" t="s">
        <v>1842</v>
      </c>
      <c r="H35" s="3" t="s">
        <v>1843</v>
      </c>
      <c r="I35" s="3" t="s">
        <v>1843</v>
      </c>
      <c r="J35" s="3" t="s">
        <v>1844</v>
      </c>
      <c r="K35" s="3" t="s">
        <v>1845</v>
      </c>
      <c r="L35" s="3" t="s">
        <v>1846</v>
      </c>
      <c r="M35" s="3" t="s">
        <v>1776</v>
      </c>
      <c r="N35" s="3" t="s">
        <v>1468</v>
      </c>
      <c r="O35" s="3" t="s">
        <v>1847</v>
      </c>
      <c r="P35" s="3" t="s">
        <v>1848</v>
      </c>
      <c r="Q35" s="3" t="s">
        <v>1849</v>
      </c>
      <c r="R35" s="3" t="s">
        <v>1849</v>
      </c>
      <c r="S35" s="3"/>
      <c r="T35" s="3" t="s">
        <v>1849</v>
      </c>
      <c r="U35" s="3"/>
      <c r="V35" s="3"/>
      <c r="W35" s="3"/>
      <c r="X35" s="3"/>
      <c r="Y35" s="3"/>
      <c r="Z35" s="3" t="s">
        <v>1850</v>
      </c>
      <c r="AA35" s="3"/>
      <c r="AB35" s="3"/>
      <c r="AC35" s="3"/>
      <c r="AD35" s="3"/>
      <c r="AE35" s="3"/>
      <c r="AF35" s="3" t="s">
        <v>1380</v>
      </c>
      <c r="AG35" s="3" t="s">
        <v>7</v>
      </c>
      <c r="AH35" s="3" t="s">
        <v>1851</v>
      </c>
      <c r="AI35" s="6" t="s">
        <v>1852</v>
      </c>
      <c r="AJ35" s="3" t="s">
        <v>1853</v>
      </c>
      <c r="AK35" s="3" t="s">
        <v>1382</v>
      </c>
      <c r="AL35" s="3"/>
      <c r="AM35" s="3"/>
      <c r="AN35" s="6" t="s">
        <v>1854</v>
      </c>
    </row>
    <row r="36" spans="1:40" ht="60" customHeight="1" x14ac:dyDescent="0.2">
      <c r="A36" s="3" t="s">
        <v>619</v>
      </c>
      <c r="B36" s="3" t="s">
        <v>1546</v>
      </c>
      <c r="C36" s="3" t="s">
        <v>1539</v>
      </c>
      <c r="D36" s="3" t="s">
        <v>1855</v>
      </c>
      <c r="E36" s="3" t="s">
        <v>1856</v>
      </c>
      <c r="F36" s="3" t="s">
        <v>1841</v>
      </c>
      <c r="G36" s="3" t="s">
        <v>1842</v>
      </c>
      <c r="H36" s="3" t="s">
        <v>1857</v>
      </c>
      <c r="I36" s="3" t="s">
        <v>1857</v>
      </c>
      <c r="J36" s="3" t="s">
        <v>1858</v>
      </c>
      <c r="K36" s="3" t="s">
        <v>1465</v>
      </c>
      <c r="L36" s="3" t="s">
        <v>1859</v>
      </c>
      <c r="M36" s="3" t="s">
        <v>1776</v>
      </c>
      <c r="N36" s="3" t="s">
        <v>1468</v>
      </c>
      <c r="O36" s="3" t="s">
        <v>1847</v>
      </c>
      <c r="P36" s="3" t="s">
        <v>1848</v>
      </c>
      <c r="Q36" s="3" t="s">
        <v>1860</v>
      </c>
      <c r="R36" s="3" t="s">
        <v>1860</v>
      </c>
      <c r="S36" s="3"/>
      <c r="T36" s="3" t="s">
        <v>1860</v>
      </c>
      <c r="U36" s="3"/>
      <c r="V36" s="7" t="s">
        <v>1861</v>
      </c>
      <c r="W36" s="7" t="s">
        <v>1862</v>
      </c>
      <c r="X36" s="3"/>
      <c r="Y36" s="3"/>
      <c r="Z36" s="3" t="s">
        <v>1850</v>
      </c>
      <c r="AA36" s="3"/>
      <c r="AB36" s="3"/>
      <c r="AC36" s="3"/>
      <c r="AD36" s="3"/>
      <c r="AE36" s="3" t="s">
        <v>1863</v>
      </c>
      <c r="AF36" s="3" t="s">
        <v>1380</v>
      </c>
      <c r="AG36" s="3" t="s">
        <v>7</v>
      </c>
      <c r="AH36" s="3" t="s">
        <v>1864</v>
      </c>
      <c r="AI36" s="6" t="s">
        <v>1865</v>
      </c>
      <c r="AJ36" s="3" t="s">
        <v>1853</v>
      </c>
      <c r="AK36" s="3" t="s">
        <v>1382</v>
      </c>
      <c r="AL36" s="3"/>
      <c r="AM36" s="3"/>
      <c r="AN36" s="7" t="s">
        <v>1866</v>
      </c>
    </row>
    <row r="37" spans="1:40" ht="60" customHeight="1" x14ac:dyDescent="0.2">
      <c r="A37" s="3" t="s">
        <v>613</v>
      </c>
      <c r="B37" s="3" t="s">
        <v>1546</v>
      </c>
      <c r="C37" s="3" t="s">
        <v>1539</v>
      </c>
      <c r="D37" s="3" t="s">
        <v>1867</v>
      </c>
      <c r="E37" s="3" t="s">
        <v>1868</v>
      </c>
      <c r="F37" s="3" t="s">
        <v>1841</v>
      </c>
      <c r="G37" s="3" t="s">
        <v>1842</v>
      </c>
      <c r="H37" s="3" t="s">
        <v>1869</v>
      </c>
      <c r="I37" s="3" t="s">
        <v>1870</v>
      </c>
      <c r="J37" s="3" t="s">
        <v>1485</v>
      </c>
      <c r="K37" s="3" t="s">
        <v>1783</v>
      </c>
      <c r="L37" s="3" t="s">
        <v>1767</v>
      </c>
      <c r="M37" s="3" t="s">
        <v>1776</v>
      </c>
      <c r="N37" s="3" t="s">
        <v>1468</v>
      </c>
      <c r="O37" s="3" t="s">
        <v>1847</v>
      </c>
      <c r="P37" s="3" t="s">
        <v>1848</v>
      </c>
      <c r="Q37" s="3" t="s">
        <v>1471</v>
      </c>
      <c r="R37" s="3" t="s">
        <v>1471</v>
      </c>
      <c r="S37" s="3"/>
      <c r="T37" s="3" t="s">
        <v>1471</v>
      </c>
      <c r="U37" s="3"/>
      <c r="V37" s="3"/>
      <c r="W37" s="3" t="s">
        <v>1871</v>
      </c>
      <c r="X37" s="3"/>
      <c r="Y37" s="3"/>
      <c r="Z37" s="3" t="s">
        <v>1850</v>
      </c>
      <c r="AA37" s="3"/>
      <c r="AB37" s="3"/>
      <c r="AC37" s="3"/>
      <c r="AD37" s="3"/>
      <c r="AE37" s="3" t="s">
        <v>1872</v>
      </c>
      <c r="AF37" s="3" t="s">
        <v>1380</v>
      </c>
      <c r="AG37" s="3" t="s">
        <v>7</v>
      </c>
      <c r="AH37" s="3" t="s">
        <v>1873</v>
      </c>
      <c r="AI37" s="6" t="s">
        <v>1874</v>
      </c>
      <c r="AJ37" s="3" t="s">
        <v>1853</v>
      </c>
      <c r="AK37" s="3" t="s">
        <v>1382</v>
      </c>
      <c r="AL37" s="3"/>
      <c r="AM37" s="3"/>
      <c r="AN37" s="6" t="s">
        <v>1875</v>
      </c>
    </row>
    <row r="38" spans="1:40" ht="60" customHeight="1" x14ac:dyDescent="0.2">
      <c r="A38" s="3" t="s">
        <v>1876</v>
      </c>
      <c r="B38" s="3" t="s">
        <v>1546</v>
      </c>
      <c r="C38" s="3" t="s">
        <v>1539</v>
      </c>
      <c r="D38" s="3" t="s">
        <v>1877</v>
      </c>
      <c r="E38" s="3" t="s">
        <v>1878</v>
      </c>
      <c r="F38" s="3" t="s">
        <v>1841</v>
      </c>
      <c r="G38" s="3" t="s">
        <v>1879</v>
      </c>
      <c r="H38" s="3" t="s">
        <v>1880</v>
      </c>
      <c r="I38" s="3" t="s">
        <v>1881</v>
      </c>
      <c r="J38" s="3" t="s">
        <v>1485</v>
      </c>
      <c r="K38" s="3" t="s">
        <v>1845</v>
      </c>
      <c r="L38" s="3" t="s">
        <v>1767</v>
      </c>
      <c r="M38" s="3" t="s">
        <v>1776</v>
      </c>
      <c r="N38" s="3" t="s">
        <v>1468</v>
      </c>
      <c r="O38" s="3" t="s">
        <v>1882</v>
      </c>
      <c r="P38" s="3" t="s">
        <v>1848</v>
      </c>
      <c r="Q38" s="3" t="s">
        <v>1883</v>
      </c>
      <c r="R38" s="3" t="s">
        <v>1883</v>
      </c>
      <c r="S38" s="3"/>
      <c r="T38" s="3" t="s">
        <v>1883</v>
      </c>
      <c r="U38" s="3"/>
      <c r="V38" s="7" t="s">
        <v>1884</v>
      </c>
      <c r="W38" s="7"/>
      <c r="X38" s="3"/>
      <c r="Y38" s="3"/>
      <c r="Z38" s="3" t="s">
        <v>1850</v>
      </c>
      <c r="AA38" s="3"/>
      <c r="AB38" s="3"/>
      <c r="AC38" s="3"/>
      <c r="AD38" s="3"/>
      <c r="AE38" s="3" t="s">
        <v>1885</v>
      </c>
      <c r="AF38" s="3" t="s">
        <v>1380</v>
      </c>
      <c r="AG38" s="3" t="s">
        <v>7</v>
      </c>
      <c r="AH38" s="3" t="s">
        <v>1886</v>
      </c>
      <c r="AI38" s="6" t="s">
        <v>1887</v>
      </c>
      <c r="AJ38" s="3" t="s">
        <v>1888</v>
      </c>
      <c r="AK38" s="3" t="s">
        <v>1382</v>
      </c>
      <c r="AL38" s="3"/>
      <c r="AM38" s="3"/>
      <c r="AN38" s="7" t="s">
        <v>1889</v>
      </c>
    </row>
    <row r="39" spans="1:40" ht="60" customHeight="1" x14ac:dyDescent="0.2">
      <c r="A39" s="3" t="s">
        <v>1890</v>
      </c>
      <c r="B39" s="3" t="s">
        <v>1546</v>
      </c>
      <c r="C39" s="3" t="s">
        <v>1539</v>
      </c>
      <c r="D39" s="3" t="s">
        <v>1891</v>
      </c>
      <c r="E39" s="3" t="s">
        <v>1892</v>
      </c>
      <c r="F39" s="3" t="s">
        <v>1841</v>
      </c>
      <c r="G39" s="3" t="s">
        <v>1842</v>
      </c>
      <c r="H39" s="3" t="s">
        <v>1893</v>
      </c>
      <c r="I39" s="3" t="s">
        <v>1893</v>
      </c>
      <c r="J39" s="3" t="s">
        <v>1485</v>
      </c>
      <c r="K39" s="3" t="s">
        <v>1465</v>
      </c>
      <c r="L39" s="3" t="s">
        <v>1767</v>
      </c>
      <c r="M39" s="3" t="s">
        <v>1776</v>
      </c>
      <c r="N39" s="3" t="s">
        <v>1468</v>
      </c>
      <c r="O39" s="3" t="s">
        <v>1847</v>
      </c>
      <c r="P39" s="3" t="s">
        <v>1848</v>
      </c>
      <c r="Q39" s="3" t="s">
        <v>1471</v>
      </c>
      <c r="R39" s="3" t="s">
        <v>1471</v>
      </c>
      <c r="S39" s="3"/>
      <c r="T39" s="3" t="s">
        <v>1471</v>
      </c>
      <c r="U39" s="3"/>
      <c r="V39" s="3"/>
      <c r="W39" s="3"/>
      <c r="X39" s="3"/>
      <c r="Y39" s="3"/>
      <c r="Z39" s="3" t="s">
        <v>1850</v>
      </c>
      <c r="AA39" s="3"/>
      <c r="AB39" s="3"/>
      <c r="AC39" s="3"/>
      <c r="AD39" s="3"/>
      <c r="AE39" s="3" t="s">
        <v>1770</v>
      </c>
      <c r="AF39" s="3" t="s">
        <v>1380</v>
      </c>
      <c r="AG39" s="3" t="s">
        <v>7</v>
      </c>
      <c r="AH39" s="3" t="s">
        <v>1894</v>
      </c>
      <c r="AI39" s="6" t="s">
        <v>1895</v>
      </c>
      <c r="AJ39" s="3" t="s">
        <v>1853</v>
      </c>
      <c r="AK39" s="3" t="s">
        <v>1382</v>
      </c>
      <c r="AL39" s="3"/>
      <c r="AM39" s="3"/>
      <c r="AN39" s="6" t="s">
        <v>1854</v>
      </c>
    </row>
    <row r="40" spans="1:40" ht="60" customHeight="1" x14ac:dyDescent="0.2">
      <c r="A40" s="3" t="s">
        <v>1896</v>
      </c>
      <c r="B40" s="3" t="s">
        <v>1546</v>
      </c>
      <c r="C40" s="3" t="s">
        <v>1539</v>
      </c>
      <c r="D40" s="3" t="s">
        <v>1897</v>
      </c>
      <c r="E40" s="3" t="s">
        <v>1898</v>
      </c>
      <c r="F40" s="3" t="s">
        <v>1841</v>
      </c>
      <c r="G40" s="3" t="s">
        <v>1842</v>
      </c>
      <c r="H40" s="3" t="s">
        <v>1899</v>
      </c>
      <c r="I40" s="3" t="s">
        <v>1899</v>
      </c>
      <c r="J40" s="3" t="s">
        <v>1775</v>
      </c>
      <c r="K40" s="3" t="s">
        <v>1465</v>
      </c>
      <c r="L40" s="3" t="s">
        <v>1432</v>
      </c>
      <c r="M40" s="3" t="s">
        <v>1776</v>
      </c>
      <c r="N40" s="3" t="s">
        <v>1468</v>
      </c>
      <c r="O40" s="3" t="s">
        <v>1847</v>
      </c>
      <c r="P40" s="3" t="s">
        <v>1848</v>
      </c>
      <c r="Q40" s="3" t="s">
        <v>1900</v>
      </c>
      <c r="R40" s="3" t="s">
        <v>1900</v>
      </c>
      <c r="S40" s="3"/>
      <c r="T40" s="3" t="s">
        <v>1900</v>
      </c>
      <c r="U40" s="3"/>
      <c r="V40" s="7" t="s">
        <v>1901</v>
      </c>
      <c r="W40" s="7"/>
      <c r="X40" s="3"/>
      <c r="Y40" s="3"/>
      <c r="Z40" s="3" t="s">
        <v>1850</v>
      </c>
      <c r="AA40" s="3"/>
      <c r="AB40" s="3"/>
      <c r="AC40" s="3"/>
      <c r="AD40" s="3"/>
      <c r="AE40" s="3" t="s">
        <v>1902</v>
      </c>
      <c r="AF40" s="3" t="s">
        <v>1380</v>
      </c>
      <c r="AG40" s="3" t="s">
        <v>7</v>
      </c>
      <c r="AH40" s="3" t="s">
        <v>1903</v>
      </c>
      <c r="AI40" s="6" t="s">
        <v>1904</v>
      </c>
      <c r="AJ40" s="3" t="s">
        <v>1853</v>
      </c>
      <c r="AK40" s="3" t="s">
        <v>1382</v>
      </c>
      <c r="AL40" s="3"/>
      <c r="AM40" s="3"/>
      <c r="AN40" s="7" t="s">
        <v>1905</v>
      </c>
    </row>
    <row r="41" spans="1:40" ht="60" customHeight="1" x14ac:dyDescent="0.2">
      <c r="A41" s="3" t="s">
        <v>1906</v>
      </c>
      <c r="B41" s="3" t="s">
        <v>1546</v>
      </c>
      <c r="C41" s="3" t="s">
        <v>1539</v>
      </c>
      <c r="D41" s="3" t="s">
        <v>1907</v>
      </c>
      <c r="E41" s="3" t="s">
        <v>1908</v>
      </c>
      <c r="F41" s="3" t="s">
        <v>1841</v>
      </c>
      <c r="G41" s="3" t="s">
        <v>1842</v>
      </c>
      <c r="H41" s="3" t="s">
        <v>1909</v>
      </c>
      <c r="I41" s="3" t="s">
        <v>1909</v>
      </c>
      <c r="J41" s="3" t="s">
        <v>1775</v>
      </c>
      <c r="K41" s="3" t="s">
        <v>1465</v>
      </c>
      <c r="L41" s="3" t="s">
        <v>1910</v>
      </c>
      <c r="M41" s="3" t="s">
        <v>1776</v>
      </c>
      <c r="N41" s="3" t="s">
        <v>1468</v>
      </c>
      <c r="O41" s="3" t="s">
        <v>1847</v>
      </c>
      <c r="P41" s="3" t="s">
        <v>1848</v>
      </c>
      <c r="Q41" s="3" t="s">
        <v>1471</v>
      </c>
      <c r="R41" s="3" t="s">
        <v>1471</v>
      </c>
      <c r="S41" s="3"/>
      <c r="T41" s="3" t="s">
        <v>1471</v>
      </c>
      <c r="U41" s="3"/>
      <c r="V41" s="7" t="s">
        <v>1911</v>
      </c>
      <c r="W41" s="7"/>
      <c r="X41" s="3"/>
      <c r="Y41" s="3"/>
      <c r="Z41" s="3" t="s">
        <v>1850</v>
      </c>
      <c r="AA41" s="3"/>
      <c r="AB41" s="3"/>
      <c r="AC41" s="3"/>
      <c r="AD41" s="3"/>
      <c r="AE41" s="3"/>
      <c r="AF41" s="3" t="s">
        <v>1380</v>
      </c>
      <c r="AG41" s="3" t="s">
        <v>7</v>
      </c>
      <c r="AH41" s="3" t="s">
        <v>1912</v>
      </c>
      <c r="AI41" s="6" t="s">
        <v>1913</v>
      </c>
      <c r="AJ41" s="3" t="s">
        <v>1853</v>
      </c>
      <c r="AK41" s="3" t="s">
        <v>1382</v>
      </c>
      <c r="AL41" s="3"/>
      <c r="AM41" s="3"/>
      <c r="AN41" s="7" t="s">
        <v>1914</v>
      </c>
    </row>
    <row r="42" spans="1:40" ht="60" customHeight="1" x14ac:dyDescent="0.2">
      <c r="A42" s="3" t="s">
        <v>863</v>
      </c>
      <c r="B42" s="3" t="s">
        <v>1546</v>
      </c>
      <c r="C42" s="3" t="s">
        <v>1539</v>
      </c>
      <c r="D42" s="3" t="s">
        <v>1915</v>
      </c>
      <c r="E42" s="3" t="s">
        <v>1916</v>
      </c>
      <c r="F42" s="3" t="s">
        <v>1841</v>
      </c>
      <c r="G42" s="3" t="s">
        <v>1842</v>
      </c>
      <c r="H42" s="3" t="s">
        <v>1917</v>
      </c>
      <c r="I42" s="3" t="s">
        <v>1918</v>
      </c>
      <c r="J42" s="3" t="s">
        <v>1858</v>
      </c>
      <c r="K42" s="3" t="s">
        <v>1465</v>
      </c>
      <c r="L42" s="3" t="s">
        <v>1919</v>
      </c>
      <c r="M42" s="3" t="s">
        <v>1776</v>
      </c>
      <c r="N42" s="3" t="s">
        <v>1468</v>
      </c>
      <c r="O42" s="3" t="s">
        <v>1847</v>
      </c>
      <c r="P42" s="3" t="s">
        <v>1848</v>
      </c>
      <c r="Q42" s="3" t="s">
        <v>1471</v>
      </c>
      <c r="R42" s="3" t="s">
        <v>1471</v>
      </c>
      <c r="S42" s="3"/>
      <c r="T42" s="3" t="s">
        <v>1471</v>
      </c>
      <c r="U42" s="3"/>
      <c r="V42" s="7" t="s">
        <v>1920</v>
      </c>
      <c r="W42" s="7"/>
      <c r="X42" s="3"/>
      <c r="Y42" s="3"/>
      <c r="Z42" s="3" t="s">
        <v>1850</v>
      </c>
      <c r="AA42" s="3"/>
      <c r="AB42" s="3"/>
      <c r="AC42" s="3"/>
      <c r="AD42" s="3"/>
      <c r="AE42" s="3"/>
      <c r="AF42" s="3" t="s">
        <v>1380</v>
      </c>
      <c r="AG42" s="3" t="s">
        <v>7</v>
      </c>
      <c r="AH42" s="3"/>
      <c r="AI42" s="3"/>
      <c r="AJ42" s="3" t="s">
        <v>1853</v>
      </c>
      <c r="AK42" s="3" t="s">
        <v>1382</v>
      </c>
      <c r="AL42" s="3"/>
      <c r="AM42" s="3"/>
      <c r="AN42" s="7" t="s">
        <v>1921</v>
      </c>
    </row>
    <row r="43" spans="1:40" ht="60" customHeight="1" x14ac:dyDescent="0.2">
      <c r="A43" s="3" t="s">
        <v>1922</v>
      </c>
      <c r="B43" s="3" t="s">
        <v>1546</v>
      </c>
      <c r="C43" s="3" t="s">
        <v>1539</v>
      </c>
      <c r="D43" s="3" t="s">
        <v>1923</v>
      </c>
      <c r="E43" s="3" t="s">
        <v>1924</v>
      </c>
      <c r="F43" s="3" t="s">
        <v>1841</v>
      </c>
      <c r="G43" s="3" t="s">
        <v>1842</v>
      </c>
      <c r="H43" s="3" t="s">
        <v>1917</v>
      </c>
      <c r="I43" s="3" t="s">
        <v>1918</v>
      </c>
      <c r="J43" s="3" t="s">
        <v>1858</v>
      </c>
      <c r="K43" s="3" t="s">
        <v>1465</v>
      </c>
      <c r="L43" s="3" t="s">
        <v>1919</v>
      </c>
      <c r="M43" s="3" t="s">
        <v>1776</v>
      </c>
      <c r="N43" s="3" t="s">
        <v>1468</v>
      </c>
      <c r="O43" s="3" t="s">
        <v>1847</v>
      </c>
      <c r="P43" s="3" t="s">
        <v>1848</v>
      </c>
      <c r="Q43" s="3" t="s">
        <v>1471</v>
      </c>
      <c r="R43" s="3" t="s">
        <v>1471</v>
      </c>
      <c r="S43" s="3"/>
      <c r="T43" s="3" t="s">
        <v>1471</v>
      </c>
      <c r="U43" s="3"/>
      <c r="V43" s="3"/>
      <c r="W43" s="3"/>
      <c r="X43" s="3"/>
      <c r="Y43" s="3"/>
      <c r="Z43" s="3" t="s">
        <v>1850</v>
      </c>
      <c r="AA43" s="3"/>
      <c r="AB43" s="3"/>
      <c r="AC43" s="3"/>
      <c r="AD43" s="3"/>
      <c r="AE43" s="3"/>
      <c r="AF43" s="3" t="s">
        <v>1380</v>
      </c>
      <c r="AG43" s="3" t="s">
        <v>7</v>
      </c>
      <c r="AH43" s="3"/>
      <c r="AI43" s="3"/>
      <c r="AJ43" s="3" t="s">
        <v>1853</v>
      </c>
      <c r="AK43" s="3" t="s">
        <v>1382</v>
      </c>
      <c r="AL43" s="3"/>
      <c r="AM43" s="3"/>
      <c r="AN43" s="6" t="s">
        <v>1925</v>
      </c>
    </row>
    <row r="44" spans="1:40" ht="60" customHeight="1" x14ac:dyDescent="0.2">
      <c r="A44" s="3" t="s">
        <v>1926</v>
      </c>
      <c r="B44" s="3" t="s">
        <v>1546</v>
      </c>
      <c r="C44" s="3" t="s">
        <v>1639</v>
      </c>
      <c r="D44" s="3" t="s">
        <v>1927</v>
      </c>
      <c r="E44" s="3" t="s">
        <v>1928</v>
      </c>
      <c r="F44" s="3" t="s">
        <v>1743</v>
      </c>
      <c r="G44" s="3" t="s">
        <v>1754</v>
      </c>
      <c r="H44" s="3" t="s">
        <v>1929</v>
      </c>
      <c r="I44" s="3" t="s">
        <v>1929</v>
      </c>
      <c r="J44" s="3" t="s">
        <v>1485</v>
      </c>
      <c r="K44" s="3" t="s">
        <v>1465</v>
      </c>
      <c r="L44" s="3" t="s">
        <v>1930</v>
      </c>
      <c r="M44" s="3" t="s">
        <v>1747</v>
      </c>
      <c r="N44" s="3" t="s">
        <v>1468</v>
      </c>
      <c r="O44" s="3" t="s">
        <v>1757</v>
      </c>
      <c r="P44" s="3" t="s">
        <v>1748</v>
      </c>
      <c r="Q44" s="3" t="s">
        <v>1931</v>
      </c>
      <c r="R44" s="3" t="s">
        <v>1931</v>
      </c>
      <c r="S44" s="3"/>
      <c r="T44" s="3" t="s">
        <v>1931</v>
      </c>
      <c r="U44" s="3"/>
      <c r="V44" s="3"/>
      <c r="W44" s="3"/>
      <c r="X44" s="3"/>
      <c r="Y44" s="3"/>
      <c r="Z44" s="3" t="s">
        <v>1475</v>
      </c>
      <c r="AA44" s="3"/>
      <c r="AB44" s="3"/>
      <c r="AC44" s="3"/>
      <c r="AD44" s="3"/>
      <c r="AE44" s="3"/>
      <c r="AF44" s="3" t="s">
        <v>1380</v>
      </c>
      <c r="AG44" s="3" t="s">
        <v>7</v>
      </c>
      <c r="AH44" s="3"/>
      <c r="AI44" s="3"/>
      <c r="AJ44" s="3" t="s">
        <v>1761</v>
      </c>
      <c r="AK44" s="3" t="s">
        <v>1382</v>
      </c>
      <c r="AL44" s="3"/>
      <c r="AM44" s="3"/>
      <c r="AN44" s="8" t="s">
        <v>1750</v>
      </c>
    </row>
    <row r="45" spans="1:40" ht="60" customHeight="1" x14ac:dyDescent="0.2">
      <c r="A45" s="3" t="s">
        <v>1932</v>
      </c>
      <c r="B45" s="3" t="s">
        <v>1546</v>
      </c>
      <c r="C45" s="3" t="s">
        <v>1639</v>
      </c>
      <c r="D45" s="3" t="s">
        <v>1933</v>
      </c>
      <c r="E45" s="3" t="s">
        <v>1934</v>
      </c>
      <c r="F45" s="3" t="s">
        <v>1743</v>
      </c>
      <c r="G45" s="3" t="s">
        <v>1754</v>
      </c>
      <c r="H45" s="3" t="s">
        <v>1935</v>
      </c>
      <c r="I45" s="3" t="s">
        <v>1935</v>
      </c>
      <c r="J45" s="3" t="s">
        <v>1485</v>
      </c>
      <c r="K45" s="3" t="s">
        <v>1465</v>
      </c>
      <c r="L45" s="3" t="s">
        <v>1936</v>
      </c>
      <c r="M45" s="3" t="s">
        <v>1747</v>
      </c>
      <c r="N45" s="3" t="s">
        <v>1468</v>
      </c>
      <c r="O45" s="3" t="s">
        <v>1757</v>
      </c>
      <c r="P45" s="3" t="s">
        <v>1748</v>
      </c>
      <c r="Q45" s="3" t="s">
        <v>1471</v>
      </c>
      <c r="R45" s="3" t="s">
        <v>1471</v>
      </c>
      <c r="S45" s="3"/>
      <c r="T45" s="3" t="s">
        <v>1471</v>
      </c>
      <c r="U45" s="3"/>
      <c r="V45" s="3"/>
      <c r="W45" s="3"/>
      <c r="X45" s="3"/>
      <c r="Y45" s="3"/>
      <c r="Z45" s="3" t="s">
        <v>1475</v>
      </c>
      <c r="AA45" s="3"/>
      <c r="AB45" s="3"/>
      <c r="AC45" s="3"/>
      <c r="AD45" s="3"/>
      <c r="AE45" s="3"/>
      <c r="AF45" s="3" t="s">
        <v>1380</v>
      </c>
      <c r="AG45" s="3" t="s">
        <v>7</v>
      </c>
      <c r="AH45" s="3"/>
      <c r="AI45" s="3"/>
      <c r="AJ45" s="3" t="s">
        <v>1761</v>
      </c>
      <c r="AK45" s="3" t="s">
        <v>1382</v>
      </c>
      <c r="AL45" s="3"/>
      <c r="AM45" s="3"/>
      <c r="AN45" s="8" t="s">
        <v>1750</v>
      </c>
    </row>
    <row r="46" spans="1:40" ht="60" customHeight="1" x14ac:dyDescent="0.2">
      <c r="A46" s="3" t="s">
        <v>1937</v>
      </c>
      <c r="B46" s="3" t="s">
        <v>1546</v>
      </c>
      <c r="C46" s="3" t="s">
        <v>1639</v>
      </c>
      <c r="D46" s="3" t="s">
        <v>1938</v>
      </c>
      <c r="E46" s="3" t="s">
        <v>1939</v>
      </c>
      <c r="F46" s="3" t="s">
        <v>1743</v>
      </c>
      <c r="G46" s="3" t="s">
        <v>1754</v>
      </c>
      <c r="H46" s="3" t="s">
        <v>1940</v>
      </c>
      <c r="I46" s="3" t="s">
        <v>1940</v>
      </c>
      <c r="J46" s="3" t="s">
        <v>1485</v>
      </c>
      <c r="K46" s="3" t="s">
        <v>1465</v>
      </c>
      <c r="L46" s="3" t="s">
        <v>1941</v>
      </c>
      <c r="M46" s="3" t="s">
        <v>1776</v>
      </c>
      <c r="N46" s="3" t="s">
        <v>1468</v>
      </c>
      <c r="O46" s="3" t="s">
        <v>1757</v>
      </c>
      <c r="P46" s="3" t="s">
        <v>1748</v>
      </c>
      <c r="Q46" s="3" t="s">
        <v>1471</v>
      </c>
      <c r="R46" s="3" t="s">
        <v>1471</v>
      </c>
      <c r="S46" s="3"/>
      <c r="T46" s="3" t="s">
        <v>1471</v>
      </c>
      <c r="U46" s="3"/>
      <c r="V46" s="3"/>
      <c r="W46" s="3"/>
      <c r="X46" s="3"/>
      <c r="Y46" s="3"/>
      <c r="Z46" s="3" t="s">
        <v>1475</v>
      </c>
      <c r="AA46" s="3"/>
      <c r="AB46" s="3"/>
      <c r="AC46" s="3"/>
      <c r="AD46" s="3"/>
      <c r="AE46" s="3"/>
      <c r="AF46" s="3" t="s">
        <v>1380</v>
      </c>
      <c r="AG46" s="3" t="s">
        <v>7</v>
      </c>
      <c r="AH46" s="3"/>
      <c r="AI46" s="3"/>
      <c r="AJ46" s="3" t="s">
        <v>1761</v>
      </c>
      <c r="AK46" s="3" t="s">
        <v>1382</v>
      </c>
      <c r="AL46" s="3"/>
      <c r="AM46" s="3"/>
      <c r="AN46" s="8" t="s">
        <v>1750</v>
      </c>
    </row>
    <row r="47" spans="1:40" ht="60" customHeight="1" x14ac:dyDescent="0.2">
      <c r="A47" s="3" t="s">
        <v>1942</v>
      </c>
      <c r="B47" s="3" t="s">
        <v>1546</v>
      </c>
      <c r="C47" s="3" t="s">
        <v>1537</v>
      </c>
      <c r="D47" s="3" t="s">
        <v>1943</v>
      </c>
      <c r="E47" s="3" t="s">
        <v>1944</v>
      </c>
      <c r="F47" s="3" t="s">
        <v>1788</v>
      </c>
      <c r="G47" s="3" t="s">
        <v>1789</v>
      </c>
      <c r="H47" s="3" t="s">
        <v>1945</v>
      </c>
      <c r="I47" s="3" t="s">
        <v>1945</v>
      </c>
      <c r="J47" s="3" t="s">
        <v>1485</v>
      </c>
      <c r="K47" s="3" t="s">
        <v>1465</v>
      </c>
      <c r="L47" s="3" t="s">
        <v>1791</v>
      </c>
      <c r="M47" s="3" t="s">
        <v>1467</v>
      </c>
      <c r="N47" s="3" t="s">
        <v>1468</v>
      </c>
      <c r="O47" s="3" t="s">
        <v>1793</v>
      </c>
      <c r="P47" s="3" t="s">
        <v>1794</v>
      </c>
      <c r="Q47" s="3" t="s">
        <v>1471</v>
      </c>
      <c r="R47" s="3" t="s">
        <v>1471</v>
      </c>
      <c r="S47" s="3"/>
      <c r="T47" s="3" t="s">
        <v>1471</v>
      </c>
      <c r="U47" s="3"/>
      <c r="V47" s="7" t="s">
        <v>1946</v>
      </c>
      <c r="W47" s="7"/>
      <c r="X47" s="3"/>
      <c r="Y47" s="3"/>
      <c r="Z47" s="3" t="s">
        <v>1475</v>
      </c>
      <c r="AA47" s="3"/>
      <c r="AB47" s="3"/>
      <c r="AC47" s="3"/>
      <c r="AD47" s="3"/>
      <c r="AE47" s="3" t="s">
        <v>1947</v>
      </c>
      <c r="AF47" s="3" t="s">
        <v>1380</v>
      </c>
      <c r="AG47" s="3" t="s">
        <v>7</v>
      </c>
      <c r="AH47" s="3" t="s">
        <v>1948</v>
      </c>
      <c r="AI47" s="6" t="s">
        <v>1949</v>
      </c>
      <c r="AJ47" s="3" t="s">
        <v>1797</v>
      </c>
      <c r="AK47" s="3" t="s">
        <v>1382</v>
      </c>
      <c r="AL47" s="3"/>
      <c r="AM47" s="3"/>
      <c r="AN47" s="7" t="s">
        <v>1950</v>
      </c>
    </row>
    <row r="48" spans="1:40" ht="60" customHeight="1" x14ac:dyDescent="0.2">
      <c r="A48" s="3" t="s">
        <v>1951</v>
      </c>
      <c r="B48" s="3" t="s">
        <v>1546</v>
      </c>
      <c r="C48" s="3" t="s">
        <v>1537</v>
      </c>
      <c r="D48" s="3" t="s">
        <v>1952</v>
      </c>
      <c r="E48" s="3" t="s">
        <v>1953</v>
      </c>
      <c r="F48" s="3" t="s">
        <v>1788</v>
      </c>
      <c r="G48" s="3" t="s">
        <v>1789</v>
      </c>
      <c r="H48" s="3" t="s">
        <v>1954</v>
      </c>
      <c r="I48" s="3" t="s">
        <v>1954</v>
      </c>
      <c r="J48" s="3" t="s">
        <v>1485</v>
      </c>
      <c r="K48" s="3" t="s">
        <v>1730</v>
      </c>
      <c r="L48" s="3" t="s">
        <v>1791</v>
      </c>
      <c r="M48" s="3" t="s">
        <v>1467</v>
      </c>
      <c r="N48" s="3" t="s">
        <v>1468</v>
      </c>
      <c r="O48" s="3" t="s">
        <v>1793</v>
      </c>
      <c r="P48" s="3" t="s">
        <v>1794</v>
      </c>
      <c r="Q48" s="3" t="s">
        <v>1471</v>
      </c>
      <c r="R48" s="3" t="s">
        <v>1471</v>
      </c>
      <c r="S48" s="3"/>
      <c r="T48" s="3" t="s">
        <v>1471</v>
      </c>
      <c r="U48" s="3"/>
      <c r="V48" s="3"/>
      <c r="W48" s="3"/>
      <c r="X48" s="3"/>
      <c r="Y48" s="3"/>
      <c r="Z48" s="3" t="s">
        <v>1475</v>
      </c>
      <c r="AA48" s="3"/>
      <c r="AB48" s="3"/>
      <c r="AC48" s="3"/>
      <c r="AD48" s="3"/>
      <c r="AE48" s="3" t="s">
        <v>1796</v>
      </c>
      <c r="AF48" s="3" t="s">
        <v>1380</v>
      </c>
      <c r="AG48" s="3" t="s">
        <v>7</v>
      </c>
      <c r="AH48" s="3" t="s">
        <v>1955</v>
      </c>
      <c r="AI48" s="6" t="s">
        <v>1956</v>
      </c>
      <c r="AJ48" s="3" t="s">
        <v>1797</v>
      </c>
      <c r="AK48" s="3" t="s">
        <v>1382</v>
      </c>
      <c r="AL48" s="3"/>
      <c r="AM48" s="3"/>
      <c r="AN48" s="6" t="s">
        <v>1957</v>
      </c>
    </row>
    <row r="49" spans="1:40" ht="60" customHeight="1" x14ac:dyDescent="0.2">
      <c r="A49" s="3" t="s">
        <v>1958</v>
      </c>
      <c r="B49" s="3" t="s">
        <v>1546</v>
      </c>
      <c r="C49" s="3" t="s">
        <v>1537</v>
      </c>
      <c r="D49" s="3" t="s">
        <v>1959</v>
      </c>
      <c r="E49" s="3" t="s">
        <v>1960</v>
      </c>
      <c r="F49" s="3" t="s">
        <v>1788</v>
      </c>
      <c r="G49" s="3" t="s">
        <v>1789</v>
      </c>
      <c r="H49" s="3" t="s">
        <v>1961</v>
      </c>
      <c r="I49" s="3" t="s">
        <v>1961</v>
      </c>
      <c r="J49" s="3" t="s">
        <v>1485</v>
      </c>
      <c r="K49" s="3" t="s">
        <v>1962</v>
      </c>
      <c r="L49" s="3" t="s">
        <v>1941</v>
      </c>
      <c r="M49" s="3" t="s">
        <v>1467</v>
      </c>
      <c r="N49" s="3" t="s">
        <v>1963</v>
      </c>
      <c r="O49" s="3" t="s">
        <v>1793</v>
      </c>
      <c r="P49" s="3" t="s">
        <v>1794</v>
      </c>
      <c r="Q49" s="3" t="s">
        <v>1471</v>
      </c>
      <c r="R49" s="3" t="s">
        <v>1471</v>
      </c>
      <c r="S49" s="3"/>
      <c r="T49" s="3" t="s">
        <v>1471</v>
      </c>
      <c r="U49" s="3"/>
      <c r="V49" s="7" t="s">
        <v>1964</v>
      </c>
      <c r="W49" s="7" t="s">
        <v>1965</v>
      </c>
      <c r="X49" s="3"/>
      <c r="Y49" s="3"/>
      <c r="Z49" s="3" t="s">
        <v>1475</v>
      </c>
      <c r="AA49" s="3"/>
      <c r="AB49" s="3"/>
      <c r="AC49" s="3"/>
      <c r="AD49" s="3"/>
      <c r="AE49" s="3" t="s">
        <v>1966</v>
      </c>
      <c r="AF49" s="3" t="s">
        <v>1380</v>
      </c>
      <c r="AG49" s="3" t="s">
        <v>7</v>
      </c>
      <c r="AH49" s="3" t="s">
        <v>1967</v>
      </c>
      <c r="AI49" s="6" t="s">
        <v>1968</v>
      </c>
      <c r="AJ49" s="3" t="s">
        <v>1797</v>
      </c>
      <c r="AK49" s="3" t="s">
        <v>1382</v>
      </c>
      <c r="AL49" s="3"/>
      <c r="AM49" s="3"/>
      <c r="AN49" s="7" t="s">
        <v>1969</v>
      </c>
    </row>
    <row r="50" spans="1:40" ht="60" customHeight="1" x14ac:dyDescent="0.2">
      <c r="A50" s="3" t="s">
        <v>1970</v>
      </c>
      <c r="B50" s="3" t="s">
        <v>1546</v>
      </c>
      <c r="C50" s="3" t="s">
        <v>1537</v>
      </c>
      <c r="D50" s="3" t="s">
        <v>1971</v>
      </c>
      <c r="E50" s="3" t="s">
        <v>1972</v>
      </c>
      <c r="F50" s="3" t="s">
        <v>1788</v>
      </c>
      <c r="G50" s="3" t="s">
        <v>1789</v>
      </c>
      <c r="H50" s="3" t="s">
        <v>1973</v>
      </c>
      <c r="I50" s="3" t="s">
        <v>1973</v>
      </c>
      <c r="J50" s="3" t="s">
        <v>1485</v>
      </c>
      <c r="K50" s="3" t="s">
        <v>1646</v>
      </c>
      <c r="L50" s="3" t="s">
        <v>1974</v>
      </c>
      <c r="M50" s="3" t="s">
        <v>1467</v>
      </c>
      <c r="N50" s="3" t="s">
        <v>1468</v>
      </c>
      <c r="O50" s="3" t="s">
        <v>1793</v>
      </c>
      <c r="P50" s="3" t="s">
        <v>1794</v>
      </c>
      <c r="Q50" s="3" t="s">
        <v>1471</v>
      </c>
      <c r="R50" s="3" t="s">
        <v>1471</v>
      </c>
      <c r="S50" s="3"/>
      <c r="T50" s="3" t="s">
        <v>1471</v>
      </c>
      <c r="U50" s="3"/>
      <c r="V50" s="7" t="s">
        <v>1975</v>
      </c>
      <c r="W50" s="7" t="s">
        <v>1976</v>
      </c>
      <c r="X50" s="3"/>
      <c r="Y50" s="3"/>
      <c r="Z50" s="3" t="s">
        <v>1475</v>
      </c>
      <c r="AA50" s="3"/>
      <c r="AB50" s="3"/>
      <c r="AC50" s="3"/>
      <c r="AD50" s="3"/>
      <c r="AE50" s="3" t="s">
        <v>1977</v>
      </c>
      <c r="AF50" s="3" t="s">
        <v>1380</v>
      </c>
      <c r="AG50" s="3" t="s">
        <v>7</v>
      </c>
      <c r="AH50" s="3" t="s">
        <v>1978</v>
      </c>
      <c r="AI50" s="6" t="s">
        <v>1979</v>
      </c>
      <c r="AJ50" s="3" t="s">
        <v>1797</v>
      </c>
      <c r="AK50" s="3" t="s">
        <v>1382</v>
      </c>
      <c r="AL50" s="3"/>
      <c r="AM50" s="3"/>
      <c r="AN50" s="7" t="s">
        <v>1980</v>
      </c>
    </row>
    <row r="51" spans="1:40" ht="60" customHeight="1" x14ac:dyDescent="0.2">
      <c r="A51" s="3" t="s">
        <v>1981</v>
      </c>
      <c r="B51" s="3" t="s">
        <v>1546</v>
      </c>
      <c r="C51" s="3" t="s">
        <v>1537</v>
      </c>
      <c r="D51" s="3" t="s">
        <v>1982</v>
      </c>
      <c r="E51" s="3" t="s">
        <v>1983</v>
      </c>
      <c r="F51" s="3" t="s">
        <v>1788</v>
      </c>
      <c r="G51" s="3" t="s">
        <v>1789</v>
      </c>
      <c r="H51" s="3" t="s">
        <v>1984</v>
      </c>
      <c r="I51" s="3" t="s">
        <v>1984</v>
      </c>
      <c r="J51" s="3" t="s">
        <v>1485</v>
      </c>
      <c r="K51" s="3" t="s">
        <v>1730</v>
      </c>
      <c r="L51" s="3" t="s">
        <v>1985</v>
      </c>
      <c r="M51" s="3" t="s">
        <v>1792</v>
      </c>
      <c r="N51" s="3" t="s">
        <v>1468</v>
      </c>
      <c r="O51" s="3" t="s">
        <v>1793</v>
      </c>
      <c r="P51" s="3" t="s">
        <v>1794</v>
      </c>
      <c r="Q51" s="3" t="s">
        <v>1471</v>
      </c>
      <c r="R51" s="3" t="s">
        <v>1471</v>
      </c>
      <c r="S51" s="3"/>
      <c r="T51" s="3" t="s">
        <v>1471</v>
      </c>
      <c r="U51" s="3"/>
      <c r="V51" s="7" t="s">
        <v>1986</v>
      </c>
      <c r="W51" s="7" t="s">
        <v>1987</v>
      </c>
      <c r="X51" s="3"/>
      <c r="Y51" s="3"/>
      <c r="Z51" s="3" t="s">
        <v>1475</v>
      </c>
      <c r="AA51" s="3"/>
      <c r="AB51" s="3"/>
      <c r="AC51" s="3"/>
      <c r="AD51" s="3"/>
      <c r="AE51" s="3" t="s">
        <v>1988</v>
      </c>
      <c r="AF51" s="3" t="s">
        <v>1380</v>
      </c>
      <c r="AG51" s="3" t="s">
        <v>7</v>
      </c>
      <c r="AH51" s="3" t="s">
        <v>1989</v>
      </c>
      <c r="AI51" s="6" t="s">
        <v>1990</v>
      </c>
      <c r="AJ51" s="3" t="s">
        <v>1797</v>
      </c>
      <c r="AK51" s="3" t="s">
        <v>1382</v>
      </c>
      <c r="AL51" s="3"/>
      <c r="AM51" s="3"/>
      <c r="AN51" s="7" t="s">
        <v>1991</v>
      </c>
    </row>
    <row r="52" spans="1:40" ht="60" customHeight="1" x14ac:dyDescent="0.2">
      <c r="A52" s="3" t="s">
        <v>1992</v>
      </c>
      <c r="B52" s="3" t="s">
        <v>1546</v>
      </c>
      <c r="C52" s="3" t="s">
        <v>1641</v>
      </c>
      <c r="D52" s="3" t="s">
        <v>1993</v>
      </c>
      <c r="E52" s="3" t="s">
        <v>1994</v>
      </c>
      <c r="F52" s="3" t="s">
        <v>1995</v>
      </c>
      <c r="G52" s="3" t="s">
        <v>1996</v>
      </c>
      <c r="H52" s="3" t="s">
        <v>1997</v>
      </c>
      <c r="I52" s="3" t="s">
        <v>1997</v>
      </c>
      <c r="J52" s="3" t="s">
        <v>1998</v>
      </c>
      <c r="K52" s="3" t="s">
        <v>1712</v>
      </c>
      <c r="L52" s="3" t="s">
        <v>1999</v>
      </c>
      <c r="M52" s="3" t="s">
        <v>1467</v>
      </c>
      <c r="N52" s="3" t="s">
        <v>1468</v>
      </c>
      <c r="O52" s="3" t="s">
        <v>1498</v>
      </c>
      <c r="P52" s="3" t="s">
        <v>1715</v>
      </c>
      <c r="Q52" s="3" t="s">
        <v>2000</v>
      </c>
      <c r="R52" s="3" t="s">
        <v>2000</v>
      </c>
      <c r="S52" s="3"/>
      <c r="T52" s="3" t="s">
        <v>2000</v>
      </c>
      <c r="U52" s="3"/>
      <c r="V52" s="3"/>
      <c r="W52" s="3"/>
      <c r="X52" s="3"/>
      <c r="Y52" s="3"/>
      <c r="Z52" s="3" t="s">
        <v>1850</v>
      </c>
      <c r="AA52" s="3"/>
      <c r="AB52" s="3"/>
      <c r="AC52" s="3"/>
      <c r="AD52" s="3"/>
      <c r="AE52" s="3"/>
      <c r="AF52" s="3" t="s">
        <v>1380</v>
      </c>
      <c r="AG52" s="3" t="s">
        <v>7</v>
      </c>
      <c r="AH52" s="3"/>
      <c r="AI52" s="3"/>
      <c r="AJ52" s="3" t="s">
        <v>1518</v>
      </c>
      <c r="AK52" s="3" t="s">
        <v>1382</v>
      </c>
      <c r="AL52" s="3"/>
      <c r="AM52" s="3"/>
      <c r="AN52" s="3" t="s">
        <v>2001</v>
      </c>
    </row>
    <row r="53" spans="1:40" ht="60" customHeight="1" x14ac:dyDescent="0.2">
      <c r="A53" s="3" t="s">
        <v>2002</v>
      </c>
      <c r="B53" s="3" t="s">
        <v>1546</v>
      </c>
      <c r="C53" s="3" t="s">
        <v>1641</v>
      </c>
      <c r="D53" s="3" t="s">
        <v>2003</v>
      </c>
      <c r="E53" s="3" t="s">
        <v>2004</v>
      </c>
      <c r="F53" s="3" t="s">
        <v>1995</v>
      </c>
      <c r="G53" s="3" t="s">
        <v>1996</v>
      </c>
      <c r="H53" s="3" t="s">
        <v>2005</v>
      </c>
      <c r="I53" s="3" t="s">
        <v>2005</v>
      </c>
      <c r="J53" s="3" t="s">
        <v>1676</v>
      </c>
      <c r="K53" s="3" t="s">
        <v>1689</v>
      </c>
      <c r="L53" s="3" t="s">
        <v>2006</v>
      </c>
      <c r="M53" s="3" t="s">
        <v>1467</v>
      </c>
      <c r="N53" s="3" t="s">
        <v>1691</v>
      </c>
      <c r="O53" s="3" t="s">
        <v>1498</v>
      </c>
      <c r="P53" s="3" t="s">
        <v>1715</v>
      </c>
      <c r="Q53" s="3" t="s">
        <v>2007</v>
      </c>
      <c r="R53" s="3" t="s">
        <v>2007</v>
      </c>
      <c r="S53" s="3"/>
      <c r="T53" s="3" t="s">
        <v>2007</v>
      </c>
      <c r="U53" s="3"/>
      <c r="V53" s="3"/>
      <c r="W53" s="3"/>
      <c r="X53" s="3"/>
      <c r="Y53" s="3"/>
      <c r="Z53" s="3" t="s">
        <v>1850</v>
      </c>
      <c r="AA53" s="3"/>
      <c r="AB53" s="3"/>
      <c r="AC53" s="3"/>
      <c r="AD53" s="3"/>
      <c r="AE53" s="3"/>
      <c r="AF53" s="3" t="s">
        <v>1380</v>
      </c>
      <c r="AG53" s="3" t="s">
        <v>7</v>
      </c>
      <c r="AH53" s="3"/>
      <c r="AI53" s="3"/>
      <c r="AJ53" s="3" t="s">
        <v>1518</v>
      </c>
      <c r="AK53" s="3" t="s">
        <v>1382</v>
      </c>
      <c r="AL53" s="3"/>
      <c r="AM53" s="3"/>
      <c r="AN53" s="3" t="s">
        <v>2001</v>
      </c>
    </row>
    <row r="54" spans="1:40" ht="60" customHeight="1" x14ac:dyDescent="0.2">
      <c r="A54" s="3" t="s">
        <v>2008</v>
      </c>
      <c r="B54" s="3" t="s">
        <v>1546</v>
      </c>
      <c r="C54" s="3" t="s">
        <v>1641</v>
      </c>
      <c r="D54" s="3" t="s">
        <v>2009</v>
      </c>
      <c r="E54" s="3" t="s">
        <v>2010</v>
      </c>
      <c r="F54" s="3" t="s">
        <v>1995</v>
      </c>
      <c r="G54" s="3" t="s">
        <v>1996</v>
      </c>
      <c r="H54" s="3" t="s">
        <v>2011</v>
      </c>
      <c r="I54" s="3" t="s">
        <v>2011</v>
      </c>
      <c r="J54" s="3" t="s">
        <v>2012</v>
      </c>
      <c r="K54" s="3" t="s">
        <v>1689</v>
      </c>
      <c r="L54" s="3" t="s">
        <v>2013</v>
      </c>
      <c r="M54" s="3" t="s">
        <v>1467</v>
      </c>
      <c r="N54" s="3" t="s">
        <v>1691</v>
      </c>
      <c r="O54" s="3" t="s">
        <v>1498</v>
      </c>
      <c r="P54" s="3" t="s">
        <v>1715</v>
      </c>
      <c r="Q54" s="3" t="s">
        <v>1471</v>
      </c>
      <c r="R54" s="3" t="s">
        <v>1471</v>
      </c>
      <c r="S54" s="3"/>
      <c r="T54" s="3" t="s">
        <v>1471</v>
      </c>
      <c r="U54" s="3"/>
      <c r="V54" s="3"/>
      <c r="W54" s="3"/>
      <c r="X54" s="3"/>
      <c r="Y54" s="3"/>
      <c r="Z54" s="3" t="s">
        <v>1850</v>
      </c>
      <c r="AA54" s="3"/>
      <c r="AB54" s="3"/>
      <c r="AC54" s="3"/>
      <c r="AD54" s="3"/>
      <c r="AE54" s="3"/>
      <c r="AF54" s="3" t="s">
        <v>1380</v>
      </c>
      <c r="AG54" s="3" t="s">
        <v>7</v>
      </c>
      <c r="AH54" s="3"/>
      <c r="AI54" s="3"/>
      <c r="AJ54" s="3" t="s">
        <v>1518</v>
      </c>
      <c r="AK54" s="3" t="s">
        <v>1382</v>
      </c>
      <c r="AL54" s="3"/>
      <c r="AM54" s="3"/>
      <c r="AN54" s="3" t="s">
        <v>2001</v>
      </c>
    </row>
  </sheetData>
  <autoFilter ref="A1:AN54"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2"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2" customWidth="1"/>
    <col min="32" max="32" width="12" customWidth="1"/>
    <col min="33" max="33" width="11" customWidth="1"/>
    <col min="34" max="34" width="42" customWidth="1"/>
    <col min="35" max="35" width="52" customWidth="1"/>
    <col min="36" max="36" width="46" customWidth="1"/>
    <col min="37" max="37" width="20" customWidth="1"/>
    <col min="38" max="38" width="36" customWidth="1"/>
    <col min="39" max="40" width="30" customWidth="1"/>
  </cols>
  <sheetData>
    <row r="1" spans="1:40" ht="45" customHeight="1" x14ac:dyDescent="0.2">
      <c r="A1" s="1" t="s">
        <v>1316</v>
      </c>
      <c r="B1" s="1" t="s">
        <v>1317</v>
      </c>
      <c r="C1" s="1" t="s">
        <v>1318</v>
      </c>
      <c r="D1" s="1" t="s">
        <v>1319</v>
      </c>
      <c r="E1" s="1" t="s">
        <v>1320</v>
      </c>
      <c r="F1" s="1" t="s">
        <v>1321</v>
      </c>
      <c r="G1" s="1" t="s">
        <v>1322</v>
      </c>
      <c r="H1" s="1" t="s">
        <v>1323</v>
      </c>
      <c r="I1" s="1" t="s">
        <v>1324</v>
      </c>
      <c r="J1" s="1" t="s">
        <v>1325</v>
      </c>
      <c r="K1" s="1" t="s">
        <v>1326</v>
      </c>
      <c r="L1" s="1" t="s">
        <v>335</v>
      </c>
      <c r="M1" s="1" t="s">
        <v>1327</v>
      </c>
      <c r="N1" s="1" t="s">
        <v>1328</v>
      </c>
      <c r="O1" s="1" t="s">
        <v>1329</v>
      </c>
      <c r="P1" s="1" t="s">
        <v>1330</v>
      </c>
      <c r="Q1" s="1" t="s">
        <v>1331</v>
      </c>
      <c r="R1" s="1" t="s">
        <v>1332</v>
      </c>
      <c r="S1" s="1" t="s">
        <v>1333</v>
      </c>
      <c r="T1" s="1" t="s">
        <v>1334</v>
      </c>
      <c r="U1" s="1" t="s">
        <v>1335</v>
      </c>
      <c r="V1" s="1" t="s">
        <v>1336</v>
      </c>
      <c r="W1" s="1" t="s">
        <v>1337</v>
      </c>
      <c r="X1" s="1" t="s">
        <v>1338</v>
      </c>
      <c r="Y1" s="1" t="s">
        <v>1339</v>
      </c>
      <c r="Z1" s="1" t="s">
        <v>1340</v>
      </c>
      <c r="AA1" s="1" t="s">
        <v>1341</v>
      </c>
      <c r="AB1" s="1" t="s">
        <v>1342</v>
      </c>
      <c r="AC1" s="1" t="s">
        <v>1343</v>
      </c>
      <c r="AD1" s="1" t="s">
        <v>1344</v>
      </c>
      <c r="AE1" s="1" t="s">
        <v>1345</v>
      </c>
      <c r="AF1" s="1" t="s">
        <v>1346</v>
      </c>
      <c r="AG1" s="1" t="s">
        <v>1347</v>
      </c>
      <c r="AH1" s="1" t="s">
        <v>1348</v>
      </c>
      <c r="AI1" s="1" t="s">
        <v>1349</v>
      </c>
      <c r="AJ1" s="1" t="s">
        <v>1350</v>
      </c>
      <c r="AK1" s="1" t="s">
        <v>1351</v>
      </c>
      <c r="AL1" s="1" t="s">
        <v>1352</v>
      </c>
      <c r="AM1" s="1" t="s">
        <v>1353</v>
      </c>
      <c r="AN1" s="1" t="s">
        <v>1210</v>
      </c>
    </row>
    <row r="2" spans="1:40" ht="60" customHeight="1" x14ac:dyDescent="0.2">
      <c r="A2" s="3" t="s">
        <v>2014</v>
      </c>
      <c r="B2" s="3" t="s">
        <v>2015</v>
      </c>
      <c r="C2" s="3" t="s">
        <v>1355</v>
      </c>
      <c r="D2" s="3" t="s">
        <v>2016</v>
      </c>
      <c r="E2" s="3" t="s">
        <v>2017</v>
      </c>
      <c r="F2" s="3" t="s">
        <v>2018</v>
      </c>
      <c r="G2" s="3" t="s">
        <v>2019</v>
      </c>
      <c r="H2" s="3" t="s">
        <v>2020</v>
      </c>
      <c r="I2" s="3" t="s">
        <v>2021</v>
      </c>
      <c r="J2" s="3" t="s">
        <v>2022</v>
      </c>
      <c r="K2" s="3" t="s">
        <v>1392</v>
      </c>
      <c r="L2" s="3" t="s">
        <v>1466</v>
      </c>
      <c r="M2" s="3" t="s">
        <v>2023</v>
      </c>
      <c r="N2" s="3" t="s">
        <v>2024</v>
      </c>
      <c r="O2" s="3" t="s">
        <v>2025</v>
      </c>
      <c r="P2" s="3" t="s">
        <v>2026</v>
      </c>
      <c r="Q2" s="3" t="s">
        <v>2027</v>
      </c>
      <c r="R2" s="3"/>
      <c r="S2" s="3"/>
      <c r="T2" s="3" t="s">
        <v>1399</v>
      </c>
      <c r="U2" s="3"/>
      <c r="V2" s="3"/>
      <c r="W2" s="3"/>
      <c r="X2" s="3"/>
      <c r="Y2" s="3" t="s">
        <v>1374</v>
      </c>
      <c r="Z2" s="3" t="s">
        <v>1375</v>
      </c>
      <c r="AA2" s="3" t="s">
        <v>2028</v>
      </c>
      <c r="AB2" s="3" t="s">
        <v>1504</v>
      </c>
      <c r="AC2" s="3" t="s">
        <v>1378</v>
      </c>
      <c r="AD2" s="3"/>
      <c r="AE2" s="3" t="s">
        <v>2029</v>
      </c>
      <c r="AF2" s="3" t="s">
        <v>1380</v>
      </c>
      <c r="AG2" s="3" t="s">
        <v>7</v>
      </c>
      <c r="AH2" s="3"/>
      <c r="AI2" s="3"/>
      <c r="AJ2" s="3" t="s">
        <v>2030</v>
      </c>
      <c r="AK2" s="3" t="s">
        <v>1382</v>
      </c>
      <c r="AL2" s="3"/>
      <c r="AM2" s="3"/>
      <c r="AN2" s="8" t="s">
        <v>2031</v>
      </c>
    </row>
    <row r="3" spans="1:40" ht="60" customHeight="1" x14ac:dyDescent="0.2">
      <c r="A3" s="3" t="s">
        <v>2032</v>
      </c>
      <c r="B3" s="3" t="s">
        <v>2015</v>
      </c>
      <c r="C3" s="3" t="s">
        <v>1355</v>
      </c>
      <c r="D3" s="3" t="s">
        <v>2033</v>
      </c>
      <c r="E3" s="3" t="s">
        <v>2034</v>
      </c>
      <c r="F3" s="3" t="s">
        <v>2018</v>
      </c>
      <c r="G3" s="3" t="s">
        <v>2019</v>
      </c>
      <c r="H3" s="3" t="s">
        <v>2020</v>
      </c>
      <c r="I3" s="3" t="s">
        <v>2021</v>
      </c>
      <c r="J3" s="3" t="s">
        <v>2022</v>
      </c>
      <c r="K3" s="3" t="s">
        <v>1414</v>
      </c>
      <c r="L3" s="3" t="s">
        <v>1466</v>
      </c>
      <c r="M3" s="3" t="s">
        <v>1365</v>
      </c>
      <c r="N3" s="3" t="s">
        <v>1366</v>
      </c>
      <c r="O3" s="3" t="s">
        <v>2025</v>
      </c>
      <c r="P3" s="3" t="s">
        <v>2026</v>
      </c>
      <c r="Q3" s="3" t="s">
        <v>2027</v>
      </c>
      <c r="R3" s="3"/>
      <c r="S3" s="3"/>
      <c r="T3" s="3" t="s">
        <v>1399</v>
      </c>
      <c r="U3" s="3"/>
      <c r="V3" s="3"/>
      <c r="W3" s="3"/>
      <c r="X3" s="3"/>
      <c r="Y3" s="3" t="s">
        <v>1374</v>
      </c>
      <c r="Z3" s="3" t="s">
        <v>1375</v>
      </c>
      <c r="AA3" s="3" t="s">
        <v>2028</v>
      </c>
      <c r="AB3" s="3" t="s">
        <v>1504</v>
      </c>
      <c r="AC3" s="3" t="s">
        <v>1378</v>
      </c>
      <c r="AD3" s="3"/>
      <c r="AE3" s="3" t="s">
        <v>2029</v>
      </c>
      <c r="AF3" s="3" t="s">
        <v>1380</v>
      </c>
      <c r="AG3" s="3" t="s">
        <v>7</v>
      </c>
      <c r="AH3" s="3"/>
      <c r="AI3" s="3"/>
      <c r="AJ3" s="3" t="s">
        <v>2030</v>
      </c>
      <c r="AK3" s="3" t="s">
        <v>1382</v>
      </c>
      <c r="AL3" s="3"/>
      <c r="AM3" s="3"/>
      <c r="AN3" s="8" t="s">
        <v>2031</v>
      </c>
    </row>
    <row r="4" spans="1:40" ht="60" customHeight="1" x14ac:dyDescent="0.2">
      <c r="A4" s="3" t="s">
        <v>2035</v>
      </c>
      <c r="B4" s="3" t="s">
        <v>2015</v>
      </c>
      <c r="C4" s="3" t="s">
        <v>1355</v>
      </c>
      <c r="D4" s="3" t="s">
        <v>2036</v>
      </c>
      <c r="E4" s="3" t="s">
        <v>2037</v>
      </c>
      <c r="F4" s="3" t="s">
        <v>2038</v>
      </c>
      <c r="G4" s="3" t="s">
        <v>2039</v>
      </c>
      <c r="H4" s="3" t="s">
        <v>2040</v>
      </c>
      <c r="I4" s="3" t="s">
        <v>2041</v>
      </c>
      <c r="J4" s="3" t="s">
        <v>2042</v>
      </c>
      <c r="K4" s="3" t="s">
        <v>1414</v>
      </c>
      <c r="L4" s="3" t="s">
        <v>1466</v>
      </c>
      <c r="M4" s="3" t="s">
        <v>1365</v>
      </c>
      <c r="N4" s="3" t="s">
        <v>2024</v>
      </c>
      <c r="O4" s="3" t="s">
        <v>1396</v>
      </c>
      <c r="P4" s="3" t="s">
        <v>2043</v>
      </c>
      <c r="Q4" s="3" t="s">
        <v>2044</v>
      </c>
      <c r="R4" s="3"/>
      <c r="S4" s="3"/>
      <c r="T4" s="3" t="s">
        <v>1399</v>
      </c>
      <c r="U4" s="3"/>
      <c r="V4" s="7" t="s">
        <v>2045</v>
      </c>
      <c r="W4" s="7"/>
      <c r="X4" s="3"/>
      <c r="Y4" s="3" t="s">
        <v>1374</v>
      </c>
      <c r="Z4" s="3" t="s">
        <v>1375</v>
      </c>
      <c r="AA4" s="3" t="s">
        <v>1437</v>
      </c>
      <c r="AB4" s="3" t="s">
        <v>1504</v>
      </c>
      <c r="AC4" s="3" t="s">
        <v>1378</v>
      </c>
      <c r="AD4" s="3"/>
      <c r="AE4" s="3" t="s">
        <v>2046</v>
      </c>
      <c r="AF4" s="3" t="s">
        <v>1380</v>
      </c>
      <c r="AG4" s="3" t="s">
        <v>700</v>
      </c>
      <c r="AH4" s="3"/>
      <c r="AI4" s="3"/>
      <c r="AJ4" s="3" t="s">
        <v>1403</v>
      </c>
      <c r="AK4" s="3" t="s">
        <v>1382</v>
      </c>
      <c r="AL4" s="3"/>
      <c r="AM4" s="3"/>
      <c r="AN4" s="7" t="s">
        <v>2047</v>
      </c>
    </row>
    <row r="5" spans="1:40" ht="60" customHeight="1" x14ac:dyDescent="0.2">
      <c r="A5" s="3" t="s">
        <v>2048</v>
      </c>
      <c r="B5" s="3" t="s">
        <v>2015</v>
      </c>
      <c r="C5" s="3" t="s">
        <v>1355</v>
      </c>
      <c r="D5" s="3" t="s">
        <v>2049</v>
      </c>
      <c r="E5" s="3" t="s">
        <v>2050</v>
      </c>
      <c r="F5" s="3" t="s">
        <v>1522</v>
      </c>
      <c r="G5" s="3"/>
      <c r="H5" s="3" t="s">
        <v>2051</v>
      </c>
      <c r="I5" s="3" t="s">
        <v>2052</v>
      </c>
      <c r="J5" s="3" t="s">
        <v>1413</v>
      </c>
      <c r="K5" s="3" t="s">
        <v>1392</v>
      </c>
      <c r="L5" s="3" t="s">
        <v>2053</v>
      </c>
      <c r="M5" s="3" t="s">
        <v>1365</v>
      </c>
      <c r="N5" s="3" t="s">
        <v>2024</v>
      </c>
      <c r="O5" s="3" t="s">
        <v>1450</v>
      </c>
      <c r="P5" s="3" t="s">
        <v>1450</v>
      </c>
      <c r="Q5" s="3" t="s">
        <v>1451</v>
      </c>
      <c r="R5" s="3"/>
      <c r="S5" s="3"/>
      <c r="T5" s="3" t="s">
        <v>2054</v>
      </c>
      <c r="U5" s="3"/>
      <c r="V5" s="3"/>
      <c r="W5" s="3"/>
      <c r="X5" s="3"/>
      <c r="Y5" s="3" t="s">
        <v>1374</v>
      </c>
      <c r="Z5" s="3" t="s">
        <v>1375</v>
      </c>
      <c r="AA5" s="3" t="s">
        <v>2055</v>
      </c>
      <c r="AB5" s="3" t="s">
        <v>1452</v>
      </c>
      <c r="AC5" s="3" t="s">
        <v>1526</v>
      </c>
      <c r="AD5" s="3"/>
      <c r="AE5" s="3" t="s">
        <v>2056</v>
      </c>
      <c r="AF5" s="3" t="s">
        <v>1380</v>
      </c>
      <c r="AG5" s="3" t="s">
        <v>700</v>
      </c>
      <c r="AH5" s="3"/>
      <c r="AI5" s="3"/>
      <c r="AJ5" s="3" t="s">
        <v>1455</v>
      </c>
      <c r="AK5" s="3" t="s">
        <v>1382</v>
      </c>
      <c r="AL5" s="3"/>
      <c r="AM5" s="3"/>
      <c r="AN5" s="8" t="s">
        <v>2057</v>
      </c>
    </row>
    <row r="6" spans="1:40" ht="45" customHeight="1" x14ac:dyDescent="0.2">
      <c r="A6" s="3"/>
      <c r="B6" s="3" t="s">
        <v>2015</v>
      </c>
      <c r="C6" s="3" t="s">
        <v>1533</v>
      </c>
      <c r="D6" s="3"/>
      <c r="E6" s="3"/>
      <c r="F6" s="3"/>
      <c r="G6" s="3"/>
      <c r="H6" s="3"/>
      <c r="I6" s="3"/>
      <c r="J6" s="3"/>
      <c r="K6" s="3"/>
      <c r="L6" s="3"/>
      <c r="M6" s="3"/>
      <c r="N6" s="3"/>
      <c r="O6" s="3"/>
      <c r="P6" s="3"/>
      <c r="Q6" s="3"/>
      <c r="R6" s="3"/>
      <c r="S6" s="3"/>
      <c r="T6" s="3"/>
      <c r="U6" s="3"/>
      <c r="V6" s="3"/>
      <c r="W6" s="3"/>
      <c r="X6" s="3" t="s">
        <v>1534</v>
      </c>
      <c r="Y6" s="3"/>
      <c r="Z6" s="3"/>
      <c r="AA6" s="3"/>
      <c r="AB6" s="3"/>
      <c r="AC6" s="3"/>
      <c r="AD6" s="3"/>
      <c r="AE6" s="3"/>
      <c r="AF6" s="3"/>
      <c r="AG6" s="3"/>
      <c r="AH6" s="3"/>
      <c r="AI6" s="3"/>
      <c r="AJ6" s="3"/>
      <c r="AK6" s="3"/>
      <c r="AL6" s="3"/>
      <c r="AM6" s="3"/>
      <c r="AN6" s="3"/>
    </row>
    <row r="7" spans="1:40" ht="45" customHeight="1" x14ac:dyDescent="0.2">
      <c r="A7" s="3"/>
      <c r="B7" s="3" t="s">
        <v>2015</v>
      </c>
      <c r="C7" s="3" t="s">
        <v>1537</v>
      </c>
      <c r="D7" s="3"/>
      <c r="E7" s="3"/>
      <c r="F7" s="3"/>
      <c r="G7" s="3"/>
      <c r="H7" s="3"/>
      <c r="I7" s="3"/>
      <c r="J7" s="3"/>
      <c r="K7" s="3"/>
      <c r="L7" s="3"/>
      <c r="M7" s="3"/>
      <c r="N7" s="3"/>
      <c r="O7" s="3"/>
      <c r="P7" s="3"/>
      <c r="Q7" s="3"/>
      <c r="R7" s="3"/>
      <c r="S7" s="3"/>
      <c r="T7" s="3"/>
      <c r="U7" s="3"/>
      <c r="V7" s="3"/>
      <c r="W7" s="3"/>
      <c r="X7" s="3" t="s">
        <v>1534</v>
      </c>
      <c r="Y7" s="3"/>
      <c r="Z7" s="3"/>
      <c r="AA7" s="3"/>
      <c r="AB7" s="3"/>
      <c r="AC7" s="3"/>
      <c r="AD7" s="3"/>
      <c r="AE7" s="3"/>
      <c r="AF7" s="3"/>
      <c r="AG7" s="3"/>
      <c r="AH7" s="3"/>
      <c r="AI7" s="3"/>
      <c r="AJ7" s="3"/>
      <c r="AK7" s="3"/>
      <c r="AL7" s="3"/>
      <c r="AM7" s="3"/>
      <c r="AN7" s="3"/>
    </row>
    <row r="8" spans="1:40" ht="45" customHeight="1" x14ac:dyDescent="0.2">
      <c r="A8" s="3"/>
      <c r="B8" s="3" t="s">
        <v>2015</v>
      </c>
      <c r="C8" s="3" t="s">
        <v>1539</v>
      </c>
      <c r="D8" s="3"/>
      <c r="E8" s="3"/>
      <c r="F8" s="3"/>
      <c r="G8" s="3"/>
      <c r="H8" s="3"/>
      <c r="I8" s="3"/>
      <c r="J8" s="3"/>
      <c r="K8" s="3"/>
      <c r="L8" s="3"/>
      <c r="M8" s="3"/>
      <c r="N8" s="3"/>
      <c r="O8" s="3"/>
      <c r="P8" s="3"/>
      <c r="Q8" s="3"/>
      <c r="R8" s="3"/>
      <c r="S8" s="3"/>
      <c r="T8" s="3"/>
      <c r="U8" s="3"/>
      <c r="V8" s="3"/>
      <c r="W8" s="3"/>
      <c r="X8" s="3" t="s">
        <v>1534</v>
      </c>
      <c r="Y8" s="3"/>
      <c r="Z8" s="3"/>
      <c r="AA8" s="3"/>
      <c r="AB8" s="3"/>
      <c r="AC8" s="3"/>
      <c r="AD8" s="3"/>
      <c r="AE8" s="3"/>
      <c r="AF8" s="3"/>
      <c r="AG8" s="3"/>
      <c r="AH8" s="3"/>
      <c r="AI8" s="3"/>
      <c r="AJ8" s="3"/>
      <c r="AK8" s="3"/>
      <c r="AL8" s="3"/>
      <c r="AM8" s="3"/>
      <c r="AN8" s="3"/>
    </row>
    <row r="9" spans="1:40" ht="45" customHeight="1" x14ac:dyDescent="0.2">
      <c r="A9" s="3"/>
      <c r="B9" s="3" t="s">
        <v>2015</v>
      </c>
      <c r="C9" s="3" t="s">
        <v>1541</v>
      </c>
      <c r="D9" s="3"/>
      <c r="E9" s="3"/>
      <c r="F9" s="3"/>
      <c r="G9" s="3"/>
      <c r="H9" s="3"/>
      <c r="I9" s="3"/>
      <c r="J9" s="3"/>
      <c r="K9" s="3"/>
      <c r="L9" s="3"/>
      <c r="M9" s="3"/>
      <c r="N9" s="3"/>
      <c r="O9" s="3"/>
      <c r="P9" s="3"/>
      <c r="Q9" s="3"/>
      <c r="R9" s="3"/>
      <c r="S9" s="3"/>
      <c r="T9" s="3"/>
      <c r="U9" s="3"/>
      <c r="V9" s="3"/>
      <c r="W9" s="3"/>
      <c r="X9" s="3" t="s">
        <v>1534</v>
      </c>
      <c r="Y9" s="3"/>
      <c r="Z9" s="3"/>
      <c r="AA9" s="3"/>
      <c r="AB9" s="3"/>
      <c r="AC9" s="3"/>
      <c r="AD9" s="3"/>
      <c r="AE9" s="3"/>
      <c r="AF9" s="3"/>
      <c r="AG9" s="3"/>
      <c r="AH9" s="3"/>
      <c r="AI9" s="3"/>
      <c r="AJ9" s="3"/>
      <c r="AK9" s="3"/>
      <c r="AL9" s="3"/>
      <c r="AM9" s="3"/>
      <c r="AN9" s="3"/>
    </row>
    <row r="10" spans="1:40" ht="60" customHeight="1" x14ac:dyDescent="0.2">
      <c r="A10" s="3" t="s">
        <v>2058</v>
      </c>
      <c r="B10" s="3" t="s">
        <v>2015</v>
      </c>
      <c r="C10" s="3" t="s">
        <v>2059</v>
      </c>
      <c r="D10" s="3" t="s">
        <v>2060</v>
      </c>
      <c r="E10" s="3" t="s">
        <v>2061</v>
      </c>
      <c r="F10" s="3" t="s">
        <v>2062</v>
      </c>
      <c r="G10" s="3" t="s">
        <v>2063</v>
      </c>
      <c r="H10" s="3" t="s">
        <v>2064</v>
      </c>
      <c r="I10" s="3" t="s">
        <v>2065</v>
      </c>
      <c r="J10" s="3" t="s">
        <v>1858</v>
      </c>
      <c r="K10" s="3" t="s">
        <v>1465</v>
      </c>
      <c r="L10" s="3" t="s">
        <v>2066</v>
      </c>
      <c r="M10" s="3" t="s">
        <v>1467</v>
      </c>
      <c r="N10" s="3" t="s">
        <v>1468</v>
      </c>
      <c r="O10" s="3" t="s">
        <v>2067</v>
      </c>
      <c r="P10" s="3" t="s">
        <v>2068</v>
      </c>
      <c r="Q10" s="3" t="s">
        <v>1471</v>
      </c>
      <c r="R10" s="3" t="s">
        <v>1471</v>
      </c>
      <c r="S10" s="3"/>
      <c r="T10" s="3" t="s">
        <v>1471</v>
      </c>
      <c r="U10" s="3"/>
      <c r="V10" s="3"/>
      <c r="W10" s="3"/>
      <c r="X10" s="3"/>
      <c r="Y10" s="3"/>
      <c r="Z10" s="3" t="s">
        <v>1475</v>
      </c>
      <c r="AA10" s="3"/>
      <c r="AB10" s="3"/>
      <c r="AC10" s="3"/>
      <c r="AD10" s="3"/>
      <c r="AE10" s="3"/>
      <c r="AF10" s="3" t="s">
        <v>1380</v>
      </c>
      <c r="AG10" s="3" t="s">
        <v>7</v>
      </c>
      <c r="AH10" s="3"/>
      <c r="AI10" s="3"/>
      <c r="AJ10" s="3" t="s">
        <v>2069</v>
      </c>
      <c r="AK10" s="3" t="s">
        <v>1382</v>
      </c>
      <c r="AL10" s="3"/>
      <c r="AM10" s="3"/>
      <c r="AN10" s="8" t="s">
        <v>2070</v>
      </c>
    </row>
    <row r="11" spans="1:40" ht="60" customHeight="1" x14ac:dyDescent="0.2">
      <c r="A11" s="3" t="s">
        <v>2071</v>
      </c>
      <c r="B11" s="3" t="s">
        <v>2015</v>
      </c>
      <c r="C11" s="3" t="s">
        <v>2059</v>
      </c>
      <c r="D11" s="3" t="s">
        <v>2072</v>
      </c>
      <c r="E11" s="3" t="s">
        <v>2073</v>
      </c>
      <c r="F11" s="3" t="s">
        <v>2062</v>
      </c>
      <c r="G11" s="3" t="s">
        <v>2074</v>
      </c>
      <c r="H11" s="3" t="s">
        <v>2075</v>
      </c>
      <c r="I11" s="3" t="s">
        <v>2076</v>
      </c>
      <c r="J11" s="3" t="s">
        <v>2077</v>
      </c>
      <c r="K11" s="3" t="s">
        <v>1465</v>
      </c>
      <c r="L11" s="3" t="s">
        <v>2078</v>
      </c>
      <c r="M11" s="3" t="s">
        <v>1467</v>
      </c>
      <c r="N11" s="3" t="s">
        <v>1468</v>
      </c>
      <c r="O11" s="3" t="s">
        <v>1498</v>
      </c>
      <c r="P11" s="3" t="s">
        <v>2068</v>
      </c>
      <c r="Q11" s="3" t="s">
        <v>2079</v>
      </c>
      <c r="R11" s="3" t="s">
        <v>2079</v>
      </c>
      <c r="S11" s="3"/>
      <c r="T11" s="3" t="s">
        <v>2079</v>
      </c>
      <c r="U11" s="3"/>
      <c r="V11" s="3"/>
      <c r="W11" s="3"/>
      <c r="X11" s="3"/>
      <c r="Y11" s="3"/>
      <c r="Z11" s="3" t="s">
        <v>1475</v>
      </c>
      <c r="AA11" s="3"/>
      <c r="AB11" s="3"/>
      <c r="AC11" s="3"/>
      <c r="AD11" s="3"/>
      <c r="AE11" s="3"/>
      <c r="AF11" s="3" t="s">
        <v>1380</v>
      </c>
      <c r="AG11" s="3" t="s">
        <v>7</v>
      </c>
      <c r="AH11" s="3"/>
      <c r="AI11" s="3"/>
      <c r="AJ11" s="3" t="s">
        <v>1518</v>
      </c>
      <c r="AK11" s="3" t="s">
        <v>1382</v>
      </c>
      <c r="AL11" s="3"/>
      <c r="AM11" s="3"/>
      <c r="AN11" s="8" t="s">
        <v>2070</v>
      </c>
    </row>
    <row r="12" spans="1:40" ht="60" customHeight="1" x14ac:dyDescent="0.2">
      <c r="A12" s="3" t="s">
        <v>2080</v>
      </c>
      <c r="B12" s="3" t="s">
        <v>2015</v>
      </c>
      <c r="C12" s="3" t="s">
        <v>2059</v>
      </c>
      <c r="D12" s="3" t="s">
        <v>2081</v>
      </c>
      <c r="E12" s="3" t="s">
        <v>2082</v>
      </c>
      <c r="F12" s="3" t="s">
        <v>2062</v>
      </c>
      <c r="G12" s="3" t="s">
        <v>2074</v>
      </c>
      <c r="H12" s="3" t="s">
        <v>2083</v>
      </c>
      <c r="I12" s="3" t="s">
        <v>2083</v>
      </c>
      <c r="J12" s="3" t="s">
        <v>2084</v>
      </c>
      <c r="K12" s="3" t="s">
        <v>1730</v>
      </c>
      <c r="L12" s="3" t="s">
        <v>2085</v>
      </c>
      <c r="M12" s="3" t="s">
        <v>1467</v>
      </c>
      <c r="N12" s="3" t="s">
        <v>1468</v>
      </c>
      <c r="O12" s="3" t="s">
        <v>1498</v>
      </c>
      <c r="P12" s="3" t="s">
        <v>2068</v>
      </c>
      <c r="Q12" s="3" t="s">
        <v>2086</v>
      </c>
      <c r="R12" s="3" t="s">
        <v>2086</v>
      </c>
      <c r="S12" s="3"/>
      <c r="T12" s="3" t="s">
        <v>2086</v>
      </c>
      <c r="U12" s="3"/>
      <c r="V12" s="3"/>
      <c r="W12" s="3"/>
      <c r="X12" s="3"/>
      <c r="Y12" s="3"/>
      <c r="Z12" s="3" t="s">
        <v>1475</v>
      </c>
      <c r="AA12" s="3"/>
      <c r="AB12" s="3"/>
      <c r="AC12" s="3"/>
      <c r="AD12" s="3"/>
      <c r="AE12" s="3"/>
      <c r="AF12" s="3" t="s">
        <v>1380</v>
      </c>
      <c r="AG12" s="3" t="s">
        <v>7</v>
      </c>
      <c r="AH12" s="3"/>
      <c r="AI12" s="3"/>
      <c r="AJ12" s="3" t="s">
        <v>1518</v>
      </c>
      <c r="AK12" s="3" t="s">
        <v>1382</v>
      </c>
      <c r="AL12" s="3"/>
      <c r="AM12" s="3"/>
      <c r="AN12" s="8" t="s">
        <v>2070</v>
      </c>
    </row>
    <row r="13" spans="1:40" ht="60" customHeight="1" x14ac:dyDescent="0.2">
      <c r="A13" s="3" t="s">
        <v>2087</v>
      </c>
      <c r="B13" s="3" t="s">
        <v>2015</v>
      </c>
      <c r="C13" s="3" t="s">
        <v>2059</v>
      </c>
      <c r="D13" s="3" t="s">
        <v>2088</v>
      </c>
      <c r="E13" s="3" t="s">
        <v>2089</v>
      </c>
      <c r="F13" s="3" t="s">
        <v>2062</v>
      </c>
      <c r="G13" s="3" t="s">
        <v>2063</v>
      </c>
      <c r="H13" s="3" t="s">
        <v>2090</v>
      </c>
      <c r="I13" s="3" t="s">
        <v>2091</v>
      </c>
      <c r="J13" s="3" t="s">
        <v>1858</v>
      </c>
      <c r="K13" s="3" t="s">
        <v>1465</v>
      </c>
      <c r="L13" s="3" t="s">
        <v>2092</v>
      </c>
      <c r="M13" s="3" t="s">
        <v>1747</v>
      </c>
      <c r="N13" s="3" t="s">
        <v>1468</v>
      </c>
      <c r="O13" s="3" t="s">
        <v>2067</v>
      </c>
      <c r="P13" s="3" t="s">
        <v>2068</v>
      </c>
      <c r="Q13" s="3" t="s">
        <v>1471</v>
      </c>
      <c r="R13" s="3" t="s">
        <v>1471</v>
      </c>
      <c r="S13" s="3"/>
      <c r="T13" s="3" t="s">
        <v>1471</v>
      </c>
      <c r="U13" s="3"/>
      <c r="V13" s="3"/>
      <c r="W13" s="3"/>
      <c r="X13" s="3"/>
      <c r="Y13" s="3"/>
      <c r="Z13" s="3" t="s">
        <v>1475</v>
      </c>
      <c r="AA13" s="3"/>
      <c r="AB13" s="3"/>
      <c r="AC13" s="3"/>
      <c r="AD13" s="3"/>
      <c r="AE13" s="3"/>
      <c r="AF13" s="3" t="s">
        <v>1380</v>
      </c>
      <c r="AG13" s="3" t="s">
        <v>7</v>
      </c>
      <c r="AH13" s="3"/>
      <c r="AI13" s="3"/>
      <c r="AJ13" s="3" t="s">
        <v>2069</v>
      </c>
      <c r="AK13" s="3" t="s">
        <v>1382</v>
      </c>
      <c r="AL13" s="3"/>
      <c r="AM13" s="3"/>
      <c r="AN13" s="8" t="s">
        <v>2070</v>
      </c>
    </row>
    <row r="14" spans="1:40" ht="60" customHeight="1" x14ac:dyDescent="0.2">
      <c r="A14" s="3" t="s">
        <v>2093</v>
      </c>
      <c r="B14" s="3" t="s">
        <v>2015</v>
      </c>
      <c r="C14" s="3" t="s">
        <v>2059</v>
      </c>
      <c r="D14" s="3" t="s">
        <v>2094</v>
      </c>
      <c r="E14" s="3" t="s">
        <v>2095</v>
      </c>
      <c r="F14" s="3" t="s">
        <v>2062</v>
      </c>
      <c r="G14" s="3" t="s">
        <v>2074</v>
      </c>
      <c r="H14" s="3" t="s">
        <v>2096</v>
      </c>
      <c r="I14" s="3" t="s">
        <v>2096</v>
      </c>
      <c r="J14" s="3" t="s">
        <v>1485</v>
      </c>
      <c r="K14" s="3" t="s">
        <v>1465</v>
      </c>
      <c r="L14" s="3" t="s">
        <v>1466</v>
      </c>
      <c r="M14" s="3" t="s">
        <v>1747</v>
      </c>
      <c r="N14" s="3" t="s">
        <v>1468</v>
      </c>
      <c r="O14" s="3" t="s">
        <v>1498</v>
      </c>
      <c r="P14" s="3" t="s">
        <v>2068</v>
      </c>
      <c r="Q14" s="3" t="s">
        <v>2097</v>
      </c>
      <c r="R14" s="3" t="s">
        <v>2097</v>
      </c>
      <c r="S14" s="3"/>
      <c r="T14" s="3" t="s">
        <v>2097</v>
      </c>
      <c r="U14" s="3"/>
      <c r="V14" s="3"/>
      <c r="W14" s="3"/>
      <c r="X14" s="3"/>
      <c r="Y14" s="3"/>
      <c r="Z14" s="3" t="s">
        <v>1475</v>
      </c>
      <c r="AA14" s="3"/>
      <c r="AB14" s="3"/>
      <c r="AC14" s="3"/>
      <c r="AD14" s="3"/>
      <c r="AE14" s="3" t="s">
        <v>1656</v>
      </c>
      <c r="AF14" s="3" t="s">
        <v>1380</v>
      </c>
      <c r="AG14" s="3" t="s">
        <v>7</v>
      </c>
      <c r="AH14" s="3"/>
      <c r="AI14" s="3"/>
      <c r="AJ14" s="3" t="s">
        <v>1518</v>
      </c>
      <c r="AK14" s="3" t="s">
        <v>1382</v>
      </c>
      <c r="AL14" s="3"/>
      <c r="AM14" s="3"/>
      <c r="AN14" s="8" t="s">
        <v>2070</v>
      </c>
    </row>
    <row r="15" spans="1:40" ht="60" customHeight="1" x14ac:dyDescent="0.2">
      <c r="A15" s="3" t="s">
        <v>2098</v>
      </c>
      <c r="B15" s="3" t="s">
        <v>2015</v>
      </c>
      <c r="C15" s="3" t="s">
        <v>1541</v>
      </c>
      <c r="D15" s="3" t="s">
        <v>2099</v>
      </c>
      <c r="E15" s="3" t="s">
        <v>2100</v>
      </c>
      <c r="F15" s="3" t="s">
        <v>2101</v>
      </c>
      <c r="G15" s="3" t="s">
        <v>2102</v>
      </c>
      <c r="H15" s="3" t="s">
        <v>2103</v>
      </c>
      <c r="I15" s="3" t="s">
        <v>2103</v>
      </c>
      <c r="J15" s="3" t="s">
        <v>1844</v>
      </c>
      <c r="K15" s="3" t="s">
        <v>1730</v>
      </c>
      <c r="L15" s="3" t="s">
        <v>2104</v>
      </c>
      <c r="M15" s="3" t="s">
        <v>1467</v>
      </c>
      <c r="N15" s="3" t="s">
        <v>1468</v>
      </c>
      <c r="O15" s="3" t="s">
        <v>1498</v>
      </c>
      <c r="P15" s="3" t="s">
        <v>2105</v>
      </c>
      <c r="Q15" s="3" t="s">
        <v>2106</v>
      </c>
      <c r="R15" s="3" t="s">
        <v>2106</v>
      </c>
      <c r="S15" s="3"/>
      <c r="T15" s="3" t="s">
        <v>2106</v>
      </c>
      <c r="U15" s="3"/>
      <c r="V15" s="3"/>
      <c r="W15" s="3"/>
      <c r="X15" s="3"/>
      <c r="Y15" s="3"/>
      <c r="Z15" s="3" t="s">
        <v>1850</v>
      </c>
      <c r="AA15" s="3"/>
      <c r="AB15" s="3"/>
      <c r="AC15" s="3"/>
      <c r="AD15" s="3"/>
      <c r="AE15" s="3"/>
      <c r="AF15" s="3" t="s">
        <v>1380</v>
      </c>
      <c r="AG15" s="3" t="s">
        <v>7</v>
      </c>
      <c r="AH15" s="3"/>
      <c r="AI15" s="3"/>
      <c r="AJ15" s="3" t="s">
        <v>1518</v>
      </c>
      <c r="AK15" s="3" t="s">
        <v>1382</v>
      </c>
      <c r="AL15" s="3"/>
      <c r="AM15" s="3"/>
      <c r="AN15" s="3" t="s">
        <v>2001</v>
      </c>
    </row>
    <row r="16" spans="1:40" ht="60" customHeight="1" x14ac:dyDescent="0.2">
      <c r="A16" s="3" t="s">
        <v>2107</v>
      </c>
      <c r="B16" s="3" t="s">
        <v>2015</v>
      </c>
      <c r="C16" s="3" t="s">
        <v>1541</v>
      </c>
      <c r="D16" s="3" t="s">
        <v>2108</v>
      </c>
      <c r="E16" s="3" t="s">
        <v>2109</v>
      </c>
      <c r="F16" s="3" t="s">
        <v>2101</v>
      </c>
      <c r="G16" s="3" t="s">
        <v>2102</v>
      </c>
      <c r="H16" s="3" t="s">
        <v>2110</v>
      </c>
      <c r="I16" s="3" t="s">
        <v>2110</v>
      </c>
      <c r="J16" s="3" t="s">
        <v>1844</v>
      </c>
      <c r="K16" s="3" t="s">
        <v>1465</v>
      </c>
      <c r="L16" s="3" t="s">
        <v>2111</v>
      </c>
      <c r="M16" s="3" t="s">
        <v>1467</v>
      </c>
      <c r="N16" s="3" t="s">
        <v>1468</v>
      </c>
      <c r="O16" s="3" t="s">
        <v>1498</v>
      </c>
      <c r="P16" s="3" t="s">
        <v>2105</v>
      </c>
      <c r="Q16" s="3" t="s">
        <v>2112</v>
      </c>
      <c r="R16" s="3" t="s">
        <v>2112</v>
      </c>
      <c r="S16" s="3"/>
      <c r="T16" s="3" t="s">
        <v>2112</v>
      </c>
      <c r="U16" s="3"/>
      <c r="V16" s="3"/>
      <c r="W16" s="3"/>
      <c r="X16" s="3"/>
      <c r="Y16" s="3"/>
      <c r="Z16" s="3" t="s">
        <v>1850</v>
      </c>
      <c r="AA16" s="3"/>
      <c r="AB16" s="3"/>
      <c r="AC16" s="3"/>
      <c r="AD16" s="3"/>
      <c r="AE16" s="3"/>
      <c r="AF16" s="3" t="s">
        <v>1380</v>
      </c>
      <c r="AG16" s="3" t="s">
        <v>7</v>
      </c>
      <c r="AH16" s="3"/>
      <c r="AI16" s="3"/>
      <c r="AJ16" s="3" t="s">
        <v>1518</v>
      </c>
      <c r="AK16" s="3" t="s">
        <v>1382</v>
      </c>
      <c r="AL16" s="3"/>
      <c r="AM16" s="3"/>
      <c r="AN16" s="3" t="s">
        <v>2001</v>
      </c>
    </row>
    <row r="17" spans="1:40" ht="60" customHeight="1" x14ac:dyDescent="0.2">
      <c r="A17" s="3" t="s">
        <v>2113</v>
      </c>
      <c r="B17" s="3" t="s">
        <v>2015</v>
      </c>
      <c r="C17" s="3" t="s">
        <v>1541</v>
      </c>
      <c r="D17" s="3" t="s">
        <v>2114</v>
      </c>
      <c r="E17" s="3" t="s">
        <v>2115</v>
      </c>
      <c r="F17" s="3" t="s">
        <v>2101</v>
      </c>
      <c r="G17" s="3" t="s">
        <v>2102</v>
      </c>
      <c r="H17" s="3" t="s">
        <v>2116</v>
      </c>
      <c r="I17" s="3" t="s">
        <v>2116</v>
      </c>
      <c r="J17" s="3" t="s">
        <v>1844</v>
      </c>
      <c r="K17" s="3" t="s">
        <v>1465</v>
      </c>
      <c r="L17" s="3" t="s">
        <v>2117</v>
      </c>
      <c r="M17" s="3" t="s">
        <v>1467</v>
      </c>
      <c r="N17" s="3" t="s">
        <v>1468</v>
      </c>
      <c r="O17" s="3" t="s">
        <v>1498</v>
      </c>
      <c r="P17" s="3" t="s">
        <v>2105</v>
      </c>
      <c r="Q17" s="3" t="s">
        <v>1471</v>
      </c>
      <c r="R17" s="3" t="s">
        <v>1471</v>
      </c>
      <c r="S17" s="3"/>
      <c r="T17" s="3" t="s">
        <v>1471</v>
      </c>
      <c r="U17" s="3"/>
      <c r="V17" s="3"/>
      <c r="W17" s="3"/>
      <c r="X17" s="3"/>
      <c r="Y17" s="3"/>
      <c r="Z17" s="3" t="s">
        <v>1850</v>
      </c>
      <c r="AA17" s="3"/>
      <c r="AB17" s="3"/>
      <c r="AC17" s="3"/>
      <c r="AD17" s="3"/>
      <c r="AE17" s="3"/>
      <c r="AF17" s="3" t="s">
        <v>1380</v>
      </c>
      <c r="AG17" s="3" t="s">
        <v>7</v>
      </c>
      <c r="AH17" s="3"/>
      <c r="AI17" s="3"/>
      <c r="AJ17" s="3" t="s">
        <v>1518</v>
      </c>
      <c r="AK17" s="3" t="s">
        <v>1382</v>
      </c>
      <c r="AL17" s="3"/>
      <c r="AM17" s="3"/>
      <c r="AN17" s="3" t="s">
        <v>2001</v>
      </c>
    </row>
  </sheetData>
  <autoFilter ref="A1:AN17"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44"/>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2"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2" customWidth="1"/>
    <col min="32" max="32" width="12" customWidth="1"/>
    <col min="33" max="33" width="11" customWidth="1"/>
    <col min="34" max="34" width="42" customWidth="1"/>
    <col min="35" max="35" width="52" customWidth="1"/>
    <col min="36" max="36" width="46" customWidth="1"/>
    <col min="37" max="37" width="20" customWidth="1"/>
    <col min="38" max="38" width="36" customWidth="1"/>
    <col min="39" max="40" width="30" customWidth="1"/>
  </cols>
  <sheetData>
    <row r="1" spans="1:40" ht="45" customHeight="1" x14ac:dyDescent="0.2">
      <c r="A1" s="1" t="s">
        <v>1316</v>
      </c>
      <c r="B1" s="1" t="s">
        <v>1317</v>
      </c>
      <c r="C1" s="1" t="s">
        <v>1318</v>
      </c>
      <c r="D1" s="1" t="s">
        <v>1319</v>
      </c>
      <c r="E1" s="1" t="s">
        <v>1320</v>
      </c>
      <c r="F1" s="1" t="s">
        <v>1321</v>
      </c>
      <c r="G1" s="1" t="s">
        <v>1322</v>
      </c>
      <c r="H1" s="1" t="s">
        <v>1323</v>
      </c>
      <c r="I1" s="1" t="s">
        <v>1324</v>
      </c>
      <c r="J1" s="1" t="s">
        <v>1325</v>
      </c>
      <c r="K1" s="1" t="s">
        <v>1326</v>
      </c>
      <c r="L1" s="1" t="s">
        <v>335</v>
      </c>
      <c r="M1" s="1" t="s">
        <v>1327</v>
      </c>
      <c r="N1" s="1" t="s">
        <v>1328</v>
      </c>
      <c r="O1" s="1" t="s">
        <v>1329</v>
      </c>
      <c r="P1" s="1" t="s">
        <v>1330</v>
      </c>
      <c r="Q1" s="1" t="s">
        <v>1331</v>
      </c>
      <c r="R1" s="1" t="s">
        <v>1332</v>
      </c>
      <c r="S1" s="1" t="s">
        <v>1333</v>
      </c>
      <c r="T1" s="1" t="s">
        <v>1334</v>
      </c>
      <c r="U1" s="1" t="s">
        <v>1335</v>
      </c>
      <c r="V1" s="1" t="s">
        <v>1336</v>
      </c>
      <c r="W1" s="1" t="s">
        <v>1337</v>
      </c>
      <c r="X1" s="1" t="s">
        <v>1338</v>
      </c>
      <c r="Y1" s="1" t="s">
        <v>1339</v>
      </c>
      <c r="Z1" s="1" t="s">
        <v>1340</v>
      </c>
      <c r="AA1" s="1" t="s">
        <v>1341</v>
      </c>
      <c r="AB1" s="1" t="s">
        <v>1342</v>
      </c>
      <c r="AC1" s="1" t="s">
        <v>1343</v>
      </c>
      <c r="AD1" s="1" t="s">
        <v>1344</v>
      </c>
      <c r="AE1" s="1" t="s">
        <v>1345</v>
      </c>
      <c r="AF1" s="1" t="s">
        <v>1346</v>
      </c>
      <c r="AG1" s="1" t="s">
        <v>1347</v>
      </c>
      <c r="AH1" s="1" t="s">
        <v>1348</v>
      </c>
      <c r="AI1" s="1" t="s">
        <v>1349</v>
      </c>
      <c r="AJ1" s="1" t="s">
        <v>1350</v>
      </c>
      <c r="AK1" s="1" t="s">
        <v>1351</v>
      </c>
      <c r="AL1" s="1" t="s">
        <v>1352</v>
      </c>
      <c r="AM1" s="1" t="s">
        <v>1353</v>
      </c>
      <c r="AN1" s="1" t="s">
        <v>1210</v>
      </c>
    </row>
    <row r="2" spans="1:40" ht="60" customHeight="1" x14ac:dyDescent="0.2">
      <c r="A2" s="3" t="s">
        <v>2118</v>
      </c>
      <c r="B2" s="3" t="s">
        <v>2119</v>
      </c>
      <c r="C2" s="3" t="s">
        <v>1355</v>
      </c>
      <c r="D2" s="3" t="s">
        <v>2120</v>
      </c>
      <c r="E2" s="3" t="s">
        <v>2121</v>
      </c>
      <c r="F2" s="3" t="s">
        <v>2122</v>
      </c>
      <c r="G2" s="3" t="s">
        <v>2123</v>
      </c>
      <c r="H2" s="3" t="s">
        <v>2124</v>
      </c>
      <c r="I2" s="3" t="s">
        <v>2125</v>
      </c>
      <c r="J2" s="3" t="s">
        <v>2126</v>
      </c>
      <c r="K2" s="3" t="s">
        <v>1585</v>
      </c>
      <c r="L2" s="3" t="s">
        <v>2127</v>
      </c>
      <c r="M2" s="3" t="s">
        <v>1586</v>
      </c>
      <c r="N2" s="3" t="s">
        <v>1366</v>
      </c>
      <c r="O2" s="3" t="s">
        <v>2128</v>
      </c>
      <c r="P2" s="3" t="s">
        <v>2129</v>
      </c>
      <c r="Q2" s="3" t="s">
        <v>2130</v>
      </c>
      <c r="R2" s="3"/>
      <c r="S2" s="3"/>
      <c r="T2" s="3" t="s">
        <v>1399</v>
      </c>
      <c r="U2" s="3"/>
      <c r="V2" s="3"/>
      <c r="W2" s="3"/>
      <c r="X2" s="3"/>
      <c r="Y2" s="3" t="s">
        <v>1374</v>
      </c>
      <c r="Z2" s="3" t="s">
        <v>1375</v>
      </c>
      <c r="AA2" s="3" t="s">
        <v>1437</v>
      </c>
      <c r="AB2" s="3" t="s">
        <v>1504</v>
      </c>
      <c r="AC2" s="3" t="s">
        <v>1378</v>
      </c>
      <c r="AD2" s="3"/>
      <c r="AE2" s="3" t="s">
        <v>1454</v>
      </c>
      <c r="AF2" s="3" t="s">
        <v>1380</v>
      </c>
      <c r="AG2" s="3" t="s">
        <v>1150</v>
      </c>
      <c r="AH2" s="3"/>
      <c r="AI2" s="3"/>
      <c r="AJ2" s="3" t="s">
        <v>2131</v>
      </c>
      <c r="AK2" s="3" t="s">
        <v>1382</v>
      </c>
      <c r="AL2" s="3"/>
      <c r="AM2" s="3"/>
      <c r="AN2" s="8" t="s">
        <v>2132</v>
      </c>
    </row>
    <row r="3" spans="1:40" ht="60" customHeight="1" x14ac:dyDescent="0.2">
      <c r="A3" s="3" t="s">
        <v>2133</v>
      </c>
      <c r="B3" s="3" t="s">
        <v>2119</v>
      </c>
      <c r="C3" s="3" t="s">
        <v>1355</v>
      </c>
      <c r="D3" s="3" t="s">
        <v>2134</v>
      </c>
      <c r="E3" s="3" t="s">
        <v>2135</v>
      </c>
      <c r="F3" s="3" t="s">
        <v>2122</v>
      </c>
      <c r="G3" s="3" t="s">
        <v>2123</v>
      </c>
      <c r="H3" s="3" t="s">
        <v>2124</v>
      </c>
      <c r="I3" s="3" t="s">
        <v>2125</v>
      </c>
      <c r="J3" s="3" t="s">
        <v>2126</v>
      </c>
      <c r="K3" s="3" t="s">
        <v>1363</v>
      </c>
      <c r="L3" s="3" t="s">
        <v>2127</v>
      </c>
      <c r="M3" s="3" t="s">
        <v>1365</v>
      </c>
      <c r="N3" s="3" t="s">
        <v>1366</v>
      </c>
      <c r="O3" s="3" t="s">
        <v>2128</v>
      </c>
      <c r="P3" s="3" t="s">
        <v>2129</v>
      </c>
      <c r="Q3" s="3" t="s">
        <v>2130</v>
      </c>
      <c r="R3" s="3"/>
      <c r="S3" s="3"/>
      <c r="T3" s="3" t="s">
        <v>1399</v>
      </c>
      <c r="U3" s="3"/>
      <c r="V3" s="3"/>
      <c r="W3" s="3"/>
      <c r="X3" s="3"/>
      <c r="Y3" s="3" t="s">
        <v>1374</v>
      </c>
      <c r="Z3" s="3" t="s">
        <v>1375</v>
      </c>
      <c r="AA3" s="3" t="s">
        <v>1437</v>
      </c>
      <c r="AB3" s="3" t="s">
        <v>1504</v>
      </c>
      <c r="AC3" s="3" t="s">
        <v>1378</v>
      </c>
      <c r="AD3" s="3"/>
      <c r="AE3" s="3" t="s">
        <v>1454</v>
      </c>
      <c r="AF3" s="3" t="s">
        <v>1380</v>
      </c>
      <c r="AG3" s="3" t="s">
        <v>1150</v>
      </c>
      <c r="AH3" s="3"/>
      <c r="AI3" s="3"/>
      <c r="AJ3" s="3" t="s">
        <v>2131</v>
      </c>
      <c r="AK3" s="3" t="s">
        <v>1382</v>
      </c>
      <c r="AL3" s="3"/>
      <c r="AM3" s="3"/>
      <c r="AN3" s="8" t="s">
        <v>2132</v>
      </c>
    </row>
    <row r="4" spans="1:40" ht="60" customHeight="1" x14ac:dyDescent="0.2">
      <c r="A4" s="3" t="s">
        <v>2136</v>
      </c>
      <c r="B4" s="3" t="s">
        <v>2119</v>
      </c>
      <c r="C4" s="3" t="s">
        <v>1355</v>
      </c>
      <c r="D4" s="3" t="s">
        <v>2137</v>
      </c>
      <c r="E4" s="3" t="s">
        <v>2138</v>
      </c>
      <c r="F4" s="3" t="s">
        <v>1522</v>
      </c>
      <c r="G4" s="3"/>
      <c r="H4" s="3" t="s">
        <v>2139</v>
      </c>
      <c r="I4" s="3" t="s">
        <v>2140</v>
      </c>
      <c r="J4" s="3" t="s">
        <v>1413</v>
      </c>
      <c r="K4" s="3" t="s">
        <v>1414</v>
      </c>
      <c r="L4" s="3" t="s">
        <v>2141</v>
      </c>
      <c r="M4" s="3" t="s">
        <v>1365</v>
      </c>
      <c r="N4" s="3" t="s">
        <v>1608</v>
      </c>
      <c r="O4" s="3" t="s">
        <v>1450</v>
      </c>
      <c r="P4" s="3" t="s">
        <v>1450</v>
      </c>
      <c r="Q4" s="3" t="s">
        <v>1451</v>
      </c>
      <c r="R4" s="3"/>
      <c r="S4" s="3"/>
      <c r="T4" s="3" t="s">
        <v>1399</v>
      </c>
      <c r="U4" s="3"/>
      <c r="V4" s="3"/>
      <c r="W4" s="3"/>
      <c r="X4" s="3"/>
      <c r="Y4" s="3" t="s">
        <v>1374</v>
      </c>
      <c r="Z4" s="3" t="s">
        <v>1375</v>
      </c>
      <c r="AA4" s="3" t="s">
        <v>1437</v>
      </c>
      <c r="AB4" s="3" t="s">
        <v>1452</v>
      </c>
      <c r="AC4" s="3" t="s">
        <v>1526</v>
      </c>
      <c r="AD4" s="3"/>
      <c r="AE4" s="3" t="s">
        <v>2142</v>
      </c>
      <c r="AF4" s="3" t="s">
        <v>1380</v>
      </c>
      <c r="AG4" s="3" t="s">
        <v>428</v>
      </c>
      <c r="AH4" s="3"/>
      <c r="AI4" s="3"/>
      <c r="AJ4" s="3" t="s">
        <v>1455</v>
      </c>
      <c r="AK4" s="3" t="s">
        <v>1382</v>
      </c>
      <c r="AL4" s="3"/>
      <c r="AM4" s="3"/>
      <c r="AN4" s="8" t="s">
        <v>2143</v>
      </c>
    </row>
    <row r="5" spans="1:40" ht="60" customHeight="1" x14ac:dyDescent="0.2">
      <c r="A5" s="3" t="s">
        <v>2144</v>
      </c>
      <c r="B5" s="3" t="s">
        <v>2119</v>
      </c>
      <c r="C5" s="3" t="s">
        <v>1355</v>
      </c>
      <c r="D5" s="3" t="e">
        <f>Guaranteed</f>
        <v>#NAME?</v>
      </c>
      <c r="E5" s="3" t="s">
        <v>2145</v>
      </c>
      <c r="F5" s="3" t="s">
        <v>1522</v>
      </c>
      <c r="G5" s="3"/>
      <c r="H5" s="3" t="s">
        <v>2139</v>
      </c>
      <c r="I5" s="3" t="s">
        <v>2140</v>
      </c>
      <c r="J5" s="3" t="s">
        <v>1413</v>
      </c>
      <c r="K5" s="3" t="s">
        <v>1414</v>
      </c>
      <c r="L5" s="3" t="s">
        <v>2141</v>
      </c>
      <c r="M5" s="3" t="s">
        <v>1365</v>
      </c>
      <c r="N5" s="3" t="s">
        <v>1366</v>
      </c>
      <c r="O5" s="3" t="s">
        <v>1450</v>
      </c>
      <c r="P5" s="3" t="s">
        <v>1450</v>
      </c>
      <c r="Q5" s="3" t="s">
        <v>1451</v>
      </c>
      <c r="R5" s="3"/>
      <c r="S5" s="3"/>
      <c r="T5" s="3" t="s">
        <v>1399</v>
      </c>
      <c r="U5" s="3"/>
      <c r="V5" s="3"/>
      <c r="W5" s="3"/>
      <c r="X5" s="3"/>
      <c r="Y5" s="3" t="s">
        <v>1374</v>
      </c>
      <c r="Z5" s="3" t="s">
        <v>1375</v>
      </c>
      <c r="AA5" s="3" t="s">
        <v>2146</v>
      </c>
      <c r="AB5" s="3" t="s">
        <v>1452</v>
      </c>
      <c r="AC5" s="3" t="s">
        <v>1526</v>
      </c>
      <c r="AD5" s="3"/>
      <c r="AE5" s="3" t="s">
        <v>2147</v>
      </c>
      <c r="AF5" s="3" t="s">
        <v>1380</v>
      </c>
      <c r="AG5" s="3" t="s">
        <v>428</v>
      </c>
      <c r="AH5" s="3"/>
      <c r="AI5" s="3"/>
      <c r="AJ5" s="3" t="s">
        <v>1455</v>
      </c>
      <c r="AK5" s="3" t="s">
        <v>1382</v>
      </c>
      <c r="AL5" s="3"/>
      <c r="AM5" s="3"/>
      <c r="AN5" s="8" t="s">
        <v>2143</v>
      </c>
    </row>
    <row r="6" spans="1:40" ht="60" customHeight="1" x14ac:dyDescent="0.2">
      <c r="A6" s="3" t="s">
        <v>2148</v>
      </c>
      <c r="B6" s="3" t="s">
        <v>2119</v>
      </c>
      <c r="C6" s="3" t="s">
        <v>1355</v>
      </c>
      <c r="D6" s="3" t="s">
        <v>2149</v>
      </c>
      <c r="E6" s="3" t="s">
        <v>2150</v>
      </c>
      <c r="F6" s="3" t="s">
        <v>1522</v>
      </c>
      <c r="G6" s="3"/>
      <c r="H6" s="3" t="s">
        <v>2139</v>
      </c>
      <c r="I6" s="3" t="s">
        <v>2140</v>
      </c>
      <c r="J6" s="3" t="s">
        <v>1413</v>
      </c>
      <c r="K6" s="3" t="s">
        <v>1414</v>
      </c>
      <c r="L6" s="3" t="s">
        <v>2141</v>
      </c>
      <c r="M6" s="3" t="s">
        <v>1365</v>
      </c>
      <c r="N6" s="3" t="s">
        <v>1366</v>
      </c>
      <c r="O6" s="3" t="s">
        <v>1450</v>
      </c>
      <c r="P6" s="3" t="s">
        <v>1450</v>
      </c>
      <c r="Q6" s="3" t="s">
        <v>1451</v>
      </c>
      <c r="R6" s="3"/>
      <c r="S6" s="3"/>
      <c r="T6" s="3" t="s">
        <v>1399</v>
      </c>
      <c r="U6" s="3"/>
      <c r="V6" s="3"/>
      <c r="W6" s="3"/>
      <c r="X6" s="3"/>
      <c r="Y6" s="3" t="s">
        <v>1374</v>
      </c>
      <c r="Z6" s="3" t="s">
        <v>1375</v>
      </c>
      <c r="AA6" s="3" t="s">
        <v>1437</v>
      </c>
      <c r="AB6" s="3" t="s">
        <v>1452</v>
      </c>
      <c r="AC6" s="3" t="s">
        <v>1526</v>
      </c>
      <c r="AD6" s="3"/>
      <c r="AE6" s="3" t="s">
        <v>2142</v>
      </c>
      <c r="AF6" s="3" t="s">
        <v>1380</v>
      </c>
      <c r="AG6" s="3" t="s">
        <v>428</v>
      </c>
      <c r="AH6" s="3"/>
      <c r="AI6" s="3"/>
      <c r="AJ6" s="3" t="s">
        <v>1455</v>
      </c>
      <c r="AK6" s="3" t="s">
        <v>1382</v>
      </c>
      <c r="AL6" s="3"/>
      <c r="AM6" s="3"/>
      <c r="AN6" s="8" t="s">
        <v>2143</v>
      </c>
    </row>
    <row r="7" spans="1:40" ht="60" customHeight="1" x14ac:dyDescent="0.2">
      <c r="A7" s="3" t="s">
        <v>2151</v>
      </c>
      <c r="B7" s="3" t="s">
        <v>2119</v>
      </c>
      <c r="C7" s="3" t="s">
        <v>1355</v>
      </c>
      <c r="D7" s="3" t="s">
        <v>2152</v>
      </c>
      <c r="E7" s="3" t="s">
        <v>2153</v>
      </c>
      <c r="F7" s="3" t="s">
        <v>1446</v>
      </c>
      <c r="G7" s="3"/>
      <c r="H7" s="3" t="s">
        <v>2154</v>
      </c>
      <c r="I7" s="3" t="s">
        <v>1448</v>
      </c>
      <c r="J7" s="3" t="s">
        <v>1413</v>
      </c>
      <c r="K7" s="3" t="s">
        <v>1414</v>
      </c>
      <c r="L7" s="3" t="s">
        <v>1449</v>
      </c>
      <c r="M7" s="3" t="s">
        <v>1365</v>
      </c>
      <c r="N7" s="3" t="s">
        <v>1366</v>
      </c>
      <c r="O7" s="3" t="s">
        <v>1450</v>
      </c>
      <c r="P7" s="3" t="s">
        <v>1450</v>
      </c>
      <c r="Q7" s="3" t="s">
        <v>1451</v>
      </c>
      <c r="R7" s="3"/>
      <c r="S7" s="3"/>
      <c r="T7" s="3" t="s">
        <v>1399</v>
      </c>
      <c r="U7" s="3"/>
      <c r="V7" s="3"/>
      <c r="W7" s="3"/>
      <c r="X7" s="3"/>
      <c r="Y7" s="3" t="s">
        <v>1374</v>
      </c>
      <c r="Z7" s="3" t="s">
        <v>1375</v>
      </c>
      <c r="AA7" s="3" t="s">
        <v>1437</v>
      </c>
      <c r="AB7" s="3" t="s">
        <v>1452</v>
      </c>
      <c r="AC7" s="3" t="s">
        <v>1453</v>
      </c>
      <c r="AD7" s="3"/>
      <c r="AE7" s="3" t="s">
        <v>1454</v>
      </c>
      <c r="AF7" s="3" t="s">
        <v>1380</v>
      </c>
      <c r="AG7" s="3" t="s">
        <v>700</v>
      </c>
      <c r="AH7" s="3"/>
      <c r="AI7" s="3"/>
      <c r="AJ7" s="3" t="s">
        <v>1455</v>
      </c>
      <c r="AK7" s="3" t="s">
        <v>1382</v>
      </c>
      <c r="AL7" s="3"/>
      <c r="AM7" s="3"/>
      <c r="AN7" s="8" t="s">
        <v>2143</v>
      </c>
    </row>
    <row r="8" spans="1:40" ht="60" customHeight="1" x14ac:dyDescent="0.2">
      <c r="A8" s="3" t="s">
        <v>2155</v>
      </c>
      <c r="B8" s="3" t="s">
        <v>2119</v>
      </c>
      <c r="C8" s="3" t="s">
        <v>1355</v>
      </c>
      <c r="D8" s="3" t="s">
        <v>2156</v>
      </c>
      <c r="E8" s="3" t="s">
        <v>2157</v>
      </c>
      <c r="F8" s="3" t="s">
        <v>1522</v>
      </c>
      <c r="G8" s="3"/>
      <c r="H8" s="3" t="s">
        <v>2158</v>
      </c>
      <c r="I8" s="3" t="s">
        <v>2159</v>
      </c>
      <c r="J8" s="3" t="s">
        <v>1413</v>
      </c>
      <c r="K8" s="3" t="s">
        <v>1414</v>
      </c>
      <c r="L8" s="3" t="s">
        <v>1514</v>
      </c>
      <c r="M8" s="3" t="s">
        <v>1365</v>
      </c>
      <c r="N8" s="3" t="s">
        <v>1366</v>
      </c>
      <c r="O8" s="3" t="s">
        <v>1450</v>
      </c>
      <c r="P8" s="3" t="s">
        <v>1450</v>
      </c>
      <c r="Q8" s="3" t="s">
        <v>1451</v>
      </c>
      <c r="R8" s="3"/>
      <c r="S8" s="3"/>
      <c r="T8" s="3" t="s">
        <v>1399</v>
      </c>
      <c r="U8" s="3"/>
      <c r="V8" s="3"/>
      <c r="W8" s="3"/>
      <c r="X8" s="3"/>
      <c r="Y8" s="3" t="s">
        <v>1374</v>
      </c>
      <c r="Z8" s="3" t="s">
        <v>1375</v>
      </c>
      <c r="AA8" s="3" t="s">
        <v>1437</v>
      </c>
      <c r="AB8" s="3" t="s">
        <v>1452</v>
      </c>
      <c r="AC8" s="3" t="s">
        <v>1526</v>
      </c>
      <c r="AD8" s="3"/>
      <c r="AE8" s="3" t="s">
        <v>1454</v>
      </c>
      <c r="AF8" s="3" t="s">
        <v>1380</v>
      </c>
      <c r="AG8" s="3" t="s">
        <v>700</v>
      </c>
      <c r="AH8" s="3"/>
      <c r="AI8" s="3"/>
      <c r="AJ8" s="3" t="s">
        <v>1455</v>
      </c>
      <c r="AK8" s="3" t="s">
        <v>1382</v>
      </c>
      <c r="AL8" s="3"/>
      <c r="AM8" s="3"/>
      <c r="AN8" s="8" t="s">
        <v>2132</v>
      </c>
    </row>
    <row r="9" spans="1:40" ht="60" customHeight="1" x14ac:dyDescent="0.2">
      <c r="A9" s="3" t="s">
        <v>465</v>
      </c>
      <c r="B9" s="3" t="s">
        <v>2119</v>
      </c>
      <c r="C9" s="3" t="s">
        <v>2160</v>
      </c>
      <c r="D9" s="3" t="s">
        <v>2161</v>
      </c>
      <c r="E9" s="3" t="s">
        <v>2162</v>
      </c>
      <c r="F9" s="3" t="s">
        <v>2163</v>
      </c>
      <c r="G9" s="3" t="s">
        <v>2164</v>
      </c>
      <c r="H9" s="3" t="s">
        <v>2165</v>
      </c>
      <c r="I9" s="3" t="s">
        <v>2166</v>
      </c>
      <c r="J9" s="3" t="s">
        <v>2167</v>
      </c>
      <c r="K9" s="3" t="s">
        <v>1363</v>
      </c>
      <c r="L9" s="3" t="s">
        <v>1514</v>
      </c>
      <c r="M9" s="3" t="s">
        <v>1365</v>
      </c>
      <c r="N9" s="3" t="s">
        <v>1608</v>
      </c>
      <c r="O9" s="3" t="s">
        <v>2168</v>
      </c>
      <c r="P9" s="3" t="s">
        <v>2169</v>
      </c>
      <c r="Q9" s="3" t="s">
        <v>2170</v>
      </c>
      <c r="R9" s="3"/>
      <c r="S9" s="3"/>
      <c r="T9" s="3" t="s">
        <v>1399</v>
      </c>
      <c r="U9" s="3"/>
      <c r="V9" s="3"/>
      <c r="W9" s="3"/>
      <c r="X9" s="3"/>
      <c r="Y9" s="3" t="s">
        <v>1374</v>
      </c>
      <c r="Z9" s="3" t="s">
        <v>1375</v>
      </c>
      <c r="AA9" s="3" t="s">
        <v>1437</v>
      </c>
      <c r="AB9" s="3" t="s">
        <v>1504</v>
      </c>
      <c r="AC9" s="3" t="s">
        <v>1378</v>
      </c>
      <c r="AD9" s="3"/>
      <c r="AE9" s="3" t="s">
        <v>2171</v>
      </c>
      <c r="AF9" s="3" t="s">
        <v>1380</v>
      </c>
      <c r="AG9" s="3" t="s">
        <v>7</v>
      </c>
      <c r="AH9" s="3"/>
      <c r="AI9" s="3"/>
      <c r="AJ9" s="3" t="s">
        <v>2172</v>
      </c>
      <c r="AK9" s="3" t="s">
        <v>1382</v>
      </c>
      <c r="AL9" s="3"/>
      <c r="AM9" s="3"/>
      <c r="AN9" s="8" t="s">
        <v>2132</v>
      </c>
    </row>
    <row r="10" spans="1:40" ht="60" customHeight="1" x14ac:dyDescent="0.2">
      <c r="A10" s="3" t="s">
        <v>2173</v>
      </c>
      <c r="B10" s="3" t="s">
        <v>2119</v>
      </c>
      <c r="C10" s="3" t="s">
        <v>2160</v>
      </c>
      <c r="D10" s="3" t="s">
        <v>2174</v>
      </c>
      <c r="E10" s="3" t="s">
        <v>2175</v>
      </c>
      <c r="F10" s="3" t="s">
        <v>2176</v>
      </c>
      <c r="G10" s="3" t="s">
        <v>2177</v>
      </c>
      <c r="H10" s="3" t="s">
        <v>2178</v>
      </c>
      <c r="I10" s="3" t="s">
        <v>2179</v>
      </c>
      <c r="J10" s="3" t="s">
        <v>2180</v>
      </c>
      <c r="K10" s="3" t="s">
        <v>1414</v>
      </c>
      <c r="L10" s="3" t="s">
        <v>1514</v>
      </c>
      <c r="M10" s="3" t="s">
        <v>1394</v>
      </c>
      <c r="N10" s="3" t="s">
        <v>1608</v>
      </c>
      <c r="O10" s="3" t="s">
        <v>2181</v>
      </c>
      <c r="P10" s="3" t="s">
        <v>2182</v>
      </c>
      <c r="Q10" s="3" t="s">
        <v>2183</v>
      </c>
      <c r="R10" s="3"/>
      <c r="S10" s="3"/>
      <c r="T10" s="3" t="s">
        <v>2184</v>
      </c>
      <c r="U10" s="3"/>
      <c r="V10" s="3"/>
      <c r="W10" s="3"/>
      <c r="X10" s="3"/>
      <c r="Y10" s="3" t="s">
        <v>1374</v>
      </c>
      <c r="Z10" s="3" t="s">
        <v>1375</v>
      </c>
      <c r="AA10" s="3" t="s">
        <v>1437</v>
      </c>
      <c r="AB10" s="3" t="s">
        <v>1504</v>
      </c>
      <c r="AC10" s="3" t="s">
        <v>1378</v>
      </c>
      <c r="AD10" s="3"/>
      <c r="AE10" s="3" t="s">
        <v>1454</v>
      </c>
      <c r="AF10" s="3" t="s">
        <v>1380</v>
      </c>
      <c r="AG10" s="3" t="s">
        <v>7</v>
      </c>
      <c r="AH10" s="3"/>
      <c r="AI10" s="3"/>
      <c r="AJ10" s="3" t="s">
        <v>2185</v>
      </c>
      <c r="AK10" s="3" t="s">
        <v>1382</v>
      </c>
      <c r="AL10" s="3"/>
      <c r="AM10" s="3"/>
      <c r="AN10" s="8" t="s">
        <v>2132</v>
      </c>
    </row>
    <row r="11" spans="1:40" ht="60" customHeight="1" x14ac:dyDescent="0.2">
      <c r="A11" s="3" t="s">
        <v>2186</v>
      </c>
      <c r="B11" s="3" t="s">
        <v>2119</v>
      </c>
      <c r="C11" s="3" t="s">
        <v>2160</v>
      </c>
      <c r="D11" s="3" t="s">
        <v>2187</v>
      </c>
      <c r="E11" s="3" t="s">
        <v>2188</v>
      </c>
      <c r="F11" s="3" t="s">
        <v>1522</v>
      </c>
      <c r="G11" s="3"/>
      <c r="H11" s="3" t="s">
        <v>2189</v>
      </c>
      <c r="I11" s="3" t="s">
        <v>2190</v>
      </c>
      <c r="J11" s="3" t="s">
        <v>1413</v>
      </c>
      <c r="K11" s="3" t="s">
        <v>1606</v>
      </c>
      <c r="L11" s="3" t="s">
        <v>1514</v>
      </c>
      <c r="M11" s="3" t="s">
        <v>1365</v>
      </c>
      <c r="N11" s="3" t="s">
        <v>1366</v>
      </c>
      <c r="O11" s="3" t="s">
        <v>1450</v>
      </c>
      <c r="P11" s="3" t="s">
        <v>1450</v>
      </c>
      <c r="Q11" s="3" t="s">
        <v>1451</v>
      </c>
      <c r="R11" s="3"/>
      <c r="S11" s="3"/>
      <c r="T11" s="3" t="s">
        <v>2191</v>
      </c>
      <c r="U11" s="3"/>
      <c r="V11" s="3"/>
      <c r="W11" s="3"/>
      <c r="X11" s="3"/>
      <c r="Y11" s="3" t="s">
        <v>1374</v>
      </c>
      <c r="Z11" s="3" t="s">
        <v>1375</v>
      </c>
      <c r="AA11" s="3" t="s">
        <v>1437</v>
      </c>
      <c r="AB11" s="3" t="s">
        <v>1452</v>
      </c>
      <c r="AC11" s="3" t="s">
        <v>1526</v>
      </c>
      <c r="AD11" s="3"/>
      <c r="AE11" s="3" t="s">
        <v>1454</v>
      </c>
      <c r="AF11" s="3" t="s">
        <v>1380</v>
      </c>
      <c r="AG11" s="3" t="s">
        <v>700</v>
      </c>
      <c r="AH11" s="3"/>
      <c r="AI11" s="3"/>
      <c r="AJ11" s="3" t="s">
        <v>1455</v>
      </c>
      <c r="AK11" s="3" t="s">
        <v>1382</v>
      </c>
      <c r="AL11" s="3"/>
      <c r="AM11" s="3"/>
      <c r="AN11" s="8" t="s">
        <v>2132</v>
      </c>
    </row>
    <row r="12" spans="1:40" ht="60" customHeight="1" x14ac:dyDescent="0.2">
      <c r="A12" s="3" t="s">
        <v>2192</v>
      </c>
      <c r="B12" s="3" t="s">
        <v>2119</v>
      </c>
      <c r="C12" s="3" t="s">
        <v>2160</v>
      </c>
      <c r="D12" s="3" t="s">
        <v>2193</v>
      </c>
      <c r="E12" s="3" t="s">
        <v>2194</v>
      </c>
      <c r="F12" s="3" t="s">
        <v>2163</v>
      </c>
      <c r="G12" s="3" t="s">
        <v>2164</v>
      </c>
      <c r="H12" s="3" t="s">
        <v>2165</v>
      </c>
      <c r="I12" s="3" t="s">
        <v>2166</v>
      </c>
      <c r="J12" s="3" t="s">
        <v>2167</v>
      </c>
      <c r="K12" s="3" t="s">
        <v>1363</v>
      </c>
      <c r="L12" s="3" t="s">
        <v>1514</v>
      </c>
      <c r="M12" s="3" t="s">
        <v>1394</v>
      </c>
      <c r="N12" s="3" t="s">
        <v>1366</v>
      </c>
      <c r="O12" s="3" t="s">
        <v>2168</v>
      </c>
      <c r="P12" s="3" t="s">
        <v>2169</v>
      </c>
      <c r="Q12" s="3" t="s">
        <v>2170</v>
      </c>
      <c r="R12" s="3"/>
      <c r="S12" s="3"/>
      <c r="T12" s="3" t="s">
        <v>1399</v>
      </c>
      <c r="U12" s="3" t="s">
        <v>2195</v>
      </c>
      <c r="V12" s="3"/>
      <c r="W12" s="3"/>
      <c r="X12" s="3"/>
      <c r="Y12" s="3" t="s">
        <v>1374</v>
      </c>
      <c r="Z12" s="3" t="s">
        <v>1375</v>
      </c>
      <c r="AA12" s="3" t="s">
        <v>1437</v>
      </c>
      <c r="AB12" s="3" t="s">
        <v>1504</v>
      </c>
      <c r="AC12" s="3" t="s">
        <v>1378</v>
      </c>
      <c r="AD12" s="3"/>
      <c r="AE12" s="3" t="s">
        <v>1454</v>
      </c>
      <c r="AF12" s="3" t="s">
        <v>1380</v>
      </c>
      <c r="AG12" s="3" t="s">
        <v>7</v>
      </c>
      <c r="AH12" s="3"/>
      <c r="AI12" s="3"/>
      <c r="AJ12" s="3" t="s">
        <v>2172</v>
      </c>
      <c r="AK12" s="3" t="s">
        <v>1382</v>
      </c>
      <c r="AL12" s="3"/>
      <c r="AM12" s="3"/>
      <c r="AN12" s="8" t="s">
        <v>2132</v>
      </c>
    </row>
    <row r="13" spans="1:40" ht="60" customHeight="1" x14ac:dyDescent="0.2">
      <c r="A13" s="3" t="s">
        <v>2196</v>
      </c>
      <c r="B13" s="3" t="s">
        <v>2119</v>
      </c>
      <c r="C13" s="3" t="s">
        <v>2197</v>
      </c>
      <c r="D13" s="3" t="s">
        <v>2198</v>
      </c>
      <c r="E13" s="3" t="s">
        <v>2199</v>
      </c>
      <c r="F13" s="3" t="s">
        <v>1522</v>
      </c>
      <c r="G13" s="3"/>
      <c r="H13" s="3" t="s">
        <v>2200</v>
      </c>
      <c r="I13" s="3" t="s">
        <v>2201</v>
      </c>
      <c r="J13" s="3" t="s">
        <v>1413</v>
      </c>
      <c r="K13" s="3" t="s">
        <v>1606</v>
      </c>
      <c r="L13" s="3" t="s">
        <v>1514</v>
      </c>
      <c r="M13" s="3" t="s">
        <v>1365</v>
      </c>
      <c r="N13" s="3" t="s">
        <v>2202</v>
      </c>
      <c r="O13" s="3" t="s">
        <v>1450</v>
      </c>
      <c r="P13" s="3" t="s">
        <v>1450</v>
      </c>
      <c r="Q13" s="3" t="s">
        <v>1451</v>
      </c>
      <c r="R13" s="3"/>
      <c r="S13" s="3"/>
      <c r="T13" s="3" t="s">
        <v>2203</v>
      </c>
      <c r="U13" s="3"/>
      <c r="V13" s="3"/>
      <c r="W13" s="3"/>
      <c r="X13" s="3"/>
      <c r="Y13" s="3" t="s">
        <v>1374</v>
      </c>
      <c r="Z13" s="3" t="s">
        <v>1375</v>
      </c>
      <c r="AA13" s="3" t="s">
        <v>2204</v>
      </c>
      <c r="AB13" s="3" t="s">
        <v>1452</v>
      </c>
      <c r="AC13" s="3" t="s">
        <v>1526</v>
      </c>
      <c r="AD13" s="3"/>
      <c r="AE13" s="3" t="s">
        <v>2205</v>
      </c>
      <c r="AF13" s="3" t="s">
        <v>1380</v>
      </c>
      <c r="AG13" s="3" t="s">
        <v>700</v>
      </c>
      <c r="AH13" s="3"/>
      <c r="AI13" s="3"/>
      <c r="AJ13" s="3" t="s">
        <v>1455</v>
      </c>
      <c r="AK13" s="3" t="s">
        <v>1382</v>
      </c>
      <c r="AL13" s="3"/>
      <c r="AM13" s="3"/>
      <c r="AN13" s="8" t="s">
        <v>2206</v>
      </c>
    </row>
    <row r="14" spans="1:40" ht="60" customHeight="1" x14ac:dyDescent="0.2">
      <c r="A14" s="3" t="s">
        <v>2207</v>
      </c>
      <c r="B14" s="3" t="s">
        <v>2119</v>
      </c>
      <c r="C14" s="3" t="s">
        <v>2197</v>
      </c>
      <c r="D14" s="3" t="s">
        <v>2208</v>
      </c>
      <c r="E14" s="3" t="s">
        <v>2209</v>
      </c>
      <c r="F14" s="3" t="s">
        <v>2210</v>
      </c>
      <c r="G14" s="3" t="s">
        <v>2211</v>
      </c>
      <c r="H14" s="3" t="s">
        <v>2212</v>
      </c>
      <c r="I14" s="3" t="s">
        <v>2213</v>
      </c>
      <c r="J14" s="3" t="s">
        <v>2214</v>
      </c>
      <c r="K14" s="3" t="s">
        <v>1414</v>
      </c>
      <c r="L14" s="3" t="s">
        <v>2215</v>
      </c>
      <c r="M14" s="3" t="s">
        <v>1365</v>
      </c>
      <c r="N14" s="3" t="s">
        <v>1366</v>
      </c>
      <c r="O14" s="3" t="s">
        <v>2216</v>
      </c>
      <c r="P14" s="3" t="s">
        <v>1450</v>
      </c>
      <c r="Q14" s="3" t="s">
        <v>1451</v>
      </c>
      <c r="R14" s="3"/>
      <c r="S14" s="3"/>
      <c r="T14" s="3" t="s">
        <v>2217</v>
      </c>
      <c r="U14" s="3"/>
      <c r="V14" s="7" t="s">
        <v>2218</v>
      </c>
      <c r="W14" s="7"/>
      <c r="X14" s="3"/>
      <c r="Y14" s="3" t="s">
        <v>1374</v>
      </c>
      <c r="Z14" s="3" t="s">
        <v>1375</v>
      </c>
      <c r="AA14" s="3" t="s">
        <v>2219</v>
      </c>
      <c r="AB14" s="3" t="s">
        <v>1452</v>
      </c>
      <c r="AC14" s="3" t="s">
        <v>1526</v>
      </c>
      <c r="AD14" s="3"/>
      <c r="AE14" s="3" t="s">
        <v>2220</v>
      </c>
      <c r="AF14" s="3" t="s">
        <v>1380</v>
      </c>
      <c r="AG14" s="3" t="s">
        <v>700</v>
      </c>
      <c r="AH14" s="3"/>
      <c r="AI14" s="3"/>
      <c r="AJ14" s="3" t="s">
        <v>2221</v>
      </c>
      <c r="AK14" s="3" t="s">
        <v>1382</v>
      </c>
      <c r="AL14" s="3"/>
      <c r="AM14" s="3"/>
      <c r="AN14" s="7" t="s">
        <v>2222</v>
      </c>
    </row>
    <row r="15" spans="1:40" ht="60" customHeight="1" x14ac:dyDescent="0.2">
      <c r="A15" s="3" t="s">
        <v>2223</v>
      </c>
      <c r="B15" s="3" t="s">
        <v>2119</v>
      </c>
      <c r="C15" s="3" t="s">
        <v>2197</v>
      </c>
      <c r="D15" s="3" t="s">
        <v>2224</v>
      </c>
      <c r="E15" s="3" t="s">
        <v>2225</v>
      </c>
      <c r="F15" s="3" t="s">
        <v>1446</v>
      </c>
      <c r="G15" s="3"/>
      <c r="H15" s="3" t="s">
        <v>2226</v>
      </c>
      <c r="I15" s="3" t="s">
        <v>1448</v>
      </c>
      <c r="J15" s="3" t="s">
        <v>1413</v>
      </c>
      <c r="K15" s="3" t="s">
        <v>1414</v>
      </c>
      <c r="L15" s="3" t="s">
        <v>1449</v>
      </c>
      <c r="M15" s="3" t="s">
        <v>1365</v>
      </c>
      <c r="N15" s="3" t="s">
        <v>1366</v>
      </c>
      <c r="O15" s="3" t="s">
        <v>1450</v>
      </c>
      <c r="P15" s="3" t="s">
        <v>1450</v>
      </c>
      <c r="Q15" s="3" t="s">
        <v>1451</v>
      </c>
      <c r="R15" s="3"/>
      <c r="S15" s="3"/>
      <c r="T15" s="3" t="s">
        <v>1399</v>
      </c>
      <c r="U15" s="3"/>
      <c r="V15" s="3"/>
      <c r="W15" s="3"/>
      <c r="X15" s="3"/>
      <c r="Y15" s="3" t="s">
        <v>1374</v>
      </c>
      <c r="Z15" s="3" t="s">
        <v>1375</v>
      </c>
      <c r="AA15" s="3" t="s">
        <v>1437</v>
      </c>
      <c r="AB15" s="3" t="s">
        <v>1452</v>
      </c>
      <c r="AC15" s="3" t="s">
        <v>1453</v>
      </c>
      <c r="AD15" s="3"/>
      <c r="AE15" s="3" t="s">
        <v>1454</v>
      </c>
      <c r="AF15" s="3" t="s">
        <v>1380</v>
      </c>
      <c r="AG15" s="3" t="s">
        <v>700</v>
      </c>
      <c r="AH15" s="3"/>
      <c r="AI15" s="3"/>
      <c r="AJ15" s="3" t="s">
        <v>1455</v>
      </c>
      <c r="AK15" s="3" t="s">
        <v>1382</v>
      </c>
      <c r="AL15" s="3"/>
      <c r="AM15" s="3"/>
      <c r="AN15" s="3" t="s">
        <v>2001</v>
      </c>
    </row>
    <row r="16" spans="1:40" ht="60" customHeight="1" x14ac:dyDescent="0.2">
      <c r="A16" s="3" t="s">
        <v>2227</v>
      </c>
      <c r="B16" s="3" t="s">
        <v>2119</v>
      </c>
      <c r="C16" s="3" t="s">
        <v>2197</v>
      </c>
      <c r="D16" s="3" t="s">
        <v>2228</v>
      </c>
      <c r="E16" s="3" t="s">
        <v>2229</v>
      </c>
      <c r="F16" s="3" t="s">
        <v>1522</v>
      </c>
      <c r="G16" s="3"/>
      <c r="H16" s="3" t="s">
        <v>2230</v>
      </c>
      <c r="I16" s="3" t="s">
        <v>2231</v>
      </c>
      <c r="J16" s="3" t="s">
        <v>1413</v>
      </c>
      <c r="K16" s="3" t="s">
        <v>1414</v>
      </c>
      <c r="L16" s="3" t="s">
        <v>2232</v>
      </c>
      <c r="M16" s="3" t="s">
        <v>1365</v>
      </c>
      <c r="N16" s="3" t="s">
        <v>2202</v>
      </c>
      <c r="O16" s="3" t="s">
        <v>1450</v>
      </c>
      <c r="P16" s="3" t="s">
        <v>1450</v>
      </c>
      <c r="Q16" s="3" t="s">
        <v>1451</v>
      </c>
      <c r="R16" s="3"/>
      <c r="S16" s="3"/>
      <c r="T16" s="3" t="s">
        <v>2233</v>
      </c>
      <c r="U16" s="3"/>
      <c r="V16" s="3"/>
      <c r="W16" s="3"/>
      <c r="X16" s="3"/>
      <c r="Y16" s="3" t="s">
        <v>1374</v>
      </c>
      <c r="Z16" s="3" t="s">
        <v>1375</v>
      </c>
      <c r="AA16" s="3" t="s">
        <v>2219</v>
      </c>
      <c r="AB16" s="3" t="s">
        <v>1452</v>
      </c>
      <c r="AC16" s="3" t="s">
        <v>1526</v>
      </c>
      <c r="AD16" s="3"/>
      <c r="AE16" s="3" t="s">
        <v>2234</v>
      </c>
      <c r="AF16" s="3" t="s">
        <v>1380</v>
      </c>
      <c r="AG16" s="3" t="s">
        <v>700</v>
      </c>
      <c r="AH16" s="3"/>
      <c r="AI16" s="3"/>
      <c r="AJ16" s="3" t="s">
        <v>1455</v>
      </c>
      <c r="AK16" s="3" t="s">
        <v>1382</v>
      </c>
      <c r="AL16" s="3"/>
      <c r="AM16" s="3"/>
      <c r="AN16" s="6" t="s">
        <v>2235</v>
      </c>
    </row>
    <row r="17" spans="1:40" ht="60" customHeight="1" x14ac:dyDescent="0.2">
      <c r="A17" s="3" t="s">
        <v>2236</v>
      </c>
      <c r="B17" s="3" t="s">
        <v>2119</v>
      </c>
      <c r="C17" s="3" t="s">
        <v>2197</v>
      </c>
      <c r="D17" s="3" t="s">
        <v>2237</v>
      </c>
      <c r="E17" s="3" t="s">
        <v>1579</v>
      </c>
      <c r="F17" s="3" t="s">
        <v>2238</v>
      </c>
      <c r="G17" s="3"/>
      <c r="H17" s="3" t="s">
        <v>2239</v>
      </c>
      <c r="I17" s="3" t="s">
        <v>1745</v>
      </c>
      <c r="J17" s="3" t="s">
        <v>2240</v>
      </c>
      <c r="K17" s="3" t="s">
        <v>1585</v>
      </c>
      <c r="L17" s="3" t="s">
        <v>2241</v>
      </c>
      <c r="M17" s="3" t="s">
        <v>1586</v>
      </c>
      <c r="N17" s="3" t="s">
        <v>1366</v>
      </c>
      <c r="O17" s="3" t="s">
        <v>1450</v>
      </c>
      <c r="P17" s="3" t="s">
        <v>1499</v>
      </c>
      <c r="Q17" s="3" t="s">
        <v>2242</v>
      </c>
      <c r="R17" s="3" t="s">
        <v>2243</v>
      </c>
      <c r="S17" s="3"/>
      <c r="T17" s="3" t="s">
        <v>1399</v>
      </c>
      <c r="U17" s="3" t="s">
        <v>2244</v>
      </c>
      <c r="V17" s="7" t="s">
        <v>2245</v>
      </c>
      <c r="W17" s="7"/>
      <c r="X17" s="3"/>
      <c r="Y17" s="3" t="s">
        <v>1374</v>
      </c>
      <c r="Z17" s="3" t="s">
        <v>1375</v>
      </c>
      <c r="AA17" s="3" t="s">
        <v>1437</v>
      </c>
      <c r="AB17" s="3" t="s">
        <v>2246</v>
      </c>
      <c r="AC17" s="3" t="s">
        <v>1378</v>
      </c>
      <c r="AD17" s="3"/>
      <c r="AE17" s="3" t="s">
        <v>2247</v>
      </c>
      <c r="AF17" s="3" t="s">
        <v>2248</v>
      </c>
      <c r="AG17" s="3" t="s">
        <v>700</v>
      </c>
      <c r="AH17" s="3"/>
      <c r="AI17" s="3"/>
      <c r="AJ17" s="3" t="s">
        <v>1455</v>
      </c>
      <c r="AK17" s="3" t="s">
        <v>1382</v>
      </c>
      <c r="AL17" s="3"/>
      <c r="AM17" s="3"/>
      <c r="AN17" s="7" t="s">
        <v>2249</v>
      </c>
    </row>
    <row r="18" spans="1:40" ht="60" customHeight="1" x14ac:dyDescent="0.2">
      <c r="A18" s="3" t="s">
        <v>2250</v>
      </c>
      <c r="B18" s="3" t="s">
        <v>2119</v>
      </c>
      <c r="C18" s="3" t="s">
        <v>2251</v>
      </c>
      <c r="D18" s="3" t="s">
        <v>2252</v>
      </c>
      <c r="E18" s="3" t="s">
        <v>2253</v>
      </c>
      <c r="F18" s="3" t="s">
        <v>2254</v>
      </c>
      <c r="G18" s="3" t="s">
        <v>2255</v>
      </c>
      <c r="H18" s="3" t="s">
        <v>2256</v>
      </c>
      <c r="I18" s="3" t="s">
        <v>2257</v>
      </c>
      <c r="J18" s="3" t="s">
        <v>2258</v>
      </c>
      <c r="K18" s="3" t="s">
        <v>1414</v>
      </c>
      <c r="L18" s="3" t="s">
        <v>2259</v>
      </c>
      <c r="M18" s="3" t="s">
        <v>1394</v>
      </c>
      <c r="N18" s="3" t="s">
        <v>1366</v>
      </c>
      <c r="O18" s="3" t="s">
        <v>2260</v>
      </c>
      <c r="P18" s="3" t="s">
        <v>2261</v>
      </c>
      <c r="Q18" s="3" t="s">
        <v>2262</v>
      </c>
      <c r="R18" s="3"/>
      <c r="S18" s="3"/>
      <c r="T18" s="3" t="s">
        <v>2263</v>
      </c>
      <c r="U18" s="3"/>
      <c r="V18" s="3"/>
      <c r="W18" s="3"/>
      <c r="X18" s="3"/>
      <c r="Y18" s="3" t="s">
        <v>1374</v>
      </c>
      <c r="Z18" s="3" t="s">
        <v>1375</v>
      </c>
      <c r="AA18" s="3" t="s">
        <v>2264</v>
      </c>
      <c r="AB18" s="3" t="s">
        <v>1504</v>
      </c>
      <c r="AC18" s="3" t="s">
        <v>1378</v>
      </c>
      <c r="AD18" s="3"/>
      <c r="AE18" s="3" t="s">
        <v>2265</v>
      </c>
      <c r="AF18" s="3" t="s">
        <v>1380</v>
      </c>
      <c r="AG18" s="3" t="s">
        <v>7</v>
      </c>
      <c r="AH18" s="3"/>
      <c r="AI18" s="3"/>
      <c r="AJ18" s="3" t="s">
        <v>2266</v>
      </c>
      <c r="AK18" s="3" t="s">
        <v>1382</v>
      </c>
      <c r="AL18" s="3"/>
      <c r="AM18" s="3"/>
      <c r="AN18" s="6" t="s">
        <v>2267</v>
      </c>
    </row>
    <row r="19" spans="1:40" ht="60" customHeight="1" x14ac:dyDescent="0.2">
      <c r="A19" s="3" t="s">
        <v>2268</v>
      </c>
      <c r="B19" s="3" t="s">
        <v>2119</v>
      </c>
      <c r="C19" s="3" t="s">
        <v>2251</v>
      </c>
      <c r="D19" s="3" t="s">
        <v>2269</v>
      </c>
      <c r="E19" s="3" t="s">
        <v>2270</v>
      </c>
      <c r="F19" s="3" t="s">
        <v>2271</v>
      </c>
      <c r="G19" s="3" t="s">
        <v>2272</v>
      </c>
      <c r="H19" s="3" t="s">
        <v>2273</v>
      </c>
      <c r="I19" s="3" t="s">
        <v>2274</v>
      </c>
      <c r="J19" s="3" t="s">
        <v>2275</v>
      </c>
      <c r="K19" s="3" t="s">
        <v>1414</v>
      </c>
      <c r="L19" s="3" t="s">
        <v>1631</v>
      </c>
      <c r="M19" s="3" t="s">
        <v>1365</v>
      </c>
      <c r="N19" s="3" t="s">
        <v>1366</v>
      </c>
      <c r="O19" s="3" t="s">
        <v>2276</v>
      </c>
      <c r="P19" s="3" t="s">
        <v>2277</v>
      </c>
      <c r="Q19" s="3" t="s">
        <v>1500</v>
      </c>
      <c r="R19" s="3"/>
      <c r="S19" s="3"/>
      <c r="T19" s="3" t="s">
        <v>1399</v>
      </c>
      <c r="U19" s="3" t="s">
        <v>2278</v>
      </c>
      <c r="V19" s="3"/>
      <c r="W19" s="3"/>
      <c r="X19" s="3"/>
      <c r="Y19" s="3" t="s">
        <v>1374</v>
      </c>
      <c r="Z19" s="3" t="s">
        <v>1375</v>
      </c>
      <c r="AA19" s="3" t="s">
        <v>1437</v>
      </c>
      <c r="AB19" s="3" t="s">
        <v>1504</v>
      </c>
      <c r="AC19" s="3" t="s">
        <v>1378</v>
      </c>
      <c r="AD19" s="3"/>
      <c r="AE19" s="3" t="s">
        <v>1454</v>
      </c>
      <c r="AF19" s="3" t="s">
        <v>2279</v>
      </c>
      <c r="AG19" s="3" t="s">
        <v>7</v>
      </c>
      <c r="AH19" s="3"/>
      <c r="AI19" s="3"/>
      <c r="AJ19" s="3" t="s">
        <v>2280</v>
      </c>
      <c r="AK19" s="3" t="s">
        <v>1382</v>
      </c>
      <c r="AL19" s="3"/>
      <c r="AM19" s="3"/>
      <c r="AN19" s="8" t="s">
        <v>2143</v>
      </c>
    </row>
    <row r="20" spans="1:40" ht="60" customHeight="1" x14ac:dyDescent="0.2">
      <c r="A20" s="3" t="s">
        <v>2281</v>
      </c>
      <c r="B20" s="3" t="s">
        <v>2119</v>
      </c>
      <c r="C20" s="3" t="s">
        <v>2251</v>
      </c>
      <c r="D20" s="3" t="s">
        <v>2282</v>
      </c>
      <c r="E20" s="3" t="s">
        <v>2283</v>
      </c>
      <c r="F20" s="3" t="s">
        <v>2284</v>
      </c>
      <c r="G20" s="3" t="s">
        <v>2285</v>
      </c>
      <c r="H20" s="3" t="s">
        <v>2286</v>
      </c>
      <c r="I20" s="3" t="s">
        <v>2287</v>
      </c>
      <c r="J20" s="3" t="s">
        <v>2288</v>
      </c>
      <c r="K20" s="3" t="s">
        <v>1414</v>
      </c>
      <c r="L20" s="3" t="s">
        <v>2259</v>
      </c>
      <c r="M20" s="3" t="s">
        <v>1394</v>
      </c>
      <c r="N20" s="3" t="s">
        <v>1366</v>
      </c>
      <c r="O20" s="3" t="s">
        <v>2289</v>
      </c>
      <c r="P20" s="3" t="s">
        <v>2290</v>
      </c>
      <c r="Q20" s="3" t="s">
        <v>2291</v>
      </c>
      <c r="R20" s="3"/>
      <c r="S20" s="3"/>
      <c r="T20" s="3" t="s">
        <v>2292</v>
      </c>
      <c r="U20" s="3"/>
      <c r="V20" s="3"/>
      <c r="W20" s="3"/>
      <c r="X20" s="3"/>
      <c r="Y20" s="3" t="s">
        <v>1374</v>
      </c>
      <c r="Z20" s="3" t="s">
        <v>1375</v>
      </c>
      <c r="AA20" s="3" t="s">
        <v>2264</v>
      </c>
      <c r="AB20" s="3" t="s">
        <v>1504</v>
      </c>
      <c r="AC20" s="3" t="s">
        <v>1378</v>
      </c>
      <c r="AD20" s="3"/>
      <c r="AE20" s="3" t="s">
        <v>2265</v>
      </c>
      <c r="AF20" s="3" t="s">
        <v>1380</v>
      </c>
      <c r="AG20" s="3" t="s">
        <v>7</v>
      </c>
      <c r="AH20" s="3"/>
      <c r="AI20" s="3"/>
      <c r="AJ20" s="3" t="s">
        <v>2266</v>
      </c>
      <c r="AK20" s="3" t="s">
        <v>1382</v>
      </c>
      <c r="AL20" s="3"/>
      <c r="AM20" s="3"/>
      <c r="AN20" s="6" t="s">
        <v>2267</v>
      </c>
    </row>
    <row r="21" spans="1:40" ht="60" customHeight="1" x14ac:dyDescent="0.2">
      <c r="A21" s="3" t="s">
        <v>2293</v>
      </c>
      <c r="B21" s="3" t="s">
        <v>2119</v>
      </c>
      <c r="C21" s="3" t="s">
        <v>2251</v>
      </c>
      <c r="D21" s="3" t="s">
        <v>2294</v>
      </c>
      <c r="E21" s="3" t="s">
        <v>2295</v>
      </c>
      <c r="F21" s="3" t="s">
        <v>1522</v>
      </c>
      <c r="G21" s="3"/>
      <c r="H21" s="3" t="s">
        <v>2296</v>
      </c>
      <c r="I21" s="3" t="s">
        <v>2297</v>
      </c>
      <c r="J21" s="3" t="s">
        <v>1413</v>
      </c>
      <c r="K21" s="3" t="s">
        <v>1606</v>
      </c>
      <c r="L21" s="3" t="s">
        <v>1514</v>
      </c>
      <c r="M21" s="3" t="s">
        <v>1365</v>
      </c>
      <c r="N21" s="3" t="s">
        <v>1366</v>
      </c>
      <c r="O21" s="3" t="s">
        <v>1450</v>
      </c>
      <c r="P21" s="3" t="s">
        <v>1450</v>
      </c>
      <c r="Q21" s="3" t="s">
        <v>1451</v>
      </c>
      <c r="R21" s="3"/>
      <c r="S21" s="3"/>
      <c r="T21" s="3" t="s">
        <v>2298</v>
      </c>
      <c r="U21" s="3"/>
      <c r="V21" s="3"/>
      <c r="W21" s="3"/>
      <c r="X21" s="3"/>
      <c r="Y21" s="3" t="s">
        <v>1374</v>
      </c>
      <c r="Z21" s="3" t="s">
        <v>1375</v>
      </c>
      <c r="AA21" s="3" t="s">
        <v>2299</v>
      </c>
      <c r="AB21" s="3" t="s">
        <v>1452</v>
      </c>
      <c r="AC21" s="3" t="s">
        <v>1526</v>
      </c>
      <c r="AD21" s="3"/>
      <c r="AE21" s="3" t="s">
        <v>2300</v>
      </c>
      <c r="AF21" s="3" t="s">
        <v>1380</v>
      </c>
      <c r="AG21" s="3" t="s">
        <v>700</v>
      </c>
      <c r="AH21" s="3"/>
      <c r="AI21" s="3"/>
      <c r="AJ21" s="3" t="s">
        <v>1455</v>
      </c>
      <c r="AK21" s="3" t="s">
        <v>1382</v>
      </c>
      <c r="AL21" s="3"/>
      <c r="AM21" s="3"/>
      <c r="AN21" s="8" t="s">
        <v>2301</v>
      </c>
    </row>
    <row r="22" spans="1:40" ht="60" customHeight="1" x14ac:dyDescent="0.2">
      <c r="A22" s="3" t="s">
        <v>2302</v>
      </c>
      <c r="B22" s="3" t="s">
        <v>2119</v>
      </c>
      <c r="C22" s="3" t="s">
        <v>2251</v>
      </c>
      <c r="D22" s="3" t="s">
        <v>2303</v>
      </c>
      <c r="E22" s="3" t="s">
        <v>2304</v>
      </c>
      <c r="F22" s="3" t="s">
        <v>1522</v>
      </c>
      <c r="G22" s="3"/>
      <c r="H22" s="3" t="s">
        <v>2305</v>
      </c>
      <c r="I22" s="3" t="s">
        <v>2306</v>
      </c>
      <c r="J22" s="3" t="s">
        <v>1413</v>
      </c>
      <c r="K22" s="3" t="s">
        <v>1414</v>
      </c>
      <c r="L22" s="3" t="s">
        <v>1514</v>
      </c>
      <c r="M22" s="3" t="s">
        <v>1365</v>
      </c>
      <c r="N22" s="3" t="s">
        <v>1366</v>
      </c>
      <c r="O22" s="3" t="s">
        <v>1450</v>
      </c>
      <c r="P22" s="3" t="s">
        <v>1450</v>
      </c>
      <c r="Q22" s="3" t="s">
        <v>1451</v>
      </c>
      <c r="R22" s="3"/>
      <c r="S22" s="3"/>
      <c r="T22" s="3" t="s">
        <v>1399</v>
      </c>
      <c r="U22" s="3"/>
      <c r="V22" s="3"/>
      <c r="W22" s="3"/>
      <c r="X22" s="3"/>
      <c r="Y22" s="3" t="s">
        <v>1374</v>
      </c>
      <c r="Z22" s="3" t="s">
        <v>1375</v>
      </c>
      <c r="AA22" s="3" t="s">
        <v>1437</v>
      </c>
      <c r="AB22" s="3" t="s">
        <v>1452</v>
      </c>
      <c r="AC22" s="3" t="s">
        <v>1526</v>
      </c>
      <c r="AD22" s="3"/>
      <c r="AE22" s="3" t="s">
        <v>1454</v>
      </c>
      <c r="AF22" s="3" t="s">
        <v>1380</v>
      </c>
      <c r="AG22" s="3" t="s">
        <v>700</v>
      </c>
      <c r="AH22" s="3"/>
      <c r="AI22" s="3"/>
      <c r="AJ22" s="3" t="s">
        <v>1455</v>
      </c>
      <c r="AK22" s="3" t="s">
        <v>1382</v>
      </c>
      <c r="AL22" s="3"/>
      <c r="AM22" s="3"/>
      <c r="AN22" s="3" t="s">
        <v>2001</v>
      </c>
    </row>
    <row r="23" spans="1:40" ht="60" customHeight="1" x14ac:dyDescent="0.2">
      <c r="A23" s="3" t="s">
        <v>2307</v>
      </c>
      <c r="B23" s="3" t="s">
        <v>2119</v>
      </c>
      <c r="C23" s="3" t="s">
        <v>2308</v>
      </c>
      <c r="D23" s="3" t="s">
        <v>2309</v>
      </c>
      <c r="E23" s="3" t="s">
        <v>2310</v>
      </c>
      <c r="F23" s="3" t="s">
        <v>2311</v>
      </c>
      <c r="G23" s="3"/>
      <c r="H23" s="3" t="s">
        <v>2312</v>
      </c>
      <c r="I23" s="3" t="s">
        <v>2313</v>
      </c>
      <c r="J23" s="3" t="s">
        <v>1413</v>
      </c>
      <c r="K23" s="3" t="s">
        <v>1414</v>
      </c>
      <c r="L23" s="3" t="s">
        <v>2314</v>
      </c>
      <c r="M23" s="3" t="s">
        <v>1365</v>
      </c>
      <c r="N23" s="3" t="s">
        <v>2202</v>
      </c>
      <c r="O23" s="3" t="s">
        <v>1450</v>
      </c>
      <c r="P23" s="3" t="s">
        <v>1450</v>
      </c>
      <c r="Q23" s="3" t="s">
        <v>1451</v>
      </c>
      <c r="R23" s="3"/>
      <c r="S23" s="3"/>
      <c r="T23" s="3" t="s">
        <v>1399</v>
      </c>
      <c r="U23" s="3"/>
      <c r="V23" s="3"/>
      <c r="W23" s="3"/>
      <c r="X23" s="3"/>
      <c r="Y23" s="3" t="s">
        <v>1374</v>
      </c>
      <c r="Z23" s="3" t="s">
        <v>1375</v>
      </c>
      <c r="AA23" s="3" t="s">
        <v>1437</v>
      </c>
      <c r="AB23" s="3" t="s">
        <v>1452</v>
      </c>
      <c r="AC23" s="3" t="s">
        <v>2315</v>
      </c>
      <c r="AD23" s="3"/>
      <c r="AE23" s="3" t="s">
        <v>1454</v>
      </c>
      <c r="AF23" s="3" t="s">
        <v>1380</v>
      </c>
      <c r="AG23" s="3" t="s">
        <v>700</v>
      </c>
      <c r="AH23" s="3"/>
      <c r="AI23" s="3"/>
      <c r="AJ23" s="3" t="s">
        <v>1455</v>
      </c>
      <c r="AK23" s="3" t="s">
        <v>1382</v>
      </c>
      <c r="AL23" s="3"/>
      <c r="AM23" s="3"/>
      <c r="AN23" s="3" t="s">
        <v>2001</v>
      </c>
    </row>
    <row r="24" spans="1:40" ht="60" customHeight="1" x14ac:dyDescent="0.2">
      <c r="A24" s="3" t="s">
        <v>2316</v>
      </c>
      <c r="B24" s="3" t="s">
        <v>2119</v>
      </c>
      <c r="C24" s="3" t="s">
        <v>2308</v>
      </c>
      <c r="D24" s="3" t="s">
        <v>2317</v>
      </c>
      <c r="E24" s="3" t="s">
        <v>2318</v>
      </c>
      <c r="F24" s="3" t="s">
        <v>1522</v>
      </c>
      <c r="G24" s="3"/>
      <c r="H24" s="3" t="s">
        <v>2319</v>
      </c>
      <c r="I24" s="3" t="s">
        <v>2320</v>
      </c>
      <c r="J24" s="3" t="s">
        <v>1413</v>
      </c>
      <c r="K24" s="3" t="s">
        <v>1414</v>
      </c>
      <c r="L24" s="3" t="s">
        <v>2141</v>
      </c>
      <c r="M24" s="3" t="s">
        <v>1365</v>
      </c>
      <c r="N24" s="3" t="s">
        <v>1366</v>
      </c>
      <c r="O24" s="3" t="s">
        <v>1450</v>
      </c>
      <c r="P24" s="3" t="s">
        <v>1450</v>
      </c>
      <c r="Q24" s="3" t="s">
        <v>1451</v>
      </c>
      <c r="R24" s="3"/>
      <c r="S24" s="3"/>
      <c r="T24" s="3" t="s">
        <v>1399</v>
      </c>
      <c r="U24" s="3"/>
      <c r="V24" s="3"/>
      <c r="W24" s="3"/>
      <c r="X24" s="3"/>
      <c r="Y24" s="3" t="s">
        <v>1374</v>
      </c>
      <c r="Z24" s="3" t="s">
        <v>1375</v>
      </c>
      <c r="AA24" s="3" t="s">
        <v>2321</v>
      </c>
      <c r="AB24" s="3" t="s">
        <v>1452</v>
      </c>
      <c r="AC24" s="3" t="s">
        <v>1526</v>
      </c>
      <c r="AD24" s="3"/>
      <c r="AE24" s="3" t="s">
        <v>2322</v>
      </c>
      <c r="AF24" s="3" t="s">
        <v>1380</v>
      </c>
      <c r="AG24" s="3" t="s">
        <v>700</v>
      </c>
      <c r="AH24" s="3"/>
      <c r="AI24" s="3"/>
      <c r="AJ24" s="3" t="s">
        <v>1455</v>
      </c>
      <c r="AK24" s="3" t="s">
        <v>1382</v>
      </c>
      <c r="AL24" s="3"/>
      <c r="AM24" s="3"/>
      <c r="AN24" s="8" t="s">
        <v>2323</v>
      </c>
    </row>
    <row r="25" spans="1:40" ht="60" customHeight="1" x14ac:dyDescent="0.2">
      <c r="A25" s="3" t="s">
        <v>2324</v>
      </c>
      <c r="B25" s="3" t="s">
        <v>2119</v>
      </c>
      <c r="C25" s="3" t="s">
        <v>2308</v>
      </c>
      <c r="D25" s="3" t="s">
        <v>2325</v>
      </c>
      <c r="E25" s="3" t="s">
        <v>2326</v>
      </c>
      <c r="F25" s="3" t="s">
        <v>1522</v>
      </c>
      <c r="G25" s="3"/>
      <c r="H25" s="3" t="s">
        <v>2327</v>
      </c>
      <c r="I25" s="3" t="s">
        <v>2328</v>
      </c>
      <c r="J25" s="3" t="s">
        <v>1413</v>
      </c>
      <c r="K25" s="3" t="s">
        <v>1414</v>
      </c>
      <c r="L25" s="3" t="s">
        <v>1466</v>
      </c>
      <c r="M25" s="3" t="s">
        <v>1365</v>
      </c>
      <c r="N25" s="3" t="s">
        <v>1366</v>
      </c>
      <c r="O25" s="3" t="s">
        <v>1450</v>
      </c>
      <c r="P25" s="3" t="s">
        <v>1450</v>
      </c>
      <c r="Q25" s="3" t="s">
        <v>1451</v>
      </c>
      <c r="R25" s="3"/>
      <c r="S25" s="3"/>
      <c r="T25" s="3" t="s">
        <v>1399</v>
      </c>
      <c r="U25" s="3"/>
      <c r="V25" s="3"/>
      <c r="W25" s="3"/>
      <c r="X25" s="3"/>
      <c r="Y25" s="3" t="s">
        <v>1374</v>
      </c>
      <c r="Z25" s="3" t="s">
        <v>1375</v>
      </c>
      <c r="AA25" s="3" t="s">
        <v>1437</v>
      </c>
      <c r="AB25" s="3" t="s">
        <v>1452</v>
      </c>
      <c r="AC25" s="3" t="s">
        <v>1526</v>
      </c>
      <c r="AD25" s="3"/>
      <c r="AE25" s="3" t="s">
        <v>2046</v>
      </c>
      <c r="AF25" s="3" t="s">
        <v>1380</v>
      </c>
      <c r="AG25" s="3" t="s">
        <v>700</v>
      </c>
      <c r="AH25" s="3"/>
      <c r="AI25" s="3"/>
      <c r="AJ25" s="3" t="s">
        <v>1455</v>
      </c>
      <c r="AK25" s="3" t="s">
        <v>1382</v>
      </c>
      <c r="AL25" s="3"/>
      <c r="AM25" s="3"/>
      <c r="AN25" s="3" t="s">
        <v>2001</v>
      </c>
    </row>
    <row r="26" spans="1:40" ht="60" customHeight="1" x14ac:dyDescent="0.2">
      <c r="A26" s="3" t="s">
        <v>2329</v>
      </c>
      <c r="B26" s="3" t="s">
        <v>2119</v>
      </c>
      <c r="C26" s="3" t="s">
        <v>2330</v>
      </c>
      <c r="D26" s="3" t="s">
        <v>2331</v>
      </c>
      <c r="E26" s="3" t="s">
        <v>2332</v>
      </c>
      <c r="F26" s="3" t="s">
        <v>2311</v>
      </c>
      <c r="G26" s="3"/>
      <c r="H26" s="3" t="s">
        <v>2312</v>
      </c>
      <c r="I26" s="3" t="s">
        <v>2313</v>
      </c>
      <c r="J26" s="3" t="s">
        <v>1413</v>
      </c>
      <c r="K26" s="3" t="s">
        <v>1414</v>
      </c>
      <c r="L26" s="3" t="s">
        <v>2314</v>
      </c>
      <c r="M26" s="3" t="s">
        <v>1365</v>
      </c>
      <c r="N26" s="3" t="s">
        <v>1366</v>
      </c>
      <c r="O26" s="3" t="s">
        <v>1450</v>
      </c>
      <c r="P26" s="3" t="s">
        <v>1450</v>
      </c>
      <c r="Q26" s="3" t="s">
        <v>1451</v>
      </c>
      <c r="R26" s="3"/>
      <c r="S26" s="3"/>
      <c r="T26" s="3" t="s">
        <v>1399</v>
      </c>
      <c r="U26" s="3"/>
      <c r="V26" s="3"/>
      <c r="W26" s="3"/>
      <c r="X26" s="3"/>
      <c r="Y26" s="3" t="s">
        <v>1374</v>
      </c>
      <c r="Z26" s="3" t="s">
        <v>1375</v>
      </c>
      <c r="AA26" s="3" t="s">
        <v>1437</v>
      </c>
      <c r="AB26" s="3" t="s">
        <v>1452</v>
      </c>
      <c r="AC26" s="3" t="s">
        <v>2315</v>
      </c>
      <c r="AD26" s="3"/>
      <c r="AE26" s="3" t="s">
        <v>1454</v>
      </c>
      <c r="AF26" s="3" t="s">
        <v>1380</v>
      </c>
      <c r="AG26" s="3" t="s">
        <v>700</v>
      </c>
      <c r="AH26" s="3"/>
      <c r="AI26" s="3"/>
      <c r="AJ26" s="3" t="s">
        <v>1455</v>
      </c>
      <c r="AK26" s="3" t="s">
        <v>1382</v>
      </c>
      <c r="AL26" s="3"/>
      <c r="AM26" s="3"/>
      <c r="AN26" s="8" t="s">
        <v>2132</v>
      </c>
    </row>
    <row r="27" spans="1:40" ht="60" customHeight="1" x14ac:dyDescent="0.2">
      <c r="A27" s="3" t="s">
        <v>2333</v>
      </c>
      <c r="B27" s="3" t="s">
        <v>2119</v>
      </c>
      <c r="C27" s="3" t="s">
        <v>2330</v>
      </c>
      <c r="D27" s="3" t="s">
        <v>2334</v>
      </c>
      <c r="E27" s="3" t="s">
        <v>2335</v>
      </c>
      <c r="F27" s="3" t="s">
        <v>1601</v>
      </c>
      <c r="G27" s="3" t="s">
        <v>1602</v>
      </c>
      <c r="H27" s="3" t="s">
        <v>1603</v>
      </c>
      <c r="I27" s="3" t="s">
        <v>1604</v>
      </c>
      <c r="J27" s="3" t="s">
        <v>1605</v>
      </c>
      <c r="K27" s="3" t="s">
        <v>1414</v>
      </c>
      <c r="L27" s="3" t="s">
        <v>1607</v>
      </c>
      <c r="M27" s="3" t="s">
        <v>1365</v>
      </c>
      <c r="N27" s="3" t="s">
        <v>1608</v>
      </c>
      <c r="O27" s="3" t="s">
        <v>1609</v>
      </c>
      <c r="P27" s="3" t="s">
        <v>1610</v>
      </c>
      <c r="Q27" s="3" t="s">
        <v>1611</v>
      </c>
      <c r="R27" s="3"/>
      <c r="S27" s="3" t="s">
        <v>1612</v>
      </c>
      <c r="T27" s="3" t="s">
        <v>1613</v>
      </c>
      <c r="U27" s="3"/>
      <c r="V27" s="3"/>
      <c r="W27" s="3"/>
      <c r="X27" s="3"/>
      <c r="Y27" s="3" t="s">
        <v>1374</v>
      </c>
      <c r="Z27" s="3" t="s">
        <v>1375</v>
      </c>
      <c r="AA27" s="3" t="s">
        <v>1616</v>
      </c>
      <c r="AB27" s="3" t="s">
        <v>1617</v>
      </c>
      <c r="AC27" s="3" t="s">
        <v>1378</v>
      </c>
      <c r="AD27" s="3" t="s">
        <v>1618</v>
      </c>
      <c r="AE27" s="3" t="s">
        <v>1619</v>
      </c>
      <c r="AF27" s="3" t="s">
        <v>1380</v>
      </c>
      <c r="AG27" s="3" t="s">
        <v>1150</v>
      </c>
      <c r="AH27" s="3"/>
      <c r="AI27" s="3"/>
      <c r="AJ27" s="3" t="s">
        <v>1621</v>
      </c>
      <c r="AK27" s="3" t="s">
        <v>1382</v>
      </c>
      <c r="AL27" s="3"/>
      <c r="AM27" s="3"/>
      <c r="AN27" s="8" t="s">
        <v>2132</v>
      </c>
    </row>
    <row r="28" spans="1:40" ht="60" customHeight="1" x14ac:dyDescent="0.2">
      <c r="A28" s="3" t="s">
        <v>2336</v>
      </c>
      <c r="B28" s="3" t="s">
        <v>2119</v>
      </c>
      <c r="C28" s="3" t="s">
        <v>2330</v>
      </c>
      <c r="D28" s="3" t="s">
        <v>2337</v>
      </c>
      <c r="E28" s="3" t="s">
        <v>2338</v>
      </c>
      <c r="F28" s="3" t="s">
        <v>1446</v>
      </c>
      <c r="G28" s="3"/>
      <c r="H28" s="3" t="s">
        <v>2339</v>
      </c>
      <c r="I28" s="3" t="s">
        <v>1448</v>
      </c>
      <c r="J28" s="3" t="s">
        <v>1413</v>
      </c>
      <c r="K28" s="3" t="s">
        <v>1414</v>
      </c>
      <c r="L28" s="3" t="s">
        <v>1449</v>
      </c>
      <c r="M28" s="3" t="s">
        <v>1365</v>
      </c>
      <c r="N28" s="3" t="s">
        <v>1366</v>
      </c>
      <c r="O28" s="3" t="s">
        <v>1450</v>
      </c>
      <c r="P28" s="3" t="s">
        <v>1450</v>
      </c>
      <c r="Q28" s="3" t="s">
        <v>1451</v>
      </c>
      <c r="R28" s="3"/>
      <c r="S28" s="3"/>
      <c r="T28" s="3" t="s">
        <v>1399</v>
      </c>
      <c r="U28" s="3"/>
      <c r="V28" s="3"/>
      <c r="W28" s="3"/>
      <c r="X28" s="3"/>
      <c r="Y28" s="3" t="s">
        <v>1374</v>
      </c>
      <c r="Z28" s="3" t="s">
        <v>1375</v>
      </c>
      <c r="AA28" s="3" t="s">
        <v>1437</v>
      </c>
      <c r="AB28" s="3" t="s">
        <v>1452</v>
      </c>
      <c r="AC28" s="3" t="s">
        <v>1453</v>
      </c>
      <c r="AD28" s="3"/>
      <c r="AE28" s="3" t="s">
        <v>1454</v>
      </c>
      <c r="AF28" s="3" t="s">
        <v>1380</v>
      </c>
      <c r="AG28" s="3" t="s">
        <v>700</v>
      </c>
      <c r="AH28" s="3"/>
      <c r="AI28" s="3"/>
      <c r="AJ28" s="3" t="s">
        <v>1455</v>
      </c>
      <c r="AK28" s="3" t="s">
        <v>1382</v>
      </c>
      <c r="AL28" s="3"/>
      <c r="AM28" s="3"/>
      <c r="AN28" s="8" t="s">
        <v>2132</v>
      </c>
    </row>
    <row r="29" spans="1:40" ht="60" customHeight="1" x14ac:dyDescent="0.2">
      <c r="A29" s="3" t="s">
        <v>2340</v>
      </c>
      <c r="B29" s="3" t="s">
        <v>2119</v>
      </c>
      <c r="C29" s="3" t="s">
        <v>2341</v>
      </c>
      <c r="D29" s="3" t="s">
        <v>2342</v>
      </c>
      <c r="E29" s="3" t="s">
        <v>2343</v>
      </c>
      <c r="F29" s="3" t="s">
        <v>2311</v>
      </c>
      <c r="G29" s="3"/>
      <c r="H29" s="3" t="s">
        <v>2344</v>
      </c>
      <c r="I29" s="3" t="s">
        <v>2345</v>
      </c>
      <c r="J29" s="3" t="s">
        <v>1413</v>
      </c>
      <c r="K29" s="3" t="s">
        <v>1414</v>
      </c>
      <c r="L29" s="3" t="s">
        <v>2314</v>
      </c>
      <c r="M29" s="3" t="s">
        <v>2346</v>
      </c>
      <c r="N29" s="3" t="s">
        <v>1366</v>
      </c>
      <c r="O29" s="3" t="s">
        <v>1450</v>
      </c>
      <c r="P29" s="3" t="s">
        <v>1450</v>
      </c>
      <c r="Q29" s="3" t="s">
        <v>1451</v>
      </c>
      <c r="R29" s="3"/>
      <c r="S29" s="3"/>
      <c r="T29" s="3" t="s">
        <v>1399</v>
      </c>
      <c r="U29" s="3"/>
      <c r="V29" s="3"/>
      <c r="W29" s="3"/>
      <c r="X29" s="3"/>
      <c r="Y29" s="3" t="s">
        <v>1374</v>
      </c>
      <c r="Z29" s="3" t="s">
        <v>1375</v>
      </c>
      <c r="AA29" s="3" t="s">
        <v>1437</v>
      </c>
      <c r="AB29" s="3" t="s">
        <v>1452</v>
      </c>
      <c r="AC29" s="3" t="s">
        <v>2315</v>
      </c>
      <c r="AD29" s="3"/>
      <c r="AE29" s="3" t="s">
        <v>1454</v>
      </c>
      <c r="AF29" s="3" t="s">
        <v>1380</v>
      </c>
      <c r="AG29" s="3" t="s">
        <v>700</v>
      </c>
      <c r="AH29" s="3"/>
      <c r="AI29" s="3"/>
      <c r="AJ29" s="3" t="s">
        <v>1455</v>
      </c>
      <c r="AK29" s="3" t="s">
        <v>1382</v>
      </c>
      <c r="AL29" s="3"/>
      <c r="AM29" s="3"/>
      <c r="AN29" s="8" t="s">
        <v>2347</v>
      </c>
    </row>
    <row r="30" spans="1:40" ht="60" customHeight="1" x14ac:dyDescent="0.2">
      <c r="A30" s="3" t="s">
        <v>2348</v>
      </c>
      <c r="B30" s="3" t="s">
        <v>2119</v>
      </c>
      <c r="C30" s="3" t="s">
        <v>2341</v>
      </c>
      <c r="D30" s="3" t="s">
        <v>2349</v>
      </c>
      <c r="E30" s="3" t="s">
        <v>2350</v>
      </c>
      <c r="F30" s="3" t="s">
        <v>2163</v>
      </c>
      <c r="G30" s="3" t="s">
        <v>2164</v>
      </c>
      <c r="H30" s="3" t="s">
        <v>2165</v>
      </c>
      <c r="I30" s="3" t="s">
        <v>2166</v>
      </c>
      <c r="J30" s="3" t="s">
        <v>2167</v>
      </c>
      <c r="K30" s="3" t="s">
        <v>1363</v>
      </c>
      <c r="L30" s="3" t="s">
        <v>1514</v>
      </c>
      <c r="M30" s="3" t="s">
        <v>1365</v>
      </c>
      <c r="N30" s="3" t="s">
        <v>1608</v>
      </c>
      <c r="O30" s="3" t="s">
        <v>2168</v>
      </c>
      <c r="P30" s="3" t="s">
        <v>2169</v>
      </c>
      <c r="Q30" s="3" t="s">
        <v>2170</v>
      </c>
      <c r="R30" s="3"/>
      <c r="S30" s="3"/>
      <c r="T30" s="3" t="s">
        <v>1399</v>
      </c>
      <c r="U30" s="3" t="s">
        <v>2351</v>
      </c>
      <c r="V30" s="3"/>
      <c r="W30" s="3"/>
      <c r="X30" s="3"/>
      <c r="Y30" s="3" t="s">
        <v>1374</v>
      </c>
      <c r="Z30" s="3" t="s">
        <v>1375</v>
      </c>
      <c r="AA30" s="3" t="s">
        <v>1437</v>
      </c>
      <c r="AB30" s="3" t="s">
        <v>1504</v>
      </c>
      <c r="AC30" s="3" t="s">
        <v>1378</v>
      </c>
      <c r="AD30" s="3"/>
      <c r="AE30" s="3" t="s">
        <v>1454</v>
      </c>
      <c r="AF30" s="3" t="s">
        <v>2352</v>
      </c>
      <c r="AG30" s="3" t="s">
        <v>7</v>
      </c>
      <c r="AH30" s="3"/>
      <c r="AI30" s="3"/>
      <c r="AJ30" s="3" t="s">
        <v>2172</v>
      </c>
      <c r="AK30" s="3" t="s">
        <v>1382</v>
      </c>
      <c r="AL30" s="3"/>
      <c r="AM30" s="3"/>
      <c r="AN30" s="8" t="s">
        <v>2347</v>
      </c>
    </row>
    <row r="31" spans="1:40" ht="60" customHeight="1" x14ac:dyDescent="0.2">
      <c r="A31" s="3" t="s">
        <v>2353</v>
      </c>
      <c r="B31" s="3" t="s">
        <v>2119</v>
      </c>
      <c r="C31" s="3" t="s">
        <v>2341</v>
      </c>
      <c r="D31" s="3" t="s">
        <v>2354</v>
      </c>
      <c r="E31" s="3" t="s">
        <v>2355</v>
      </c>
      <c r="F31" s="3" t="s">
        <v>2311</v>
      </c>
      <c r="G31" s="3"/>
      <c r="H31" s="3" t="s">
        <v>2312</v>
      </c>
      <c r="I31" s="3" t="s">
        <v>2313</v>
      </c>
      <c r="J31" s="3" t="s">
        <v>1413</v>
      </c>
      <c r="K31" s="3" t="s">
        <v>1414</v>
      </c>
      <c r="L31" s="3" t="s">
        <v>2314</v>
      </c>
      <c r="M31" s="3" t="s">
        <v>2356</v>
      </c>
      <c r="N31" s="3" t="s">
        <v>1366</v>
      </c>
      <c r="O31" s="3" t="s">
        <v>1450</v>
      </c>
      <c r="P31" s="3" t="s">
        <v>1450</v>
      </c>
      <c r="Q31" s="3" t="s">
        <v>1451</v>
      </c>
      <c r="R31" s="3"/>
      <c r="S31" s="3" t="s">
        <v>2357</v>
      </c>
      <c r="T31" s="3" t="s">
        <v>1399</v>
      </c>
      <c r="U31" s="3"/>
      <c r="V31" s="3"/>
      <c r="W31" s="3"/>
      <c r="X31" s="3"/>
      <c r="Y31" s="3" t="s">
        <v>1374</v>
      </c>
      <c r="Z31" s="3" t="s">
        <v>1375</v>
      </c>
      <c r="AA31" s="3" t="s">
        <v>1437</v>
      </c>
      <c r="AB31" s="3" t="s">
        <v>1452</v>
      </c>
      <c r="AC31" s="3" t="s">
        <v>2315</v>
      </c>
      <c r="AD31" s="3"/>
      <c r="AE31" s="3" t="s">
        <v>1454</v>
      </c>
      <c r="AF31" s="3" t="s">
        <v>1380</v>
      </c>
      <c r="AG31" s="3" t="s">
        <v>700</v>
      </c>
      <c r="AH31" s="3"/>
      <c r="AI31" s="3"/>
      <c r="AJ31" s="3" t="s">
        <v>1455</v>
      </c>
      <c r="AK31" s="3" t="s">
        <v>1382</v>
      </c>
      <c r="AL31" s="3"/>
      <c r="AM31" s="3"/>
      <c r="AN31" s="8" t="s">
        <v>2347</v>
      </c>
    </row>
    <row r="32" spans="1:40" ht="60" customHeight="1" x14ac:dyDescent="0.2">
      <c r="A32" s="3" t="s">
        <v>2358</v>
      </c>
      <c r="B32" s="3" t="s">
        <v>2119</v>
      </c>
      <c r="C32" s="3" t="s">
        <v>2341</v>
      </c>
      <c r="D32" s="3" t="s">
        <v>2359</v>
      </c>
      <c r="E32" s="3" t="s">
        <v>2360</v>
      </c>
      <c r="F32" s="3" t="s">
        <v>1522</v>
      </c>
      <c r="G32" s="3" t="s">
        <v>2361</v>
      </c>
      <c r="H32" s="3" t="s">
        <v>2362</v>
      </c>
      <c r="I32" s="3" t="s">
        <v>2363</v>
      </c>
      <c r="J32" s="3" t="s">
        <v>1413</v>
      </c>
      <c r="K32" s="3" t="s">
        <v>1414</v>
      </c>
      <c r="L32" s="3" t="s">
        <v>2364</v>
      </c>
      <c r="M32" s="3" t="s">
        <v>2356</v>
      </c>
      <c r="N32" s="3" t="s">
        <v>1366</v>
      </c>
      <c r="O32" s="3" t="s">
        <v>2365</v>
      </c>
      <c r="P32" s="3" t="s">
        <v>1450</v>
      </c>
      <c r="Q32" s="3" t="s">
        <v>1451</v>
      </c>
      <c r="R32" s="3"/>
      <c r="S32" s="3"/>
      <c r="T32" s="3" t="s">
        <v>1399</v>
      </c>
      <c r="U32" s="3"/>
      <c r="V32" s="3"/>
      <c r="W32" s="3"/>
      <c r="X32" s="3"/>
      <c r="Y32" s="3" t="s">
        <v>1374</v>
      </c>
      <c r="Z32" s="3" t="s">
        <v>1375</v>
      </c>
      <c r="AA32" s="3" t="s">
        <v>2366</v>
      </c>
      <c r="AB32" s="3" t="s">
        <v>1452</v>
      </c>
      <c r="AC32" s="3" t="s">
        <v>1526</v>
      </c>
      <c r="AD32" s="3"/>
      <c r="AE32" s="3" t="s">
        <v>2367</v>
      </c>
      <c r="AF32" s="3" t="s">
        <v>1380</v>
      </c>
      <c r="AG32" s="3" t="s">
        <v>700</v>
      </c>
      <c r="AH32" s="3"/>
      <c r="AI32" s="3"/>
      <c r="AJ32" s="3" t="s">
        <v>2368</v>
      </c>
      <c r="AK32" s="3" t="s">
        <v>1382</v>
      </c>
      <c r="AL32" s="3"/>
      <c r="AM32" s="3"/>
      <c r="AN32" s="8" t="s">
        <v>2347</v>
      </c>
    </row>
    <row r="33" spans="1:40" ht="60" customHeight="1" x14ac:dyDescent="0.2">
      <c r="A33" s="3" t="s">
        <v>2369</v>
      </c>
      <c r="B33" s="3" t="s">
        <v>2119</v>
      </c>
      <c r="C33" s="3" t="s">
        <v>2370</v>
      </c>
      <c r="D33" s="3" t="s">
        <v>2371</v>
      </c>
      <c r="E33" s="3" t="s">
        <v>2372</v>
      </c>
      <c r="F33" s="3" t="s">
        <v>2271</v>
      </c>
      <c r="G33" s="3" t="s">
        <v>2272</v>
      </c>
      <c r="H33" s="3" t="s">
        <v>2273</v>
      </c>
      <c r="I33" s="3" t="s">
        <v>2274</v>
      </c>
      <c r="J33" s="3" t="s">
        <v>2275</v>
      </c>
      <c r="K33" s="3" t="s">
        <v>1606</v>
      </c>
      <c r="L33" s="3" t="s">
        <v>1631</v>
      </c>
      <c r="M33" s="3" t="s">
        <v>1365</v>
      </c>
      <c r="N33" s="3" t="s">
        <v>1366</v>
      </c>
      <c r="O33" s="3" t="s">
        <v>2276</v>
      </c>
      <c r="P33" s="3" t="s">
        <v>2277</v>
      </c>
      <c r="Q33" s="3" t="s">
        <v>1500</v>
      </c>
      <c r="R33" s="3"/>
      <c r="S33" s="3"/>
      <c r="T33" s="3" t="s">
        <v>1399</v>
      </c>
      <c r="U33" s="3" t="s">
        <v>2278</v>
      </c>
      <c r="V33" s="3"/>
      <c r="W33" s="3"/>
      <c r="X33" s="3"/>
      <c r="Y33" s="3" t="s">
        <v>1374</v>
      </c>
      <c r="Z33" s="3" t="s">
        <v>1375</v>
      </c>
      <c r="AA33" s="3" t="s">
        <v>1437</v>
      </c>
      <c r="AB33" s="3" t="s">
        <v>1504</v>
      </c>
      <c r="AC33" s="3" t="s">
        <v>1378</v>
      </c>
      <c r="AD33" s="3"/>
      <c r="AE33" s="3" t="s">
        <v>1454</v>
      </c>
      <c r="AF33" s="3" t="s">
        <v>2279</v>
      </c>
      <c r="AG33" s="3" t="s">
        <v>7</v>
      </c>
      <c r="AH33" s="3"/>
      <c r="AI33" s="3"/>
      <c r="AJ33" s="3" t="s">
        <v>2280</v>
      </c>
      <c r="AK33" s="3" t="s">
        <v>1382</v>
      </c>
      <c r="AL33" s="3"/>
      <c r="AM33" s="3"/>
      <c r="AN33" s="8" t="s">
        <v>2143</v>
      </c>
    </row>
    <row r="34" spans="1:40" ht="60" customHeight="1" x14ac:dyDescent="0.2">
      <c r="A34" s="3" t="s">
        <v>2373</v>
      </c>
      <c r="B34" s="3" t="s">
        <v>2119</v>
      </c>
      <c r="C34" s="3" t="s">
        <v>2370</v>
      </c>
      <c r="D34" s="3" t="s">
        <v>2374</v>
      </c>
      <c r="E34" s="3" t="s">
        <v>2375</v>
      </c>
      <c r="F34" s="3" t="s">
        <v>1601</v>
      </c>
      <c r="G34" s="3" t="s">
        <v>1602</v>
      </c>
      <c r="H34" s="3" t="s">
        <v>1603</v>
      </c>
      <c r="I34" s="3" t="s">
        <v>1604</v>
      </c>
      <c r="J34" s="3" t="s">
        <v>1605</v>
      </c>
      <c r="K34" s="3" t="s">
        <v>1392</v>
      </c>
      <c r="L34" s="3" t="s">
        <v>1607</v>
      </c>
      <c r="M34" s="3" t="s">
        <v>1365</v>
      </c>
      <c r="N34" s="3" t="s">
        <v>2376</v>
      </c>
      <c r="O34" s="3" t="s">
        <v>1609</v>
      </c>
      <c r="P34" s="3" t="s">
        <v>1610</v>
      </c>
      <c r="Q34" s="3" t="s">
        <v>1611</v>
      </c>
      <c r="R34" s="3"/>
      <c r="S34" s="3" t="s">
        <v>1612</v>
      </c>
      <c r="T34" s="3" t="s">
        <v>1613</v>
      </c>
      <c r="U34" s="3" t="s">
        <v>2377</v>
      </c>
      <c r="V34" s="3"/>
      <c r="W34" s="3"/>
      <c r="X34" s="3"/>
      <c r="Y34" s="3" t="s">
        <v>1374</v>
      </c>
      <c r="Z34" s="3" t="s">
        <v>1375</v>
      </c>
      <c r="AA34" s="3" t="s">
        <v>1616</v>
      </c>
      <c r="AB34" s="3" t="s">
        <v>1617</v>
      </c>
      <c r="AC34" s="3" t="s">
        <v>1378</v>
      </c>
      <c r="AD34" s="3" t="s">
        <v>1618</v>
      </c>
      <c r="AE34" s="3" t="s">
        <v>1619</v>
      </c>
      <c r="AF34" s="3" t="s">
        <v>1380</v>
      </c>
      <c r="AG34" s="3" t="s">
        <v>1150</v>
      </c>
      <c r="AH34" s="3"/>
      <c r="AI34" s="3"/>
      <c r="AJ34" s="3" t="s">
        <v>1621</v>
      </c>
      <c r="AK34" s="3" t="s">
        <v>1382</v>
      </c>
      <c r="AL34" s="3"/>
      <c r="AM34" s="3"/>
      <c r="AN34" s="8" t="s">
        <v>2132</v>
      </c>
    </row>
    <row r="35" spans="1:40" ht="60" customHeight="1" x14ac:dyDescent="0.2">
      <c r="A35" s="3" t="s">
        <v>2378</v>
      </c>
      <c r="B35" s="3" t="s">
        <v>2119</v>
      </c>
      <c r="C35" s="3" t="s">
        <v>2370</v>
      </c>
      <c r="D35" s="3" t="s">
        <v>2379</v>
      </c>
      <c r="E35" s="3" t="s">
        <v>2380</v>
      </c>
      <c r="F35" s="3" t="s">
        <v>1358</v>
      </c>
      <c r="G35" s="3" t="s">
        <v>1359</v>
      </c>
      <c r="H35" s="3" t="s">
        <v>1360</v>
      </c>
      <c r="I35" s="3" t="s">
        <v>2381</v>
      </c>
      <c r="J35" s="3" t="s">
        <v>1362</v>
      </c>
      <c r="K35" s="3" t="s">
        <v>1363</v>
      </c>
      <c r="L35" s="3" t="s">
        <v>1364</v>
      </c>
      <c r="M35" s="3" t="s">
        <v>1365</v>
      </c>
      <c r="N35" s="3" t="s">
        <v>2024</v>
      </c>
      <c r="O35" s="3" t="s">
        <v>1367</v>
      </c>
      <c r="P35" s="3" t="s">
        <v>1368</v>
      </c>
      <c r="Q35" s="3" t="s">
        <v>1369</v>
      </c>
      <c r="R35" s="3"/>
      <c r="S35" s="3" t="s">
        <v>1370</v>
      </c>
      <c r="T35" s="3" t="s">
        <v>1371</v>
      </c>
      <c r="U35" s="3"/>
      <c r="V35" s="3"/>
      <c r="W35" s="3"/>
      <c r="X35" s="3"/>
      <c r="Y35" s="3" t="s">
        <v>1374</v>
      </c>
      <c r="Z35" s="3" t="s">
        <v>1375</v>
      </c>
      <c r="AA35" s="3" t="s">
        <v>1437</v>
      </c>
      <c r="AB35" s="3" t="s">
        <v>1377</v>
      </c>
      <c r="AC35" s="3" t="s">
        <v>1378</v>
      </c>
      <c r="AD35" s="3"/>
      <c r="AE35" s="3" t="s">
        <v>2382</v>
      </c>
      <c r="AF35" s="3" t="s">
        <v>1380</v>
      </c>
      <c r="AG35" s="3" t="s">
        <v>1150</v>
      </c>
      <c r="AH35" s="3"/>
      <c r="AI35" s="3"/>
      <c r="AJ35" s="3" t="s">
        <v>1381</v>
      </c>
      <c r="AK35" s="3" t="s">
        <v>1382</v>
      </c>
      <c r="AL35" s="3"/>
      <c r="AM35" s="3"/>
      <c r="AN35" s="8" t="s">
        <v>2132</v>
      </c>
    </row>
    <row r="36" spans="1:40" ht="60" customHeight="1" x14ac:dyDescent="0.2">
      <c r="A36" s="3" t="s">
        <v>2383</v>
      </c>
      <c r="B36" s="3" t="s">
        <v>2119</v>
      </c>
      <c r="C36" s="3" t="s">
        <v>2370</v>
      </c>
      <c r="D36" s="3" t="s">
        <v>2384</v>
      </c>
      <c r="E36" s="3" t="s">
        <v>2385</v>
      </c>
      <c r="F36" s="3" t="s">
        <v>2311</v>
      </c>
      <c r="G36" s="3"/>
      <c r="H36" s="3" t="s">
        <v>2386</v>
      </c>
      <c r="I36" s="3" t="s">
        <v>2387</v>
      </c>
      <c r="J36" s="3" t="s">
        <v>1413</v>
      </c>
      <c r="K36" s="3" t="s">
        <v>1606</v>
      </c>
      <c r="L36" s="3" t="s">
        <v>2314</v>
      </c>
      <c r="M36" s="3" t="s">
        <v>1365</v>
      </c>
      <c r="N36" s="3" t="s">
        <v>1608</v>
      </c>
      <c r="O36" s="3" t="s">
        <v>1450</v>
      </c>
      <c r="P36" s="3" t="s">
        <v>1450</v>
      </c>
      <c r="Q36" s="3" t="s">
        <v>1451</v>
      </c>
      <c r="R36" s="3"/>
      <c r="S36" s="3"/>
      <c r="T36" s="3" t="s">
        <v>1399</v>
      </c>
      <c r="U36" s="3"/>
      <c r="V36" s="3"/>
      <c r="W36" s="3"/>
      <c r="X36" s="3"/>
      <c r="Y36" s="3" t="s">
        <v>1374</v>
      </c>
      <c r="Z36" s="3" t="s">
        <v>1375</v>
      </c>
      <c r="AA36" s="3" t="s">
        <v>1437</v>
      </c>
      <c r="AB36" s="3" t="s">
        <v>1452</v>
      </c>
      <c r="AC36" s="3" t="s">
        <v>2315</v>
      </c>
      <c r="AD36" s="3"/>
      <c r="AE36" s="3" t="s">
        <v>1454</v>
      </c>
      <c r="AF36" s="3" t="s">
        <v>1380</v>
      </c>
      <c r="AG36" s="3" t="s">
        <v>700</v>
      </c>
      <c r="AH36" s="3"/>
      <c r="AI36" s="3"/>
      <c r="AJ36" s="3" t="s">
        <v>1455</v>
      </c>
      <c r="AK36" s="3" t="s">
        <v>1382</v>
      </c>
      <c r="AL36" s="3"/>
      <c r="AM36" s="3"/>
      <c r="AN36" s="8" t="s">
        <v>2132</v>
      </c>
    </row>
    <row r="37" spans="1:40" ht="60" customHeight="1" x14ac:dyDescent="0.2">
      <c r="A37" s="3" t="s">
        <v>2388</v>
      </c>
      <c r="B37" s="3" t="s">
        <v>2119</v>
      </c>
      <c r="C37" s="3" t="s">
        <v>2389</v>
      </c>
      <c r="D37" s="3" t="s">
        <v>2390</v>
      </c>
      <c r="E37" s="3" t="s">
        <v>2391</v>
      </c>
      <c r="F37" s="3" t="s">
        <v>1522</v>
      </c>
      <c r="G37" s="3" t="s">
        <v>2392</v>
      </c>
      <c r="H37" s="3" t="s">
        <v>2393</v>
      </c>
      <c r="I37" s="3" t="s">
        <v>2394</v>
      </c>
      <c r="J37" s="3" t="s">
        <v>1413</v>
      </c>
      <c r="K37" s="3" t="s">
        <v>1414</v>
      </c>
      <c r="L37" s="3" t="s">
        <v>2395</v>
      </c>
      <c r="M37" s="3" t="s">
        <v>1365</v>
      </c>
      <c r="N37" s="3" t="s">
        <v>1366</v>
      </c>
      <c r="O37" s="3" t="s">
        <v>2396</v>
      </c>
      <c r="P37" s="3" t="s">
        <v>1450</v>
      </c>
      <c r="Q37" s="3" t="s">
        <v>1451</v>
      </c>
      <c r="R37" s="3"/>
      <c r="S37" s="3"/>
      <c r="T37" s="3" t="s">
        <v>2397</v>
      </c>
      <c r="U37" s="3"/>
      <c r="V37" s="7" t="s">
        <v>2398</v>
      </c>
      <c r="W37" s="7"/>
      <c r="X37" s="3"/>
      <c r="Y37" s="3" t="s">
        <v>1374</v>
      </c>
      <c r="Z37" s="3" t="s">
        <v>1375</v>
      </c>
      <c r="AA37" s="3" t="s">
        <v>2399</v>
      </c>
      <c r="AB37" s="3" t="s">
        <v>1452</v>
      </c>
      <c r="AC37" s="3" t="s">
        <v>1526</v>
      </c>
      <c r="AD37" s="3"/>
      <c r="AE37" s="3" t="s">
        <v>2400</v>
      </c>
      <c r="AF37" s="3" t="s">
        <v>1380</v>
      </c>
      <c r="AG37" s="3" t="s">
        <v>700</v>
      </c>
      <c r="AH37" s="3"/>
      <c r="AI37" s="3"/>
      <c r="AJ37" s="3" t="s">
        <v>1518</v>
      </c>
      <c r="AK37" s="3" t="s">
        <v>1382</v>
      </c>
      <c r="AL37" s="3"/>
      <c r="AM37" s="3"/>
      <c r="AN37" s="7" t="s">
        <v>2401</v>
      </c>
    </row>
    <row r="38" spans="1:40" ht="60" customHeight="1" x14ac:dyDescent="0.2">
      <c r="A38" s="3" t="s">
        <v>2402</v>
      </c>
      <c r="B38" s="3" t="s">
        <v>2119</v>
      </c>
      <c r="C38" s="3" t="s">
        <v>2389</v>
      </c>
      <c r="D38" s="3" t="s">
        <v>2403</v>
      </c>
      <c r="E38" s="3" t="s">
        <v>2404</v>
      </c>
      <c r="F38" s="3" t="s">
        <v>1522</v>
      </c>
      <c r="G38" s="3" t="s">
        <v>2392</v>
      </c>
      <c r="H38" s="3" t="s">
        <v>2393</v>
      </c>
      <c r="I38" s="3" t="s">
        <v>2394</v>
      </c>
      <c r="J38" s="3" t="s">
        <v>1413</v>
      </c>
      <c r="K38" s="3" t="s">
        <v>1414</v>
      </c>
      <c r="L38" s="3" t="s">
        <v>2405</v>
      </c>
      <c r="M38" s="3" t="s">
        <v>1365</v>
      </c>
      <c r="N38" s="3" t="s">
        <v>1366</v>
      </c>
      <c r="O38" s="3" t="s">
        <v>2396</v>
      </c>
      <c r="P38" s="3" t="s">
        <v>1450</v>
      </c>
      <c r="Q38" s="3" t="s">
        <v>1451</v>
      </c>
      <c r="R38" s="3"/>
      <c r="S38" s="3"/>
      <c r="T38" s="3" t="s">
        <v>2397</v>
      </c>
      <c r="U38" s="3"/>
      <c r="V38" s="3"/>
      <c r="W38" s="3"/>
      <c r="X38" s="3"/>
      <c r="Y38" s="3" t="s">
        <v>1374</v>
      </c>
      <c r="Z38" s="3" t="s">
        <v>1375</v>
      </c>
      <c r="AA38" s="3" t="s">
        <v>2399</v>
      </c>
      <c r="AB38" s="3" t="s">
        <v>1452</v>
      </c>
      <c r="AC38" s="3" t="s">
        <v>1526</v>
      </c>
      <c r="AD38" s="3"/>
      <c r="AE38" s="3" t="s">
        <v>2400</v>
      </c>
      <c r="AF38" s="3" t="s">
        <v>1380</v>
      </c>
      <c r="AG38" s="3" t="s">
        <v>700</v>
      </c>
      <c r="AH38" s="3"/>
      <c r="AI38" s="3"/>
      <c r="AJ38" s="3" t="s">
        <v>1518</v>
      </c>
      <c r="AK38" s="3" t="s">
        <v>1382</v>
      </c>
      <c r="AL38" s="3"/>
      <c r="AM38" s="3"/>
      <c r="AN38" s="7" t="s">
        <v>2406</v>
      </c>
    </row>
    <row r="39" spans="1:40" ht="45" customHeight="1" x14ac:dyDescent="0.2">
      <c r="A39" s="3"/>
      <c r="B39" s="3" t="s">
        <v>2119</v>
      </c>
      <c r="C39" s="3" t="s">
        <v>1533</v>
      </c>
      <c r="D39" s="3"/>
      <c r="E39" s="3"/>
      <c r="F39" s="3"/>
      <c r="G39" s="3"/>
      <c r="H39" s="3"/>
      <c r="I39" s="3"/>
      <c r="J39" s="3"/>
      <c r="K39" s="3"/>
      <c r="L39" s="3"/>
      <c r="M39" s="3"/>
      <c r="N39" s="3"/>
      <c r="O39" s="3"/>
      <c r="P39" s="3"/>
      <c r="Q39" s="3"/>
      <c r="R39" s="3"/>
      <c r="S39" s="3"/>
      <c r="T39" s="3"/>
      <c r="U39" s="3"/>
      <c r="V39" s="3"/>
      <c r="W39" s="3"/>
      <c r="X39" s="3" t="s">
        <v>1534</v>
      </c>
      <c r="Y39" s="3"/>
      <c r="Z39" s="3"/>
      <c r="AA39" s="3"/>
      <c r="AB39" s="3"/>
      <c r="AC39" s="3"/>
      <c r="AD39" s="3"/>
      <c r="AE39" s="3"/>
      <c r="AF39" s="3"/>
      <c r="AG39" s="3"/>
      <c r="AH39" s="3"/>
      <c r="AI39" s="3"/>
      <c r="AJ39" s="3"/>
      <c r="AK39" s="3"/>
      <c r="AL39" s="3"/>
      <c r="AM39" s="3"/>
      <c r="AN39" s="3"/>
    </row>
    <row r="40" spans="1:40" ht="45" customHeight="1" x14ac:dyDescent="0.2">
      <c r="A40" s="3"/>
      <c r="B40" s="3" t="s">
        <v>2119</v>
      </c>
      <c r="C40" s="3" t="s">
        <v>1537</v>
      </c>
      <c r="D40" s="3"/>
      <c r="E40" s="3"/>
      <c r="F40" s="3"/>
      <c r="G40" s="3"/>
      <c r="H40" s="3"/>
      <c r="I40" s="3"/>
      <c r="J40" s="3"/>
      <c r="K40" s="3"/>
      <c r="L40" s="3"/>
      <c r="M40" s="3"/>
      <c r="N40" s="3"/>
      <c r="O40" s="3"/>
      <c r="P40" s="3"/>
      <c r="Q40" s="3"/>
      <c r="R40" s="3"/>
      <c r="S40" s="3"/>
      <c r="T40" s="3"/>
      <c r="U40" s="3"/>
      <c r="V40" s="3"/>
      <c r="W40" s="3"/>
      <c r="X40" s="3" t="s">
        <v>1534</v>
      </c>
      <c r="Y40" s="3"/>
      <c r="Z40" s="3"/>
      <c r="AA40" s="3"/>
      <c r="AB40" s="3"/>
      <c r="AC40" s="3"/>
      <c r="AD40" s="3"/>
      <c r="AE40" s="3"/>
      <c r="AF40" s="3"/>
      <c r="AG40" s="3"/>
      <c r="AH40" s="3"/>
      <c r="AI40" s="3"/>
      <c r="AJ40" s="3"/>
      <c r="AK40" s="3"/>
      <c r="AL40" s="3"/>
      <c r="AM40" s="3"/>
      <c r="AN40" s="3"/>
    </row>
    <row r="41" spans="1:40" ht="45" customHeight="1" x14ac:dyDescent="0.2">
      <c r="A41" s="3"/>
      <c r="B41" s="3" t="s">
        <v>2119</v>
      </c>
      <c r="C41" s="3" t="s">
        <v>1539</v>
      </c>
      <c r="D41" s="3"/>
      <c r="E41" s="3"/>
      <c r="F41" s="3"/>
      <c r="G41" s="3"/>
      <c r="H41" s="3"/>
      <c r="I41" s="3"/>
      <c r="J41" s="3"/>
      <c r="K41" s="3"/>
      <c r="L41" s="3"/>
      <c r="M41" s="3"/>
      <c r="N41" s="3"/>
      <c r="O41" s="3"/>
      <c r="P41" s="3"/>
      <c r="Q41" s="3"/>
      <c r="R41" s="3"/>
      <c r="S41" s="3"/>
      <c r="T41" s="3"/>
      <c r="U41" s="3"/>
      <c r="V41" s="3"/>
      <c r="W41" s="3"/>
      <c r="X41" s="3" t="s">
        <v>1534</v>
      </c>
      <c r="Y41" s="3"/>
      <c r="Z41" s="3"/>
      <c r="AA41" s="3"/>
      <c r="AB41" s="3"/>
      <c r="AC41" s="3"/>
      <c r="AD41" s="3"/>
      <c r="AE41" s="3"/>
      <c r="AF41" s="3"/>
      <c r="AG41" s="3"/>
      <c r="AH41" s="3"/>
      <c r="AI41" s="3"/>
      <c r="AJ41" s="3"/>
      <c r="AK41" s="3"/>
      <c r="AL41" s="3"/>
      <c r="AM41" s="3"/>
      <c r="AN41" s="3"/>
    </row>
    <row r="42" spans="1:40" ht="45" customHeight="1" x14ac:dyDescent="0.2">
      <c r="A42" s="3"/>
      <c r="B42" s="3" t="s">
        <v>2119</v>
      </c>
      <c r="C42" s="3" t="s">
        <v>1541</v>
      </c>
      <c r="D42" s="3"/>
      <c r="E42" s="3"/>
      <c r="F42" s="3"/>
      <c r="G42" s="3"/>
      <c r="H42" s="3"/>
      <c r="I42" s="3"/>
      <c r="J42" s="3"/>
      <c r="K42" s="3"/>
      <c r="L42" s="3"/>
      <c r="M42" s="3"/>
      <c r="N42" s="3"/>
      <c r="O42" s="3"/>
      <c r="P42" s="3"/>
      <c r="Q42" s="3"/>
      <c r="R42" s="3"/>
      <c r="S42" s="3"/>
      <c r="T42" s="3"/>
      <c r="U42" s="3"/>
      <c r="V42" s="3"/>
      <c r="W42" s="3"/>
      <c r="X42" s="3" t="s">
        <v>1534</v>
      </c>
      <c r="Y42" s="3"/>
      <c r="Z42" s="3"/>
      <c r="AA42" s="3"/>
      <c r="AB42" s="3"/>
      <c r="AC42" s="3"/>
      <c r="AD42" s="3"/>
      <c r="AE42" s="3"/>
      <c r="AF42" s="3"/>
      <c r="AG42" s="3"/>
      <c r="AH42" s="3"/>
      <c r="AI42" s="3"/>
      <c r="AJ42" s="3"/>
      <c r="AK42" s="3"/>
      <c r="AL42" s="3"/>
      <c r="AM42" s="3"/>
      <c r="AN42" s="3"/>
    </row>
    <row r="43" spans="1:40" ht="60" customHeight="1" x14ac:dyDescent="0.2">
      <c r="A43" s="3"/>
      <c r="B43" s="3" t="s">
        <v>2119</v>
      </c>
      <c r="C43" s="3" t="s">
        <v>1543</v>
      </c>
      <c r="D43" s="3" t="s">
        <v>650</v>
      </c>
      <c r="E43" s="3" t="s">
        <v>650</v>
      </c>
      <c r="F43" s="3" t="s">
        <v>650</v>
      </c>
      <c r="G43" s="3"/>
      <c r="H43" s="3"/>
      <c r="I43" s="3"/>
      <c r="J43" s="3"/>
      <c r="K43" s="3"/>
      <c r="L43" s="3"/>
      <c r="M43" s="3"/>
      <c r="N43" s="3"/>
      <c r="O43" s="3"/>
      <c r="P43" s="3"/>
      <c r="Q43" s="3"/>
      <c r="R43" s="3"/>
      <c r="S43" s="3"/>
      <c r="T43" s="3"/>
      <c r="U43" s="3"/>
      <c r="V43" s="3"/>
      <c r="W43" s="3"/>
      <c r="X43" s="3" t="s">
        <v>1374</v>
      </c>
      <c r="Y43" s="3" t="s">
        <v>1544</v>
      </c>
      <c r="Z43" s="3"/>
      <c r="AA43" s="3"/>
      <c r="AB43" s="3"/>
      <c r="AC43" s="3"/>
      <c r="AD43" s="3"/>
      <c r="AE43" s="3"/>
      <c r="AF43" s="3"/>
      <c r="AG43" s="3"/>
      <c r="AH43" s="3"/>
      <c r="AI43" s="3"/>
      <c r="AJ43" s="3"/>
      <c r="AK43" s="3"/>
      <c r="AL43" s="3"/>
      <c r="AM43" s="3"/>
      <c r="AN43" s="3"/>
    </row>
    <row r="44" spans="1:40" ht="60" customHeight="1" x14ac:dyDescent="0.2">
      <c r="A44" s="3"/>
      <c r="B44" s="3" t="s">
        <v>2119</v>
      </c>
      <c r="C44" s="3" t="s">
        <v>2407</v>
      </c>
      <c r="D44" s="3" t="s">
        <v>650</v>
      </c>
      <c r="E44" s="3" t="s">
        <v>650</v>
      </c>
      <c r="F44" s="3" t="s">
        <v>650</v>
      </c>
      <c r="G44" s="3"/>
      <c r="H44" s="3"/>
      <c r="I44" s="3"/>
      <c r="J44" s="3"/>
      <c r="K44" s="3"/>
      <c r="L44" s="3"/>
      <c r="M44" s="3"/>
      <c r="N44" s="3"/>
      <c r="O44" s="3"/>
      <c r="P44" s="3"/>
      <c r="Q44" s="3"/>
      <c r="R44" s="3"/>
      <c r="S44" s="3"/>
      <c r="T44" s="3"/>
      <c r="U44" s="3"/>
      <c r="V44" s="3"/>
      <c r="W44" s="3"/>
      <c r="X44" s="3" t="s">
        <v>1374</v>
      </c>
      <c r="Y44" s="3" t="s">
        <v>1536</v>
      </c>
      <c r="Z44" s="3"/>
      <c r="AA44" s="3"/>
      <c r="AB44" s="3"/>
      <c r="AC44" s="3"/>
      <c r="AD44" s="3"/>
      <c r="AE44" s="3"/>
      <c r="AF44" s="3"/>
      <c r="AG44" s="3"/>
      <c r="AH44" s="3"/>
      <c r="AI44" s="3"/>
      <c r="AJ44" s="3"/>
      <c r="AK44" s="3"/>
      <c r="AL44" s="3"/>
      <c r="AM44" s="3"/>
      <c r="AN44" s="3"/>
    </row>
  </sheetData>
  <autoFilter ref="A1:AN44"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62"/>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2"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2" customWidth="1"/>
    <col min="32" max="32" width="12" customWidth="1"/>
    <col min="33" max="33" width="11" customWidth="1"/>
    <col min="34" max="34" width="42" customWidth="1"/>
    <col min="35" max="35" width="52" customWidth="1"/>
    <col min="36" max="36" width="46" customWidth="1"/>
    <col min="37" max="37" width="20" customWidth="1"/>
    <col min="38" max="38" width="36" customWidth="1"/>
    <col min="39" max="40" width="30" customWidth="1"/>
  </cols>
  <sheetData>
    <row r="1" spans="1:40" ht="45" customHeight="1" x14ac:dyDescent="0.2">
      <c r="A1" s="1" t="s">
        <v>1316</v>
      </c>
      <c r="B1" s="1" t="s">
        <v>1317</v>
      </c>
      <c r="C1" s="1" t="s">
        <v>1318</v>
      </c>
      <c r="D1" s="1" t="s">
        <v>1319</v>
      </c>
      <c r="E1" s="1" t="s">
        <v>1320</v>
      </c>
      <c r="F1" s="1" t="s">
        <v>1321</v>
      </c>
      <c r="G1" s="1" t="s">
        <v>1322</v>
      </c>
      <c r="H1" s="1" t="s">
        <v>1323</v>
      </c>
      <c r="I1" s="1" t="s">
        <v>1324</v>
      </c>
      <c r="J1" s="1" t="s">
        <v>1325</v>
      </c>
      <c r="K1" s="1" t="s">
        <v>1326</v>
      </c>
      <c r="L1" s="1" t="s">
        <v>335</v>
      </c>
      <c r="M1" s="1" t="s">
        <v>1327</v>
      </c>
      <c r="N1" s="1" t="s">
        <v>1328</v>
      </c>
      <c r="O1" s="1" t="s">
        <v>1329</v>
      </c>
      <c r="P1" s="1" t="s">
        <v>1330</v>
      </c>
      <c r="Q1" s="1" t="s">
        <v>1331</v>
      </c>
      <c r="R1" s="1" t="s">
        <v>1332</v>
      </c>
      <c r="S1" s="1" t="s">
        <v>1333</v>
      </c>
      <c r="T1" s="1" t="s">
        <v>1334</v>
      </c>
      <c r="U1" s="1" t="s">
        <v>1335</v>
      </c>
      <c r="V1" s="1" t="s">
        <v>1336</v>
      </c>
      <c r="W1" s="1" t="s">
        <v>1337</v>
      </c>
      <c r="X1" s="1" t="s">
        <v>1338</v>
      </c>
      <c r="Y1" s="1" t="s">
        <v>1339</v>
      </c>
      <c r="Z1" s="1" t="s">
        <v>1340</v>
      </c>
      <c r="AA1" s="1" t="s">
        <v>1341</v>
      </c>
      <c r="AB1" s="1" t="s">
        <v>1342</v>
      </c>
      <c r="AC1" s="1" t="s">
        <v>1343</v>
      </c>
      <c r="AD1" s="1" t="s">
        <v>1344</v>
      </c>
      <c r="AE1" s="1" t="s">
        <v>1345</v>
      </c>
      <c r="AF1" s="1" t="s">
        <v>1346</v>
      </c>
      <c r="AG1" s="1" t="s">
        <v>1347</v>
      </c>
      <c r="AH1" s="1" t="s">
        <v>1348</v>
      </c>
      <c r="AI1" s="1" t="s">
        <v>1349</v>
      </c>
      <c r="AJ1" s="1" t="s">
        <v>1350</v>
      </c>
      <c r="AK1" s="1" t="s">
        <v>1351</v>
      </c>
      <c r="AL1" s="1" t="s">
        <v>1352</v>
      </c>
      <c r="AM1" s="1" t="s">
        <v>1353</v>
      </c>
      <c r="AN1" s="1" t="s">
        <v>1210</v>
      </c>
    </row>
    <row r="2" spans="1:40" ht="60" customHeight="1" x14ac:dyDescent="0.2">
      <c r="A2" s="3" t="s">
        <v>2408</v>
      </c>
      <c r="B2" s="3" t="s">
        <v>2409</v>
      </c>
      <c r="C2" s="3" t="s">
        <v>1355</v>
      </c>
      <c r="D2" s="3" t="s">
        <v>2410</v>
      </c>
      <c r="E2" s="3" t="s">
        <v>2411</v>
      </c>
      <c r="F2" s="3" t="s">
        <v>1522</v>
      </c>
      <c r="G2" s="3"/>
      <c r="H2" s="3" t="s">
        <v>2412</v>
      </c>
      <c r="I2" s="3" t="s">
        <v>2413</v>
      </c>
      <c r="J2" s="3" t="s">
        <v>1413</v>
      </c>
      <c r="K2" s="3" t="s">
        <v>1414</v>
      </c>
      <c r="L2" s="3" t="s">
        <v>1432</v>
      </c>
      <c r="M2" s="3" t="s">
        <v>1365</v>
      </c>
      <c r="N2" s="3" t="s">
        <v>1366</v>
      </c>
      <c r="O2" s="3" t="s">
        <v>1450</v>
      </c>
      <c r="P2" s="3" t="s">
        <v>1450</v>
      </c>
      <c r="Q2" s="3" t="s">
        <v>1451</v>
      </c>
      <c r="R2" s="3"/>
      <c r="S2" s="3"/>
      <c r="T2" s="3" t="s">
        <v>1399</v>
      </c>
      <c r="U2" s="3"/>
      <c r="V2" s="3"/>
      <c r="W2" s="3"/>
      <c r="X2" s="3"/>
      <c r="Y2" s="3" t="s">
        <v>1374</v>
      </c>
      <c r="Z2" s="3" t="s">
        <v>1375</v>
      </c>
      <c r="AA2" s="3" t="s">
        <v>1437</v>
      </c>
      <c r="AB2" s="3" t="s">
        <v>1452</v>
      </c>
      <c r="AC2" s="3" t="s">
        <v>1526</v>
      </c>
      <c r="AD2" s="3"/>
      <c r="AE2" s="3" t="s">
        <v>2414</v>
      </c>
      <c r="AF2" s="3" t="s">
        <v>1380</v>
      </c>
      <c r="AG2" s="3" t="s">
        <v>700</v>
      </c>
      <c r="AH2" s="3"/>
      <c r="AI2" s="3"/>
      <c r="AJ2" s="3" t="s">
        <v>1455</v>
      </c>
      <c r="AK2" s="3" t="s">
        <v>1382</v>
      </c>
      <c r="AL2" s="3"/>
      <c r="AM2" s="3"/>
      <c r="AN2" s="8" t="s">
        <v>1456</v>
      </c>
    </row>
    <row r="3" spans="1:40" ht="60" customHeight="1" x14ac:dyDescent="0.2">
      <c r="A3" s="3" t="s">
        <v>2415</v>
      </c>
      <c r="B3" s="3" t="s">
        <v>2409</v>
      </c>
      <c r="C3" s="3" t="s">
        <v>1355</v>
      </c>
      <c r="D3" s="3" t="s">
        <v>2416</v>
      </c>
      <c r="E3" s="3" t="s">
        <v>2417</v>
      </c>
      <c r="F3" s="3" t="s">
        <v>1522</v>
      </c>
      <c r="G3" s="3"/>
      <c r="H3" s="3" t="s">
        <v>2412</v>
      </c>
      <c r="I3" s="3" t="s">
        <v>2413</v>
      </c>
      <c r="J3" s="3" t="s">
        <v>1413</v>
      </c>
      <c r="K3" s="3" t="s">
        <v>1414</v>
      </c>
      <c r="L3" s="3" t="s">
        <v>2418</v>
      </c>
      <c r="M3" s="3" t="s">
        <v>1365</v>
      </c>
      <c r="N3" s="3" t="s">
        <v>1366</v>
      </c>
      <c r="O3" s="3" t="s">
        <v>1450</v>
      </c>
      <c r="P3" s="3" t="s">
        <v>1450</v>
      </c>
      <c r="Q3" s="3" t="s">
        <v>1451</v>
      </c>
      <c r="R3" s="3"/>
      <c r="S3" s="3"/>
      <c r="T3" s="3" t="s">
        <v>2419</v>
      </c>
      <c r="U3" s="3"/>
      <c r="V3" s="3"/>
      <c r="W3" s="3"/>
      <c r="X3" s="3"/>
      <c r="Y3" s="3" t="s">
        <v>1374</v>
      </c>
      <c r="Z3" s="3" t="s">
        <v>1375</v>
      </c>
      <c r="AA3" s="3" t="s">
        <v>1437</v>
      </c>
      <c r="AB3" s="3" t="s">
        <v>1452</v>
      </c>
      <c r="AC3" s="3" t="s">
        <v>1526</v>
      </c>
      <c r="AD3" s="3"/>
      <c r="AE3" s="3" t="s">
        <v>2420</v>
      </c>
      <c r="AF3" s="3" t="s">
        <v>1380</v>
      </c>
      <c r="AG3" s="3" t="s">
        <v>700</v>
      </c>
      <c r="AH3" s="3"/>
      <c r="AI3" s="3"/>
      <c r="AJ3" s="3" t="s">
        <v>1455</v>
      </c>
      <c r="AK3" s="3" t="s">
        <v>1382</v>
      </c>
      <c r="AL3" s="3"/>
      <c r="AM3" s="3"/>
      <c r="AN3" s="8" t="s">
        <v>1456</v>
      </c>
    </row>
    <row r="4" spans="1:40" ht="60" customHeight="1" x14ac:dyDescent="0.2">
      <c r="A4" s="3" t="s">
        <v>2421</v>
      </c>
      <c r="B4" s="3" t="s">
        <v>2409</v>
      </c>
      <c r="C4" s="3" t="s">
        <v>1355</v>
      </c>
      <c r="D4" s="3" t="e">
        <f>Planned surplus</f>
        <v>#NAME?</v>
      </c>
      <c r="E4" s="3" t="s">
        <v>2422</v>
      </c>
      <c r="F4" s="3" t="s">
        <v>1446</v>
      </c>
      <c r="G4" s="3"/>
      <c r="H4" s="3" t="s">
        <v>2423</v>
      </c>
      <c r="I4" s="3" t="s">
        <v>1448</v>
      </c>
      <c r="J4" s="3" t="s">
        <v>1413</v>
      </c>
      <c r="K4" s="3" t="s">
        <v>1414</v>
      </c>
      <c r="L4" s="3" t="s">
        <v>1449</v>
      </c>
      <c r="M4" s="3" t="s">
        <v>1365</v>
      </c>
      <c r="N4" s="3" t="s">
        <v>1366</v>
      </c>
      <c r="O4" s="3" t="s">
        <v>1450</v>
      </c>
      <c r="P4" s="3" t="s">
        <v>1450</v>
      </c>
      <c r="Q4" s="3" t="s">
        <v>1451</v>
      </c>
      <c r="R4" s="3"/>
      <c r="S4" s="3"/>
      <c r="T4" s="3" t="s">
        <v>1399</v>
      </c>
      <c r="U4" s="3"/>
      <c r="V4" s="3"/>
      <c r="W4" s="3"/>
      <c r="X4" s="3"/>
      <c r="Y4" s="3" t="s">
        <v>1374</v>
      </c>
      <c r="Z4" s="3" t="s">
        <v>1375</v>
      </c>
      <c r="AA4" s="3" t="s">
        <v>2146</v>
      </c>
      <c r="AB4" s="3" t="s">
        <v>1452</v>
      </c>
      <c r="AC4" s="3" t="s">
        <v>1453</v>
      </c>
      <c r="AD4" s="3"/>
      <c r="AE4" s="3" t="s">
        <v>2424</v>
      </c>
      <c r="AF4" s="3" t="s">
        <v>1380</v>
      </c>
      <c r="AG4" s="3" t="s">
        <v>700</v>
      </c>
      <c r="AH4" s="3"/>
      <c r="AI4" s="3"/>
      <c r="AJ4" s="3" t="s">
        <v>1455</v>
      </c>
      <c r="AK4" s="3" t="s">
        <v>1382</v>
      </c>
      <c r="AL4" s="3"/>
      <c r="AM4" s="3"/>
      <c r="AN4" s="8" t="s">
        <v>1456</v>
      </c>
    </row>
    <row r="5" spans="1:40" ht="60" customHeight="1" x14ac:dyDescent="0.2">
      <c r="A5" s="3" t="s">
        <v>2425</v>
      </c>
      <c r="B5" s="3" t="s">
        <v>2409</v>
      </c>
      <c r="C5" s="3" t="s">
        <v>1355</v>
      </c>
      <c r="D5" s="3" t="s">
        <v>2426</v>
      </c>
      <c r="E5" s="3" t="s">
        <v>2427</v>
      </c>
      <c r="F5" s="3" t="s">
        <v>1409</v>
      </c>
      <c r="G5" s="3" t="s">
        <v>2428</v>
      </c>
      <c r="H5" s="3" t="s">
        <v>2429</v>
      </c>
      <c r="I5" s="3" t="s">
        <v>2430</v>
      </c>
      <c r="J5" s="3" t="s">
        <v>1413</v>
      </c>
      <c r="K5" s="3" t="s">
        <v>1414</v>
      </c>
      <c r="L5" s="3" t="s">
        <v>1415</v>
      </c>
      <c r="M5" s="3" t="s">
        <v>2356</v>
      </c>
      <c r="N5" s="3" t="s">
        <v>1366</v>
      </c>
      <c r="O5" s="3" t="s">
        <v>1498</v>
      </c>
      <c r="P5" s="3" t="s">
        <v>1417</v>
      </c>
      <c r="Q5" s="3" t="s">
        <v>1418</v>
      </c>
      <c r="R5" s="3"/>
      <c r="S5" s="3"/>
      <c r="T5" s="3" t="s">
        <v>2419</v>
      </c>
      <c r="U5" s="3"/>
      <c r="V5" s="7" t="s">
        <v>2431</v>
      </c>
      <c r="W5" s="7" t="s">
        <v>2432</v>
      </c>
      <c r="X5" s="3"/>
      <c r="Y5" s="3" t="s">
        <v>1374</v>
      </c>
      <c r="Z5" s="3" t="s">
        <v>1375</v>
      </c>
      <c r="AA5" s="3" t="s">
        <v>1419</v>
      </c>
      <c r="AB5" s="3" t="s">
        <v>1504</v>
      </c>
      <c r="AC5" s="3" t="s">
        <v>1378</v>
      </c>
      <c r="AD5" s="3"/>
      <c r="AE5" s="3" t="s">
        <v>2433</v>
      </c>
      <c r="AF5" s="3" t="s">
        <v>1380</v>
      </c>
      <c r="AG5" s="3" t="s">
        <v>700</v>
      </c>
      <c r="AH5" s="3"/>
      <c r="AI5" s="3"/>
      <c r="AJ5" s="3" t="s">
        <v>1518</v>
      </c>
      <c r="AK5" s="3" t="s">
        <v>1382</v>
      </c>
      <c r="AL5" s="3"/>
      <c r="AM5" s="3"/>
      <c r="AN5" s="7" t="s">
        <v>2434</v>
      </c>
    </row>
    <row r="6" spans="1:40" ht="60" customHeight="1" x14ac:dyDescent="0.2">
      <c r="A6" s="3" t="s">
        <v>2435</v>
      </c>
      <c r="B6" s="3" t="s">
        <v>2409</v>
      </c>
      <c r="C6" s="3" t="s">
        <v>1355</v>
      </c>
      <c r="D6" s="3" t="e">
        <f>surplus</f>
        <v>#NAME?</v>
      </c>
      <c r="E6" s="3" t="s">
        <v>2436</v>
      </c>
      <c r="F6" s="3" t="s">
        <v>1446</v>
      </c>
      <c r="G6" s="3"/>
      <c r="H6" s="3" t="s">
        <v>2437</v>
      </c>
      <c r="I6" s="3" t="s">
        <v>1448</v>
      </c>
      <c r="J6" s="3" t="s">
        <v>1413</v>
      </c>
      <c r="K6" s="3" t="s">
        <v>1414</v>
      </c>
      <c r="L6" s="3" t="s">
        <v>1449</v>
      </c>
      <c r="M6" s="3" t="s">
        <v>1365</v>
      </c>
      <c r="N6" s="3" t="s">
        <v>1366</v>
      </c>
      <c r="O6" s="3" t="s">
        <v>1450</v>
      </c>
      <c r="P6" s="3" t="s">
        <v>1450</v>
      </c>
      <c r="Q6" s="3" t="s">
        <v>1451</v>
      </c>
      <c r="R6" s="3"/>
      <c r="S6" s="3"/>
      <c r="T6" s="3" t="s">
        <v>1399</v>
      </c>
      <c r="U6" s="3"/>
      <c r="V6" s="3"/>
      <c r="W6" s="3"/>
      <c r="X6" s="3"/>
      <c r="Y6" s="3" t="s">
        <v>1374</v>
      </c>
      <c r="Z6" s="3" t="s">
        <v>1375</v>
      </c>
      <c r="AA6" s="3" t="s">
        <v>2146</v>
      </c>
      <c r="AB6" s="3" t="s">
        <v>1452</v>
      </c>
      <c r="AC6" s="3" t="s">
        <v>1453</v>
      </c>
      <c r="AD6" s="3"/>
      <c r="AE6" s="3" t="s">
        <v>2424</v>
      </c>
      <c r="AF6" s="3" t="s">
        <v>1380</v>
      </c>
      <c r="AG6" s="3" t="s">
        <v>700</v>
      </c>
      <c r="AH6" s="3"/>
      <c r="AI6" s="3"/>
      <c r="AJ6" s="3" t="s">
        <v>1455</v>
      </c>
      <c r="AK6" s="3" t="s">
        <v>1382</v>
      </c>
      <c r="AL6" s="3"/>
      <c r="AM6" s="3"/>
      <c r="AN6" s="8" t="s">
        <v>1456</v>
      </c>
    </row>
    <row r="7" spans="1:40" ht="60" customHeight="1" x14ac:dyDescent="0.2">
      <c r="A7" s="3" t="s">
        <v>2438</v>
      </c>
      <c r="B7" s="3" t="s">
        <v>2409</v>
      </c>
      <c r="C7" s="3" t="s">
        <v>1355</v>
      </c>
      <c r="D7" s="3" t="s">
        <v>2439</v>
      </c>
      <c r="E7" s="3" t="s">
        <v>2440</v>
      </c>
      <c r="F7" s="3" t="s">
        <v>2441</v>
      </c>
      <c r="G7" s="3" t="s">
        <v>2442</v>
      </c>
      <c r="H7" s="3" t="s">
        <v>2443</v>
      </c>
      <c r="I7" s="3" t="s">
        <v>2444</v>
      </c>
      <c r="J7" s="3" t="s">
        <v>2445</v>
      </c>
      <c r="K7" s="3" t="s">
        <v>1414</v>
      </c>
      <c r="L7" s="3" t="s">
        <v>1432</v>
      </c>
      <c r="M7" s="3" t="s">
        <v>1365</v>
      </c>
      <c r="N7" s="3" t="s">
        <v>1366</v>
      </c>
      <c r="O7" s="3" t="s">
        <v>2446</v>
      </c>
      <c r="P7" s="3" t="s">
        <v>2447</v>
      </c>
      <c r="Q7" s="3" t="s">
        <v>2448</v>
      </c>
      <c r="R7" s="3"/>
      <c r="S7" s="3"/>
      <c r="T7" s="3" t="s">
        <v>1399</v>
      </c>
      <c r="U7" s="3"/>
      <c r="V7" s="3"/>
      <c r="W7" s="3"/>
      <c r="X7" s="3"/>
      <c r="Y7" s="3" t="s">
        <v>1374</v>
      </c>
      <c r="Z7" s="3" t="s">
        <v>1375</v>
      </c>
      <c r="AA7" s="3" t="s">
        <v>1437</v>
      </c>
      <c r="AB7" s="3" t="s">
        <v>2449</v>
      </c>
      <c r="AC7" s="3" t="s">
        <v>1378</v>
      </c>
      <c r="AD7" s="3" t="s">
        <v>2450</v>
      </c>
      <c r="AE7" s="3" t="s">
        <v>2451</v>
      </c>
      <c r="AF7" s="3" t="s">
        <v>1380</v>
      </c>
      <c r="AG7" s="3" t="s">
        <v>7</v>
      </c>
      <c r="AH7" s="3"/>
      <c r="AI7" s="3"/>
      <c r="AJ7" s="3" t="s">
        <v>2452</v>
      </c>
      <c r="AK7" s="3" t="s">
        <v>1382</v>
      </c>
      <c r="AL7" s="3"/>
      <c r="AM7" s="3"/>
      <c r="AN7" s="8" t="s">
        <v>2453</v>
      </c>
    </row>
    <row r="8" spans="1:40" ht="60" customHeight="1" x14ac:dyDescent="0.2">
      <c r="A8" s="3" t="s">
        <v>2454</v>
      </c>
      <c r="B8" s="3" t="s">
        <v>2409</v>
      </c>
      <c r="C8" s="3" t="s">
        <v>1355</v>
      </c>
      <c r="D8" s="3" t="s">
        <v>2455</v>
      </c>
      <c r="E8" s="3" t="s">
        <v>2456</v>
      </c>
      <c r="F8" s="3" t="s">
        <v>2457</v>
      </c>
      <c r="G8" s="3" t="s">
        <v>2458</v>
      </c>
      <c r="H8" s="3"/>
      <c r="I8" s="3"/>
      <c r="J8" s="3" t="s">
        <v>1413</v>
      </c>
      <c r="K8" s="3" t="s">
        <v>1414</v>
      </c>
      <c r="L8" s="3" t="s">
        <v>1514</v>
      </c>
      <c r="M8" s="3" t="s">
        <v>1365</v>
      </c>
      <c r="N8" s="3" t="s">
        <v>1366</v>
      </c>
      <c r="O8" s="3" t="s">
        <v>2459</v>
      </c>
      <c r="P8" s="3" t="s">
        <v>2460</v>
      </c>
      <c r="Q8" s="3" t="s">
        <v>2461</v>
      </c>
      <c r="R8" s="3"/>
      <c r="S8" s="3"/>
      <c r="T8" s="3" t="s">
        <v>1399</v>
      </c>
      <c r="U8" s="3"/>
      <c r="V8" s="3"/>
      <c r="W8" s="3"/>
      <c r="X8" s="3"/>
      <c r="Y8" s="3" t="s">
        <v>1374</v>
      </c>
      <c r="Z8" s="3" t="s">
        <v>1375</v>
      </c>
      <c r="AA8" s="3" t="s">
        <v>1437</v>
      </c>
      <c r="AB8" s="3" t="s">
        <v>1504</v>
      </c>
      <c r="AC8" s="3" t="s">
        <v>1378</v>
      </c>
      <c r="AD8" s="3"/>
      <c r="AE8" s="3" t="s">
        <v>1454</v>
      </c>
      <c r="AF8" s="3" t="s">
        <v>2462</v>
      </c>
      <c r="AG8" s="3" t="s">
        <v>2463</v>
      </c>
      <c r="AH8" s="3"/>
      <c r="AI8" s="3"/>
      <c r="AJ8" s="3" t="s">
        <v>2464</v>
      </c>
      <c r="AK8" s="3" t="s">
        <v>1382</v>
      </c>
      <c r="AL8" s="3"/>
      <c r="AM8" s="3"/>
      <c r="AN8" s="8" t="s">
        <v>2453</v>
      </c>
    </row>
    <row r="9" spans="1:40" ht="60" customHeight="1" x14ac:dyDescent="0.2">
      <c r="A9" s="3" t="s">
        <v>2465</v>
      </c>
      <c r="B9" s="3" t="s">
        <v>2409</v>
      </c>
      <c r="C9" s="3" t="s">
        <v>1355</v>
      </c>
      <c r="D9" s="3" t="s">
        <v>2466</v>
      </c>
      <c r="E9" s="3" t="s">
        <v>2467</v>
      </c>
      <c r="F9" s="3" t="s">
        <v>2441</v>
      </c>
      <c r="G9" s="3" t="s">
        <v>2442</v>
      </c>
      <c r="H9" s="3" t="s">
        <v>2443</v>
      </c>
      <c r="I9" s="3" t="s">
        <v>2444</v>
      </c>
      <c r="J9" s="3" t="s">
        <v>2445</v>
      </c>
      <c r="K9" s="3" t="s">
        <v>1414</v>
      </c>
      <c r="L9" s="3" t="s">
        <v>1432</v>
      </c>
      <c r="M9" s="3" t="s">
        <v>1365</v>
      </c>
      <c r="N9" s="3" t="s">
        <v>1366</v>
      </c>
      <c r="O9" s="3" t="s">
        <v>2446</v>
      </c>
      <c r="P9" s="3" t="s">
        <v>2447</v>
      </c>
      <c r="Q9" s="3" t="s">
        <v>2448</v>
      </c>
      <c r="R9" s="3"/>
      <c r="S9" s="3"/>
      <c r="T9" s="3" t="s">
        <v>1399</v>
      </c>
      <c r="U9" s="3"/>
      <c r="V9" s="3"/>
      <c r="W9" s="3"/>
      <c r="X9" s="3"/>
      <c r="Y9" s="3" t="s">
        <v>1374</v>
      </c>
      <c r="Z9" s="3" t="s">
        <v>1375</v>
      </c>
      <c r="AA9" s="3" t="s">
        <v>1437</v>
      </c>
      <c r="AB9" s="3" t="s">
        <v>2468</v>
      </c>
      <c r="AC9" s="3" t="s">
        <v>1378</v>
      </c>
      <c r="AD9" s="3"/>
      <c r="AE9" s="3" t="s">
        <v>2469</v>
      </c>
      <c r="AF9" s="3" t="s">
        <v>1380</v>
      </c>
      <c r="AG9" s="3" t="s">
        <v>7</v>
      </c>
      <c r="AH9" s="3"/>
      <c r="AI9" s="3"/>
      <c r="AJ9" s="3" t="s">
        <v>2452</v>
      </c>
      <c r="AK9" s="3" t="s">
        <v>1382</v>
      </c>
      <c r="AL9" s="3"/>
      <c r="AM9" s="3"/>
      <c r="AN9" s="8" t="s">
        <v>2453</v>
      </c>
    </row>
    <row r="10" spans="1:40" ht="60" customHeight="1" x14ac:dyDescent="0.2">
      <c r="A10" s="3" t="s">
        <v>2470</v>
      </c>
      <c r="B10" s="3" t="s">
        <v>2409</v>
      </c>
      <c r="C10" s="3" t="s">
        <v>1355</v>
      </c>
      <c r="D10" s="3" t="s">
        <v>2471</v>
      </c>
      <c r="E10" s="3" t="s">
        <v>2472</v>
      </c>
      <c r="F10" s="3" t="s">
        <v>2441</v>
      </c>
      <c r="G10" s="3" t="s">
        <v>2442</v>
      </c>
      <c r="H10" s="3" t="s">
        <v>2443</v>
      </c>
      <c r="I10" s="3" t="s">
        <v>2444</v>
      </c>
      <c r="J10" s="3" t="s">
        <v>2445</v>
      </c>
      <c r="K10" s="3" t="s">
        <v>1414</v>
      </c>
      <c r="L10" s="3" t="s">
        <v>1432</v>
      </c>
      <c r="M10" s="3" t="s">
        <v>1365</v>
      </c>
      <c r="N10" s="3" t="s">
        <v>1366</v>
      </c>
      <c r="O10" s="3" t="s">
        <v>2446</v>
      </c>
      <c r="P10" s="3" t="s">
        <v>2447</v>
      </c>
      <c r="Q10" s="3" t="s">
        <v>2448</v>
      </c>
      <c r="R10" s="3"/>
      <c r="S10" s="3"/>
      <c r="T10" s="3" t="s">
        <v>1399</v>
      </c>
      <c r="U10" s="3"/>
      <c r="V10" s="3"/>
      <c r="W10" s="3"/>
      <c r="X10" s="3"/>
      <c r="Y10" s="3" t="s">
        <v>1374</v>
      </c>
      <c r="Z10" s="3" t="s">
        <v>1375</v>
      </c>
      <c r="AA10" s="3" t="s">
        <v>1437</v>
      </c>
      <c r="AB10" s="3" t="s">
        <v>2468</v>
      </c>
      <c r="AC10" s="3" t="s">
        <v>1378</v>
      </c>
      <c r="AD10" s="3"/>
      <c r="AE10" s="3" t="s">
        <v>2469</v>
      </c>
      <c r="AF10" s="3" t="s">
        <v>1380</v>
      </c>
      <c r="AG10" s="3" t="s">
        <v>7</v>
      </c>
      <c r="AH10" s="3"/>
      <c r="AI10" s="3"/>
      <c r="AJ10" s="3" t="s">
        <v>2452</v>
      </c>
      <c r="AK10" s="3" t="s">
        <v>1382</v>
      </c>
      <c r="AL10" s="3"/>
      <c r="AM10" s="3"/>
      <c r="AN10" s="8" t="s">
        <v>2453</v>
      </c>
    </row>
    <row r="11" spans="1:40" ht="60" customHeight="1" x14ac:dyDescent="0.2">
      <c r="A11" s="3" t="s">
        <v>2473</v>
      </c>
      <c r="B11" s="3" t="s">
        <v>2409</v>
      </c>
      <c r="C11" s="3" t="s">
        <v>1355</v>
      </c>
      <c r="D11" s="3" t="s">
        <v>2474</v>
      </c>
      <c r="E11" s="3" t="s">
        <v>2475</v>
      </c>
      <c r="F11" s="3" t="s">
        <v>1522</v>
      </c>
      <c r="G11" s="3"/>
      <c r="H11" s="3" t="s">
        <v>2476</v>
      </c>
      <c r="I11" s="3" t="s">
        <v>2477</v>
      </c>
      <c r="J11" s="3" t="s">
        <v>1413</v>
      </c>
      <c r="K11" s="3" t="s">
        <v>1414</v>
      </c>
      <c r="L11" s="3" t="s">
        <v>1432</v>
      </c>
      <c r="M11" s="3" t="s">
        <v>1365</v>
      </c>
      <c r="N11" s="3" t="s">
        <v>1366</v>
      </c>
      <c r="O11" s="3" t="s">
        <v>1450</v>
      </c>
      <c r="P11" s="3" t="s">
        <v>1450</v>
      </c>
      <c r="Q11" s="3" t="s">
        <v>1451</v>
      </c>
      <c r="R11" s="3"/>
      <c r="S11" s="3"/>
      <c r="T11" s="3" t="s">
        <v>1399</v>
      </c>
      <c r="U11" s="3"/>
      <c r="V11" s="3"/>
      <c r="W11" s="3"/>
      <c r="X11" s="3"/>
      <c r="Y11" s="3" t="s">
        <v>1374</v>
      </c>
      <c r="Z11" s="3" t="s">
        <v>1375</v>
      </c>
      <c r="AA11" s="3" t="s">
        <v>1437</v>
      </c>
      <c r="AB11" s="3" t="s">
        <v>1452</v>
      </c>
      <c r="AC11" s="3" t="s">
        <v>1526</v>
      </c>
      <c r="AD11" s="3"/>
      <c r="AE11" s="3" t="s">
        <v>2478</v>
      </c>
      <c r="AF11" s="3" t="s">
        <v>1380</v>
      </c>
      <c r="AG11" s="3" t="s">
        <v>700</v>
      </c>
      <c r="AH11" s="3"/>
      <c r="AI11" s="3"/>
      <c r="AJ11" s="3" t="s">
        <v>1455</v>
      </c>
      <c r="AK11" s="3" t="s">
        <v>1382</v>
      </c>
      <c r="AL11" s="3"/>
      <c r="AM11" s="3"/>
      <c r="AN11" s="8" t="s">
        <v>2453</v>
      </c>
    </row>
    <row r="12" spans="1:40" ht="60" customHeight="1" x14ac:dyDescent="0.2">
      <c r="A12" s="3" t="s">
        <v>2479</v>
      </c>
      <c r="B12" s="3" t="s">
        <v>2409</v>
      </c>
      <c r="C12" s="3" t="s">
        <v>1355</v>
      </c>
      <c r="D12" s="3" t="s">
        <v>2480</v>
      </c>
      <c r="E12" s="3" t="s">
        <v>2481</v>
      </c>
      <c r="F12" s="3" t="s">
        <v>2482</v>
      </c>
      <c r="G12" s="3" t="s">
        <v>2483</v>
      </c>
      <c r="H12" s="3" t="s">
        <v>2484</v>
      </c>
      <c r="I12" s="3" t="s">
        <v>2485</v>
      </c>
      <c r="J12" s="3" t="s">
        <v>2486</v>
      </c>
      <c r="K12" s="3" t="s">
        <v>1414</v>
      </c>
      <c r="L12" s="3" t="s">
        <v>1514</v>
      </c>
      <c r="M12" s="3" t="s">
        <v>1365</v>
      </c>
      <c r="N12" s="3" t="s">
        <v>1366</v>
      </c>
      <c r="O12" s="3" t="s">
        <v>2487</v>
      </c>
      <c r="P12" s="3" t="s">
        <v>2488</v>
      </c>
      <c r="Q12" s="3" t="s">
        <v>2489</v>
      </c>
      <c r="R12" s="3"/>
      <c r="S12" s="3"/>
      <c r="T12" s="3" t="s">
        <v>1399</v>
      </c>
      <c r="U12" s="3"/>
      <c r="V12" s="3"/>
      <c r="W12" s="3"/>
      <c r="X12" s="3"/>
      <c r="Y12" s="3" t="s">
        <v>1374</v>
      </c>
      <c r="Z12" s="3" t="s">
        <v>1375</v>
      </c>
      <c r="AA12" s="3" t="s">
        <v>1437</v>
      </c>
      <c r="AB12" s="3" t="s">
        <v>2490</v>
      </c>
      <c r="AC12" s="3" t="s">
        <v>1378</v>
      </c>
      <c r="AD12" s="3"/>
      <c r="AE12" s="3" t="s">
        <v>2491</v>
      </c>
      <c r="AF12" s="3" t="s">
        <v>1380</v>
      </c>
      <c r="AG12" s="3" t="s">
        <v>7</v>
      </c>
      <c r="AH12" s="3"/>
      <c r="AI12" s="3"/>
      <c r="AJ12" s="3" t="s">
        <v>2492</v>
      </c>
      <c r="AK12" s="3" t="s">
        <v>1382</v>
      </c>
      <c r="AL12" s="3"/>
      <c r="AM12" s="3"/>
      <c r="AN12" s="8" t="s">
        <v>2453</v>
      </c>
    </row>
    <row r="13" spans="1:40" ht="60" customHeight="1" x14ac:dyDescent="0.2">
      <c r="A13" s="3" t="s">
        <v>2493</v>
      </c>
      <c r="B13" s="3" t="s">
        <v>2409</v>
      </c>
      <c r="C13" s="3" t="s">
        <v>1355</v>
      </c>
      <c r="D13" s="3" t="s">
        <v>2494</v>
      </c>
      <c r="E13" s="3" t="s">
        <v>2495</v>
      </c>
      <c r="F13" s="3" t="s">
        <v>2271</v>
      </c>
      <c r="G13" s="3" t="s">
        <v>2272</v>
      </c>
      <c r="H13" s="3" t="s">
        <v>2273</v>
      </c>
      <c r="I13" s="3" t="s">
        <v>2274</v>
      </c>
      <c r="J13" s="3" t="s">
        <v>2275</v>
      </c>
      <c r="K13" s="3" t="s">
        <v>1414</v>
      </c>
      <c r="L13" s="3" t="s">
        <v>1432</v>
      </c>
      <c r="M13" s="3" t="s">
        <v>1365</v>
      </c>
      <c r="N13" s="3" t="s">
        <v>1366</v>
      </c>
      <c r="O13" s="3" t="s">
        <v>2276</v>
      </c>
      <c r="P13" s="3" t="s">
        <v>2277</v>
      </c>
      <c r="Q13" s="3" t="s">
        <v>1500</v>
      </c>
      <c r="R13" s="3"/>
      <c r="S13" s="3"/>
      <c r="T13" s="3" t="s">
        <v>1399</v>
      </c>
      <c r="U13" s="3" t="s">
        <v>2496</v>
      </c>
      <c r="V13" s="3"/>
      <c r="W13" s="3"/>
      <c r="X13" s="3"/>
      <c r="Y13" s="3" t="s">
        <v>1374</v>
      </c>
      <c r="Z13" s="3" t="s">
        <v>1375</v>
      </c>
      <c r="AA13" s="3" t="s">
        <v>1437</v>
      </c>
      <c r="AB13" s="3" t="s">
        <v>1504</v>
      </c>
      <c r="AC13" s="3" t="s">
        <v>1378</v>
      </c>
      <c r="AD13" s="3"/>
      <c r="AE13" s="3" t="s">
        <v>2414</v>
      </c>
      <c r="AF13" s="3" t="s">
        <v>1380</v>
      </c>
      <c r="AG13" s="3" t="s">
        <v>7</v>
      </c>
      <c r="AH13" s="3"/>
      <c r="AI13" s="3"/>
      <c r="AJ13" s="3" t="s">
        <v>2280</v>
      </c>
      <c r="AK13" s="3" t="s">
        <v>1382</v>
      </c>
      <c r="AL13" s="3"/>
      <c r="AM13" s="3"/>
      <c r="AN13" s="8" t="s">
        <v>2143</v>
      </c>
    </row>
    <row r="14" spans="1:40" ht="60" customHeight="1" x14ac:dyDescent="0.2">
      <c r="A14" s="3" t="s">
        <v>2497</v>
      </c>
      <c r="B14" s="3" t="s">
        <v>2409</v>
      </c>
      <c r="C14" s="3" t="s">
        <v>1355</v>
      </c>
      <c r="D14" s="3" t="s">
        <v>2498</v>
      </c>
      <c r="E14" s="3" t="s">
        <v>2499</v>
      </c>
      <c r="F14" s="3" t="s">
        <v>1522</v>
      </c>
      <c r="G14" s="3"/>
      <c r="H14" s="3" t="s">
        <v>2500</v>
      </c>
      <c r="I14" s="3" t="s">
        <v>2501</v>
      </c>
      <c r="J14" s="3" t="s">
        <v>1413</v>
      </c>
      <c r="K14" s="3" t="s">
        <v>1414</v>
      </c>
      <c r="L14" s="3" t="s">
        <v>1514</v>
      </c>
      <c r="M14" s="3" t="s">
        <v>1394</v>
      </c>
      <c r="N14" s="3" t="s">
        <v>1395</v>
      </c>
      <c r="O14" s="3" t="s">
        <v>1450</v>
      </c>
      <c r="P14" s="3" t="s">
        <v>1450</v>
      </c>
      <c r="Q14" s="3" t="s">
        <v>1451</v>
      </c>
      <c r="R14" s="3"/>
      <c r="S14" s="3"/>
      <c r="T14" s="3" t="s">
        <v>1399</v>
      </c>
      <c r="U14" s="3"/>
      <c r="V14" s="3"/>
      <c r="W14" s="3"/>
      <c r="X14" s="3"/>
      <c r="Y14" s="3" t="s">
        <v>1374</v>
      </c>
      <c r="Z14" s="3" t="s">
        <v>1375</v>
      </c>
      <c r="AA14" s="3" t="s">
        <v>1437</v>
      </c>
      <c r="AB14" s="3" t="s">
        <v>1452</v>
      </c>
      <c r="AC14" s="3" t="s">
        <v>1526</v>
      </c>
      <c r="AD14" s="3"/>
      <c r="AE14" s="3" t="s">
        <v>1454</v>
      </c>
      <c r="AF14" s="3" t="s">
        <v>1380</v>
      </c>
      <c r="AG14" s="3" t="s">
        <v>700</v>
      </c>
      <c r="AH14" s="3"/>
      <c r="AI14" s="3"/>
      <c r="AJ14" s="3" t="s">
        <v>1455</v>
      </c>
      <c r="AK14" s="3" t="s">
        <v>1382</v>
      </c>
      <c r="AL14" s="3"/>
      <c r="AM14" s="3"/>
      <c r="AN14" s="8" t="s">
        <v>2502</v>
      </c>
    </row>
    <row r="15" spans="1:40" ht="60" customHeight="1" x14ac:dyDescent="0.2">
      <c r="A15" s="3" t="s">
        <v>2503</v>
      </c>
      <c r="B15" s="3" t="s">
        <v>2409</v>
      </c>
      <c r="C15" s="3" t="s">
        <v>1355</v>
      </c>
      <c r="D15" s="3" t="s">
        <v>2504</v>
      </c>
      <c r="E15" s="3" t="s">
        <v>2505</v>
      </c>
      <c r="F15" s="3" t="s">
        <v>2506</v>
      </c>
      <c r="G15" s="3" t="s">
        <v>2507</v>
      </c>
      <c r="H15" s="3" t="s">
        <v>2508</v>
      </c>
      <c r="I15" s="3" t="s">
        <v>2509</v>
      </c>
      <c r="J15" s="3" t="s">
        <v>2510</v>
      </c>
      <c r="K15" s="3" t="s">
        <v>1414</v>
      </c>
      <c r="L15" s="3" t="s">
        <v>1415</v>
      </c>
      <c r="M15" s="3" t="s">
        <v>1394</v>
      </c>
      <c r="N15" s="3" t="s">
        <v>1366</v>
      </c>
      <c r="O15" s="3" t="s">
        <v>2511</v>
      </c>
      <c r="P15" s="3" t="s">
        <v>2512</v>
      </c>
      <c r="Q15" s="3" t="s">
        <v>2513</v>
      </c>
      <c r="R15" s="3"/>
      <c r="S15" s="3"/>
      <c r="T15" s="3" t="s">
        <v>1399</v>
      </c>
      <c r="U15" s="3"/>
      <c r="V15" s="3"/>
      <c r="W15" s="3"/>
      <c r="X15" s="3"/>
      <c r="Y15" s="3" t="s">
        <v>1374</v>
      </c>
      <c r="Z15" s="3" t="s">
        <v>1375</v>
      </c>
      <c r="AA15" s="3" t="s">
        <v>1419</v>
      </c>
      <c r="AB15" s="3" t="s">
        <v>2514</v>
      </c>
      <c r="AC15" s="3" t="s">
        <v>1378</v>
      </c>
      <c r="AD15" s="3"/>
      <c r="AE15" s="3" t="s">
        <v>2515</v>
      </c>
      <c r="AF15" s="3" t="s">
        <v>1380</v>
      </c>
      <c r="AG15" s="3" t="s">
        <v>7</v>
      </c>
      <c r="AH15" s="3"/>
      <c r="AI15" s="3"/>
      <c r="AJ15" s="3" t="s">
        <v>2516</v>
      </c>
      <c r="AK15" s="3" t="s">
        <v>1382</v>
      </c>
      <c r="AL15" s="3"/>
      <c r="AM15" s="3"/>
      <c r="AN15" s="8" t="s">
        <v>1456</v>
      </c>
    </row>
    <row r="16" spans="1:40" ht="60" customHeight="1" x14ac:dyDescent="0.2">
      <c r="A16" s="3" t="s">
        <v>2517</v>
      </c>
      <c r="B16" s="3" t="s">
        <v>2409</v>
      </c>
      <c r="C16" s="3" t="s">
        <v>1355</v>
      </c>
      <c r="D16" s="3" t="s">
        <v>2518</v>
      </c>
      <c r="E16" s="3" t="s">
        <v>2519</v>
      </c>
      <c r="F16" s="3" t="s">
        <v>2506</v>
      </c>
      <c r="G16" s="3" t="s">
        <v>2507</v>
      </c>
      <c r="H16" s="3" t="s">
        <v>2508</v>
      </c>
      <c r="I16" s="3" t="s">
        <v>2509</v>
      </c>
      <c r="J16" s="3" t="s">
        <v>2510</v>
      </c>
      <c r="K16" s="3" t="s">
        <v>1414</v>
      </c>
      <c r="L16" s="3" t="s">
        <v>1415</v>
      </c>
      <c r="M16" s="3" t="s">
        <v>1365</v>
      </c>
      <c r="N16" s="3" t="s">
        <v>1366</v>
      </c>
      <c r="O16" s="3" t="s">
        <v>2511</v>
      </c>
      <c r="P16" s="3" t="s">
        <v>2512</v>
      </c>
      <c r="Q16" s="3" t="s">
        <v>2513</v>
      </c>
      <c r="R16" s="3"/>
      <c r="S16" s="3"/>
      <c r="T16" s="3" t="s">
        <v>1399</v>
      </c>
      <c r="U16" s="3"/>
      <c r="V16" s="3"/>
      <c r="W16" s="3"/>
      <c r="X16" s="3"/>
      <c r="Y16" s="3" t="s">
        <v>1374</v>
      </c>
      <c r="Z16" s="3" t="s">
        <v>1375</v>
      </c>
      <c r="AA16" s="3" t="s">
        <v>1419</v>
      </c>
      <c r="AB16" s="3" t="s">
        <v>2514</v>
      </c>
      <c r="AC16" s="3" t="s">
        <v>1378</v>
      </c>
      <c r="AD16" s="3"/>
      <c r="AE16" s="3" t="s">
        <v>2515</v>
      </c>
      <c r="AF16" s="3" t="s">
        <v>1380</v>
      </c>
      <c r="AG16" s="3" t="s">
        <v>7</v>
      </c>
      <c r="AH16" s="3"/>
      <c r="AI16" s="3"/>
      <c r="AJ16" s="3" t="s">
        <v>2516</v>
      </c>
      <c r="AK16" s="3" t="s">
        <v>1382</v>
      </c>
      <c r="AL16" s="3"/>
      <c r="AM16" s="3"/>
      <c r="AN16" s="8" t="s">
        <v>1456</v>
      </c>
    </row>
    <row r="17" spans="1:40" ht="60" customHeight="1" x14ac:dyDescent="0.2">
      <c r="A17" s="3" t="s">
        <v>2520</v>
      </c>
      <c r="B17" s="3" t="s">
        <v>2409</v>
      </c>
      <c r="C17" s="3" t="s">
        <v>1355</v>
      </c>
      <c r="D17" s="3" t="s">
        <v>2521</v>
      </c>
      <c r="E17" s="3" t="s">
        <v>2522</v>
      </c>
      <c r="F17" s="3" t="s">
        <v>2523</v>
      </c>
      <c r="G17" s="3" t="s">
        <v>2524</v>
      </c>
      <c r="H17" s="3" t="s">
        <v>2525</v>
      </c>
      <c r="I17" s="3" t="s">
        <v>2526</v>
      </c>
      <c r="J17" s="3" t="s">
        <v>2527</v>
      </c>
      <c r="K17" s="3" t="s">
        <v>1414</v>
      </c>
      <c r="L17" s="3" t="s">
        <v>1415</v>
      </c>
      <c r="M17" s="3" t="s">
        <v>2023</v>
      </c>
      <c r="N17" s="3" t="s">
        <v>1366</v>
      </c>
      <c r="O17" s="3" t="s">
        <v>2528</v>
      </c>
      <c r="P17" s="3" t="s">
        <v>2529</v>
      </c>
      <c r="Q17" s="3" t="s">
        <v>2530</v>
      </c>
      <c r="R17" s="3"/>
      <c r="S17" s="3"/>
      <c r="T17" s="3" t="s">
        <v>2419</v>
      </c>
      <c r="U17" s="3" t="s">
        <v>2531</v>
      </c>
      <c r="V17" s="3"/>
      <c r="W17" s="3"/>
      <c r="X17" s="3"/>
      <c r="Y17" s="3" t="s">
        <v>1374</v>
      </c>
      <c r="Z17" s="3" t="s">
        <v>1375</v>
      </c>
      <c r="AA17" s="3" t="s">
        <v>1419</v>
      </c>
      <c r="AB17" s="3" t="s">
        <v>1420</v>
      </c>
      <c r="AC17" s="3" t="s">
        <v>1378</v>
      </c>
      <c r="AD17" s="3" t="s">
        <v>1421</v>
      </c>
      <c r="AE17" s="3" t="s">
        <v>2532</v>
      </c>
      <c r="AF17" s="3" t="s">
        <v>1380</v>
      </c>
      <c r="AG17" s="3" t="s">
        <v>7</v>
      </c>
      <c r="AH17" s="3"/>
      <c r="AI17" s="3"/>
      <c r="AJ17" s="3" t="s">
        <v>2516</v>
      </c>
      <c r="AK17" s="3" t="s">
        <v>1382</v>
      </c>
      <c r="AL17" s="3"/>
      <c r="AM17" s="3"/>
      <c r="AN17" s="8" t="s">
        <v>1424</v>
      </c>
    </row>
    <row r="18" spans="1:40" ht="60" customHeight="1" x14ac:dyDescent="0.2">
      <c r="A18" s="3" t="s">
        <v>2533</v>
      </c>
      <c r="B18" s="3" t="s">
        <v>2409</v>
      </c>
      <c r="C18" s="3" t="s">
        <v>1355</v>
      </c>
      <c r="D18" s="3" t="s">
        <v>2534</v>
      </c>
      <c r="E18" s="3" t="s">
        <v>2535</v>
      </c>
      <c r="F18" s="3" t="s">
        <v>1522</v>
      </c>
      <c r="G18" s="3"/>
      <c r="H18" s="3" t="s">
        <v>2536</v>
      </c>
      <c r="I18" s="3" t="s">
        <v>2537</v>
      </c>
      <c r="J18" s="3" t="s">
        <v>1413</v>
      </c>
      <c r="K18" s="3" t="s">
        <v>1414</v>
      </c>
      <c r="L18" s="3" t="s">
        <v>1514</v>
      </c>
      <c r="M18" s="3" t="s">
        <v>1394</v>
      </c>
      <c r="N18" s="3" t="s">
        <v>1366</v>
      </c>
      <c r="O18" s="3" t="s">
        <v>1450</v>
      </c>
      <c r="P18" s="3" t="s">
        <v>1450</v>
      </c>
      <c r="Q18" s="3" t="s">
        <v>1451</v>
      </c>
      <c r="R18" s="3"/>
      <c r="S18" s="3"/>
      <c r="T18" s="3" t="s">
        <v>1399</v>
      </c>
      <c r="U18" s="3"/>
      <c r="V18" s="3"/>
      <c r="W18" s="3"/>
      <c r="X18" s="3"/>
      <c r="Y18" s="3" t="s">
        <v>1374</v>
      </c>
      <c r="Z18" s="3" t="s">
        <v>1375</v>
      </c>
      <c r="AA18" s="3" t="s">
        <v>1437</v>
      </c>
      <c r="AB18" s="3" t="s">
        <v>2538</v>
      </c>
      <c r="AC18" s="3" t="s">
        <v>1526</v>
      </c>
      <c r="AD18" s="3" t="s">
        <v>2539</v>
      </c>
      <c r="AE18" s="3" t="s">
        <v>2540</v>
      </c>
      <c r="AF18" s="3" t="s">
        <v>1380</v>
      </c>
      <c r="AG18" s="3" t="s">
        <v>700</v>
      </c>
      <c r="AH18" s="3"/>
      <c r="AI18" s="3"/>
      <c r="AJ18" s="3" t="s">
        <v>1455</v>
      </c>
      <c r="AK18" s="3" t="s">
        <v>1382</v>
      </c>
      <c r="AL18" s="3"/>
      <c r="AM18" s="3"/>
      <c r="AN18" s="8" t="s">
        <v>2502</v>
      </c>
    </row>
    <row r="19" spans="1:40" ht="60" customHeight="1" x14ac:dyDescent="0.2">
      <c r="A19" s="3" t="s">
        <v>2541</v>
      </c>
      <c r="B19" s="3" t="s">
        <v>2409</v>
      </c>
      <c r="C19" s="3" t="s">
        <v>1355</v>
      </c>
      <c r="D19" s="3" t="s">
        <v>2542</v>
      </c>
      <c r="E19" s="3" t="s">
        <v>2519</v>
      </c>
      <c r="F19" s="3" t="s">
        <v>1522</v>
      </c>
      <c r="G19" s="3"/>
      <c r="H19" s="3" t="s">
        <v>2543</v>
      </c>
      <c r="I19" s="3" t="s">
        <v>2544</v>
      </c>
      <c r="J19" s="3" t="s">
        <v>1413</v>
      </c>
      <c r="K19" s="3" t="s">
        <v>1414</v>
      </c>
      <c r="L19" s="3" t="s">
        <v>1514</v>
      </c>
      <c r="M19" s="3" t="s">
        <v>2023</v>
      </c>
      <c r="N19" s="3" t="s">
        <v>1366</v>
      </c>
      <c r="O19" s="3" t="s">
        <v>1450</v>
      </c>
      <c r="P19" s="3" t="s">
        <v>1450</v>
      </c>
      <c r="Q19" s="3" t="s">
        <v>1451</v>
      </c>
      <c r="R19" s="3"/>
      <c r="S19" s="3"/>
      <c r="T19" s="3" t="s">
        <v>1399</v>
      </c>
      <c r="U19" s="3"/>
      <c r="V19" s="3"/>
      <c r="W19" s="3"/>
      <c r="X19" s="3"/>
      <c r="Y19" s="3" t="s">
        <v>1374</v>
      </c>
      <c r="Z19" s="3" t="s">
        <v>1375</v>
      </c>
      <c r="AA19" s="3" t="s">
        <v>1437</v>
      </c>
      <c r="AB19" s="3" t="s">
        <v>1452</v>
      </c>
      <c r="AC19" s="3" t="s">
        <v>1526</v>
      </c>
      <c r="AD19" s="3"/>
      <c r="AE19" s="3" t="s">
        <v>1454</v>
      </c>
      <c r="AF19" s="3" t="s">
        <v>1380</v>
      </c>
      <c r="AG19" s="3" t="s">
        <v>700</v>
      </c>
      <c r="AH19" s="3"/>
      <c r="AI19" s="3"/>
      <c r="AJ19" s="3" t="s">
        <v>1455</v>
      </c>
      <c r="AK19" s="3" t="s">
        <v>1382</v>
      </c>
      <c r="AL19" s="3"/>
      <c r="AM19" s="3"/>
      <c r="AN19" s="8" t="s">
        <v>2502</v>
      </c>
    </row>
    <row r="20" spans="1:40" ht="60" customHeight="1" x14ac:dyDescent="0.2">
      <c r="A20" s="3" t="s">
        <v>2545</v>
      </c>
      <c r="B20" s="3" t="s">
        <v>2409</v>
      </c>
      <c r="C20" s="3" t="s">
        <v>1355</v>
      </c>
      <c r="D20" s="3" t="s">
        <v>2546</v>
      </c>
      <c r="E20" s="3" t="s">
        <v>2547</v>
      </c>
      <c r="F20" s="3" t="s">
        <v>1428</v>
      </c>
      <c r="G20" s="3" t="s">
        <v>1429</v>
      </c>
      <c r="H20" s="3" t="s">
        <v>1430</v>
      </c>
      <c r="I20" s="3" t="s">
        <v>1431</v>
      </c>
      <c r="J20" s="3" t="s">
        <v>1413</v>
      </c>
      <c r="K20" s="3" t="s">
        <v>1414</v>
      </c>
      <c r="L20" s="3" t="s">
        <v>2548</v>
      </c>
      <c r="M20" s="3" t="s">
        <v>1394</v>
      </c>
      <c r="N20" s="3" t="s">
        <v>1395</v>
      </c>
      <c r="O20" s="3" t="s">
        <v>1433</v>
      </c>
      <c r="P20" s="3" t="s">
        <v>1434</v>
      </c>
      <c r="Q20" s="3" t="s">
        <v>1435</v>
      </c>
      <c r="R20" s="3"/>
      <c r="S20" s="3"/>
      <c r="T20" s="3" t="s">
        <v>1399</v>
      </c>
      <c r="U20" s="3" t="s">
        <v>2549</v>
      </c>
      <c r="V20" s="3"/>
      <c r="W20" s="3"/>
      <c r="X20" s="3"/>
      <c r="Y20" s="3" t="s">
        <v>1374</v>
      </c>
      <c r="Z20" s="3" t="s">
        <v>1375</v>
      </c>
      <c r="AA20" s="3" t="s">
        <v>1437</v>
      </c>
      <c r="AB20" s="3" t="s">
        <v>1438</v>
      </c>
      <c r="AC20" s="3" t="s">
        <v>1378</v>
      </c>
      <c r="AD20" s="3" t="s">
        <v>1439</v>
      </c>
      <c r="AE20" s="3" t="s">
        <v>2550</v>
      </c>
      <c r="AF20" s="3" t="s">
        <v>2551</v>
      </c>
      <c r="AG20" s="3" t="s">
        <v>700</v>
      </c>
      <c r="AH20" s="3"/>
      <c r="AI20" s="3"/>
      <c r="AJ20" s="3" t="s">
        <v>1441</v>
      </c>
      <c r="AK20" s="3" t="s">
        <v>1382</v>
      </c>
      <c r="AL20" s="3"/>
      <c r="AM20" s="3"/>
      <c r="AN20" s="8" t="s">
        <v>2552</v>
      </c>
    </row>
    <row r="21" spans="1:40" ht="60" customHeight="1" x14ac:dyDescent="0.2">
      <c r="A21" s="3" t="s">
        <v>2553</v>
      </c>
      <c r="B21" s="3" t="s">
        <v>2409</v>
      </c>
      <c r="C21" s="3" t="s">
        <v>1355</v>
      </c>
      <c r="D21" s="3" t="s">
        <v>2554</v>
      </c>
      <c r="E21" s="3" t="s">
        <v>2555</v>
      </c>
      <c r="F21" s="3" t="s">
        <v>2556</v>
      </c>
      <c r="G21" s="3" t="s">
        <v>2557</v>
      </c>
      <c r="H21" s="3" t="s">
        <v>2558</v>
      </c>
      <c r="I21" s="3" t="s">
        <v>2559</v>
      </c>
      <c r="J21" s="3" t="s">
        <v>2560</v>
      </c>
      <c r="K21" s="3" t="s">
        <v>1414</v>
      </c>
      <c r="L21" s="3" t="s">
        <v>2418</v>
      </c>
      <c r="M21" s="3" t="s">
        <v>2356</v>
      </c>
      <c r="N21" s="3" t="s">
        <v>1395</v>
      </c>
      <c r="O21" s="3" t="s">
        <v>2561</v>
      </c>
      <c r="P21" s="3" t="s">
        <v>2562</v>
      </c>
      <c r="Q21" s="3" t="s">
        <v>2563</v>
      </c>
      <c r="R21" s="3"/>
      <c r="S21" s="3"/>
      <c r="T21" s="3" t="s">
        <v>2419</v>
      </c>
      <c r="U21" s="3"/>
      <c r="V21" s="3"/>
      <c r="W21" s="3"/>
      <c r="X21" s="3"/>
      <c r="Y21" s="3" t="s">
        <v>1374</v>
      </c>
      <c r="Z21" s="3" t="s">
        <v>1375</v>
      </c>
      <c r="AA21" s="3" t="s">
        <v>1419</v>
      </c>
      <c r="AB21" s="3" t="s">
        <v>2564</v>
      </c>
      <c r="AC21" s="3" t="s">
        <v>1378</v>
      </c>
      <c r="AD21" s="3" t="s">
        <v>2565</v>
      </c>
      <c r="AE21" s="3" t="s">
        <v>2566</v>
      </c>
      <c r="AF21" s="3" t="s">
        <v>1380</v>
      </c>
      <c r="AG21" s="3" t="s">
        <v>7</v>
      </c>
      <c r="AH21" s="3"/>
      <c r="AI21" s="3"/>
      <c r="AJ21" s="3" t="s">
        <v>2567</v>
      </c>
      <c r="AK21" s="3" t="s">
        <v>1382</v>
      </c>
      <c r="AL21" s="3"/>
      <c r="AM21" s="3"/>
      <c r="AN21" s="8" t="s">
        <v>1456</v>
      </c>
    </row>
    <row r="22" spans="1:40" ht="60" customHeight="1" x14ac:dyDescent="0.2">
      <c r="A22" s="3" t="s">
        <v>2568</v>
      </c>
      <c r="B22" s="3" t="s">
        <v>2409</v>
      </c>
      <c r="C22" s="3" t="s">
        <v>1355</v>
      </c>
      <c r="D22" s="3" t="s">
        <v>2569</v>
      </c>
      <c r="E22" s="3" t="s">
        <v>2570</v>
      </c>
      <c r="F22" s="3" t="s">
        <v>1446</v>
      </c>
      <c r="G22" s="3"/>
      <c r="H22" s="3" t="s">
        <v>2571</v>
      </c>
      <c r="I22" s="3" t="s">
        <v>1448</v>
      </c>
      <c r="J22" s="3" t="s">
        <v>1413</v>
      </c>
      <c r="K22" s="3" t="s">
        <v>1414</v>
      </c>
      <c r="L22" s="3" t="s">
        <v>1449</v>
      </c>
      <c r="M22" s="3" t="s">
        <v>1394</v>
      </c>
      <c r="N22" s="3" t="s">
        <v>1395</v>
      </c>
      <c r="O22" s="3" t="s">
        <v>1450</v>
      </c>
      <c r="P22" s="3" t="s">
        <v>1450</v>
      </c>
      <c r="Q22" s="3" t="s">
        <v>1451</v>
      </c>
      <c r="R22" s="3"/>
      <c r="S22" s="3"/>
      <c r="T22" s="3" t="s">
        <v>1399</v>
      </c>
      <c r="U22" s="3"/>
      <c r="V22" s="3"/>
      <c r="W22" s="3"/>
      <c r="X22" s="3"/>
      <c r="Y22" s="3" t="s">
        <v>1374</v>
      </c>
      <c r="Z22" s="3" t="s">
        <v>1375</v>
      </c>
      <c r="AA22" s="3" t="s">
        <v>1437</v>
      </c>
      <c r="AB22" s="3" t="s">
        <v>1452</v>
      </c>
      <c r="AC22" s="3" t="s">
        <v>1453</v>
      </c>
      <c r="AD22" s="3"/>
      <c r="AE22" s="3" t="s">
        <v>1454</v>
      </c>
      <c r="AF22" s="3" t="s">
        <v>1380</v>
      </c>
      <c r="AG22" s="3" t="s">
        <v>700</v>
      </c>
      <c r="AH22" s="3"/>
      <c r="AI22" s="3"/>
      <c r="AJ22" s="3" t="s">
        <v>1455</v>
      </c>
      <c r="AK22" s="3" t="s">
        <v>1382</v>
      </c>
      <c r="AL22" s="3"/>
      <c r="AM22" s="3"/>
      <c r="AN22" s="8" t="s">
        <v>1456</v>
      </c>
    </row>
    <row r="23" spans="1:40" ht="60" customHeight="1" x14ac:dyDescent="0.2">
      <c r="A23" s="3" t="s">
        <v>2572</v>
      </c>
      <c r="B23" s="3" t="s">
        <v>2409</v>
      </c>
      <c r="C23" s="3" t="s">
        <v>1355</v>
      </c>
      <c r="D23" s="3" t="s">
        <v>2573</v>
      </c>
      <c r="E23" s="3" t="s">
        <v>2574</v>
      </c>
      <c r="F23" s="3" t="s">
        <v>1522</v>
      </c>
      <c r="G23" s="3"/>
      <c r="H23" s="3" t="s">
        <v>2575</v>
      </c>
      <c r="I23" s="3" t="s">
        <v>2576</v>
      </c>
      <c r="J23" s="3" t="s">
        <v>1413</v>
      </c>
      <c r="K23" s="3" t="s">
        <v>1414</v>
      </c>
      <c r="L23" s="3" t="s">
        <v>2577</v>
      </c>
      <c r="M23" s="3" t="s">
        <v>2346</v>
      </c>
      <c r="N23" s="3" t="s">
        <v>1366</v>
      </c>
      <c r="O23" s="3" t="s">
        <v>1450</v>
      </c>
      <c r="P23" s="3" t="s">
        <v>1450</v>
      </c>
      <c r="Q23" s="3" t="s">
        <v>1451</v>
      </c>
      <c r="R23" s="3"/>
      <c r="S23" s="3"/>
      <c r="T23" s="3" t="s">
        <v>1399</v>
      </c>
      <c r="U23" s="3"/>
      <c r="V23" s="3"/>
      <c r="W23" s="3"/>
      <c r="X23" s="3"/>
      <c r="Y23" s="3" t="s">
        <v>1374</v>
      </c>
      <c r="Z23" s="3" t="s">
        <v>1375</v>
      </c>
      <c r="AA23" s="3" t="s">
        <v>1437</v>
      </c>
      <c r="AB23" s="3" t="s">
        <v>1452</v>
      </c>
      <c r="AC23" s="3" t="s">
        <v>1526</v>
      </c>
      <c r="AD23" s="3"/>
      <c r="AE23" s="3" t="s">
        <v>2578</v>
      </c>
      <c r="AF23" s="3" t="s">
        <v>1380</v>
      </c>
      <c r="AG23" s="3" t="s">
        <v>700</v>
      </c>
      <c r="AH23" s="3"/>
      <c r="AI23" s="3"/>
      <c r="AJ23" s="3" t="s">
        <v>1455</v>
      </c>
      <c r="AK23" s="3" t="s">
        <v>1382</v>
      </c>
      <c r="AL23" s="3"/>
      <c r="AM23" s="3"/>
      <c r="AN23" s="8" t="s">
        <v>2347</v>
      </c>
    </row>
    <row r="24" spans="1:40" ht="60" customHeight="1" x14ac:dyDescent="0.2">
      <c r="A24" s="3" t="s">
        <v>459</v>
      </c>
      <c r="B24" s="3" t="s">
        <v>2409</v>
      </c>
      <c r="C24" s="3" t="s">
        <v>1355</v>
      </c>
      <c r="D24" s="3" t="s">
        <v>2579</v>
      </c>
      <c r="E24" s="3" t="s">
        <v>2580</v>
      </c>
      <c r="F24" s="3" t="s">
        <v>2581</v>
      </c>
      <c r="G24" s="3" t="s">
        <v>2582</v>
      </c>
      <c r="H24" s="3" t="s">
        <v>2583</v>
      </c>
      <c r="I24" s="3" t="s">
        <v>2584</v>
      </c>
      <c r="J24" s="3" t="s">
        <v>1605</v>
      </c>
      <c r="K24" s="3" t="s">
        <v>1606</v>
      </c>
      <c r="L24" s="3" t="s">
        <v>1607</v>
      </c>
      <c r="M24" s="3" t="s">
        <v>1365</v>
      </c>
      <c r="N24" s="3" t="s">
        <v>1366</v>
      </c>
      <c r="O24" s="3" t="s">
        <v>2585</v>
      </c>
      <c r="P24" s="3" t="s">
        <v>1610</v>
      </c>
      <c r="Q24" s="3" t="s">
        <v>1611</v>
      </c>
      <c r="R24" s="3"/>
      <c r="S24" s="3" t="s">
        <v>1612</v>
      </c>
      <c r="T24" s="3" t="s">
        <v>1613</v>
      </c>
      <c r="U24" s="3"/>
      <c r="V24" s="3"/>
      <c r="W24" s="3"/>
      <c r="X24" s="3"/>
      <c r="Y24" s="3" t="s">
        <v>1374</v>
      </c>
      <c r="Z24" s="3" t="s">
        <v>1375</v>
      </c>
      <c r="AA24" s="3" t="s">
        <v>1616</v>
      </c>
      <c r="AB24" s="3" t="s">
        <v>1617</v>
      </c>
      <c r="AC24" s="3" t="s">
        <v>1378</v>
      </c>
      <c r="AD24" s="3" t="s">
        <v>1618</v>
      </c>
      <c r="AE24" s="3" t="s">
        <v>2586</v>
      </c>
      <c r="AF24" s="3" t="s">
        <v>1380</v>
      </c>
      <c r="AG24" s="3" t="s">
        <v>1150</v>
      </c>
      <c r="AH24" s="3"/>
      <c r="AI24" s="3"/>
      <c r="AJ24" s="3" t="s">
        <v>2587</v>
      </c>
      <c r="AK24" s="3" t="s">
        <v>1382</v>
      </c>
      <c r="AL24" s="3"/>
      <c r="AM24" s="3"/>
      <c r="AN24" s="8" t="s">
        <v>2143</v>
      </c>
    </row>
    <row r="25" spans="1:40" ht="60" customHeight="1" x14ac:dyDescent="0.2">
      <c r="A25" s="3" t="s">
        <v>453</v>
      </c>
      <c r="B25" s="3" t="s">
        <v>2409</v>
      </c>
      <c r="C25" s="3" t="s">
        <v>1355</v>
      </c>
      <c r="D25" s="3" t="s">
        <v>2588</v>
      </c>
      <c r="E25" s="3" t="s">
        <v>2589</v>
      </c>
      <c r="F25" s="3" t="s">
        <v>2590</v>
      </c>
      <c r="G25" s="3" t="s">
        <v>2591</v>
      </c>
      <c r="H25" s="3" t="s">
        <v>2592</v>
      </c>
      <c r="I25" s="3" t="s">
        <v>2593</v>
      </c>
      <c r="J25" s="3" t="s">
        <v>2594</v>
      </c>
      <c r="K25" s="3" t="s">
        <v>1414</v>
      </c>
      <c r="L25" s="3" t="s">
        <v>1514</v>
      </c>
      <c r="M25" s="3" t="s">
        <v>1365</v>
      </c>
      <c r="N25" s="3" t="s">
        <v>1366</v>
      </c>
      <c r="O25" s="3" t="s">
        <v>2595</v>
      </c>
      <c r="P25" s="3" t="s">
        <v>2596</v>
      </c>
      <c r="Q25" s="3" t="s">
        <v>1500</v>
      </c>
      <c r="R25" s="3"/>
      <c r="S25" s="3"/>
      <c r="T25" s="3" t="s">
        <v>2597</v>
      </c>
      <c r="U25" s="3"/>
      <c r="V25" s="3"/>
      <c r="W25" s="3"/>
      <c r="X25" s="3"/>
      <c r="Y25" s="3" t="s">
        <v>1374</v>
      </c>
      <c r="Z25" s="3" t="s">
        <v>1375</v>
      </c>
      <c r="AA25" s="3" t="s">
        <v>1437</v>
      </c>
      <c r="AB25" s="3" t="s">
        <v>1504</v>
      </c>
      <c r="AC25" s="3" t="s">
        <v>1378</v>
      </c>
      <c r="AD25" s="3"/>
      <c r="AE25" s="3" t="s">
        <v>2598</v>
      </c>
      <c r="AF25" s="3" t="s">
        <v>1380</v>
      </c>
      <c r="AG25" s="3" t="s">
        <v>7</v>
      </c>
      <c r="AH25" s="3"/>
      <c r="AI25" s="3"/>
      <c r="AJ25" s="3" t="s">
        <v>2599</v>
      </c>
      <c r="AK25" s="3" t="s">
        <v>1382</v>
      </c>
      <c r="AL25" s="3"/>
      <c r="AM25" s="3"/>
      <c r="AN25" s="8" t="s">
        <v>2143</v>
      </c>
    </row>
    <row r="26" spans="1:40" ht="60" customHeight="1" x14ac:dyDescent="0.2">
      <c r="A26" s="3" t="s">
        <v>2600</v>
      </c>
      <c r="B26" s="3" t="s">
        <v>2409</v>
      </c>
      <c r="C26" s="3" t="s">
        <v>2601</v>
      </c>
      <c r="D26" s="3" t="s">
        <v>2602</v>
      </c>
      <c r="E26" s="3" t="s">
        <v>2138</v>
      </c>
      <c r="F26" s="3" t="s">
        <v>2271</v>
      </c>
      <c r="G26" s="3" t="s">
        <v>2272</v>
      </c>
      <c r="H26" s="3" t="s">
        <v>2273</v>
      </c>
      <c r="I26" s="3" t="s">
        <v>2274</v>
      </c>
      <c r="J26" s="3" t="s">
        <v>2275</v>
      </c>
      <c r="K26" s="3" t="s">
        <v>1414</v>
      </c>
      <c r="L26" s="3" t="s">
        <v>1631</v>
      </c>
      <c r="M26" s="3" t="s">
        <v>1365</v>
      </c>
      <c r="N26" s="3" t="s">
        <v>1366</v>
      </c>
      <c r="O26" s="3" t="s">
        <v>2276</v>
      </c>
      <c r="P26" s="3" t="s">
        <v>2277</v>
      </c>
      <c r="Q26" s="3" t="s">
        <v>1500</v>
      </c>
      <c r="R26" s="3"/>
      <c r="S26" s="3"/>
      <c r="T26" s="3" t="s">
        <v>1399</v>
      </c>
      <c r="U26" s="3" t="s">
        <v>2278</v>
      </c>
      <c r="V26" s="3"/>
      <c r="W26" s="3"/>
      <c r="X26" s="3"/>
      <c r="Y26" s="3" t="s">
        <v>1374</v>
      </c>
      <c r="Z26" s="3" t="s">
        <v>1375</v>
      </c>
      <c r="AA26" s="3" t="s">
        <v>1437</v>
      </c>
      <c r="AB26" s="3" t="s">
        <v>1504</v>
      </c>
      <c r="AC26" s="3" t="s">
        <v>1378</v>
      </c>
      <c r="AD26" s="3"/>
      <c r="AE26" s="3" t="s">
        <v>1454</v>
      </c>
      <c r="AF26" s="3" t="s">
        <v>2279</v>
      </c>
      <c r="AG26" s="3" t="s">
        <v>7</v>
      </c>
      <c r="AH26" s="3"/>
      <c r="AI26" s="3"/>
      <c r="AJ26" s="3" t="s">
        <v>2280</v>
      </c>
      <c r="AK26" s="3" t="s">
        <v>1382</v>
      </c>
      <c r="AL26" s="3"/>
      <c r="AM26" s="3"/>
      <c r="AN26" s="8" t="s">
        <v>2143</v>
      </c>
    </row>
    <row r="27" spans="1:40" ht="60" customHeight="1" x14ac:dyDescent="0.2">
      <c r="A27" s="3" t="s">
        <v>2603</v>
      </c>
      <c r="B27" s="3" t="s">
        <v>2409</v>
      </c>
      <c r="C27" s="3" t="s">
        <v>2604</v>
      </c>
      <c r="D27" s="3" t="s">
        <v>2605</v>
      </c>
      <c r="E27" s="3" t="s">
        <v>2606</v>
      </c>
      <c r="F27" s="3" t="s">
        <v>1522</v>
      </c>
      <c r="G27" s="3"/>
      <c r="H27" s="3" t="s">
        <v>2607</v>
      </c>
      <c r="I27" s="3" t="s">
        <v>2608</v>
      </c>
      <c r="J27" s="3" t="s">
        <v>1413</v>
      </c>
      <c r="K27" s="3" t="s">
        <v>1414</v>
      </c>
      <c r="L27" s="3" t="s">
        <v>1514</v>
      </c>
      <c r="M27" s="3" t="s">
        <v>1394</v>
      </c>
      <c r="N27" s="3" t="s">
        <v>1366</v>
      </c>
      <c r="O27" s="3" t="s">
        <v>1450</v>
      </c>
      <c r="P27" s="3" t="s">
        <v>1450</v>
      </c>
      <c r="Q27" s="3" t="s">
        <v>1451</v>
      </c>
      <c r="R27" s="3"/>
      <c r="S27" s="3"/>
      <c r="T27" s="3" t="s">
        <v>1399</v>
      </c>
      <c r="U27" s="3"/>
      <c r="V27" s="3"/>
      <c r="W27" s="3"/>
      <c r="X27" s="3"/>
      <c r="Y27" s="3" t="s">
        <v>1374</v>
      </c>
      <c r="Z27" s="3" t="s">
        <v>1375</v>
      </c>
      <c r="AA27" s="3" t="s">
        <v>1437</v>
      </c>
      <c r="AB27" s="3" t="s">
        <v>1452</v>
      </c>
      <c r="AC27" s="3" t="s">
        <v>1526</v>
      </c>
      <c r="AD27" s="3"/>
      <c r="AE27" s="3" t="s">
        <v>1454</v>
      </c>
      <c r="AF27" s="3" t="s">
        <v>1380</v>
      </c>
      <c r="AG27" s="3" t="s">
        <v>700</v>
      </c>
      <c r="AH27" s="3"/>
      <c r="AI27" s="3"/>
      <c r="AJ27" s="3" t="s">
        <v>1455</v>
      </c>
      <c r="AK27" s="3" t="s">
        <v>1382</v>
      </c>
      <c r="AL27" s="3"/>
      <c r="AM27" s="3"/>
      <c r="AN27" s="8" t="s">
        <v>1456</v>
      </c>
    </row>
    <row r="28" spans="1:40" ht="60" customHeight="1" x14ac:dyDescent="0.2">
      <c r="A28" s="3" t="s">
        <v>2609</v>
      </c>
      <c r="B28" s="3" t="s">
        <v>2409</v>
      </c>
      <c r="C28" s="3" t="s">
        <v>2610</v>
      </c>
      <c r="D28" s="3" t="s">
        <v>2611</v>
      </c>
      <c r="E28" s="3" t="s">
        <v>2612</v>
      </c>
      <c r="F28" s="3" t="s">
        <v>1522</v>
      </c>
      <c r="G28" s="3"/>
      <c r="H28" s="3" t="s">
        <v>2613</v>
      </c>
      <c r="I28" s="3" t="s">
        <v>2614</v>
      </c>
      <c r="J28" s="3" t="s">
        <v>1413</v>
      </c>
      <c r="K28" s="3" t="s">
        <v>2615</v>
      </c>
      <c r="L28" s="3" t="s">
        <v>1514</v>
      </c>
      <c r="M28" s="3" t="s">
        <v>1394</v>
      </c>
      <c r="N28" s="3" t="s">
        <v>1366</v>
      </c>
      <c r="O28" s="3" t="s">
        <v>1450</v>
      </c>
      <c r="P28" s="3" t="s">
        <v>1450</v>
      </c>
      <c r="Q28" s="3" t="s">
        <v>1451</v>
      </c>
      <c r="R28" s="3"/>
      <c r="S28" s="3"/>
      <c r="T28" s="3" t="s">
        <v>2616</v>
      </c>
      <c r="U28" s="3"/>
      <c r="V28" s="7" t="s">
        <v>2617</v>
      </c>
      <c r="W28" s="7" t="s">
        <v>2618</v>
      </c>
      <c r="X28" s="3"/>
      <c r="Y28" s="3" t="s">
        <v>1374</v>
      </c>
      <c r="Z28" s="3" t="s">
        <v>1375</v>
      </c>
      <c r="AA28" s="3" t="s">
        <v>1437</v>
      </c>
      <c r="AB28" s="3" t="s">
        <v>1452</v>
      </c>
      <c r="AC28" s="3" t="s">
        <v>1526</v>
      </c>
      <c r="AD28" s="3"/>
      <c r="AE28" s="3" t="s">
        <v>1454</v>
      </c>
      <c r="AF28" s="3" t="s">
        <v>1380</v>
      </c>
      <c r="AG28" s="3" t="s">
        <v>700</v>
      </c>
      <c r="AH28" s="3"/>
      <c r="AI28" s="3"/>
      <c r="AJ28" s="3" t="s">
        <v>1455</v>
      </c>
      <c r="AK28" s="3" t="s">
        <v>1382</v>
      </c>
      <c r="AL28" s="3"/>
      <c r="AM28" s="3"/>
      <c r="AN28" s="7" t="s">
        <v>2619</v>
      </c>
    </row>
    <row r="29" spans="1:40" ht="60" customHeight="1" x14ac:dyDescent="0.2">
      <c r="A29" s="3" t="s">
        <v>2620</v>
      </c>
      <c r="B29" s="3" t="s">
        <v>2409</v>
      </c>
      <c r="C29" s="3" t="s">
        <v>2621</v>
      </c>
      <c r="D29" s="3" t="s">
        <v>2622</v>
      </c>
      <c r="E29" s="3" t="s">
        <v>2623</v>
      </c>
      <c r="F29" s="3" t="s">
        <v>2441</v>
      </c>
      <c r="G29" s="3" t="s">
        <v>2442</v>
      </c>
      <c r="H29" s="3" t="s">
        <v>2443</v>
      </c>
      <c r="I29" s="3" t="s">
        <v>2444</v>
      </c>
      <c r="J29" s="3" t="s">
        <v>2445</v>
      </c>
      <c r="K29" s="3" t="s">
        <v>1414</v>
      </c>
      <c r="L29" s="3" t="s">
        <v>1432</v>
      </c>
      <c r="M29" s="3" t="s">
        <v>1365</v>
      </c>
      <c r="N29" s="3" t="s">
        <v>1366</v>
      </c>
      <c r="O29" s="3" t="s">
        <v>2446</v>
      </c>
      <c r="P29" s="3" t="s">
        <v>2447</v>
      </c>
      <c r="Q29" s="3" t="s">
        <v>2448</v>
      </c>
      <c r="R29" s="3"/>
      <c r="S29" s="3"/>
      <c r="T29" s="3" t="s">
        <v>1399</v>
      </c>
      <c r="U29" s="3"/>
      <c r="V29" s="3"/>
      <c r="W29" s="3"/>
      <c r="X29" s="3"/>
      <c r="Y29" s="3" t="s">
        <v>1374</v>
      </c>
      <c r="Z29" s="3" t="s">
        <v>1375</v>
      </c>
      <c r="AA29" s="3" t="s">
        <v>1437</v>
      </c>
      <c r="AB29" s="3" t="s">
        <v>2468</v>
      </c>
      <c r="AC29" s="3" t="s">
        <v>1378</v>
      </c>
      <c r="AD29" s="3"/>
      <c r="AE29" s="3" t="s">
        <v>2469</v>
      </c>
      <c r="AF29" s="3" t="s">
        <v>1380</v>
      </c>
      <c r="AG29" s="3" t="s">
        <v>7</v>
      </c>
      <c r="AH29" s="3"/>
      <c r="AI29" s="3"/>
      <c r="AJ29" s="3" t="s">
        <v>2452</v>
      </c>
      <c r="AK29" s="3" t="s">
        <v>1382</v>
      </c>
      <c r="AL29" s="3"/>
      <c r="AM29" s="3"/>
      <c r="AN29" s="8" t="s">
        <v>2453</v>
      </c>
    </row>
    <row r="30" spans="1:40" ht="60" customHeight="1" x14ac:dyDescent="0.2">
      <c r="A30" s="3" t="s">
        <v>2624</v>
      </c>
      <c r="B30" s="3" t="s">
        <v>2409</v>
      </c>
      <c r="C30" s="3" t="s">
        <v>2625</v>
      </c>
      <c r="D30" s="3" t="s">
        <v>2626</v>
      </c>
      <c r="E30" s="3" t="s">
        <v>2627</v>
      </c>
      <c r="F30" s="3" t="s">
        <v>1522</v>
      </c>
      <c r="G30" s="3"/>
      <c r="H30" s="3" t="s">
        <v>2628</v>
      </c>
      <c r="I30" s="3" t="s">
        <v>2629</v>
      </c>
      <c r="J30" s="3" t="s">
        <v>1413</v>
      </c>
      <c r="K30" s="3" t="s">
        <v>1414</v>
      </c>
      <c r="L30" s="3" t="s">
        <v>2418</v>
      </c>
      <c r="M30" s="3" t="s">
        <v>1365</v>
      </c>
      <c r="N30" s="3" t="s">
        <v>1366</v>
      </c>
      <c r="O30" s="3" t="s">
        <v>1450</v>
      </c>
      <c r="P30" s="3" t="s">
        <v>1450</v>
      </c>
      <c r="Q30" s="3" t="s">
        <v>1451</v>
      </c>
      <c r="R30" s="3"/>
      <c r="S30" s="3"/>
      <c r="T30" s="3" t="s">
        <v>1399</v>
      </c>
      <c r="U30" s="3"/>
      <c r="V30" s="3"/>
      <c r="W30" s="3"/>
      <c r="X30" s="3"/>
      <c r="Y30" s="3" t="s">
        <v>1374</v>
      </c>
      <c r="Z30" s="3" t="s">
        <v>1375</v>
      </c>
      <c r="AA30" s="3" t="s">
        <v>1437</v>
      </c>
      <c r="AB30" s="3" t="s">
        <v>1452</v>
      </c>
      <c r="AC30" s="3" t="s">
        <v>1526</v>
      </c>
      <c r="AD30" s="3"/>
      <c r="AE30" s="3" t="s">
        <v>2420</v>
      </c>
      <c r="AF30" s="3" t="s">
        <v>1380</v>
      </c>
      <c r="AG30" s="3" t="s">
        <v>700</v>
      </c>
      <c r="AH30" s="3"/>
      <c r="AI30" s="3"/>
      <c r="AJ30" s="3" t="s">
        <v>1455</v>
      </c>
      <c r="AK30" s="3" t="s">
        <v>1382</v>
      </c>
      <c r="AL30" s="3"/>
      <c r="AM30" s="3"/>
      <c r="AN30" s="8" t="s">
        <v>2502</v>
      </c>
    </row>
    <row r="31" spans="1:40" ht="45" customHeight="1" x14ac:dyDescent="0.2">
      <c r="A31" s="3"/>
      <c r="B31" s="3" t="s">
        <v>2409</v>
      </c>
      <c r="C31" s="3" t="s">
        <v>1533</v>
      </c>
      <c r="D31" s="3"/>
      <c r="E31" s="3"/>
      <c r="F31" s="3"/>
      <c r="G31" s="3"/>
      <c r="H31" s="3"/>
      <c r="I31" s="3"/>
      <c r="J31" s="3"/>
      <c r="K31" s="3"/>
      <c r="L31" s="3"/>
      <c r="M31" s="3"/>
      <c r="N31" s="3"/>
      <c r="O31" s="3"/>
      <c r="P31" s="3"/>
      <c r="Q31" s="3"/>
      <c r="R31" s="3"/>
      <c r="S31" s="3"/>
      <c r="T31" s="3"/>
      <c r="U31" s="3"/>
      <c r="V31" s="3"/>
      <c r="W31" s="3"/>
      <c r="X31" s="3" t="s">
        <v>1534</v>
      </c>
      <c r="Y31" s="3"/>
      <c r="Z31" s="3"/>
      <c r="AA31" s="3"/>
      <c r="AB31" s="3"/>
      <c r="AC31" s="3"/>
      <c r="AD31" s="3"/>
      <c r="AE31" s="3"/>
      <c r="AF31" s="3"/>
      <c r="AG31" s="3"/>
      <c r="AH31" s="3"/>
      <c r="AI31" s="3"/>
      <c r="AJ31" s="3"/>
      <c r="AK31" s="3"/>
      <c r="AL31" s="3"/>
      <c r="AM31" s="3"/>
      <c r="AN31" s="3"/>
    </row>
    <row r="32" spans="1:40" ht="60" customHeight="1" x14ac:dyDescent="0.2">
      <c r="A32" s="3"/>
      <c r="B32" s="3" t="s">
        <v>2409</v>
      </c>
      <c r="C32" s="3" t="s">
        <v>1535</v>
      </c>
      <c r="D32" s="3" t="s">
        <v>650</v>
      </c>
      <c r="E32" s="3" t="s">
        <v>650</v>
      </c>
      <c r="F32" s="3" t="s">
        <v>650</v>
      </c>
      <c r="G32" s="3"/>
      <c r="H32" s="3"/>
      <c r="I32" s="3"/>
      <c r="J32" s="3"/>
      <c r="K32" s="3"/>
      <c r="L32" s="3"/>
      <c r="M32" s="3"/>
      <c r="N32" s="3"/>
      <c r="O32" s="3"/>
      <c r="P32" s="3"/>
      <c r="Q32" s="3"/>
      <c r="R32" s="3"/>
      <c r="S32" s="3"/>
      <c r="T32" s="3"/>
      <c r="U32" s="3"/>
      <c r="V32" s="3"/>
      <c r="W32" s="3"/>
      <c r="X32" s="3" t="s">
        <v>1374</v>
      </c>
      <c r="Y32" s="3" t="s">
        <v>1536</v>
      </c>
      <c r="Z32" s="3"/>
      <c r="AA32" s="3"/>
      <c r="AB32" s="3"/>
      <c r="AC32" s="3"/>
      <c r="AD32" s="3"/>
      <c r="AE32" s="3"/>
      <c r="AF32" s="3"/>
      <c r="AG32" s="3"/>
      <c r="AH32" s="3"/>
      <c r="AI32" s="3"/>
      <c r="AJ32" s="3"/>
      <c r="AK32" s="3"/>
      <c r="AL32" s="3"/>
      <c r="AM32" s="3"/>
      <c r="AN32" s="3"/>
    </row>
    <row r="33" spans="1:40" ht="45" customHeight="1" x14ac:dyDescent="0.2">
      <c r="A33" s="3"/>
      <c r="B33" s="3" t="s">
        <v>2409</v>
      </c>
      <c r="C33" s="3" t="s">
        <v>1537</v>
      </c>
      <c r="D33" s="3"/>
      <c r="E33" s="3"/>
      <c r="F33" s="3"/>
      <c r="G33" s="3"/>
      <c r="H33" s="3"/>
      <c r="I33" s="3"/>
      <c r="J33" s="3"/>
      <c r="K33" s="3"/>
      <c r="L33" s="3"/>
      <c r="M33" s="3"/>
      <c r="N33" s="3"/>
      <c r="O33" s="3"/>
      <c r="P33" s="3"/>
      <c r="Q33" s="3"/>
      <c r="R33" s="3"/>
      <c r="S33" s="3"/>
      <c r="T33" s="3"/>
      <c r="U33" s="3"/>
      <c r="V33" s="3"/>
      <c r="W33" s="3"/>
      <c r="X33" s="3" t="s">
        <v>1534</v>
      </c>
      <c r="Y33" s="3"/>
      <c r="Z33" s="3"/>
      <c r="AA33" s="3"/>
      <c r="AB33" s="3"/>
      <c r="AC33" s="3"/>
      <c r="AD33" s="3"/>
      <c r="AE33" s="3"/>
      <c r="AF33" s="3"/>
      <c r="AG33" s="3"/>
      <c r="AH33" s="3"/>
      <c r="AI33" s="3"/>
      <c r="AJ33" s="3"/>
      <c r="AK33" s="3"/>
      <c r="AL33" s="3"/>
      <c r="AM33" s="3"/>
      <c r="AN33" s="3"/>
    </row>
    <row r="34" spans="1:40" ht="45" customHeight="1" x14ac:dyDescent="0.2">
      <c r="A34" s="3"/>
      <c r="B34" s="3" t="s">
        <v>2409</v>
      </c>
      <c r="C34" s="3" t="s">
        <v>1539</v>
      </c>
      <c r="D34" s="3"/>
      <c r="E34" s="3"/>
      <c r="F34" s="3"/>
      <c r="G34" s="3"/>
      <c r="H34" s="3"/>
      <c r="I34" s="3"/>
      <c r="J34" s="3"/>
      <c r="K34" s="3"/>
      <c r="L34" s="3"/>
      <c r="M34" s="3"/>
      <c r="N34" s="3"/>
      <c r="O34" s="3"/>
      <c r="P34" s="3"/>
      <c r="Q34" s="3"/>
      <c r="R34" s="3"/>
      <c r="S34" s="3"/>
      <c r="T34" s="3"/>
      <c r="U34" s="3"/>
      <c r="V34" s="3"/>
      <c r="W34" s="3"/>
      <c r="X34" s="3" t="s">
        <v>1534</v>
      </c>
      <c r="Y34" s="3"/>
      <c r="Z34" s="3"/>
      <c r="AA34" s="3"/>
      <c r="AB34" s="3"/>
      <c r="AC34" s="3"/>
      <c r="AD34" s="3"/>
      <c r="AE34" s="3"/>
      <c r="AF34" s="3"/>
      <c r="AG34" s="3"/>
      <c r="AH34" s="3"/>
      <c r="AI34" s="3"/>
      <c r="AJ34" s="3"/>
      <c r="AK34" s="3"/>
      <c r="AL34" s="3"/>
      <c r="AM34" s="3"/>
      <c r="AN34" s="3"/>
    </row>
    <row r="35" spans="1:40" ht="45" customHeight="1" x14ac:dyDescent="0.2">
      <c r="A35" s="3"/>
      <c r="B35" s="3" t="s">
        <v>2409</v>
      </c>
      <c r="C35" s="3" t="s">
        <v>1541</v>
      </c>
      <c r="D35" s="3"/>
      <c r="E35" s="3"/>
      <c r="F35" s="3"/>
      <c r="G35" s="3"/>
      <c r="H35" s="3"/>
      <c r="I35" s="3"/>
      <c r="J35" s="3"/>
      <c r="K35" s="3"/>
      <c r="L35" s="3"/>
      <c r="M35" s="3"/>
      <c r="N35" s="3"/>
      <c r="O35" s="3"/>
      <c r="P35" s="3"/>
      <c r="Q35" s="3"/>
      <c r="R35" s="3"/>
      <c r="S35" s="3"/>
      <c r="T35" s="3"/>
      <c r="U35" s="3"/>
      <c r="V35" s="3"/>
      <c r="W35" s="3"/>
      <c r="X35" s="3" t="s">
        <v>1534</v>
      </c>
      <c r="Y35" s="3"/>
      <c r="Z35" s="3"/>
      <c r="AA35" s="3"/>
      <c r="AB35" s="3"/>
      <c r="AC35" s="3"/>
      <c r="AD35" s="3"/>
      <c r="AE35" s="3"/>
      <c r="AF35" s="3"/>
      <c r="AG35" s="3"/>
      <c r="AH35" s="3"/>
      <c r="AI35" s="3"/>
      <c r="AJ35" s="3"/>
      <c r="AK35" s="3"/>
      <c r="AL35" s="3"/>
      <c r="AM35" s="3"/>
      <c r="AN35" s="3"/>
    </row>
    <row r="36" spans="1:40" ht="60" customHeight="1" x14ac:dyDescent="0.2">
      <c r="A36" s="3"/>
      <c r="B36" s="3" t="s">
        <v>2409</v>
      </c>
      <c r="C36" s="3" t="s">
        <v>1542</v>
      </c>
      <c r="D36" s="3" t="s">
        <v>650</v>
      </c>
      <c r="E36" s="3" t="s">
        <v>650</v>
      </c>
      <c r="F36" s="3" t="s">
        <v>650</v>
      </c>
      <c r="G36" s="3"/>
      <c r="H36" s="3"/>
      <c r="I36" s="3"/>
      <c r="J36" s="3"/>
      <c r="K36" s="3"/>
      <c r="L36" s="3"/>
      <c r="M36" s="3"/>
      <c r="N36" s="3"/>
      <c r="O36" s="3"/>
      <c r="P36" s="3"/>
      <c r="Q36" s="3"/>
      <c r="R36" s="3"/>
      <c r="S36" s="3"/>
      <c r="T36" s="3"/>
      <c r="U36" s="3"/>
      <c r="V36" s="3"/>
      <c r="W36" s="3"/>
      <c r="X36" s="3" t="s">
        <v>1374</v>
      </c>
      <c r="Y36" s="3" t="s">
        <v>1536</v>
      </c>
      <c r="Z36" s="3"/>
      <c r="AA36" s="3"/>
      <c r="AB36" s="3"/>
      <c r="AC36" s="3"/>
      <c r="AD36" s="3"/>
      <c r="AE36" s="3"/>
      <c r="AF36" s="3"/>
      <c r="AG36" s="3"/>
      <c r="AH36" s="3"/>
      <c r="AI36" s="3"/>
      <c r="AJ36" s="3"/>
      <c r="AK36" s="3"/>
      <c r="AL36" s="3"/>
      <c r="AM36" s="3"/>
      <c r="AN36" s="3"/>
    </row>
    <row r="37" spans="1:40" ht="60" customHeight="1" x14ac:dyDescent="0.2">
      <c r="A37" s="3"/>
      <c r="B37" s="3" t="s">
        <v>2409</v>
      </c>
      <c r="C37" s="3" t="s">
        <v>1543</v>
      </c>
      <c r="D37" s="3" t="s">
        <v>650</v>
      </c>
      <c r="E37" s="3" t="s">
        <v>650</v>
      </c>
      <c r="F37" s="3" t="s">
        <v>650</v>
      </c>
      <c r="G37" s="3"/>
      <c r="H37" s="3"/>
      <c r="I37" s="3"/>
      <c r="J37" s="3"/>
      <c r="K37" s="3"/>
      <c r="L37" s="3"/>
      <c r="M37" s="3"/>
      <c r="N37" s="3"/>
      <c r="O37" s="3"/>
      <c r="P37" s="3"/>
      <c r="Q37" s="3"/>
      <c r="R37" s="3"/>
      <c r="S37" s="3"/>
      <c r="T37" s="3"/>
      <c r="U37" s="3"/>
      <c r="V37" s="3"/>
      <c r="W37" s="3"/>
      <c r="X37" s="3" t="s">
        <v>1374</v>
      </c>
      <c r="Y37" s="3" t="s">
        <v>1544</v>
      </c>
      <c r="Z37" s="3"/>
      <c r="AA37" s="3"/>
      <c r="AB37" s="3"/>
      <c r="AC37" s="3"/>
      <c r="AD37" s="3"/>
      <c r="AE37" s="3"/>
      <c r="AF37" s="3"/>
      <c r="AG37" s="3"/>
      <c r="AH37" s="3"/>
      <c r="AI37" s="3"/>
      <c r="AJ37" s="3"/>
      <c r="AK37" s="3"/>
      <c r="AL37" s="3"/>
      <c r="AM37" s="3"/>
      <c r="AN37" s="3"/>
    </row>
    <row r="38" spans="1:40" ht="60" customHeight="1" x14ac:dyDescent="0.2">
      <c r="A38" s="3" t="s">
        <v>2630</v>
      </c>
      <c r="B38" s="3" t="s">
        <v>2409</v>
      </c>
      <c r="C38" s="3" t="s">
        <v>2631</v>
      </c>
      <c r="D38" s="3" t="s">
        <v>2632</v>
      </c>
      <c r="E38" s="3" t="s">
        <v>2633</v>
      </c>
      <c r="F38" s="3" t="s">
        <v>2634</v>
      </c>
      <c r="G38" s="3" t="s">
        <v>2635</v>
      </c>
      <c r="H38" s="3" t="s">
        <v>2636</v>
      </c>
      <c r="I38" s="3" t="s">
        <v>2636</v>
      </c>
      <c r="J38" s="3" t="s">
        <v>2637</v>
      </c>
      <c r="K38" s="3" t="s">
        <v>1962</v>
      </c>
      <c r="L38" s="3" t="s">
        <v>2638</v>
      </c>
      <c r="M38" s="3" t="s">
        <v>1467</v>
      </c>
      <c r="N38" s="3" t="s">
        <v>1963</v>
      </c>
      <c r="O38" s="3" t="s">
        <v>2639</v>
      </c>
      <c r="P38" s="3" t="s">
        <v>2640</v>
      </c>
      <c r="Q38" s="3" t="s">
        <v>2641</v>
      </c>
      <c r="R38" s="3" t="s">
        <v>2641</v>
      </c>
      <c r="S38" s="3"/>
      <c r="T38" s="3" t="s">
        <v>2641</v>
      </c>
      <c r="U38" s="3"/>
      <c r="V38" s="3"/>
      <c r="W38" s="3"/>
      <c r="X38" s="3"/>
      <c r="Y38" s="3"/>
      <c r="Z38" s="3" t="s">
        <v>2642</v>
      </c>
      <c r="AA38" s="3"/>
      <c r="AB38" s="3"/>
      <c r="AC38" s="3"/>
      <c r="AD38" s="3"/>
      <c r="AE38" s="3"/>
      <c r="AF38" s="3" t="s">
        <v>1380</v>
      </c>
      <c r="AG38" s="3" t="s">
        <v>7</v>
      </c>
      <c r="AH38" s="3"/>
      <c r="AI38" s="3"/>
      <c r="AJ38" s="3" t="s">
        <v>2643</v>
      </c>
      <c r="AK38" s="3" t="s">
        <v>1382</v>
      </c>
      <c r="AL38" s="3"/>
      <c r="AM38" s="3"/>
      <c r="AN38" s="8" t="s">
        <v>2453</v>
      </c>
    </row>
    <row r="39" spans="1:40" ht="60" customHeight="1" x14ac:dyDescent="0.2">
      <c r="A39" s="3" t="s">
        <v>2644</v>
      </c>
      <c r="B39" s="3" t="s">
        <v>2409</v>
      </c>
      <c r="C39" s="3" t="s">
        <v>2645</v>
      </c>
      <c r="D39" s="3" t="s">
        <v>2646</v>
      </c>
      <c r="E39" s="3" t="s">
        <v>2647</v>
      </c>
      <c r="F39" s="3" t="s">
        <v>2634</v>
      </c>
      <c r="G39" s="3" t="s">
        <v>2635</v>
      </c>
      <c r="H39" s="3" t="s">
        <v>2648</v>
      </c>
      <c r="I39" s="3" t="s">
        <v>2648</v>
      </c>
      <c r="J39" s="3" t="s">
        <v>2649</v>
      </c>
      <c r="K39" s="3" t="s">
        <v>1689</v>
      </c>
      <c r="L39" s="3" t="s">
        <v>2650</v>
      </c>
      <c r="M39" s="3" t="s">
        <v>1467</v>
      </c>
      <c r="N39" s="3" t="s">
        <v>1691</v>
      </c>
      <c r="O39" s="3" t="s">
        <v>2639</v>
      </c>
      <c r="P39" s="3" t="s">
        <v>2640</v>
      </c>
      <c r="Q39" s="3" t="s">
        <v>2651</v>
      </c>
      <c r="R39" s="3" t="s">
        <v>2651</v>
      </c>
      <c r="S39" s="3"/>
      <c r="T39" s="3" t="s">
        <v>2651</v>
      </c>
      <c r="U39" s="3" t="s">
        <v>2652</v>
      </c>
      <c r="V39" s="3"/>
      <c r="W39" s="3"/>
      <c r="X39" s="3"/>
      <c r="Y39" s="3"/>
      <c r="Z39" s="3" t="s">
        <v>2642</v>
      </c>
      <c r="AA39" s="3"/>
      <c r="AB39" s="3"/>
      <c r="AC39" s="3"/>
      <c r="AD39" s="3"/>
      <c r="AE39" s="3"/>
      <c r="AF39" s="3" t="s">
        <v>1380</v>
      </c>
      <c r="AG39" s="3" t="s">
        <v>7</v>
      </c>
      <c r="AH39" s="3"/>
      <c r="AI39" s="3"/>
      <c r="AJ39" s="3" t="s">
        <v>2643</v>
      </c>
      <c r="AK39" s="3" t="s">
        <v>1382</v>
      </c>
      <c r="AL39" s="3"/>
      <c r="AM39" s="3"/>
      <c r="AN39" s="8" t="s">
        <v>2453</v>
      </c>
    </row>
    <row r="40" spans="1:40" ht="60" customHeight="1" x14ac:dyDescent="0.2">
      <c r="A40" s="3" t="s">
        <v>2653</v>
      </c>
      <c r="B40" s="3" t="s">
        <v>2409</v>
      </c>
      <c r="C40" s="3" t="s">
        <v>2631</v>
      </c>
      <c r="D40" s="3" t="s">
        <v>2654</v>
      </c>
      <c r="E40" s="3" t="s">
        <v>2655</v>
      </c>
      <c r="F40" s="3" t="s">
        <v>2634</v>
      </c>
      <c r="G40" s="3" t="s">
        <v>2635</v>
      </c>
      <c r="H40" s="3" t="s">
        <v>2656</v>
      </c>
      <c r="I40" s="3" t="s">
        <v>2656</v>
      </c>
      <c r="J40" s="3" t="s">
        <v>2657</v>
      </c>
      <c r="K40" s="3" t="s">
        <v>2658</v>
      </c>
      <c r="L40" s="3" t="s">
        <v>2659</v>
      </c>
      <c r="M40" s="3" t="s">
        <v>1467</v>
      </c>
      <c r="N40" s="3" t="s">
        <v>1468</v>
      </c>
      <c r="O40" s="3" t="s">
        <v>2639</v>
      </c>
      <c r="P40" s="3" t="s">
        <v>2640</v>
      </c>
      <c r="Q40" s="3" t="s">
        <v>2660</v>
      </c>
      <c r="R40" s="3" t="s">
        <v>2660</v>
      </c>
      <c r="S40" s="3"/>
      <c r="T40" s="3" t="s">
        <v>2660</v>
      </c>
      <c r="U40" s="3"/>
      <c r="V40" s="3"/>
      <c r="W40" s="3"/>
      <c r="X40" s="3"/>
      <c r="Y40" s="3"/>
      <c r="Z40" s="3" t="s">
        <v>2642</v>
      </c>
      <c r="AA40" s="3"/>
      <c r="AB40" s="3"/>
      <c r="AC40" s="3"/>
      <c r="AD40" s="3"/>
      <c r="AE40" s="3"/>
      <c r="AF40" s="3" t="s">
        <v>1380</v>
      </c>
      <c r="AG40" s="3" t="s">
        <v>7</v>
      </c>
      <c r="AH40" s="3"/>
      <c r="AI40" s="3"/>
      <c r="AJ40" s="3" t="s">
        <v>2643</v>
      </c>
      <c r="AK40" s="3" t="s">
        <v>1382</v>
      </c>
      <c r="AL40" s="3"/>
      <c r="AM40" s="3"/>
      <c r="AN40" s="8" t="s">
        <v>2453</v>
      </c>
    </row>
    <row r="41" spans="1:40" ht="60" customHeight="1" x14ac:dyDescent="0.2">
      <c r="A41" s="3" t="s">
        <v>2661</v>
      </c>
      <c r="B41" s="3" t="s">
        <v>2409</v>
      </c>
      <c r="C41" s="3" t="s">
        <v>2631</v>
      </c>
      <c r="D41" s="3" t="s">
        <v>2662</v>
      </c>
      <c r="E41" s="3" t="s">
        <v>2663</v>
      </c>
      <c r="F41" s="3" t="s">
        <v>2634</v>
      </c>
      <c r="G41" s="3" t="s">
        <v>2635</v>
      </c>
      <c r="H41" s="3" t="s">
        <v>2664</v>
      </c>
      <c r="I41" s="3" t="s">
        <v>2664</v>
      </c>
      <c r="J41" s="3" t="s">
        <v>2665</v>
      </c>
      <c r="K41" s="3" t="s">
        <v>1689</v>
      </c>
      <c r="L41" s="3" t="s">
        <v>2666</v>
      </c>
      <c r="M41" s="3" t="s">
        <v>1467</v>
      </c>
      <c r="N41" s="3" t="s">
        <v>1691</v>
      </c>
      <c r="O41" s="3" t="s">
        <v>2639</v>
      </c>
      <c r="P41" s="3" t="s">
        <v>2640</v>
      </c>
      <c r="Q41" s="3" t="s">
        <v>2667</v>
      </c>
      <c r="R41" s="3" t="s">
        <v>2667</v>
      </c>
      <c r="S41" s="3"/>
      <c r="T41" s="3" t="s">
        <v>2667</v>
      </c>
      <c r="U41" s="3"/>
      <c r="V41" s="3"/>
      <c r="W41" s="3"/>
      <c r="X41" s="3"/>
      <c r="Y41" s="3"/>
      <c r="Z41" s="3" t="s">
        <v>2642</v>
      </c>
      <c r="AA41" s="3"/>
      <c r="AB41" s="3"/>
      <c r="AC41" s="3"/>
      <c r="AD41" s="3"/>
      <c r="AE41" s="3"/>
      <c r="AF41" s="3" t="s">
        <v>1380</v>
      </c>
      <c r="AG41" s="3" t="s">
        <v>7</v>
      </c>
      <c r="AH41" s="3"/>
      <c r="AI41" s="3"/>
      <c r="AJ41" s="3" t="s">
        <v>2643</v>
      </c>
      <c r="AK41" s="3" t="s">
        <v>1382</v>
      </c>
      <c r="AL41" s="3"/>
      <c r="AM41" s="3"/>
      <c r="AN41" s="8" t="s">
        <v>2453</v>
      </c>
    </row>
    <row r="42" spans="1:40" ht="60" customHeight="1" x14ac:dyDescent="0.2">
      <c r="A42" s="3" t="s">
        <v>2668</v>
      </c>
      <c r="B42" s="3" t="s">
        <v>2409</v>
      </c>
      <c r="C42" s="3" t="s">
        <v>2631</v>
      </c>
      <c r="D42" s="3" t="s">
        <v>2669</v>
      </c>
      <c r="E42" s="3" t="s">
        <v>2670</v>
      </c>
      <c r="F42" s="3" t="s">
        <v>2634</v>
      </c>
      <c r="G42" s="3" t="s">
        <v>2635</v>
      </c>
      <c r="H42" s="3" t="s">
        <v>2671</v>
      </c>
      <c r="I42" s="3" t="s">
        <v>2671</v>
      </c>
      <c r="J42" s="3" t="s">
        <v>2672</v>
      </c>
      <c r="K42" s="3" t="s">
        <v>1689</v>
      </c>
      <c r="L42" s="3" t="s">
        <v>2673</v>
      </c>
      <c r="M42" s="3" t="s">
        <v>1467</v>
      </c>
      <c r="N42" s="3" t="s">
        <v>1691</v>
      </c>
      <c r="O42" s="3" t="s">
        <v>2639</v>
      </c>
      <c r="P42" s="3" t="s">
        <v>2640</v>
      </c>
      <c r="Q42" s="3" t="s">
        <v>2674</v>
      </c>
      <c r="R42" s="3" t="s">
        <v>2674</v>
      </c>
      <c r="S42" s="3"/>
      <c r="T42" s="3" t="s">
        <v>2674</v>
      </c>
      <c r="U42" s="3"/>
      <c r="V42" s="3"/>
      <c r="W42" s="3"/>
      <c r="X42" s="3"/>
      <c r="Y42" s="3"/>
      <c r="Z42" s="3" t="s">
        <v>2642</v>
      </c>
      <c r="AA42" s="3"/>
      <c r="AB42" s="3"/>
      <c r="AC42" s="3"/>
      <c r="AD42" s="3"/>
      <c r="AE42" s="3"/>
      <c r="AF42" s="3" t="s">
        <v>1380</v>
      </c>
      <c r="AG42" s="3" t="s">
        <v>7</v>
      </c>
      <c r="AH42" s="3"/>
      <c r="AI42" s="3"/>
      <c r="AJ42" s="3" t="s">
        <v>2643</v>
      </c>
      <c r="AK42" s="3" t="s">
        <v>1382</v>
      </c>
      <c r="AL42" s="3"/>
      <c r="AM42" s="3"/>
      <c r="AN42" s="8" t="s">
        <v>2453</v>
      </c>
    </row>
    <row r="43" spans="1:40" ht="60" customHeight="1" x14ac:dyDescent="0.2">
      <c r="A43" s="3" t="s">
        <v>2675</v>
      </c>
      <c r="B43" s="3" t="s">
        <v>2409</v>
      </c>
      <c r="C43" s="3" t="s">
        <v>2631</v>
      </c>
      <c r="D43" s="3" t="s">
        <v>2676</v>
      </c>
      <c r="E43" s="3" t="s">
        <v>2677</v>
      </c>
      <c r="F43" s="3" t="s">
        <v>2634</v>
      </c>
      <c r="G43" s="3" t="s">
        <v>2635</v>
      </c>
      <c r="H43" s="3" t="s">
        <v>2678</v>
      </c>
      <c r="I43" s="3" t="s">
        <v>2678</v>
      </c>
      <c r="J43" s="3" t="s">
        <v>2679</v>
      </c>
      <c r="K43" s="3" t="s">
        <v>1689</v>
      </c>
      <c r="L43" s="3" t="s">
        <v>2680</v>
      </c>
      <c r="M43" s="3" t="s">
        <v>1467</v>
      </c>
      <c r="N43" s="3" t="s">
        <v>1691</v>
      </c>
      <c r="O43" s="3" t="s">
        <v>2639</v>
      </c>
      <c r="P43" s="3" t="s">
        <v>2640</v>
      </c>
      <c r="Q43" s="3" t="s">
        <v>2681</v>
      </c>
      <c r="R43" s="3" t="s">
        <v>2681</v>
      </c>
      <c r="S43" s="3"/>
      <c r="T43" s="3" t="s">
        <v>2681</v>
      </c>
      <c r="U43" s="3"/>
      <c r="V43" s="3"/>
      <c r="W43" s="3"/>
      <c r="X43" s="3"/>
      <c r="Y43" s="3"/>
      <c r="Z43" s="3" t="s">
        <v>2642</v>
      </c>
      <c r="AA43" s="3"/>
      <c r="AB43" s="3"/>
      <c r="AC43" s="3"/>
      <c r="AD43" s="3"/>
      <c r="AE43" s="3"/>
      <c r="AF43" s="3" t="s">
        <v>1380</v>
      </c>
      <c r="AG43" s="3" t="s">
        <v>7</v>
      </c>
      <c r="AH43" s="3"/>
      <c r="AI43" s="3"/>
      <c r="AJ43" s="3" t="s">
        <v>2643</v>
      </c>
      <c r="AK43" s="3" t="s">
        <v>1382</v>
      </c>
      <c r="AL43" s="3"/>
      <c r="AM43" s="3"/>
      <c r="AN43" s="8" t="s">
        <v>2453</v>
      </c>
    </row>
    <row r="44" spans="1:40" ht="60" customHeight="1" x14ac:dyDescent="0.2">
      <c r="A44" s="3" t="s">
        <v>2682</v>
      </c>
      <c r="B44" s="3" t="s">
        <v>2409</v>
      </c>
      <c r="C44" s="3" t="s">
        <v>2631</v>
      </c>
      <c r="D44" s="3" t="s">
        <v>2683</v>
      </c>
      <c r="E44" s="3" t="s">
        <v>2684</v>
      </c>
      <c r="F44" s="3" t="s">
        <v>2634</v>
      </c>
      <c r="G44" s="3" t="s">
        <v>2635</v>
      </c>
      <c r="H44" s="3" t="s">
        <v>2685</v>
      </c>
      <c r="I44" s="3" t="s">
        <v>2685</v>
      </c>
      <c r="J44" s="3" t="s">
        <v>2686</v>
      </c>
      <c r="K44" s="3" t="s">
        <v>1689</v>
      </c>
      <c r="L44" s="3" t="s">
        <v>2687</v>
      </c>
      <c r="M44" s="3" t="s">
        <v>1467</v>
      </c>
      <c r="N44" s="3" t="s">
        <v>1691</v>
      </c>
      <c r="O44" s="3" t="s">
        <v>2639</v>
      </c>
      <c r="P44" s="3" t="s">
        <v>2640</v>
      </c>
      <c r="Q44" s="3" t="s">
        <v>2688</v>
      </c>
      <c r="R44" s="3" t="s">
        <v>2688</v>
      </c>
      <c r="S44" s="3"/>
      <c r="T44" s="3" t="s">
        <v>2688</v>
      </c>
      <c r="U44" s="3" t="s">
        <v>2689</v>
      </c>
      <c r="V44" s="3"/>
      <c r="W44" s="3"/>
      <c r="X44" s="3"/>
      <c r="Y44" s="3"/>
      <c r="Z44" s="3" t="s">
        <v>2642</v>
      </c>
      <c r="AA44" s="3"/>
      <c r="AB44" s="3"/>
      <c r="AC44" s="3"/>
      <c r="AD44" s="3"/>
      <c r="AE44" s="3"/>
      <c r="AF44" s="3" t="s">
        <v>1380</v>
      </c>
      <c r="AG44" s="3" t="s">
        <v>7</v>
      </c>
      <c r="AH44" s="3"/>
      <c r="AI44" s="3"/>
      <c r="AJ44" s="3" t="s">
        <v>2643</v>
      </c>
      <c r="AK44" s="3" t="s">
        <v>1382</v>
      </c>
      <c r="AL44" s="3"/>
      <c r="AM44" s="3"/>
      <c r="AN44" s="8" t="s">
        <v>2453</v>
      </c>
    </row>
    <row r="45" spans="1:40" ht="60" customHeight="1" x14ac:dyDescent="0.2">
      <c r="A45" s="3" t="s">
        <v>2690</v>
      </c>
      <c r="B45" s="3" t="s">
        <v>2409</v>
      </c>
      <c r="C45" s="3" t="s">
        <v>2691</v>
      </c>
      <c r="D45" s="3" t="s">
        <v>2692</v>
      </c>
      <c r="E45" s="3" t="s">
        <v>2693</v>
      </c>
      <c r="F45" s="3" t="s">
        <v>2694</v>
      </c>
      <c r="G45" s="3" t="s">
        <v>2442</v>
      </c>
      <c r="H45" s="3" t="s">
        <v>2695</v>
      </c>
      <c r="I45" s="3" t="s">
        <v>2695</v>
      </c>
      <c r="J45" s="3" t="s">
        <v>2696</v>
      </c>
      <c r="K45" s="3" t="s">
        <v>1689</v>
      </c>
      <c r="L45" s="3" t="s">
        <v>2697</v>
      </c>
      <c r="M45" s="3" t="s">
        <v>1467</v>
      </c>
      <c r="N45" s="3" t="s">
        <v>1691</v>
      </c>
      <c r="O45" s="3" t="s">
        <v>2446</v>
      </c>
      <c r="P45" s="3" t="s">
        <v>2698</v>
      </c>
      <c r="Q45" s="3" t="s">
        <v>2699</v>
      </c>
      <c r="R45" s="3" t="s">
        <v>2699</v>
      </c>
      <c r="S45" s="3"/>
      <c r="T45" s="3" t="s">
        <v>2699</v>
      </c>
      <c r="U45" s="3"/>
      <c r="V45" s="3"/>
      <c r="W45" s="3"/>
      <c r="X45" s="3"/>
      <c r="Y45" s="3"/>
      <c r="Z45" s="3" t="s">
        <v>2642</v>
      </c>
      <c r="AA45" s="3"/>
      <c r="AB45" s="3"/>
      <c r="AC45" s="3"/>
      <c r="AD45" s="3"/>
      <c r="AE45" s="3"/>
      <c r="AF45" s="3" t="s">
        <v>1380</v>
      </c>
      <c r="AG45" s="3" t="s">
        <v>7</v>
      </c>
      <c r="AH45" s="3"/>
      <c r="AI45" s="3"/>
      <c r="AJ45" s="3" t="s">
        <v>2452</v>
      </c>
      <c r="AK45" s="3" t="s">
        <v>1382</v>
      </c>
      <c r="AL45" s="3"/>
      <c r="AM45" s="3"/>
      <c r="AN45" s="8" t="s">
        <v>2453</v>
      </c>
    </row>
    <row r="46" spans="1:40" ht="60" customHeight="1" x14ac:dyDescent="0.2">
      <c r="A46" s="3" t="s">
        <v>2700</v>
      </c>
      <c r="B46" s="3" t="s">
        <v>2409</v>
      </c>
      <c r="C46" s="3" t="s">
        <v>2691</v>
      </c>
      <c r="D46" s="3" t="s">
        <v>2701</v>
      </c>
      <c r="E46" s="3" t="s">
        <v>2702</v>
      </c>
      <c r="F46" s="3" t="s">
        <v>2694</v>
      </c>
      <c r="G46" s="3" t="s">
        <v>2442</v>
      </c>
      <c r="H46" s="3" t="s">
        <v>2703</v>
      </c>
      <c r="I46" s="3" t="s">
        <v>2703</v>
      </c>
      <c r="J46" s="3" t="s">
        <v>2704</v>
      </c>
      <c r="K46" s="3" t="s">
        <v>1689</v>
      </c>
      <c r="L46" s="3" t="s">
        <v>2705</v>
      </c>
      <c r="M46" s="3" t="s">
        <v>1467</v>
      </c>
      <c r="N46" s="3" t="s">
        <v>1691</v>
      </c>
      <c r="O46" s="3" t="s">
        <v>2446</v>
      </c>
      <c r="P46" s="3" t="s">
        <v>2698</v>
      </c>
      <c r="Q46" s="3" t="s">
        <v>1471</v>
      </c>
      <c r="R46" s="3" t="s">
        <v>1471</v>
      </c>
      <c r="S46" s="3"/>
      <c r="T46" s="3" t="s">
        <v>1471</v>
      </c>
      <c r="U46" s="3"/>
      <c r="V46" s="3"/>
      <c r="W46" s="3"/>
      <c r="X46" s="3"/>
      <c r="Y46" s="3"/>
      <c r="Z46" s="3" t="s">
        <v>2642</v>
      </c>
      <c r="AA46" s="3"/>
      <c r="AB46" s="3"/>
      <c r="AC46" s="3"/>
      <c r="AD46" s="3"/>
      <c r="AE46" s="3"/>
      <c r="AF46" s="3" t="s">
        <v>1380</v>
      </c>
      <c r="AG46" s="3" t="s">
        <v>7</v>
      </c>
      <c r="AH46" s="3"/>
      <c r="AI46" s="3"/>
      <c r="AJ46" s="3" t="s">
        <v>2452</v>
      </c>
      <c r="AK46" s="3" t="s">
        <v>1382</v>
      </c>
      <c r="AL46" s="3"/>
      <c r="AM46" s="3"/>
      <c r="AN46" s="8" t="s">
        <v>2453</v>
      </c>
    </row>
    <row r="47" spans="1:40" ht="60" customHeight="1" x14ac:dyDescent="0.2">
      <c r="A47" s="3" t="s">
        <v>2706</v>
      </c>
      <c r="B47" s="3" t="s">
        <v>2409</v>
      </c>
      <c r="C47" s="3" t="s">
        <v>2691</v>
      </c>
      <c r="D47" s="3" t="s">
        <v>2707</v>
      </c>
      <c r="E47" s="3" t="s">
        <v>2708</v>
      </c>
      <c r="F47" s="3" t="s">
        <v>2694</v>
      </c>
      <c r="G47" s="3" t="s">
        <v>2442</v>
      </c>
      <c r="H47" s="3" t="s">
        <v>2709</v>
      </c>
      <c r="I47" s="3" t="s">
        <v>2709</v>
      </c>
      <c r="J47" s="3" t="s">
        <v>2710</v>
      </c>
      <c r="K47" s="3" t="s">
        <v>1465</v>
      </c>
      <c r="L47" s="3" t="s">
        <v>2711</v>
      </c>
      <c r="M47" s="3" t="s">
        <v>1467</v>
      </c>
      <c r="N47" s="3" t="s">
        <v>1468</v>
      </c>
      <c r="O47" s="3" t="s">
        <v>2446</v>
      </c>
      <c r="P47" s="3" t="s">
        <v>2698</v>
      </c>
      <c r="Q47" s="3" t="s">
        <v>2712</v>
      </c>
      <c r="R47" s="3" t="s">
        <v>2712</v>
      </c>
      <c r="S47" s="3"/>
      <c r="T47" s="3" t="s">
        <v>2712</v>
      </c>
      <c r="U47" s="3"/>
      <c r="V47" s="3"/>
      <c r="W47" s="3"/>
      <c r="X47" s="3"/>
      <c r="Y47" s="3"/>
      <c r="Z47" s="3" t="s">
        <v>2642</v>
      </c>
      <c r="AA47" s="3"/>
      <c r="AB47" s="3"/>
      <c r="AC47" s="3"/>
      <c r="AD47" s="3"/>
      <c r="AE47" s="3"/>
      <c r="AF47" s="3" t="s">
        <v>1380</v>
      </c>
      <c r="AG47" s="3" t="s">
        <v>7</v>
      </c>
      <c r="AH47" s="3"/>
      <c r="AI47" s="3"/>
      <c r="AJ47" s="3" t="s">
        <v>2452</v>
      </c>
      <c r="AK47" s="3" t="s">
        <v>1382</v>
      </c>
      <c r="AL47" s="3"/>
      <c r="AM47" s="3"/>
      <c r="AN47" s="8" t="s">
        <v>2453</v>
      </c>
    </row>
    <row r="48" spans="1:40" ht="60" customHeight="1" x14ac:dyDescent="0.2">
      <c r="A48" s="3" t="s">
        <v>2713</v>
      </c>
      <c r="B48" s="3" t="s">
        <v>2409</v>
      </c>
      <c r="C48" s="3" t="s">
        <v>2691</v>
      </c>
      <c r="D48" s="3" t="s">
        <v>2714</v>
      </c>
      <c r="E48" s="3" t="s">
        <v>2715</v>
      </c>
      <c r="F48" s="3" t="s">
        <v>2694</v>
      </c>
      <c r="G48" s="3" t="s">
        <v>2442</v>
      </c>
      <c r="H48" s="3" t="s">
        <v>2716</v>
      </c>
      <c r="I48" s="3" t="s">
        <v>2716</v>
      </c>
      <c r="J48" s="3" t="s">
        <v>2717</v>
      </c>
      <c r="K48" s="3" t="s">
        <v>1689</v>
      </c>
      <c r="L48" s="3" t="s">
        <v>2718</v>
      </c>
      <c r="M48" s="3" t="s">
        <v>1467</v>
      </c>
      <c r="N48" s="3" t="s">
        <v>1691</v>
      </c>
      <c r="O48" s="3" t="s">
        <v>2446</v>
      </c>
      <c r="P48" s="3" t="s">
        <v>2698</v>
      </c>
      <c r="Q48" s="3" t="s">
        <v>1471</v>
      </c>
      <c r="R48" s="3" t="s">
        <v>1471</v>
      </c>
      <c r="S48" s="3"/>
      <c r="T48" s="3" t="s">
        <v>1471</v>
      </c>
      <c r="U48" s="3"/>
      <c r="V48" s="3"/>
      <c r="W48" s="3"/>
      <c r="X48" s="3"/>
      <c r="Y48" s="3"/>
      <c r="Z48" s="3" t="s">
        <v>2642</v>
      </c>
      <c r="AA48" s="3"/>
      <c r="AB48" s="3"/>
      <c r="AC48" s="3"/>
      <c r="AD48" s="3"/>
      <c r="AE48" s="3"/>
      <c r="AF48" s="3" t="s">
        <v>1380</v>
      </c>
      <c r="AG48" s="3" t="s">
        <v>7</v>
      </c>
      <c r="AH48" s="3"/>
      <c r="AI48" s="3"/>
      <c r="AJ48" s="3" t="s">
        <v>2452</v>
      </c>
      <c r="AK48" s="3" t="s">
        <v>1382</v>
      </c>
      <c r="AL48" s="3"/>
      <c r="AM48" s="3"/>
      <c r="AN48" s="8" t="s">
        <v>2453</v>
      </c>
    </row>
    <row r="49" spans="1:40" ht="60" customHeight="1" x14ac:dyDescent="0.2">
      <c r="A49" s="3" t="s">
        <v>2719</v>
      </c>
      <c r="B49" s="3" t="s">
        <v>2409</v>
      </c>
      <c r="C49" s="3" t="s">
        <v>2691</v>
      </c>
      <c r="D49" s="3" t="s">
        <v>2720</v>
      </c>
      <c r="E49" s="3" t="s">
        <v>2721</v>
      </c>
      <c r="F49" s="3" t="s">
        <v>2694</v>
      </c>
      <c r="G49" s="3" t="s">
        <v>2442</v>
      </c>
      <c r="H49" s="3" t="s">
        <v>2722</v>
      </c>
      <c r="I49" s="3" t="s">
        <v>2722</v>
      </c>
      <c r="J49" s="3" t="s">
        <v>2723</v>
      </c>
      <c r="K49" s="3" t="s">
        <v>1962</v>
      </c>
      <c r="L49" s="3" t="s">
        <v>2724</v>
      </c>
      <c r="M49" s="3" t="s">
        <v>1467</v>
      </c>
      <c r="N49" s="3" t="s">
        <v>1963</v>
      </c>
      <c r="O49" s="3" t="s">
        <v>2446</v>
      </c>
      <c r="P49" s="3" t="s">
        <v>2698</v>
      </c>
      <c r="Q49" s="3" t="s">
        <v>1471</v>
      </c>
      <c r="R49" s="3" t="s">
        <v>1471</v>
      </c>
      <c r="S49" s="3"/>
      <c r="T49" s="3" t="s">
        <v>1471</v>
      </c>
      <c r="U49" s="3"/>
      <c r="V49" s="3"/>
      <c r="W49" s="3"/>
      <c r="X49" s="3"/>
      <c r="Y49" s="3"/>
      <c r="Z49" s="3" t="s">
        <v>2642</v>
      </c>
      <c r="AA49" s="3"/>
      <c r="AB49" s="3"/>
      <c r="AC49" s="3"/>
      <c r="AD49" s="3"/>
      <c r="AE49" s="3"/>
      <c r="AF49" s="3" t="s">
        <v>1380</v>
      </c>
      <c r="AG49" s="3" t="s">
        <v>7</v>
      </c>
      <c r="AH49" s="3"/>
      <c r="AI49" s="3"/>
      <c r="AJ49" s="3" t="s">
        <v>2452</v>
      </c>
      <c r="AK49" s="3" t="s">
        <v>1382</v>
      </c>
      <c r="AL49" s="3"/>
      <c r="AM49" s="3"/>
      <c r="AN49" s="8" t="s">
        <v>2453</v>
      </c>
    </row>
    <row r="50" spans="1:40" ht="60" customHeight="1" x14ac:dyDescent="0.2">
      <c r="A50" s="3" t="s">
        <v>2725</v>
      </c>
      <c r="B50" s="3" t="s">
        <v>2409</v>
      </c>
      <c r="C50" s="3" t="s">
        <v>2691</v>
      </c>
      <c r="D50" s="3" t="s">
        <v>2726</v>
      </c>
      <c r="E50" s="3" t="s">
        <v>2727</v>
      </c>
      <c r="F50" s="3" t="s">
        <v>2694</v>
      </c>
      <c r="G50" s="3" t="s">
        <v>2442</v>
      </c>
      <c r="H50" s="3" t="s">
        <v>2728</v>
      </c>
      <c r="I50" s="3" t="s">
        <v>2728</v>
      </c>
      <c r="J50" s="3" t="s">
        <v>2729</v>
      </c>
      <c r="K50" s="3" t="s">
        <v>1962</v>
      </c>
      <c r="L50" s="3" t="s">
        <v>2705</v>
      </c>
      <c r="M50" s="3" t="s">
        <v>1467</v>
      </c>
      <c r="N50" s="3" t="s">
        <v>1963</v>
      </c>
      <c r="O50" s="3" t="s">
        <v>2446</v>
      </c>
      <c r="P50" s="3" t="s">
        <v>2698</v>
      </c>
      <c r="Q50" s="3" t="s">
        <v>1471</v>
      </c>
      <c r="R50" s="3" t="s">
        <v>1471</v>
      </c>
      <c r="S50" s="3"/>
      <c r="T50" s="3" t="s">
        <v>1471</v>
      </c>
      <c r="U50" s="3"/>
      <c r="V50" s="3"/>
      <c r="W50" s="3"/>
      <c r="X50" s="3"/>
      <c r="Y50" s="3"/>
      <c r="Z50" s="3" t="s">
        <v>2642</v>
      </c>
      <c r="AA50" s="3"/>
      <c r="AB50" s="3"/>
      <c r="AC50" s="3"/>
      <c r="AD50" s="3"/>
      <c r="AE50" s="3"/>
      <c r="AF50" s="3" t="s">
        <v>1380</v>
      </c>
      <c r="AG50" s="3" t="s">
        <v>7</v>
      </c>
      <c r="AH50" s="3"/>
      <c r="AI50" s="3"/>
      <c r="AJ50" s="3" t="s">
        <v>2452</v>
      </c>
      <c r="AK50" s="3" t="s">
        <v>1382</v>
      </c>
      <c r="AL50" s="3"/>
      <c r="AM50" s="3"/>
      <c r="AN50" s="8" t="s">
        <v>2453</v>
      </c>
    </row>
    <row r="51" spans="1:40" ht="60" customHeight="1" x14ac:dyDescent="0.2">
      <c r="A51" s="3" t="s">
        <v>2730</v>
      </c>
      <c r="B51" s="3" t="s">
        <v>2409</v>
      </c>
      <c r="C51" s="3" t="s">
        <v>2691</v>
      </c>
      <c r="D51" s="3" t="s">
        <v>2654</v>
      </c>
      <c r="E51" s="3" t="s">
        <v>2655</v>
      </c>
      <c r="F51" s="3" t="s">
        <v>2694</v>
      </c>
      <c r="G51" s="3" t="s">
        <v>2442</v>
      </c>
      <c r="H51" s="3" t="s">
        <v>2731</v>
      </c>
      <c r="I51" s="3" t="s">
        <v>2731</v>
      </c>
      <c r="J51" s="3" t="s">
        <v>2732</v>
      </c>
      <c r="K51" s="3" t="s">
        <v>2658</v>
      </c>
      <c r="L51" s="3" t="s">
        <v>2733</v>
      </c>
      <c r="M51" s="3" t="s">
        <v>1467</v>
      </c>
      <c r="N51" s="3" t="s">
        <v>1468</v>
      </c>
      <c r="O51" s="3" t="s">
        <v>2446</v>
      </c>
      <c r="P51" s="3" t="s">
        <v>2698</v>
      </c>
      <c r="Q51" s="3" t="s">
        <v>1471</v>
      </c>
      <c r="R51" s="3" t="s">
        <v>1471</v>
      </c>
      <c r="S51" s="3"/>
      <c r="T51" s="3" t="s">
        <v>1471</v>
      </c>
      <c r="U51" s="3" t="s">
        <v>2734</v>
      </c>
      <c r="V51" s="3"/>
      <c r="W51" s="3"/>
      <c r="X51" s="3"/>
      <c r="Y51" s="3"/>
      <c r="Z51" s="3" t="s">
        <v>2642</v>
      </c>
      <c r="AA51" s="3"/>
      <c r="AB51" s="3"/>
      <c r="AC51" s="3"/>
      <c r="AD51" s="3"/>
      <c r="AE51" s="3"/>
      <c r="AF51" s="3" t="s">
        <v>1380</v>
      </c>
      <c r="AG51" s="3" t="s">
        <v>7</v>
      </c>
      <c r="AH51" s="3"/>
      <c r="AI51" s="3"/>
      <c r="AJ51" s="3" t="s">
        <v>2452</v>
      </c>
      <c r="AK51" s="3" t="s">
        <v>1382</v>
      </c>
      <c r="AL51" s="3"/>
      <c r="AM51" s="3"/>
      <c r="AN51" s="8" t="s">
        <v>2453</v>
      </c>
    </row>
    <row r="52" spans="1:40" ht="60" customHeight="1" x14ac:dyDescent="0.2">
      <c r="A52" s="3" t="s">
        <v>2735</v>
      </c>
      <c r="B52" s="3" t="s">
        <v>2409</v>
      </c>
      <c r="C52" s="3" t="s">
        <v>2691</v>
      </c>
      <c r="D52" s="3" t="s">
        <v>2662</v>
      </c>
      <c r="E52" s="3" t="s">
        <v>2663</v>
      </c>
      <c r="F52" s="3" t="s">
        <v>2694</v>
      </c>
      <c r="G52" s="3" t="s">
        <v>2442</v>
      </c>
      <c r="H52" s="3" t="s">
        <v>2736</v>
      </c>
      <c r="I52" s="3" t="s">
        <v>2736</v>
      </c>
      <c r="J52" s="3" t="s">
        <v>2737</v>
      </c>
      <c r="K52" s="3" t="s">
        <v>1962</v>
      </c>
      <c r="L52" s="3" t="s">
        <v>2733</v>
      </c>
      <c r="M52" s="3" t="s">
        <v>1467</v>
      </c>
      <c r="N52" s="3" t="s">
        <v>1963</v>
      </c>
      <c r="O52" s="3" t="s">
        <v>2446</v>
      </c>
      <c r="P52" s="3" t="s">
        <v>2698</v>
      </c>
      <c r="Q52" s="3" t="s">
        <v>2738</v>
      </c>
      <c r="R52" s="3" t="s">
        <v>2738</v>
      </c>
      <c r="S52" s="3"/>
      <c r="T52" s="3" t="s">
        <v>2738</v>
      </c>
      <c r="U52" s="3"/>
      <c r="V52" s="3"/>
      <c r="W52" s="3"/>
      <c r="X52" s="3"/>
      <c r="Y52" s="3"/>
      <c r="Z52" s="3" t="s">
        <v>2642</v>
      </c>
      <c r="AA52" s="3"/>
      <c r="AB52" s="3"/>
      <c r="AC52" s="3"/>
      <c r="AD52" s="3"/>
      <c r="AE52" s="3"/>
      <c r="AF52" s="3" t="s">
        <v>1380</v>
      </c>
      <c r="AG52" s="3" t="s">
        <v>7</v>
      </c>
      <c r="AH52" s="3"/>
      <c r="AI52" s="3"/>
      <c r="AJ52" s="3" t="s">
        <v>2452</v>
      </c>
      <c r="AK52" s="3" t="s">
        <v>1382</v>
      </c>
      <c r="AL52" s="3"/>
      <c r="AM52" s="3"/>
      <c r="AN52" s="8" t="s">
        <v>2453</v>
      </c>
    </row>
    <row r="53" spans="1:40" ht="60" customHeight="1" x14ac:dyDescent="0.2">
      <c r="A53" s="3" t="s">
        <v>2739</v>
      </c>
      <c r="B53" s="3" t="s">
        <v>2409</v>
      </c>
      <c r="C53" s="3" t="s">
        <v>2631</v>
      </c>
      <c r="D53" s="3" t="s">
        <v>2740</v>
      </c>
      <c r="E53" s="3" t="s">
        <v>2741</v>
      </c>
      <c r="F53" s="3" t="s">
        <v>2634</v>
      </c>
      <c r="G53" s="3" t="s">
        <v>2635</v>
      </c>
      <c r="H53" s="3" t="s">
        <v>2742</v>
      </c>
      <c r="I53" s="3" t="s">
        <v>2742</v>
      </c>
      <c r="J53" s="3" t="s">
        <v>2743</v>
      </c>
      <c r="K53" s="3" t="s">
        <v>1962</v>
      </c>
      <c r="L53" s="3" t="s">
        <v>2744</v>
      </c>
      <c r="M53" s="3" t="s">
        <v>1467</v>
      </c>
      <c r="N53" s="3" t="s">
        <v>1963</v>
      </c>
      <c r="O53" s="3" t="s">
        <v>2639</v>
      </c>
      <c r="P53" s="3" t="s">
        <v>2640</v>
      </c>
      <c r="Q53" s="3" t="s">
        <v>2745</v>
      </c>
      <c r="R53" s="3" t="s">
        <v>2745</v>
      </c>
      <c r="S53" s="3"/>
      <c r="T53" s="3" t="s">
        <v>2745</v>
      </c>
      <c r="U53" s="3"/>
      <c r="V53" s="3"/>
      <c r="W53" s="3"/>
      <c r="X53" s="3"/>
      <c r="Y53" s="3"/>
      <c r="Z53" s="3" t="s">
        <v>2642</v>
      </c>
      <c r="AA53" s="3"/>
      <c r="AB53" s="3"/>
      <c r="AC53" s="3"/>
      <c r="AD53" s="3"/>
      <c r="AE53" s="3"/>
      <c r="AF53" s="3" t="s">
        <v>1380</v>
      </c>
      <c r="AG53" s="3" t="s">
        <v>7</v>
      </c>
      <c r="AH53" s="3"/>
      <c r="AI53" s="3"/>
      <c r="AJ53" s="3" t="s">
        <v>2643</v>
      </c>
      <c r="AK53" s="3" t="s">
        <v>1382</v>
      </c>
      <c r="AL53" s="3"/>
      <c r="AM53" s="3"/>
      <c r="AN53" s="8" t="s">
        <v>2453</v>
      </c>
    </row>
    <row r="54" spans="1:40" ht="60" customHeight="1" x14ac:dyDescent="0.2">
      <c r="A54" s="3" t="s">
        <v>2746</v>
      </c>
      <c r="B54" s="3" t="s">
        <v>2409</v>
      </c>
      <c r="C54" s="3" t="s">
        <v>2631</v>
      </c>
      <c r="D54" s="3" t="s">
        <v>2747</v>
      </c>
      <c r="E54" s="3" t="s">
        <v>2748</v>
      </c>
      <c r="F54" s="3" t="s">
        <v>2634</v>
      </c>
      <c r="G54" s="3" t="s">
        <v>2635</v>
      </c>
      <c r="H54" s="3" t="s">
        <v>2749</v>
      </c>
      <c r="I54" s="3" t="s">
        <v>2749</v>
      </c>
      <c r="J54" s="3" t="s">
        <v>2750</v>
      </c>
      <c r="K54" s="3" t="s">
        <v>1962</v>
      </c>
      <c r="L54" s="3" t="s">
        <v>2744</v>
      </c>
      <c r="M54" s="3" t="s">
        <v>1467</v>
      </c>
      <c r="N54" s="3" t="s">
        <v>1963</v>
      </c>
      <c r="O54" s="3" t="s">
        <v>2639</v>
      </c>
      <c r="P54" s="3" t="s">
        <v>2640</v>
      </c>
      <c r="Q54" s="3" t="s">
        <v>2745</v>
      </c>
      <c r="R54" s="3" t="s">
        <v>2745</v>
      </c>
      <c r="S54" s="3"/>
      <c r="T54" s="3" t="s">
        <v>2745</v>
      </c>
      <c r="U54" s="3"/>
      <c r="V54" s="3"/>
      <c r="W54" s="3"/>
      <c r="X54" s="3"/>
      <c r="Y54" s="3"/>
      <c r="Z54" s="3" t="s">
        <v>2642</v>
      </c>
      <c r="AA54" s="3"/>
      <c r="AB54" s="3"/>
      <c r="AC54" s="3"/>
      <c r="AD54" s="3"/>
      <c r="AE54" s="3"/>
      <c r="AF54" s="3" t="s">
        <v>1380</v>
      </c>
      <c r="AG54" s="3" t="s">
        <v>7</v>
      </c>
      <c r="AH54" s="3"/>
      <c r="AI54" s="3"/>
      <c r="AJ54" s="3" t="s">
        <v>2643</v>
      </c>
      <c r="AK54" s="3" t="s">
        <v>1382</v>
      </c>
      <c r="AL54" s="3"/>
      <c r="AM54" s="3"/>
      <c r="AN54" s="8" t="s">
        <v>2453</v>
      </c>
    </row>
    <row r="55" spans="1:40" ht="60" customHeight="1" x14ac:dyDescent="0.2">
      <c r="A55" s="3" t="s">
        <v>2751</v>
      </c>
      <c r="B55" s="3" t="s">
        <v>2409</v>
      </c>
      <c r="C55" s="3" t="s">
        <v>2752</v>
      </c>
      <c r="D55" s="3" t="s">
        <v>2753</v>
      </c>
      <c r="E55" s="3" t="s">
        <v>2754</v>
      </c>
      <c r="F55" s="3" t="s">
        <v>2755</v>
      </c>
      <c r="G55" s="3" t="s">
        <v>2756</v>
      </c>
      <c r="H55" s="3" t="s">
        <v>2757</v>
      </c>
      <c r="I55" s="3" t="s">
        <v>2757</v>
      </c>
      <c r="J55" s="3" t="s">
        <v>2758</v>
      </c>
      <c r="K55" s="3" t="s">
        <v>1689</v>
      </c>
      <c r="L55" s="3" t="s">
        <v>2759</v>
      </c>
      <c r="M55" s="3" t="s">
        <v>2760</v>
      </c>
      <c r="N55" s="3" t="s">
        <v>1691</v>
      </c>
      <c r="O55" s="3" t="s">
        <v>2761</v>
      </c>
      <c r="P55" s="3" t="s">
        <v>2762</v>
      </c>
      <c r="Q55" s="3" t="s">
        <v>2763</v>
      </c>
      <c r="R55" s="3" t="s">
        <v>2763</v>
      </c>
      <c r="S55" s="3"/>
      <c r="T55" s="3" t="s">
        <v>2763</v>
      </c>
      <c r="U55" s="3"/>
      <c r="V55" s="3" t="s">
        <v>2764</v>
      </c>
      <c r="W55" s="3" t="s">
        <v>1157</v>
      </c>
      <c r="X55" s="3"/>
      <c r="Y55" s="3"/>
      <c r="Z55" s="3" t="s">
        <v>2765</v>
      </c>
      <c r="AA55" s="3"/>
      <c r="AB55" s="3"/>
      <c r="AC55" s="3"/>
      <c r="AD55" s="3"/>
      <c r="AE55" s="3"/>
      <c r="AF55" s="3" t="s">
        <v>1380</v>
      </c>
      <c r="AG55" s="3" t="s">
        <v>7</v>
      </c>
      <c r="AH55" s="3"/>
      <c r="AI55" s="3"/>
      <c r="AJ55" s="3" t="s">
        <v>2766</v>
      </c>
      <c r="AK55" s="3" t="s">
        <v>1382</v>
      </c>
      <c r="AL55" s="3"/>
      <c r="AM55" s="3"/>
      <c r="AN55" s="7" t="s">
        <v>2767</v>
      </c>
    </row>
    <row r="56" spans="1:40" ht="60" customHeight="1" x14ac:dyDescent="0.2">
      <c r="A56" s="3" t="s">
        <v>2768</v>
      </c>
      <c r="B56" s="3" t="s">
        <v>2409</v>
      </c>
      <c r="C56" s="3" t="s">
        <v>2752</v>
      </c>
      <c r="D56" s="3" t="s">
        <v>2769</v>
      </c>
      <c r="E56" s="3" t="s">
        <v>2770</v>
      </c>
      <c r="F56" s="3" t="s">
        <v>2755</v>
      </c>
      <c r="G56" s="3" t="s">
        <v>2756</v>
      </c>
      <c r="H56" s="3" t="s">
        <v>2771</v>
      </c>
      <c r="I56" s="3" t="s">
        <v>2771</v>
      </c>
      <c r="J56" s="3" t="s">
        <v>2772</v>
      </c>
      <c r="K56" s="3" t="s">
        <v>1689</v>
      </c>
      <c r="L56" s="3" t="s">
        <v>2773</v>
      </c>
      <c r="M56" s="3" t="s">
        <v>2760</v>
      </c>
      <c r="N56" s="3" t="s">
        <v>1691</v>
      </c>
      <c r="O56" s="3" t="s">
        <v>2761</v>
      </c>
      <c r="P56" s="3" t="s">
        <v>2762</v>
      </c>
      <c r="Q56" s="3" t="s">
        <v>2774</v>
      </c>
      <c r="R56" s="3" t="s">
        <v>2774</v>
      </c>
      <c r="S56" s="3"/>
      <c r="T56" s="3" t="s">
        <v>2774</v>
      </c>
      <c r="U56" s="3"/>
      <c r="V56" s="3" t="s">
        <v>2764</v>
      </c>
      <c r="W56" s="3" t="s">
        <v>1157</v>
      </c>
      <c r="X56" s="3"/>
      <c r="Y56" s="3"/>
      <c r="Z56" s="3" t="s">
        <v>2765</v>
      </c>
      <c r="AA56" s="3"/>
      <c r="AB56" s="3"/>
      <c r="AC56" s="3"/>
      <c r="AD56" s="3"/>
      <c r="AE56" s="3"/>
      <c r="AF56" s="3" t="s">
        <v>1380</v>
      </c>
      <c r="AG56" s="3" t="s">
        <v>7</v>
      </c>
      <c r="AH56" s="3"/>
      <c r="AI56" s="3"/>
      <c r="AJ56" s="3" t="s">
        <v>2766</v>
      </c>
      <c r="AK56" s="3" t="s">
        <v>1382</v>
      </c>
      <c r="AL56" s="3"/>
      <c r="AM56" s="3"/>
      <c r="AN56" s="7" t="s">
        <v>2767</v>
      </c>
    </row>
    <row r="57" spans="1:40" ht="60" customHeight="1" x14ac:dyDescent="0.2">
      <c r="A57" s="3" t="s">
        <v>2775</v>
      </c>
      <c r="B57" s="3" t="s">
        <v>2409</v>
      </c>
      <c r="C57" s="3" t="s">
        <v>2752</v>
      </c>
      <c r="D57" s="3" t="e">
        <f>Planned surplus</f>
        <v>#NAME?</v>
      </c>
      <c r="E57" s="3" t="s">
        <v>2776</v>
      </c>
      <c r="F57" s="3" t="s">
        <v>2755</v>
      </c>
      <c r="G57" s="3" t="s">
        <v>2756</v>
      </c>
      <c r="H57" s="3" t="s">
        <v>2777</v>
      </c>
      <c r="I57" s="3" t="s">
        <v>2777</v>
      </c>
      <c r="J57" s="3" t="s">
        <v>2778</v>
      </c>
      <c r="K57" s="3" t="s">
        <v>1689</v>
      </c>
      <c r="L57" s="3" t="s">
        <v>2779</v>
      </c>
      <c r="M57" s="3" t="s">
        <v>2760</v>
      </c>
      <c r="N57" s="3" t="s">
        <v>1691</v>
      </c>
      <c r="O57" s="3" t="s">
        <v>2761</v>
      </c>
      <c r="P57" s="3" t="s">
        <v>2762</v>
      </c>
      <c r="Q57" s="3" t="s">
        <v>1471</v>
      </c>
      <c r="R57" s="3" t="s">
        <v>1471</v>
      </c>
      <c r="S57" s="3"/>
      <c r="T57" s="3" t="s">
        <v>1471</v>
      </c>
      <c r="U57" s="3" t="s">
        <v>2780</v>
      </c>
      <c r="V57" s="3" t="s">
        <v>2764</v>
      </c>
      <c r="W57" s="3"/>
      <c r="X57" s="3"/>
      <c r="Y57" s="3"/>
      <c r="Z57" s="3" t="s">
        <v>2765</v>
      </c>
      <c r="AA57" s="3"/>
      <c r="AB57" s="3"/>
      <c r="AC57" s="3"/>
      <c r="AD57" s="3"/>
      <c r="AE57" s="3"/>
      <c r="AF57" s="3" t="s">
        <v>1380</v>
      </c>
      <c r="AG57" s="3" t="s">
        <v>7</v>
      </c>
      <c r="AH57" s="3"/>
      <c r="AI57" s="3"/>
      <c r="AJ57" s="3" t="s">
        <v>2766</v>
      </c>
      <c r="AK57" s="3" t="s">
        <v>1382</v>
      </c>
      <c r="AL57" s="3"/>
      <c r="AM57" s="3"/>
      <c r="AN57" s="7" t="s">
        <v>2767</v>
      </c>
    </row>
    <row r="58" spans="1:40" ht="60" customHeight="1" x14ac:dyDescent="0.2">
      <c r="A58" s="3" t="s">
        <v>2781</v>
      </c>
      <c r="B58" s="3" t="s">
        <v>2409</v>
      </c>
      <c r="C58" s="3" t="s">
        <v>2752</v>
      </c>
      <c r="D58" s="3" t="s">
        <v>2782</v>
      </c>
      <c r="E58" s="3" t="s">
        <v>2783</v>
      </c>
      <c r="F58" s="3" t="s">
        <v>2755</v>
      </c>
      <c r="G58" s="3" t="s">
        <v>2756</v>
      </c>
      <c r="H58" s="3" t="s">
        <v>2784</v>
      </c>
      <c r="I58" s="3" t="s">
        <v>2784</v>
      </c>
      <c r="J58" s="3" t="s">
        <v>2778</v>
      </c>
      <c r="K58" s="3" t="s">
        <v>1689</v>
      </c>
      <c r="L58" s="3" t="s">
        <v>2785</v>
      </c>
      <c r="M58" s="3" t="s">
        <v>2786</v>
      </c>
      <c r="N58" s="3" t="s">
        <v>1691</v>
      </c>
      <c r="O58" s="3" t="s">
        <v>2761</v>
      </c>
      <c r="P58" s="3" t="s">
        <v>2762</v>
      </c>
      <c r="Q58" s="3" t="s">
        <v>1471</v>
      </c>
      <c r="R58" s="3" t="s">
        <v>1471</v>
      </c>
      <c r="S58" s="3"/>
      <c r="T58" s="3" t="s">
        <v>1471</v>
      </c>
      <c r="U58" s="3"/>
      <c r="V58" s="3" t="s">
        <v>2764</v>
      </c>
      <c r="W58" s="3"/>
      <c r="X58" s="3"/>
      <c r="Y58" s="3"/>
      <c r="Z58" s="3" t="s">
        <v>2765</v>
      </c>
      <c r="AA58" s="3"/>
      <c r="AB58" s="3"/>
      <c r="AC58" s="3"/>
      <c r="AD58" s="3"/>
      <c r="AE58" s="3"/>
      <c r="AF58" s="3" t="s">
        <v>1380</v>
      </c>
      <c r="AG58" s="3" t="s">
        <v>7</v>
      </c>
      <c r="AH58" s="3"/>
      <c r="AI58" s="3"/>
      <c r="AJ58" s="3" t="s">
        <v>2766</v>
      </c>
      <c r="AK58" s="3" t="s">
        <v>1382</v>
      </c>
      <c r="AL58" s="3"/>
      <c r="AM58" s="3"/>
      <c r="AN58" s="7" t="s">
        <v>2767</v>
      </c>
    </row>
    <row r="59" spans="1:40" ht="60" customHeight="1" x14ac:dyDescent="0.2">
      <c r="A59" s="3" t="s">
        <v>2787</v>
      </c>
      <c r="B59" s="3" t="s">
        <v>2409</v>
      </c>
      <c r="C59" s="3" t="s">
        <v>2788</v>
      </c>
      <c r="D59" s="3" t="s">
        <v>2789</v>
      </c>
      <c r="E59" s="3" t="s">
        <v>2547</v>
      </c>
      <c r="F59" s="3" t="s">
        <v>2755</v>
      </c>
      <c r="G59" s="3" t="s">
        <v>2756</v>
      </c>
      <c r="H59" s="3" t="s">
        <v>2790</v>
      </c>
      <c r="I59" s="3" t="s">
        <v>2790</v>
      </c>
      <c r="J59" s="3" t="s">
        <v>2791</v>
      </c>
      <c r="K59" s="3" t="s">
        <v>1689</v>
      </c>
      <c r="L59" s="3" t="s">
        <v>2792</v>
      </c>
      <c r="M59" s="3" t="s">
        <v>2760</v>
      </c>
      <c r="N59" s="3" t="s">
        <v>1691</v>
      </c>
      <c r="O59" s="3" t="s">
        <v>2761</v>
      </c>
      <c r="P59" s="3" t="s">
        <v>2762</v>
      </c>
      <c r="Q59" s="3" t="s">
        <v>2793</v>
      </c>
      <c r="R59" s="3" t="s">
        <v>2793</v>
      </c>
      <c r="S59" s="3"/>
      <c r="T59" s="3" t="s">
        <v>2793</v>
      </c>
      <c r="U59" s="3" t="s">
        <v>2794</v>
      </c>
      <c r="V59" s="3" t="s">
        <v>2764</v>
      </c>
      <c r="W59" s="3"/>
      <c r="X59" s="3"/>
      <c r="Y59" s="3"/>
      <c r="Z59" s="3" t="s">
        <v>2765</v>
      </c>
      <c r="AA59" s="3"/>
      <c r="AB59" s="3"/>
      <c r="AC59" s="3"/>
      <c r="AD59" s="3"/>
      <c r="AE59" s="3"/>
      <c r="AF59" s="3" t="s">
        <v>1380</v>
      </c>
      <c r="AG59" s="3" t="s">
        <v>7</v>
      </c>
      <c r="AH59" s="3"/>
      <c r="AI59" s="3"/>
      <c r="AJ59" s="3" t="s">
        <v>2766</v>
      </c>
      <c r="AK59" s="3" t="s">
        <v>1382</v>
      </c>
      <c r="AL59" s="3"/>
      <c r="AM59" s="3"/>
      <c r="AN59" s="7" t="s">
        <v>2767</v>
      </c>
    </row>
    <row r="60" spans="1:40" ht="60" customHeight="1" x14ac:dyDescent="0.2">
      <c r="A60" s="3" t="s">
        <v>2795</v>
      </c>
      <c r="B60" s="3" t="s">
        <v>2409</v>
      </c>
      <c r="C60" s="3" t="s">
        <v>2788</v>
      </c>
      <c r="D60" s="3" t="s">
        <v>2796</v>
      </c>
      <c r="E60" s="3" t="s">
        <v>2797</v>
      </c>
      <c r="F60" s="3" t="s">
        <v>2755</v>
      </c>
      <c r="G60" s="3" t="s">
        <v>2756</v>
      </c>
      <c r="H60" s="3" t="s">
        <v>2798</v>
      </c>
      <c r="I60" s="3" t="s">
        <v>2798</v>
      </c>
      <c r="J60" s="3" t="s">
        <v>2799</v>
      </c>
      <c r="K60" s="3" t="s">
        <v>1689</v>
      </c>
      <c r="L60" s="3" t="s">
        <v>2800</v>
      </c>
      <c r="M60" s="3" t="s">
        <v>2760</v>
      </c>
      <c r="N60" s="3" t="s">
        <v>1691</v>
      </c>
      <c r="O60" s="3" t="s">
        <v>2761</v>
      </c>
      <c r="P60" s="3" t="s">
        <v>2762</v>
      </c>
      <c r="Q60" s="3" t="s">
        <v>2801</v>
      </c>
      <c r="R60" s="3" t="s">
        <v>2801</v>
      </c>
      <c r="S60" s="3"/>
      <c r="T60" s="3" t="s">
        <v>2801</v>
      </c>
      <c r="U60" s="3"/>
      <c r="V60" s="3" t="s">
        <v>2764</v>
      </c>
      <c r="W60" s="3"/>
      <c r="X60" s="3"/>
      <c r="Y60" s="3"/>
      <c r="Z60" s="3" t="s">
        <v>2765</v>
      </c>
      <c r="AA60" s="3"/>
      <c r="AB60" s="3"/>
      <c r="AC60" s="3"/>
      <c r="AD60" s="3"/>
      <c r="AE60" s="3"/>
      <c r="AF60" s="3" t="s">
        <v>1380</v>
      </c>
      <c r="AG60" s="3" t="s">
        <v>7</v>
      </c>
      <c r="AH60" s="3"/>
      <c r="AI60" s="3"/>
      <c r="AJ60" s="3" t="s">
        <v>2766</v>
      </c>
      <c r="AK60" s="3" t="s">
        <v>1382</v>
      </c>
      <c r="AL60" s="3"/>
      <c r="AM60" s="3"/>
      <c r="AN60" s="7" t="s">
        <v>2767</v>
      </c>
    </row>
    <row r="61" spans="1:40" ht="60" customHeight="1" x14ac:dyDescent="0.2">
      <c r="A61" s="3" t="s">
        <v>2802</v>
      </c>
      <c r="B61" s="3" t="s">
        <v>2409</v>
      </c>
      <c r="C61" s="3" t="s">
        <v>2788</v>
      </c>
      <c r="D61" s="3" t="e">
        <f>surplus</f>
        <v>#NAME?</v>
      </c>
      <c r="E61" s="3" t="s">
        <v>2803</v>
      </c>
      <c r="F61" s="3" t="s">
        <v>2755</v>
      </c>
      <c r="G61" s="3" t="s">
        <v>2756</v>
      </c>
      <c r="H61" s="3" t="s">
        <v>2804</v>
      </c>
      <c r="I61" s="3" t="s">
        <v>2804</v>
      </c>
      <c r="J61" s="3" t="s">
        <v>2805</v>
      </c>
      <c r="K61" s="3" t="s">
        <v>1689</v>
      </c>
      <c r="L61" s="3" t="s">
        <v>2806</v>
      </c>
      <c r="M61" s="3" t="s">
        <v>2760</v>
      </c>
      <c r="N61" s="3" t="s">
        <v>1691</v>
      </c>
      <c r="O61" s="3" t="s">
        <v>2761</v>
      </c>
      <c r="P61" s="3" t="s">
        <v>2762</v>
      </c>
      <c r="Q61" s="3" t="s">
        <v>1471</v>
      </c>
      <c r="R61" s="3" t="s">
        <v>1471</v>
      </c>
      <c r="S61" s="3"/>
      <c r="T61" s="3" t="s">
        <v>1471</v>
      </c>
      <c r="U61" s="3" t="s">
        <v>2780</v>
      </c>
      <c r="V61" s="3" t="s">
        <v>2764</v>
      </c>
      <c r="W61" s="3"/>
      <c r="X61" s="3"/>
      <c r="Y61" s="3"/>
      <c r="Z61" s="3" t="s">
        <v>2765</v>
      </c>
      <c r="AA61" s="3"/>
      <c r="AB61" s="3"/>
      <c r="AC61" s="3"/>
      <c r="AD61" s="3"/>
      <c r="AE61" s="3"/>
      <c r="AF61" s="3" t="s">
        <v>1380</v>
      </c>
      <c r="AG61" s="3" t="s">
        <v>7</v>
      </c>
      <c r="AH61" s="3"/>
      <c r="AI61" s="3"/>
      <c r="AJ61" s="3" t="s">
        <v>2766</v>
      </c>
      <c r="AK61" s="3" t="s">
        <v>1382</v>
      </c>
      <c r="AL61" s="3"/>
      <c r="AM61" s="3"/>
      <c r="AN61" s="7" t="s">
        <v>2767</v>
      </c>
    </row>
    <row r="62" spans="1:40" ht="60" customHeight="1" x14ac:dyDescent="0.2">
      <c r="A62" s="3" t="s">
        <v>2807</v>
      </c>
      <c r="B62" s="3" t="s">
        <v>2409</v>
      </c>
      <c r="C62" s="3" t="s">
        <v>2752</v>
      </c>
      <c r="D62" s="3" t="s">
        <v>2808</v>
      </c>
      <c r="E62" s="3" t="s">
        <v>2809</v>
      </c>
      <c r="F62" s="3" t="s">
        <v>2755</v>
      </c>
      <c r="G62" s="3" t="s">
        <v>2756</v>
      </c>
      <c r="H62" s="3" t="s">
        <v>2810</v>
      </c>
      <c r="I62" s="3" t="s">
        <v>2810</v>
      </c>
      <c r="J62" s="3" t="s">
        <v>2791</v>
      </c>
      <c r="K62" s="3" t="s">
        <v>1689</v>
      </c>
      <c r="L62" s="3" t="s">
        <v>2811</v>
      </c>
      <c r="M62" s="3" t="s">
        <v>2812</v>
      </c>
      <c r="N62" s="3" t="s">
        <v>1691</v>
      </c>
      <c r="O62" s="3" t="s">
        <v>2761</v>
      </c>
      <c r="P62" s="3" t="s">
        <v>2762</v>
      </c>
      <c r="Q62" s="3" t="s">
        <v>1471</v>
      </c>
      <c r="R62" s="3" t="s">
        <v>1471</v>
      </c>
      <c r="S62" s="3"/>
      <c r="T62" s="3" t="s">
        <v>1471</v>
      </c>
      <c r="U62" s="3"/>
      <c r="V62" s="3" t="s">
        <v>2764</v>
      </c>
      <c r="W62" s="3"/>
      <c r="X62" s="3"/>
      <c r="Y62" s="3"/>
      <c r="Z62" s="3" t="s">
        <v>2765</v>
      </c>
      <c r="AA62" s="3"/>
      <c r="AB62" s="3"/>
      <c r="AC62" s="3"/>
      <c r="AD62" s="3"/>
      <c r="AE62" s="3"/>
      <c r="AF62" s="3" t="s">
        <v>1380</v>
      </c>
      <c r="AG62" s="3" t="s">
        <v>7</v>
      </c>
      <c r="AH62" s="3"/>
      <c r="AI62" s="3"/>
      <c r="AJ62" s="3" t="s">
        <v>2766</v>
      </c>
      <c r="AK62" s="3" t="s">
        <v>1382</v>
      </c>
      <c r="AL62" s="3"/>
      <c r="AM62" s="3"/>
      <c r="AN62" s="7" t="s">
        <v>2767</v>
      </c>
    </row>
  </sheetData>
  <autoFilter ref="A1:AN62"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N4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2"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2" customWidth="1"/>
    <col min="32" max="32" width="12" customWidth="1"/>
    <col min="33" max="33" width="11" customWidth="1"/>
    <col min="34" max="34" width="42" customWidth="1"/>
    <col min="35" max="35" width="52" customWidth="1"/>
    <col min="36" max="36" width="46" customWidth="1"/>
    <col min="37" max="37" width="20" customWidth="1"/>
    <col min="38" max="38" width="36" customWidth="1"/>
    <col min="39" max="40" width="30" customWidth="1"/>
  </cols>
  <sheetData>
    <row r="1" spans="1:40" ht="45" customHeight="1" x14ac:dyDescent="0.2">
      <c r="A1" s="1" t="s">
        <v>1316</v>
      </c>
      <c r="B1" s="1" t="s">
        <v>1317</v>
      </c>
      <c r="C1" s="1" t="s">
        <v>1318</v>
      </c>
      <c r="D1" s="1" t="s">
        <v>1319</v>
      </c>
      <c r="E1" s="1" t="s">
        <v>1320</v>
      </c>
      <c r="F1" s="1" t="s">
        <v>1321</v>
      </c>
      <c r="G1" s="1" t="s">
        <v>1322</v>
      </c>
      <c r="H1" s="1" t="s">
        <v>1323</v>
      </c>
      <c r="I1" s="1" t="s">
        <v>1324</v>
      </c>
      <c r="J1" s="1" t="s">
        <v>1325</v>
      </c>
      <c r="K1" s="1" t="s">
        <v>1326</v>
      </c>
      <c r="L1" s="1" t="s">
        <v>335</v>
      </c>
      <c r="M1" s="1" t="s">
        <v>1327</v>
      </c>
      <c r="N1" s="1" t="s">
        <v>1328</v>
      </c>
      <c r="O1" s="1" t="s">
        <v>1329</v>
      </c>
      <c r="P1" s="1" t="s">
        <v>1330</v>
      </c>
      <c r="Q1" s="1" t="s">
        <v>1331</v>
      </c>
      <c r="R1" s="1" t="s">
        <v>1332</v>
      </c>
      <c r="S1" s="1" t="s">
        <v>1333</v>
      </c>
      <c r="T1" s="1" t="s">
        <v>1334</v>
      </c>
      <c r="U1" s="1" t="s">
        <v>1335</v>
      </c>
      <c r="V1" s="1" t="s">
        <v>1336</v>
      </c>
      <c r="W1" s="1" t="s">
        <v>1337</v>
      </c>
      <c r="X1" s="1" t="s">
        <v>1338</v>
      </c>
      <c r="Y1" s="1" t="s">
        <v>1339</v>
      </c>
      <c r="Z1" s="1" t="s">
        <v>1340</v>
      </c>
      <c r="AA1" s="1" t="s">
        <v>1341</v>
      </c>
      <c r="AB1" s="1" t="s">
        <v>1342</v>
      </c>
      <c r="AC1" s="1" t="s">
        <v>1343</v>
      </c>
      <c r="AD1" s="1" t="s">
        <v>1344</v>
      </c>
      <c r="AE1" s="1" t="s">
        <v>1345</v>
      </c>
      <c r="AF1" s="1" t="s">
        <v>1346</v>
      </c>
      <c r="AG1" s="1" t="s">
        <v>1347</v>
      </c>
      <c r="AH1" s="1" t="s">
        <v>1348</v>
      </c>
      <c r="AI1" s="1" t="s">
        <v>1349</v>
      </c>
      <c r="AJ1" s="1" t="s">
        <v>1350</v>
      </c>
      <c r="AK1" s="1" t="s">
        <v>1351</v>
      </c>
      <c r="AL1" s="1" t="s">
        <v>1352</v>
      </c>
      <c r="AM1" s="1" t="s">
        <v>1353</v>
      </c>
      <c r="AN1" s="1" t="s">
        <v>1210</v>
      </c>
    </row>
    <row r="2" spans="1:40" ht="60" customHeight="1" x14ac:dyDescent="0.2">
      <c r="A2" s="3" t="s">
        <v>2813</v>
      </c>
      <c r="B2" s="3" t="s">
        <v>2814</v>
      </c>
      <c r="C2" s="3" t="s">
        <v>2815</v>
      </c>
      <c r="D2" s="3" t="s">
        <v>2816</v>
      </c>
      <c r="E2" s="3" t="s">
        <v>2817</v>
      </c>
      <c r="F2" s="3" t="s">
        <v>1522</v>
      </c>
      <c r="G2" s="3"/>
      <c r="H2" s="3" t="s">
        <v>2818</v>
      </c>
      <c r="I2" s="3" t="s">
        <v>2819</v>
      </c>
      <c r="J2" s="3" t="s">
        <v>1413</v>
      </c>
      <c r="K2" s="3" t="s">
        <v>1414</v>
      </c>
      <c r="L2" s="3" t="s">
        <v>2820</v>
      </c>
      <c r="M2" s="3" t="s">
        <v>1365</v>
      </c>
      <c r="N2" s="3" t="s">
        <v>2202</v>
      </c>
      <c r="O2" s="3" t="s">
        <v>1450</v>
      </c>
      <c r="P2" s="3" t="s">
        <v>1450</v>
      </c>
      <c r="Q2" s="3" t="s">
        <v>1451</v>
      </c>
      <c r="R2" s="3"/>
      <c r="S2" s="3"/>
      <c r="T2" s="3" t="s">
        <v>1399</v>
      </c>
      <c r="U2" s="3"/>
      <c r="V2" s="3"/>
      <c r="W2" s="3"/>
      <c r="X2" s="3"/>
      <c r="Y2" s="3" t="s">
        <v>1374</v>
      </c>
      <c r="Z2" s="3" t="s">
        <v>1375</v>
      </c>
      <c r="AA2" s="3" t="s">
        <v>1437</v>
      </c>
      <c r="AB2" s="3" t="s">
        <v>1452</v>
      </c>
      <c r="AC2" s="3" t="s">
        <v>1526</v>
      </c>
      <c r="AD2" s="3"/>
      <c r="AE2" s="3" t="s">
        <v>2821</v>
      </c>
      <c r="AF2" s="3" t="s">
        <v>1380</v>
      </c>
      <c r="AG2" s="3" t="s">
        <v>700</v>
      </c>
      <c r="AH2" s="3"/>
      <c r="AI2" s="3"/>
      <c r="AJ2" s="3" t="s">
        <v>1455</v>
      </c>
      <c r="AK2" s="3" t="s">
        <v>1382</v>
      </c>
      <c r="AL2" s="3"/>
      <c r="AM2" s="3"/>
      <c r="AN2" s="8" t="s">
        <v>2132</v>
      </c>
    </row>
    <row r="3" spans="1:40" ht="60" customHeight="1" x14ac:dyDescent="0.2">
      <c r="A3" s="3" t="s">
        <v>2822</v>
      </c>
      <c r="B3" s="3" t="s">
        <v>2814</v>
      </c>
      <c r="C3" s="3" t="s">
        <v>2815</v>
      </c>
      <c r="D3" s="3" t="s">
        <v>2823</v>
      </c>
      <c r="E3" s="3" t="s">
        <v>2034</v>
      </c>
      <c r="F3" s="3" t="s">
        <v>1522</v>
      </c>
      <c r="G3" s="3"/>
      <c r="H3" s="3" t="s">
        <v>2818</v>
      </c>
      <c r="I3" s="3" t="s">
        <v>2819</v>
      </c>
      <c r="J3" s="3" t="s">
        <v>1413</v>
      </c>
      <c r="K3" s="3" t="s">
        <v>1414</v>
      </c>
      <c r="L3" s="3" t="s">
        <v>2820</v>
      </c>
      <c r="M3" s="3" t="s">
        <v>1365</v>
      </c>
      <c r="N3" s="3" t="s">
        <v>1366</v>
      </c>
      <c r="O3" s="3" t="s">
        <v>1450</v>
      </c>
      <c r="P3" s="3" t="s">
        <v>1450</v>
      </c>
      <c r="Q3" s="3" t="s">
        <v>1451</v>
      </c>
      <c r="R3" s="3"/>
      <c r="S3" s="3"/>
      <c r="T3" s="3" t="s">
        <v>1399</v>
      </c>
      <c r="U3" s="3"/>
      <c r="V3" s="3"/>
      <c r="W3" s="3"/>
      <c r="X3" s="3"/>
      <c r="Y3" s="3" t="s">
        <v>1374</v>
      </c>
      <c r="Z3" s="3" t="s">
        <v>1375</v>
      </c>
      <c r="AA3" s="3" t="s">
        <v>1437</v>
      </c>
      <c r="AB3" s="3" t="s">
        <v>1452</v>
      </c>
      <c r="AC3" s="3" t="s">
        <v>1526</v>
      </c>
      <c r="AD3" s="3"/>
      <c r="AE3" s="3" t="s">
        <v>2821</v>
      </c>
      <c r="AF3" s="3" t="s">
        <v>1380</v>
      </c>
      <c r="AG3" s="3" t="s">
        <v>700</v>
      </c>
      <c r="AH3" s="3"/>
      <c r="AI3" s="3"/>
      <c r="AJ3" s="3" t="s">
        <v>1455</v>
      </c>
      <c r="AK3" s="3" t="s">
        <v>1382</v>
      </c>
      <c r="AL3" s="3"/>
      <c r="AM3" s="3"/>
      <c r="AN3" s="8" t="s">
        <v>2132</v>
      </c>
    </row>
    <row r="4" spans="1:40" ht="60" customHeight="1" x14ac:dyDescent="0.2">
      <c r="A4" s="3" t="s">
        <v>2824</v>
      </c>
      <c r="B4" s="3" t="s">
        <v>2814</v>
      </c>
      <c r="C4" s="3" t="s">
        <v>2825</v>
      </c>
      <c r="D4" s="3" t="s">
        <v>2826</v>
      </c>
      <c r="E4" s="3" t="s">
        <v>2827</v>
      </c>
      <c r="F4" s="3" t="s">
        <v>2828</v>
      </c>
      <c r="G4" s="3" t="s">
        <v>2829</v>
      </c>
      <c r="H4" s="3" t="s">
        <v>2830</v>
      </c>
      <c r="I4" s="3" t="s">
        <v>2831</v>
      </c>
      <c r="J4" s="3" t="s">
        <v>1413</v>
      </c>
      <c r="K4" s="3" t="s">
        <v>1414</v>
      </c>
      <c r="L4" s="3" t="s">
        <v>2832</v>
      </c>
      <c r="M4" s="3" t="s">
        <v>1365</v>
      </c>
      <c r="N4" s="3" t="s">
        <v>1366</v>
      </c>
      <c r="O4" s="3" t="s">
        <v>2833</v>
      </c>
      <c r="P4" s="3" t="s">
        <v>1450</v>
      </c>
      <c r="Q4" s="3" t="s">
        <v>1451</v>
      </c>
      <c r="R4" s="3"/>
      <c r="S4" s="3"/>
      <c r="T4" s="3" t="s">
        <v>2834</v>
      </c>
      <c r="U4" s="3"/>
      <c r="V4" s="3"/>
      <c r="W4" s="3"/>
      <c r="X4" s="3"/>
      <c r="Y4" s="3" t="s">
        <v>1374</v>
      </c>
      <c r="Z4" s="3" t="s">
        <v>1375</v>
      </c>
      <c r="AA4" s="3" t="s">
        <v>1437</v>
      </c>
      <c r="AB4" s="3" t="s">
        <v>1452</v>
      </c>
      <c r="AC4" s="3" t="s">
        <v>1526</v>
      </c>
      <c r="AD4" s="3"/>
      <c r="AE4" s="3" t="s">
        <v>2835</v>
      </c>
      <c r="AF4" s="3" t="s">
        <v>1380</v>
      </c>
      <c r="AG4" s="3" t="s">
        <v>700</v>
      </c>
      <c r="AH4" s="3"/>
      <c r="AI4" s="3"/>
      <c r="AJ4" s="3" t="s">
        <v>1518</v>
      </c>
      <c r="AK4" s="3" t="s">
        <v>1382</v>
      </c>
      <c r="AL4" s="3"/>
      <c r="AM4" s="3"/>
      <c r="AN4" s="8" t="s">
        <v>2836</v>
      </c>
    </row>
    <row r="5" spans="1:40" ht="60" customHeight="1" x14ac:dyDescent="0.2">
      <c r="A5" s="3" t="s">
        <v>2837</v>
      </c>
      <c r="B5" s="3" t="s">
        <v>2814</v>
      </c>
      <c r="C5" s="3" t="s">
        <v>2825</v>
      </c>
      <c r="D5" s="3" t="s">
        <v>2838</v>
      </c>
      <c r="E5" s="3" t="s">
        <v>2839</v>
      </c>
      <c r="F5" s="3" t="s">
        <v>2828</v>
      </c>
      <c r="G5" s="3" t="s">
        <v>2829</v>
      </c>
      <c r="H5" s="3" t="s">
        <v>2830</v>
      </c>
      <c r="I5" s="3" t="s">
        <v>2831</v>
      </c>
      <c r="J5" s="3" t="s">
        <v>1413</v>
      </c>
      <c r="K5" s="3" t="s">
        <v>1414</v>
      </c>
      <c r="L5" s="3" t="s">
        <v>2840</v>
      </c>
      <c r="M5" s="3" t="s">
        <v>1365</v>
      </c>
      <c r="N5" s="3" t="s">
        <v>1366</v>
      </c>
      <c r="O5" s="3" t="s">
        <v>2833</v>
      </c>
      <c r="P5" s="3" t="s">
        <v>1450</v>
      </c>
      <c r="Q5" s="3" t="s">
        <v>1451</v>
      </c>
      <c r="R5" s="3"/>
      <c r="S5" s="3"/>
      <c r="T5" s="3" t="s">
        <v>2834</v>
      </c>
      <c r="U5" s="3"/>
      <c r="V5" s="3"/>
      <c r="W5" s="3"/>
      <c r="X5" s="3"/>
      <c r="Y5" s="3" t="s">
        <v>1374</v>
      </c>
      <c r="Z5" s="3" t="s">
        <v>1375</v>
      </c>
      <c r="AA5" s="3" t="s">
        <v>1437</v>
      </c>
      <c r="AB5" s="3" t="s">
        <v>1452</v>
      </c>
      <c r="AC5" s="3" t="s">
        <v>1526</v>
      </c>
      <c r="AD5" s="3"/>
      <c r="AE5" s="3" t="s">
        <v>2835</v>
      </c>
      <c r="AF5" s="3" t="s">
        <v>1380</v>
      </c>
      <c r="AG5" s="3" t="s">
        <v>700</v>
      </c>
      <c r="AH5" s="3"/>
      <c r="AI5" s="3"/>
      <c r="AJ5" s="3" t="s">
        <v>1518</v>
      </c>
      <c r="AK5" s="3" t="s">
        <v>1382</v>
      </c>
      <c r="AL5" s="3"/>
      <c r="AM5" s="3"/>
      <c r="AN5" s="8" t="s">
        <v>2836</v>
      </c>
    </row>
    <row r="6" spans="1:40" ht="60" customHeight="1" x14ac:dyDescent="0.2">
      <c r="A6" s="3" t="s">
        <v>2841</v>
      </c>
      <c r="B6" s="3" t="s">
        <v>2814</v>
      </c>
      <c r="C6" s="3" t="s">
        <v>2825</v>
      </c>
      <c r="D6" s="3" t="s">
        <v>2842</v>
      </c>
      <c r="E6" s="3" t="s">
        <v>2843</v>
      </c>
      <c r="F6" s="3" t="s">
        <v>2828</v>
      </c>
      <c r="G6" s="3" t="s">
        <v>2844</v>
      </c>
      <c r="H6" s="3" t="s">
        <v>2845</v>
      </c>
      <c r="I6" s="3" t="s">
        <v>2846</v>
      </c>
      <c r="J6" s="3" t="s">
        <v>1413</v>
      </c>
      <c r="K6" s="3" t="s">
        <v>1414</v>
      </c>
      <c r="L6" s="3" t="s">
        <v>1449</v>
      </c>
      <c r="M6" s="3" t="s">
        <v>1365</v>
      </c>
      <c r="N6" s="3" t="s">
        <v>2202</v>
      </c>
      <c r="O6" s="3" t="s">
        <v>2833</v>
      </c>
      <c r="P6" s="3" t="s">
        <v>1450</v>
      </c>
      <c r="Q6" s="3" t="s">
        <v>1451</v>
      </c>
      <c r="R6" s="3"/>
      <c r="S6" s="3"/>
      <c r="T6" s="3" t="s">
        <v>2834</v>
      </c>
      <c r="U6" s="3"/>
      <c r="V6" s="3"/>
      <c r="W6" s="3"/>
      <c r="X6" s="3"/>
      <c r="Y6" s="3" t="s">
        <v>1374</v>
      </c>
      <c r="Z6" s="3" t="s">
        <v>1375</v>
      </c>
      <c r="AA6" s="3" t="s">
        <v>1437</v>
      </c>
      <c r="AB6" s="3" t="s">
        <v>1452</v>
      </c>
      <c r="AC6" s="3" t="s">
        <v>1453</v>
      </c>
      <c r="AD6" s="3"/>
      <c r="AE6" s="3" t="s">
        <v>2847</v>
      </c>
      <c r="AF6" s="3" t="s">
        <v>1380</v>
      </c>
      <c r="AG6" s="3" t="s">
        <v>700</v>
      </c>
      <c r="AH6" s="3"/>
      <c r="AI6" s="3"/>
      <c r="AJ6" s="3" t="s">
        <v>1518</v>
      </c>
      <c r="AK6" s="3" t="s">
        <v>1382</v>
      </c>
      <c r="AL6" s="3"/>
      <c r="AM6" s="3"/>
      <c r="AN6" s="8" t="s">
        <v>2836</v>
      </c>
    </row>
    <row r="7" spans="1:40" ht="60" customHeight="1" x14ac:dyDescent="0.2">
      <c r="A7" s="3" t="s">
        <v>2848</v>
      </c>
      <c r="B7" s="3" t="s">
        <v>2814</v>
      </c>
      <c r="C7" s="3" t="s">
        <v>2849</v>
      </c>
      <c r="D7" s="3" t="s">
        <v>2850</v>
      </c>
      <c r="E7" s="3" t="s">
        <v>2851</v>
      </c>
      <c r="F7" s="3" t="s">
        <v>1522</v>
      </c>
      <c r="G7" s="3"/>
      <c r="H7" s="3" t="s">
        <v>2852</v>
      </c>
      <c r="I7" s="3" t="s">
        <v>2853</v>
      </c>
      <c r="J7" s="3" t="s">
        <v>1413</v>
      </c>
      <c r="K7" s="3" t="s">
        <v>1392</v>
      </c>
      <c r="L7" s="3" t="s">
        <v>2854</v>
      </c>
      <c r="M7" s="3" t="s">
        <v>1365</v>
      </c>
      <c r="N7" s="3" t="s">
        <v>1366</v>
      </c>
      <c r="O7" s="3" t="s">
        <v>1450</v>
      </c>
      <c r="P7" s="3" t="s">
        <v>1450</v>
      </c>
      <c r="Q7" s="3" t="s">
        <v>1451</v>
      </c>
      <c r="R7" s="3"/>
      <c r="S7" s="3"/>
      <c r="T7" s="3" t="s">
        <v>1399</v>
      </c>
      <c r="U7" s="3"/>
      <c r="V7" s="3"/>
      <c r="W7" s="3"/>
      <c r="X7" s="3"/>
      <c r="Y7" s="3" t="s">
        <v>1374</v>
      </c>
      <c r="Z7" s="3" t="s">
        <v>1375</v>
      </c>
      <c r="AA7" s="3" t="s">
        <v>1437</v>
      </c>
      <c r="AB7" s="3" t="s">
        <v>1452</v>
      </c>
      <c r="AC7" s="3" t="s">
        <v>1526</v>
      </c>
      <c r="AD7" s="3"/>
      <c r="AE7" s="3" t="s">
        <v>2478</v>
      </c>
      <c r="AF7" s="3" t="s">
        <v>1380</v>
      </c>
      <c r="AG7" s="3" t="s">
        <v>700</v>
      </c>
      <c r="AH7" s="3"/>
      <c r="AI7" s="3"/>
      <c r="AJ7" s="3" t="s">
        <v>1455</v>
      </c>
      <c r="AK7" s="3" t="s">
        <v>1382</v>
      </c>
      <c r="AL7" s="3"/>
      <c r="AM7" s="3"/>
      <c r="AN7" s="3" t="s">
        <v>2001</v>
      </c>
    </row>
    <row r="8" spans="1:40" ht="60" customHeight="1" x14ac:dyDescent="0.2">
      <c r="A8" s="3" t="s">
        <v>2855</v>
      </c>
      <c r="B8" s="3" t="s">
        <v>2814</v>
      </c>
      <c r="C8" s="3" t="s">
        <v>2856</v>
      </c>
      <c r="D8" s="3" t="s">
        <v>2857</v>
      </c>
      <c r="E8" s="3" t="s">
        <v>2858</v>
      </c>
      <c r="F8" s="3" t="s">
        <v>2523</v>
      </c>
      <c r="G8" s="3" t="s">
        <v>2524</v>
      </c>
      <c r="H8" s="3" t="s">
        <v>2525</v>
      </c>
      <c r="I8" s="3" t="s">
        <v>2526</v>
      </c>
      <c r="J8" s="3" t="s">
        <v>2527</v>
      </c>
      <c r="K8" s="3" t="s">
        <v>1414</v>
      </c>
      <c r="L8" s="3" t="s">
        <v>1631</v>
      </c>
      <c r="M8" s="3" t="s">
        <v>1394</v>
      </c>
      <c r="N8" s="3" t="s">
        <v>1395</v>
      </c>
      <c r="O8" s="3" t="s">
        <v>2528</v>
      </c>
      <c r="P8" s="3" t="s">
        <v>2529</v>
      </c>
      <c r="Q8" s="3" t="s">
        <v>2530</v>
      </c>
      <c r="R8" s="3"/>
      <c r="S8" s="3"/>
      <c r="T8" s="3" t="s">
        <v>1399</v>
      </c>
      <c r="U8" s="3" t="s">
        <v>2859</v>
      </c>
      <c r="V8" s="3"/>
      <c r="W8" s="3"/>
      <c r="X8" s="3"/>
      <c r="Y8" s="3" t="s">
        <v>1374</v>
      </c>
      <c r="Z8" s="3" t="s">
        <v>1375</v>
      </c>
      <c r="AA8" s="3" t="s">
        <v>1419</v>
      </c>
      <c r="AB8" s="3" t="s">
        <v>1504</v>
      </c>
      <c r="AC8" s="3" t="s">
        <v>1378</v>
      </c>
      <c r="AD8" s="3"/>
      <c r="AE8" s="3" t="s">
        <v>1454</v>
      </c>
      <c r="AF8" s="3" t="s">
        <v>2860</v>
      </c>
      <c r="AG8" s="3" t="s">
        <v>7</v>
      </c>
      <c r="AH8" s="3"/>
      <c r="AI8" s="3"/>
      <c r="AJ8" s="3" t="s">
        <v>2516</v>
      </c>
      <c r="AK8" s="3" t="s">
        <v>1382</v>
      </c>
      <c r="AL8" s="3"/>
      <c r="AM8" s="3"/>
      <c r="AN8" s="8" t="s">
        <v>1456</v>
      </c>
    </row>
    <row r="9" spans="1:40" ht="60" customHeight="1" x14ac:dyDescent="0.2">
      <c r="A9" s="3" t="s">
        <v>2861</v>
      </c>
      <c r="B9" s="3" t="s">
        <v>2814</v>
      </c>
      <c r="C9" s="3" t="s">
        <v>2862</v>
      </c>
      <c r="D9" s="3" t="s">
        <v>2863</v>
      </c>
      <c r="E9" s="3" t="s">
        <v>2864</v>
      </c>
      <c r="F9" s="3" t="s">
        <v>1522</v>
      </c>
      <c r="G9" s="3"/>
      <c r="H9" s="3" t="s">
        <v>2865</v>
      </c>
      <c r="I9" s="3" t="s">
        <v>2866</v>
      </c>
      <c r="J9" s="3" t="s">
        <v>1413</v>
      </c>
      <c r="K9" s="3" t="s">
        <v>1414</v>
      </c>
      <c r="L9" s="3" t="s">
        <v>2867</v>
      </c>
      <c r="M9" s="3" t="s">
        <v>1365</v>
      </c>
      <c r="N9" s="3" t="s">
        <v>1366</v>
      </c>
      <c r="O9" s="3" t="s">
        <v>1450</v>
      </c>
      <c r="P9" s="3" t="s">
        <v>1450</v>
      </c>
      <c r="Q9" s="3" t="s">
        <v>1451</v>
      </c>
      <c r="R9" s="3"/>
      <c r="S9" s="3"/>
      <c r="T9" s="3" t="s">
        <v>1399</v>
      </c>
      <c r="U9" s="3"/>
      <c r="V9" s="7" t="s">
        <v>2868</v>
      </c>
      <c r="W9" s="7"/>
      <c r="X9" s="3"/>
      <c r="Y9" s="3" t="s">
        <v>1374</v>
      </c>
      <c r="Z9" s="3" t="s">
        <v>1375</v>
      </c>
      <c r="AA9" s="3" t="s">
        <v>1437</v>
      </c>
      <c r="AB9" s="3" t="s">
        <v>1452</v>
      </c>
      <c r="AC9" s="3" t="s">
        <v>1526</v>
      </c>
      <c r="AD9" s="3"/>
      <c r="AE9" s="3" t="s">
        <v>1454</v>
      </c>
      <c r="AF9" s="3" t="s">
        <v>1380</v>
      </c>
      <c r="AG9" s="3" t="s">
        <v>700</v>
      </c>
      <c r="AH9" s="3"/>
      <c r="AI9" s="3"/>
      <c r="AJ9" s="3" t="s">
        <v>1455</v>
      </c>
      <c r="AK9" s="3" t="s">
        <v>1382</v>
      </c>
      <c r="AL9" s="3"/>
      <c r="AM9" s="3"/>
      <c r="AN9" s="7" t="s">
        <v>2869</v>
      </c>
    </row>
    <row r="10" spans="1:40" ht="60" customHeight="1" x14ac:dyDescent="0.2">
      <c r="A10" s="3" t="s">
        <v>2870</v>
      </c>
      <c r="B10" s="3" t="s">
        <v>2814</v>
      </c>
      <c r="C10" s="3" t="s">
        <v>2862</v>
      </c>
      <c r="D10" s="3" t="s">
        <v>2871</v>
      </c>
      <c r="E10" s="3" t="s">
        <v>2872</v>
      </c>
      <c r="F10" s="3" t="s">
        <v>2873</v>
      </c>
      <c r="G10" s="3" t="s">
        <v>2874</v>
      </c>
      <c r="H10" s="3" t="s">
        <v>2875</v>
      </c>
      <c r="I10" s="3" t="s">
        <v>2876</v>
      </c>
      <c r="J10" s="3" t="s">
        <v>1413</v>
      </c>
      <c r="K10" s="3" t="s">
        <v>1414</v>
      </c>
      <c r="L10" s="3" t="s">
        <v>2877</v>
      </c>
      <c r="M10" s="3" t="s">
        <v>2346</v>
      </c>
      <c r="N10" s="3" t="s">
        <v>1366</v>
      </c>
      <c r="O10" s="3" t="s">
        <v>2878</v>
      </c>
      <c r="P10" s="3" t="s">
        <v>1450</v>
      </c>
      <c r="Q10" s="3" t="s">
        <v>1451</v>
      </c>
      <c r="R10" s="3"/>
      <c r="S10" s="3"/>
      <c r="T10" s="3" t="s">
        <v>1399</v>
      </c>
      <c r="U10" s="3"/>
      <c r="V10" s="3"/>
      <c r="W10" s="3"/>
      <c r="X10" s="3"/>
      <c r="Y10" s="3" t="s">
        <v>1374</v>
      </c>
      <c r="Z10" s="3" t="s">
        <v>1375</v>
      </c>
      <c r="AA10" s="3" t="s">
        <v>1437</v>
      </c>
      <c r="AB10" s="3" t="s">
        <v>1452</v>
      </c>
      <c r="AC10" s="3" t="s">
        <v>1526</v>
      </c>
      <c r="AD10" s="3"/>
      <c r="AE10" s="3" t="s">
        <v>2478</v>
      </c>
      <c r="AF10" s="3" t="s">
        <v>1380</v>
      </c>
      <c r="AG10" s="3" t="s">
        <v>700</v>
      </c>
      <c r="AH10" s="3"/>
      <c r="AI10" s="3"/>
      <c r="AJ10" s="3" t="s">
        <v>2879</v>
      </c>
      <c r="AK10" s="3" t="s">
        <v>1382</v>
      </c>
      <c r="AL10" s="3"/>
      <c r="AM10" s="3"/>
      <c r="AN10" s="8" t="s">
        <v>2347</v>
      </c>
    </row>
    <row r="11" spans="1:40" ht="60" customHeight="1" x14ac:dyDescent="0.2">
      <c r="A11" s="3" t="s">
        <v>2880</v>
      </c>
      <c r="B11" s="3" t="s">
        <v>2814</v>
      </c>
      <c r="C11" s="3" t="s">
        <v>2862</v>
      </c>
      <c r="D11" s="3" t="s">
        <v>2881</v>
      </c>
      <c r="E11" s="3" t="s">
        <v>2882</v>
      </c>
      <c r="F11" s="3" t="s">
        <v>2883</v>
      </c>
      <c r="G11" s="3" t="s">
        <v>2884</v>
      </c>
      <c r="H11" s="3" t="s">
        <v>2885</v>
      </c>
      <c r="I11" s="3" t="s">
        <v>2886</v>
      </c>
      <c r="J11" s="3" t="s">
        <v>1413</v>
      </c>
      <c r="K11" s="3" t="s">
        <v>1414</v>
      </c>
      <c r="L11" s="3" t="s">
        <v>2577</v>
      </c>
      <c r="M11" s="3" t="s">
        <v>1394</v>
      </c>
      <c r="N11" s="3" t="s">
        <v>1366</v>
      </c>
      <c r="O11" s="3" t="s">
        <v>2595</v>
      </c>
      <c r="P11" s="3" t="s">
        <v>1450</v>
      </c>
      <c r="Q11" s="3" t="s">
        <v>1451</v>
      </c>
      <c r="R11" s="3"/>
      <c r="S11" s="3"/>
      <c r="T11" s="3" t="s">
        <v>1399</v>
      </c>
      <c r="U11" s="3"/>
      <c r="V11" s="3"/>
      <c r="W11" s="3"/>
      <c r="X11" s="3"/>
      <c r="Y11" s="3" t="s">
        <v>1374</v>
      </c>
      <c r="Z11" s="3" t="s">
        <v>1375</v>
      </c>
      <c r="AA11" s="3" t="s">
        <v>1437</v>
      </c>
      <c r="AB11" s="3" t="s">
        <v>1452</v>
      </c>
      <c r="AC11" s="3" t="s">
        <v>1526</v>
      </c>
      <c r="AD11" s="3"/>
      <c r="AE11" s="3" t="s">
        <v>2578</v>
      </c>
      <c r="AF11" s="3" t="s">
        <v>1380</v>
      </c>
      <c r="AG11" s="3" t="s">
        <v>700</v>
      </c>
      <c r="AH11" s="3"/>
      <c r="AI11" s="3"/>
      <c r="AJ11" s="3" t="s">
        <v>2887</v>
      </c>
      <c r="AK11" s="3" t="s">
        <v>1382</v>
      </c>
      <c r="AL11" s="3"/>
      <c r="AM11" s="3"/>
      <c r="AN11" s="8" t="s">
        <v>2347</v>
      </c>
    </row>
    <row r="12" spans="1:40" ht="60" customHeight="1" x14ac:dyDescent="0.2">
      <c r="A12" s="3" t="s">
        <v>2888</v>
      </c>
      <c r="B12" s="3" t="s">
        <v>2814</v>
      </c>
      <c r="C12" s="3" t="s">
        <v>2889</v>
      </c>
      <c r="D12" s="3" t="s">
        <v>2890</v>
      </c>
      <c r="E12" s="3" t="s">
        <v>2891</v>
      </c>
      <c r="F12" s="3" t="s">
        <v>2441</v>
      </c>
      <c r="G12" s="3" t="s">
        <v>2442</v>
      </c>
      <c r="H12" s="3" t="s">
        <v>2443</v>
      </c>
      <c r="I12" s="3" t="s">
        <v>2444</v>
      </c>
      <c r="J12" s="3" t="s">
        <v>2445</v>
      </c>
      <c r="K12" s="3" t="s">
        <v>1414</v>
      </c>
      <c r="L12" s="3" t="s">
        <v>1432</v>
      </c>
      <c r="M12" s="3" t="s">
        <v>1365</v>
      </c>
      <c r="N12" s="3" t="s">
        <v>2202</v>
      </c>
      <c r="O12" s="3" t="s">
        <v>2446</v>
      </c>
      <c r="P12" s="3" t="s">
        <v>2447</v>
      </c>
      <c r="Q12" s="3" t="s">
        <v>2448</v>
      </c>
      <c r="R12" s="3"/>
      <c r="S12" s="3"/>
      <c r="T12" s="3" t="s">
        <v>1399</v>
      </c>
      <c r="U12" s="3"/>
      <c r="V12" s="3"/>
      <c r="W12" s="3"/>
      <c r="X12" s="3"/>
      <c r="Y12" s="3" t="s">
        <v>1374</v>
      </c>
      <c r="Z12" s="3" t="s">
        <v>1375</v>
      </c>
      <c r="AA12" s="3" t="s">
        <v>1437</v>
      </c>
      <c r="AB12" s="3" t="s">
        <v>2468</v>
      </c>
      <c r="AC12" s="3" t="s">
        <v>1378</v>
      </c>
      <c r="AD12" s="3"/>
      <c r="AE12" s="3" t="s">
        <v>2469</v>
      </c>
      <c r="AF12" s="3" t="s">
        <v>1380</v>
      </c>
      <c r="AG12" s="3" t="s">
        <v>7</v>
      </c>
      <c r="AH12" s="3"/>
      <c r="AI12" s="3"/>
      <c r="AJ12" s="3" t="s">
        <v>2452</v>
      </c>
      <c r="AK12" s="3" t="s">
        <v>1382</v>
      </c>
      <c r="AL12" s="3"/>
      <c r="AM12" s="3"/>
      <c r="AN12" s="8" t="s">
        <v>2453</v>
      </c>
    </row>
    <row r="13" spans="1:40" ht="60" customHeight="1" x14ac:dyDescent="0.2">
      <c r="A13" s="3" t="s">
        <v>2892</v>
      </c>
      <c r="B13" s="3" t="s">
        <v>2814</v>
      </c>
      <c r="C13" s="3" t="s">
        <v>2889</v>
      </c>
      <c r="D13" s="3" t="s">
        <v>2893</v>
      </c>
      <c r="E13" s="3" t="s">
        <v>2894</v>
      </c>
      <c r="F13" s="3" t="s">
        <v>2441</v>
      </c>
      <c r="G13" s="3" t="s">
        <v>2442</v>
      </c>
      <c r="H13" s="3" t="s">
        <v>2443</v>
      </c>
      <c r="I13" s="3" t="s">
        <v>2444</v>
      </c>
      <c r="J13" s="3" t="s">
        <v>2445</v>
      </c>
      <c r="K13" s="3" t="s">
        <v>1414</v>
      </c>
      <c r="L13" s="3" t="s">
        <v>1432</v>
      </c>
      <c r="M13" s="3" t="s">
        <v>1365</v>
      </c>
      <c r="N13" s="3" t="s">
        <v>2202</v>
      </c>
      <c r="O13" s="3" t="s">
        <v>2446</v>
      </c>
      <c r="P13" s="3" t="s">
        <v>2447</v>
      </c>
      <c r="Q13" s="3" t="s">
        <v>2448</v>
      </c>
      <c r="R13" s="3"/>
      <c r="S13" s="3"/>
      <c r="T13" s="3" t="s">
        <v>1399</v>
      </c>
      <c r="U13" s="3"/>
      <c r="V13" s="3"/>
      <c r="W13" s="3"/>
      <c r="X13" s="3"/>
      <c r="Y13" s="3" t="s">
        <v>1374</v>
      </c>
      <c r="Z13" s="3" t="s">
        <v>1375</v>
      </c>
      <c r="AA13" s="3" t="s">
        <v>1437</v>
      </c>
      <c r="AB13" s="3" t="s">
        <v>2468</v>
      </c>
      <c r="AC13" s="3" t="s">
        <v>1378</v>
      </c>
      <c r="AD13" s="3"/>
      <c r="AE13" s="3" t="s">
        <v>2469</v>
      </c>
      <c r="AF13" s="3" t="s">
        <v>1380</v>
      </c>
      <c r="AG13" s="3" t="s">
        <v>7</v>
      </c>
      <c r="AH13" s="3"/>
      <c r="AI13" s="3"/>
      <c r="AJ13" s="3" t="s">
        <v>2452</v>
      </c>
      <c r="AK13" s="3" t="s">
        <v>1382</v>
      </c>
      <c r="AL13" s="3"/>
      <c r="AM13" s="3"/>
      <c r="AN13" s="8" t="s">
        <v>2453</v>
      </c>
    </row>
    <row r="14" spans="1:40" ht="60" customHeight="1" x14ac:dyDescent="0.2">
      <c r="A14" s="3" t="s">
        <v>2895</v>
      </c>
      <c r="B14" s="3" t="s">
        <v>2814</v>
      </c>
      <c r="C14" s="3" t="s">
        <v>2889</v>
      </c>
      <c r="D14" s="3" t="s">
        <v>2896</v>
      </c>
      <c r="E14" s="3" t="s">
        <v>2897</v>
      </c>
      <c r="F14" s="3" t="s">
        <v>2441</v>
      </c>
      <c r="G14" s="3" t="s">
        <v>2442</v>
      </c>
      <c r="H14" s="3" t="s">
        <v>2443</v>
      </c>
      <c r="I14" s="3" t="s">
        <v>2444</v>
      </c>
      <c r="J14" s="3" t="s">
        <v>2445</v>
      </c>
      <c r="K14" s="3" t="s">
        <v>1414</v>
      </c>
      <c r="L14" s="3" t="s">
        <v>1432</v>
      </c>
      <c r="M14" s="3" t="s">
        <v>1394</v>
      </c>
      <c r="N14" s="3" t="s">
        <v>1366</v>
      </c>
      <c r="O14" s="3" t="s">
        <v>2446</v>
      </c>
      <c r="P14" s="3" t="s">
        <v>2447</v>
      </c>
      <c r="Q14" s="3" t="s">
        <v>2448</v>
      </c>
      <c r="R14" s="3"/>
      <c r="S14" s="3"/>
      <c r="T14" s="3" t="s">
        <v>1399</v>
      </c>
      <c r="U14" s="3"/>
      <c r="V14" s="3"/>
      <c r="W14" s="3"/>
      <c r="X14" s="3"/>
      <c r="Y14" s="3" t="s">
        <v>1374</v>
      </c>
      <c r="Z14" s="3" t="s">
        <v>1375</v>
      </c>
      <c r="AA14" s="3" t="s">
        <v>1437</v>
      </c>
      <c r="AB14" s="3" t="s">
        <v>2468</v>
      </c>
      <c r="AC14" s="3" t="s">
        <v>1378</v>
      </c>
      <c r="AD14" s="3"/>
      <c r="AE14" s="3" t="s">
        <v>2469</v>
      </c>
      <c r="AF14" s="3" t="s">
        <v>1380</v>
      </c>
      <c r="AG14" s="3" t="s">
        <v>7</v>
      </c>
      <c r="AH14" s="3"/>
      <c r="AI14" s="3"/>
      <c r="AJ14" s="3" t="s">
        <v>2452</v>
      </c>
      <c r="AK14" s="3" t="s">
        <v>1382</v>
      </c>
      <c r="AL14" s="3"/>
      <c r="AM14" s="3"/>
      <c r="AN14" s="8" t="s">
        <v>2453</v>
      </c>
    </row>
    <row r="15" spans="1:40" ht="60" customHeight="1" x14ac:dyDescent="0.2">
      <c r="A15" s="3" t="s">
        <v>2898</v>
      </c>
      <c r="B15" s="3" t="s">
        <v>2814</v>
      </c>
      <c r="C15" s="3" t="s">
        <v>2889</v>
      </c>
      <c r="D15" s="3" t="s">
        <v>2899</v>
      </c>
      <c r="E15" s="3" t="s">
        <v>2900</v>
      </c>
      <c r="F15" s="3" t="s">
        <v>2901</v>
      </c>
      <c r="G15" s="3" t="s">
        <v>2902</v>
      </c>
      <c r="H15" s="3" t="s">
        <v>2903</v>
      </c>
      <c r="I15" s="3" t="s">
        <v>2904</v>
      </c>
      <c r="J15" s="3" t="s">
        <v>2905</v>
      </c>
      <c r="K15" s="3" t="s">
        <v>1414</v>
      </c>
      <c r="L15" s="3" t="s">
        <v>1514</v>
      </c>
      <c r="M15" s="3" t="s">
        <v>1365</v>
      </c>
      <c r="N15" s="3" t="s">
        <v>1366</v>
      </c>
      <c r="O15" s="3" t="s">
        <v>2906</v>
      </c>
      <c r="P15" s="3" t="s">
        <v>2907</v>
      </c>
      <c r="Q15" s="3" t="s">
        <v>1500</v>
      </c>
      <c r="R15" s="3"/>
      <c r="S15" s="3"/>
      <c r="T15" s="3" t="s">
        <v>1399</v>
      </c>
      <c r="U15" s="3"/>
      <c r="V15" s="3"/>
      <c r="W15" s="3"/>
      <c r="X15" s="3"/>
      <c r="Y15" s="3" t="s">
        <v>1374</v>
      </c>
      <c r="Z15" s="3" t="s">
        <v>1375</v>
      </c>
      <c r="AA15" s="3" t="s">
        <v>1437</v>
      </c>
      <c r="AB15" s="3" t="s">
        <v>2908</v>
      </c>
      <c r="AC15" s="3" t="s">
        <v>1378</v>
      </c>
      <c r="AD15" s="3" t="s">
        <v>2909</v>
      </c>
      <c r="AE15" s="3" t="s">
        <v>2910</v>
      </c>
      <c r="AF15" s="3" t="s">
        <v>1380</v>
      </c>
      <c r="AG15" s="3" t="s">
        <v>7</v>
      </c>
      <c r="AH15" s="3"/>
      <c r="AI15" s="3"/>
      <c r="AJ15" s="3" t="s">
        <v>2911</v>
      </c>
      <c r="AK15" s="3" t="s">
        <v>1382</v>
      </c>
      <c r="AL15" s="3"/>
      <c r="AM15" s="3"/>
      <c r="AN15" s="8" t="s">
        <v>2453</v>
      </c>
    </row>
    <row r="16" spans="1:40" ht="60" customHeight="1" x14ac:dyDescent="0.2">
      <c r="A16" s="3" t="s">
        <v>2912</v>
      </c>
      <c r="B16" s="3" t="s">
        <v>2814</v>
      </c>
      <c r="C16" s="3" t="s">
        <v>2913</v>
      </c>
      <c r="D16" s="3" t="s">
        <v>2914</v>
      </c>
      <c r="E16" s="3" t="s">
        <v>2915</v>
      </c>
      <c r="F16" s="3" t="s">
        <v>1522</v>
      </c>
      <c r="G16" s="3"/>
      <c r="H16" s="3" t="s">
        <v>1523</v>
      </c>
      <c r="I16" s="3" t="s">
        <v>1524</v>
      </c>
      <c r="J16" s="3" t="s">
        <v>1413</v>
      </c>
      <c r="K16" s="3" t="s">
        <v>1414</v>
      </c>
      <c r="L16" s="3" t="s">
        <v>1514</v>
      </c>
      <c r="M16" s="3" t="s">
        <v>1365</v>
      </c>
      <c r="N16" s="3" t="s">
        <v>1366</v>
      </c>
      <c r="O16" s="3" t="s">
        <v>1450</v>
      </c>
      <c r="P16" s="3" t="s">
        <v>1450</v>
      </c>
      <c r="Q16" s="3" t="s">
        <v>1451</v>
      </c>
      <c r="R16" s="3"/>
      <c r="S16" s="3"/>
      <c r="T16" s="3" t="s">
        <v>1399</v>
      </c>
      <c r="U16" s="3" t="s">
        <v>2916</v>
      </c>
      <c r="V16" s="3"/>
      <c r="W16" s="3"/>
      <c r="X16" s="3"/>
      <c r="Y16" s="3" t="s">
        <v>1374</v>
      </c>
      <c r="Z16" s="3" t="s">
        <v>1375</v>
      </c>
      <c r="AA16" s="3" t="s">
        <v>1437</v>
      </c>
      <c r="AB16" s="3" t="s">
        <v>1452</v>
      </c>
      <c r="AC16" s="3" t="s">
        <v>1526</v>
      </c>
      <c r="AD16" s="3"/>
      <c r="AE16" s="3" t="s">
        <v>1454</v>
      </c>
      <c r="AF16" s="3" t="s">
        <v>1380</v>
      </c>
      <c r="AG16" s="3" t="s">
        <v>700</v>
      </c>
      <c r="AH16" s="3"/>
      <c r="AI16" s="3"/>
      <c r="AJ16" s="3" t="s">
        <v>1455</v>
      </c>
      <c r="AK16" s="3" t="s">
        <v>1382</v>
      </c>
      <c r="AL16" s="3"/>
      <c r="AM16" s="3"/>
      <c r="AN16" s="8" t="s">
        <v>1528</v>
      </c>
    </row>
    <row r="17" spans="1:40" ht="60" customHeight="1" x14ac:dyDescent="0.2">
      <c r="A17" s="3" t="s">
        <v>2917</v>
      </c>
      <c r="B17" s="3" t="s">
        <v>2814</v>
      </c>
      <c r="C17" s="3" t="s">
        <v>2918</v>
      </c>
      <c r="D17" s="3" t="s">
        <v>2919</v>
      </c>
      <c r="E17" s="3" t="s">
        <v>2920</v>
      </c>
      <c r="F17" s="3" t="s">
        <v>1522</v>
      </c>
      <c r="G17" s="3"/>
      <c r="H17" s="3" t="s">
        <v>2921</v>
      </c>
      <c r="I17" s="3" t="s">
        <v>2922</v>
      </c>
      <c r="J17" s="3" t="s">
        <v>1413</v>
      </c>
      <c r="K17" s="3" t="s">
        <v>1414</v>
      </c>
      <c r="L17" s="3" t="s">
        <v>1514</v>
      </c>
      <c r="M17" s="3" t="s">
        <v>1365</v>
      </c>
      <c r="N17" s="3" t="s">
        <v>1366</v>
      </c>
      <c r="O17" s="3" t="s">
        <v>1450</v>
      </c>
      <c r="P17" s="3" t="s">
        <v>1450</v>
      </c>
      <c r="Q17" s="3" t="s">
        <v>1451</v>
      </c>
      <c r="R17" s="3"/>
      <c r="S17" s="3"/>
      <c r="T17" s="3" t="s">
        <v>1399</v>
      </c>
      <c r="U17" s="3"/>
      <c r="V17" s="7" t="s">
        <v>2923</v>
      </c>
      <c r="W17" s="7"/>
      <c r="X17" s="3"/>
      <c r="Y17" s="3" t="s">
        <v>1374</v>
      </c>
      <c r="Z17" s="3" t="s">
        <v>1375</v>
      </c>
      <c r="AA17" s="3" t="s">
        <v>1437</v>
      </c>
      <c r="AB17" s="3" t="s">
        <v>1452</v>
      </c>
      <c r="AC17" s="3" t="s">
        <v>1526</v>
      </c>
      <c r="AD17" s="3"/>
      <c r="AE17" s="3" t="s">
        <v>1454</v>
      </c>
      <c r="AF17" s="3" t="s">
        <v>1380</v>
      </c>
      <c r="AG17" s="3" t="s">
        <v>700</v>
      </c>
      <c r="AH17" s="3"/>
      <c r="AI17" s="3"/>
      <c r="AJ17" s="3" t="s">
        <v>1455</v>
      </c>
      <c r="AK17" s="3" t="s">
        <v>1382</v>
      </c>
      <c r="AL17" s="3"/>
      <c r="AM17" s="3"/>
      <c r="AN17" s="7" t="s">
        <v>2924</v>
      </c>
    </row>
    <row r="18" spans="1:40" ht="60" customHeight="1" x14ac:dyDescent="0.2">
      <c r="A18" s="3" t="s">
        <v>2925</v>
      </c>
      <c r="B18" s="3" t="s">
        <v>2814</v>
      </c>
      <c r="C18" s="3" t="s">
        <v>2918</v>
      </c>
      <c r="D18" s="3" t="s">
        <v>2926</v>
      </c>
      <c r="E18" s="3" t="s">
        <v>2927</v>
      </c>
      <c r="F18" s="3" t="s">
        <v>1522</v>
      </c>
      <c r="G18" s="3"/>
      <c r="H18" s="3" t="s">
        <v>2921</v>
      </c>
      <c r="I18" s="3" t="s">
        <v>2922</v>
      </c>
      <c r="J18" s="3" t="s">
        <v>1413</v>
      </c>
      <c r="K18" s="3" t="s">
        <v>1414</v>
      </c>
      <c r="L18" s="3" t="s">
        <v>1514</v>
      </c>
      <c r="M18" s="3" t="s">
        <v>1365</v>
      </c>
      <c r="N18" s="3" t="s">
        <v>1366</v>
      </c>
      <c r="O18" s="3" t="s">
        <v>1450</v>
      </c>
      <c r="P18" s="3" t="s">
        <v>1450</v>
      </c>
      <c r="Q18" s="3" t="s">
        <v>1451</v>
      </c>
      <c r="R18" s="3"/>
      <c r="S18" s="3"/>
      <c r="T18" s="3" t="s">
        <v>1399</v>
      </c>
      <c r="U18" s="3"/>
      <c r="V18" s="3"/>
      <c r="W18" s="3"/>
      <c r="X18" s="3"/>
      <c r="Y18" s="3" t="s">
        <v>1374</v>
      </c>
      <c r="Z18" s="3" t="s">
        <v>1375</v>
      </c>
      <c r="AA18" s="3" t="s">
        <v>1437</v>
      </c>
      <c r="AB18" s="3" t="s">
        <v>1452</v>
      </c>
      <c r="AC18" s="3" t="s">
        <v>1526</v>
      </c>
      <c r="AD18" s="3"/>
      <c r="AE18" s="3" t="s">
        <v>1454</v>
      </c>
      <c r="AF18" s="3" t="s">
        <v>1380</v>
      </c>
      <c r="AG18" s="3" t="s">
        <v>700</v>
      </c>
      <c r="AH18" s="3"/>
      <c r="AI18" s="3"/>
      <c r="AJ18" s="3" t="s">
        <v>1455</v>
      </c>
      <c r="AK18" s="3" t="s">
        <v>1382</v>
      </c>
      <c r="AL18" s="3"/>
      <c r="AM18" s="3"/>
      <c r="AN18" s="3" t="s">
        <v>2001</v>
      </c>
    </row>
    <row r="19" spans="1:40" ht="60" customHeight="1" x14ac:dyDescent="0.2">
      <c r="A19" s="3" t="s">
        <v>2928</v>
      </c>
      <c r="B19" s="3" t="s">
        <v>2814</v>
      </c>
      <c r="C19" s="3" t="s">
        <v>2918</v>
      </c>
      <c r="D19" s="3" t="s">
        <v>2929</v>
      </c>
      <c r="E19" s="3" t="s">
        <v>2930</v>
      </c>
      <c r="F19" s="3" t="s">
        <v>1522</v>
      </c>
      <c r="G19" s="3"/>
      <c r="H19" s="3" t="s">
        <v>2921</v>
      </c>
      <c r="I19" s="3" t="s">
        <v>2922</v>
      </c>
      <c r="J19" s="3" t="s">
        <v>1413</v>
      </c>
      <c r="K19" s="3" t="s">
        <v>1414</v>
      </c>
      <c r="L19" s="3" t="s">
        <v>1514</v>
      </c>
      <c r="M19" s="3" t="s">
        <v>2356</v>
      </c>
      <c r="N19" s="3" t="s">
        <v>1366</v>
      </c>
      <c r="O19" s="3" t="s">
        <v>1450</v>
      </c>
      <c r="P19" s="3" t="s">
        <v>1450</v>
      </c>
      <c r="Q19" s="3" t="s">
        <v>1451</v>
      </c>
      <c r="R19" s="3"/>
      <c r="S19" s="3"/>
      <c r="T19" s="3" t="s">
        <v>1399</v>
      </c>
      <c r="U19" s="3"/>
      <c r="V19" s="3"/>
      <c r="W19" s="3"/>
      <c r="X19" s="3"/>
      <c r="Y19" s="3" t="s">
        <v>1374</v>
      </c>
      <c r="Z19" s="3" t="s">
        <v>1375</v>
      </c>
      <c r="AA19" s="3" t="s">
        <v>1437</v>
      </c>
      <c r="AB19" s="3" t="s">
        <v>1452</v>
      </c>
      <c r="AC19" s="3" t="s">
        <v>1526</v>
      </c>
      <c r="AD19" s="3"/>
      <c r="AE19" s="3" t="s">
        <v>1454</v>
      </c>
      <c r="AF19" s="3" t="s">
        <v>1380</v>
      </c>
      <c r="AG19" s="3" t="s">
        <v>700</v>
      </c>
      <c r="AH19" s="3"/>
      <c r="AI19" s="3"/>
      <c r="AJ19" s="3" t="s">
        <v>1455</v>
      </c>
      <c r="AK19" s="3" t="s">
        <v>1382</v>
      </c>
      <c r="AL19" s="3"/>
      <c r="AM19" s="3"/>
      <c r="AN19" s="3" t="s">
        <v>2001</v>
      </c>
    </row>
    <row r="20" spans="1:40" ht="60" customHeight="1" x14ac:dyDescent="0.2">
      <c r="A20" s="3" t="s">
        <v>2931</v>
      </c>
      <c r="B20" s="3" t="s">
        <v>2814</v>
      </c>
      <c r="C20" s="3" t="s">
        <v>2932</v>
      </c>
      <c r="D20" s="3" t="s">
        <v>2933</v>
      </c>
      <c r="E20" s="3" t="s">
        <v>2934</v>
      </c>
      <c r="F20" s="3" t="s">
        <v>2935</v>
      </c>
      <c r="G20" s="3" t="s">
        <v>2936</v>
      </c>
      <c r="H20" s="3" t="s">
        <v>2937</v>
      </c>
      <c r="I20" s="3" t="s">
        <v>2938</v>
      </c>
      <c r="J20" s="3" t="s">
        <v>2939</v>
      </c>
      <c r="K20" s="3" t="s">
        <v>1414</v>
      </c>
      <c r="L20" s="3" t="s">
        <v>1514</v>
      </c>
      <c r="M20" s="3" t="s">
        <v>1365</v>
      </c>
      <c r="N20" s="3" t="s">
        <v>1366</v>
      </c>
      <c r="O20" s="3" t="s">
        <v>2940</v>
      </c>
      <c r="P20" s="3" t="s">
        <v>2941</v>
      </c>
      <c r="Q20" s="3" t="s">
        <v>2942</v>
      </c>
      <c r="R20" s="3"/>
      <c r="S20" s="3"/>
      <c r="T20" s="3" t="s">
        <v>2943</v>
      </c>
      <c r="U20" s="3"/>
      <c r="V20" s="7" t="s">
        <v>2944</v>
      </c>
      <c r="W20" s="7" t="s">
        <v>2945</v>
      </c>
      <c r="X20" s="3"/>
      <c r="Y20" s="3" t="s">
        <v>1374</v>
      </c>
      <c r="Z20" s="3" t="s">
        <v>1375</v>
      </c>
      <c r="AA20" s="3" t="s">
        <v>1437</v>
      </c>
      <c r="AB20" s="3" t="s">
        <v>2946</v>
      </c>
      <c r="AC20" s="3" t="s">
        <v>1378</v>
      </c>
      <c r="AD20" s="3"/>
      <c r="AE20" s="3" t="s">
        <v>2947</v>
      </c>
      <c r="AF20" s="3" t="s">
        <v>1380</v>
      </c>
      <c r="AG20" s="3" t="s">
        <v>7</v>
      </c>
      <c r="AH20" s="3"/>
      <c r="AI20" s="3"/>
      <c r="AJ20" s="3" t="s">
        <v>2948</v>
      </c>
      <c r="AK20" s="3" t="s">
        <v>1382</v>
      </c>
      <c r="AL20" s="3"/>
      <c r="AM20" s="3"/>
      <c r="AN20" s="7" t="s">
        <v>2949</v>
      </c>
    </row>
    <row r="21" spans="1:40" ht="60" customHeight="1" x14ac:dyDescent="0.2">
      <c r="A21" s="3" t="s">
        <v>2950</v>
      </c>
      <c r="B21" s="3" t="s">
        <v>2814</v>
      </c>
      <c r="C21" s="3" t="s">
        <v>2932</v>
      </c>
      <c r="D21" s="3" t="s">
        <v>2951</v>
      </c>
      <c r="E21" s="3" t="s">
        <v>2952</v>
      </c>
      <c r="F21" s="3" t="s">
        <v>2935</v>
      </c>
      <c r="G21" s="3" t="s">
        <v>2936</v>
      </c>
      <c r="H21" s="3" t="s">
        <v>2937</v>
      </c>
      <c r="I21" s="3" t="s">
        <v>2938</v>
      </c>
      <c r="J21" s="3" t="s">
        <v>2939</v>
      </c>
      <c r="K21" s="3" t="s">
        <v>1414</v>
      </c>
      <c r="L21" s="3" t="s">
        <v>1514</v>
      </c>
      <c r="M21" s="3" t="s">
        <v>1365</v>
      </c>
      <c r="N21" s="3" t="s">
        <v>1366</v>
      </c>
      <c r="O21" s="3" t="s">
        <v>2940</v>
      </c>
      <c r="P21" s="3" t="s">
        <v>2941</v>
      </c>
      <c r="Q21" s="3" t="s">
        <v>2942</v>
      </c>
      <c r="R21" s="3"/>
      <c r="S21" s="3"/>
      <c r="T21" s="3" t="s">
        <v>2943</v>
      </c>
      <c r="U21" s="3"/>
      <c r="V21" s="3"/>
      <c r="W21" s="3" t="s">
        <v>2945</v>
      </c>
      <c r="X21" s="3"/>
      <c r="Y21" s="3" t="s">
        <v>1374</v>
      </c>
      <c r="Z21" s="3" t="s">
        <v>1375</v>
      </c>
      <c r="AA21" s="3" t="s">
        <v>1437</v>
      </c>
      <c r="AB21" s="3" t="s">
        <v>2946</v>
      </c>
      <c r="AC21" s="3" t="s">
        <v>1378</v>
      </c>
      <c r="AD21" s="3"/>
      <c r="AE21" s="3" t="s">
        <v>2953</v>
      </c>
      <c r="AF21" s="3" t="s">
        <v>1380</v>
      </c>
      <c r="AG21" s="3" t="s">
        <v>7</v>
      </c>
      <c r="AH21" s="3"/>
      <c r="AI21" s="3"/>
      <c r="AJ21" s="3" t="s">
        <v>2948</v>
      </c>
      <c r="AK21" s="3" t="s">
        <v>1382</v>
      </c>
      <c r="AL21" s="3"/>
      <c r="AM21" s="3"/>
      <c r="AN21" s="6" t="s">
        <v>2954</v>
      </c>
    </row>
    <row r="22" spans="1:40" ht="60" customHeight="1" x14ac:dyDescent="0.2">
      <c r="A22" s="3" t="s">
        <v>2955</v>
      </c>
      <c r="B22" s="3" t="s">
        <v>2814</v>
      </c>
      <c r="C22" s="3" t="s">
        <v>2932</v>
      </c>
      <c r="D22" s="3" t="s">
        <v>2956</v>
      </c>
      <c r="E22" s="3" t="s">
        <v>2817</v>
      </c>
      <c r="F22" s="3" t="s">
        <v>1522</v>
      </c>
      <c r="G22" s="3" t="s">
        <v>2957</v>
      </c>
      <c r="H22" s="3" t="s">
        <v>2830</v>
      </c>
      <c r="I22" s="3" t="s">
        <v>2831</v>
      </c>
      <c r="J22" s="3" t="s">
        <v>1413</v>
      </c>
      <c r="K22" s="3" t="s">
        <v>1414</v>
      </c>
      <c r="L22" s="3" t="s">
        <v>2958</v>
      </c>
      <c r="M22" s="3" t="s">
        <v>1365</v>
      </c>
      <c r="N22" s="3" t="s">
        <v>1366</v>
      </c>
      <c r="O22" s="3" t="s">
        <v>2833</v>
      </c>
      <c r="P22" s="3" t="s">
        <v>1450</v>
      </c>
      <c r="Q22" s="3" t="s">
        <v>1451</v>
      </c>
      <c r="R22" s="3"/>
      <c r="S22" s="3"/>
      <c r="T22" s="3" t="s">
        <v>1399</v>
      </c>
      <c r="U22" s="3"/>
      <c r="V22" s="3"/>
      <c r="W22" s="3"/>
      <c r="X22" s="3"/>
      <c r="Y22" s="3" t="s">
        <v>1374</v>
      </c>
      <c r="Z22" s="3" t="s">
        <v>1375</v>
      </c>
      <c r="AA22" s="3" t="s">
        <v>1437</v>
      </c>
      <c r="AB22" s="3" t="s">
        <v>1452</v>
      </c>
      <c r="AC22" s="3" t="s">
        <v>1526</v>
      </c>
      <c r="AD22" s="3"/>
      <c r="AE22" s="3" t="s">
        <v>2478</v>
      </c>
      <c r="AF22" s="3" t="s">
        <v>1380</v>
      </c>
      <c r="AG22" s="3" t="s">
        <v>700</v>
      </c>
      <c r="AH22" s="3"/>
      <c r="AI22" s="3"/>
      <c r="AJ22" s="3" t="s">
        <v>1518</v>
      </c>
      <c r="AK22" s="3" t="s">
        <v>1382</v>
      </c>
      <c r="AL22" s="3"/>
      <c r="AM22" s="3"/>
      <c r="AN22" s="8" t="s">
        <v>2836</v>
      </c>
    </row>
    <row r="23" spans="1:40" ht="60" customHeight="1" x14ac:dyDescent="0.2">
      <c r="A23" s="3" t="s">
        <v>2959</v>
      </c>
      <c r="B23" s="3" t="s">
        <v>2814</v>
      </c>
      <c r="C23" s="3" t="s">
        <v>2960</v>
      </c>
      <c r="D23" s="3" t="s">
        <v>2961</v>
      </c>
      <c r="E23" s="3" t="s">
        <v>2962</v>
      </c>
      <c r="F23" s="3" t="s">
        <v>1522</v>
      </c>
      <c r="G23" s="3"/>
      <c r="H23" s="3" t="s">
        <v>2963</v>
      </c>
      <c r="I23" s="3" t="s">
        <v>2964</v>
      </c>
      <c r="J23" s="3" t="s">
        <v>1413</v>
      </c>
      <c r="K23" s="3" t="s">
        <v>1585</v>
      </c>
      <c r="L23" s="3" t="s">
        <v>1514</v>
      </c>
      <c r="M23" s="3" t="s">
        <v>1586</v>
      </c>
      <c r="N23" s="3" t="s">
        <v>1366</v>
      </c>
      <c r="O23" s="3" t="s">
        <v>1450</v>
      </c>
      <c r="P23" s="3" t="s">
        <v>1450</v>
      </c>
      <c r="Q23" s="3" t="s">
        <v>1451</v>
      </c>
      <c r="R23" s="3"/>
      <c r="S23" s="3"/>
      <c r="T23" s="3" t="s">
        <v>1399</v>
      </c>
      <c r="U23" s="3"/>
      <c r="V23" s="3"/>
      <c r="W23" s="3"/>
      <c r="X23" s="3"/>
      <c r="Y23" s="3" t="s">
        <v>1374</v>
      </c>
      <c r="Z23" s="3" t="s">
        <v>1375</v>
      </c>
      <c r="AA23" s="3" t="s">
        <v>1437</v>
      </c>
      <c r="AB23" s="3" t="s">
        <v>1452</v>
      </c>
      <c r="AC23" s="3" t="s">
        <v>1526</v>
      </c>
      <c r="AD23" s="3"/>
      <c r="AE23" s="3" t="s">
        <v>1454</v>
      </c>
      <c r="AF23" s="3" t="s">
        <v>1380</v>
      </c>
      <c r="AG23" s="3" t="s">
        <v>700</v>
      </c>
      <c r="AH23" s="3"/>
      <c r="AI23" s="3"/>
      <c r="AJ23" s="3" t="s">
        <v>1455</v>
      </c>
      <c r="AK23" s="3" t="s">
        <v>1382</v>
      </c>
      <c r="AL23" s="3"/>
      <c r="AM23" s="3"/>
      <c r="AN23" s="8" t="s">
        <v>2502</v>
      </c>
    </row>
    <row r="24" spans="1:40" ht="60" customHeight="1" x14ac:dyDescent="0.2">
      <c r="A24" s="3"/>
      <c r="B24" s="3" t="s">
        <v>2814</v>
      </c>
      <c r="C24" s="3" t="s">
        <v>2965</v>
      </c>
      <c r="D24" s="3" t="s">
        <v>650</v>
      </c>
      <c r="E24" s="3" t="s">
        <v>650</v>
      </c>
      <c r="F24" s="3" t="s">
        <v>650</v>
      </c>
      <c r="G24" s="3"/>
      <c r="H24" s="3"/>
      <c r="I24" s="3"/>
      <c r="J24" s="3"/>
      <c r="K24" s="3"/>
      <c r="L24" s="3"/>
      <c r="M24" s="3"/>
      <c r="N24" s="3"/>
      <c r="O24" s="3"/>
      <c r="P24" s="3"/>
      <c r="Q24" s="3"/>
      <c r="R24" s="3"/>
      <c r="S24" s="3"/>
      <c r="T24" s="3"/>
      <c r="U24" s="3"/>
      <c r="V24" s="3"/>
      <c r="W24" s="3"/>
      <c r="X24" s="3" t="s">
        <v>1374</v>
      </c>
      <c r="Y24" s="3" t="s">
        <v>1536</v>
      </c>
      <c r="Z24" s="3"/>
      <c r="AA24" s="3"/>
      <c r="AB24" s="3"/>
      <c r="AC24" s="3"/>
      <c r="AD24" s="3"/>
      <c r="AE24" s="3"/>
      <c r="AF24" s="3"/>
      <c r="AG24" s="3"/>
      <c r="AH24" s="3"/>
      <c r="AI24" s="3"/>
      <c r="AJ24" s="3"/>
      <c r="AK24" s="3"/>
      <c r="AL24" s="3"/>
      <c r="AM24" s="3"/>
      <c r="AN24" s="3"/>
    </row>
    <row r="25" spans="1:40" ht="60" customHeight="1" x14ac:dyDescent="0.2">
      <c r="A25" s="3"/>
      <c r="B25" s="3" t="s">
        <v>2814</v>
      </c>
      <c r="C25" s="3" t="s">
        <v>2966</v>
      </c>
      <c r="D25" s="3" t="s">
        <v>650</v>
      </c>
      <c r="E25" s="3" t="s">
        <v>650</v>
      </c>
      <c r="F25" s="3" t="s">
        <v>650</v>
      </c>
      <c r="G25" s="3"/>
      <c r="H25" s="3"/>
      <c r="I25" s="3"/>
      <c r="J25" s="3"/>
      <c r="K25" s="3"/>
      <c r="L25" s="3"/>
      <c r="M25" s="3"/>
      <c r="N25" s="3"/>
      <c r="O25" s="3"/>
      <c r="P25" s="3"/>
      <c r="Q25" s="3"/>
      <c r="R25" s="3"/>
      <c r="S25" s="3"/>
      <c r="T25" s="3"/>
      <c r="U25" s="3"/>
      <c r="V25" s="3"/>
      <c r="W25" s="3"/>
      <c r="X25" s="3" t="s">
        <v>1374</v>
      </c>
      <c r="Y25" s="3" t="s">
        <v>1536</v>
      </c>
      <c r="Z25" s="3"/>
      <c r="AA25" s="3"/>
      <c r="AB25" s="3"/>
      <c r="AC25" s="3"/>
      <c r="AD25" s="3"/>
      <c r="AE25" s="3"/>
      <c r="AF25" s="3"/>
      <c r="AG25" s="3"/>
      <c r="AH25" s="3"/>
      <c r="AI25" s="3"/>
      <c r="AJ25" s="3"/>
      <c r="AK25" s="3"/>
      <c r="AL25" s="3"/>
      <c r="AM25" s="3"/>
      <c r="AN25" s="3"/>
    </row>
    <row r="26" spans="1:40" ht="60" customHeight="1" x14ac:dyDescent="0.2">
      <c r="A26" s="3"/>
      <c r="B26" s="3" t="s">
        <v>2814</v>
      </c>
      <c r="C26" s="3" t="s">
        <v>2967</v>
      </c>
      <c r="D26" s="3" t="s">
        <v>650</v>
      </c>
      <c r="E26" s="3" t="s">
        <v>650</v>
      </c>
      <c r="F26" s="3" t="s">
        <v>650</v>
      </c>
      <c r="G26" s="3"/>
      <c r="H26" s="3"/>
      <c r="I26" s="3"/>
      <c r="J26" s="3"/>
      <c r="K26" s="3"/>
      <c r="L26" s="3"/>
      <c r="M26" s="3"/>
      <c r="N26" s="3"/>
      <c r="O26" s="3"/>
      <c r="P26" s="3"/>
      <c r="Q26" s="3"/>
      <c r="R26" s="3"/>
      <c r="S26" s="3"/>
      <c r="T26" s="3"/>
      <c r="U26" s="3"/>
      <c r="V26" s="3"/>
      <c r="W26" s="3"/>
      <c r="X26" s="3" t="s">
        <v>1374</v>
      </c>
      <c r="Y26" s="3" t="s">
        <v>1536</v>
      </c>
      <c r="Z26" s="3"/>
      <c r="AA26" s="3"/>
      <c r="AB26" s="3"/>
      <c r="AC26" s="3"/>
      <c r="AD26" s="3"/>
      <c r="AE26" s="3"/>
      <c r="AF26" s="3"/>
      <c r="AG26" s="3"/>
      <c r="AH26" s="3"/>
      <c r="AI26" s="3"/>
      <c r="AJ26" s="3"/>
      <c r="AK26" s="3"/>
      <c r="AL26" s="3"/>
      <c r="AM26" s="3"/>
      <c r="AN26" s="3"/>
    </row>
    <row r="27" spans="1:40" ht="60" customHeight="1" x14ac:dyDescent="0.2">
      <c r="A27" s="3"/>
      <c r="B27" s="3" t="s">
        <v>2814</v>
      </c>
      <c r="C27" s="3" t="s">
        <v>2968</v>
      </c>
      <c r="D27" s="3" t="s">
        <v>650</v>
      </c>
      <c r="E27" s="3" t="s">
        <v>650</v>
      </c>
      <c r="F27" s="3" t="s">
        <v>650</v>
      </c>
      <c r="G27" s="3"/>
      <c r="H27" s="3"/>
      <c r="I27" s="3"/>
      <c r="J27" s="3"/>
      <c r="K27" s="3"/>
      <c r="L27" s="3"/>
      <c r="M27" s="3"/>
      <c r="N27" s="3"/>
      <c r="O27" s="3"/>
      <c r="P27" s="3"/>
      <c r="Q27" s="3"/>
      <c r="R27" s="3"/>
      <c r="S27" s="3"/>
      <c r="T27" s="3"/>
      <c r="U27" s="3"/>
      <c r="V27" s="3"/>
      <c r="W27" s="3"/>
      <c r="X27" s="3" t="s">
        <v>1374</v>
      </c>
      <c r="Y27" s="3" t="s">
        <v>1536</v>
      </c>
      <c r="Z27" s="3"/>
      <c r="AA27" s="3"/>
      <c r="AB27" s="3"/>
      <c r="AC27" s="3"/>
      <c r="AD27" s="3"/>
      <c r="AE27" s="3"/>
      <c r="AF27" s="3"/>
      <c r="AG27" s="3"/>
      <c r="AH27" s="3"/>
      <c r="AI27" s="3"/>
      <c r="AJ27" s="3"/>
      <c r="AK27" s="3"/>
      <c r="AL27" s="3"/>
      <c r="AM27" s="3"/>
      <c r="AN27" s="3"/>
    </row>
    <row r="28" spans="1:40" ht="45" customHeight="1" x14ac:dyDescent="0.2">
      <c r="A28" s="3"/>
      <c r="B28" s="3" t="s">
        <v>2814</v>
      </c>
      <c r="C28" s="3" t="s">
        <v>2969</v>
      </c>
      <c r="D28" s="3"/>
      <c r="E28" s="3"/>
      <c r="F28" s="3"/>
      <c r="G28" s="3"/>
      <c r="H28" s="3"/>
      <c r="I28" s="3"/>
      <c r="J28" s="3"/>
      <c r="K28" s="3"/>
      <c r="L28" s="3"/>
      <c r="M28" s="3"/>
      <c r="N28" s="3"/>
      <c r="O28" s="3"/>
      <c r="P28" s="3"/>
      <c r="Q28" s="3"/>
      <c r="R28" s="3"/>
      <c r="S28" s="3"/>
      <c r="T28" s="3"/>
      <c r="U28" s="3"/>
      <c r="V28" s="3"/>
      <c r="W28" s="3"/>
      <c r="X28" s="3" t="s">
        <v>1534</v>
      </c>
      <c r="Y28" s="3"/>
      <c r="Z28" s="3"/>
      <c r="AA28" s="3"/>
      <c r="AB28" s="3"/>
      <c r="AC28" s="3"/>
      <c r="AD28" s="3"/>
      <c r="AE28" s="3"/>
      <c r="AF28" s="3"/>
      <c r="AG28" s="3"/>
      <c r="AH28" s="3"/>
      <c r="AI28" s="3"/>
      <c r="AJ28" s="3"/>
      <c r="AK28" s="3"/>
      <c r="AL28" s="3"/>
      <c r="AM28" s="3"/>
      <c r="AN28" s="3"/>
    </row>
    <row r="29" spans="1:40" ht="45" customHeight="1" x14ac:dyDescent="0.2">
      <c r="A29" s="3"/>
      <c r="B29" s="3" t="s">
        <v>2814</v>
      </c>
      <c r="C29" s="3" t="s">
        <v>2970</v>
      </c>
      <c r="D29" s="3"/>
      <c r="E29" s="3"/>
      <c r="F29" s="3"/>
      <c r="G29" s="3"/>
      <c r="H29" s="3"/>
      <c r="I29" s="3"/>
      <c r="J29" s="3"/>
      <c r="K29" s="3"/>
      <c r="L29" s="3"/>
      <c r="M29" s="3"/>
      <c r="N29" s="3"/>
      <c r="O29" s="3"/>
      <c r="P29" s="3"/>
      <c r="Q29" s="3"/>
      <c r="R29" s="3"/>
      <c r="S29" s="3"/>
      <c r="T29" s="3"/>
      <c r="U29" s="3"/>
      <c r="V29" s="3"/>
      <c r="W29" s="3"/>
      <c r="X29" s="3" t="s">
        <v>1534</v>
      </c>
      <c r="Y29" s="3"/>
      <c r="Z29" s="3"/>
      <c r="AA29" s="3"/>
      <c r="AB29" s="3"/>
      <c r="AC29" s="3"/>
      <c r="AD29" s="3"/>
      <c r="AE29" s="3"/>
      <c r="AF29" s="3"/>
      <c r="AG29" s="3"/>
      <c r="AH29" s="3"/>
      <c r="AI29" s="3"/>
      <c r="AJ29" s="3"/>
      <c r="AK29" s="3"/>
      <c r="AL29" s="3"/>
      <c r="AM29" s="3"/>
      <c r="AN29" s="3"/>
    </row>
    <row r="30" spans="1:40" ht="60" customHeight="1" x14ac:dyDescent="0.2">
      <c r="A30" s="3"/>
      <c r="B30" s="3" t="s">
        <v>2814</v>
      </c>
      <c r="C30" s="3" t="s">
        <v>2971</v>
      </c>
      <c r="D30" s="3" t="s">
        <v>650</v>
      </c>
      <c r="E30" s="3" t="s">
        <v>650</v>
      </c>
      <c r="F30" s="3" t="s">
        <v>650</v>
      </c>
      <c r="G30" s="3"/>
      <c r="H30" s="3"/>
      <c r="I30" s="3"/>
      <c r="J30" s="3"/>
      <c r="K30" s="3"/>
      <c r="L30" s="3"/>
      <c r="M30" s="3"/>
      <c r="N30" s="3"/>
      <c r="O30" s="3"/>
      <c r="P30" s="3"/>
      <c r="Q30" s="3"/>
      <c r="R30" s="3"/>
      <c r="S30" s="3"/>
      <c r="T30" s="3"/>
      <c r="U30" s="3"/>
      <c r="V30" s="3"/>
      <c r="W30" s="3"/>
      <c r="X30" s="3" t="s">
        <v>1374</v>
      </c>
      <c r="Y30" s="3" t="s">
        <v>1536</v>
      </c>
      <c r="Z30" s="3"/>
      <c r="AA30" s="3"/>
      <c r="AB30" s="3"/>
      <c r="AC30" s="3"/>
      <c r="AD30" s="3"/>
      <c r="AE30" s="3"/>
      <c r="AF30" s="3"/>
      <c r="AG30" s="3"/>
      <c r="AH30" s="3"/>
      <c r="AI30" s="3"/>
      <c r="AJ30" s="3"/>
      <c r="AK30" s="3"/>
      <c r="AL30" s="3"/>
      <c r="AM30" s="3"/>
      <c r="AN30" s="3"/>
    </row>
    <row r="31" spans="1:40" ht="60" customHeight="1" x14ac:dyDescent="0.2">
      <c r="A31" s="3"/>
      <c r="B31" s="3" t="s">
        <v>2814</v>
      </c>
      <c r="C31" s="3" t="s">
        <v>2972</v>
      </c>
      <c r="D31" s="3" t="s">
        <v>650</v>
      </c>
      <c r="E31" s="3" t="s">
        <v>650</v>
      </c>
      <c r="F31" s="3" t="s">
        <v>650</v>
      </c>
      <c r="G31" s="3"/>
      <c r="H31" s="3"/>
      <c r="I31" s="3"/>
      <c r="J31" s="3"/>
      <c r="K31" s="3"/>
      <c r="L31" s="3"/>
      <c r="M31" s="3"/>
      <c r="N31" s="3"/>
      <c r="O31" s="3"/>
      <c r="P31" s="3"/>
      <c r="Q31" s="3"/>
      <c r="R31" s="3"/>
      <c r="S31" s="3"/>
      <c r="T31" s="3"/>
      <c r="U31" s="3"/>
      <c r="V31" s="3"/>
      <c r="W31" s="3"/>
      <c r="X31" s="3" t="s">
        <v>1374</v>
      </c>
      <c r="Y31" s="3" t="s">
        <v>1536</v>
      </c>
      <c r="Z31" s="3"/>
      <c r="AA31" s="3"/>
      <c r="AB31" s="3"/>
      <c r="AC31" s="3"/>
      <c r="AD31" s="3"/>
      <c r="AE31" s="3"/>
      <c r="AF31" s="3"/>
      <c r="AG31" s="3"/>
      <c r="AH31" s="3"/>
      <c r="AI31" s="3"/>
      <c r="AJ31" s="3"/>
      <c r="AK31" s="3"/>
      <c r="AL31" s="3"/>
      <c r="AM31" s="3"/>
      <c r="AN31" s="3"/>
    </row>
    <row r="32" spans="1:40" ht="45" customHeight="1" x14ac:dyDescent="0.2">
      <c r="A32" s="3"/>
      <c r="B32" s="3" t="s">
        <v>2814</v>
      </c>
      <c r="C32" s="3" t="s">
        <v>2973</v>
      </c>
      <c r="D32" s="3"/>
      <c r="E32" s="3"/>
      <c r="F32" s="3"/>
      <c r="G32" s="3"/>
      <c r="H32" s="3"/>
      <c r="I32" s="3"/>
      <c r="J32" s="3"/>
      <c r="K32" s="3"/>
      <c r="L32" s="3"/>
      <c r="M32" s="3"/>
      <c r="N32" s="3"/>
      <c r="O32" s="3"/>
      <c r="P32" s="3"/>
      <c r="Q32" s="3"/>
      <c r="R32" s="3"/>
      <c r="S32" s="3"/>
      <c r="T32" s="3"/>
      <c r="U32" s="3"/>
      <c r="V32" s="3"/>
      <c r="W32" s="3"/>
      <c r="X32" s="3" t="s">
        <v>1534</v>
      </c>
      <c r="Y32" s="3"/>
      <c r="Z32" s="3"/>
      <c r="AA32" s="3"/>
      <c r="AB32" s="3"/>
      <c r="AC32" s="3"/>
      <c r="AD32" s="3"/>
      <c r="AE32" s="3"/>
      <c r="AF32" s="3"/>
      <c r="AG32" s="3"/>
      <c r="AH32" s="3"/>
      <c r="AI32" s="3"/>
      <c r="AJ32" s="3"/>
      <c r="AK32" s="3"/>
      <c r="AL32" s="3"/>
      <c r="AM32" s="3"/>
      <c r="AN32" s="3"/>
    </row>
    <row r="33" spans="1:40" ht="60" customHeight="1" x14ac:dyDescent="0.2">
      <c r="A33" s="3"/>
      <c r="B33" s="3" t="s">
        <v>2814</v>
      </c>
      <c r="C33" s="3" t="s">
        <v>2974</v>
      </c>
      <c r="D33" s="3" t="s">
        <v>650</v>
      </c>
      <c r="E33" s="3" t="s">
        <v>650</v>
      </c>
      <c r="F33" s="3" t="s">
        <v>650</v>
      </c>
      <c r="G33" s="3"/>
      <c r="H33" s="3"/>
      <c r="I33" s="3"/>
      <c r="J33" s="3"/>
      <c r="K33" s="3"/>
      <c r="L33" s="3"/>
      <c r="M33" s="3"/>
      <c r="N33" s="3"/>
      <c r="O33" s="3"/>
      <c r="P33" s="3"/>
      <c r="Q33" s="3"/>
      <c r="R33" s="3"/>
      <c r="S33" s="3"/>
      <c r="T33" s="3"/>
      <c r="U33" s="3"/>
      <c r="V33" s="3"/>
      <c r="W33" s="3"/>
      <c r="X33" s="3" t="s">
        <v>1374</v>
      </c>
      <c r="Y33" s="3" t="s">
        <v>1536</v>
      </c>
      <c r="Z33" s="3"/>
      <c r="AA33" s="3"/>
      <c r="AB33" s="3"/>
      <c r="AC33" s="3"/>
      <c r="AD33" s="3"/>
      <c r="AE33" s="3"/>
      <c r="AF33" s="3"/>
      <c r="AG33" s="3"/>
      <c r="AH33" s="3"/>
      <c r="AI33" s="3"/>
      <c r="AJ33" s="3"/>
      <c r="AK33" s="3"/>
      <c r="AL33" s="3"/>
      <c r="AM33" s="3"/>
      <c r="AN33" s="3"/>
    </row>
    <row r="34" spans="1:40" ht="60" customHeight="1" x14ac:dyDescent="0.2">
      <c r="A34" s="3" t="s">
        <v>2975</v>
      </c>
      <c r="B34" s="3" t="s">
        <v>2814</v>
      </c>
      <c r="C34" s="3" t="s">
        <v>2913</v>
      </c>
      <c r="D34" s="3" t="s">
        <v>2976</v>
      </c>
      <c r="E34" s="3" t="s">
        <v>2977</v>
      </c>
      <c r="F34" s="3" t="s">
        <v>1461</v>
      </c>
      <c r="G34" s="3" t="s">
        <v>1462</v>
      </c>
      <c r="H34" s="3" t="s">
        <v>2978</v>
      </c>
      <c r="I34" s="3" t="s">
        <v>2978</v>
      </c>
      <c r="J34" s="3" t="s">
        <v>1485</v>
      </c>
      <c r="K34" s="3" t="s">
        <v>1465</v>
      </c>
      <c r="L34" s="3" t="s">
        <v>1941</v>
      </c>
      <c r="M34" s="3" t="s">
        <v>1467</v>
      </c>
      <c r="N34" s="3" t="s">
        <v>1468</v>
      </c>
      <c r="O34" s="3" t="s">
        <v>1469</v>
      </c>
      <c r="P34" s="3" t="s">
        <v>1470</v>
      </c>
      <c r="Q34" s="3" t="s">
        <v>2979</v>
      </c>
      <c r="R34" s="3" t="s">
        <v>2979</v>
      </c>
      <c r="S34" s="3"/>
      <c r="T34" s="3" t="s">
        <v>2979</v>
      </c>
      <c r="U34" s="3"/>
      <c r="V34" s="3"/>
      <c r="W34" s="3"/>
      <c r="X34" s="3"/>
      <c r="Y34" s="3"/>
      <c r="Z34" s="3" t="s">
        <v>1475</v>
      </c>
      <c r="AA34" s="3"/>
      <c r="AB34" s="3"/>
      <c r="AC34" s="3"/>
      <c r="AD34" s="3"/>
      <c r="AE34" s="3"/>
      <c r="AF34" s="3" t="s">
        <v>1380</v>
      </c>
      <c r="AG34" s="3" t="s">
        <v>7</v>
      </c>
      <c r="AH34" s="3"/>
      <c r="AI34" s="3"/>
      <c r="AJ34" s="3" t="s">
        <v>1477</v>
      </c>
      <c r="AK34" s="3" t="s">
        <v>1382</v>
      </c>
      <c r="AL34" s="3"/>
      <c r="AM34" s="3"/>
      <c r="AN34" s="8" t="s">
        <v>1479</v>
      </c>
    </row>
    <row r="35" spans="1:40" ht="60" customHeight="1" x14ac:dyDescent="0.2">
      <c r="A35" s="3" t="s">
        <v>2980</v>
      </c>
      <c r="B35" s="3" t="s">
        <v>2814</v>
      </c>
      <c r="C35" s="3" t="s">
        <v>2969</v>
      </c>
      <c r="D35" s="3" t="s">
        <v>2981</v>
      </c>
      <c r="E35" s="3" t="s">
        <v>2982</v>
      </c>
      <c r="F35" s="3" t="s">
        <v>2983</v>
      </c>
      <c r="G35" s="3" t="s">
        <v>2984</v>
      </c>
      <c r="H35" s="3" t="s">
        <v>2985</v>
      </c>
      <c r="I35" s="3" t="s">
        <v>2986</v>
      </c>
      <c r="J35" s="3" t="s">
        <v>1711</v>
      </c>
      <c r="K35" s="3" t="s">
        <v>1730</v>
      </c>
      <c r="L35" s="3" t="s">
        <v>2987</v>
      </c>
      <c r="M35" s="3" t="s">
        <v>1467</v>
      </c>
      <c r="N35" s="3" t="s">
        <v>1468</v>
      </c>
      <c r="O35" s="3" t="s">
        <v>2988</v>
      </c>
      <c r="P35" s="3" t="s">
        <v>1715</v>
      </c>
      <c r="Q35" s="3" t="s">
        <v>1471</v>
      </c>
      <c r="R35" s="3" t="s">
        <v>1471</v>
      </c>
      <c r="S35" s="3"/>
      <c r="T35" s="3" t="s">
        <v>1733</v>
      </c>
      <c r="U35" s="3"/>
      <c r="V35" s="7" t="s">
        <v>2989</v>
      </c>
      <c r="W35" s="7"/>
      <c r="X35" s="3"/>
      <c r="Y35" s="3"/>
      <c r="Z35" s="3" t="s">
        <v>1475</v>
      </c>
      <c r="AA35" s="3"/>
      <c r="AB35" s="3"/>
      <c r="AC35" s="3"/>
      <c r="AD35" s="3"/>
      <c r="AE35" s="3" t="s">
        <v>1734</v>
      </c>
      <c r="AF35" s="3" t="s">
        <v>1380</v>
      </c>
      <c r="AG35" s="3" t="s">
        <v>7</v>
      </c>
      <c r="AH35" s="3"/>
      <c r="AI35" s="3"/>
      <c r="AJ35" s="3" t="s">
        <v>2990</v>
      </c>
      <c r="AK35" s="3" t="s">
        <v>1382</v>
      </c>
      <c r="AL35" s="3"/>
      <c r="AM35" s="3"/>
      <c r="AN35" s="7" t="s">
        <v>2991</v>
      </c>
    </row>
    <row r="36" spans="1:40" ht="60" customHeight="1" x14ac:dyDescent="0.2">
      <c r="A36" s="3" t="s">
        <v>2992</v>
      </c>
      <c r="B36" s="3" t="s">
        <v>2814</v>
      </c>
      <c r="C36" s="3" t="s">
        <v>2969</v>
      </c>
      <c r="D36" s="3" t="s">
        <v>2993</v>
      </c>
      <c r="E36" s="3" t="s">
        <v>2994</v>
      </c>
      <c r="F36" s="3" t="s">
        <v>2995</v>
      </c>
      <c r="G36" s="3" t="s">
        <v>2984</v>
      </c>
      <c r="H36" s="3" t="s">
        <v>2996</v>
      </c>
      <c r="I36" s="3" t="s">
        <v>2997</v>
      </c>
      <c r="J36" s="3" t="s">
        <v>1711</v>
      </c>
      <c r="K36" s="3" t="s">
        <v>1730</v>
      </c>
      <c r="L36" s="3" t="s">
        <v>1415</v>
      </c>
      <c r="M36" s="3" t="s">
        <v>1467</v>
      </c>
      <c r="N36" s="3" t="s">
        <v>1468</v>
      </c>
      <c r="O36" s="3" t="s">
        <v>2988</v>
      </c>
      <c r="P36" s="3" t="s">
        <v>1715</v>
      </c>
      <c r="Q36" s="3" t="s">
        <v>2998</v>
      </c>
      <c r="R36" s="3" t="s">
        <v>2998</v>
      </c>
      <c r="S36" s="3"/>
      <c r="T36" s="3" t="s">
        <v>2999</v>
      </c>
      <c r="U36" s="3"/>
      <c r="V36" s="3"/>
      <c r="W36" s="3"/>
      <c r="X36" s="3"/>
      <c r="Y36" s="3"/>
      <c r="Z36" s="3" t="s">
        <v>1475</v>
      </c>
      <c r="AA36" s="3"/>
      <c r="AB36" s="3"/>
      <c r="AC36" s="3"/>
      <c r="AD36" s="3"/>
      <c r="AE36" s="3" t="s">
        <v>3000</v>
      </c>
      <c r="AF36" s="3" t="s">
        <v>1380</v>
      </c>
      <c r="AG36" s="3" t="s">
        <v>7</v>
      </c>
      <c r="AH36" s="3"/>
      <c r="AI36" s="3"/>
      <c r="AJ36" s="3" t="s">
        <v>2990</v>
      </c>
      <c r="AK36" s="3" t="s">
        <v>1382</v>
      </c>
      <c r="AL36" s="3"/>
      <c r="AM36" s="3"/>
      <c r="AN36" s="8" t="s">
        <v>1722</v>
      </c>
    </row>
    <row r="37" spans="1:40" ht="60" customHeight="1" x14ac:dyDescent="0.2">
      <c r="A37" s="3" t="s">
        <v>3001</v>
      </c>
      <c r="B37" s="3" t="s">
        <v>2814</v>
      </c>
      <c r="C37" s="3" t="s">
        <v>2970</v>
      </c>
      <c r="D37" s="3" t="s">
        <v>3002</v>
      </c>
      <c r="E37" s="3" t="s">
        <v>3003</v>
      </c>
      <c r="F37" s="3" t="s">
        <v>1461</v>
      </c>
      <c r="G37" s="3" t="s">
        <v>1462</v>
      </c>
      <c r="H37" s="3" t="s">
        <v>3004</v>
      </c>
      <c r="I37" s="3" t="s">
        <v>3004</v>
      </c>
      <c r="J37" s="3" t="s">
        <v>1485</v>
      </c>
      <c r="K37" s="3" t="s">
        <v>1465</v>
      </c>
      <c r="L37" s="3" t="s">
        <v>3005</v>
      </c>
      <c r="M37" s="3" t="s">
        <v>1467</v>
      </c>
      <c r="N37" s="3" t="s">
        <v>1468</v>
      </c>
      <c r="O37" s="3" t="s">
        <v>1469</v>
      </c>
      <c r="P37" s="3" t="s">
        <v>1470</v>
      </c>
      <c r="Q37" s="3" t="s">
        <v>3006</v>
      </c>
      <c r="R37" s="3" t="s">
        <v>3006</v>
      </c>
      <c r="S37" s="3"/>
      <c r="T37" s="3" t="s">
        <v>3006</v>
      </c>
      <c r="U37" s="3"/>
      <c r="V37" s="3"/>
      <c r="W37" s="3"/>
      <c r="X37" s="3"/>
      <c r="Y37" s="3"/>
      <c r="Z37" s="3" t="s">
        <v>1475</v>
      </c>
      <c r="AA37" s="3"/>
      <c r="AB37" s="3"/>
      <c r="AC37" s="3"/>
      <c r="AD37" s="3"/>
      <c r="AE37" s="3" t="s">
        <v>3007</v>
      </c>
      <c r="AF37" s="3" t="s">
        <v>1380</v>
      </c>
      <c r="AG37" s="3" t="s">
        <v>7</v>
      </c>
      <c r="AH37" s="3"/>
      <c r="AI37" s="3"/>
      <c r="AJ37" s="3" t="s">
        <v>1477</v>
      </c>
      <c r="AK37" s="3" t="s">
        <v>1382</v>
      </c>
      <c r="AL37" s="3"/>
      <c r="AM37" s="3"/>
      <c r="AN37" s="8" t="s">
        <v>1479</v>
      </c>
    </row>
    <row r="38" spans="1:40" ht="60" customHeight="1" x14ac:dyDescent="0.2">
      <c r="A38" s="3" t="s">
        <v>3008</v>
      </c>
      <c r="B38" s="3" t="s">
        <v>2814</v>
      </c>
      <c r="C38" s="3" t="s">
        <v>2970</v>
      </c>
      <c r="D38" s="3" t="s">
        <v>3009</v>
      </c>
      <c r="E38" s="3" t="s">
        <v>3010</v>
      </c>
      <c r="F38" s="3" t="s">
        <v>3011</v>
      </c>
      <c r="G38" s="3" t="s">
        <v>3012</v>
      </c>
      <c r="H38" s="3" t="s">
        <v>3013</v>
      </c>
      <c r="I38" s="3" t="s">
        <v>3013</v>
      </c>
      <c r="J38" s="3" t="s">
        <v>1485</v>
      </c>
      <c r="K38" s="3" t="s">
        <v>1962</v>
      </c>
      <c r="L38" s="3" t="s">
        <v>3005</v>
      </c>
      <c r="M38" s="3" t="s">
        <v>1467</v>
      </c>
      <c r="N38" s="3" t="s">
        <v>1963</v>
      </c>
      <c r="O38" s="3" t="s">
        <v>3014</v>
      </c>
      <c r="P38" s="3" t="s">
        <v>3015</v>
      </c>
      <c r="Q38" s="3" t="s">
        <v>3016</v>
      </c>
      <c r="R38" s="3" t="s">
        <v>3016</v>
      </c>
      <c r="S38" s="3"/>
      <c r="T38" s="3" t="s">
        <v>3016</v>
      </c>
      <c r="U38" s="3"/>
      <c r="V38" s="3"/>
      <c r="W38" s="3"/>
      <c r="X38" s="3"/>
      <c r="Y38" s="3"/>
      <c r="Z38" s="3" t="s">
        <v>1475</v>
      </c>
      <c r="AA38" s="3"/>
      <c r="AB38" s="3"/>
      <c r="AC38" s="3"/>
      <c r="AD38" s="3"/>
      <c r="AE38" s="3" t="s">
        <v>3007</v>
      </c>
      <c r="AF38" s="3" t="s">
        <v>1380</v>
      </c>
      <c r="AG38" s="3" t="s">
        <v>7</v>
      </c>
      <c r="AH38" s="3"/>
      <c r="AI38" s="3"/>
      <c r="AJ38" s="3" t="s">
        <v>3017</v>
      </c>
      <c r="AK38" s="3" t="s">
        <v>1382</v>
      </c>
      <c r="AL38" s="3"/>
      <c r="AM38" s="3"/>
      <c r="AN38" s="3" t="s">
        <v>2001</v>
      </c>
    </row>
    <row r="39" spans="1:40" ht="60" customHeight="1" x14ac:dyDescent="0.2">
      <c r="A39" s="3" t="s">
        <v>3018</v>
      </c>
      <c r="B39" s="3" t="s">
        <v>2814</v>
      </c>
      <c r="C39" s="3" t="s">
        <v>2973</v>
      </c>
      <c r="D39" s="3" t="s">
        <v>3019</v>
      </c>
      <c r="E39" s="3" t="s">
        <v>3020</v>
      </c>
      <c r="F39" s="3" t="s">
        <v>3021</v>
      </c>
      <c r="G39" s="3" t="s">
        <v>3022</v>
      </c>
      <c r="H39" s="3" t="s">
        <v>3023</v>
      </c>
      <c r="I39" s="3" t="s">
        <v>3024</v>
      </c>
      <c r="J39" s="3" t="s">
        <v>1711</v>
      </c>
      <c r="K39" s="3" t="s">
        <v>1465</v>
      </c>
      <c r="L39" s="3" t="s">
        <v>1466</v>
      </c>
      <c r="M39" s="3" t="s">
        <v>1467</v>
      </c>
      <c r="N39" s="3" t="s">
        <v>1468</v>
      </c>
      <c r="O39" s="3" t="s">
        <v>3025</v>
      </c>
      <c r="P39" s="3" t="s">
        <v>1715</v>
      </c>
      <c r="Q39" s="3" t="s">
        <v>1471</v>
      </c>
      <c r="R39" s="3" t="s">
        <v>1471</v>
      </c>
      <c r="S39" s="3"/>
      <c r="T39" s="3" t="s">
        <v>1733</v>
      </c>
      <c r="U39" s="3"/>
      <c r="V39" s="7" t="s">
        <v>3026</v>
      </c>
      <c r="W39" s="7"/>
      <c r="X39" s="3"/>
      <c r="Y39" s="3"/>
      <c r="Z39" s="3" t="s">
        <v>1475</v>
      </c>
      <c r="AA39" s="3"/>
      <c r="AB39" s="3"/>
      <c r="AC39" s="3"/>
      <c r="AD39" s="3"/>
      <c r="AE39" s="3" t="s">
        <v>3027</v>
      </c>
      <c r="AF39" s="3" t="s">
        <v>1380</v>
      </c>
      <c r="AG39" s="3" t="s">
        <v>7</v>
      </c>
      <c r="AH39" s="3"/>
      <c r="AI39" s="3"/>
      <c r="AJ39" s="3" t="s">
        <v>3028</v>
      </c>
      <c r="AK39" s="3" t="s">
        <v>1382</v>
      </c>
      <c r="AL39" s="3"/>
      <c r="AM39" s="3"/>
      <c r="AN39" s="7" t="s">
        <v>3029</v>
      </c>
    </row>
    <row r="40" spans="1:40" ht="60" customHeight="1" x14ac:dyDescent="0.2">
      <c r="A40" s="3" t="s">
        <v>3030</v>
      </c>
      <c r="B40" s="3" t="s">
        <v>2814</v>
      </c>
      <c r="C40" s="3" t="s">
        <v>2973</v>
      </c>
      <c r="D40" s="3" t="s">
        <v>3031</v>
      </c>
      <c r="E40" s="3" t="s">
        <v>3032</v>
      </c>
      <c r="F40" s="3" t="s">
        <v>3021</v>
      </c>
      <c r="G40" s="3" t="s">
        <v>3022</v>
      </c>
      <c r="H40" s="3" t="s">
        <v>3033</v>
      </c>
      <c r="I40" s="3" t="s">
        <v>3034</v>
      </c>
      <c r="J40" s="3" t="s">
        <v>1711</v>
      </c>
      <c r="K40" s="3" t="s">
        <v>1730</v>
      </c>
      <c r="L40" s="3" t="s">
        <v>1466</v>
      </c>
      <c r="M40" s="3" t="s">
        <v>1467</v>
      </c>
      <c r="N40" s="3" t="s">
        <v>1468</v>
      </c>
      <c r="O40" s="3" t="s">
        <v>3025</v>
      </c>
      <c r="P40" s="3" t="s">
        <v>1715</v>
      </c>
      <c r="Q40" s="3" t="s">
        <v>1471</v>
      </c>
      <c r="R40" s="3" t="s">
        <v>1471</v>
      </c>
      <c r="S40" s="3"/>
      <c r="T40" s="3" t="s">
        <v>1733</v>
      </c>
      <c r="U40" s="3"/>
      <c r="V40" s="3"/>
      <c r="W40" s="3"/>
      <c r="X40" s="3"/>
      <c r="Y40" s="3"/>
      <c r="Z40" s="3" t="s">
        <v>1475</v>
      </c>
      <c r="AA40" s="3"/>
      <c r="AB40" s="3"/>
      <c r="AC40" s="3"/>
      <c r="AD40" s="3"/>
      <c r="AE40" s="3" t="s">
        <v>3027</v>
      </c>
      <c r="AF40" s="3" t="s">
        <v>1380</v>
      </c>
      <c r="AG40" s="3" t="s">
        <v>7</v>
      </c>
      <c r="AH40" s="3"/>
      <c r="AI40" s="3"/>
      <c r="AJ40" s="3" t="s">
        <v>3028</v>
      </c>
      <c r="AK40" s="3" t="s">
        <v>1382</v>
      </c>
      <c r="AL40" s="3"/>
      <c r="AM40" s="3"/>
      <c r="AN40" s="8" t="s">
        <v>1722</v>
      </c>
    </row>
    <row r="41" spans="1:40" ht="60" customHeight="1" x14ac:dyDescent="0.2">
      <c r="A41" s="3" t="s">
        <v>3035</v>
      </c>
      <c r="B41" s="3" t="s">
        <v>2814</v>
      </c>
      <c r="C41" s="3" t="s">
        <v>2973</v>
      </c>
      <c r="D41" s="3" t="s">
        <v>3036</v>
      </c>
      <c r="E41" s="3" t="s">
        <v>3037</v>
      </c>
      <c r="F41" s="3" t="s">
        <v>1707</v>
      </c>
      <c r="G41" s="3" t="s">
        <v>1708</v>
      </c>
      <c r="H41" s="3" t="s">
        <v>3038</v>
      </c>
      <c r="I41" s="3" t="s">
        <v>3039</v>
      </c>
      <c r="J41" s="3" t="s">
        <v>1711</v>
      </c>
      <c r="K41" s="3" t="s">
        <v>1689</v>
      </c>
      <c r="L41" s="3" t="s">
        <v>1415</v>
      </c>
      <c r="M41" s="3" t="s">
        <v>1467</v>
      </c>
      <c r="N41" s="3" t="s">
        <v>1691</v>
      </c>
      <c r="O41" s="3" t="s">
        <v>1714</v>
      </c>
      <c r="P41" s="3" t="s">
        <v>1715</v>
      </c>
      <c r="Q41" s="3" t="s">
        <v>1471</v>
      </c>
      <c r="R41" s="3" t="s">
        <v>1471</v>
      </c>
      <c r="S41" s="3"/>
      <c r="T41" s="3" t="s">
        <v>1733</v>
      </c>
      <c r="U41" s="3"/>
      <c r="V41" s="3"/>
      <c r="W41" s="3"/>
      <c r="X41" s="3"/>
      <c r="Y41" s="3"/>
      <c r="Z41" s="3" t="s">
        <v>1475</v>
      </c>
      <c r="AA41" s="3"/>
      <c r="AB41" s="3"/>
      <c r="AC41" s="3"/>
      <c r="AD41" s="3"/>
      <c r="AE41" s="3" t="s">
        <v>3000</v>
      </c>
      <c r="AF41" s="3" t="s">
        <v>1380</v>
      </c>
      <c r="AG41" s="3" t="s">
        <v>7</v>
      </c>
      <c r="AH41" s="3"/>
      <c r="AI41" s="3"/>
      <c r="AJ41" s="3" t="s">
        <v>1721</v>
      </c>
      <c r="AK41" s="3" t="s">
        <v>1382</v>
      </c>
      <c r="AL41" s="3"/>
      <c r="AM41" s="3"/>
      <c r="AN41" s="8" t="s">
        <v>1722</v>
      </c>
    </row>
  </sheetData>
  <autoFilter ref="A1:AN4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6"/>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4" width="34" customWidth="1"/>
    <col min="5" max="5" width="52" customWidth="1"/>
    <col min="6" max="6" width="30" customWidth="1"/>
    <col min="7" max="7" width="26" customWidth="1"/>
    <col min="8" max="8" width="34" customWidth="1"/>
    <col min="9" max="9" width="20" customWidth="1"/>
    <col min="10" max="10" width="30" customWidth="1"/>
  </cols>
  <sheetData>
    <row r="1" spans="1:10" ht="15" customHeight="1" x14ac:dyDescent="0.2">
      <c r="A1" s="1" t="s">
        <v>3040</v>
      </c>
      <c r="B1" s="1" t="s">
        <v>3041</v>
      </c>
      <c r="C1" s="1" t="s">
        <v>3042</v>
      </c>
      <c r="D1" s="1" t="s">
        <v>3043</v>
      </c>
      <c r="E1" s="1" t="s">
        <v>3044</v>
      </c>
      <c r="F1" s="1" t="s">
        <v>3045</v>
      </c>
      <c r="G1" s="1" t="s">
        <v>1340</v>
      </c>
      <c r="H1" s="1" t="s">
        <v>1346</v>
      </c>
      <c r="I1" s="1" t="s">
        <v>1347</v>
      </c>
      <c r="J1" s="1" t="s">
        <v>1210</v>
      </c>
    </row>
    <row r="2" spans="1:10" ht="60" customHeight="1" x14ac:dyDescent="0.2">
      <c r="A2" s="3" t="s">
        <v>3046</v>
      </c>
      <c r="B2" s="3" t="s">
        <v>3047</v>
      </c>
      <c r="C2" s="3" t="s">
        <v>3048</v>
      </c>
      <c r="D2" s="3" t="s">
        <v>3049</v>
      </c>
      <c r="E2" s="3" t="s">
        <v>3050</v>
      </c>
      <c r="F2" s="3" t="s">
        <v>3051</v>
      </c>
      <c r="G2" s="3" t="s">
        <v>3052</v>
      </c>
      <c r="H2" s="3" t="s">
        <v>1380</v>
      </c>
      <c r="I2" s="3" t="s">
        <v>1150</v>
      </c>
      <c r="J2" s="3" t="s">
        <v>3053</v>
      </c>
    </row>
    <row r="3" spans="1:10" ht="60" customHeight="1" x14ac:dyDescent="0.2">
      <c r="A3" s="3" t="s">
        <v>3054</v>
      </c>
      <c r="B3" s="3" t="s">
        <v>3055</v>
      </c>
      <c r="C3" s="3" t="s">
        <v>3056</v>
      </c>
      <c r="D3" s="3" t="s">
        <v>3057</v>
      </c>
      <c r="E3" s="3" t="s">
        <v>3058</v>
      </c>
      <c r="F3" s="3" t="s">
        <v>3059</v>
      </c>
      <c r="G3" s="3" t="s">
        <v>3052</v>
      </c>
      <c r="H3" s="3" t="s">
        <v>1380</v>
      </c>
      <c r="I3" s="3" t="s">
        <v>539</v>
      </c>
      <c r="J3" s="3" t="s">
        <v>3053</v>
      </c>
    </row>
    <row r="4" spans="1:10" ht="60" customHeight="1" x14ac:dyDescent="0.2">
      <c r="A4" s="3" t="s">
        <v>1298</v>
      </c>
      <c r="B4" s="3" t="s">
        <v>3060</v>
      </c>
      <c r="C4" s="3" t="s">
        <v>3061</v>
      </c>
      <c r="D4" s="3" t="s">
        <v>3062</v>
      </c>
      <c r="E4" s="3" t="s">
        <v>3063</v>
      </c>
      <c r="F4" s="3" t="s">
        <v>3064</v>
      </c>
      <c r="G4" s="3" t="s">
        <v>3052</v>
      </c>
      <c r="H4" s="3" t="s">
        <v>1380</v>
      </c>
      <c r="I4" s="3" t="s">
        <v>7</v>
      </c>
      <c r="J4" s="3" t="s">
        <v>3053</v>
      </c>
    </row>
    <row r="5" spans="1:10" ht="60" customHeight="1" x14ac:dyDescent="0.2">
      <c r="A5" s="3" t="s">
        <v>3065</v>
      </c>
      <c r="B5" s="3" t="s">
        <v>3066</v>
      </c>
      <c r="C5" s="3" t="s">
        <v>3067</v>
      </c>
      <c r="D5" s="3" t="s">
        <v>3068</v>
      </c>
      <c r="E5" s="3" t="s">
        <v>3069</v>
      </c>
      <c r="F5" s="3" t="s">
        <v>3070</v>
      </c>
      <c r="G5" s="3" t="s">
        <v>3052</v>
      </c>
      <c r="H5" s="3" t="s">
        <v>1380</v>
      </c>
      <c r="I5" s="3" t="s">
        <v>7</v>
      </c>
      <c r="J5" s="3" t="s">
        <v>3053</v>
      </c>
    </row>
    <row r="6" spans="1:10" ht="60" customHeight="1" x14ac:dyDescent="0.2">
      <c r="A6" s="3" t="s">
        <v>1291</v>
      </c>
      <c r="B6" s="3" t="s">
        <v>3071</v>
      </c>
      <c r="C6" s="3" t="s">
        <v>3072</v>
      </c>
      <c r="D6" s="3" t="s">
        <v>3073</v>
      </c>
      <c r="E6" s="3" t="s">
        <v>3074</v>
      </c>
      <c r="F6" s="3" t="s">
        <v>3075</v>
      </c>
      <c r="G6" s="3" t="s">
        <v>3052</v>
      </c>
      <c r="H6" s="3" t="s">
        <v>1380</v>
      </c>
      <c r="I6" s="3" t="s">
        <v>7</v>
      </c>
      <c r="J6" s="3" t="s">
        <v>3053</v>
      </c>
    </row>
    <row r="7" spans="1:10" ht="60" customHeight="1" x14ac:dyDescent="0.2">
      <c r="A7" s="3" t="s">
        <v>3076</v>
      </c>
      <c r="B7" s="3" t="s">
        <v>3077</v>
      </c>
      <c r="C7" s="3" t="s">
        <v>3078</v>
      </c>
      <c r="D7" s="3" t="s">
        <v>3079</v>
      </c>
      <c r="E7" s="3" t="s">
        <v>3080</v>
      </c>
      <c r="F7" s="3" t="s">
        <v>3081</v>
      </c>
      <c r="G7" s="3" t="s">
        <v>3052</v>
      </c>
      <c r="H7" s="3" t="s">
        <v>1380</v>
      </c>
      <c r="I7" s="3" t="s">
        <v>539</v>
      </c>
      <c r="J7" s="3" t="s">
        <v>3053</v>
      </c>
    </row>
    <row r="8" spans="1:10" ht="60" customHeight="1" x14ac:dyDescent="0.2">
      <c r="A8" s="3" t="s">
        <v>1278</v>
      </c>
      <c r="B8" s="3" t="s">
        <v>3082</v>
      </c>
      <c r="C8" s="3" t="s">
        <v>3083</v>
      </c>
      <c r="D8" s="3" t="s">
        <v>3084</v>
      </c>
      <c r="E8" s="3" t="s">
        <v>3085</v>
      </c>
      <c r="F8" s="3" t="s">
        <v>3086</v>
      </c>
      <c r="G8" s="3" t="s">
        <v>3052</v>
      </c>
      <c r="H8" s="3" t="s">
        <v>1380</v>
      </c>
      <c r="I8" s="3" t="s">
        <v>7</v>
      </c>
      <c r="J8" s="3" t="s">
        <v>3053</v>
      </c>
    </row>
    <row r="9" spans="1:10" ht="60" customHeight="1" x14ac:dyDescent="0.2">
      <c r="A9" s="3" t="s">
        <v>3087</v>
      </c>
      <c r="B9" s="3" t="s">
        <v>3088</v>
      </c>
      <c r="C9" s="3" t="s">
        <v>3089</v>
      </c>
      <c r="D9" s="3" t="s">
        <v>3090</v>
      </c>
      <c r="E9" s="3" t="s">
        <v>3091</v>
      </c>
      <c r="F9" s="3" t="s">
        <v>3092</v>
      </c>
      <c r="G9" s="3" t="s">
        <v>3052</v>
      </c>
      <c r="H9" s="3" t="s">
        <v>1380</v>
      </c>
      <c r="I9" s="3" t="s">
        <v>7</v>
      </c>
      <c r="J9" s="3" t="s">
        <v>3053</v>
      </c>
    </row>
    <row r="10" spans="1:10" ht="60" customHeight="1" x14ac:dyDescent="0.2">
      <c r="A10" s="3" t="s">
        <v>3093</v>
      </c>
      <c r="B10" s="3" t="s">
        <v>3094</v>
      </c>
      <c r="C10" s="3" t="s">
        <v>3089</v>
      </c>
      <c r="D10" s="3" t="s">
        <v>3095</v>
      </c>
      <c r="E10" s="3" t="s">
        <v>3096</v>
      </c>
      <c r="F10" s="3" t="s">
        <v>3097</v>
      </c>
      <c r="G10" s="3" t="s">
        <v>3052</v>
      </c>
      <c r="H10" s="3" t="s">
        <v>1380</v>
      </c>
      <c r="I10" s="3" t="s">
        <v>7</v>
      </c>
      <c r="J10" s="3" t="s">
        <v>3053</v>
      </c>
    </row>
    <row r="11" spans="1:10" ht="60" customHeight="1" x14ac:dyDescent="0.2">
      <c r="A11" s="3" t="s">
        <v>3098</v>
      </c>
      <c r="B11" s="3" t="s">
        <v>3099</v>
      </c>
      <c r="C11" s="3" t="s">
        <v>3089</v>
      </c>
      <c r="D11" s="3" t="s">
        <v>3100</v>
      </c>
      <c r="E11" s="3" t="s">
        <v>3101</v>
      </c>
      <c r="F11" s="3" t="s">
        <v>3102</v>
      </c>
      <c r="G11" s="3" t="s">
        <v>3052</v>
      </c>
      <c r="H11" s="3" t="s">
        <v>1380</v>
      </c>
      <c r="I11" s="3" t="s">
        <v>539</v>
      </c>
      <c r="J11" s="3" t="s">
        <v>3053</v>
      </c>
    </row>
    <row r="12" spans="1:10" ht="60" customHeight="1" x14ac:dyDescent="0.2">
      <c r="A12" s="3" t="s">
        <v>3103</v>
      </c>
      <c r="B12" s="3" t="s">
        <v>3104</v>
      </c>
      <c r="C12" s="3" t="s">
        <v>3105</v>
      </c>
      <c r="D12" s="3" t="s">
        <v>3106</v>
      </c>
      <c r="E12" s="3" t="s">
        <v>3107</v>
      </c>
      <c r="F12" s="3" t="s">
        <v>3108</v>
      </c>
      <c r="G12" s="3" t="s">
        <v>3052</v>
      </c>
      <c r="H12" s="3" t="s">
        <v>1380</v>
      </c>
      <c r="I12" s="3" t="s">
        <v>1150</v>
      </c>
      <c r="J12" s="3" t="s">
        <v>3053</v>
      </c>
    </row>
    <row r="13" spans="1:10" ht="60" customHeight="1" x14ac:dyDescent="0.2">
      <c r="A13" s="3" t="s">
        <v>3109</v>
      </c>
      <c r="B13" s="3" t="s">
        <v>3110</v>
      </c>
      <c r="C13" s="3" t="s">
        <v>3105</v>
      </c>
      <c r="D13" s="3" t="s">
        <v>3111</v>
      </c>
      <c r="E13" s="3" t="s">
        <v>3112</v>
      </c>
      <c r="F13" s="3" t="s">
        <v>3108</v>
      </c>
      <c r="G13" s="3" t="s">
        <v>3052</v>
      </c>
      <c r="H13" s="3" t="s">
        <v>1380</v>
      </c>
      <c r="I13" s="3" t="s">
        <v>1150</v>
      </c>
      <c r="J13" s="3" t="s">
        <v>3053</v>
      </c>
    </row>
    <row r="14" spans="1:10" ht="60" customHeight="1" x14ac:dyDescent="0.2">
      <c r="A14" s="3" t="s">
        <v>3113</v>
      </c>
      <c r="B14" s="3" t="s">
        <v>3114</v>
      </c>
      <c r="C14" s="3" t="s">
        <v>3105</v>
      </c>
      <c r="D14" s="3" t="s">
        <v>3115</v>
      </c>
      <c r="E14" s="3" t="s">
        <v>3116</v>
      </c>
      <c r="F14" s="3" t="s">
        <v>3117</v>
      </c>
      <c r="G14" s="3" t="s">
        <v>3052</v>
      </c>
      <c r="H14" s="3" t="s">
        <v>1380</v>
      </c>
      <c r="I14" s="3" t="s">
        <v>1150</v>
      </c>
      <c r="J14" s="3" t="s">
        <v>3053</v>
      </c>
    </row>
    <row r="15" spans="1:10" ht="60" customHeight="1" x14ac:dyDescent="0.2">
      <c r="A15" s="3" t="s">
        <v>3118</v>
      </c>
      <c r="B15" s="3" t="s">
        <v>3119</v>
      </c>
      <c r="C15" s="3" t="s">
        <v>3120</v>
      </c>
      <c r="D15" s="3" t="s">
        <v>3121</v>
      </c>
      <c r="E15" s="3" t="s">
        <v>3122</v>
      </c>
      <c r="F15" s="3" t="s">
        <v>3123</v>
      </c>
      <c r="G15" s="3" t="s">
        <v>3052</v>
      </c>
      <c r="H15" s="3" t="s">
        <v>1380</v>
      </c>
      <c r="I15" s="3" t="s">
        <v>1150</v>
      </c>
      <c r="J15" s="3" t="s">
        <v>3053</v>
      </c>
    </row>
    <row r="16" spans="1:10" ht="60" customHeight="1" x14ac:dyDescent="0.2">
      <c r="A16" s="3" t="s">
        <v>3124</v>
      </c>
      <c r="B16" s="3" t="s">
        <v>3125</v>
      </c>
      <c r="C16" s="3" t="s">
        <v>3126</v>
      </c>
      <c r="D16" s="3" t="s">
        <v>3127</v>
      </c>
      <c r="E16" s="3" t="s">
        <v>3128</v>
      </c>
      <c r="F16" s="3" t="s">
        <v>3129</v>
      </c>
      <c r="G16" s="3" t="s">
        <v>3052</v>
      </c>
      <c r="H16" s="3" t="s">
        <v>1380</v>
      </c>
      <c r="I16" s="3" t="s">
        <v>700</v>
      </c>
      <c r="J16" s="3" t="s">
        <v>3053</v>
      </c>
    </row>
    <row r="17" spans="1:10" ht="60" customHeight="1" x14ac:dyDescent="0.2">
      <c r="A17" s="3" t="s">
        <v>3130</v>
      </c>
      <c r="B17" s="3" t="s">
        <v>3131</v>
      </c>
      <c r="C17" s="3" t="s">
        <v>3126</v>
      </c>
      <c r="D17" s="3" t="s">
        <v>3132</v>
      </c>
      <c r="E17" s="3" t="s">
        <v>3133</v>
      </c>
      <c r="F17" s="3" t="s">
        <v>3134</v>
      </c>
      <c r="G17" s="3" t="s">
        <v>3052</v>
      </c>
      <c r="H17" s="3" t="s">
        <v>1380</v>
      </c>
      <c r="I17" s="3" t="s">
        <v>700</v>
      </c>
      <c r="J17" s="3" t="s">
        <v>3053</v>
      </c>
    </row>
    <row r="18" spans="1:10" ht="60" customHeight="1" x14ac:dyDescent="0.2">
      <c r="A18" s="3" t="s">
        <v>3135</v>
      </c>
      <c r="B18" s="3" t="s">
        <v>3136</v>
      </c>
      <c r="C18" s="3" t="s">
        <v>3137</v>
      </c>
      <c r="D18" s="3" t="s">
        <v>3138</v>
      </c>
      <c r="E18" s="3" t="s">
        <v>3139</v>
      </c>
      <c r="F18" s="3" t="s">
        <v>3140</v>
      </c>
      <c r="G18" s="3" t="s">
        <v>3052</v>
      </c>
      <c r="H18" s="3" t="s">
        <v>1380</v>
      </c>
      <c r="I18" s="3" t="s">
        <v>539</v>
      </c>
      <c r="J18" s="3" t="s">
        <v>3053</v>
      </c>
    </row>
    <row r="19" spans="1:10" ht="60" customHeight="1" x14ac:dyDescent="0.2">
      <c r="A19" s="3" t="s">
        <v>3141</v>
      </c>
      <c r="B19" s="3" t="s">
        <v>3142</v>
      </c>
      <c r="C19" s="3" t="s">
        <v>3143</v>
      </c>
      <c r="D19" s="3" t="s">
        <v>3144</v>
      </c>
      <c r="E19" s="3" t="s">
        <v>3145</v>
      </c>
      <c r="F19" s="3" t="s">
        <v>3146</v>
      </c>
      <c r="G19" s="3" t="s">
        <v>3052</v>
      </c>
      <c r="H19" s="3" t="s">
        <v>1380</v>
      </c>
      <c r="I19" s="3" t="s">
        <v>539</v>
      </c>
      <c r="J19" s="3" t="s">
        <v>3053</v>
      </c>
    </row>
    <row r="20" spans="1:10" ht="45" customHeight="1" x14ac:dyDescent="0.2">
      <c r="A20" s="3" t="s">
        <v>3147</v>
      </c>
      <c r="B20" s="3" t="s">
        <v>3148</v>
      </c>
      <c r="C20" s="3" t="s">
        <v>3126</v>
      </c>
      <c r="D20" s="3" t="s">
        <v>3149</v>
      </c>
      <c r="E20" s="3" t="s">
        <v>3150</v>
      </c>
      <c r="F20" s="3" t="s">
        <v>3151</v>
      </c>
      <c r="G20" s="3" t="s">
        <v>3052</v>
      </c>
      <c r="H20" s="3" t="s">
        <v>1380</v>
      </c>
      <c r="I20" s="3" t="s">
        <v>700</v>
      </c>
      <c r="J20" s="3" t="s">
        <v>3053</v>
      </c>
    </row>
    <row r="21" spans="1:10" ht="60" customHeight="1" x14ac:dyDescent="0.2">
      <c r="A21" s="3" t="s">
        <v>3152</v>
      </c>
      <c r="B21" s="3" t="s">
        <v>3153</v>
      </c>
      <c r="C21" s="3" t="s">
        <v>3154</v>
      </c>
      <c r="D21" s="3" t="s">
        <v>3155</v>
      </c>
      <c r="E21" s="3" t="s">
        <v>3156</v>
      </c>
      <c r="F21" s="3" t="s">
        <v>3157</v>
      </c>
      <c r="G21" s="3" t="s">
        <v>3052</v>
      </c>
      <c r="H21" s="3" t="s">
        <v>1380</v>
      </c>
      <c r="I21" s="3" t="s">
        <v>539</v>
      </c>
      <c r="J21" s="3" t="s">
        <v>3053</v>
      </c>
    </row>
    <row r="22" spans="1:10" ht="60" customHeight="1" x14ac:dyDescent="0.2">
      <c r="A22" s="3" t="s">
        <v>3158</v>
      </c>
      <c r="B22" s="3" t="s">
        <v>3159</v>
      </c>
      <c r="C22" s="3" t="s">
        <v>3126</v>
      </c>
      <c r="D22" s="3" t="s">
        <v>3160</v>
      </c>
      <c r="E22" s="3" t="s">
        <v>3161</v>
      </c>
      <c r="F22" s="3" t="s">
        <v>3162</v>
      </c>
      <c r="G22" s="3" t="s">
        <v>3052</v>
      </c>
      <c r="H22" s="3" t="s">
        <v>1380</v>
      </c>
      <c r="I22" s="3" t="s">
        <v>539</v>
      </c>
      <c r="J22" s="3" t="s">
        <v>3053</v>
      </c>
    </row>
    <row r="23" spans="1:10" ht="60" customHeight="1" x14ac:dyDescent="0.2">
      <c r="A23" s="3" t="s">
        <v>3163</v>
      </c>
      <c r="B23" s="3" t="s">
        <v>3164</v>
      </c>
      <c r="C23" s="3" t="s">
        <v>3126</v>
      </c>
      <c r="D23" s="3" t="s">
        <v>3165</v>
      </c>
      <c r="E23" s="3" t="s">
        <v>3166</v>
      </c>
      <c r="F23" s="3" t="s">
        <v>3167</v>
      </c>
      <c r="G23" s="3" t="s">
        <v>3052</v>
      </c>
      <c r="H23" s="3" t="s">
        <v>1380</v>
      </c>
      <c r="I23" s="3" t="s">
        <v>505</v>
      </c>
      <c r="J23" s="3" t="s">
        <v>3053</v>
      </c>
    </row>
    <row r="24" spans="1:10" ht="60" customHeight="1" x14ac:dyDescent="0.2">
      <c r="A24" s="3" t="s">
        <v>3168</v>
      </c>
      <c r="B24" s="3" t="s">
        <v>3169</v>
      </c>
      <c r="C24" s="3" t="s">
        <v>3137</v>
      </c>
      <c r="D24" s="3" t="s">
        <v>3170</v>
      </c>
      <c r="E24" s="3" t="s">
        <v>3171</v>
      </c>
      <c r="F24" s="3" t="s">
        <v>3172</v>
      </c>
      <c r="G24" s="3" t="s">
        <v>3052</v>
      </c>
      <c r="H24" s="3" t="s">
        <v>1380</v>
      </c>
      <c r="I24" s="3" t="s">
        <v>2463</v>
      </c>
      <c r="J24" s="3" t="s">
        <v>3053</v>
      </c>
    </row>
    <row r="25" spans="1:10" ht="60" customHeight="1" x14ac:dyDescent="0.2">
      <c r="A25" s="3" t="s">
        <v>3173</v>
      </c>
      <c r="B25" s="3" t="s">
        <v>3174</v>
      </c>
      <c r="C25" s="3" t="s">
        <v>3175</v>
      </c>
      <c r="D25" s="3" t="s">
        <v>3176</v>
      </c>
      <c r="E25" s="3" t="s">
        <v>3177</v>
      </c>
      <c r="F25" s="3" t="s">
        <v>3178</v>
      </c>
      <c r="G25" s="3" t="s">
        <v>3052</v>
      </c>
      <c r="H25" s="3" t="s">
        <v>1380</v>
      </c>
      <c r="I25" s="3" t="s">
        <v>7</v>
      </c>
      <c r="J25" s="3" t="s">
        <v>3053</v>
      </c>
    </row>
    <row r="26" spans="1:10" ht="45" customHeight="1" x14ac:dyDescent="0.2">
      <c r="A26" s="3" t="s">
        <v>3179</v>
      </c>
      <c r="B26" s="3" t="s">
        <v>3180</v>
      </c>
      <c r="C26" s="3" t="s">
        <v>3126</v>
      </c>
      <c r="D26" s="3" t="s">
        <v>3181</v>
      </c>
      <c r="E26" s="3" t="s">
        <v>3182</v>
      </c>
      <c r="F26" s="3" t="s">
        <v>3183</v>
      </c>
      <c r="G26" s="3" t="s">
        <v>3052</v>
      </c>
      <c r="H26" s="3" t="s">
        <v>1380</v>
      </c>
      <c r="I26" s="3" t="s">
        <v>7</v>
      </c>
      <c r="J26" s="3" t="s">
        <v>3053</v>
      </c>
    </row>
    <row r="27" spans="1:10" ht="60" customHeight="1" x14ac:dyDescent="0.2">
      <c r="A27" s="3" t="s">
        <v>3184</v>
      </c>
      <c r="B27" s="3" t="s">
        <v>3185</v>
      </c>
      <c r="C27" s="3" t="s">
        <v>3126</v>
      </c>
      <c r="D27" s="3" t="s">
        <v>3186</v>
      </c>
      <c r="E27" s="3" t="s">
        <v>3187</v>
      </c>
      <c r="F27" s="3" t="s">
        <v>3188</v>
      </c>
      <c r="G27" s="3" t="s">
        <v>3052</v>
      </c>
      <c r="H27" s="3" t="s">
        <v>1380</v>
      </c>
      <c r="I27" s="3" t="s">
        <v>539</v>
      </c>
      <c r="J27" s="3" t="s">
        <v>3053</v>
      </c>
    </row>
    <row r="28" spans="1:10" ht="60" customHeight="1" x14ac:dyDescent="0.2">
      <c r="A28" s="3" t="s">
        <v>3189</v>
      </c>
      <c r="B28" s="3" t="s">
        <v>3190</v>
      </c>
      <c r="C28" s="3" t="s">
        <v>3126</v>
      </c>
      <c r="D28" s="3" t="s">
        <v>3191</v>
      </c>
      <c r="E28" s="3" t="s">
        <v>3192</v>
      </c>
      <c r="F28" s="3" t="s">
        <v>3193</v>
      </c>
      <c r="G28" s="3" t="s">
        <v>3052</v>
      </c>
      <c r="H28" s="3" t="s">
        <v>1380</v>
      </c>
      <c r="I28" s="3" t="s">
        <v>539</v>
      </c>
      <c r="J28" s="3" t="s">
        <v>3053</v>
      </c>
    </row>
    <row r="29" spans="1:10" ht="60" customHeight="1" x14ac:dyDescent="0.2">
      <c r="A29" s="3" t="s">
        <v>3194</v>
      </c>
      <c r="B29" s="3" t="s">
        <v>3195</v>
      </c>
      <c r="C29" s="3" t="s">
        <v>3196</v>
      </c>
      <c r="D29" s="3" t="s">
        <v>3197</v>
      </c>
      <c r="E29" s="3" t="s">
        <v>3198</v>
      </c>
      <c r="F29" s="3" t="s">
        <v>3146</v>
      </c>
      <c r="G29" s="3" t="s">
        <v>3052</v>
      </c>
      <c r="H29" s="3" t="s">
        <v>1380</v>
      </c>
      <c r="I29" s="3" t="s">
        <v>577</v>
      </c>
      <c r="J29" s="3" t="s">
        <v>3053</v>
      </c>
    </row>
    <row r="30" spans="1:10" ht="60" customHeight="1" x14ac:dyDescent="0.2">
      <c r="A30" s="3" t="s">
        <v>3199</v>
      </c>
      <c r="B30" s="3" t="s">
        <v>3200</v>
      </c>
      <c r="C30" s="3" t="s">
        <v>3201</v>
      </c>
      <c r="D30" s="3" t="s">
        <v>3202</v>
      </c>
      <c r="E30" s="3" t="s">
        <v>3203</v>
      </c>
      <c r="F30" s="3" t="s">
        <v>3146</v>
      </c>
      <c r="G30" s="3" t="s">
        <v>3052</v>
      </c>
      <c r="H30" s="3" t="s">
        <v>1380</v>
      </c>
      <c r="I30" s="3" t="s">
        <v>539</v>
      </c>
      <c r="J30" s="6" t="s">
        <v>3204</v>
      </c>
    </row>
    <row r="31" spans="1:10" ht="60" customHeight="1" x14ac:dyDescent="0.2">
      <c r="A31" s="3" t="s">
        <v>3205</v>
      </c>
      <c r="B31" s="3" t="s">
        <v>3206</v>
      </c>
      <c r="C31" s="3" t="s">
        <v>3137</v>
      </c>
      <c r="D31" s="3" t="s">
        <v>3207</v>
      </c>
      <c r="E31" s="3" t="s">
        <v>3208</v>
      </c>
      <c r="F31" s="3" t="s">
        <v>3209</v>
      </c>
      <c r="G31" s="3" t="s">
        <v>3052</v>
      </c>
      <c r="H31" s="3" t="s">
        <v>1380</v>
      </c>
      <c r="I31" s="3" t="s">
        <v>428</v>
      </c>
      <c r="J31" s="3" t="s">
        <v>3053</v>
      </c>
    </row>
    <row r="32" spans="1:10" ht="60" customHeight="1" x14ac:dyDescent="0.2">
      <c r="A32" s="3" t="s">
        <v>3210</v>
      </c>
      <c r="B32" s="3" t="s">
        <v>3211</v>
      </c>
      <c r="C32" s="3" t="s">
        <v>3212</v>
      </c>
      <c r="D32" s="3" t="s">
        <v>3213</v>
      </c>
      <c r="E32" s="3" t="s">
        <v>3214</v>
      </c>
      <c r="F32" s="3" t="s">
        <v>3215</v>
      </c>
      <c r="G32" s="3" t="s">
        <v>3052</v>
      </c>
      <c r="H32" s="3" t="s">
        <v>1380</v>
      </c>
      <c r="I32" s="3" t="s">
        <v>1069</v>
      </c>
      <c r="J32" s="3" t="s">
        <v>3053</v>
      </c>
    </row>
    <row r="33" spans="1:10" ht="60" customHeight="1" x14ac:dyDescent="0.2">
      <c r="A33" s="3" t="s">
        <v>3216</v>
      </c>
      <c r="B33" s="3" t="s">
        <v>3217</v>
      </c>
      <c r="C33" s="3" t="s">
        <v>3218</v>
      </c>
      <c r="D33" s="3" t="s">
        <v>3219</v>
      </c>
      <c r="E33" s="3" t="s">
        <v>3220</v>
      </c>
      <c r="F33" s="3" t="s">
        <v>3221</v>
      </c>
      <c r="G33" s="3" t="s">
        <v>3052</v>
      </c>
      <c r="H33" s="3" t="s">
        <v>1380</v>
      </c>
      <c r="I33" s="3" t="s">
        <v>7</v>
      </c>
      <c r="J33" s="3" t="s">
        <v>3053</v>
      </c>
    </row>
    <row r="34" spans="1:10" ht="45" customHeight="1" x14ac:dyDescent="0.2">
      <c r="A34" s="3" t="s">
        <v>3222</v>
      </c>
      <c r="B34" s="3" t="s">
        <v>3223</v>
      </c>
      <c r="C34" s="3" t="s">
        <v>3224</v>
      </c>
      <c r="D34" s="3" t="s">
        <v>3225</v>
      </c>
      <c r="E34" s="3" t="s">
        <v>3226</v>
      </c>
      <c r="F34" s="3" t="s">
        <v>3227</v>
      </c>
      <c r="G34" s="3" t="s">
        <v>3052</v>
      </c>
      <c r="H34" s="3" t="s">
        <v>1380</v>
      </c>
      <c r="I34" s="3" t="s">
        <v>700</v>
      </c>
      <c r="J34" s="3" t="s">
        <v>3053</v>
      </c>
    </row>
    <row r="35" spans="1:10" ht="60" customHeight="1" x14ac:dyDescent="0.2">
      <c r="A35" s="3" t="s">
        <v>1302</v>
      </c>
      <c r="B35" s="3" t="s">
        <v>3228</v>
      </c>
      <c r="C35" s="3" t="s">
        <v>3229</v>
      </c>
      <c r="D35" s="3" t="s">
        <v>3230</v>
      </c>
      <c r="E35" s="3" t="s">
        <v>3231</v>
      </c>
      <c r="F35" s="3" t="s">
        <v>3232</v>
      </c>
      <c r="G35" s="3" t="s">
        <v>3052</v>
      </c>
      <c r="H35" s="3" t="s">
        <v>1380</v>
      </c>
      <c r="I35" s="3" t="s">
        <v>577</v>
      </c>
      <c r="J35" s="6" t="s">
        <v>3233</v>
      </c>
    </row>
    <row r="36" spans="1:10" ht="60" customHeight="1" x14ac:dyDescent="0.2">
      <c r="A36" s="3" t="s">
        <v>3234</v>
      </c>
      <c r="B36" s="3" t="s">
        <v>3235</v>
      </c>
      <c r="C36" s="3" t="s">
        <v>3236</v>
      </c>
      <c r="D36" s="3" t="s">
        <v>3237</v>
      </c>
      <c r="E36" s="3" t="s">
        <v>3238</v>
      </c>
      <c r="F36" s="3" t="s">
        <v>3167</v>
      </c>
      <c r="G36" s="3" t="s">
        <v>3052</v>
      </c>
      <c r="H36" s="3" t="s">
        <v>1380</v>
      </c>
      <c r="I36" s="3" t="s">
        <v>505</v>
      </c>
      <c r="J36" s="3" t="s">
        <v>3053</v>
      </c>
    </row>
    <row r="37" spans="1:10" ht="60" customHeight="1" x14ac:dyDescent="0.2">
      <c r="A37" s="3" t="s">
        <v>3239</v>
      </c>
      <c r="B37" s="3" t="s">
        <v>3240</v>
      </c>
      <c r="C37" s="3" t="s">
        <v>3236</v>
      </c>
      <c r="D37" s="3" t="s">
        <v>3241</v>
      </c>
      <c r="E37" s="3" t="s">
        <v>3242</v>
      </c>
      <c r="F37" s="3" t="s">
        <v>3243</v>
      </c>
      <c r="G37" s="3" t="s">
        <v>3052</v>
      </c>
      <c r="H37" s="3" t="s">
        <v>1380</v>
      </c>
      <c r="I37" s="3" t="s">
        <v>505</v>
      </c>
      <c r="J37" s="3" t="s">
        <v>3053</v>
      </c>
    </row>
    <row r="38" spans="1:10" ht="60" customHeight="1" x14ac:dyDescent="0.2">
      <c r="A38" s="3" t="s">
        <v>3244</v>
      </c>
      <c r="B38" s="3" t="s">
        <v>3245</v>
      </c>
      <c r="C38" s="3" t="s">
        <v>3246</v>
      </c>
      <c r="D38" s="3" t="s">
        <v>3247</v>
      </c>
      <c r="E38" s="3" t="s">
        <v>3248</v>
      </c>
      <c r="F38" s="3" t="s">
        <v>3249</v>
      </c>
      <c r="G38" s="3" t="s">
        <v>3052</v>
      </c>
      <c r="H38" s="3" t="s">
        <v>1380</v>
      </c>
      <c r="I38" s="3" t="s">
        <v>505</v>
      </c>
      <c r="J38" s="3" t="s">
        <v>3053</v>
      </c>
    </row>
    <row r="39" spans="1:10" ht="60" customHeight="1" x14ac:dyDescent="0.2">
      <c r="A39" s="3" t="s">
        <v>3250</v>
      </c>
      <c r="B39" s="3" t="s">
        <v>3251</v>
      </c>
      <c r="C39" s="3" t="s">
        <v>3252</v>
      </c>
      <c r="D39" s="3" t="s">
        <v>3253</v>
      </c>
      <c r="E39" s="3" t="s">
        <v>3248</v>
      </c>
      <c r="F39" s="3" t="s">
        <v>3249</v>
      </c>
      <c r="G39" s="3" t="s">
        <v>3052</v>
      </c>
      <c r="H39" s="3" t="s">
        <v>1380</v>
      </c>
      <c r="I39" s="3" t="s">
        <v>505</v>
      </c>
      <c r="J39" s="3" t="s">
        <v>3053</v>
      </c>
    </row>
    <row r="40" spans="1:10" ht="60" customHeight="1" x14ac:dyDescent="0.2">
      <c r="A40" s="3" t="s">
        <v>3254</v>
      </c>
      <c r="B40" s="3" t="s">
        <v>3255</v>
      </c>
      <c r="C40" s="3" t="s">
        <v>3236</v>
      </c>
      <c r="D40" s="3" t="s">
        <v>3256</v>
      </c>
      <c r="E40" s="3" t="s">
        <v>3257</v>
      </c>
      <c r="F40" s="3" t="s">
        <v>3258</v>
      </c>
      <c r="G40" s="3" t="s">
        <v>3052</v>
      </c>
      <c r="H40" s="3" t="s">
        <v>1380</v>
      </c>
      <c r="I40" s="3" t="s">
        <v>539</v>
      </c>
      <c r="J40" s="3" t="s">
        <v>3053</v>
      </c>
    </row>
    <row r="41" spans="1:10" ht="60" customHeight="1" x14ac:dyDescent="0.2">
      <c r="A41" s="3" t="s">
        <v>3259</v>
      </c>
      <c r="B41" s="3" t="s">
        <v>3260</v>
      </c>
      <c r="C41" s="3" t="s">
        <v>3236</v>
      </c>
      <c r="D41" s="3" t="s">
        <v>3261</v>
      </c>
      <c r="E41" s="3" t="s">
        <v>3262</v>
      </c>
      <c r="F41" s="3" t="s">
        <v>3249</v>
      </c>
      <c r="G41" s="3" t="s">
        <v>3052</v>
      </c>
      <c r="H41" s="3" t="s">
        <v>1380</v>
      </c>
      <c r="I41" s="3" t="s">
        <v>700</v>
      </c>
      <c r="J41" s="3" t="s">
        <v>3053</v>
      </c>
    </row>
    <row r="42" spans="1:10" ht="60" customHeight="1" x14ac:dyDescent="0.2">
      <c r="A42" s="3" t="s">
        <v>3263</v>
      </c>
      <c r="B42" s="3" t="s">
        <v>3264</v>
      </c>
      <c r="C42" s="3" t="s">
        <v>3265</v>
      </c>
      <c r="D42" s="3" t="s">
        <v>3266</v>
      </c>
      <c r="E42" s="3" t="s">
        <v>3267</v>
      </c>
      <c r="F42" s="3" t="s">
        <v>3268</v>
      </c>
      <c r="G42" s="3" t="s">
        <v>3052</v>
      </c>
      <c r="H42" s="3" t="s">
        <v>1380</v>
      </c>
      <c r="I42" s="3" t="s">
        <v>700</v>
      </c>
      <c r="J42" s="3" t="s">
        <v>3053</v>
      </c>
    </row>
    <row r="43" spans="1:10" ht="60" customHeight="1" x14ac:dyDescent="0.2">
      <c r="A43" s="3" t="s">
        <v>3269</v>
      </c>
      <c r="B43" s="3" t="s">
        <v>3270</v>
      </c>
      <c r="C43" s="3" t="s">
        <v>3236</v>
      </c>
      <c r="D43" s="3" t="s">
        <v>3271</v>
      </c>
      <c r="E43" s="3" t="s">
        <v>3272</v>
      </c>
      <c r="F43" s="3" t="s">
        <v>3273</v>
      </c>
      <c r="G43" s="3" t="s">
        <v>3052</v>
      </c>
      <c r="H43" s="3" t="s">
        <v>1380</v>
      </c>
      <c r="I43" s="3" t="s">
        <v>700</v>
      </c>
      <c r="J43" s="3" t="s">
        <v>3053</v>
      </c>
    </row>
    <row r="44" spans="1:10" ht="60" customHeight="1" x14ac:dyDescent="0.2">
      <c r="A44" s="3" t="s">
        <v>3274</v>
      </c>
      <c r="B44" s="3" t="s">
        <v>3275</v>
      </c>
      <c r="C44" s="3" t="s">
        <v>3236</v>
      </c>
      <c r="D44" s="3" t="s">
        <v>3276</v>
      </c>
      <c r="E44" s="3" t="s">
        <v>3277</v>
      </c>
      <c r="F44" s="3" t="s">
        <v>3278</v>
      </c>
      <c r="G44" s="3" t="s">
        <v>3052</v>
      </c>
      <c r="H44" s="3" t="s">
        <v>1380</v>
      </c>
      <c r="I44" s="3" t="s">
        <v>428</v>
      </c>
      <c r="J44" s="3" t="s">
        <v>3053</v>
      </c>
    </row>
    <row r="45" spans="1:10" ht="60" customHeight="1" x14ac:dyDescent="0.2">
      <c r="A45" s="3" t="s">
        <v>3279</v>
      </c>
      <c r="B45" s="3" t="s">
        <v>3280</v>
      </c>
      <c r="C45" s="3" t="s">
        <v>3281</v>
      </c>
      <c r="D45" s="3" t="s">
        <v>3282</v>
      </c>
      <c r="E45" s="3" t="s">
        <v>3283</v>
      </c>
      <c r="F45" s="3" t="s">
        <v>3284</v>
      </c>
      <c r="G45" s="3" t="s">
        <v>3052</v>
      </c>
      <c r="H45" s="3" t="s">
        <v>1380</v>
      </c>
      <c r="I45" s="3" t="s">
        <v>539</v>
      </c>
      <c r="J45" s="3" t="s">
        <v>3053</v>
      </c>
    </row>
    <row r="46" spans="1:10" ht="45" customHeight="1" x14ac:dyDescent="0.2">
      <c r="A46" s="3" t="s">
        <v>3285</v>
      </c>
      <c r="B46" s="3" t="s">
        <v>3286</v>
      </c>
      <c r="C46" s="3" t="s">
        <v>3236</v>
      </c>
      <c r="D46" s="3" t="s">
        <v>3287</v>
      </c>
      <c r="E46" s="3" t="s">
        <v>3288</v>
      </c>
      <c r="F46" s="3" t="s">
        <v>3151</v>
      </c>
      <c r="G46" s="3" t="s">
        <v>3052</v>
      </c>
      <c r="H46" s="3" t="s">
        <v>1380</v>
      </c>
      <c r="I46" s="3" t="s">
        <v>700</v>
      </c>
      <c r="J46" s="3" t="s">
        <v>3053</v>
      </c>
    </row>
    <row r="47" spans="1:10" ht="45" customHeight="1" x14ac:dyDescent="0.2">
      <c r="A47" s="3" t="s">
        <v>3289</v>
      </c>
      <c r="B47" s="3" t="s">
        <v>3290</v>
      </c>
      <c r="C47" s="3" t="s">
        <v>3236</v>
      </c>
      <c r="D47" s="3" t="s">
        <v>3291</v>
      </c>
      <c r="E47" s="3" t="s">
        <v>3292</v>
      </c>
      <c r="F47" s="3" t="s">
        <v>3293</v>
      </c>
      <c r="G47" s="3" t="s">
        <v>3052</v>
      </c>
      <c r="H47" s="3" t="s">
        <v>1380</v>
      </c>
      <c r="I47" s="3" t="s">
        <v>700</v>
      </c>
      <c r="J47" s="3" t="s">
        <v>3053</v>
      </c>
    </row>
    <row r="48" spans="1:10" ht="45" customHeight="1" x14ac:dyDescent="0.2">
      <c r="A48" s="3" t="s">
        <v>3294</v>
      </c>
      <c r="B48" s="3" t="s">
        <v>3295</v>
      </c>
      <c r="C48" s="3" t="s">
        <v>3236</v>
      </c>
      <c r="D48" s="3" t="s">
        <v>3296</v>
      </c>
      <c r="E48" s="3" t="s">
        <v>3297</v>
      </c>
      <c r="F48" s="3" t="s">
        <v>3298</v>
      </c>
      <c r="G48" s="3" t="s">
        <v>3052</v>
      </c>
      <c r="H48" s="3" t="s">
        <v>1380</v>
      </c>
      <c r="I48" s="3" t="s">
        <v>700</v>
      </c>
      <c r="J48" s="3" t="s">
        <v>3053</v>
      </c>
    </row>
    <row r="49" spans="1:10" ht="60" customHeight="1" x14ac:dyDescent="0.2">
      <c r="A49" s="3" t="s">
        <v>3299</v>
      </c>
      <c r="B49" s="3" t="s">
        <v>3300</v>
      </c>
      <c r="C49" s="3" t="s">
        <v>3301</v>
      </c>
      <c r="D49" s="3" t="s">
        <v>3302</v>
      </c>
      <c r="E49" s="3" t="s">
        <v>3303</v>
      </c>
      <c r="F49" s="3" t="s">
        <v>3304</v>
      </c>
      <c r="G49" s="3" t="s">
        <v>3052</v>
      </c>
      <c r="H49" s="3" t="s">
        <v>1380</v>
      </c>
      <c r="I49" s="3" t="s">
        <v>7</v>
      </c>
      <c r="J49" s="3" t="s">
        <v>3053</v>
      </c>
    </row>
    <row r="50" spans="1:10" ht="60" customHeight="1" x14ac:dyDescent="0.2">
      <c r="A50" s="3" t="s">
        <v>3305</v>
      </c>
      <c r="B50" s="3" t="s">
        <v>3306</v>
      </c>
      <c r="C50" s="3" t="s">
        <v>3067</v>
      </c>
      <c r="D50" s="3" t="s">
        <v>3307</v>
      </c>
      <c r="E50" s="3" t="s">
        <v>3308</v>
      </c>
      <c r="F50" s="3" t="s">
        <v>3108</v>
      </c>
      <c r="G50" s="3" t="s">
        <v>3052</v>
      </c>
      <c r="H50" s="3" t="s">
        <v>1380</v>
      </c>
      <c r="I50" s="3" t="s">
        <v>1150</v>
      </c>
      <c r="J50" s="3" t="s">
        <v>3053</v>
      </c>
    </row>
    <row r="51" spans="1:10" ht="60" customHeight="1" x14ac:dyDescent="0.2">
      <c r="A51" s="3" t="s">
        <v>3309</v>
      </c>
      <c r="B51" s="3" t="s">
        <v>3310</v>
      </c>
      <c r="C51" s="3" t="s">
        <v>3311</v>
      </c>
      <c r="D51" s="3" t="s">
        <v>3312</v>
      </c>
      <c r="E51" s="3" t="s">
        <v>3313</v>
      </c>
      <c r="F51" s="3" t="s">
        <v>3314</v>
      </c>
      <c r="G51" s="3" t="s">
        <v>3052</v>
      </c>
      <c r="H51" s="3" t="s">
        <v>1380</v>
      </c>
      <c r="I51" s="3" t="s">
        <v>700</v>
      </c>
      <c r="J51" s="3" t="s">
        <v>3053</v>
      </c>
    </row>
    <row r="52" spans="1:10" ht="45" customHeight="1" x14ac:dyDescent="0.2">
      <c r="A52" s="3" t="s">
        <v>3315</v>
      </c>
      <c r="B52" s="3" t="s">
        <v>3316</v>
      </c>
      <c r="C52" s="3" t="s">
        <v>3311</v>
      </c>
      <c r="D52" s="3" t="s">
        <v>3317</v>
      </c>
      <c r="E52" s="3" t="s">
        <v>3318</v>
      </c>
      <c r="F52" s="3" t="s">
        <v>3298</v>
      </c>
      <c r="G52" s="3" t="s">
        <v>3052</v>
      </c>
      <c r="H52" s="3" t="s">
        <v>1380</v>
      </c>
      <c r="I52" s="3" t="s">
        <v>700</v>
      </c>
      <c r="J52" s="3" t="s">
        <v>3053</v>
      </c>
    </row>
    <row r="53" spans="1:10" ht="30" customHeight="1" x14ac:dyDescent="0.2">
      <c r="A53" s="3" t="s">
        <v>3319</v>
      </c>
      <c r="B53" s="3" t="s">
        <v>3320</v>
      </c>
      <c r="C53" s="3" t="s">
        <v>3120</v>
      </c>
      <c r="D53" s="3" t="s">
        <v>3321</v>
      </c>
      <c r="E53" s="3" t="s">
        <v>3322</v>
      </c>
      <c r="F53" s="3" t="s">
        <v>459</v>
      </c>
      <c r="G53" s="3" t="s">
        <v>3052</v>
      </c>
      <c r="H53" s="3" t="s">
        <v>1380</v>
      </c>
      <c r="I53" s="3" t="s">
        <v>700</v>
      </c>
      <c r="J53" s="3" t="s">
        <v>3053</v>
      </c>
    </row>
    <row r="54" spans="1:10" ht="30" customHeight="1" x14ac:dyDescent="0.2">
      <c r="A54" s="3" t="s">
        <v>3323</v>
      </c>
      <c r="B54" s="3" t="s">
        <v>3324</v>
      </c>
      <c r="C54" s="3" t="s">
        <v>3325</v>
      </c>
      <c r="D54" s="3" t="s">
        <v>3326</v>
      </c>
      <c r="E54" s="3" t="s">
        <v>3327</v>
      </c>
      <c r="F54" s="3" t="s">
        <v>3328</v>
      </c>
      <c r="G54" s="3" t="s">
        <v>3052</v>
      </c>
      <c r="H54" s="3" t="s">
        <v>1380</v>
      </c>
      <c r="I54" s="3" t="s">
        <v>700</v>
      </c>
      <c r="J54" s="3" t="s">
        <v>3053</v>
      </c>
    </row>
    <row r="55" spans="1:10" ht="30" customHeight="1" x14ac:dyDescent="0.2">
      <c r="A55" s="3" t="s">
        <v>3329</v>
      </c>
      <c r="B55" s="3" t="s">
        <v>3330</v>
      </c>
      <c r="C55" s="3" t="s">
        <v>3325</v>
      </c>
      <c r="D55" s="3" t="s">
        <v>3331</v>
      </c>
      <c r="E55" s="3" t="s">
        <v>3327</v>
      </c>
      <c r="F55" s="3" t="s">
        <v>3328</v>
      </c>
      <c r="G55" s="3" t="s">
        <v>3052</v>
      </c>
      <c r="H55" s="3" t="s">
        <v>1380</v>
      </c>
      <c r="I55" s="3" t="s">
        <v>700</v>
      </c>
      <c r="J55" s="3" t="s">
        <v>3053</v>
      </c>
    </row>
    <row r="56" spans="1:10" ht="60" customHeight="1" x14ac:dyDescent="0.2">
      <c r="A56" s="3" t="s">
        <v>3332</v>
      </c>
      <c r="B56" s="3" t="s">
        <v>3333</v>
      </c>
      <c r="C56" s="3" t="s">
        <v>3334</v>
      </c>
      <c r="D56" s="3" t="s">
        <v>3335</v>
      </c>
      <c r="E56" s="3" t="s">
        <v>3336</v>
      </c>
      <c r="F56" s="3" t="s">
        <v>3337</v>
      </c>
      <c r="G56" s="3" t="s">
        <v>3052</v>
      </c>
      <c r="H56" s="3" t="s">
        <v>1380</v>
      </c>
      <c r="I56" s="3" t="s">
        <v>7</v>
      </c>
      <c r="J56" s="3" t="s">
        <v>3053</v>
      </c>
    </row>
    <row r="57" spans="1:10" ht="60" customHeight="1" x14ac:dyDescent="0.2">
      <c r="A57" s="3" t="s">
        <v>3338</v>
      </c>
      <c r="B57" s="3" t="s">
        <v>3339</v>
      </c>
      <c r="C57" s="3" t="s">
        <v>3340</v>
      </c>
      <c r="D57" s="3" t="s">
        <v>3341</v>
      </c>
      <c r="E57" s="3" t="s">
        <v>3342</v>
      </c>
      <c r="F57" s="3" t="s">
        <v>3092</v>
      </c>
      <c r="G57" s="3" t="s">
        <v>3052</v>
      </c>
      <c r="H57" s="3" t="s">
        <v>1380</v>
      </c>
      <c r="I57" s="3" t="s">
        <v>960</v>
      </c>
      <c r="J57" s="3" t="s">
        <v>3053</v>
      </c>
    </row>
    <row r="58" spans="1:10" ht="45" customHeight="1" x14ac:dyDescent="0.2">
      <c r="A58" s="3" t="s">
        <v>3343</v>
      </c>
      <c r="B58" s="3" t="s">
        <v>3344</v>
      </c>
      <c r="C58" s="3" t="s">
        <v>3089</v>
      </c>
      <c r="D58" s="3" t="s">
        <v>3345</v>
      </c>
      <c r="E58" s="3" t="s">
        <v>3346</v>
      </c>
      <c r="F58" s="3" t="s">
        <v>3227</v>
      </c>
      <c r="G58" s="3" t="s">
        <v>3052</v>
      </c>
      <c r="H58" s="3" t="s">
        <v>1380</v>
      </c>
      <c r="I58" s="3" t="s">
        <v>700</v>
      </c>
      <c r="J58" s="3" t="s">
        <v>3053</v>
      </c>
    </row>
    <row r="59" spans="1:10" ht="45" customHeight="1" x14ac:dyDescent="0.2">
      <c r="A59" s="3" t="s">
        <v>3347</v>
      </c>
      <c r="B59" s="3" t="s">
        <v>3348</v>
      </c>
      <c r="C59" s="3" t="s">
        <v>3349</v>
      </c>
      <c r="D59" s="3" t="s">
        <v>3350</v>
      </c>
      <c r="E59" s="3" t="s">
        <v>3351</v>
      </c>
      <c r="F59" s="3" t="s">
        <v>3227</v>
      </c>
      <c r="G59" s="3" t="s">
        <v>3052</v>
      </c>
      <c r="H59" s="3" t="s">
        <v>1380</v>
      </c>
      <c r="I59" s="3" t="s">
        <v>700</v>
      </c>
      <c r="J59" s="3" t="s">
        <v>3053</v>
      </c>
    </row>
    <row r="60" spans="1:10" ht="60" customHeight="1" x14ac:dyDescent="0.2">
      <c r="A60" s="3" t="s">
        <v>3352</v>
      </c>
      <c r="B60" s="3" t="s">
        <v>3353</v>
      </c>
      <c r="C60" s="3" t="s">
        <v>3325</v>
      </c>
      <c r="D60" s="3" t="s">
        <v>3354</v>
      </c>
      <c r="E60" s="3" t="s">
        <v>3355</v>
      </c>
      <c r="F60" s="3" t="s">
        <v>3356</v>
      </c>
      <c r="G60" s="3" t="s">
        <v>3052</v>
      </c>
      <c r="H60" s="3" t="s">
        <v>1380</v>
      </c>
      <c r="I60" s="3" t="s">
        <v>700</v>
      </c>
      <c r="J60" s="3" t="s">
        <v>3053</v>
      </c>
    </row>
    <row r="61" spans="1:10" ht="60" customHeight="1" x14ac:dyDescent="0.2">
      <c r="A61" s="3" t="s">
        <v>3357</v>
      </c>
      <c r="B61" s="3" t="s">
        <v>3358</v>
      </c>
      <c r="C61" s="3" t="s">
        <v>3137</v>
      </c>
      <c r="D61" s="3" t="s">
        <v>3359</v>
      </c>
      <c r="E61" s="3" t="s">
        <v>3360</v>
      </c>
      <c r="F61" s="3" t="s">
        <v>3209</v>
      </c>
      <c r="G61" s="3" t="s">
        <v>3052</v>
      </c>
      <c r="H61" s="3" t="s">
        <v>1380</v>
      </c>
      <c r="I61" s="3" t="s">
        <v>2463</v>
      </c>
      <c r="J61" s="3" t="s">
        <v>3053</v>
      </c>
    </row>
    <row r="62" spans="1:10" ht="45" customHeight="1" x14ac:dyDescent="0.2">
      <c r="A62" s="3" t="s">
        <v>3361</v>
      </c>
      <c r="B62" s="3" t="s">
        <v>3362</v>
      </c>
      <c r="C62" s="3" t="s">
        <v>3363</v>
      </c>
      <c r="D62" s="3" t="s">
        <v>3364</v>
      </c>
      <c r="E62" s="3" t="s">
        <v>3365</v>
      </c>
      <c r="F62" s="3" t="s">
        <v>2207</v>
      </c>
      <c r="G62" s="3" t="s">
        <v>3052</v>
      </c>
      <c r="H62" s="3" t="s">
        <v>1380</v>
      </c>
      <c r="I62" s="3" t="s">
        <v>428</v>
      </c>
      <c r="J62" s="6" t="s">
        <v>3366</v>
      </c>
    </row>
    <row r="63" spans="1:10" ht="45" customHeight="1" x14ac:dyDescent="0.2">
      <c r="A63" s="3" t="s">
        <v>3367</v>
      </c>
      <c r="B63" s="3" t="s">
        <v>3368</v>
      </c>
      <c r="C63" s="3" t="s">
        <v>3369</v>
      </c>
      <c r="D63" s="3" t="s">
        <v>3370</v>
      </c>
      <c r="E63" s="3" t="s">
        <v>3371</v>
      </c>
      <c r="F63" s="3" t="s">
        <v>3227</v>
      </c>
      <c r="G63" s="3" t="s">
        <v>3052</v>
      </c>
      <c r="H63" s="3" t="s">
        <v>1380</v>
      </c>
      <c r="I63" s="3" t="s">
        <v>428</v>
      </c>
      <c r="J63" s="6" t="s">
        <v>3372</v>
      </c>
    </row>
    <row r="64" spans="1:10" ht="60" customHeight="1" x14ac:dyDescent="0.2">
      <c r="A64" s="3" t="s">
        <v>3373</v>
      </c>
      <c r="B64" s="3" t="s">
        <v>3374</v>
      </c>
      <c r="C64" s="3" t="s">
        <v>3375</v>
      </c>
      <c r="D64" s="3" t="s">
        <v>3376</v>
      </c>
      <c r="E64" s="3" t="s">
        <v>3377</v>
      </c>
      <c r="F64" s="3" t="s">
        <v>3378</v>
      </c>
      <c r="G64" s="3" t="s">
        <v>3052</v>
      </c>
      <c r="H64" s="3" t="s">
        <v>1380</v>
      </c>
      <c r="I64" s="3" t="s">
        <v>577</v>
      </c>
      <c r="J64" s="6" t="s">
        <v>3233</v>
      </c>
    </row>
    <row r="65" spans="1:10" ht="60" customHeight="1" x14ac:dyDescent="0.2">
      <c r="A65" s="3" t="s">
        <v>3379</v>
      </c>
      <c r="B65" s="3" t="s">
        <v>3380</v>
      </c>
      <c r="C65" s="3" t="s">
        <v>3381</v>
      </c>
      <c r="D65" s="3" t="s">
        <v>3382</v>
      </c>
      <c r="E65" s="3" t="s">
        <v>3383</v>
      </c>
      <c r="F65" s="3" t="s">
        <v>3384</v>
      </c>
      <c r="G65" s="3" t="s">
        <v>3052</v>
      </c>
      <c r="H65" s="3" t="s">
        <v>1380</v>
      </c>
      <c r="I65" s="3" t="s">
        <v>7</v>
      </c>
      <c r="J65" s="6" t="s">
        <v>3385</v>
      </c>
    </row>
    <row r="66" spans="1:10" ht="60" customHeight="1" x14ac:dyDescent="0.2">
      <c r="A66" s="3" t="s">
        <v>3386</v>
      </c>
      <c r="B66" s="3" t="s">
        <v>3387</v>
      </c>
      <c r="C66" s="3" t="s">
        <v>3388</v>
      </c>
      <c r="D66" s="3" t="s">
        <v>3389</v>
      </c>
      <c r="E66" s="3" t="s">
        <v>3390</v>
      </c>
      <c r="F66" s="3" t="s">
        <v>3391</v>
      </c>
      <c r="G66" s="3" t="s">
        <v>3052</v>
      </c>
      <c r="H66" s="3" t="s">
        <v>1380</v>
      </c>
      <c r="I66" s="3" t="s">
        <v>1150</v>
      </c>
      <c r="J66" s="6" t="s">
        <v>3392</v>
      </c>
    </row>
  </sheetData>
  <autoFilter ref="A1:J6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1"/>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34" customWidth="1"/>
    <col min="3" max="3" width="52" customWidth="1"/>
    <col min="4" max="6" width="44" customWidth="1"/>
    <col min="7" max="7" width="26" customWidth="1"/>
  </cols>
  <sheetData>
    <row r="1" spans="1:7" ht="15" customHeight="1" x14ac:dyDescent="0.2">
      <c r="A1" s="1" t="s">
        <v>3393</v>
      </c>
      <c r="B1" s="1" t="s">
        <v>3394</v>
      </c>
      <c r="C1" s="1" t="s">
        <v>3395</v>
      </c>
      <c r="D1" s="1" t="s">
        <v>3396</v>
      </c>
      <c r="E1" s="1" t="s">
        <v>3397</v>
      </c>
      <c r="F1" s="1" t="s">
        <v>3398</v>
      </c>
      <c r="G1" s="1" t="s">
        <v>3399</v>
      </c>
    </row>
    <row r="2" spans="1:7" ht="45" customHeight="1" x14ac:dyDescent="0.2">
      <c r="A2" s="3" t="s">
        <v>3400</v>
      </c>
      <c r="B2" s="3" t="s">
        <v>3401</v>
      </c>
      <c r="C2" s="3" t="s">
        <v>3402</v>
      </c>
      <c r="D2" s="3" t="s">
        <v>3403</v>
      </c>
      <c r="E2" s="3" t="s">
        <v>3404</v>
      </c>
      <c r="F2" s="3" t="s">
        <v>3405</v>
      </c>
      <c r="G2" s="3" t="s">
        <v>3406</v>
      </c>
    </row>
    <row r="3" spans="1:7" ht="30" customHeight="1" x14ac:dyDescent="0.2">
      <c r="A3" s="3" t="s">
        <v>3400</v>
      </c>
      <c r="B3" s="3" t="s">
        <v>3407</v>
      </c>
      <c r="C3" s="3" t="s">
        <v>3408</v>
      </c>
      <c r="D3" s="3" t="s">
        <v>650</v>
      </c>
      <c r="E3" s="3" t="s">
        <v>3409</v>
      </c>
      <c r="F3" s="3" t="s">
        <v>3410</v>
      </c>
      <c r="G3" s="3" t="s">
        <v>3411</v>
      </c>
    </row>
    <row r="4" spans="1:7" ht="30" customHeight="1" x14ac:dyDescent="0.2">
      <c r="A4" s="3" t="s">
        <v>3400</v>
      </c>
      <c r="B4" s="3" t="s">
        <v>3412</v>
      </c>
      <c r="C4" s="3" t="s">
        <v>3413</v>
      </c>
      <c r="D4" s="3" t="s">
        <v>650</v>
      </c>
      <c r="E4" s="3" t="s">
        <v>3414</v>
      </c>
      <c r="F4" s="3" t="s">
        <v>3410</v>
      </c>
      <c r="G4" s="3" t="s">
        <v>3415</v>
      </c>
    </row>
    <row r="5" spans="1:7" ht="30" customHeight="1" x14ac:dyDescent="0.2">
      <c r="A5" s="3" t="s">
        <v>3400</v>
      </c>
      <c r="B5" s="3" t="s">
        <v>3416</v>
      </c>
      <c r="C5" s="3" t="s">
        <v>3417</v>
      </c>
      <c r="D5" s="3" t="s">
        <v>650</v>
      </c>
      <c r="E5" s="3" t="s">
        <v>3418</v>
      </c>
      <c r="F5" s="3" t="s">
        <v>3410</v>
      </c>
      <c r="G5" s="3" t="s">
        <v>3419</v>
      </c>
    </row>
    <row r="6" spans="1:7" ht="30" customHeight="1" x14ac:dyDescent="0.2">
      <c r="A6" s="3" t="s">
        <v>3420</v>
      </c>
      <c r="B6" s="3" t="s">
        <v>3421</v>
      </c>
      <c r="C6" s="3" t="s">
        <v>3422</v>
      </c>
      <c r="D6" s="3" t="s">
        <v>650</v>
      </c>
      <c r="E6" s="3" t="s">
        <v>3423</v>
      </c>
      <c r="F6" s="3" t="s">
        <v>3424</v>
      </c>
      <c r="G6" s="3" t="s">
        <v>3419</v>
      </c>
    </row>
    <row r="7" spans="1:7" ht="15" customHeight="1" x14ac:dyDescent="0.2">
      <c r="A7" s="3" t="s">
        <v>3425</v>
      </c>
      <c r="B7" s="3" t="s">
        <v>3416</v>
      </c>
      <c r="C7" s="3" t="s">
        <v>3426</v>
      </c>
      <c r="D7" s="3" t="s">
        <v>650</v>
      </c>
      <c r="E7" s="3" t="s">
        <v>3427</v>
      </c>
      <c r="F7" s="3" t="s">
        <v>3428</v>
      </c>
      <c r="G7" s="3" t="s">
        <v>3419</v>
      </c>
    </row>
    <row r="8" spans="1:7" ht="15" customHeight="1" x14ac:dyDescent="0.2">
      <c r="A8" s="3" t="s">
        <v>3429</v>
      </c>
      <c r="B8" s="3" t="s">
        <v>3430</v>
      </c>
      <c r="C8" s="3" t="s">
        <v>3431</v>
      </c>
      <c r="D8" s="3" t="s">
        <v>650</v>
      </c>
      <c r="E8" s="3" t="s">
        <v>3432</v>
      </c>
      <c r="F8" s="3" t="s">
        <v>3433</v>
      </c>
      <c r="G8" s="3" t="s">
        <v>3419</v>
      </c>
    </row>
    <row r="9" spans="1:7" ht="15" customHeight="1" x14ac:dyDescent="0.2">
      <c r="A9" s="3" t="s">
        <v>3434</v>
      </c>
      <c r="B9" s="3" t="s">
        <v>3435</v>
      </c>
      <c r="C9" s="3" t="s">
        <v>3436</v>
      </c>
      <c r="D9" s="3" t="s">
        <v>650</v>
      </c>
      <c r="E9" s="3" t="s">
        <v>3437</v>
      </c>
      <c r="F9" s="3" t="s">
        <v>3410</v>
      </c>
      <c r="G9" s="3" t="s">
        <v>3419</v>
      </c>
    </row>
    <row r="10" spans="1:7" ht="30" customHeight="1" x14ac:dyDescent="0.2">
      <c r="A10" s="3" t="s">
        <v>3438</v>
      </c>
      <c r="B10" s="3" t="s">
        <v>3439</v>
      </c>
      <c r="C10" s="3" t="s">
        <v>3440</v>
      </c>
      <c r="D10" s="3" t="s">
        <v>3441</v>
      </c>
      <c r="E10" s="3" t="s">
        <v>3442</v>
      </c>
      <c r="F10" s="3" t="s">
        <v>3443</v>
      </c>
      <c r="G10" s="3" t="s">
        <v>3444</v>
      </c>
    </row>
    <row r="11" spans="1:7" ht="30" customHeight="1" x14ac:dyDescent="0.2">
      <c r="A11" s="3" t="s">
        <v>3438</v>
      </c>
      <c r="B11" s="3" t="s">
        <v>3445</v>
      </c>
      <c r="C11" s="3" t="s">
        <v>3446</v>
      </c>
      <c r="D11" s="3" t="s">
        <v>3447</v>
      </c>
      <c r="E11" s="3" t="s">
        <v>3442</v>
      </c>
      <c r="F11" s="3" t="s">
        <v>3448</v>
      </c>
      <c r="G11" s="3" t="s">
        <v>3444</v>
      </c>
    </row>
    <row r="12" spans="1:7" ht="30" customHeight="1" x14ac:dyDescent="0.2">
      <c r="A12" s="3" t="s">
        <v>3438</v>
      </c>
      <c r="B12" s="3" t="s">
        <v>3449</v>
      </c>
      <c r="C12" s="3" t="s">
        <v>3450</v>
      </c>
      <c r="D12" s="3" t="s">
        <v>3451</v>
      </c>
      <c r="E12" s="3" t="s">
        <v>3442</v>
      </c>
      <c r="F12" s="3" t="s">
        <v>3452</v>
      </c>
      <c r="G12" s="3" t="s">
        <v>3444</v>
      </c>
    </row>
    <row r="13" spans="1:7" ht="30" customHeight="1" x14ac:dyDescent="0.2">
      <c r="A13" s="3" t="s">
        <v>3438</v>
      </c>
      <c r="B13" s="3" t="s">
        <v>3453</v>
      </c>
      <c r="C13" s="3" t="s">
        <v>3454</v>
      </c>
      <c r="D13" s="3" t="s">
        <v>3174</v>
      </c>
      <c r="E13" s="3" t="s">
        <v>3442</v>
      </c>
      <c r="F13" s="3" t="s">
        <v>3455</v>
      </c>
      <c r="G13" s="3" t="s">
        <v>3444</v>
      </c>
    </row>
    <row r="14" spans="1:7" ht="30" customHeight="1" x14ac:dyDescent="0.2">
      <c r="A14" s="3" t="s">
        <v>3438</v>
      </c>
      <c r="B14" s="3" t="s">
        <v>3456</v>
      </c>
      <c r="C14" s="3" t="s">
        <v>3457</v>
      </c>
      <c r="D14" s="3" t="s">
        <v>3169</v>
      </c>
      <c r="E14" s="3" t="s">
        <v>3442</v>
      </c>
      <c r="F14" s="3" t="s">
        <v>3458</v>
      </c>
      <c r="G14" s="3" t="s">
        <v>3444</v>
      </c>
    </row>
    <row r="15" spans="1:7" ht="30" customHeight="1" x14ac:dyDescent="0.2">
      <c r="A15" s="3" t="s">
        <v>3438</v>
      </c>
      <c r="B15" s="3" t="s">
        <v>3459</v>
      </c>
      <c r="C15" s="3" t="s">
        <v>3460</v>
      </c>
      <c r="D15" s="3" t="s">
        <v>3461</v>
      </c>
      <c r="E15" s="3" t="s">
        <v>3442</v>
      </c>
      <c r="F15" s="3" t="s">
        <v>3462</v>
      </c>
      <c r="G15" s="3" t="s">
        <v>3444</v>
      </c>
    </row>
    <row r="16" spans="1:7" ht="30" customHeight="1" x14ac:dyDescent="0.2">
      <c r="A16" s="3" t="s">
        <v>3438</v>
      </c>
      <c r="B16" s="3" t="s">
        <v>3463</v>
      </c>
      <c r="C16" s="3" t="s">
        <v>3464</v>
      </c>
      <c r="D16" s="3" t="s">
        <v>3465</v>
      </c>
      <c r="E16" s="3" t="s">
        <v>3466</v>
      </c>
      <c r="F16" s="3" t="s">
        <v>3467</v>
      </c>
      <c r="G16" s="3" t="s">
        <v>3444</v>
      </c>
    </row>
    <row r="17" spans="1:7" ht="30" customHeight="1" x14ac:dyDescent="0.2">
      <c r="A17" s="3" t="s">
        <v>3438</v>
      </c>
      <c r="B17" s="3" t="s">
        <v>3468</v>
      </c>
      <c r="C17" s="3" t="s">
        <v>3469</v>
      </c>
      <c r="D17" s="3" t="s">
        <v>3470</v>
      </c>
      <c r="E17" s="3" t="s">
        <v>3471</v>
      </c>
      <c r="F17" s="3" t="s">
        <v>3472</v>
      </c>
      <c r="G17" s="3" t="s">
        <v>3444</v>
      </c>
    </row>
    <row r="18" spans="1:7" ht="45" customHeight="1" x14ac:dyDescent="0.2">
      <c r="A18" s="3" t="s">
        <v>3438</v>
      </c>
      <c r="B18" s="3" t="s">
        <v>3473</v>
      </c>
      <c r="C18" s="3" t="s">
        <v>3474</v>
      </c>
      <c r="D18" s="3" t="s">
        <v>3475</v>
      </c>
      <c r="E18" s="3" t="s">
        <v>3442</v>
      </c>
      <c r="F18" s="3" t="s">
        <v>3410</v>
      </c>
      <c r="G18" s="3" t="s">
        <v>3444</v>
      </c>
    </row>
    <row r="19" spans="1:7" ht="30" customHeight="1" x14ac:dyDescent="0.2">
      <c r="A19" s="3" t="s">
        <v>3438</v>
      </c>
      <c r="B19" s="3" t="s">
        <v>3476</v>
      </c>
      <c r="C19" s="3" t="s">
        <v>3477</v>
      </c>
      <c r="D19" s="3" t="s">
        <v>3478</v>
      </c>
      <c r="E19" s="3" t="s">
        <v>3442</v>
      </c>
      <c r="F19" s="3" t="s">
        <v>3410</v>
      </c>
      <c r="G19" s="3" t="s">
        <v>3444</v>
      </c>
    </row>
    <row r="20" spans="1:7" ht="30" customHeight="1" x14ac:dyDescent="0.2">
      <c r="A20" s="3" t="s">
        <v>3438</v>
      </c>
      <c r="B20" s="3" t="s">
        <v>3479</v>
      </c>
      <c r="C20" s="3" t="s">
        <v>3480</v>
      </c>
      <c r="D20" s="3" t="s">
        <v>3481</v>
      </c>
      <c r="E20" s="3" t="s">
        <v>3482</v>
      </c>
      <c r="F20" s="3" t="s">
        <v>3483</v>
      </c>
      <c r="G20" s="3" t="s">
        <v>3444</v>
      </c>
    </row>
    <row r="21" spans="1:7" ht="30" customHeight="1" x14ac:dyDescent="0.2">
      <c r="A21" s="3" t="s">
        <v>3438</v>
      </c>
      <c r="B21" s="3" t="s">
        <v>3484</v>
      </c>
      <c r="C21" s="3" t="s">
        <v>3485</v>
      </c>
      <c r="D21" s="3" t="s">
        <v>3486</v>
      </c>
      <c r="E21" s="3" t="s">
        <v>3442</v>
      </c>
      <c r="F21" s="3" t="s">
        <v>3487</v>
      </c>
      <c r="G21" s="3" t="s">
        <v>3444</v>
      </c>
    </row>
    <row r="22" spans="1:7" ht="30" customHeight="1" x14ac:dyDescent="0.2">
      <c r="A22" s="3" t="s">
        <v>3438</v>
      </c>
      <c r="B22" s="3" t="s">
        <v>3488</v>
      </c>
      <c r="C22" s="3" t="s">
        <v>3489</v>
      </c>
      <c r="D22" s="3" t="s">
        <v>3490</v>
      </c>
      <c r="E22" s="3" t="s">
        <v>3442</v>
      </c>
      <c r="F22" s="3" t="s">
        <v>3491</v>
      </c>
      <c r="G22" s="3" t="s">
        <v>3444</v>
      </c>
    </row>
    <row r="23" spans="1:7" ht="30" customHeight="1" x14ac:dyDescent="0.2">
      <c r="A23" s="3" t="s">
        <v>3438</v>
      </c>
      <c r="B23" s="3" t="s">
        <v>3492</v>
      </c>
      <c r="C23" s="3" t="s">
        <v>3493</v>
      </c>
      <c r="D23" s="3" t="s">
        <v>3494</v>
      </c>
      <c r="E23" s="3" t="s">
        <v>3442</v>
      </c>
      <c r="F23" s="3" t="s">
        <v>3495</v>
      </c>
      <c r="G23" s="3" t="s">
        <v>3444</v>
      </c>
    </row>
    <row r="24" spans="1:7" ht="30" customHeight="1" x14ac:dyDescent="0.2">
      <c r="A24" s="3" t="s">
        <v>3438</v>
      </c>
      <c r="B24" s="3" t="s">
        <v>3496</v>
      </c>
      <c r="C24" s="3" t="s">
        <v>3497</v>
      </c>
      <c r="D24" s="3" t="s">
        <v>3498</v>
      </c>
      <c r="E24" s="3" t="s">
        <v>3499</v>
      </c>
      <c r="F24" s="3" t="s">
        <v>3500</v>
      </c>
      <c r="G24" s="3" t="s">
        <v>3444</v>
      </c>
    </row>
    <row r="25" spans="1:7" ht="30" customHeight="1" x14ac:dyDescent="0.2">
      <c r="A25" s="3" t="s">
        <v>3438</v>
      </c>
      <c r="B25" s="3" t="s">
        <v>3501</v>
      </c>
      <c r="C25" s="3" t="s">
        <v>3502</v>
      </c>
      <c r="D25" s="3" t="s">
        <v>650</v>
      </c>
      <c r="E25" s="3" t="s">
        <v>3503</v>
      </c>
      <c r="F25" s="3" t="s">
        <v>3504</v>
      </c>
      <c r="G25" s="3" t="s">
        <v>3444</v>
      </c>
    </row>
    <row r="26" spans="1:7" ht="30" customHeight="1" x14ac:dyDescent="0.2">
      <c r="A26" s="3" t="s">
        <v>3438</v>
      </c>
      <c r="B26" s="3" t="s">
        <v>3505</v>
      </c>
      <c r="C26" s="3" t="s">
        <v>3506</v>
      </c>
      <c r="D26" s="3" t="s">
        <v>650</v>
      </c>
      <c r="E26" s="3" t="s">
        <v>3442</v>
      </c>
      <c r="F26" s="3" t="s">
        <v>3410</v>
      </c>
      <c r="G26" s="3" t="s">
        <v>3444</v>
      </c>
    </row>
    <row r="27" spans="1:7" ht="60" customHeight="1" x14ac:dyDescent="0.2">
      <c r="A27" s="3" t="s">
        <v>3507</v>
      </c>
      <c r="B27" s="3" t="s">
        <v>3508</v>
      </c>
      <c r="C27" s="3" t="s">
        <v>3509</v>
      </c>
      <c r="D27" s="3" t="s">
        <v>3510</v>
      </c>
      <c r="E27" s="3" t="s">
        <v>3471</v>
      </c>
      <c r="F27" s="3" t="s">
        <v>3511</v>
      </c>
      <c r="G27" s="3" t="s">
        <v>3512</v>
      </c>
    </row>
    <row r="28" spans="1:7" ht="30" customHeight="1" x14ac:dyDescent="0.2">
      <c r="A28" s="3" t="s">
        <v>3507</v>
      </c>
      <c r="B28" s="3" t="s">
        <v>3513</v>
      </c>
      <c r="C28" s="3" t="s">
        <v>3514</v>
      </c>
      <c r="D28" s="3" t="s">
        <v>1642</v>
      </c>
      <c r="E28" s="3" t="s">
        <v>3471</v>
      </c>
      <c r="F28" s="3" t="s">
        <v>3472</v>
      </c>
      <c r="G28" s="3" t="s">
        <v>3512</v>
      </c>
    </row>
    <row r="29" spans="1:7" ht="60" customHeight="1" x14ac:dyDescent="0.2">
      <c r="A29" s="3" t="s">
        <v>3507</v>
      </c>
      <c r="B29" s="3" t="s">
        <v>3515</v>
      </c>
      <c r="C29" s="3" t="s">
        <v>3516</v>
      </c>
      <c r="D29" s="3" t="s">
        <v>3517</v>
      </c>
      <c r="E29" s="3" t="s">
        <v>3518</v>
      </c>
      <c r="F29" s="3" t="s">
        <v>3519</v>
      </c>
      <c r="G29" s="3" t="s">
        <v>3512</v>
      </c>
    </row>
    <row r="30" spans="1:7" ht="30" customHeight="1" x14ac:dyDescent="0.2">
      <c r="A30" s="3" t="s">
        <v>3520</v>
      </c>
      <c r="B30" s="3" t="s">
        <v>3521</v>
      </c>
      <c r="C30" s="3" t="s">
        <v>3522</v>
      </c>
      <c r="D30" s="3" t="s">
        <v>3523</v>
      </c>
      <c r="E30" s="3" t="s">
        <v>3524</v>
      </c>
      <c r="F30" s="3" t="s">
        <v>650</v>
      </c>
      <c r="G30" s="3" t="s">
        <v>650</v>
      </c>
    </row>
    <row r="31" spans="1:7" ht="60" customHeight="1" x14ac:dyDescent="0.2">
      <c r="A31" s="3" t="s">
        <v>3520</v>
      </c>
      <c r="B31" s="3" t="s">
        <v>3525</v>
      </c>
      <c r="C31" s="3" t="s">
        <v>3526</v>
      </c>
      <c r="D31" s="3" t="s">
        <v>3527</v>
      </c>
      <c r="E31" s="3" t="s">
        <v>3524</v>
      </c>
      <c r="F31" s="3" t="s">
        <v>650</v>
      </c>
      <c r="G31" s="3" t="s">
        <v>650</v>
      </c>
    </row>
  </sheetData>
  <autoFilter ref="A1:G31"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50"/>
  <sheetViews>
    <sheetView workbookViewId="0">
      <pane ySplit="1" topLeftCell="A2" activePane="bottomLeft" state="frozen"/>
      <selection pane="bottomLeft"/>
    </sheetView>
  </sheetViews>
  <sheetFormatPr baseColWidth="10" defaultColWidth="8.83203125" defaultRowHeight="15" x14ac:dyDescent="0.2"/>
  <cols>
    <col min="1" max="2" width="34" customWidth="1"/>
    <col min="3" max="3" width="52" customWidth="1"/>
    <col min="4" max="4" width="26" customWidth="1"/>
  </cols>
  <sheetData>
    <row r="1" spans="1:4" ht="15" customHeight="1" x14ac:dyDescent="0.2">
      <c r="A1" s="1" t="s">
        <v>3528</v>
      </c>
      <c r="B1" s="1" t="s">
        <v>3529</v>
      </c>
      <c r="C1" s="1" t="s">
        <v>3530</v>
      </c>
      <c r="D1" s="1" t="s">
        <v>3531</v>
      </c>
    </row>
    <row r="2" spans="1:4" ht="30" customHeight="1" x14ac:dyDescent="0.2">
      <c r="A2" s="3" t="s">
        <v>1533</v>
      </c>
      <c r="B2" s="3" t="s">
        <v>3532</v>
      </c>
      <c r="C2" s="3" t="s">
        <v>3533</v>
      </c>
      <c r="D2" s="3"/>
    </row>
    <row r="3" spans="1:4" ht="15" customHeight="1" x14ac:dyDescent="0.2">
      <c r="A3" s="3" t="s">
        <v>1535</v>
      </c>
      <c r="B3" s="3" t="s">
        <v>3534</v>
      </c>
      <c r="C3" s="3" t="s">
        <v>3535</v>
      </c>
      <c r="D3" s="3"/>
    </row>
    <row r="4" spans="1:4" ht="15" customHeight="1" x14ac:dyDescent="0.2">
      <c r="A4" s="3" t="s">
        <v>1641</v>
      </c>
      <c r="B4" s="3" t="s">
        <v>1546</v>
      </c>
      <c r="C4" s="3" t="s">
        <v>3536</v>
      </c>
      <c r="D4" s="3"/>
    </row>
    <row r="5" spans="1:4" ht="15" customHeight="1" x14ac:dyDescent="0.2">
      <c r="A5" s="3" t="s">
        <v>2965</v>
      </c>
      <c r="B5" s="3" t="s">
        <v>2814</v>
      </c>
      <c r="C5" s="3" t="s">
        <v>3537</v>
      </c>
      <c r="D5" s="3"/>
    </row>
    <row r="6" spans="1:4" ht="15" customHeight="1" x14ac:dyDescent="0.2">
      <c r="A6" s="3" t="s">
        <v>2815</v>
      </c>
      <c r="B6" s="3" t="s">
        <v>2814</v>
      </c>
      <c r="C6" s="3" t="s">
        <v>3538</v>
      </c>
      <c r="D6" s="3"/>
    </row>
    <row r="7" spans="1:4" ht="15" customHeight="1" x14ac:dyDescent="0.2">
      <c r="A7" s="3" t="s">
        <v>2625</v>
      </c>
      <c r="B7" s="3" t="s">
        <v>3534</v>
      </c>
      <c r="C7" s="3" t="s">
        <v>3535</v>
      </c>
      <c r="D7" s="3"/>
    </row>
    <row r="8" spans="1:4" ht="30" customHeight="1" x14ac:dyDescent="0.2">
      <c r="A8" s="3" t="s">
        <v>1537</v>
      </c>
      <c r="B8" s="3" t="s">
        <v>3532</v>
      </c>
      <c r="C8" s="3" t="s">
        <v>3539</v>
      </c>
      <c r="D8" s="3"/>
    </row>
    <row r="9" spans="1:4" ht="15" customHeight="1" x14ac:dyDescent="0.2">
      <c r="A9" s="3" t="s">
        <v>3540</v>
      </c>
      <c r="B9" s="3" t="s">
        <v>2409</v>
      </c>
      <c r="C9" s="3" t="s">
        <v>3541</v>
      </c>
      <c r="D9" s="3"/>
    </row>
    <row r="10" spans="1:4" ht="15" customHeight="1" x14ac:dyDescent="0.2">
      <c r="A10" s="3" t="s">
        <v>1538</v>
      </c>
      <c r="B10" s="3" t="s">
        <v>1488</v>
      </c>
      <c r="C10" s="3" t="s">
        <v>3535</v>
      </c>
      <c r="D10" s="3"/>
    </row>
    <row r="11" spans="1:4" ht="15" customHeight="1" x14ac:dyDescent="0.2">
      <c r="A11" s="3" t="s">
        <v>2825</v>
      </c>
      <c r="B11" s="3" t="s">
        <v>2814</v>
      </c>
      <c r="C11" s="3" t="s">
        <v>3542</v>
      </c>
      <c r="D11" s="3"/>
    </row>
    <row r="12" spans="1:4" ht="15" customHeight="1" x14ac:dyDescent="0.2">
      <c r="A12" s="3" t="s">
        <v>2849</v>
      </c>
      <c r="B12" s="3" t="s">
        <v>2814</v>
      </c>
      <c r="C12" s="3" t="s">
        <v>3543</v>
      </c>
      <c r="D12" s="3"/>
    </row>
    <row r="13" spans="1:4" ht="15" customHeight="1" x14ac:dyDescent="0.2">
      <c r="A13" s="3" t="s">
        <v>2389</v>
      </c>
      <c r="B13" s="3" t="s">
        <v>2119</v>
      </c>
      <c r="C13" s="3" t="s">
        <v>3544</v>
      </c>
      <c r="D13" s="3"/>
    </row>
    <row r="14" spans="1:4" ht="15" customHeight="1" x14ac:dyDescent="0.2">
      <c r="A14" s="3" t="s">
        <v>2966</v>
      </c>
      <c r="B14" s="3" t="s">
        <v>2814</v>
      </c>
      <c r="C14" s="3" t="s">
        <v>3545</v>
      </c>
      <c r="D14" s="3"/>
    </row>
    <row r="15" spans="1:4" ht="15" customHeight="1" x14ac:dyDescent="0.2">
      <c r="A15" s="3" t="s">
        <v>2856</v>
      </c>
      <c r="B15" s="3" t="s">
        <v>2814</v>
      </c>
      <c r="C15" s="3" t="s">
        <v>3535</v>
      </c>
      <c r="D15" s="3"/>
    </row>
    <row r="16" spans="1:4" ht="15" customHeight="1" x14ac:dyDescent="0.2">
      <c r="A16" s="3" t="s">
        <v>2967</v>
      </c>
      <c r="B16" s="3" t="s">
        <v>2814</v>
      </c>
      <c r="C16" s="3" t="s">
        <v>3535</v>
      </c>
      <c r="D16" s="3"/>
    </row>
    <row r="17" spans="1:4" ht="15" customHeight="1" x14ac:dyDescent="0.2">
      <c r="A17" s="3" t="s">
        <v>2862</v>
      </c>
      <c r="B17" s="3" t="s">
        <v>2814</v>
      </c>
      <c r="C17" s="3" t="s">
        <v>3535</v>
      </c>
      <c r="D17" s="3"/>
    </row>
    <row r="18" spans="1:4" ht="30" customHeight="1" x14ac:dyDescent="0.2">
      <c r="A18" s="3" t="s">
        <v>1539</v>
      </c>
      <c r="B18" s="3" t="s">
        <v>3532</v>
      </c>
      <c r="C18" s="3" t="s">
        <v>3546</v>
      </c>
      <c r="D18" s="3"/>
    </row>
    <row r="19" spans="1:4" ht="15" customHeight="1" x14ac:dyDescent="0.2">
      <c r="A19" s="3" t="s">
        <v>3547</v>
      </c>
      <c r="B19" s="3" t="s">
        <v>1488</v>
      </c>
      <c r="C19" s="3" t="s">
        <v>3548</v>
      </c>
      <c r="D19" s="3"/>
    </row>
    <row r="20" spans="1:4" ht="15" customHeight="1" x14ac:dyDescent="0.2">
      <c r="A20" s="3" t="s">
        <v>1540</v>
      </c>
      <c r="B20" s="3" t="s">
        <v>1488</v>
      </c>
      <c r="C20" s="3" t="s">
        <v>3549</v>
      </c>
      <c r="D20" s="3"/>
    </row>
    <row r="21" spans="1:4" ht="15" customHeight="1" x14ac:dyDescent="0.2">
      <c r="A21" s="3" t="s">
        <v>2968</v>
      </c>
      <c r="B21" s="3" t="s">
        <v>2814</v>
      </c>
      <c r="C21" s="3" t="s">
        <v>3535</v>
      </c>
      <c r="D21" s="3"/>
    </row>
    <row r="22" spans="1:4" ht="15" customHeight="1" x14ac:dyDescent="0.2">
      <c r="A22" s="3" t="s">
        <v>2889</v>
      </c>
      <c r="B22" s="3" t="s">
        <v>2814</v>
      </c>
      <c r="C22" s="3" t="s">
        <v>3535</v>
      </c>
      <c r="D22" s="3"/>
    </row>
    <row r="23" spans="1:4" ht="15" customHeight="1" x14ac:dyDescent="0.2">
      <c r="A23" s="3" t="s">
        <v>2621</v>
      </c>
      <c r="B23" s="3" t="s">
        <v>3534</v>
      </c>
      <c r="C23" s="3" t="s">
        <v>3535</v>
      </c>
      <c r="D23" s="3"/>
    </row>
    <row r="24" spans="1:4" ht="15" customHeight="1" x14ac:dyDescent="0.2">
      <c r="A24" s="3" t="s">
        <v>2913</v>
      </c>
      <c r="B24" s="3" t="s">
        <v>2814</v>
      </c>
      <c r="C24" s="3" t="s">
        <v>3550</v>
      </c>
      <c r="D24" s="3"/>
    </row>
    <row r="25" spans="1:4" ht="15" customHeight="1" x14ac:dyDescent="0.2">
      <c r="A25" s="3" t="s">
        <v>2918</v>
      </c>
      <c r="B25" s="3" t="s">
        <v>2814</v>
      </c>
      <c r="C25" s="3" t="s">
        <v>3551</v>
      </c>
      <c r="D25" s="3"/>
    </row>
    <row r="26" spans="1:4" ht="15" customHeight="1" x14ac:dyDescent="0.2">
      <c r="A26" s="3" t="s">
        <v>2059</v>
      </c>
      <c r="B26" s="3" t="s">
        <v>2015</v>
      </c>
      <c r="C26" s="3" t="s">
        <v>3552</v>
      </c>
      <c r="D26" s="3"/>
    </row>
    <row r="27" spans="1:4" ht="15" customHeight="1" x14ac:dyDescent="0.2">
      <c r="A27" s="3" t="s">
        <v>1639</v>
      </c>
      <c r="B27" s="3" t="s">
        <v>1546</v>
      </c>
      <c r="C27" s="3" t="s">
        <v>3553</v>
      </c>
      <c r="D27" s="3"/>
    </row>
    <row r="28" spans="1:4" ht="15" customHeight="1" x14ac:dyDescent="0.2">
      <c r="A28" s="3" t="s">
        <v>2969</v>
      </c>
      <c r="B28" s="3" t="s">
        <v>2814</v>
      </c>
      <c r="C28" s="3" t="s">
        <v>3543</v>
      </c>
      <c r="D28" s="3"/>
    </row>
    <row r="29" spans="1:4" ht="30" customHeight="1" x14ac:dyDescent="0.2">
      <c r="A29" s="3" t="s">
        <v>1541</v>
      </c>
      <c r="B29" s="3" t="s">
        <v>3532</v>
      </c>
      <c r="C29" s="3" t="s">
        <v>3554</v>
      </c>
      <c r="D29" s="3"/>
    </row>
    <row r="30" spans="1:4" ht="15" customHeight="1" x14ac:dyDescent="0.2">
      <c r="A30" s="3" t="s">
        <v>2604</v>
      </c>
      <c r="B30" s="3" t="s">
        <v>3534</v>
      </c>
      <c r="C30" s="3" t="s">
        <v>3535</v>
      </c>
      <c r="D30" s="3"/>
    </row>
    <row r="31" spans="1:4" ht="15" customHeight="1" x14ac:dyDescent="0.2">
      <c r="A31" s="3" t="s">
        <v>2601</v>
      </c>
      <c r="B31" s="3" t="s">
        <v>3555</v>
      </c>
      <c r="C31" s="3" t="s">
        <v>3535</v>
      </c>
      <c r="D31" s="3"/>
    </row>
    <row r="32" spans="1:4" ht="15" customHeight="1" x14ac:dyDescent="0.2">
      <c r="A32" s="3" t="s">
        <v>2341</v>
      </c>
      <c r="B32" s="3" t="s">
        <v>2119</v>
      </c>
      <c r="C32" s="3" t="s">
        <v>3535</v>
      </c>
      <c r="D32" s="3"/>
    </row>
    <row r="33" spans="1:4" ht="15" customHeight="1" x14ac:dyDescent="0.2">
      <c r="A33" s="3" t="s">
        <v>1542</v>
      </c>
      <c r="B33" s="3" t="s">
        <v>3534</v>
      </c>
      <c r="C33" s="3" t="s">
        <v>3535</v>
      </c>
      <c r="D33" s="3"/>
    </row>
    <row r="34" spans="1:4" ht="15" customHeight="1" x14ac:dyDescent="0.2">
      <c r="A34" s="3" t="s">
        <v>2970</v>
      </c>
      <c r="B34" s="3" t="s">
        <v>2814</v>
      </c>
      <c r="C34" s="3" t="s">
        <v>3556</v>
      </c>
      <c r="D34" s="3"/>
    </row>
    <row r="35" spans="1:4" ht="15" customHeight="1" x14ac:dyDescent="0.2">
      <c r="A35" s="3" t="s">
        <v>2610</v>
      </c>
      <c r="B35" s="3" t="s">
        <v>3555</v>
      </c>
      <c r="C35" s="3" t="s">
        <v>3535</v>
      </c>
      <c r="D35" s="3"/>
    </row>
    <row r="36" spans="1:4" ht="15" customHeight="1" x14ac:dyDescent="0.2">
      <c r="A36" s="3" t="s">
        <v>1543</v>
      </c>
      <c r="B36" s="3" t="s">
        <v>3555</v>
      </c>
      <c r="C36" s="3" t="s">
        <v>3557</v>
      </c>
      <c r="D36" s="3"/>
    </row>
    <row r="37" spans="1:4" ht="15" customHeight="1" x14ac:dyDescent="0.2">
      <c r="A37" s="3" t="s">
        <v>3558</v>
      </c>
      <c r="B37" s="3" t="s">
        <v>2119</v>
      </c>
      <c r="C37" s="3" t="s">
        <v>3559</v>
      </c>
      <c r="D37" s="3"/>
    </row>
    <row r="38" spans="1:4" ht="15" customHeight="1" x14ac:dyDescent="0.2">
      <c r="A38" s="3" t="s">
        <v>2197</v>
      </c>
      <c r="B38" s="3" t="s">
        <v>2119</v>
      </c>
      <c r="C38" s="3" t="s">
        <v>3560</v>
      </c>
      <c r="D38" s="3"/>
    </row>
    <row r="39" spans="1:4" ht="15" customHeight="1" x14ac:dyDescent="0.2">
      <c r="A39" s="3" t="s">
        <v>2370</v>
      </c>
      <c r="B39" s="3" t="s">
        <v>3555</v>
      </c>
      <c r="C39" s="3" t="s">
        <v>3561</v>
      </c>
      <c r="D39" s="3"/>
    </row>
    <row r="40" spans="1:4" ht="15" customHeight="1" x14ac:dyDescent="0.2">
      <c r="A40" s="3" t="s">
        <v>2971</v>
      </c>
      <c r="B40" s="3" t="s">
        <v>2814</v>
      </c>
      <c r="C40" s="3" t="s">
        <v>3562</v>
      </c>
      <c r="D40" s="3"/>
    </row>
    <row r="41" spans="1:4" ht="15" customHeight="1" x14ac:dyDescent="0.2">
      <c r="A41" s="3" t="s">
        <v>2308</v>
      </c>
      <c r="B41" s="3" t="s">
        <v>2119</v>
      </c>
      <c r="C41" s="3" t="s">
        <v>3563</v>
      </c>
      <c r="D41" s="3"/>
    </row>
    <row r="42" spans="1:4" ht="15" customHeight="1" x14ac:dyDescent="0.2">
      <c r="A42" s="3" t="s">
        <v>2972</v>
      </c>
      <c r="B42" s="3" t="s">
        <v>2814</v>
      </c>
      <c r="C42" s="3" t="s">
        <v>3564</v>
      </c>
      <c r="D42" s="3"/>
    </row>
    <row r="43" spans="1:4" ht="15" customHeight="1" x14ac:dyDescent="0.2">
      <c r="A43" s="3" t="s">
        <v>2407</v>
      </c>
      <c r="B43" s="3" t="s">
        <v>2119</v>
      </c>
      <c r="C43" s="3" t="s">
        <v>3565</v>
      </c>
      <c r="D43" s="3"/>
    </row>
    <row r="44" spans="1:4" ht="15" customHeight="1" x14ac:dyDescent="0.2">
      <c r="A44" s="3" t="s">
        <v>2251</v>
      </c>
      <c r="B44" s="3" t="s">
        <v>2119</v>
      </c>
      <c r="C44" s="3" t="s">
        <v>3563</v>
      </c>
      <c r="D44" s="3"/>
    </row>
    <row r="45" spans="1:4" ht="15" customHeight="1" x14ac:dyDescent="0.2">
      <c r="A45" s="3" t="s">
        <v>2973</v>
      </c>
      <c r="B45" s="3" t="s">
        <v>2814</v>
      </c>
      <c r="C45" s="3" t="s">
        <v>3566</v>
      </c>
      <c r="D45" s="3"/>
    </row>
    <row r="46" spans="1:4" ht="15" customHeight="1" x14ac:dyDescent="0.2">
      <c r="A46" s="3" t="s">
        <v>2932</v>
      </c>
      <c r="B46" s="3" t="s">
        <v>2814</v>
      </c>
      <c r="C46" s="3" t="s">
        <v>3535</v>
      </c>
      <c r="D46" s="3"/>
    </row>
    <row r="47" spans="1:4" ht="15" customHeight="1" x14ac:dyDescent="0.2">
      <c r="A47" s="3" t="s">
        <v>2974</v>
      </c>
      <c r="B47" s="3" t="s">
        <v>2814</v>
      </c>
      <c r="C47" s="3" t="s">
        <v>3562</v>
      </c>
      <c r="D47" s="3"/>
    </row>
    <row r="48" spans="1:4" ht="15" customHeight="1" x14ac:dyDescent="0.2">
      <c r="A48" s="3" t="s">
        <v>2330</v>
      </c>
      <c r="B48" s="3" t="s">
        <v>2814</v>
      </c>
      <c r="C48" s="3" t="s">
        <v>3535</v>
      </c>
      <c r="D48" s="3"/>
    </row>
    <row r="49" spans="1:4" ht="15" customHeight="1" x14ac:dyDescent="0.2">
      <c r="A49" s="3" t="s">
        <v>2160</v>
      </c>
      <c r="B49" s="3" t="s">
        <v>2119</v>
      </c>
      <c r="C49" s="3" t="s">
        <v>3567</v>
      </c>
      <c r="D49" s="3"/>
    </row>
    <row r="50" spans="1:4" ht="15" customHeight="1" x14ac:dyDescent="0.2">
      <c r="A50" s="3" t="s">
        <v>2960</v>
      </c>
      <c r="B50" s="3" t="s">
        <v>2814</v>
      </c>
      <c r="C50" s="3" t="s">
        <v>3566</v>
      </c>
      <c r="D50" s="3"/>
    </row>
  </sheetData>
  <autoFilter ref="A1:D50"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68"/>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46" customWidth="1"/>
    <col min="3" max="4" width="44" customWidth="1"/>
    <col min="5" max="5" width="52" customWidth="1"/>
  </cols>
  <sheetData>
    <row r="1" spans="1:5" ht="45" customHeight="1" x14ac:dyDescent="0.2">
      <c r="A1" s="1" t="s">
        <v>3040</v>
      </c>
      <c r="B1" s="1" t="s">
        <v>3568</v>
      </c>
      <c r="C1" s="1" t="s">
        <v>3569</v>
      </c>
      <c r="D1" s="1" t="s">
        <v>3570</v>
      </c>
      <c r="E1" s="1" t="s">
        <v>3571</v>
      </c>
    </row>
    <row r="2" spans="1:5" ht="60" customHeight="1" x14ac:dyDescent="0.2">
      <c r="A2" s="3" t="s">
        <v>3046</v>
      </c>
      <c r="B2" s="3" t="s">
        <v>3047</v>
      </c>
      <c r="C2" s="3" t="s">
        <v>3572</v>
      </c>
      <c r="D2" s="3" t="s">
        <v>3051</v>
      </c>
      <c r="E2" s="3" t="s">
        <v>3573</v>
      </c>
    </row>
    <row r="3" spans="1:5" ht="60" customHeight="1" x14ac:dyDescent="0.2">
      <c r="A3" s="3" t="s">
        <v>3054</v>
      </c>
      <c r="B3" s="3" t="s">
        <v>3055</v>
      </c>
      <c r="C3" s="3" t="s">
        <v>650</v>
      </c>
      <c r="D3" s="3" t="s">
        <v>3059</v>
      </c>
      <c r="E3" s="3" t="s">
        <v>3574</v>
      </c>
    </row>
    <row r="4" spans="1:5" ht="60" customHeight="1" x14ac:dyDescent="0.2">
      <c r="A4" s="3" t="s">
        <v>1298</v>
      </c>
      <c r="B4" s="3" t="s">
        <v>3060</v>
      </c>
      <c r="C4" s="3" t="s">
        <v>650</v>
      </c>
      <c r="D4" s="3" t="s">
        <v>3064</v>
      </c>
      <c r="E4" s="3" t="s">
        <v>3574</v>
      </c>
    </row>
    <row r="5" spans="1:5" ht="60" customHeight="1" x14ac:dyDescent="0.2">
      <c r="A5" s="3" t="s">
        <v>3065</v>
      </c>
      <c r="B5" s="3" t="s">
        <v>3066</v>
      </c>
      <c r="C5" s="3" t="s">
        <v>3575</v>
      </c>
      <c r="D5" s="3" t="s">
        <v>3070</v>
      </c>
      <c r="E5" s="3" t="s">
        <v>3576</v>
      </c>
    </row>
    <row r="6" spans="1:5" ht="60" customHeight="1" x14ac:dyDescent="0.2">
      <c r="A6" s="3" t="s">
        <v>1291</v>
      </c>
      <c r="B6" s="3" t="s">
        <v>3071</v>
      </c>
      <c r="C6" s="3" t="s">
        <v>3577</v>
      </c>
      <c r="D6" s="3" t="s">
        <v>3075</v>
      </c>
      <c r="E6" s="3" t="s">
        <v>3578</v>
      </c>
    </row>
    <row r="7" spans="1:5" ht="60" customHeight="1" x14ac:dyDescent="0.2">
      <c r="A7" s="3" t="s">
        <v>3076</v>
      </c>
      <c r="B7" s="3" t="s">
        <v>3077</v>
      </c>
      <c r="C7" s="3" t="s">
        <v>1487</v>
      </c>
      <c r="D7" s="3" t="s">
        <v>3081</v>
      </c>
      <c r="E7" s="3" t="s">
        <v>3579</v>
      </c>
    </row>
    <row r="8" spans="1:5" ht="60" customHeight="1" x14ac:dyDescent="0.2">
      <c r="A8" s="3" t="s">
        <v>1278</v>
      </c>
      <c r="B8" s="3" t="s">
        <v>3082</v>
      </c>
      <c r="C8" s="3" t="s">
        <v>650</v>
      </c>
      <c r="D8" s="3" t="s">
        <v>3086</v>
      </c>
      <c r="E8" s="3" t="s">
        <v>3574</v>
      </c>
    </row>
    <row r="9" spans="1:5" ht="60" customHeight="1" x14ac:dyDescent="0.2">
      <c r="A9" s="3" t="s">
        <v>3087</v>
      </c>
      <c r="B9" s="3" t="s">
        <v>3088</v>
      </c>
      <c r="C9" s="3" t="s">
        <v>3580</v>
      </c>
      <c r="D9" s="3" t="s">
        <v>3092</v>
      </c>
      <c r="E9" s="3" t="s">
        <v>3581</v>
      </c>
    </row>
    <row r="10" spans="1:5" ht="60" customHeight="1" x14ac:dyDescent="0.2">
      <c r="A10" s="3" t="s">
        <v>3093</v>
      </c>
      <c r="B10" s="3" t="s">
        <v>3094</v>
      </c>
      <c r="C10" s="3" t="s">
        <v>650</v>
      </c>
      <c r="D10" s="3" t="s">
        <v>3097</v>
      </c>
      <c r="E10" s="3" t="s">
        <v>3574</v>
      </c>
    </row>
    <row r="11" spans="1:5" ht="60" customHeight="1" x14ac:dyDescent="0.2">
      <c r="A11" s="3" t="s">
        <v>3098</v>
      </c>
      <c r="B11" s="3" t="s">
        <v>3099</v>
      </c>
      <c r="C11" s="3" t="s">
        <v>650</v>
      </c>
      <c r="D11" s="3" t="s">
        <v>3102</v>
      </c>
      <c r="E11" s="3" t="s">
        <v>3574</v>
      </c>
    </row>
    <row r="12" spans="1:5" ht="60" customHeight="1" x14ac:dyDescent="0.2">
      <c r="A12" s="3" t="s">
        <v>3103</v>
      </c>
      <c r="B12" s="3" t="s">
        <v>3104</v>
      </c>
      <c r="C12" s="3" t="s">
        <v>650</v>
      </c>
      <c r="D12" s="3" t="s">
        <v>3108</v>
      </c>
      <c r="E12" s="3" t="s">
        <v>3574</v>
      </c>
    </row>
    <row r="13" spans="1:5" ht="60" customHeight="1" x14ac:dyDescent="0.2">
      <c r="A13" s="3" t="s">
        <v>3109</v>
      </c>
      <c r="B13" s="3" t="s">
        <v>3110</v>
      </c>
      <c r="C13" s="3" t="s">
        <v>650</v>
      </c>
      <c r="D13" s="3" t="s">
        <v>3108</v>
      </c>
      <c r="E13" s="3" t="s">
        <v>3574</v>
      </c>
    </row>
    <row r="14" spans="1:5" ht="60" customHeight="1" x14ac:dyDescent="0.2">
      <c r="A14" s="3" t="s">
        <v>3113</v>
      </c>
      <c r="B14" s="3" t="s">
        <v>3114</v>
      </c>
      <c r="C14" s="3" t="s">
        <v>650</v>
      </c>
      <c r="D14" s="3" t="s">
        <v>3117</v>
      </c>
      <c r="E14" s="3" t="s">
        <v>3574</v>
      </c>
    </row>
    <row r="15" spans="1:5" ht="60" customHeight="1" x14ac:dyDescent="0.2">
      <c r="A15" s="3" t="s">
        <v>3118</v>
      </c>
      <c r="B15" s="3" t="s">
        <v>3119</v>
      </c>
      <c r="C15" s="3" t="s">
        <v>1623</v>
      </c>
      <c r="D15" s="3" t="s">
        <v>3123</v>
      </c>
      <c r="E15" s="3" t="s">
        <v>3582</v>
      </c>
    </row>
    <row r="16" spans="1:5" ht="60" customHeight="1" x14ac:dyDescent="0.2">
      <c r="A16" s="3" t="s">
        <v>3124</v>
      </c>
      <c r="B16" s="3" t="s">
        <v>3125</v>
      </c>
      <c r="C16" s="3" t="s">
        <v>650</v>
      </c>
      <c r="D16" s="3" t="s">
        <v>3129</v>
      </c>
      <c r="E16" s="3" t="s">
        <v>3574</v>
      </c>
    </row>
    <row r="17" spans="1:5" ht="60" customHeight="1" x14ac:dyDescent="0.2">
      <c r="A17" s="3" t="s">
        <v>3130</v>
      </c>
      <c r="B17" s="3" t="s">
        <v>3131</v>
      </c>
      <c r="C17" s="3" t="s">
        <v>2553</v>
      </c>
      <c r="D17" s="3" t="s">
        <v>3134</v>
      </c>
      <c r="E17" s="3" t="s">
        <v>3583</v>
      </c>
    </row>
    <row r="18" spans="1:5" ht="60" customHeight="1" x14ac:dyDescent="0.2">
      <c r="A18" s="3" t="s">
        <v>3135</v>
      </c>
      <c r="B18" s="3" t="s">
        <v>3136</v>
      </c>
      <c r="C18" s="3" t="s">
        <v>3584</v>
      </c>
      <c r="D18" s="3" t="s">
        <v>3140</v>
      </c>
      <c r="E18" s="3" t="s">
        <v>3585</v>
      </c>
    </row>
    <row r="19" spans="1:5" ht="60" customHeight="1" x14ac:dyDescent="0.2">
      <c r="A19" s="3" t="s">
        <v>3141</v>
      </c>
      <c r="B19" s="3" t="s">
        <v>3142</v>
      </c>
      <c r="C19" s="3" t="s">
        <v>504</v>
      </c>
      <c r="D19" s="3" t="s">
        <v>3146</v>
      </c>
      <c r="E19" s="3" t="s">
        <v>3586</v>
      </c>
    </row>
    <row r="20" spans="1:5" ht="45" customHeight="1" x14ac:dyDescent="0.2">
      <c r="A20" s="3" t="s">
        <v>3147</v>
      </c>
      <c r="B20" s="3" t="s">
        <v>3148</v>
      </c>
      <c r="C20" s="3" t="s">
        <v>650</v>
      </c>
      <c r="D20" s="3" t="s">
        <v>3151</v>
      </c>
      <c r="E20" s="3" t="s">
        <v>3574</v>
      </c>
    </row>
    <row r="21" spans="1:5" ht="60" customHeight="1" x14ac:dyDescent="0.2">
      <c r="A21" s="3" t="s">
        <v>3152</v>
      </c>
      <c r="B21" s="3" t="s">
        <v>3153</v>
      </c>
      <c r="C21" s="3" t="s">
        <v>3587</v>
      </c>
      <c r="D21" s="3" t="s">
        <v>3157</v>
      </c>
      <c r="E21" s="3" t="s">
        <v>3588</v>
      </c>
    </row>
    <row r="22" spans="1:5" ht="60" customHeight="1" x14ac:dyDescent="0.2">
      <c r="A22" s="3" t="s">
        <v>3158</v>
      </c>
      <c r="B22" s="3" t="s">
        <v>3159</v>
      </c>
      <c r="C22" s="3" t="s">
        <v>3589</v>
      </c>
      <c r="D22" s="3" t="s">
        <v>3162</v>
      </c>
      <c r="E22" s="3" t="s">
        <v>3590</v>
      </c>
    </row>
    <row r="23" spans="1:5" ht="60" customHeight="1" x14ac:dyDescent="0.2">
      <c r="A23" s="3" t="s">
        <v>3163</v>
      </c>
      <c r="B23" s="3" t="s">
        <v>3164</v>
      </c>
      <c r="C23" s="3" t="s">
        <v>453</v>
      </c>
      <c r="D23" s="3" t="s">
        <v>3167</v>
      </c>
      <c r="E23" s="3" t="s">
        <v>3591</v>
      </c>
    </row>
    <row r="24" spans="1:5" ht="60" customHeight="1" x14ac:dyDescent="0.2">
      <c r="A24" s="3" t="s">
        <v>3168</v>
      </c>
      <c r="B24" s="3" t="s">
        <v>3169</v>
      </c>
      <c r="C24" s="3" t="s">
        <v>3592</v>
      </c>
      <c r="D24" s="3" t="s">
        <v>3172</v>
      </c>
      <c r="E24" s="3" t="s">
        <v>3593</v>
      </c>
    </row>
    <row r="25" spans="1:5" ht="60" customHeight="1" x14ac:dyDescent="0.2">
      <c r="A25" s="3" t="s">
        <v>3173</v>
      </c>
      <c r="B25" s="3" t="s">
        <v>3174</v>
      </c>
      <c r="C25" s="3" t="s">
        <v>3594</v>
      </c>
      <c r="D25" s="3" t="s">
        <v>3178</v>
      </c>
      <c r="E25" s="3" t="s">
        <v>3595</v>
      </c>
    </row>
    <row r="26" spans="1:5" ht="45" customHeight="1" x14ac:dyDescent="0.2">
      <c r="A26" s="3" t="s">
        <v>3179</v>
      </c>
      <c r="B26" s="3" t="s">
        <v>3180</v>
      </c>
      <c r="C26" s="3" t="s">
        <v>2661</v>
      </c>
      <c r="D26" s="3" t="s">
        <v>3183</v>
      </c>
      <c r="E26" s="3" t="s">
        <v>3596</v>
      </c>
    </row>
    <row r="27" spans="1:5" ht="60" customHeight="1" x14ac:dyDescent="0.2">
      <c r="A27" s="3" t="s">
        <v>3184</v>
      </c>
      <c r="B27" s="3" t="s">
        <v>3185</v>
      </c>
      <c r="C27" s="3" t="s">
        <v>650</v>
      </c>
      <c r="D27" s="3" t="s">
        <v>3188</v>
      </c>
      <c r="E27" s="3" t="s">
        <v>3574</v>
      </c>
    </row>
    <row r="28" spans="1:5" ht="60" customHeight="1" x14ac:dyDescent="0.2">
      <c r="A28" s="3" t="s">
        <v>3189</v>
      </c>
      <c r="B28" s="3" t="s">
        <v>3190</v>
      </c>
      <c r="C28" s="3" t="s">
        <v>650</v>
      </c>
      <c r="D28" s="3" t="s">
        <v>3193</v>
      </c>
      <c r="E28" s="3" t="s">
        <v>3574</v>
      </c>
    </row>
    <row r="29" spans="1:5" ht="60" customHeight="1" x14ac:dyDescent="0.2">
      <c r="A29" s="3" t="s">
        <v>3194</v>
      </c>
      <c r="B29" s="3" t="s">
        <v>3195</v>
      </c>
      <c r="C29" s="3" t="s">
        <v>650</v>
      </c>
      <c r="D29" s="3" t="s">
        <v>3146</v>
      </c>
      <c r="E29" s="3" t="s">
        <v>3574</v>
      </c>
    </row>
    <row r="30" spans="1:5" ht="60" customHeight="1" x14ac:dyDescent="0.2">
      <c r="A30" s="3" t="s">
        <v>3199</v>
      </c>
      <c r="B30" s="3" t="s">
        <v>3200</v>
      </c>
      <c r="C30" s="3" t="s">
        <v>650</v>
      </c>
      <c r="D30" s="3" t="s">
        <v>3146</v>
      </c>
      <c r="E30" s="3" t="s">
        <v>3574</v>
      </c>
    </row>
    <row r="31" spans="1:5" ht="60" customHeight="1" x14ac:dyDescent="0.2">
      <c r="A31" s="3" t="s">
        <v>3205</v>
      </c>
      <c r="B31" s="3" t="s">
        <v>3206</v>
      </c>
      <c r="C31" s="3" t="s">
        <v>3597</v>
      </c>
      <c r="D31" s="3" t="s">
        <v>3209</v>
      </c>
      <c r="E31" s="3" t="s">
        <v>3598</v>
      </c>
    </row>
    <row r="32" spans="1:5" ht="60" customHeight="1" x14ac:dyDescent="0.2">
      <c r="A32" s="3" t="s">
        <v>3210</v>
      </c>
      <c r="B32" s="3" t="s">
        <v>3211</v>
      </c>
      <c r="C32" s="3" t="s">
        <v>3599</v>
      </c>
      <c r="D32" s="3" t="s">
        <v>3215</v>
      </c>
      <c r="E32" s="3" t="s">
        <v>3600</v>
      </c>
    </row>
    <row r="33" spans="1:5" ht="60" customHeight="1" x14ac:dyDescent="0.2">
      <c r="A33" s="3" t="s">
        <v>3216</v>
      </c>
      <c r="B33" s="3" t="s">
        <v>3217</v>
      </c>
      <c r="C33" s="3" t="s">
        <v>3601</v>
      </c>
      <c r="D33" s="3" t="s">
        <v>3221</v>
      </c>
      <c r="E33" s="3" t="s">
        <v>3602</v>
      </c>
    </row>
    <row r="34" spans="1:5" ht="45" customHeight="1" x14ac:dyDescent="0.2">
      <c r="A34" s="3" t="s">
        <v>3222</v>
      </c>
      <c r="B34" s="3" t="s">
        <v>3223</v>
      </c>
      <c r="C34" s="3" t="s">
        <v>2236</v>
      </c>
      <c r="D34" s="3" t="s">
        <v>650</v>
      </c>
      <c r="E34" s="3" t="s">
        <v>3603</v>
      </c>
    </row>
    <row r="35" spans="1:5" ht="60" customHeight="1" x14ac:dyDescent="0.2">
      <c r="A35" s="3" t="s">
        <v>1302</v>
      </c>
      <c r="B35" s="3" t="s">
        <v>3228</v>
      </c>
      <c r="C35" s="3" t="s">
        <v>1577</v>
      </c>
      <c r="D35" s="3" t="s">
        <v>3232</v>
      </c>
      <c r="E35" s="3" t="s">
        <v>3604</v>
      </c>
    </row>
    <row r="36" spans="1:5" ht="60" customHeight="1" x14ac:dyDescent="0.2">
      <c r="A36" s="3" t="s">
        <v>3234</v>
      </c>
      <c r="B36" s="3" t="s">
        <v>3235</v>
      </c>
      <c r="C36" s="3" t="s">
        <v>453</v>
      </c>
      <c r="D36" s="3" t="s">
        <v>3167</v>
      </c>
      <c r="E36" s="3" t="s">
        <v>3591</v>
      </c>
    </row>
    <row r="37" spans="1:5" ht="60" customHeight="1" x14ac:dyDescent="0.2">
      <c r="A37" s="3" t="s">
        <v>3239</v>
      </c>
      <c r="B37" s="3" t="s">
        <v>3240</v>
      </c>
      <c r="C37" s="3" t="s">
        <v>453</v>
      </c>
      <c r="D37" s="3" t="s">
        <v>3243</v>
      </c>
      <c r="E37" s="3" t="s">
        <v>3605</v>
      </c>
    </row>
    <row r="38" spans="1:5" ht="60" customHeight="1" x14ac:dyDescent="0.2">
      <c r="A38" s="3" t="s">
        <v>3244</v>
      </c>
      <c r="B38" s="3" t="s">
        <v>3245</v>
      </c>
      <c r="C38" s="3" t="s">
        <v>453</v>
      </c>
      <c r="D38" s="3" t="s">
        <v>3249</v>
      </c>
      <c r="E38" s="3" t="s">
        <v>3606</v>
      </c>
    </row>
    <row r="39" spans="1:5" ht="60" customHeight="1" x14ac:dyDescent="0.2">
      <c r="A39" s="3" t="s">
        <v>3250</v>
      </c>
      <c r="B39" s="3" t="s">
        <v>3251</v>
      </c>
      <c r="C39" s="3" t="s">
        <v>453</v>
      </c>
      <c r="D39" s="3" t="s">
        <v>3249</v>
      </c>
      <c r="E39" s="3" t="s">
        <v>3606</v>
      </c>
    </row>
    <row r="40" spans="1:5" ht="60" customHeight="1" x14ac:dyDescent="0.2">
      <c r="A40" s="3" t="s">
        <v>3254</v>
      </c>
      <c r="B40" s="3" t="s">
        <v>3255</v>
      </c>
      <c r="C40" s="3" t="s">
        <v>453</v>
      </c>
      <c r="D40" s="3" t="s">
        <v>3258</v>
      </c>
      <c r="E40" s="3" t="s">
        <v>3588</v>
      </c>
    </row>
    <row r="41" spans="1:5" ht="60" customHeight="1" x14ac:dyDescent="0.2">
      <c r="A41" s="3" t="s">
        <v>3259</v>
      </c>
      <c r="B41" s="3" t="s">
        <v>3260</v>
      </c>
      <c r="C41" s="3" t="s">
        <v>3607</v>
      </c>
      <c r="D41" s="3" t="s">
        <v>3249</v>
      </c>
      <c r="E41" s="3" t="s">
        <v>3608</v>
      </c>
    </row>
    <row r="42" spans="1:5" ht="60" customHeight="1" x14ac:dyDescent="0.2">
      <c r="A42" s="3" t="s">
        <v>3263</v>
      </c>
      <c r="B42" s="3" t="s">
        <v>3264</v>
      </c>
      <c r="C42" s="3" t="s">
        <v>2553</v>
      </c>
      <c r="D42" s="3" t="s">
        <v>3268</v>
      </c>
      <c r="E42" s="3" t="s">
        <v>3609</v>
      </c>
    </row>
    <row r="43" spans="1:5" ht="60" customHeight="1" x14ac:dyDescent="0.2">
      <c r="A43" s="3" t="s">
        <v>3269</v>
      </c>
      <c r="B43" s="3" t="s">
        <v>3270</v>
      </c>
      <c r="C43" s="3" t="s">
        <v>2553</v>
      </c>
      <c r="D43" s="3" t="s">
        <v>3273</v>
      </c>
      <c r="E43" s="3" t="s">
        <v>3610</v>
      </c>
    </row>
    <row r="44" spans="1:5" ht="60" customHeight="1" x14ac:dyDescent="0.2">
      <c r="A44" s="3" t="s">
        <v>3274</v>
      </c>
      <c r="B44" s="3" t="s">
        <v>3275</v>
      </c>
      <c r="C44" s="3" t="s">
        <v>2898</v>
      </c>
      <c r="D44" s="3" t="s">
        <v>3278</v>
      </c>
      <c r="E44" s="3" t="s">
        <v>3611</v>
      </c>
    </row>
    <row r="45" spans="1:5" ht="60" customHeight="1" x14ac:dyDescent="0.2">
      <c r="A45" s="3" t="s">
        <v>3279</v>
      </c>
      <c r="B45" s="3" t="s">
        <v>3280</v>
      </c>
      <c r="C45" s="3" t="s">
        <v>916</v>
      </c>
      <c r="D45" s="3" t="s">
        <v>3284</v>
      </c>
      <c r="E45" s="3" t="s">
        <v>3612</v>
      </c>
    </row>
    <row r="46" spans="1:5" ht="45" customHeight="1" x14ac:dyDescent="0.2">
      <c r="A46" s="3" t="s">
        <v>3285</v>
      </c>
      <c r="B46" s="3" t="s">
        <v>3286</v>
      </c>
      <c r="C46" s="3" t="s">
        <v>2173</v>
      </c>
      <c r="D46" s="3" t="s">
        <v>3151</v>
      </c>
      <c r="E46" s="3" t="s">
        <v>3613</v>
      </c>
    </row>
    <row r="47" spans="1:5" ht="45" customHeight="1" x14ac:dyDescent="0.2">
      <c r="A47" s="3" t="s">
        <v>3289</v>
      </c>
      <c r="B47" s="3" t="s">
        <v>3290</v>
      </c>
      <c r="C47" s="3" t="s">
        <v>2898</v>
      </c>
      <c r="D47" s="3" t="s">
        <v>3293</v>
      </c>
      <c r="E47" s="3" t="s">
        <v>3613</v>
      </c>
    </row>
    <row r="48" spans="1:5" ht="30" customHeight="1" x14ac:dyDescent="0.2">
      <c r="A48" s="3" t="s">
        <v>3294</v>
      </c>
      <c r="B48" s="3" t="s">
        <v>3295</v>
      </c>
      <c r="C48" s="3" t="s">
        <v>916</v>
      </c>
      <c r="D48" s="3" t="s">
        <v>3298</v>
      </c>
      <c r="E48" s="3" t="s">
        <v>3614</v>
      </c>
    </row>
    <row r="49" spans="1:5" ht="60" customHeight="1" x14ac:dyDescent="0.2">
      <c r="A49" s="3" t="s">
        <v>3299</v>
      </c>
      <c r="B49" s="3" t="s">
        <v>3300</v>
      </c>
      <c r="C49" s="3" t="s">
        <v>650</v>
      </c>
      <c r="D49" s="3" t="s">
        <v>3304</v>
      </c>
      <c r="E49" s="3" t="s">
        <v>3574</v>
      </c>
    </row>
    <row r="50" spans="1:5" ht="60" customHeight="1" x14ac:dyDescent="0.2">
      <c r="A50" s="3" t="s">
        <v>3305</v>
      </c>
      <c r="B50" s="3" t="s">
        <v>3306</v>
      </c>
      <c r="C50" s="3" t="s">
        <v>650</v>
      </c>
      <c r="D50" s="3" t="s">
        <v>3108</v>
      </c>
      <c r="E50" s="3" t="s">
        <v>3574</v>
      </c>
    </row>
    <row r="51" spans="1:5" ht="60" customHeight="1" x14ac:dyDescent="0.2">
      <c r="A51" s="3" t="s">
        <v>3309</v>
      </c>
      <c r="B51" s="3" t="s">
        <v>3310</v>
      </c>
      <c r="C51" s="3" t="s">
        <v>650</v>
      </c>
      <c r="D51" s="3" t="s">
        <v>3314</v>
      </c>
      <c r="E51" s="3" t="s">
        <v>3574</v>
      </c>
    </row>
    <row r="52" spans="1:5" ht="45" customHeight="1" x14ac:dyDescent="0.2">
      <c r="A52" s="3" t="s">
        <v>3315</v>
      </c>
      <c r="B52" s="3" t="s">
        <v>3316</v>
      </c>
      <c r="C52" s="3" t="s">
        <v>650</v>
      </c>
      <c r="D52" s="3" t="s">
        <v>3298</v>
      </c>
      <c r="E52" s="3" t="s">
        <v>3574</v>
      </c>
    </row>
    <row r="53" spans="1:5" ht="45" customHeight="1" x14ac:dyDescent="0.2">
      <c r="A53" s="3" t="s">
        <v>3319</v>
      </c>
      <c r="B53" s="3" t="s">
        <v>3320</v>
      </c>
      <c r="C53" s="3" t="s">
        <v>650</v>
      </c>
      <c r="D53" s="3" t="s">
        <v>459</v>
      </c>
      <c r="E53" s="3" t="s">
        <v>3574</v>
      </c>
    </row>
    <row r="54" spans="1:5" ht="45" customHeight="1" x14ac:dyDescent="0.2">
      <c r="A54" s="3" t="s">
        <v>3323</v>
      </c>
      <c r="B54" s="3" t="s">
        <v>3324</v>
      </c>
      <c r="C54" s="3" t="s">
        <v>650</v>
      </c>
      <c r="D54" s="3" t="s">
        <v>3328</v>
      </c>
      <c r="E54" s="3" t="s">
        <v>3574</v>
      </c>
    </row>
    <row r="55" spans="1:5" ht="45" customHeight="1" x14ac:dyDescent="0.2">
      <c r="A55" s="3" t="s">
        <v>3329</v>
      </c>
      <c r="B55" s="3" t="s">
        <v>3330</v>
      </c>
      <c r="C55" s="3" t="s">
        <v>650</v>
      </c>
      <c r="D55" s="3" t="s">
        <v>3328</v>
      </c>
      <c r="E55" s="3" t="s">
        <v>3574</v>
      </c>
    </row>
    <row r="56" spans="1:5" ht="60" customHeight="1" x14ac:dyDescent="0.2">
      <c r="A56" s="3" t="s">
        <v>3332</v>
      </c>
      <c r="B56" s="3" t="s">
        <v>3333</v>
      </c>
      <c r="C56" s="3" t="s">
        <v>650</v>
      </c>
      <c r="D56" s="3" t="s">
        <v>3337</v>
      </c>
      <c r="E56" s="3" t="s">
        <v>3574</v>
      </c>
    </row>
    <row r="57" spans="1:5" ht="60" customHeight="1" x14ac:dyDescent="0.2">
      <c r="A57" s="3" t="s">
        <v>3338</v>
      </c>
      <c r="B57" s="3" t="s">
        <v>3339</v>
      </c>
      <c r="C57" s="3" t="s">
        <v>650</v>
      </c>
      <c r="D57" s="3" t="s">
        <v>3092</v>
      </c>
      <c r="E57" s="3" t="s">
        <v>3574</v>
      </c>
    </row>
    <row r="58" spans="1:5" ht="60" customHeight="1" x14ac:dyDescent="0.2">
      <c r="A58" s="3" t="s">
        <v>3343</v>
      </c>
      <c r="B58" s="3" t="s">
        <v>3344</v>
      </c>
      <c r="C58" s="3" t="s">
        <v>650</v>
      </c>
      <c r="D58" s="3" t="s">
        <v>650</v>
      </c>
      <c r="E58" s="3" t="s">
        <v>3615</v>
      </c>
    </row>
    <row r="59" spans="1:5" ht="60" customHeight="1" x14ac:dyDescent="0.2">
      <c r="A59" s="3" t="s">
        <v>3347</v>
      </c>
      <c r="B59" s="3" t="s">
        <v>3348</v>
      </c>
      <c r="C59" s="3" t="s">
        <v>650</v>
      </c>
      <c r="D59" s="3" t="s">
        <v>650</v>
      </c>
      <c r="E59" s="3" t="s">
        <v>3615</v>
      </c>
    </row>
    <row r="60" spans="1:5" ht="60" customHeight="1" x14ac:dyDescent="0.2">
      <c r="A60" s="3" t="s">
        <v>3352</v>
      </c>
      <c r="B60" s="3" t="s">
        <v>3353</v>
      </c>
      <c r="C60" s="3" t="s">
        <v>650</v>
      </c>
      <c r="D60" s="3" t="s">
        <v>3356</v>
      </c>
      <c r="E60" s="3" t="s">
        <v>3574</v>
      </c>
    </row>
    <row r="61" spans="1:5" ht="60" customHeight="1" x14ac:dyDescent="0.2">
      <c r="A61" s="3" t="s">
        <v>3357</v>
      </c>
      <c r="B61" s="3" t="s">
        <v>3358</v>
      </c>
      <c r="C61" s="3" t="s">
        <v>650</v>
      </c>
      <c r="D61" s="3" t="s">
        <v>3209</v>
      </c>
      <c r="E61" s="3" t="s">
        <v>3574</v>
      </c>
    </row>
    <row r="62" spans="1:5" ht="45" customHeight="1" x14ac:dyDescent="0.2">
      <c r="A62" s="3" t="s">
        <v>3361</v>
      </c>
      <c r="B62" s="3" t="s">
        <v>3362</v>
      </c>
      <c r="C62" s="3" t="s">
        <v>650</v>
      </c>
      <c r="D62" s="3" t="s">
        <v>2207</v>
      </c>
      <c r="E62" s="3" t="s">
        <v>3574</v>
      </c>
    </row>
    <row r="63" spans="1:5" ht="60" customHeight="1" x14ac:dyDescent="0.2">
      <c r="A63" s="3" t="s">
        <v>3367</v>
      </c>
      <c r="B63" s="3" t="s">
        <v>3368</v>
      </c>
      <c r="C63" s="3" t="s">
        <v>650</v>
      </c>
      <c r="D63" s="3" t="s">
        <v>650</v>
      </c>
      <c r="E63" s="3" t="s">
        <v>3615</v>
      </c>
    </row>
    <row r="64" spans="1:5" ht="60" customHeight="1" x14ac:dyDescent="0.2">
      <c r="A64" s="3" t="s">
        <v>3373</v>
      </c>
      <c r="B64" s="3" t="s">
        <v>3374</v>
      </c>
      <c r="C64" s="3" t="s">
        <v>650</v>
      </c>
      <c r="D64" s="3" t="s">
        <v>3378</v>
      </c>
      <c r="E64" s="3" t="s">
        <v>3574</v>
      </c>
    </row>
    <row r="65" spans="1:5" ht="60" customHeight="1" x14ac:dyDescent="0.2">
      <c r="A65" s="3" t="s">
        <v>3379</v>
      </c>
      <c r="B65" s="3" t="s">
        <v>3380</v>
      </c>
      <c r="C65" s="3" t="s">
        <v>650</v>
      </c>
      <c r="D65" s="3" t="s">
        <v>3384</v>
      </c>
      <c r="E65" s="3" t="s">
        <v>3574</v>
      </c>
    </row>
    <row r="66" spans="1:5" ht="60" customHeight="1" x14ac:dyDescent="0.2">
      <c r="A66" s="3" t="s">
        <v>3386</v>
      </c>
      <c r="B66" s="3" t="s">
        <v>3387</v>
      </c>
      <c r="C66" s="3" t="s">
        <v>650</v>
      </c>
      <c r="D66" s="3" t="s">
        <v>3391</v>
      </c>
      <c r="E66" s="3" t="s">
        <v>3574</v>
      </c>
    </row>
    <row r="67" spans="1:5" ht="15" customHeight="1" x14ac:dyDescent="0.2">
      <c r="A67" s="3"/>
      <c r="B67" s="3"/>
      <c r="C67" s="3"/>
      <c r="D67" s="3"/>
      <c r="E67" s="3"/>
    </row>
    <row r="68" spans="1:5" ht="60" customHeight="1" x14ac:dyDescent="0.2">
      <c r="A68" s="10" t="s">
        <v>3616</v>
      </c>
      <c r="B68" s="3" t="s">
        <v>3617</v>
      </c>
      <c r="C68" s="3"/>
      <c r="D68" s="3"/>
      <c r="E68" s="3"/>
    </row>
  </sheetData>
  <autoFilter ref="A1:E68"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1"/>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46" customWidth="1"/>
    <col min="3" max="4" width="52" customWidth="1"/>
    <col min="5" max="5" width="40" customWidth="1"/>
    <col min="6" max="6" width="44" customWidth="1"/>
  </cols>
  <sheetData>
    <row r="1" spans="1:6" ht="15" customHeight="1" x14ac:dyDescent="0.2">
      <c r="A1" s="1" t="s">
        <v>3618</v>
      </c>
      <c r="B1" s="1" t="s">
        <v>3619</v>
      </c>
      <c r="C1" s="1" t="s">
        <v>3620</v>
      </c>
      <c r="D1" s="1" t="s">
        <v>3621</v>
      </c>
      <c r="E1" s="1" t="s">
        <v>3622</v>
      </c>
      <c r="F1" s="1" t="s">
        <v>3623</v>
      </c>
    </row>
    <row r="2" spans="1:6" ht="30" customHeight="1" x14ac:dyDescent="0.2">
      <c r="A2" s="3" t="s">
        <v>3624</v>
      </c>
      <c r="B2" s="3" t="s">
        <v>3625</v>
      </c>
      <c r="C2" s="3" t="s">
        <v>3626</v>
      </c>
      <c r="D2" s="3" t="s">
        <v>650</v>
      </c>
      <c r="E2" s="3" t="s">
        <v>3627</v>
      </c>
      <c r="F2" s="3" t="s">
        <v>3628</v>
      </c>
    </row>
    <row r="3" spans="1:6" ht="30" customHeight="1" x14ac:dyDescent="0.2">
      <c r="A3" s="3" t="s">
        <v>3629</v>
      </c>
      <c r="B3" s="3" t="s">
        <v>3630</v>
      </c>
      <c r="C3" s="3" t="s">
        <v>3626</v>
      </c>
      <c r="D3" s="3" t="s">
        <v>650</v>
      </c>
      <c r="E3" s="3" t="s">
        <v>2454</v>
      </c>
      <c r="F3" s="3" t="s">
        <v>3631</v>
      </c>
    </row>
    <row r="4" spans="1:6" ht="30" customHeight="1" x14ac:dyDescent="0.2">
      <c r="A4" s="3" t="s">
        <v>3632</v>
      </c>
      <c r="B4" s="3" t="s">
        <v>3633</v>
      </c>
      <c r="C4" s="3" t="s">
        <v>3626</v>
      </c>
      <c r="D4" s="3" t="s">
        <v>650</v>
      </c>
      <c r="E4" s="3" t="s">
        <v>2473</v>
      </c>
      <c r="F4" s="3" t="s">
        <v>3631</v>
      </c>
    </row>
    <row r="5" spans="1:6" ht="30" customHeight="1" x14ac:dyDescent="0.2">
      <c r="A5" s="3" t="s">
        <v>3634</v>
      </c>
      <c r="B5" s="3" t="s">
        <v>3635</v>
      </c>
      <c r="C5" s="3" t="s">
        <v>3626</v>
      </c>
      <c r="D5" s="3" t="s">
        <v>650</v>
      </c>
      <c r="E5" s="3" t="s">
        <v>2497</v>
      </c>
      <c r="F5" s="3" t="s">
        <v>3631</v>
      </c>
    </row>
    <row r="6" spans="1:6" ht="15" customHeight="1" x14ac:dyDescent="0.2">
      <c r="A6" s="3" t="s">
        <v>3636</v>
      </c>
      <c r="B6" s="3" t="s">
        <v>3637</v>
      </c>
      <c r="C6" s="3" t="s">
        <v>3638</v>
      </c>
      <c r="D6" s="3" t="s">
        <v>3639</v>
      </c>
      <c r="E6" s="3" t="s">
        <v>3640</v>
      </c>
      <c r="F6" s="3" t="s">
        <v>3628</v>
      </c>
    </row>
    <row r="7" spans="1:6" ht="15" customHeight="1" x14ac:dyDescent="0.2">
      <c r="A7" s="3" t="s">
        <v>3641</v>
      </c>
      <c r="B7" s="3" t="s">
        <v>3642</v>
      </c>
      <c r="C7" s="3" t="s">
        <v>3643</v>
      </c>
      <c r="D7" s="3" t="s">
        <v>3644</v>
      </c>
      <c r="E7" s="3" t="s">
        <v>3645</v>
      </c>
      <c r="F7" s="3" t="s">
        <v>3628</v>
      </c>
    </row>
    <row r="8" spans="1:6" ht="30" customHeight="1" x14ac:dyDescent="0.2">
      <c r="A8" s="3" t="s">
        <v>3646</v>
      </c>
      <c r="B8" s="3" t="s">
        <v>3647</v>
      </c>
      <c r="C8" s="3" t="s">
        <v>3626</v>
      </c>
      <c r="D8" s="3" t="s">
        <v>650</v>
      </c>
      <c r="E8" s="3" t="s">
        <v>2533</v>
      </c>
      <c r="F8" s="3" t="s">
        <v>3631</v>
      </c>
    </row>
    <row r="9" spans="1:6" ht="30" customHeight="1" x14ac:dyDescent="0.2">
      <c r="A9" s="3" t="s">
        <v>3648</v>
      </c>
      <c r="B9" s="3" t="s">
        <v>3649</v>
      </c>
      <c r="C9" s="3" t="s">
        <v>3626</v>
      </c>
      <c r="D9" s="3" t="s">
        <v>650</v>
      </c>
      <c r="E9" s="3" t="s">
        <v>2541</v>
      </c>
      <c r="F9" s="3" t="s">
        <v>3631</v>
      </c>
    </row>
    <row r="10" spans="1:6" ht="15" customHeight="1" x14ac:dyDescent="0.2">
      <c r="A10" s="3" t="s">
        <v>3650</v>
      </c>
      <c r="B10" s="3" t="s">
        <v>3651</v>
      </c>
      <c r="C10" s="3" t="s">
        <v>3626</v>
      </c>
      <c r="D10" s="3" t="s">
        <v>650</v>
      </c>
      <c r="E10" s="3" t="s">
        <v>2553</v>
      </c>
      <c r="F10" s="3" t="s">
        <v>3631</v>
      </c>
    </row>
    <row r="11" spans="1:6" ht="30" customHeight="1" x14ac:dyDescent="0.2">
      <c r="A11" s="3" t="s">
        <v>3652</v>
      </c>
      <c r="B11" s="3" t="s">
        <v>3653</v>
      </c>
      <c r="C11" s="3" t="s">
        <v>3626</v>
      </c>
      <c r="D11" s="3" t="s">
        <v>650</v>
      </c>
      <c r="E11" s="3" t="s">
        <v>2572</v>
      </c>
      <c r="F11" s="3" t="s">
        <v>3631</v>
      </c>
    </row>
    <row r="12" spans="1:6" ht="15" customHeight="1" x14ac:dyDescent="0.2">
      <c r="A12" s="3" t="s">
        <v>3654</v>
      </c>
      <c r="B12" s="3" t="s">
        <v>3655</v>
      </c>
      <c r="C12" s="3" t="s">
        <v>3626</v>
      </c>
      <c r="D12" s="3" t="s">
        <v>650</v>
      </c>
      <c r="E12" s="3" t="s">
        <v>2603</v>
      </c>
      <c r="F12" s="3" t="s">
        <v>3631</v>
      </c>
    </row>
    <row r="13" spans="1:6" ht="15" customHeight="1" x14ac:dyDescent="0.2">
      <c r="A13" s="3" t="s">
        <v>3656</v>
      </c>
      <c r="B13" s="3" t="s">
        <v>3657</v>
      </c>
      <c r="C13" s="3" t="s">
        <v>3626</v>
      </c>
      <c r="D13" s="3" t="s">
        <v>650</v>
      </c>
      <c r="E13" s="3" t="s">
        <v>2609</v>
      </c>
      <c r="F13" s="3" t="s">
        <v>3631</v>
      </c>
    </row>
    <row r="14" spans="1:6" ht="15" customHeight="1" x14ac:dyDescent="0.2">
      <c r="A14" s="3" t="s">
        <v>3658</v>
      </c>
      <c r="B14" s="3" t="s">
        <v>3659</v>
      </c>
      <c r="C14" s="3" t="s">
        <v>3626</v>
      </c>
      <c r="D14" s="3" t="s">
        <v>650</v>
      </c>
      <c r="E14" s="3" t="s">
        <v>2624</v>
      </c>
      <c r="F14" s="3" t="s">
        <v>3631</v>
      </c>
    </row>
    <row r="15" spans="1:6" ht="15" customHeight="1" x14ac:dyDescent="0.2">
      <c r="A15" s="3" t="s">
        <v>3660</v>
      </c>
      <c r="B15" s="3" t="s">
        <v>3661</v>
      </c>
      <c r="C15" s="3" t="s">
        <v>3662</v>
      </c>
      <c r="D15" s="3" t="s">
        <v>3663</v>
      </c>
      <c r="E15" s="3" t="s">
        <v>1487</v>
      </c>
      <c r="F15" s="3" t="s">
        <v>3631</v>
      </c>
    </row>
    <row r="16" spans="1:6" ht="30" customHeight="1" x14ac:dyDescent="0.2">
      <c r="A16" s="3" t="s">
        <v>3664</v>
      </c>
      <c r="B16" s="3" t="s">
        <v>3665</v>
      </c>
      <c r="C16" s="3" t="s">
        <v>3626</v>
      </c>
      <c r="D16" s="3" t="s">
        <v>650</v>
      </c>
      <c r="E16" s="3" t="s">
        <v>1507</v>
      </c>
      <c r="F16" s="3" t="s">
        <v>3631</v>
      </c>
    </row>
    <row r="17" spans="1:6" ht="30" customHeight="1" x14ac:dyDescent="0.2">
      <c r="A17" s="3" t="s">
        <v>3666</v>
      </c>
      <c r="B17" s="3" t="s">
        <v>3667</v>
      </c>
      <c r="C17" s="3" t="s">
        <v>3626</v>
      </c>
      <c r="D17" s="3" t="s">
        <v>650</v>
      </c>
      <c r="E17" s="3" t="s">
        <v>3668</v>
      </c>
      <c r="F17" s="3" t="s">
        <v>3628</v>
      </c>
    </row>
    <row r="18" spans="1:6" ht="15" customHeight="1" x14ac:dyDescent="0.2">
      <c r="A18" s="3" t="s">
        <v>3669</v>
      </c>
      <c r="B18" s="3" t="s">
        <v>3670</v>
      </c>
      <c r="C18" s="3" t="s">
        <v>3626</v>
      </c>
      <c r="D18" s="3" t="s">
        <v>650</v>
      </c>
      <c r="E18" s="3" t="s">
        <v>3671</v>
      </c>
      <c r="F18" s="3" t="s">
        <v>3628</v>
      </c>
    </row>
    <row r="19" spans="1:6" ht="30" customHeight="1" x14ac:dyDescent="0.2">
      <c r="A19" s="3" t="s">
        <v>3672</v>
      </c>
      <c r="B19" s="3" t="s">
        <v>3673</v>
      </c>
      <c r="C19" s="3" t="s">
        <v>3626</v>
      </c>
      <c r="D19" s="3" t="s">
        <v>650</v>
      </c>
      <c r="E19" s="3" t="s">
        <v>3674</v>
      </c>
      <c r="F19" s="3" t="s">
        <v>3675</v>
      </c>
    </row>
    <row r="20" spans="1:6" ht="15" customHeight="1" x14ac:dyDescent="0.2">
      <c r="A20" s="3" t="s">
        <v>3676</v>
      </c>
      <c r="B20" s="3" t="s">
        <v>3677</v>
      </c>
      <c r="C20" s="3" t="s">
        <v>3626</v>
      </c>
      <c r="D20" s="3" t="s">
        <v>650</v>
      </c>
      <c r="E20" s="3" t="s">
        <v>2848</v>
      </c>
      <c r="F20" s="3" t="s">
        <v>3631</v>
      </c>
    </row>
    <row r="21" spans="1:6" ht="15" customHeight="1" x14ac:dyDescent="0.2">
      <c r="A21" s="3" t="s">
        <v>3678</v>
      </c>
      <c r="B21" s="3" t="s">
        <v>3679</v>
      </c>
      <c r="C21" s="3" t="s">
        <v>3626</v>
      </c>
      <c r="D21" s="3" t="s">
        <v>650</v>
      </c>
      <c r="E21" s="3" t="s">
        <v>2861</v>
      </c>
      <c r="F21" s="3" t="s">
        <v>3631</v>
      </c>
    </row>
    <row r="22" spans="1:6" ht="15" customHeight="1" x14ac:dyDescent="0.2">
      <c r="A22" s="3" t="s">
        <v>3680</v>
      </c>
      <c r="B22" s="3" t="s">
        <v>3681</v>
      </c>
      <c r="C22" s="3" t="s">
        <v>3626</v>
      </c>
      <c r="D22" s="3" t="s">
        <v>650</v>
      </c>
      <c r="E22" s="3" t="s">
        <v>2870</v>
      </c>
      <c r="F22" s="3" t="s">
        <v>3631</v>
      </c>
    </row>
    <row r="23" spans="1:6" ht="15" customHeight="1" x14ac:dyDescent="0.2">
      <c r="A23" s="3" t="s">
        <v>3682</v>
      </c>
      <c r="B23" s="3" t="s">
        <v>3683</v>
      </c>
      <c r="C23" s="3" t="s">
        <v>3626</v>
      </c>
      <c r="D23" s="3" t="s">
        <v>650</v>
      </c>
      <c r="E23" s="3" t="s">
        <v>2880</v>
      </c>
      <c r="F23" s="3" t="s">
        <v>3631</v>
      </c>
    </row>
    <row r="24" spans="1:6" ht="15" customHeight="1" x14ac:dyDescent="0.2">
      <c r="A24" s="3" t="s">
        <v>3684</v>
      </c>
      <c r="B24" s="3" t="s">
        <v>3685</v>
      </c>
      <c r="C24" s="3" t="s">
        <v>3686</v>
      </c>
      <c r="D24" s="3" t="s">
        <v>3687</v>
      </c>
      <c r="E24" s="3" t="s">
        <v>2898</v>
      </c>
      <c r="F24" s="3" t="s">
        <v>3631</v>
      </c>
    </row>
    <row r="25" spans="1:6" ht="30" customHeight="1" x14ac:dyDescent="0.2">
      <c r="A25" s="3" t="s">
        <v>3688</v>
      </c>
      <c r="B25" s="3" t="s">
        <v>3689</v>
      </c>
      <c r="C25" s="3" t="s">
        <v>3626</v>
      </c>
      <c r="D25" s="3" t="s">
        <v>650</v>
      </c>
      <c r="E25" s="3" t="s">
        <v>3690</v>
      </c>
      <c r="F25" s="3" t="s">
        <v>3675</v>
      </c>
    </row>
    <row r="26" spans="1:6" ht="15" customHeight="1" x14ac:dyDescent="0.2">
      <c r="A26" s="3" t="s">
        <v>3691</v>
      </c>
      <c r="B26" s="3" t="s">
        <v>3692</v>
      </c>
      <c r="C26" s="3" t="s">
        <v>3693</v>
      </c>
      <c r="D26" s="3" t="s">
        <v>3694</v>
      </c>
      <c r="E26" s="3" t="s">
        <v>493</v>
      </c>
      <c r="F26" s="3" t="s">
        <v>3628</v>
      </c>
    </row>
    <row r="27" spans="1:6" ht="30" customHeight="1" x14ac:dyDescent="0.2">
      <c r="A27" s="3" t="s">
        <v>3695</v>
      </c>
      <c r="B27" s="3" t="s">
        <v>3696</v>
      </c>
      <c r="C27" s="3" t="s">
        <v>3626</v>
      </c>
      <c r="D27" s="3" t="s">
        <v>650</v>
      </c>
      <c r="E27" s="3" t="s">
        <v>2959</v>
      </c>
      <c r="F27" s="3" t="s">
        <v>3631</v>
      </c>
    </row>
    <row r="28" spans="1:6" ht="15" customHeight="1" x14ac:dyDescent="0.2">
      <c r="A28" s="3" t="s">
        <v>3697</v>
      </c>
      <c r="B28" s="3" t="s">
        <v>3698</v>
      </c>
      <c r="C28" s="3" t="s">
        <v>3699</v>
      </c>
      <c r="D28" s="3" t="s">
        <v>3700</v>
      </c>
      <c r="E28" s="3" t="s">
        <v>3599</v>
      </c>
      <c r="F28" s="3" t="s">
        <v>3628</v>
      </c>
    </row>
    <row r="29" spans="1:6" ht="30" customHeight="1" x14ac:dyDescent="0.2">
      <c r="A29" s="3" t="s">
        <v>3701</v>
      </c>
      <c r="B29" s="3" t="s">
        <v>3702</v>
      </c>
      <c r="C29" s="3" t="s">
        <v>3703</v>
      </c>
      <c r="D29" s="3" t="s">
        <v>3704</v>
      </c>
      <c r="E29" s="3" t="s">
        <v>1577</v>
      </c>
      <c r="F29" s="3" t="s">
        <v>3631</v>
      </c>
    </row>
    <row r="30" spans="1:6" ht="30" customHeight="1" x14ac:dyDescent="0.2">
      <c r="A30" s="3" t="s">
        <v>3705</v>
      </c>
      <c r="B30" s="3" t="s">
        <v>3706</v>
      </c>
      <c r="C30" s="3" t="s">
        <v>3707</v>
      </c>
      <c r="D30" s="3" t="s">
        <v>3708</v>
      </c>
      <c r="E30" s="3" t="s">
        <v>3709</v>
      </c>
      <c r="F30" s="3" t="s">
        <v>3710</v>
      </c>
    </row>
    <row r="31" spans="1:6" ht="15" customHeight="1" x14ac:dyDescent="0.2">
      <c r="A31" s="3" t="s">
        <v>3711</v>
      </c>
      <c r="B31" s="3" t="s">
        <v>3712</v>
      </c>
      <c r="C31" s="3" t="s">
        <v>3713</v>
      </c>
      <c r="D31" s="3" t="s">
        <v>3714</v>
      </c>
      <c r="E31" s="3" t="s">
        <v>1623</v>
      </c>
      <c r="F31" s="3" t="s">
        <v>3631</v>
      </c>
    </row>
    <row r="32" spans="1:6" ht="15" customHeight="1" x14ac:dyDescent="0.2">
      <c r="A32" s="3" t="s">
        <v>3715</v>
      </c>
      <c r="B32" s="3" t="s">
        <v>3716</v>
      </c>
      <c r="C32" s="3" t="s">
        <v>3717</v>
      </c>
      <c r="D32" s="3" t="s">
        <v>3718</v>
      </c>
      <c r="E32" s="3" t="s">
        <v>3577</v>
      </c>
      <c r="F32" s="3" t="s">
        <v>3628</v>
      </c>
    </row>
    <row r="33" spans="1:6" ht="30" customHeight="1" x14ac:dyDescent="0.2">
      <c r="A33" s="3" t="s">
        <v>3719</v>
      </c>
      <c r="B33" s="3" t="s">
        <v>3720</v>
      </c>
      <c r="C33" s="3" t="s">
        <v>3721</v>
      </c>
      <c r="D33" s="3" t="s">
        <v>3722</v>
      </c>
      <c r="E33" s="3" t="s">
        <v>2035</v>
      </c>
      <c r="F33" s="3" t="s">
        <v>3631</v>
      </c>
    </row>
    <row r="34" spans="1:6" ht="30" customHeight="1" x14ac:dyDescent="0.2">
      <c r="A34" s="3" t="s">
        <v>3723</v>
      </c>
      <c r="B34" s="3" t="s">
        <v>3724</v>
      </c>
      <c r="C34" s="3" t="s">
        <v>3626</v>
      </c>
      <c r="D34" s="3" t="s">
        <v>650</v>
      </c>
      <c r="E34" s="3" t="s">
        <v>2048</v>
      </c>
      <c r="F34" s="3" t="s">
        <v>3631</v>
      </c>
    </row>
    <row r="35" spans="1:6" ht="30" customHeight="1" x14ac:dyDescent="0.2">
      <c r="A35" s="3" t="s">
        <v>3725</v>
      </c>
      <c r="B35" s="3" t="s">
        <v>3726</v>
      </c>
      <c r="C35" s="3" t="s">
        <v>3727</v>
      </c>
      <c r="D35" s="3" t="s">
        <v>3728</v>
      </c>
      <c r="E35" s="3" t="s">
        <v>3729</v>
      </c>
      <c r="F35" s="3" t="s">
        <v>3628</v>
      </c>
    </row>
    <row r="36" spans="1:6" ht="30" customHeight="1" x14ac:dyDescent="0.2">
      <c r="A36" s="3" t="s">
        <v>3730</v>
      </c>
      <c r="B36" s="3" t="s">
        <v>3731</v>
      </c>
      <c r="C36" s="3" t="s">
        <v>3626</v>
      </c>
      <c r="D36" s="3" t="s">
        <v>650</v>
      </c>
      <c r="E36" s="3" t="s">
        <v>3732</v>
      </c>
      <c r="F36" s="3" t="s">
        <v>3675</v>
      </c>
    </row>
    <row r="37" spans="1:6" ht="30" customHeight="1" x14ac:dyDescent="0.2">
      <c r="A37" s="3" t="s">
        <v>3733</v>
      </c>
      <c r="B37" s="3" t="s">
        <v>3734</v>
      </c>
      <c r="C37" s="3" t="s">
        <v>3626</v>
      </c>
      <c r="D37" s="3" t="s">
        <v>650</v>
      </c>
      <c r="E37" s="3" t="s">
        <v>2155</v>
      </c>
      <c r="F37" s="3" t="s">
        <v>3631</v>
      </c>
    </row>
    <row r="38" spans="1:6" ht="15" customHeight="1" x14ac:dyDescent="0.2">
      <c r="A38" s="3" t="s">
        <v>3735</v>
      </c>
      <c r="B38" s="3" t="s">
        <v>3736</v>
      </c>
      <c r="C38" s="3" t="s">
        <v>3626</v>
      </c>
      <c r="D38" s="3" t="s">
        <v>650</v>
      </c>
      <c r="E38" s="3" t="s">
        <v>2186</v>
      </c>
      <c r="F38" s="3" t="s">
        <v>3631</v>
      </c>
    </row>
    <row r="39" spans="1:6" ht="30" customHeight="1" x14ac:dyDescent="0.2">
      <c r="A39" s="3" t="s">
        <v>3737</v>
      </c>
      <c r="B39" s="3" t="s">
        <v>3738</v>
      </c>
      <c r="C39" s="3" t="s">
        <v>3626</v>
      </c>
      <c r="D39" s="3" t="s">
        <v>650</v>
      </c>
      <c r="E39" s="3" t="s">
        <v>2196</v>
      </c>
      <c r="F39" s="3" t="s">
        <v>3631</v>
      </c>
    </row>
    <row r="40" spans="1:6" ht="15" customHeight="1" x14ac:dyDescent="0.2">
      <c r="A40" s="3" t="s">
        <v>3739</v>
      </c>
      <c r="B40" s="3" t="s">
        <v>3740</v>
      </c>
      <c r="C40" s="3" t="s">
        <v>3626</v>
      </c>
      <c r="D40" s="3" t="s">
        <v>650</v>
      </c>
      <c r="E40" s="3" t="s">
        <v>442</v>
      </c>
      <c r="F40" s="3" t="s">
        <v>3628</v>
      </c>
    </row>
    <row r="41" spans="1:6" ht="15" customHeight="1" x14ac:dyDescent="0.2">
      <c r="A41" s="3" t="s">
        <v>3741</v>
      </c>
      <c r="B41" s="3" t="s">
        <v>3742</v>
      </c>
      <c r="C41" s="3" t="s">
        <v>3743</v>
      </c>
      <c r="D41" s="3" t="s">
        <v>3744</v>
      </c>
      <c r="E41" s="3" t="s">
        <v>2236</v>
      </c>
      <c r="F41" s="3" t="s">
        <v>3631</v>
      </c>
    </row>
    <row r="42" spans="1:6" ht="30" customHeight="1" x14ac:dyDescent="0.2">
      <c r="A42" s="3" t="s">
        <v>3745</v>
      </c>
      <c r="B42" s="3" t="s">
        <v>3746</v>
      </c>
      <c r="C42" s="3" t="s">
        <v>3747</v>
      </c>
      <c r="D42" s="3" t="s">
        <v>3748</v>
      </c>
      <c r="E42" s="3" t="s">
        <v>3607</v>
      </c>
      <c r="F42" s="3" t="s">
        <v>3710</v>
      </c>
    </row>
    <row r="43" spans="1:6" ht="15" customHeight="1" x14ac:dyDescent="0.2">
      <c r="A43" s="3" t="s">
        <v>3749</v>
      </c>
      <c r="B43" s="3" t="s">
        <v>3750</v>
      </c>
      <c r="C43" s="3" t="s">
        <v>3626</v>
      </c>
      <c r="D43" s="3" t="s">
        <v>650</v>
      </c>
      <c r="E43" s="3" t="s">
        <v>2281</v>
      </c>
      <c r="F43" s="3" t="s">
        <v>3631</v>
      </c>
    </row>
    <row r="44" spans="1:6" ht="15" customHeight="1" x14ac:dyDescent="0.2">
      <c r="A44" s="3" t="s">
        <v>3751</v>
      </c>
      <c r="B44" s="3" t="s">
        <v>3752</v>
      </c>
      <c r="C44" s="3" t="s">
        <v>3626</v>
      </c>
      <c r="D44" s="3" t="s">
        <v>650</v>
      </c>
      <c r="E44" s="3" t="s">
        <v>2293</v>
      </c>
      <c r="F44" s="3" t="s">
        <v>3631</v>
      </c>
    </row>
    <row r="45" spans="1:6" ht="30" customHeight="1" x14ac:dyDescent="0.2">
      <c r="A45" s="3" t="s">
        <v>3753</v>
      </c>
      <c r="B45" s="3" t="s">
        <v>3754</v>
      </c>
      <c r="C45" s="3" t="s">
        <v>3626</v>
      </c>
      <c r="D45" s="3" t="s">
        <v>650</v>
      </c>
      <c r="E45" s="3" t="s">
        <v>2302</v>
      </c>
      <c r="F45" s="3" t="s">
        <v>3631</v>
      </c>
    </row>
    <row r="46" spans="1:6" ht="30" customHeight="1" x14ac:dyDescent="0.2">
      <c r="A46" s="3" t="s">
        <v>3755</v>
      </c>
      <c r="B46" s="3" t="s">
        <v>3756</v>
      </c>
      <c r="C46" s="3" t="s">
        <v>3757</v>
      </c>
      <c r="D46" s="3" t="s">
        <v>650</v>
      </c>
      <c r="E46" s="3" t="s">
        <v>3758</v>
      </c>
      <c r="F46" s="3" t="s">
        <v>3675</v>
      </c>
    </row>
    <row r="47" spans="1:6" ht="15" customHeight="1" x14ac:dyDescent="0.2">
      <c r="A47" s="3" t="s">
        <v>3759</v>
      </c>
      <c r="B47" s="3" t="s">
        <v>3760</v>
      </c>
      <c r="C47" s="3" t="s">
        <v>3626</v>
      </c>
      <c r="D47" s="3" t="s">
        <v>650</v>
      </c>
      <c r="E47" s="3" t="s">
        <v>2316</v>
      </c>
      <c r="F47" s="3" t="s">
        <v>3631</v>
      </c>
    </row>
    <row r="48" spans="1:6" ht="15" customHeight="1" x14ac:dyDescent="0.2">
      <c r="A48" s="3" t="s">
        <v>3761</v>
      </c>
      <c r="B48" s="3" t="s">
        <v>3762</v>
      </c>
      <c r="C48" s="3" t="s">
        <v>3626</v>
      </c>
      <c r="D48" s="3" t="s">
        <v>650</v>
      </c>
      <c r="E48" s="3" t="s">
        <v>2324</v>
      </c>
      <c r="F48" s="3" t="s">
        <v>3631</v>
      </c>
    </row>
    <row r="49" spans="1:6" ht="15" customHeight="1" x14ac:dyDescent="0.2">
      <c r="A49" s="3" t="s">
        <v>3763</v>
      </c>
      <c r="B49" s="3" t="s">
        <v>3764</v>
      </c>
      <c r="C49" s="3" t="s">
        <v>3757</v>
      </c>
      <c r="D49" s="3" t="s">
        <v>650</v>
      </c>
      <c r="E49" s="3" t="s">
        <v>2340</v>
      </c>
      <c r="F49" s="3" t="s">
        <v>3631</v>
      </c>
    </row>
    <row r="50" spans="1:6" ht="15" customHeight="1" x14ac:dyDescent="0.2">
      <c r="A50" s="3" t="s">
        <v>3765</v>
      </c>
      <c r="B50" s="3" t="s">
        <v>3766</v>
      </c>
      <c r="C50" s="3" t="s">
        <v>3626</v>
      </c>
      <c r="D50" s="3" t="s">
        <v>650</v>
      </c>
      <c r="E50" s="3" t="s">
        <v>2358</v>
      </c>
      <c r="F50" s="3" t="s">
        <v>3631</v>
      </c>
    </row>
    <row r="51" spans="1:6" ht="15" customHeight="1" x14ac:dyDescent="0.2">
      <c r="A51" s="3" t="s">
        <v>3767</v>
      </c>
      <c r="B51" s="3" t="s">
        <v>3768</v>
      </c>
      <c r="C51" s="3" t="s">
        <v>3757</v>
      </c>
      <c r="D51" s="3" t="s">
        <v>650</v>
      </c>
      <c r="E51" s="3" t="s">
        <v>2383</v>
      </c>
      <c r="F51" s="3" t="s">
        <v>3631</v>
      </c>
    </row>
    <row r="52" spans="1:6" ht="15" customHeight="1" x14ac:dyDescent="0.2">
      <c r="A52" s="3" t="s">
        <v>3769</v>
      </c>
      <c r="B52" s="3" t="s">
        <v>3770</v>
      </c>
      <c r="C52" s="3" t="s">
        <v>3626</v>
      </c>
      <c r="D52" s="3" t="s">
        <v>650</v>
      </c>
      <c r="E52" s="3" t="s">
        <v>3771</v>
      </c>
      <c r="F52" s="3" t="s">
        <v>3628</v>
      </c>
    </row>
    <row r="53" spans="1:6" ht="30" customHeight="1" x14ac:dyDescent="0.2">
      <c r="A53" s="3" t="s">
        <v>3772</v>
      </c>
      <c r="B53" s="3" t="s">
        <v>3773</v>
      </c>
      <c r="C53" s="3" t="s">
        <v>3774</v>
      </c>
      <c r="D53" s="3" t="s">
        <v>3775</v>
      </c>
      <c r="E53" s="3" t="s">
        <v>650</v>
      </c>
      <c r="F53" s="3" t="s">
        <v>3776</v>
      </c>
    </row>
    <row r="54" spans="1:6" ht="30" customHeight="1" x14ac:dyDescent="0.2">
      <c r="A54" s="3" t="s">
        <v>3777</v>
      </c>
      <c r="B54" s="3" t="s">
        <v>3778</v>
      </c>
      <c r="C54" s="3" t="s">
        <v>3779</v>
      </c>
      <c r="D54" s="3" t="s">
        <v>3780</v>
      </c>
      <c r="E54" s="3" t="s">
        <v>650</v>
      </c>
      <c r="F54" s="3" t="s">
        <v>3776</v>
      </c>
    </row>
    <row r="55" spans="1:6" ht="15" customHeight="1" x14ac:dyDescent="0.2">
      <c r="A55" s="3" t="s">
        <v>3781</v>
      </c>
      <c r="B55" s="3" t="s">
        <v>3782</v>
      </c>
      <c r="C55" s="3" t="s">
        <v>3783</v>
      </c>
      <c r="D55" s="3" t="s">
        <v>3784</v>
      </c>
      <c r="E55" s="3" t="s">
        <v>2173</v>
      </c>
      <c r="F55" s="3" t="s">
        <v>3631</v>
      </c>
    </row>
    <row r="56" spans="1:6" ht="30" customHeight="1" x14ac:dyDescent="0.2">
      <c r="A56" s="3" t="s">
        <v>3785</v>
      </c>
      <c r="B56" s="3" t="s">
        <v>3786</v>
      </c>
      <c r="C56" s="3" t="s">
        <v>3787</v>
      </c>
      <c r="D56" s="3" t="s">
        <v>3788</v>
      </c>
      <c r="E56" s="3" t="s">
        <v>650</v>
      </c>
      <c r="F56" s="3" t="s">
        <v>3776</v>
      </c>
    </row>
    <row r="57" spans="1:6" ht="30" customHeight="1" x14ac:dyDescent="0.2">
      <c r="A57" s="3" t="s">
        <v>3789</v>
      </c>
      <c r="B57" s="3" t="s">
        <v>3790</v>
      </c>
      <c r="C57" s="3" t="s">
        <v>3791</v>
      </c>
      <c r="D57" s="3" t="s">
        <v>3792</v>
      </c>
      <c r="E57" s="3" t="s">
        <v>916</v>
      </c>
      <c r="F57" s="3" t="s">
        <v>3675</v>
      </c>
    </row>
    <row r="58" spans="1:6" ht="15" customHeight="1" x14ac:dyDescent="0.2">
      <c r="A58" s="3" t="s">
        <v>3793</v>
      </c>
      <c r="B58" s="3" t="s">
        <v>3794</v>
      </c>
      <c r="C58" s="3" t="s">
        <v>3795</v>
      </c>
      <c r="D58" s="3" t="s">
        <v>3796</v>
      </c>
      <c r="E58" s="3" t="s">
        <v>3797</v>
      </c>
      <c r="F58" s="3" t="s">
        <v>3628</v>
      </c>
    </row>
    <row r="59" spans="1:6" ht="30" customHeight="1" x14ac:dyDescent="0.2">
      <c r="A59" s="3" t="s">
        <v>3798</v>
      </c>
      <c r="B59" s="3" t="s">
        <v>3799</v>
      </c>
      <c r="C59" s="3" t="s">
        <v>3800</v>
      </c>
      <c r="D59" s="3" t="s">
        <v>3801</v>
      </c>
      <c r="E59" s="3" t="s">
        <v>474</v>
      </c>
      <c r="F59" s="3" t="s">
        <v>3631</v>
      </c>
    </row>
    <row r="60" spans="1:6" ht="30" customHeight="1" x14ac:dyDescent="0.2">
      <c r="A60" s="3" t="s">
        <v>3802</v>
      </c>
      <c r="B60" s="3" t="s">
        <v>3803</v>
      </c>
      <c r="C60" s="3" t="s">
        <v>3626</v>
      </c>
      <c r="D60" s="3" t="s">
        <v>650</v>
      </c>
      <c r="E60" s="3" t="s">
        <v>3804</v>
      </c>
      <c r="F60" s="3" t="s">
        <v>3628</v>
      </c>
    </row>
    <row r="61" spans="1:6" ht="30" customHeight="1" x14ac:dyDescent="0.2">
      <c r="A61" s="3" t="s">
        <v>3805</v>
      </c>
      <c r="B61" s="3" t="s">
        <v>3806</v>
      </c>
      <c r="C61" s="3" t="s">
        <v>3626</v>
      </c>
      <c r="D61" s="3" t="s">
        <v>650</v>
      </c>
      <c r="E61" s="3" t="s">
        <v>3807</v>
      </c>
      <c r="F61" s="3" t="s">
        <v>3628</v>
      </c>
    </row>
    <row r="62" spans="1:6" ht="30" customHeight="1" x14ac:dyDescent="0.2">
      <c r="A62" s="3" t="s">
        <v>3808</v>
      </c>
      <c r="B62" s="3" t="s">
        <v>3809</v>
      </c>
      <c r="C62" s="3" t="s">
        <v>3810</v>
      </c>
      <c r="D62" s="3" t="s">
        <v>3811</v>
      </c>
      <c r="E62" s="3" t="s">
        <v>650</v>
      </c>
      <c r="F62" s="3" t="s">
        <v>3776</v>
      </c>
    </row>
    <row r="63" spans="1:6" ht="30" customHeight="1" x14ac:dyDescent="0.2">
      <c r="A63" s="3" t="s">
        <v>3812</v>
      </c>
      <c r="B63" s="3" t="s">
        <v>3813</v>
      </c>
      <c r="C63" s="3" t="s">
        <v>3814</v>
      </c>
      <c r="D63" s="3" t="s">
        <v>3815</v>
      </c>
      <c r="E63" s="3" t="s">
        <v>650</v>
      </c>
      <c r="F63" s="3" t="s">
        <v>3776</v>
      </c>
    </row>
    <row r="64" spans="1:6" ht="30" customHeight="1" x14ac:dyDescent="0.2">
      <c r="A64" s="3" t="s">
        <v>3816</v>
      </c>
      <c r="B64" s="3" t="s">
        <v>3817</v>
      </c>
      <c r="C64" s="3" t="s">
        <v>3818</v>
      </c>
      <c r="D64" s="3" t="s">
        <v>3819</v>
      </c>
      <c r="E64" s="3" t="s">
        <v>650</v>
      </c>
      <c r="F64" s="3" t="s">
        <v>3776</v>
      </c>
    </row>
    <row r="65" spans="1:6" ht="30" customHeight="1" x14ac:dyDescent="0.2">
      <c r="A65" s="3" t="s">
        <v>3820</v>
      </c>
      <c r="B65" s="3" t="s">
        <v>3821</v>
      </c>
      <c r="C65" s="3" t="s">
        <v>3822</v>
      </c>
      <c r="D65" s="3" t="s">
        <v>3823</v>
      </c>
      <c r="E65" s="3" t="s">
        <v>650</v>
      </c>
      <c r="F65" s="3" t="s">
        <v>3776</v>
      </c>
    </row>
    <row r="66" spans="1:6" ht="30" customHeight="1" x14ac:dyDescent="0.2">
      <c r="A66" s="3" t="s">
        <v>3824</v>
      </c>
      <c r="B66" s="3" t="s">
        <v>3825</v>
      </c>
      <c r="C66" s="3" t="s">
        <v>3826</v>
      </c>
      <c r="D66" s="3" t="s">
        <v>3827</v>
      </c>
      <c r="E66" s="3" t="s">
        <v>650</v>
      </c>
      <c r="F66" s="3" t="s">
        <v>3776</v>
      </c>
    </row>
    <row r="67" spans="1:6" ht="30" customHeight="1" x14ac:dyDescent="0.2">
      <c r="A67" s="3" t="s">
        <v>3828</v>
      </c>
      <c r="B67" s="3" t="s">
        <v>3829</v>
      </c>
      <c r="C67" s="3" t="s">
        <v>3830</v>
      </c>
      <c r="D67" s="3" t="s">
        <v>3831</v>
      </c>
      <c r="E67" s="3" t="s">
        <v>650</v>
      </c>
      <c r="F67" s="3" t="s">
        <v>3776</v>
      </c>
    </row>
    <row r="68" spans="1:6" ht="30" customHeight="1" x14ac:dyDescent="0.2">
      <c r="A68" s="3" t="s">
        <v>3832</v>
      </c>
      <c r="B68" s="3" t="s">
        <v>3833</v>
      </c>
      <c r="C68" s="3" t="s">
        <v>3834</v>
      </c>
      <c r="D68" s="3" t="s">
        <v>3835</v>
      </c>
      <c r="E68" s="3" t="s">
        <v>650</v>
      </c>
      <c r="F68" s="3" t="s">
        <v>3776</v>
      </c>
    </row>
    <row r="69" spans="1:6" ht="30" customHeight="1" x14ac:dyDescent="0.2">
      <c r="A69" s="3" t="s">
        <v>3836</v>
      </c>
      <c r="B69" s="3" t="s">
        <v>3837</v>
      </c>
      <c r="C69" s="3" t="s">
        <v>3838</v>
      </c>
      <c r="D69" s="3" t="s">
        <v>3839</v>
      </c>
      <c r="E69" s="3" t="s">
        <v>650</v>
      </c>
      <c r="F69" s="3" t="s">
        <v>3776</v>
      </c>
    </row>
    <row r="70" spans="1:6" ht="30" customHeight="1" x14ac:dyDescent="0.2">
      <c r="A70" s="3" t="s">
        <v>3840</v>
      </c>
      <c r="B70" s="3" t="s">
        <v>3841</v>
      </c>
      <c r="C70" s="3" t="s">
        <v>3842</v>
      </c>
      <c r="D70" s="3" t="s">
        <v>3843</v>
      </c>
      <c r="E70" s="3" t="s">
        <v>650</v>
      </c>
      <c r="F70" s="3" t="s">
        <v>3776</v>
      </c>
    </row>
    <row r="71" spans="1:6" ht="30" customHeight="1" x14ac:dyDescent="0.2">
      <c r="A71" s="3" t="s">
        <v>3844</v>
      </c>
      <c r="B71" s="3" t="s">
        <v>3845</v>
      </c>
      <c r="C71" s="3" t="s">
        <v>3846</v>
      </c>
      <c r="D71" s="3" t="s">
        <v>3847</v>
      </c>
      <c r="E71" s="3" t="s">
        <v>650</v>
      </c>
      <c r="F71" s="3" t="s">
        <v>3776</v>
      </c>
    </row>
    <row r="72" spans="1:6" ht="30" customHeight="1" x14ac:dyDescent="0.2">
      <c r="A72" s="3" t="s">
        <v>3848</v>
      </c>
      <c r="B72" s="3" t="s">
        <v>3849</v>
      </c>
      <c r="C72" s="3" t="s">
        <v>3850</v>
      </c>
      <c r="D72" s="3" t="s">
        <v>3851</v>
      </c>
      <c r="E72" s="3" t="s">
        <v>650</v>
      </c>
      <c r="F72" s="3" t="s">
        <v>3776</v>
      </c>
    </row>
    <row r="73" spans="1:6" ht="30" customHeight="1" x14ac:dyDescent="0.2">
      <c r="A73" s="3" t="s">
        <v>3852</v>
      </c>
      <c r="B73" s="3" t="s">
        <v>3853</v>
      </c>
      <c r="C73" s="3" t="s">
        <v>3854</v>
      </c>
      <c r="D73" s="3" t="s">
        <v>3855</v>
      </c>
      <c r="E73" s="3" t="s">
        <v>650</v>
      </c>
      <c r="F73" s="3" t="s">
        <v>3776</v>
      </c>
    </row>
    <row r="74" spans="1:6" ht="30" customHeight="1" x14ac:dyDescent="0.2">
      <c r="A74" s="3" t="s">
        <v>3856</v>
      </c>
      <c r="B74" s="3" t="s">
        <v>3857</v>
      </c>
      <c r="C74" s="3" t="s">
        <v>3858</v>
      </c>
      <c r="D74" s="3" t="s">
        <v>3859</v>
      </c>
      <c r="E74" s="3" t="s">
        <v>650</v>
      </c>
      <c r="F74" s="3" t="s">
        <v>3776</v>
      </c>
    </row>
    <row r="75" spans="1:6" ht="30" customHeight="1" x14ac:dyDescent="0.2">
      <c r="A75" s="3" t="s">
        <v>3860</v>
      </c>
      <c r="B75" s="3" t="s">
        <v>3861</v>
      </c>
      <c r="C75" s="3" t="s">
        <v>3862</v>
      </c>
      <c r="D75" s="3" t="s">
        <v>3863</v>
      </c>
      <c r="E75" s="3" t="s">
        <v>650</v>
      </c>
      <c r="F75" s="3" t="s">
        <v>3776</v>
      </c>
    </row>
    <row r="76" spans="1:6" ht="30" customHeight="1" x14ac:dyDescent="0.2">
      <c r="A76" s="3" t="s">
        <v>3864</v>
      </c>
      <c r="B76" s="3" t="s">
        <v>3865</v>
      </c>
      <c r="C76" s="3" t="s">
        <v>3866</v>
      </c>
      <c r="D76" s="3" t="s">
        <v>3867</v>
      </c>
      <c r="E76" s="3" t="s">
        <v>650</v>
      </c>
      <c r="F76" s="3" t="s">
        <v>3776</v>
      </c>
    </row>
    <row r="77" spans="1:6" ht="30" customHeight="1" x14ac:dyDescent="0.2">
      <c r="A77" s="3" t="s">
        <v>3868</v>
      </c>
      <c r="B77" s="3" t="s">
        <v>3869</v>
      </c>
      <c r="C77" s="3" t="s">
        <v>3870</v>
      </c>
      <c r="D77" s="3" t="s">
        <v>3871</v>
      </c>
      <c r="E77" s="3" t="s">
        <v>650</v>
      </c>
      <c r="F77" s="3" t="s">
        <v>3776</v>
      </c>
    </row>
    <row r="78" spans="1:6" ht="30" customHeight="1" x14ac:dyDescent="0.2">
      <c r="A78" s="3" t="s">
        <v>3872</v>
      </c>
      <c r="B78" s="3" t="s">
        <v>3873</v>
      </c>
      <c r="C78" s="3" t="s">
        <v>3874</v>
      </c>
      <c r="D78" s="3" t="s">
        <v>3875</v>
      </c>
      <c r="E78" s="3" t="s">
        <v>650</v>
      </c>
      <c r="F78" s="3" t="s">
        <v>3776</v>
      </c>
    </row>
    <row r="79" spans="1:6" ht="30" customHeight="1" x14ac:dyDescent="0.2">
      <c r="A79" s="3" t="s">
        <v>3876</v>
      </c>
      <c r="B79" s="3" t="s">
        <v>3877</v>
      </c>
      <c r="C79" s="3" t="s">
        <v>3878</v>
      </c>
      <c r="D79" s="3" t="s">
        <v>3879</v>
      </c>
      <c r="E79" s="3" t="s">
        <v>650</v>
      </c>
      <c r="F79" s="3" t="s">
        <v>3776</v>
      </c>
    </row>
    <row r="80" spans="1:6" ht="30" customHeight="1" x14ac:dyDescent="0.2">
      <c r="A80" s="3" t="s">
        <v>3880</v>
      </c>
      <c r="B80" s="3" t="s">
        <v>3881</v>
      </c>
      <c r="C80" s="3" t="s">
        <v>3882</v>
      </c>
      <c r="D80" s="3" t="s">
        <v>3883</v>
      </c>
      <c r="E80" s="3" t="s">
        <v>650</v>
      </c>
      <c r="F80" s="3" t="s">
        <v>3776</v>
      </c>
    </row>
    <row r="81" spans="1:6" ht="30" customHeight="1" x14ac:dyDescent="0.2">
      <c r="A81" s="3" t="s">
        <v>3884</v>
      </c>
      <c r="B81" s="3" t="s">
        <v>3885</v>
      </c>
      <c r="C81" s="3" t="s">
        <v>3886</v>
      </c>
      <c r="D81" s="3" t="s">
        <v>3887</v>
      </c>
      <c r="E81" s="3" t="s">
        <v>650</v>
      </c>
      <c r="F81" s="3" t="s">
        <v>3776</v>
      </c>
    </row>
    <row r="82" spans="1:6" ht="30" customHeight="1" x14ac:dyDescent="0.2">
      <c r="A82" s="3" t="s">
        <v>3888</v>
      </c>
      <c r="B82" s="3" t="s">
        <v>3889</v>
      </c>
      <c r="C82" s="3" t="s">
        <v>3890</v>
      </c>
      <c r="D82" s="3" t="s">
        <v>3891</v>
      </c>
      <c r="E82" s="3" t="s">
        <v>650</v>
      </c>
      <c r="F82" s="3" t="s">
        <v>3776</v>
      </c>
    </row>
    <row r="83" spans="1:6" ht="30" customHeight="1" x14ac:dyDescent="0.2">
      <c r="A83" s="3" t="s">
        <v>3892</v>
      </c>
      <c r="B83" s="3" t="s">
        <v>3893</v>
      </c>
      <c r="C83" s="3" t="s">
        <v>3894</v>
      </c>
      <c r="D83" s="3" t="s">
        <v>3895</v>
      </c>
      <c r="E83" s="3" t="s">
        <v>650</v>
      </c>
      <c r="F83" s="3" t="s">
        <v>3776</v>
      </c>
    </row>
    <row r="84" spans="1:6" ht="30" customHeight="1" x14ac:dyDescent="0.2">
      <c r="A84" s="3" t="s">
        <v>3896</v>
      </c>
      <c r="B84" s="3" t="s">
        <v>3897</v>
      </c>
      <c r="C84" s="3" t="s">
        <v>3898</v>
      </c>
      <c r="D84" s="3" t="s">
        <v>3899</v>
      </c>
      <c r="E84" s="3" t="s">
        <v>2250</v>
      </c>
      <c r="F84" s="3" t="s">
        <v>3631</v>
      </c>
    </row>
    <row r="85" spans="1:6" ht="30" customHeight="1" x14ac:dyDescent="0.2">
      <c r="A85" s="3" t="s">
        <v>3900</v>
      </c>
      <c r="B85" s="3" t="s">
        <v>3901</v>
      </c>
      <c r="C85" s="3" t="s">
        <v>3902</v>
      </c>
      <c r="D85" s="3" t="s">
        <v>3903</v>
      </c>
      <c r="E85" s="3" t="s">
        <v>650</v>
      </c>
      <c r="F85" s="3" t="s">
        <v>3776</v>
      </c>
    </row>
    <row r="86" spans="1:6" ht="30" customHeight="1" x14ac:dyDescent="0.2">
      <c r="A86" s="3" t="s">
        <v>3904</v>
      </c>
      <c r="B86" s="3" t="s">
        <v>3905</v>
      </c>
      <c r="C86" s="3" t="s">
        <v>3906</v>
      </c>
      <c r="D86" s="3" t="s">
        <v>3907</v>
      </c>
      <c r="E86" s="3" t="s">
        <v>650</v>
      </c>
      <c r="F86" s="3" t="s">
        <v>3776</v>
      </c>
    </row>
    <row r="87" spans="1:6" ht="30" customHeight="1" x14ac:dyDescent="0.2">
      <c r="A87" s="3" t="s">
        <v>3908</v>
      </c>
      <c r="B87" s="3" t="s">
        <v>3909</v>
      </c>
      <c r="C87" s="3" t="s">
        <v>3910</v>
      </c>
      <c r="D87" s="3" t="s">
        <v>3911</v>
      </c>
      <c r="E87" s="3" t="s">
        <v>650</v>
      </c>
      <c r="F87" s="3" t="s">
        <v>3776</v>
      </c>
    </row>
    <row r="88" spans="1:6" ht="45" customHeight="1" x14ac:dyDescent="0.2">
      <c r="A88" s="3" t="s">
        <v>3912</v>
      </c>
      <c r="B88" s="3" t="s">
        <v>3913</v>
      </c>
      <c r="C88" s="3" t="s">
        <v>3914</v>
      </c>
      <c r="D88" s="3" t="s">
        <v>3915</v>
      </c>
      <c r="E88" s="3" t="s">
        <v>3916</v>
      </c>
      <c r="F88" s="3" t="s">
        <v>3917</v>
      </c>
    </row>
    <row r="89" spans="1:6" ht="30" customHeight="1" x14ac:dyDescent="0.2">
      <c r="A89" s="3" t="s">
        <v>3918</v>
      </c>
      <c r="B89" s="3" t="s">
        <v>3919</v>
      </c>
      <c r="C89" s="3" t="s">
        <v>3920</v>
      </c>
      <c r="D89" s="3" t="s">
        <v>3921</v>
      </c>
      <c r="E89" s="3" t="s">
        <v>650</v>
      </c>
      <c r="F89" s="3" t="s">
        <v>3776</v>
      </c>
    </row>
    <row r="90" spans="1:6" ht="30" customHeight="1" x14ac:dyDescent="0.2">
      <c r="A90" s="3" t="s">
        <v>3922</v>
      </c>
      <c r="B90" s="3" t="s">
        <v>3923</v>
      </c>
      <c r="C90" s="3" t="s">
        <v>3924</v>
      </c>
      <c r="D90" s="3" t="s">
        <v>3925</v>
      </c>
      <c r="E90" s="3" t="s">
        <v>650</v>
      </c>
      <c r="F90" s="3" t="s">
        <v>3776</v>
      </c>
    </row>
    <row r="91" spans="1:6" ht="30" customHeight="1" x14ac:dyDescent="0.2">
      <c r="A91" s="3" t="s">
        <v>3926</v>
      </c>
      <c r="B91" s="3" t="s">
        <v>3927</v>
      </c>
      <c r="C91" s="3" t="s">
        <v>3928</v>
      </c>
      <c r="D91" s="3" t="s">
        <v>3929</v>
      </c>
      <c r="E91" s="3" t="s">
        <v>650</v>
      </c>
      <c r="F91" s="3" t="s">
        <v>3776</v>
      </c>
    </row>
    <row r="92" spans="1:6" ht="15" customHeight="1" x14ac:dyDescent="0.2">
      <c r="A92" s="3" t="s">
        <v>3930</v>
      </c>
      <c r="B92" s="3" t="s">
        <v>3931</v>
      </c>
      <c r="C92" s="3" t="s">
        <v>3932</v>
      </c>
      <c r="D92" s="3" t="s">
        <v>3933</v>
      </c>
      <c r="E92" s="3" t="s">
        <v>453</v>
      </c>
      <c r="F92" s="3" t="s">
        <v>3631</v>
      </c>
    </row>
    <row r="93" spans="1:6" ht="30" customHeight="1" x14ac:dyDescent="0.2">
      <c r="A93" s="3" t="s">
        <v>3934</v>
      </c>
      <c r="B93" s="3" t="s">
        <v>3935</v>
      </c>
      <c r="C93" s="3" t="s">
        <v>3936</v>
      </c>
      <c r="D93" s="3" t="s">
        <v>3937</v>
      </c>
      <c r="E93" s="3" t="s">
        <v>650</v>
      </c>
      <c r="F93" s="3" t="s">
        <v>3776</v>
      </c>
    </row>
    <row r="94" spans="1:6" ht="30" customHeight="1" x14ac:dyDescent="0.2">
      <c r="A94" s="3" t="s">
        <v>3938</v>
      </c>
      <c r="B94" s="3" t="s">
        <v>3939</v>
      </c>
      <c r="C94" s="3" t="s">
        <v>3940</v>
      </c>
      <c r="D94" s="3" t="s">
        <v>3941</v>
      </c>
      <c r="E94" s="3" t="s">
        <v>650</v>
      </c>
      <c r="F94" s="3" t="s">
        <v>3776</v>
      </c>
    </row>
    <row r="95" spans="1:6" ht="30" customHeight="1" x14ac:dyDescent="0.2">
      <c r="A95" s="3" t="s">
        <v>3942</v>
      </c>
      <c r="B95" s="3" t="s">
        <v>3943</v>
      </c>
      <c r="C95" s="3" t="s">
        <v>3944</v>
      </c>
      <c r="D95" s="3" t="s">
        <v>3945</v>
      </c>
      <c r="E95" s="3" t="s">
        <v>650</v>
      </c>
      <c r="F95" s="3" t="s">
        <v>3776</v>
      </c>
    </row>
    <row r="96" spans="1:6" ht="15" customHeight="1" x14ac:dyDescent="0.2">
      <c r="A96" s="3" t="s">
        <v>3946</v>
      </c>
      <c r="B96" s="3" t="s">
        <v>3947</v>
      </c>
      <c r="C96" s="3" t="s">
        <v>3948</v>
      </c>
      <c r="D96" s="3" t="s">
        <v>3949</v>
      </c>
      <c r="E96" s="3" t="s">
        <v>2479</v>
      </c>
      <c r="F96" s="3" t="s">
        <v>3631</v>
      </c>
    </row>
    <row r="97" spans="1:6" ht="30" customHeight="1" x14ac:dyDescent="0.2">
      <c r="A97" s="3" t="s">
        <v>3950</v>
      </c>
      <c r="B97" s="3" t="s">
        <v>3951</v>
      </c>
      <c r="C97" s="3" t="s">
        <v>3952</v>
      </c>
      <c r="D97" s="3" t="s">
        <v>3953</v>
      </c>
      <c r="E97" s="3" t="s">
        <v>650</v>
      </c>
      <c r="F97" s="3" t="s">
        <v>3776</v>
      </c>
    </row>
    <row r="98" spans="1:6" ht="30" customHeight="1" x14ac:dyDescent="0.2">
      <c r="A98" s="3" t="s">
        <v>3954</v>
      </c>
      <c r="B98" s="3" t="s">
        <v>3955</v>
      </c>
      <c r="C98" s="3" t="s">
        <v>3956</v>
      </c>
      <c r="D98" s="3" t="s">
        <v>3957</v>
      </c>
      <c r="E98" s="3" t="s">
        <v>650</v>
      </c>
      <c r="F98" s="3" t="s">
        <v>3776</v>
      </c>
    </row>
    <row r="99" spans="1:6" ht="30" customHeight="1" x14ac:dyDescent="0.2">
      <c r="A99" s="3" t="s">
        <v>3958</v>
      </c>
      <c r="B99" s="3" t="s">
        <v>3959</v>
      </c>
      <c r="C99" s="3" t="s">
        <v>3960</v>
      </c>
      <c r="D99" s="3" t="s">
        <v>3961</v>
      </c>
      <c r="E99" s="3" t="s">
        <v>650</v>
      </c>
      <c r="F99" s="3" t="s">
        <v>3776</v>
      </c>
    </row>
    <row r="100" spans="1:6" ht="30" customHeight="1" x14ac:dyDescent="0.2">
      <c r="A100" s="3" t="s">
        <v>3962</v>
      </c>
      <c r="B100" s="3" t="s">
        <v>3963</v>
      </c>
      <c r="C100" s="3" t="s">
        <v>3964</v>
      </c>
      <c r="D100" s="3" t="s">
        <v>3965</v>
      </c>
      <c r="E100" s="3" t="s">
        <v>650</v>
      </c>
      <c r="F100" s="3" t="s">
        <v>3776</v>
      </c>
    </row>
    <row r="101" spans="1:6" ht="30" customHeight="1" x14ac:dyDescent="0.2">
      <c r="A101" s="3" t="s">
        <v>3966</v>
      </c>
      <c r="B101" s="3" t="s">
        <v>3967</v>
      </c>
      <c r="C101" s="3" t="s">
        <v>3968</v>
      </c>
      <c r="D101" s="3" t="s">
        <v>3969</v>
      </c>
      <c r="E101" s="3" t="s">
        <v>650</v>
      </c>
      <c r="F101" s="3" t="s">
        <v>3776</v>
      </c>
    </row>
  </sheetData>
  <autoFilter ref="A1:F101"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633"/>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8" customWidth="1"/>
    <col min="3" max="3" width="34" customWidth="1"/>
    <col min="4" max="4" width="7" customWidth="1"/>
    <col min="5" max="5" width="26" customWidth="1"/>
    <col min="6" max="6" width="42" customWidth="1"/>
    <col min="7" max="8" width="52" customWidth="1"/>
    <col min="9" max="9" width="34" customWidth="1"/>
    <col min="10" max="10" width="42" customWidth="1"/>
    <col min="11" max="11" width="30" customWidth="1"/>
    <col min="12" max="13" width="52" customWidth="1"/>
    <col min="14" max="14" width="14" customWidth="1"/>
    <col min="15" max="15" width="34" customWidth="1"/>
    <col min="16" max="16" width="12" customWidth="1"/>
    <col min="17" max="18" width="52" customWidth="1"/>
    <col min="19" max="19" width="26" customWidth="1"/>
    <col min="20" max="20" width="22" customWidth="1"/>
    <col min="21" max="21" width="34" customWidth="1"/>
    <col min="22" max="22" width="20" customWidth="1"/>
    <col min="23" max="24" width="52" customWidth="1"/>
    <col min="25" max="25" width="30" customWidth="1"/>
  </cols>
  <sheetData>
    <row r="1" spans="1:25" ht="60" customHeight="1" x14ac:dyDescent="0.2">
      <c r="A1" s="1" t="s">
        <v>1322</v>
      </c>
      <c r="B1" s="1" t="s">
        <v>3970</v>
      </c>
      <c r="C1" s="1" t="s">
        <v>3971</v>
      </c>
      <c r="D1" s="1" t="s">
        <v>3972</v>
      </c>
      <c r="E1" s="1" t="s">
        <v>3973</v>
      </c>
      <c r="F1" s="1" t="s">
        <v>3974</v>
      </c>
      <c r="G1" s="1" t="s">
        <v>1323</v>
      </c>
      <c r="H1" s="1" t="s">
        <v>1324</v>
      </c>
      <c r="I1" s="1" t="s">
        <v>3975</v>
      </c>
      <c r="J1" s="1" t="s">
        <v>3976</v>
      </c>
      <c r="K1" s="1" t="s">
        <v>3977</v>
      </c>
      <c r="L1" s="1" t="s">
        <v>3978</v>
      </c>
      <c r="M1" s="1" t="s">
        <v>3979</v>
      </c>
      <c r="N1" s="1" t="s">
        <v>3980</v>
      </c>
      <c r="O1" s="1" t="s">
        <v>3981</v>
      </c>
      <c r="P1" s="1" t="s">
        <v>3982</v>
      </c>
      <c r="Q1" s="1" t="s">
        <v>3983</v>
      </c>
      <c r="R1" s="1" t="s">
        <v>3984</v>
      </c>
      <c r="S1" s="1" t="s">
        <v>3985</v>
      </c>
      <c r="T1" s="1" t="s">
        <v>3986</v>
      </c>
      <c r="U1" s="1" t="s">
        <v>1346</v>
      </c>
      <c r="V1" s="1" t="s">
        <v>1347</v>
      </c>
      <c r="W1" s="1" t="s">
        <v>3987</v>
      </c>
      <c r="X1" s="1" t="s">
        <v>1349</v>
      </c>
      <c r="Y1" s="1" t="s">
        <v>1210</v>
      </c>
    </row>
    <row r="2" spans="1:25" ht="60" customHeight="1" x14ac:dyDescent="0.2">
      <c r="A2" s="5" t="s">
        <v>3988</v>
      </c>
      <c r="B2" s="3"/>
      <c r="C2" s="3"/>
      <c r="D2" s="3"/>
      <c r="E2" s="3"/>
      <c r="F2" s="3"/>
      <c r="G2" s="11"/>
      <c r="H2" s="3"/>
      <c r="I2" s="3"/>
      <c r="J2" s="3"/>
      <c r="K2" s="3"/>
      <c r="L2" s="3"/>
      <c r="M2" s="3"/>
      <c r="N2" s="3"/>
      <c r="O2" s="3"/>
      <c r="P2" s="3"/>
      <c r="Q2" s="3"/>
      <c r="R2" s="3"/>
      <c r="S2" s="3"/>
      <c r="T2" s="3"/>
      <c r="U2" s="3"/>
      <c r="V2" s="3"/>
      <c r="W2" s="3"/>
      <c r="X2" s="3"/>
      <c r="Y2" s="3"/>
    </row>
    <row r="3" spans="1:25" ht="60" customHeight="1" x14ac:dyDescent="0.2">
      <c r="A3" s="3" t="s">
        <v>3989</v>
      </c>
      <c r="B3" s="3" t="s">
        <v>3990</v>
      </c>
      <c r="C3" s="3" t="s">
        <v>3991</v>
      </c>
      <c r="D3" s="3">
        <v>52</v>
      </c>
      <c r="E3" s="3" t="s">
        <v>3992</v>
      </c>
      <c r="F3" s="3" t="s">
        <v>3993</v>
      </c>
      <c r="G3" s="11" t="s">
        <v>3994</v>
      </c>
      <c r="H3" s="3" t="s">
        <v>3995</v>
      </c>
      <c r="I3" s="3" t="s">
        <v>3996</v>
      </c>
      <c r="J3" s="3" t="s">
        <v>3997</v>
      </c>
      <c r="K3" s="3" t="s">
        <v>3998</v>
      </c>
      <c r="L3" s="3" t="s">
        <v>650</v>
      </c>
      <c r="M3" s="3" t="s">
        <v>3999</v>
      </c>
      <c r="N3" s="3" t="s">
        <v>3535</v>
      </c>
      <c r="O3" s="3" t="s">
        <v>4000</v>
      </c>
      <c r="P3" s="3">
        <v>80</v>
      </c>
      <c r="Q3" s="3" t="s">
        <v>4001</v>
      </c>
      <c r="R3" s="3" t="s">
        <v>4002</v>
      </c>
      <c r="S3" s="3" t="s">
        <v>650</v>
      </c>
      <c r="T3" s="3" t="s">
        <v>650</v>
      </c>
      <c r="U3" s="3" t="s">
        <v>1380</v>
      </c>
      <c r="V3" s="3" t="s">
        <v>539</v>
      </c>
      <c r="W3" s="3"/>
      <c r="X3" s="3"/>
      <c r="Y3" s="3" t="s">
        <v>2001</v>
      </c>
    </row>
    <row r="4" spans="1:25" ht="60" customHeight="1" x14ac:dyDescent="0.2">
      <c r="A4" s="3" t="s">
        <v>2524</v>
      </c>
      <c r="B4" s="3" t="s">
        <v>2523</v>
      </c>
      <c r="C4" s="3" t="s">
        <v>3991</v>
      </c>
      <c r="D4" s="3">
        <v>88</v>
      </c>
      <c r="E4" s="3" t="s">
        <v>4003</v>
      </c>
      <c r="F4" s="3" t="s">
        <v>4004</v>
      </c>
      <c r="G4" s="11" t="s">
        <v>4005</v>
      </c>
      <c r="H4" s="3" t="s">
        <v>4006</v>
      </c>
      <c r="I4" s="3" t="s">
        <v>3996</v>
      </c>
      <c r="J4" s="3" t="s">
        <v>4007</v>
      </c>
      <c r="K4" s="3" t="s">
        <v>4008</v>
      </c>
      <c r="L4" s="3" t="s">
        <v>4009</v>
      </c>
      <c r="M4" s="3" t="s">
        <v>4010</v>
      </c>
      <c r="N4" s="3" t="s">
        <v>3535</v>
      </c>
      <c r="O4" s="3" t="s">
        <v>4011</v>
      </c>
      <c r="P4" s="3">
        <v>54</v>
      </c>
      <c r="Q4" s="3" t="s">
        <v>4012</v>
      </c>
      <c r="R4" s="3" t="s">
        <v>2529</v>
      </c>
      <c r="S4" s="3" t="s">
        <v>3645</v>
      </c>
      <c r="T4" s="3" t="s">
        <v>3642</v>
      </c>
      <c r="U4" s="3" t="s">
        <v>1380</v>
      </c>
      <c r="V4" s="3" t="s">
        <v>539</v>
      </c>
      <c r="W4" s="3"/>
      <c r="X4" s="3"/>
      <c r="Y4" s="3" t="s">
        <v>2001</v>
      </c>
    </row>
    <row r="5" spans="1:25" ht="60" customHeight="1" x14ac:dyDescent="0.2">
      <c r="A5" s="3" t="s">
        <v>4013</v>
      </c>
      <c r="B5" s="3" t="s">
        <v>4014</v>
      </c>
      <c r="C5" s="3" t="s">
        <v>3991</v>
      </c>
      <c r="D5" s="3">
        <v>170</v>
      </c>
      <c r="E5" s="3" t="s">
        <v>4003</v>
      </c>
      <c r="F5" s="3" t="s">
        <v>4015</v>
      </c>
      <c r="G5" s="11" t="s">
        <v>4016</v>
      </c>
      <c r="H5" s="3" t="s">
        <v>4017</v>
      </c>
      <c r="I5" s="3" t="s">
        <v>4018</v>
      </c>
      <c r="J5" s="3" t="s">
        <v>4019</v>
      </c>
      <c r="K5" s="3" t="s">
        <v>4008</v>
      </c>
      <c r="L5" s="3" t="s">
        <v>4020</v>
      </c>
      <c r="M5" s="3" t="s">
        <v>4021</v>
      </c>
      <c r="N5" s="3" t="s">
        <v>3535</v>
      </c>
      <c r="O5" s="3" t="s">
        <v>4022</v>
      </c>
      <c r="P5" s="3">
        <v>53</v>
      </c>
      <c r="Q5" s="3" t="s">
        <v>4023</v>
      </c>
      <c r="R5" s="3" t="s">
        <v>4024</v>
      </c>
      <c r="S5" s="3" t="s">
        <v>650</v>
      </c>
      <c r="T5" s="3" t="s">
        <v>650</v>
      </c>
      <c r="U5" s="3" t="s">
        <v>1380</v>
      </c>
      <c r="V5" s="3" t="s">
        <v>700</v>
      </c>
      <c r="W5" s="3"/>
      <c r="X5" s="3"/>
      <c r="Y5" s="3" t="s">
        <v>2001</v>
      </c>
    </row>
    <row r="6" spans="1:25" ht="60" customHeight="1" x14ac:dyDescent="0.2">
      <c r="A6" s="3" t="s">
        <v>2507</v>
      </c>
      <c r="B6" s="3" t="s">
        <v>2506</v>
      </c>
      <c r="C6" s="3" t="s">
        <v>3991</v>
      </c>
      <c r="D6" s="3">
        <v>221</v>
      </c>
      <c r="E6" s="3" t="s">
        <v>4003</v>
      </c>
      <c r="F6" s="3" t="s">
        <v>4025</v>
      </c>
      <c r="G6" s="11" t="s">
        <v>4026</v>
      </c>
      <c r="H6" s="3" t="s">
        <v>4027</v>
      </c>
      <c r="I6" s="3" t="s">
        <v>3996</v>
      </c>
      <c r="J6" s="3" t="s">
        <v>4007</v>
      </c>
      <c r="K6" s="3" t="s">
        <v>4028</v>
      </c>
      <c r="L6" s="3" t="s">
        <v>4029</v>
      </c>
      <c r="M6" s="3" t="s">
        <v>4010</v>
      </c>
      <c r="N6" s="3" t="s">
        <v>3535</v>
      </c>
      <c r="O6" s="3" t="s">
        <v>4030</v>
      </c>
      <c r="P6" s="3">
        <v>53</v>
      </c>
      <c r="Q6" s="3" t="s">
        <v>4031</v>
      </c>
      <c r="R6" s="3" t="s">
        <v>2512</v>
      </c>
      <c r="S6" s="3" t="s">
        <v>4032</v>
      </c>
      <c r="T6" s="3" t="s">
        <v>3637</v>
      </c>
      <c r="U6" s="3" t="s">
        <v>1380</v>
      </c>
      <c r="V6" s="3" t="s">
        <v>505</v>
      </c>
      <c r="W6" s="3"/>
      <c r="X6" s="3"/>
      <c r="Y6" s="3" t="s">
        <v>2001</v>
      </c>
    </row>
    <row r="7" spans="1:25" ht="60" customHeight="1" x14ac:dyDescent="0.2">
      <c r="A7" s="3" t="s">
        <v>4033</v>
      </c>
      <c r="B7" s="3" t="s">
        <v>4034</v>
      </c>
      <c r="C7" s="3" t="s">
        <v>4035</v>
      </c>
      <c r="D7" s="3">
        <v>244</v>
      </c>
      <c r="E7" s="3" t="s">
        <v>4003</v>
      </c>
      <c r="F7" s="3" t="s">
        <v>4036</v>
      </c>
      <c r="G7" s="11" t="s">
        <v>4037</v>
      </c>
      <c r="H7" s="3" t="s">
        <v>4038</v>
      </c>
      <c r="I7" s="3" t="s">
        <v>3996</v>
      </c>
      <c r="J7" s="3" t="s">
        <v>4039</v>
      </c>
      <c r="K7" s="3" t="s">
        <v>4040</v>
      </c>
      <c r="L7" s="3" t="s">
        <v>4020</v>
      </c>
      <c r="M7" s="3" t="s">
        <v>4010</v>
      </c>
      <c r="N7" s="3" t="s">
        <v>3535</v>
      </c>
      <c r="O7" s="3" t="s">
        <v>4041</v>
      </c>
      <c r="P7" s="3">
        <v>64</v>
      </c>
      <c r="Q7" s="3" t="s">
        <v>4042</v>
      </c>
      <c r="R7" s="3" t="s">
        <v>4043</v>
      </c>
      <c r="S7" s="3" t="s">
        <v>650</v>
      </c>
      <c r="T7" s="3" t="s">
        <v>650</v>
      </c>
      <c r="U7" s="3" t="s">
        <v>1380</v>
      </c>
      <c r="V7" s="3" t="s">
        <v>539</v>
      </c>
      <c r="W7" s="3"/>
      <c r="X7" s="3"/>
      <c r="Y7" s="3" t="s">
        <v>2001</v>
      </c>
    </row>
    <row r="8" spans="1:25" ht="45" customHeight="1" x14ac:dyDescent="0.2">
      <c r="A8" s="3" t="s">
        <v>4044</v>
      </c>
      <c r="B8" s="3" t="s">
        <v>4045</v>
      </c>
      <c r="C8" s="3" t="s">
        <v>3991</v>
      </c>
      <c r="D8" s="3">
        <v>258</v>
      </c>
      <c r="E8" s="3" t="s">
        <v>4003</v>
      </c>
      <c r="F8" s="3" t="s">
        <v>4046</v>
      </c>
      <c r="G8" s="11" t="s">
        <v>4047</v>
      </c>
      <c r="H8" s="3" t="s">
        <v>4048</v>
      </c>
      <c r="I8" s="3" t="s">
        <v>4018</v>
      </c>
      <c r="J8" s="3" t="s">
        <v>4049</v>
      </c>
      <c r="K8" s="3" t="s">
        <v>4008</v>
      </c>
      <c r="L8" s="3" t="s">
        <v>4050</v>
      </c>
      <c r="M8" s="3" t="s">
        <v>4051</v>
      </c>
      <c r="N8" s="3" t="s">
        <v>3535</v>
      </c>
      <c r="O8" s="3" t="s">
        <v>650</v>
      </c>
      <c r="P8" s="3">
        <v>0</v>
      </c>
      <c r="Q8" s="3" t="s">
        <v>4052</v>
      </c>
      <c r="R8" s="3" t="s">
        <v>1499</v>
      </c>
      <c r="S8" s="3" t="s">
        <v>650</v>
      </c>
      <c r="T8" s="3" t="s">
        <v>650</v>
      </c>
      <c r="U8" s="3" t="s">
        <v>1380</v>
      </c>
      <c r="V8" s="3" t="s">
        <v>700</v>
      </c>
      <c r="W8" s="3"/>
      <c r="X8" s="3"/>
      <c r="Y8" s="3" t="s">
        <v>2001</v>
      </c>
    </row>
    <row r="9" spans="1:25" ht="60" customHeight="1" x14ac:dyDescent="0.2">
      <c r="A9" s="3" t="s">
        <v>2884</v>
      </c>
      <c r="B9" s="3" t="s">
        <v>2883</v>
      </c>
      <c r="C9" s="3" t="s">
        <v>3991</v>
      </c>
      <c r="D9" s="3">
        <v>291</v>
      </c>
      <c r="E9" s="3" t="s">
        <v>4003</v>
      </c>
      <c r="F9" s="3" t="s">
        <v>4053</v>
      </c>
      <c r="G9" s="11" t="s">
        <v>4054</v>
      </c>
      <c r="H9" s="3" t="s">
        <v>4055</v>
      </c>
      <c r="I9" s="3" t="s">
        <v>3996</v>
      </c>
      <c r="J9" s="3" t="s">
        <v>4007</v>
      </c>
      <c r="K9" s="3" t="s">
        <v>4028</v>
      </c>
      <c r="L9" s="3" t="s">
        <v>4020</v>
      </c>
      <c r="M9" s="3" t="s">
        <v>4056</v>
      </c>
      <c r="N9" s="3" t="s">
        <v>3535</v>
      </c>
      <c r="O9" s="3" t="s">
        <v>4057</v>
      </c>
      <c r="P9" s="3">
        <v>2</v>
      </c>
      <c r="Q9" s="3" t="s">
        <v>4058</v>
      </c>
      <c r="R9" s="3" t="s">
        <v>4059</v>
      </c>
      <c r="S9" s="3" t="s">
        <v>2880</v>
      </c>
      <c r="T9" s="3" t="s">
        <v>650</v>
      </c>
      <c r="U9" s="3" t="s">
        <v>1380</v>
      </c>
      <c r="V9" s="3" t="s">
        <v>700</v>
      </c>
      <c r="W9" s="3"/>
      <c r="X9" s="3"/>
      <c r="Y9" s="3" t="s">
        <v>2001</v>
      </c>
    </row>
    <row r="10" spans="1:25" ht="60" customHeight="1" x14ac:dyDescent="0.2">
      <c r="A10" s="3" t="s">
        <v>4060</v>
      </c>
      <c r="B10" s="3" t="s">
        <v>4061</v>
      </c>
      <c r="C10" s="3" t="s">
        <v>3991</v>
      </c>
      <c r="D10" s="3">
        <v>345</v>
      </c>
      <c r="E10" s="3" t="s">
        <v>3992</v>
      </c>
      <c r="F10" s="3" t="s">
        <v>4062</v>
      </c>
      <c r="G10" s="11" t="s">
        <v>4063</v>
      </c>
      <c r="H10" s="3" t="s">
        <v>4064</v>
      </c>
      <c r="I10" s="3" t="s">
        <v>4065</v>
      </c>
      <c r="J10" s="3" t="s">
        <v>4007</v>
      </c>
      <c r="K10" s="3" t="s">
        <v>4066</v>
      </c>
      <c r="L10" s="3" t="s">
        <v>650</v>
      </c>
      <c r="M10" s="3" t="s">
        <v>4067</v>
      </c>
      <c r="N10" s="3" t="s">
        <v>3535</v>
      </c>
      <c r="O10" s="3" t="s">
        <v>4068</v>
      </c>
      <c r="P10" s="3">
        <v>53</v>
      </c>
      <c r="Q10" s="3" t="s">
        <v>4069</v>
      </c>
      <c r="R10" s="3" t="s">
        <v>4070</v>
      </c>
      <c r="S10" s="3" t="s">
        <v>650</v>
      </c>
      <c r="T10" s="3" t="s">
        <v>650</v>
      </c>
      <c r="U10" s="3" t="s">
        <v>1380</v>
      </c>
      <c r="V10" s="3" t="s">
        <v>539</v>
      </c>
      <c r="W10" s="3"/>
      <c r="X10" s="3"/>
      <c r="Y10" s="3" t="s">
        <v>2001</v>
      </c>
    </row>
    <row r="11" spans="1:25" ht="60" customHeight="1" x14ac:dyDescent="0.2">
      <c r="A11" s="3" t="s">
        <v>4071</v>
      </c>
      <c r="B11" s="3" t="s">
        <v>4072</v>
      </c>
      <c r="C11" s="3" t="s">
        <v>3991</v>
      </c>
      <c r="D11" s="3">
        <v>407</v>
      </c>
      <c r="E11" s="3" t="s">
        <v>3992</v>
      </c>
      <c r="F11" s="3" t="s">
        <v>4073</v>
      </c>
      <c r="G11" s="11" t="s">
        <v>4074</v>
      </c>
      <c r="H11" s="3" t="s">
        <v>4075</v>
      </c>
      <c r="I11" s="3" t="s">
        <v>3996</v>
      </c>
      <c r="J11" s="3" t="s">
        <v>4007</v>
      </c>
      <c r="K11" s="3" t="s">
        <v>4008</v>
      </c>
      <c r="L11" s="3" t="s">
        <v>650</v>
      </c>
      <c r="M11" s="3" t="s">
        <v>4076</v>
      </c>
      <c r="N11" s="3" t="s">
        <v>3535</v>
      </c>
      <c r="O11" s="3" t="s">
        <v>4077</v>
      </c>
      <c r="P11" s="3">
        <v>55</v>
      </c>
      <c r="Q11" s="3" t="s">
        <v>4078</v>
      </c>
      <c r="R11" s="3" t="s">
        <v>4079</v>
      </c>
      <c r="S11" s="3" t="s">
        <v>650</v>
      </c>
      <c r="T11" s="3" t="s">
        <v>650</v>
      </c>
      <c r="U11" s="3" t="s">
        <v>1380</v>
      </c>
      <c r="V11" s="3" t="s">
        <v>7</v>
      </c>
      <c r="W11" s="3"/>
      <c r="X11" s="3"/>
      <c r="Y11" s="3" t="s">
        <v>2001</v>
      </c>
    </row>
    <row r="12" spans="1:25" ht="60" customHeight="1" x14ac:dyDescent="0.2">
      <c r="A12" s="3" t="s">
        <v>4080</v>
      </c>
      <c r="B12" s="3" t="s">
        <v>4081</v>
      </c>
      <c r="C12" s="3" t="s">
        <v>3991</v>
      </c>
      <c r="D12" s="3">
        <v>463</v>
      </c>
      <c r="E12" s="3" t="s">
        <v>3992</v>
      </c>
      <c r="F12" s="3" t="s">
        <v>4082</v>
      </c>
      <c r="G12" s="11" t="s">
        <v>4083</v>
      </c>
      <c r="H12" s="3" t="s">
        <v>4084</v>
      </c>
      <c r="I12" s="3" t="s">
        <v>4018</v>
      </c>
      <c r="J12" s="3" t="s">
        <v>4085</v>
      </c>
      <c r="K12" s="3" t="s">
        <v>4086</v>
      </c>
      <c r="L12" s="3" t="s">
        <v>650</v>
      </c>
      <c r="M12" s="3" t="s">
        <v>4087</v>
      </c>
      <c r="N12" s="3" t="s">
        <v>3535</v>
      </c>
      <c r="O12" s="3" t="s">
        <v>4088</v>
      </c>
      <c r="P12" s="3">
        <v>57</v>
      </c>
      <c r="Q12" s="3" t="s">
        <v>4089</v>
      </c>
      <c r="R12" s="3" t="s">
        <v>4090</v>
      </c>
      <c r="S12" s="3" t="s">
        <v>3183</v>
      </c>
      <c r="T12" s="3" t="s">
        <v>650</v>
      </c>
      <c r="U12" s="3" t="s">
        <v>1380</v>
      </c>
      <c r="V12" s="3" t="s">
        <v>7</v>
      </c>
      <c r="W12" s="3"/>
      <c r="X12" s="3"/>
      <c r="Y12" s="6" t="s">
        <v>4091</v>
      </c>
    </row>
    <row r="13" spans="1:25" ht="60" customHeight="1" x14ac:dyDescent="0.2">
      <c r="A13" s="3" t="s">
        <v>4092</v>
      </c>
      <c r="B13" s="3" t="s">
        <v>4093</v>
      </c>
      <c r="C13" s="3" t="s">
        <v>3991</v>
      </c>
      <c r="D13" s="3">
        <v>517</v>
      </c>
      <c r="E13" s="3" t="s">
        <v>4003</v>
      </c>
      <c r="F13" s="3" t="s">
        <v>4094</v>
      </c>
      <c r="G13" s="11" t="s">
        <v>4095</v>
      </c>
      <c r="H13" s="3" t="s">
        <v>4096</v>
      </c>
      <c r="I13" s="3" t="s">
        <v>4018</v>
      </c>
      <c r="J13" s="3" t="s">
        <v>4007</v>
      </c>
      <c r="K13" s="3" t="s">
        <v>4028</v>
      </c>
      <c r="L13" s="3" t="s">
        <v>4020</v>
      </c>
      <c r="M13" s="3" t="s">
        <v>4010</v>
      </c>
      <c r="N13" s="3" t="s">
        <v>3535</v>
      </c>
      <c r="O13" s="3" t="s">
        <v>4097</v>
      </c>
      <c r="P13" s="3">
        <v>53</v>
      </c>
      <c r="Q13" s="3" t="s">
        <v>4098</v>
      </c>
      <c r="R13" s="3" t="s">
        <v>4099</v>
      </c>
      <c r="S13" s="3" t="s">
        <v>650</v>
      </c>
      <c r="T13" s="3" t="s">
        <v>650</v>
      </c>
      <c r="U13" s="3" t="s">
        <v>1380</v>
      </c>
      <c r="V13" s="3" t="s">
        <v>505</v>
      </c>
      <c r="W13" s="3"/>
      <c r="X13" s="3"/>
      <c r="Y13" s="3" t="s">
        <v>2001</v>
      </c>
    </row>
    <row r="14" spans="1:25" ht="60" customHeight="1" x14ac:dyDescent="0.2">
      <c r="A14" s="3" t="s">
        <v>4100</v>
      </c>
      <c r="B14" s="3" t="s">
        <v>4101</v>
      </c>
      <c r="C14" s="3" t="s">
        <v>3991</v>
      </c>
      <c r="D14" s="3">
        <v>547</v>
      </c>
      <c r="E14" s="3" t="s">
        <v>4003</v>
      </c>
      <c r="F14" s="3" t="s">
        <v>4102</v>
      </c>
      <c r="G14" s="11" t="s">
        <v>4103</v>
      </c>
      <c r="H14" s="3" t="s">
        <v>4104</v>
      </c>
      <c r="I14" s="3" t="s">
        <v>3996</v>
      </c>
      <c r="J14" s="3" t="s">
        <v>4007</v>
      </c>
      <c r="K14" s="3" t="s">
        <v>4028</v>
      </c>
      <c r="L14" s="3" t="s">
        <v>4020</v>
      </c>
      <c r="M14" s="3" t="s">
        <v>4010</v>
      </c>
      <c r="N14" s="3" t="s">
        <v>3535</v>
      </c>
      <c r="O14" s="3" t="s">
        <v>4105</v>
      </c>
      <c r="P14" s="3">
        <v>54</v>
      </c>
      <c r="Q14" s="3" t="s">
        <v>4106</v>
      </c>
      <c r="R14" s="3" t="s">
        <v>4107</v>
      </c>
      <c r="S14" s="3" t="s">
        <v>650</v>
      </c>
      <c r="T14" s="3" t="s">
        <v>650</v>
      </c>
      <c r="U14" s="3" t="s">
        <v>1380</v>
      </c>
      <c r="V14" s="3" t="s">
        <v>505</v>
      </c>
      <c r="W14" s="3"/>
      <c r="X14" s="3"/>
      <c r="Y14" s="3" t="s">
        <v>2001</v>
      </c>
    </row>
    <row r="15" spans="1:25" ht="60" customHeight="1" x14ac:dyDescent="0.2">
      <c r="A15" s="3" t="s">
        <v>4108</v>
      </c>
      <c r="B15" s="3" t="s">
        <v>4109</v>
      </c>
      <c r="C15" s="3" t="s">
        <v>3991</v>
      </c>
      <c r="D15" s="3">
        <v>585</v>
      </c>
      <c r="E15" s="3" t="s">
        <v>3992</v>
      </c>
      <c r="F15" s="3" t="s">
        <v>4110</v>
      </c>
      <c r="G15" s="11" t="s">
        <v>4111</v>
      </c>
      <c r="H15" s="3" t="s">
        <v>4112</v>
      </c>
      <c r="I15" s="3" t="s">
        <v>4018</v>
      </c>
      <c r="J15" s="3" t="s">
        <v>4113</v>
      </c>
      <c r="K15" s="3" t="s">
        <v>4114</v>
      </c>
      <c r="L15" s="3" t="s">
        <v>650</v>
      </c>
      <c r="M15" s="3" t="s">
        <v>4010</v>
      </c>
      <c r="N15" s="3" t="s">
        <v>3535</v>
      </c>
      <c r="O15" s="3" t="s">
        <v>4115</v>
      </c>
      <c r="P15" s="3">
        <v>122</v>
      </c>
      <c r="Q15" s="3" t="s">
        <v>4116</v>
      </c>
      <c r="R15" s="3" t="s">
        <v>4117</v>
      </c>
      <c r="S15" s="3" t="s">
        <v>650</v>
      </c>
      <c r="T15" s="3" t="s">
        <v>650</v>
      </c>
      <c r="U15" s="3" t="s">
        <v>1380</v>
      </c>
      <c r="V15" s="3" t="s">
        <v>700</v>
      </c>
      <c r="W15" s="3"/>
      <c r="X15" s="3"/>
      <c r="Y15" s="3" t="s">
        <v>2001</v>
      </c>
    </row>
    <row r="16" spans="1:25" ht="60" customHeight="1" x14ac:dyDescent="0.2">
      <c r="A16" s="3" t="s">
        <v>1410</v>
      </c>
      <c r="B16" s="3" t="s">
        <v>1409</v>
      </c>
      <c r="C16" s="3" t="s">
        <v>3991</v>
      </c>
      <c r="D16" s="3">
        <v>639</v>
      </c>
      <c r="E16" s="3" t="s">
        <v>4003</v>
      </c>
      <c r="F16" s="3" t="s">
        <v>4118</v>
      </c>
      <c r="G16" s="11" t="s">
        <v>4119</v>
      </c>
      <c r="H16" s="3" t="s">
        <v>4120</v>
      </c>
      <c r="I16" s="3" t="s">
        <v>3996</v>
      </c>
      <c r="J16" s="3" t="s">
        <v>4121</v>
      </c>
      <c r="K16" s="3" t="s">
        <v>4122</v>
      </c>
      <c r="L16" s="3" t="s">
        <v>4123</v>
      </c>
      <c r="M16" s="3" t="s">
        <v>4124</v>
      </c>
      <c r="N16" s="3" t="s">
        <v>3535</v>
      </c>
      <c r="O16" s="3" t="s">
        <v>4125</v>
      </c>
      <c r="P16" s="3">
        <v>55</v>
      </c>
      <c r="Q16" s="3" t="s">
        <v>4126</v>
      </c>
      <c r="R16" s="3" t="s">
        <v>1417</v>
      </c>
      <c r="S16" s="3" t="s">
        <v>1405</v>
      </c>
      <c r="T16" s="3" t="s">
        <v>650</v>
      </c>
      <c r="U16" s="3" t="s">
        <v>1380</v>
      </c>
      <c r="V16" s="3" t="s">
        <v>505</v>
      </c>
      <c r="W16" s="3"/>
      <c r="X16" s="3"/>
      <c r="Y16" s="3" t="s">
        <v>2001</v>
      </c>
    </row>
    <row r="17" spans="1:25" ht="60" customHeight="1" x14ac:dyDescent="0.2">
      <c r="A17" s="3" t="s">
        <v>4127</v>
      </c>
      <c r="B17" s="3" t="s">
        <v>4128</v>
      </c>
      <c r="C17" s="3" t="s">
        <v>3991</v>
      </c>
      <c r="D17" s="3">
        <v>677</v>
      </c>
      <c r="E17" s="3" t="s">
        <v>4129</v>
      </c>
      <c r="F17" s="3" t="s">
        <v>4110</v>
      </c>
      <c r="G17" s="11" t="s">
        <v>4130</v>
      </c>
      <c r="H17" s="3" t="s">
        <v>4130</v>
      </c>
      <c r="I17" s="3" t="s">
        <v>4131</v>
      </c>
      <c r="J17" s="3" t="s">
        <v>4132</v>
      </c>
      <c r="K17" s="3" t="s">
        <v>4028</v>
      </c>
      <c r="L17" s="3" t="s">
        <v>650</v>
      </c>
      <c r="M17" s="3" t="s">
        <v>4010</v>
      </c>
      <c r="N17" s="3" t="s">
        <v>3419</v>
      </c>
      <c r="O17" s="3" t="s">
        <v>4000</v>
      </c>
      <c r="P17" s="3">
        <v>80</v>
      </c>
      <c r="Q17" s="3" t="s">
        <v>4001</v>
      </c>
      <c r="R17" s="3" t="s">
        <v>4133</v>
      </c>
      <c r="S17" s="3" t="s">
        <v>650</v>
      </c>
      <c r="T17" s="3" t="s">
        <v>650</v>
      </c>
      <c r="U17" s="3" t="s">
        <v>1380</v>
      </c>
      <c r="V17" s="3" t="s">
        <v>700</v>
      </c>
      <c r="W17" s="3"/>
      <c r="X17" s="3"/>
      <c r="Y17" s="3" t="s">
        <v>2001</v>
      </c>
    </row>
    <row r="18" spans="1:25" ht="60" customHeight="1" x14ac:dyDescent="0.2">
      <c r="A18" s="3" t="s">
        <v>4134</v>
      </c>
      <c r="B18" s="3" t="s">
        <v>4135</v>
      </c>
      <c r="C18" s="3" t="s">
        <v>3991</v>
      </c>
      <c r="D18" s="3">
        <v>693</v>
      </c>
      <c r="E18" s="3" t="s">
        <v>4136</v>
      </c>
      <c r="F18" s="3" t="s">
        <v>4110</v>
      </c>
      <c r="G18" s="11" t="s">
        <v>4137</v>
      </c>
      <c r="H18" s="3" t="s">
        <v>4137</v>
      </c>
      <c r="I18" s="3" t="s">
        <v>4131</v>
      </c>
      <c r="J18" s="3" t="s">
        <v>4138</v>
      </c>
      <c r="K18" s="3" t="s">
        <v>4028</v>
      </c>
      <c r="L18" s="3" t="s">
        <v>650</v>
      </c>
      <c r="M18" s="3" t="s">
        <v>4010</v>
      </c>
      <c r="N18" s="3" t="s">
        <v>3419</v>
      </c>
      <c r="O18" s="3" t="s">
        <v>4139</v>
      </c>
      <c r="P18" s="3">
        <v>81</v>
      </c>
      <c r="Q18" s="3" t="s">
        <v>4140</v>
      </c>
      <c r="R18" s="3" t="s">
        <v>4141</v>
      </c>
      <c r="S18" s="3" t="s">
        <v>650</v>
      </c>
      <c r="T18" s="3" t="s">
        <v>650</v>
      </c>
      <c r="U18" s="3" t="s">
        <v>1380</v>
      </c>
      <c r="V18" s="3" t="s">
        <v>700</v>
      </c>
      <c r="W18" s="3"/>
      <c r="X18" s="3"/>
      <c r="Y18" s="3" t="s">
        <v>2001</v>
      </c>
    </row>
    <row r="19" spans="1:25" ht="60" customHeight="1" x14ac:dyDescent="0.2">
      <c r="A19" s="3" t="s">
        <v>4142</v>
      </c>
      <c r="B19" s="3" t="s">
        <v>4143</v>
      </c>
      <c r="C19" s="3" t="s">
        <v>3991</v>
      </c>
      <c r="D19" s="3">
        <v>710</v>
      </c>
      <c r="E19" s="3" t="s">
        <v>4136</v>
      </c>
      <c r="F19" s="3" t="s">
        <v>4144</v>
      </c>
      <c r="G19" s="11" t="s">
        <v>4137</v>
      </c>
      <c r="H19" s="3" t="s">
        <v>4137</v>
      </c>
      <c r="I19" s="3" t="s">
        <v>4131</v>
      </c>
      <c r="J19" s="3" t="s">
        <v>4145</v>
      </c>
      <c r="K19" s="3" t="s">
        <v>4028</v>
      </c>
      <c r="L19" s="3" t="s">
        <v>650</v>
      </c>
      <c r="M19" s="3" t="s">
        <v>4010</v>
      </c>
      <c r="N19" s="3" t="s">
        <v>3419</v>
      </c>
      <c r="O19" s="3" t="s">
        <v>4146</v>
      </c>
      <c r="P19" s="3">
        <v>81</v>
      </c>
      <c r="Q19" s="3" t="s">
        <v>4147</v>
      </c>
      <c r="R19" s="3" t="s">
        <v>4148</v>
      </c>
      <c r="S19" s="3" t="s">
        <v>650</v>
      </c>
      <c r="T19" s="3" t="s">
        <v>650</v>
      </c>
      <c r="U19" s="3" t="s">
        <v>1380</v>
      </c>
      <c r="V19" s="3" t="s">
        <v>700</v>
      </c>
      <c r="W19" s="3"/>
      <c r="X19" s="3"/>
      <c r="Y19" s="3" t="s">
        <v>2001</v>
      </c>
    </row>
    <row r="20" spans="1:25" ht="60" customHeight="1" x14ac:dyDescent="0.2">
      <c r="A20" s="3" t="s">
        <v>4149</v>
      </c>
      <c r="B20" s="3" t="s">
        <v>4150</v>
      </c>
      <c r="C20" s="3" t="s">
        <v>4151</v>
      </c>
      <c r="D20" s="3">
        <v>69</v>
      </c>
      <c r="E20" s="3" t="s">
        <v>3992</v>
      </c>
      <c r="F20" s="3" t="s">
        <v>4152</v>
      </c>
      <c r="G20" s="11" t="s">
        <v>4153</v>
      </c>
      <c r="H20" s="3" t="s">
        <v>4154</v>
      </c>
      <c r="I20" s="3" t="s">
        <v>4065</v>
      </c>
      <c r="J20" s="3" t="s">
        <v>4155</v>
      </c>
      <c r="K20" s="3" t="s">
        <v>4066</v>
      </c>
      <c r="L20" s="3" t="s">
        <v>650</v>
      </c>
      <c r="M20" s="3" t="s">
        <v>4156</v>
      </c>
      <c r="N20" s="3" t="s">
        <v>3535</v>
      </c>
      <c r="O20" s="3" t="s">
        <v>4157</v>
      </c>
      <c r="P20" s="3">
        <v>7</v>
      </c>
      <c r="Q20" s="3" t="s">
        <v>4158</v>
      </c>
      <c r="R20" s="3" t="s">
        <v>4159</v>
      </c>
      <c r="S20" s="3" t="s">
        <v>650</v>
      </c>
      <c r="T20" s="3" t="s">
        <v>650</v>
      </c>
      <c r="U20" s="3" t="s">
        <v>1380</v>
      </c>
      <c r="V20" s="3" t="s">
        <v>428</v>
      </c>
      <c r="W20" s="3"/>
      <c r="X20" s="3"/>
      <c r="Y20" s="3" t="s">
        <v>2001</v>
      </c>
    </row>
    <row r="21" spans="1:25" ht="60" customHeight="1" x14ac:dyDescent="0.2">
      <c r="A21" s="3" t="s">
        <v>4160</v>
      </c>
      <c r="B21" s="3" t="s">
        <v>4161</v>
      </c>
      <c r="C21" s="3" t="s">
        <v>4151</v>
      </c>
      <c r="D21" s="3">
        <v>218</v>
      </c>
      <c r="E21" s="3" t="s">
        <v>4003</v>
      </c>
      <c r="F21" s="3" t="s">
        <v>4110</v>
      </c>
      <c r="G21" s="11" t="s">
        <v>4162</v>
      </c>
      <c r="H21" s="3" t="s">
        <v>4163</v>
      </c>
      <c r="I21" s="3" t="s">
        <v>4065</v>
      </c>
      <c r="J21" s="3" t="s">
        <v>4164</v>
      </c>
      <c r="K21" s="3" t="s">
        <v>4028</v>
      </c>
      <c r="L21" s="3" t="s">
        <v>4165</v>
      </c>
      <c r="M21" s="3" t="s">
        <v>4166</v>
      </c>
      <c r="N21" s="3" t="s">
        <v>3535</v>
      </c>
      <c r="O21" s="3" t="s">
        <v>4167</v>
      </c>
      <c r="P21" s="3">
        <v>60</v>
      </c>
      <c r="Q21" s="3" t="s">
        <v>4168</v>
      </c>
      <c r="R21" s="3" t="s">
        <v>4169</v>
      </c>
      <c r="S21" s="3" t="s">
        <v>650</v>
      </c>
      <c r="T21" s="3" t="s">
        <v>650</v>
      </c>
      <c r="U21" s="3" t="s">
        <v>1380</v>
      </c>
      <c r="V21" s="3" t="s">
        <v>539</v>
      </c>
      <c r="W21" s="3"/>
      <c r="X21" s="3"/>
      <c r="Y21" s="3" t="s">
        <v>2001</v>
      </c>
    </row>
    <row r="22" spans="1:25" ht="60" customHeight="1" x14ac:dyDescent="0.2">
      <c r="A22" s="3" t="s">
        <v>4170</v>
      </c>
      <c r="B22" s="3" t="s">
        <v>4171</v>
      </c>
      <c r="C22" s="3" t="s">
        <v>4151</v>
      </c>
      <c r="D22" s="3">
        <v>337</v>
      </c>
      <c r="E22" s="3" t="s">
        <v>4129</v>
      </c>
      <c r="F22" s="3" t="s">
        <v>4172</v>
      </c>
      <c r="G22" s="11" t="s">
        <v>4173</v>
      </c>
      <c r="H22" s="3" t="s">
        <v>4174</v>
      </c>
      <c r="I22" s="3" t="s">
        <v>3996</v>
      </c>
      <c r="J22" s="3" t="s">
        <v>4175</v>
      </c>
      <c r="K22" s="3" t="s">
        <v>4176</v>
      </c>
      <c r="L22" s="3" t="s">
        <v>650</v>
      </c>
      <c r="M22" s="3" t="s">
        <v>4177</v>
      </c>
      <c r="N22" s="3" t="s">
        <v>3419</v>
      </c>
      <c r="O22" s="3" t="s">
        <v>4178</v>
      </c>
      <c r="P22" s="3">
        <v>56</v>
      </c>
      <c r="Q22" s="3" t="s">
        <v>4179</v>
      </c>
      <c r="R22" s="3" t="s">
        <v>4180</v>
      </c>
      <c r="S22" s="3" t="s">
        <v>650</v>
      </c>
      <c r="T22" s="3" t="s">
        <v>650</v>
      </c>
      <c r="U22" s="3" t="s">
        <v>1380</v>
      </c>
      <c r="V22" s="3" t="s">
        <v>700</v>
      </c>
      <c r="W22" s="3"/>
      <c r="X22" s="3"/>
      <c r="Y22" s="3" t="s">
        <v>2001</v>
      </c>
    </row>
    <row r="23" spans="1:25" ht="45" customHeight="1" x14ac:dyDescent="0.2">
      <c r="A23" s="3" t="s">
        <v>4181</v>
      </c>
      <c r="B23" s="3" t="s">
        <v>4182</v>
      </c>
      <c r="C23" s="3" t="s">
        <v>4183</v>
      </c>
      <c r="D23" s="3">
        <v>64</v>
      </c>
      <c r="E23" s="3" t="s">
        <v>4003</v>
      </c>
      <c r="F23" s="3" t="s">
        <v>4184</v>
      </c>
      <c r="G23" s="11" t="s">
        <v>4185</v>
      </c>
      <c r="H23" s="3" t="s">
        <v>4186</v>
      </c>
      <c r="I23" s="3" t="s">
        <v>4018</v>
      </c>
      <c r="J23" s="3" t="s">
        <v>4187</v>
      </c>
      <c r="K23" s="3" t="s">
        <v>4188</v>
      </c>
      <c r="L23" s="3" t="s">
        <v>4020</v>
      </c>
      <c r="M23" s="3" t="s">
        <v>4010</v>
      </c>
      <c r="N23" s="3" t="s">
        <v>3535</v>
      </c>
      <c r="O23" s="3" t="s">
        <v>650</v>
      </c>
      <c r="P23" s="3">
        <v>0</v>
      </c>
      <c r="Q23" s="3" t="s">
        <v>4052</v>
      </c>
      <c r="R23" s="3" t="s">
        <v>1499</v>
      </c>
      <c r="S23" s="3" t="s">
        <v>650</v>
      </c>
      <c r="T23" s="3" t="s">
        <v>4189</v>
      </c>
      <c r="U23" s="3" t="s">
        <v>1380</v>
      </c>
      <c r="V23" s="3" t="s">
        <v>700</v>
      </c>
      <c r="W23" s="3"/>
      <c r="X23" s="3"/>
      <c r="Y23" s="3" t="s">
        <v>2001</v>
      </c>
    </row>
    <row r="24" spans="1:25" ht="45" customHeight="1" x14ac:dyDescent="0.2">
      <c r="A24" s="3" t="s">
        <v>4190</v>
      </c>
      <c r="B24" s="3" t="s">
        <v>4191</v>
      </c>
      <c r="C24" s="3" t="s">
        <v>4183</v>
      </c>
      <c r="D24" s="3">
        <v>98</v>
      </c>
      <c r="E24" s="3" t="s">
        <v>4003</v>
      </c>
      <c r="F24" s="3" t="s">
        <v>3965</v>
      </c>
      <c r="G24" s="11" t="s">
        <v>4192</v>
      </c>
      <c r="H24" s="3" t="s">
        <v>4193</v>
      </c>
      <c r="I24" s="3" t="s">
        <v>4018</v>
      </c>
      <c r="J24" s="3" t="s">
        <v>4194</v>
      </c>
      <c r="K24" s="3" t="s">
        <v>4188</v>
      </c>
      <c r="L24" s="3" t="s">
        <v>4020</v>
      </c>
      <c r="M24" s="3" t="s">
        <v>4010</v>
      </c>
      <c r="N24" s="3" t="s">
        <v>3535</v>
      </c>
      <c r="O24" s="3" t="s">
        <v>4195</v>
      </c>
      <c r="P24" s="3">
        <v>1</v>
      </c>
      <c r="Q24" s="3" t="s">
        <v>4195</v>
      </c>
      <c r="R24" s="3" t="s">
        <v>4196</v>
      </c>
      <c r="S24" s="3" t="s">
        <v>650</v>
      </c>
      <c r="T24" s="3" t="s">
        <v>3963</v>
      </c>
      <c r="U24" s="3" t="s">
        <v>1380</v>
      </c>
      <c r="V24" s="3" t="s">
        <v>700</v>
      </c>
      <c r="W24" s="3"/>
      <c r="X24" s="3"/>
      <c r="Y24" s="3" t="s">
        <v>2001</v>
      </c>
    </row>
    <row r="25" spans="1:25" ht="60" customHeight="1" x14ac:dyDescent="0.2">
      <c r="A25" s="3" t="s">
        <v>4197</v>
      </c>
      <c r="B25" s="3" t="s">
        <v>4198</v>
      </c>
      <c r="C25" s="3" t="s">
        <v>4183</v>
      </c>
      <c r="D25" s="3">
        <v>141</v>
      </c>
      <c r="E25" s="3" t="s">
        <v>4003</v>
      </c>
      <c r="F25" s="3" t="s">
        <v>4199</v>
      </c>
      <c r="G25" s="11" t="s">
        <v>4200</v>
      </c>
      <c r="H25" s="3" t="s">
        <v>4201</v>
      </c>
      <c r="I25" s="3" t="s">
        <v>4018</v>
      </c>
      <c r="J25" s="3" t="s">
        <v>4194</v>
      </c>
      <c r="K25" s="3" t="s">
        <v>4008</v>
      </c>
      <c r="L25" s="3" t="s">
        <v>4020</v>
      </c>
      <c r="M25" s="3" t="s">
        <v>4202</v>
      </c>
      <c r="N25" s="3" t="s">
        <v>3535</v>
      </c>
      <c r="O25" s="3" t="s">
        <v>4203</v>
      </c>
      <c r="P25" s="3">
        <v>2</v>
      </c>
      <c r="Q25" s="3" t="s">
        <v>4204</v>
      </c>
      <c r="R25" s="3" t="s">
        <v>4205</v>
      </c>
      <c r="S25" s="3" t="s">
        <v>2553</v>
      </c>
      <c r="T25" s="3" t="s">
        <v>4206</v>
      </c>
      <c r="U25" s="3" t="s">
        <v>1380</v>
      </c>
      <c r="V25" s="3" t="s">
        <v>700</v>
      </c>
      <c r="W25" s="3"/>
      <c r="X25" s="3"/>
      <c r="Y25" s="3" t="s">
        <v>2001</v>
      </c>
    </row>
    <row r="26" spans="1:25" ht="45" customHeight="1" x14ac:dyDescent="0.2">
      <c r="A26" s="3" t="s">
        <v>1698</v>
      </c>
      <c r="B26" s="3" t="s">
        <v>4207</v>
      </c>
      <c r="C26" s="3" t="s">
        <v>4183</v>
      </c>
      <c r="D26" s="3">
        <v>167</v>
      </c>
      <c r="E26" s="3" t="s">
        <v>4003</v>
      </c>
      <c r="F26" s="3" t="s">
        <v>4208</v>
      </c>
      <c r="G26" s="11" t="s">
        <v>4209</v>
      </c>
      <c r="H26" s="3" t="s">
        <v>4210</v>
      </c>
      <c r="I26" s="3" t="s">
        <v>4018</v>
      </c>
      <c r="J26" s="3" t="s">
        <v>4211</v>
      </c>
      <c r="K26" s="3" t="s">
        <v>4008</v>
      </c>
      <c r="L26" s="3" t="s">
        <v>4212</v>
      </c>
      <c r="M26" s="3" t="s">
        <v>4010</v>
      </c>
      <c r="N26" s="3" t="s">
        <v>3535</v>
      </c>
      <c r="O26" s="3" t="s">
        <v>3267</v>
      </c>
      <c r="P26" s="3">
        <v>3</v>
      </c>
      <c r="Q26" s="3" t="s">
        <v>4213</v>
      </c>
      <c r="R26" s="3" t="s">
        <v>4214</v>
      </c>
      <c r="S26" s="3" t="s">
        <v>1694</v>
      </c>
      <c r="T26" s="3" t="s">
        <v>4215</v>
      </c>
      <c r="U26" s="3" t="s">
        <v>1380</v>
      </c>
      <c r="V26" s="3" t="s">
        <v>700</v>
      </c>
      <c r="W26" s="3"/>
      <c r="X26" s="3"/>
      <c r="Y26" s="3" t="s">
        <v>2001</v>
      </c>
    </row>
    <row r="27" spans="1:25" ht="60" customHeight="1" x14ac:dyDescent="0.2">
      <c r="A27" s="3" t="s">
        <v>4216</v>
      </c>
      <c r="B27" s="3" t="s">
        <v>4217</v>
      </c>
      <c r="C27" s="3" t="s">
        <v>4183</v>
      </c>
      <c r="D27" s="3">
        <v>199</v>
      </c>
      <c r="E27" s="3" t="s">
        <v>4003</v>
      </c>
      <c r="F27" s="3" t="s">
        <v>4218</v>
      </c>
      <c r="G27" s="11" t="s">
        <v>4219</v>
      </c>
      <c r="H27" s="3" t="s">
        <v>4220</v>
      </c>
      <c r="I27" s="3" t="s">
        <v>4018</v>
      </c>
      <c r="J27" s="3" t="s">
        <v>4211</v>
      </c>
      <c r="K27" s="3" t="s">
        <v>4008</v>
      </c>
      <c r="L27" s="3" t="s">
        <v>4221</v>
      </c>
      <c r="M27" s="3" t="s">
        <v>4222</v>
      </c>
      <c r="N27" s="3" t="s">
        <v>3535</v>
      </c>
      <c r="O27" s="3" t="s">
        <v>4203</v>
      </c>
      <c r="P27" s="3">
        <v>2</v>
      </c>
      <c r="Q27" s="3" t="s">
        <v>4204</v>
      </c>
      <c r="R27" s="3" t="s">
        <v>4223</v>
      </c>
      <c r="S27" s="3" t="s">
        <v>650</v>
      </c>
      <c r="T27" s="3" t="s">
        <v>4224</v>
      </c>
      <c r="U27" s="3" t="s">
        <v>1380</v>
      </c>
      <c r="V27" s="3" t="s">
        <v>505</v>
      </c>
      <c r="W27" s="3"/>
      <c r="X27" s="3"/>
      <c r="Y27" s="3" t="s">
        <v>2001</v>
      </c>
    </row>
    <row r="28" spans="1:25" ht="60" customHeight="1" x14ac:dyDescent="0.2">
      <c r="A28" s="3" t="s">
        <v>4225</v>
      </c>
      <c r="B28" s="3" t="s">
        <v>4226</v>
      </c>
      <c r="C28" s="3" t="s">
        <v>4183</v>
      </c>
      <c r="D28" s="3">
        <v>224</v>
      </c>
      <c r="E28" s="3" t="s">
        <v>4003</v>
      </c>
      <c r="F28" s="3" t="s">
        <v>4227</v>
      </c>
      <c r="G28" s="11" t="s">
        <v>4228</v>
      </c>
      <c r="H28" s="3" t="s">
        <v>4229</v>
      </c>
      <c r="I28" s="3" t="s">
        <v>3996</v>
      </c>
      <c r="J28" s="3" t="s">
        <v>4211</v>
      </c>
      <c r="K28" s="3" t="s">
        <v>4008</v>
      </c>
      <c r="L28" s="3" t="s">
        <v>4020</v>
      </c>
      <c r="M28" s="3" t="s">
        <v>4010</v>
      </c>
      <c r="N28" s="3" t="s">
        <v>3535</v>
      </c>
      <c r="O28" s="3" t="s">
        <v>4230</v>
      </c>
      <c r="P28" s="3">
        <v>4</v>
      </c>
      <c r="Q28" s="3" t="s">
        <v>4231</v>
      </c>
      <c r="R28" s="3" t="s">
        <v>4232</v>
      </c>
      <c r="S28" s="3" t="s">
        <v>650</v>
      </c>
      <c r="T28" s="3" t="s">
        <v>4233</v>
      </c>
      <c r="U28" s="3" t="s">
        <v>1380</v>
      </c>
      <c r="V28" s="3" t="s">
        <v>505</v>
      </c>
      <c r="W28" s="3"/>
      <c r="X28" s="3"/>
      <c r="Y28" s="3" t="s">
        <v>2001</v>
      </c>
    </row>
    <row r="29" spans="1:25" ht="45" customHeight="1" x14ac:dyDescent="0.2">
      <c r="A29" s="3" t="s">
        <v>4234</v>
      </c>
      <c r="B29" s="3" t="s">
        <v>4235</v>
      </c>
      <c r="C29" s="3" t="s">
        <v>4183</v>
      </c>
      <c r="D29" s="3">
        <v>248</v>
      </c>
      <c r="E29" s="3" t="s">
        <v>4003</v>
      </c>
      <c r="F29" s="3" t="s">
        <v>4236</v>
      </c>
      <c r="G29" s="11" t="s">
        <v>4237</v>
      </c>
      <c r="H29" s="3" t="s">
        <v>4238</v>
      </c>
      <c r="I29" s="3" t="s">
        <v>4018</v>
      </c>
      <c r="J29" s="3" t="s">
        <v>4211</v>
      </c>
      <c r="K29" s="3" t="s">
        <v>4008</v>
      </c>
      <c r="L29" s="3" t="s">
        <v>4020</v>
      </c>
      <c r="M29" s="3" t="s">
        <v>4239</v>
      </c>
      <c r="N29" s="3" t="s">
        <v>3535</v>
      </c>
      <c r="O29" s="3" t="s">
        <v>650</v>
      </c>
      <c r="P29" s="3">
        <v>0</v>
      </c>
      <c r="Q29" s="3" t="s">
        <v>4052</v>
      </c>
      <c r="R29" s="3" t="s">
        <v>1499</v>
      </c>
      <c r="S29" s="3" t="s">
        <v>650</v>
      </c>
      <c r="T29" s="3" t="s">
        <v>650</v>
      </c>
      <c r="U29" s="3" t="s">
        <v>1380</v>
      </c>
      <c r="V29" s="3" t="s">
        <v>505</v>
      </c>
      <c r="W29" s="3"/>
      <c r="X29" s="3"/>
      <c r="Y29" s="3" t="s">
        <v>2001</v>
      </c>
    </row>
    <row r="30" spans="1:25" ht="60" customHeight="1" x14ac:dyDescent="0.2">
      <c r="A30" s="3" t="s">
        <v>4240</v>
      </c>
      <c r="B30" s="3" t="s">
        <v>4241</v>
      </c>
      <c r="C30" s="3" t="s">
        <v>4183</v>
      </c>
      <c r="D30" s="3">
        <v>289</v>
      </c>
      <c r="E30" s="3" t="s">
        <v>4003</v>
      </c>
      <c r="F30" s="3" t="s">
        <v>4242</v>
      </c>
      <c r="G30" s="11" t="s">
        <v>4243</v>
      </c>
      <c r="H30" s="3" t="s">
        <v>4244</v>
      </c>
      <c r="I30" s="3" t="s">
        <v>3996</v>
      </c>
      <c r="J30" s="3" t="s">
        <v>4245</v>
      </c>
      <c r="K30" s="3" t="s">
        <v>4246</v>
      </c>
      <c r="L30" s="3" t="s">
        <v>4247</v>
      </c>
      <c r="M30" s="3" t="s">
        <v>4248</v>
      </c>
      <c r="N30" s="3" t="s">
        <v>3535</v>
      </c>
      <c r="O30" s="3" t="s">
        <v>4249</v>
      </c>
      <c r="P30" s="3">
        <v>1</v>
      </c>
      <c r="Q30" s="3" t="s">
        <v>4249</v>
      </c>
      <c r="R30" s="3" t="s">
        <v>4250</v>
      </c>
      <c r="S30" s="3" t="s">
        <v>650</v>
      </c>
      <c r="T30" s="3" t="s">
        <v>650</v>
      </c>
      <c r="U30" s="3" t="s">
        <v>1380</v>
      </c>
      <c r="V30" s="3" t="s">
        <v>505</v>
      </c>
      <c r="W30" s="3"/>
      <c r="X30" s="3"/>
      <c r="Y30" s="3" t="s">
        <v>2001</v>
      </c>
    </row>
    <row r="31" spans="1:25" ht="60" customHeight="1" x14ac:dyDescent="0.2">
      <c r="A31" s="3" t="s">
        <v>4251</v>
      </c>
      <c r="B31" s="3" t="s">
        <v>4252</v>
      </c>
      <c r="C31" s="3" t="s">
        <v>4183</v>
      </c>
      <c r="D31" s="3">
        <v>327</v>
      </c>
      <c r="E31" s="3" t="s">
        <v>4003</v>
      </c>
      <c r="F31" s="3" t="s">
        <v>4253</v>
      </c>
      <c r="G31" s="11" t="s">
        <v>4254</v>
      </c>
      <c r="H31" s="3" t="s">
        <v>4255</v>
      </c>
      <c r="I31" s="3" t="s">
        <v>3996</v>
      </c>
      <c r="J31" s="3" t="s">
        <v>4256</v>
      </c>
      <c r="K31" s="3" t="s">
        <v>4257</v>
      </c>
      <c r="L31" s="3" t="s">
        <v>4258</v>
      </c>
      <c r="M31" s="3" t="s">
        <v>4010</v>
      </c>
      <c r="N31" s="3" t="s">
        <v>3535</v>
      </c>
      <c r="O31" s="3" t="s">
        <v>650</v>
      </c>
      <c r="P31" s="3">
        <v>0</v>
      </c>
      <c r="Q31" s="3" t="s">
        <v>4052</v>
      </c>
      <c r="R31" s="3" t="s">
        <v>1499</v>
      </c>
      <c r="S31" s="3" t="s">
        <v>650</v>
      </c>
      <c r="T31" s="3" t="s">
        <v>650</v>
      </c>
      <c r="U31" s="3" t="s">
        <v>1380</v>
      </c>
      <c r="V31" s="3" t="s">
        <v>700</v>
      </c>
      <c r="W31" s="3"/>
      <c r="X31" s="3"/>
      <c r="Y31" s="3" t="s">
        <v>2001</v>
      </c>
    </row>
    <row r="32" spans="1:25" ht="60" customHeight="1" x14ac:dyDescent="0.2">
      <c r="A32" s="3" t="s">
        <v>4259</v>
      </c>
      <c r="B32" s="3" t="s">
        <v>4260</v>
      </c>
      <c r="C32" s="3" t="s">
        <v>4183</v>
      </c>
      <c r="D32" s="3">
        <v>356</v>
      </c>
      <c r="E32" s="3" t="s">
        <v>4003</v>
      </c>
      <c r="F32" s="3" t="s">
        <v>4261</v>
      </c>
      <c r="G32" s="11" t="s">
        <v>4262</v>
      </c>
      <c r="H32" s="3" t="s">
        <v>4263</v>
      </c>
      <c r="I32" s="3" t="s">
        <v>3996</v>
      </c>
      <c r="J32" s="3" t="s">
        <v>4264</v>
      </c>
      <c r="K32" s="3" t="s">
        <v>4008</v>
      </c>
      <c r="L32" s="3" t="s">
        <v>4020</v>
      </c>
      <c r="M32" s="3" t="s">
        <v>4010</v>
      </c>
      <c r="N32" s="3" t="s">
        <v>3535</v>
      </c>
      <c r="O32" s="3" t="s">
        <v>650</v>
      </c>
      <c r="P32" s="3">
        <v>0</v>
      </c>
      <c r="Q32" s="3" t="s">
        <v>4052</v>
      </c>
      <c r="R32" s="3" t="s">
        <v>1499</v>
      </c>
      <c r="S32" s="3" t="s">
        <v>650</v>
      </c>
      <c r="T32" s="3" t="s">
        <v>650</v>
      </c>
      <c r="U32" s="3" t="s">
        <v>1380</v>
      </c>
      <c r="V32" s="3" t="s">
        <v>700</v>
      </c>
      <c r="W32" s="3"/>
      <c r="X32" s="3"/>
      <c r="Y32" s="3" t="s">
        <v>2001</v>
      </c>
    </row>
    <row r="33" spans="1:25" ht="60" customHeight="1" x14ac:dyDescent="0.2">
      <c r="A33" s="3" t="s">
        <v>4265</v>
      </c>
      <c r="B33" s="3" t="s">
        <v>4266</v>
      </c>
      <c r="C33" s="3" t="s">
        <v>4183</v>
      </c>
      <c r="D33" s="3">
        <v>391</v>
      </c>
      <c r="E33" s="3" t="s">
        <v>4003</v>
      </c>
      <c r="F33" s="3" t="s">
        <v>4110</v>
      </c>
      <c r="G33" s="11" t="s">
        <v>4267</v>
      </c>
      <c r="H33" s="3" t="s">
        <v>4268</v>
      </c>
      <c r="I33" s="3" t="s">
        <v>4018</v>
      </c>
      <c r="J33" s="3" t="s">
        <v>4269</v>
      </c>
      <c r="K33" s="3" t="s">
        <v>4270</v>
      </c>
      <c r="L33" s="3" t="s">
        <v>4271</v>
      </c>
      <c r="M33" s="3" t="s">
        <v>4272</v>
      </c>
      <c r="N33" s="3" t="s">
        <v>3535</v>
      </c>
      <c r="O33" s="3" t="s">
        <v>650</v>
      </c>
      <c r="P33" s="3">
        <v>0</v>
      </c>
      <c r="Q33" s="3" t="s">
        <v>4052</v>
      </c>
      <c r="R33" s="3" t="s">
        <v>1499</v>
      </c>
      <c r="S33" s="3" t="s">
        <v>650</v>
      </c>
      <c r="T33" s="3" t="s">
        <v>650</v>
      </c>
      <c r="U33" s="3" t="s">
        <v>1380</v>
      </c>
      <c r="V33" s="3" t="s">
        <v>700</v>
      </c>
      <c r="W33" s="3"/>
      <c r="X33" s="3"/>
      <c r="Y33" s="3" t="s">
        <v>2001</v>
      </c>
    </row>
    <row r="34" spans="1:25" ht="60" customHeight="1" x14ac:dyDescent="0.2">
      <c r="A34" s="3" t="s">
        <v>4273</v>
      </c>
      <c r="B34" s="3" t="s">
        <v>4274</v>
      </c>
      <c r="C34" s="3" t="s">
        <v>4183</v>
      </c>
      <c r="D34" s="3">
        <v>420</v>
      </c>
      <c r="E34" s="3" t="s">
        <v>4003</v>
      </c>
      <c r="F34" s="3" t="s">
        <v>4110</v>
      </c>
      <c r="G34" s="11" t="s">
        <v>4275</v>
      </c>
      <c r="H34" s="3" t="s">
        <v>4276</v>
      </c>
      <c r="I34" s="3" t="s">
        <v>4018</v>
      </c>
      <c r="J34" s="3" t="s">
        <v>4277</v>
      </c>
      <c r="K34" s="3" t="s">
        <v>4028</v>
      </c>
      <c r="L34" s="3" t="s">
        <v>4278</v>
      </c>
      <c r="M34" s="3" t="s">
        <v>4010</v>
      </c>
      <c r="N34" s="3" t="s">
        <v>3535</v>
      </c>
      <c r="O34" s="3" t="s">
        <v>650</v>
      </c>
      <c r="P34" s="3">
        <v>0</v>
      </c>
      <c r="Q34" s="3" t="s">
        <v>4052</v>
      </c>
      <c r="R34" s="3" t="s">
        <v>1499</v>
      </c>
      <c r="S34" s="3" t="s">
        <v>650</v>
      </c>
      <c r="T34" s="3" t="s">
        <v>650</v>
      </c>
      <c r="U34" s="3" t="s">
        <v>1380</v>
      </c>
      <c r="V34" s="3" t="s">
        <v>700</v>
      </c>
      <c r="W34" s="3"/>
      <c r="X34" s="3"/>
      <c r="Y34" s="3" t="s">
        <v>2001</v>
      </c>
    </row>
    <row r="35" spans="1:25" ht="60" customHeight="1" x14ac:dyDescent="0.2">
      <c r="A35" s="3" t="s">
        <v>4279</v>
      </c>
      <c r="B35" s="3" t="s">
        <v>4280</v>
      </c>
      <c r="C35" s="3" t="s">
        <v>4183</v>
      </c>
      <c r="D35" s="3">
        <v>460</v>
      </c>
      <c r="E35" s="3" t="s">
        <v>4003</v>
      </c>
      <c r="F35" s="3" t="s">
        <v>4110</v>
      </c>
      <c r="G35" s="11" t="s">
        <v>4281</v>
      </c>
      <c r="H35" s="3" t="s">
        <v>4282</v>
      </c>
      <c r="I35" s="3" t="s">
        <v>4018</v>
      </c>
      <c r="J35" s="3" t="s">
        <v>4283</v>
      </c>
      <c r="K35" s="3" t="s">
        <v>4284</v>
      </c>
      <c r="L35" s="3" t="s">
        <v>4285</v>
      </c>
      <c r="M35" s="3" t="s">
        <v>4272</v>
      </c>
      <c r="N35" s="3" t="s">
        <v>3535</v>
      </c>
      <c r="O35" s="3" t="s">
        <v>650</v>
      </c>
      <c r="P35" s="3">
        <v>0</v>
      </c>
      <c r="Q35" s="3" t="s">
        <v>4052</v>
      </c>
      <c r="R35" s="3" t="s">
        <v>1499</v>
      </c>
      <c r="S35" s="3" t="s">
        <v>650</v>
      </c>
      <c r="T35" s="3" t="s">
        <v>650</v>
      </c>
      <c r="U35" s="3" t="s">
        <v>1380</v>
      </c>
      <c r="V35" s="3" t="s">
        <v>505</v>
      </c>
      <c r="W35" s="3"/>
      <c r="X35" s="3"/>
      <c r="Y35" s="3" t="s">
        <v>2001</v>
      </c>
    </row>
    <row r="36" spans="1:25" ht="60" customHeight="1" x14ac:dyDescent="0.2">
      <c r="A36" s="3" t="s">
        <v>2361</v>
      </c>
      <c r="B36" s="3" t="s">
        <v>4286</v>
      </c>
      <c r="C36" s="3" t="s">
        <v>4183</v>
      </c>
      <c r="D36" s="3">
        <v>513</v>
      </c>
      <c r="E36" s="3" t="s">
        <v>4003</v>
      </c>
      <c r="F36" s="3" t="s">
        <v>4287</v>
      </c>
      <c r="G36" s="11" t="s">
        <v>4288</v>
      </c>
      <c r="H36" s="3" t="s">
        <v>4289</v>
      </c>
      <c r="I36" s="3" t="s">
        <v>4290</v>
      </c>
      <c r="J36" s="3" t="s">
        <v>4291</v>
      </c>
      <c r="K36" s="3" t="s">
        <v>4292</v>
      </c>
      <c r="L36" s="3" t="s">
        <v>4293</v>
      </c>
      <c r="M36" s="3" t="s">
        <v>4294</v>
      </c>
      <c r="N36" s="3" t="s">
        <v>3535</v>
      </c>
      <c r="O36" s="3" t="s">
        <v>4295</v>
      </c>
      <c r="P36" s="3">
        <v>3</v>
      </c>
      <c r="Q36" s="3" t="s">
        <v>4296</v>
      </c>
      <c r="R36" s="3" t="s">
        <v>4297</v>
      </c>
      <c r="S36" s="3" t="s">
        <v>2358</v>
      </c>
      <c r="T36" s="3" t="s">
        <v>650</v>
      </c>
      <c r="U36" s="3" t="s">
        <v>1380</v>
      </c>
      <c r="V36" s="3" t="s">
        <v>700</v>
      </c>
      <c r="W36" s="3"/>
      <c r="X36" s="3"/>
      <c r="Y36" s="3" t="s">
        <v>2001</v>
      </c>
    </row>
    <row r="37" spans="1:25" ht="45" customHeight="1" x14ac:dyDescent="0.2">
      <c r="A37" s="3" t="s">
        <v>4298</v>
      </c>
      <c r="B37" s="3" t="s">
        <v>4299</v>
      </c>
      <c r="C37" s="3" t="s">
        <v>4183</v>
      </c>
      <c r="D37" s="3">
        <v>588</v>
      </c>
      <c r="E37" s="3" t="s">
        <v>4003</v>
      </c>
      <c r="F37" s="3" t="s">
        <v>4300</v>
      </c>
      <c r="G37" s="11" t="s">
        <v>4301</v>
      </c>
      <c r="H37" s="3" t="s">
        <v>4301</v>
      </c>
      <c r="I37" s="3" t="s">
        <v>4018</v>
      </c>
      <c r="J37" s="3" t="s">
        <v>4302</v>
      </c>
      <c r="K37" s="3" t="s">
        <v>4028</v>
      </c>
      <c r="L37" s="3" t="s">
        <v>4303</v>
      </c>
      <c r="M37" s="3" t="s">
        <v>4304</v>
      </c>
      <c r="N37" s="3" t="s">
        <v>3535</v>
      </c>
      <c r="O37" s="3" t="s">
        <v>650</v>
      </c>
      <c r="P37" s="3">
        <v>0</v>
      </c>
      <c r="Q37" s="3" t="s">
        <v>4052</v>
      </c>
      <c r="R37" s="3" t="s">
        <v>1499</v>
      </c>
      <c r="S37" s="3" t="s">
        <v>650</v>
      </c>
      <c r="T37" s="3" t="s">
        <v>4305</v>
      </c>
      <c r="U37" s="3" t="s">
        <v>1380</v>
      </c>
      <c r="V37" s="3" t="s">
        <v>700</v>
      </c>
      <c r="W37" s="3"/>
      <c r="X37" s="3"/>
      <c r="Y37" s="3" t="s">
        <v>2001</v>
      </c>
    </row>
    <row r="38" spans="1:25" ht="60" customHeight="1" x14ac:dyDescent="0.2">
      <c r="A38" s="3" t="s">
        <v>4306</v>
      </c>
      <c r="B38" s="3" t="s">
        <v>4307</v>
      </c>
      <c r="C38" s="3" t="s">
        <v>4183</v>
      </c>
      <c r="D38" s="3">
        <v>629</v>
      </c>
      <c r="E38" s="3" t="s">
        <v>4003</v>
      </c>
      <c r="F38" s="3" t="s">
        <v>4308</v>
      </c>
      <c r="G38" s="11" t="s">
        <v>4309</v>
      </c>
      <c r="H38" s="3" t="s">
        <v>4310</v>
      </c>
      <c r="I38" s="3" t="s">
        <v>4290</v>
      </c>
      <c r="J38" s="3" t="s">
        <v>4311</v>
      </c>
      <c r="K38" s="3" t="s">
        <v>4312</v>
      </c>
      <c r="L38" s="3" t="s">
        <v>4313</v>
      </c>
      <c r="M38" s="3" t="s">
        <v>4010</v>
      </c>
      <c r="N38" s="3" t="s">
        <v>3535</v>
      </c>
      <c r="O38" s="3" t="s">
        <v>4314</v>
      </c>
      <c r="P38" s="3">
        <v>86</v>
      </c>
      <c r="Q38" s="3" t="s">
        <v>4315</v>
      </c>
      <c r="R38" s="3" t="s">
        <v>4316</v>
      </c>
      <c r="S38" s="3" t="s">
        <v>650</v>
      </c>
      <c r="T38" s="3" t="s">
        <v>4317</v>
      </c>
      <c r="U38" s="3" t="s">
        <v>1380</v>
      </c>
      <c r="V38" s="3" t="s">
        <v>700</v>
      </c>
      <c r="W38" s="3"/>
      <c r="X38" s="3"/>
      <c r="Y38" s="3" t="s">
        <v>2001</v>
      </c>
    </row>
    <row r="39" spans="1:25" ht="60" customHeight="1" x14ac:dyDescent="0.2">
      <c r="A39" s="3" t="s">
        <v>4318</v>
      </c>
      <c r="B39" s="3" t="s">
        <v>4319</v>
      </c>
      <c r="C39" s="3" t="s">
        <v>4183</v>
      </c>
      <c r="D39" s="3">
        <v>678</v>
      </c>
      <c r="E39" s="3" t="s">
        <v>3992</v>
      </c>
      <c r="F39" s="3" t="s">
        <v>4320</v>
      </c>
      <c r="G39" s="11" t="s">
        <v>4321</v>
      </c>
      <c r="H39" s="3" t="s">
        <v>4322</v>
      </c>
      <c r="I39" s="3" t="s">
        <v>3996</v>
      </c>
      <c r="J39" s="3" t="s">
        <v>4323</v>
      </c>
      <c r="K39" s="3" t="s">
        <v>4324</v>
      </c>
      <c r="L39" s="3" t="s">
        <v>650</v>
      </c>
      <c r="M39" s="3" t="s">
        <v>4010</v>
      </c>
      <c r="N39" s="3" t="s">
        <v>3535</v>
      </c>
      <c r="O39" s="3" t="s">
        <v>650</v>
      </c>
      <c r="P39" s="3">
        <v>0</v>
      </c>
      <c r="Q39" s="3" t="s">
        <v>4052</v>
      </c>
      <c r="R39" s="3" t="s">
        <v>1499</v>
      </c>
      <c r="S39" s="3" t="s">
        <v>650</v>
      </c>
      <c r="T39" s="3" t="s">
        <v>4325</v>
      </c>
      <c r="U39" s="3" t="s">
        <v>1380</v>
      </c>
      <c r="V39" s="3" t="s">
        <v>700</v>
      </c>
      <c r="W39" s="3"/>
      <c r="X39" s="3"/>
      <c r="Y39" s="3" t="s">
        <v>2001</v>
      </c>
    </row>
    <row r="40" spans="1:25" ht="60" customHeight="1" x14ac:dyDescent="0.2">
      <c r="A40" s="3" t="s">
        <v>4326</v>
      </c>
      <c r="B40" s="3" t="s">
        <v>4327</v>
      </c>
      <c r="C40" s="3" t="s">
        <v>4183</v>
      </c>
      <c r="D40" s="3">
        <v>727</v>
      </c>
      <c r="E40" s="3" t="s">
        <v>3992</v>
      </c>
      <c r="F40" s="3" t="s">
        <v>4328</v>
      </c>
      <c r="G40" s="11" t="s">
        <v>4329</v>
      </c>
      <c r="H40" s="3" t="s">
        <v>4330</v>
      </c>
      <c r="I40" s="3" t="s">
        <v>4018</v>
      </c>
      <c r="J40" s="3" t="s">
        <v>4331</v>
      </c>
      <c r="K40" s="3" t="s">
        <v>4332</v>
      </c>
      <c r="L40" s="3" t="s">
        <v>650</v>
      </c>
      <c r="M40" s="3" t="s">
        <v>4010</v>
      </c>
      <c r="N40" s="3" t="s">
        <v>3535</v>
      </c>
      <c r="O40" s="3" t="s">
        <v>4333</v>
      </c>
      <c r="P40" s="3">
        <v>79</v>
      </c>
      <c r="Q40" s="3" t="s">
        <v>4334</v>
      </c>
      <c r="R40" s="3" t="s">
        <v>4335</v>
      </c>
      <c r="S40" s="3" t="s">
        <v>650</v>
      </c>
      <c r="T40" s="3" t="s">
        <v>4336</v>
      </c>
      <c r="U40" s="3" t="s">
        <v>1380</v>
      </c>
      <c r="V40" s="3" t="s">
        <v>700</v>
      </c>
      <c r="W40" s="3"/>
      <c r="X40" s="3"/>
      <c r="Y40" s="3" t="s">
        <v>2001</v>
      </c>
    </row>
    <row r="41" spans="1:25" ht="60" customHeight="1" x14ac:dyDescent="0.2">
      <c r="A41" s="3" t="s">
        <v>4337</v>
      </c>
      <c r="B41" s="3" t="s">
        <v>4338</v>
      </c>
      <c r="C41" s="3" t="s">
        <v>4183</v>
      </c>
      <c r="D41" s="3">
        <v>762</v>
      </c>
      <c r="E41" s="3" t="s">
        <v>4129</v>
      </c>
      <c r="F41" s="3" t="s">
        <v>4110</v>
      </c>
      <c r="G41" s="11" t="s">
        <v>4130</v>
      </c>
      <c r="H41" s="3" t="s">
        <v>4130</v>
      </c>
      <c r="I41" s="3" t="s">
        <v>4131</v>
      </c>
      <c r="J41" s="3" t="s">
        <v>4132</v>
      </c>
      <c r="K41" s="3" t="s">
        <v>4028</v>
      </c>
      <c r="L41" s="3" t="s">
        <v>650</v>
      </c>
      <c r="M41" s="3" t="s">
        <v>4010</v>
      </c>
      <c r="N41" s="3" t="s">
        <v>3419</v>
      </c>
      <c r="O41" s="3" t="s">
        <v>4000</v>
      </c>
      <c r="P41" s="3">
        <v>80</v>
      </c>
      <c r="Q41" s="3" t="s">
        <v>4001</v>
      </c>
      <c r="R41" s="3" t="s">
        <v>4339</v>
      </c>
      <c r="S41" s="3" t="s">
        <v>650</v>
      </c>
      <c r="T41" s="3" t="s">
        <v>650</v>
      </c>
      <c r="U41" s="3" t="s">
        <v>1380</v>
      </c>
      <c r="V41" s="3" t="s">
        <v>700</v>
      </c>
      <c r="W41" s="3"/>
      <c r="X41" s="3"/>
      <c r="Y41" s="3" t="s">
        <v>2001</v>
      </c>
    </row>
    <row r="42" spans="1:25" ht="60" customHeight="1" x14ac:dyDescent="0.2">
      <c r="A42" s="3" t="s">
        <v>4340</v>
      </c>
      <c r="B42" s="3" t="s">
        <v>4341</v>
      </c>
      <c r="C42" s="3" t="s">
        <v>4183</v>
      </c>
      <c r="D42" s="3">
        <v>778</v>
      </c>
      <c r="E42" s="3" t="s">
        <v>4136</v>
      </c>
      <c r="F42" s="3" t="s">
        <v>4110</v>
      </c>
      <c r="G42" s="11" t="s">
        <v>4137</v>
      </c>
      <c r="H42" s="3" t="s">
        <v>4137</v>
      </c>
      <c r="I42" s="3" t="s">
        <v>4131</v>
      </c>
      <c r="J42" s="3" t="s">
        <v>4342</v>
      </c>
      <c r="K42" s="3" t="s">
        <v>4343</v>
      </c>
      <c r="L42" s="3" t="s">
        <v>650</v>
      </c>
      <c r="M42" s="3" t="s">
        <v>4010</v>
      </c>
      <c r="N42" s="3" t="s">
        <v>3419</v>
      </c>
      <c r="O42" s="3" t="s">
        <v>4344</v>
      </c>
      <c r="P42" s="3">
        <v>82</v>
      </c>
      <c r="Q42" s="3" t="s">
        <v>4345</v>
      </c>
      <c r="R42" s="3" t="s">
        <v>4346</v>
      </c>
      <c r="S42" s="3" t="s">
        <v>650</v>
      </c>
      <c r="T42" s="3" t="s">
        <v>650</v>
      </c>
      <c r="U42" s="3" t="s">
        <v>1380</v>
      </c>
      <c r="V42" s="3" t="s">
        <v>700</v>
      </c>
      <c r="W42" s="3"/>
      <c r="X42" s="3"/>
      <c r="Y42" s="3" t="s">
        <v>2001</v>
      </c>
    </row>
    <row r="43" spans="1:25" ht="60" customHeight="1" x14ac:dyDescent="0.2">
      <c r="A43" s="3" t="s">
        <v>4347</v>
      </c>
      <c r="B43" s="3" t="s">
        <v>4348</v>
      </c>
      <c r="C43" s="3" t="s">
        <v>4183</v>
      </c>
      <c r="D43" s="3">
        <v>795</v>
      </c>
      <c r="E43" s="3" t="s">
        <v>4129</v>
      </c>
      <c r="F43" s="3" t="s">
        <v>4110</v>
      </c>
      <c r="G43" s="11" t="s">
        <v>4349</v>
      </c>
      <c r="H43" s="3" t="s">
        <v>4350</v>
      </c>
      <c r="I43" s="3" t="s">
        <v>3996</v>
      </c>
      <c r="J43" s="3" t="s">
        <v>4132</v>
      </c>
      <c r="K43" s="3" t="s">
        <v>4028</v>
      </c>
      <c r="L43" s="3" t="s">
        <v>650</v>
      </c>
      <c r="M43" s="3" t="s">
        <v>4010</v>
      </c>
      <c r="N43" s="3" t="s">
        <v>3419</v>
      </c>
      <c r="O43" s="3" t="s">
        <v>4351</v>
      </c>
      <c r="P43" s="3">
        <v>88</v>
      </c>
      <c r="Q43" s="3" t="s">
        <v>4352</v>
      </c>
      <c r="R43" s="3" t="s">
        <v>4353</v>
      </c>
      <c r="S43" s="3" t="s">
        <v>650</v>
      </c>
      <c r="T43" s="3" t="s">
        <v>650</v>
      </c>
      <c r="U43" s="3" t="s">
        <v>1380</v>
      </c>
      <c r="V43" s="3" t="s">
        <v>700</v>
      </c>
      <c r="W43" s="3"/>
      <c r="X43" s="3"/>
      <c r="Y43" s="3" t="s">
        <v>2001</v>
      </c>
    </row>
    <row r="44" spans="1:25" ht="60" customHeight="1" x14ac:dyDescent="0.2">
      <c r="A44" s="3" t="s">
        <v>4354</v>
      </c>
      <c r="B44" s="3" t="s">
        <v>4355</v>
      </c>
      <c r="C44" s="3" t="s">
        <v>4356</v>
      </c>
      <c r="D44" s="3">
        <v>62</v>
      </c>
      <c r="E44" s="3" t="s">
        <v>4003</v>
      </c>
      <c r="F44" s="3" t="s">
        <v>4357</v>
      </c>
      <c r="G44" s="11" t="s">
        <v>4358</v>
      </c>
      <c r="H44" s="3" t="s">
        <v>4359</v>
      </c>
      <c r="I44" s="3" t="s">
        <v>3996</v>
      </c>
      <c r="J44" s="3" t="s">
        <v>4164</v>
      </c>
      <c r="K44" s="3" t="s">
        <v>4028</v>
      </c>
      <c r="L44" s="3" t="s">
        <v>4020</v>
      </c>
      <c r="M44" s="3" t="s">
        <v>4021</v>
      </c>
      <c r="N44" s="3" t="s">
        <v>3535</v>
      </c>
      <c r="O44" s="3" t="s">
        <v>4360</v>
      </c>
      <c r="P44" s="3">
        <v>11</v>
      </c>
      <c r="Q44" s="3" t="s">
        <v>4361</v>
      </c>
      <c r="R44" s="3" t="s">
        <v>4362</v>
      </c>
      <c r="S44" s="3" t="s">
        <v>650</v>
      </c>
      <c r="T44" s="3" t="s">
        <v>650</v>
      </c>
      <c r="U44" s="3" t="s">
        <v>1380</v>
      </c>
      <c r="V44" s="3" t="s">
        <v>700</v>
      </c>
      <c r="W44" s="3"/>
      <c r="X44" s="3"/>
      <c r="Y44" s="3" t="s">
        <v>2001</v>
      </c>
    </row>
    <row r="45" spans="1:25" ht="60" customHeight="1" x14ac:dyDescent="0.2">
      <c r="A45" s="3" t="s">
        <v>4363</v>
      </c>
      <c r="B45" s="3" t="s">
        <v>4364</v>
      </c>
      <c r="C45" s="3" t="s">
        <v>4365</v>
      </c>
      <c r="D45" s="3">
        <v>148</v>
      </c>
      <c r="E45" s="3" t="s">
        <v>4003</v>
      </c>
      <c r="F45" s="3" t="s">
        <v>4366</v>
      </c>
      <c r="G45" s="11" t="s">
        <v>4367</v>
      </c>
      <c r="H45" s="3" t="s">
        <v>4368</v>
      </c>
      <c r="I45" s="3" t="s">
        <v>3996</v>
      </c>
      <c r="J45" s="3" t="s">
        <v>4164</v>
      </c>
      <c r="K45" s="3" t="s">
        <v>4028</v>
      </c>
      <c r="L45" s="3" t="s">
        <v>4020</v>
      </c>
      <c r="M45" s="3" t="s">
        <v>4369</v>
      </c>
      <c r="N45" s="3" t="s">
        <v>3535</v>
      </c>
      <c r="O45" s="3" t="s">
        <v>4370</v>
      </c>
      <c r="P45" s="3">
        <v>2</v>
      </c>
      <c r="Q45" s="3" t="s">
        <v>4370</v>
      </c>
      <c r="R45" s="3" t="s">
        <v>4371</v>
      </c>
      <c r="S45" s="3" t="s">
        <v>650</v>
      </c>
      <c r="T45" s="3" t="s">
        <v>650</v>
      </c>
      <c r="U45" s="3" t="s">
        <v>1380</v>
      </c>
      <c r="V45" s="3" t="s">
        <v>700</v>
      </c>
      <c r="W45" s="3"/>
      <c r="X45" s="3"/>
      <c r="Y45" s="3" t="s">
        <v>2001</v>
      </c>
    </row>
    <row r="46" spans="1:25" ht="60" customHeight="1" x14ac:dyDescent="0.2">
      <c r="A46" s="3" t="s">
        <v>4372</v>
      </c>
      <c r="B46" s="3" t="s">
        <v>4373</v>
      </c>
      <c r="C46" s="3" t="s">
        <v>4374</v>
      </c>
      <c r="D46" s="3">
        <v>58</v>
      </c>
      <c r="E46" s="3" t="s">
        <v>3992</v>
      </c>
      <c r="F46" s="3" t="s">
        <v>4375</v>
      </c>
      <c r="G46" s="11" t="s">
        <v>4376</v>
      </c>
      <c r="H46" s="3" t="s">
        <v>4377</v>
      </c>
      <c r="I46" s="3" t="s">
        <v>4018</v>
      </c>
      <c r="J46" s="3" t="s">
        <v>4378</v>
      </c>
      <c r="K46" s="3" t="s">
        <v>4008</v>
      </c>
      <c r="L46" s="3" t="s">
        <v>650</v>
      </c>
      <c r="M46" s="3" t="s">
        <v>4379</v>
      </c>
      <c r="N46" s="3" t="s">
        <v>3535</v>
      </c>
      <c r="O46" s="3" t="s">
        <v>4380</v>
      </c>
      <c r="P46" s="3">
        <v>1</v>
      </c>
      <c r="Q46" s="3" t="s">
        <v>4380</v>
      </c>
      <c r="R46" s="3" t="s">
        <v>4381</v>
      </c>
      <c r="S46" s="3" t="s">
        <v>650</v>
      </c>
      <c r="T46" s="3" t="s">
        <v>650</v>
      </c>
      <c r="U46" s="3" t="s">
        <v>1380</v>
      </c>
      <c r="V46" s="3" t="s">
        <v>700</v>
      </c>
      <c r="W46" s="3"/>
      <c r="X46" s="3"/>
      <c r="Y46" s="3" t="s">
        <v>2001</v>
      </c>
    </row>
    <row r="47" spans="1:25" ht="45" customHeight="1" x14ac:dyDescent="0.2">
      <c r="A47" s="3" t="s">
        <v>4382</v>
      </c>
      <c r="B47" s="3" t="s">
        <v>4383</v>
      </c>
      <c r="C47" s="3" t="s">
        <v>4374</v>
      </c>
      <c r="D47" s="3">
        <v>83</v>
      </c>
      <c r="E47" s="3" t="s">
        <v>3992</v>
      </c>
      <c r="F47" s="3" t="s">
        <v>4384</v>
      </c>
      <c r="G47" s="11" t="s">
        <v>4385</v>
      </c>
      <c r="H47" s="3" t="s">
        <v>4386</v>
      </c>
      <c r="I47" s="3" t="s">
        <v>4018</v>
      </c>
      <c r="J47" s="3" t="s">
        <v>4387</v>
      </c>
      <c r="K47" s="3" t="s">
        <v>4008</v>
      </c>
      <c r="L47" s="3" t="s">
        <v>650</v>
      </c>
      <c r="M47" s="3" t="s">
        <v>4010</v>
      </c>
      <c r="N47" s="3" t="s">
        <v>3535</v>
      </c>
      <c r="O47" s="3" t="s">
        <v>4388</v>
      </c>
      <c r="P47" s="3">
        <v>2</v>
      </c>
      <c r="Q47" s="3" t="s">
        <v>4389</v>
      </c>
      <c r="R47" s="3" t="s">
        <v>4390</v>
      </c>
      <c r="S47" s="3" t="s">
        <v>650</v>
      </c>
      <c r="T47" s="3" t="s">
        <v>650</v>
      </c>
      <c r="U47" s="3" t="s">
        <v>1380</v>
      </c>
      <c r="V47" s="3" t="s">
        <v>700</v>
      </c>
      <c r="W47" s="3"/>
      <c r="X47" s="3"/>
      <c r="Y47" s="3" t="s">
        <v>2001</v>
      </c>
    </row>
    <row r="48" spans="1:25" ht="60" customHeight="1" x14ac:dyDescent="0.2">
      <c r="A48" s="3" t="s">
        <v>4391</v>
      </c>
      <c r="B48" s="3" t="s">
        <v>4392</v>
      </c>
      <c r="C48" s="3" t="s">
        <v>4374</v>
      </c>
      <c r="D48" s="3">
        <v>110</v>
      </c>
      <c r="E48" s="3" t="s">
        <v>3992</v>
      </c>
      <c r="F48" s="3" t="s">
        <v>4110</v>
      </c>
      <c r="G48" s="11" t="s">
        <v>4393</v>
      </c>
      <c r="H48" s="3" t="s">
        <v>4394</v>
      </c>
      <c r="I48" s="3" t="s">
        <v>3996</v>
      </c>
      <c r="J48" s="3" t="s">
        <v>4387</v>
      </c>
      <c r="K48" s="3" t="s">
        <v>4008</v>
      </c>
      <c r="L48" s="3" t="s">
        <v>650</v>
      </c>
      <c r="M48" s="3" t="s">
        <v>4395</v>
      </c>
      <c r="N48" s="3" t="s">
        <v>3535</v>
      </c>
      <c r="O48" s="3" t="s">
        <v>4396</v>
      </c>
      <c r="P48" s="3">
        <v>5</v>
      </c>
      <c r="Q48" s="3" t="s">
        <v>4397</v>
      </c>
      <c r="R48" s="3" t="s">
        <v>4398</v>
      </c>
      <c r="S48" s="3" t="s">
        <v>650</v>
      </c>
      <c r="T48" s="3" t="s">
        <v>650</v>
      </c>
      <c r="U48" s="3" t="s">
        <v>1380</v>
      </c>
      <c r="V48" s="3" t="s">
        <v>700</v>
      </c>
      <c r="W48" s="3"/>
      <c r="X48" s="3"/>
      <c r="Y48" s="3" t="s">
        <v>2001</v>
      </c>
    </row>
    <row r="49" spans="1:25" ht="60" customHeight="1" x14ac:dyDescent="0.2">
      <c r="A49" s="3" t="s">
        <v>4399</v>
      </c>
      <c r="B49" s="3" t="s">
        <v>4400</v>
      </c>
      <c r="C49" s="3" t="s">
        <v>4374</v>
      </c>
      <c r="D49" s="3">
        <v>144</v>
      </c>
      <c r="E49" s="3" t="s">
        <v>3992</v>
      </c>
      <c r="F49" s="3" t="s">
        <v>4110</v>
      </c>
      <c r="G49" s="11" t="s">
        <v>4401</v>
      </c>
      <c r="H49" s="3" t="s">
        <v>4402</v>
      </c>
      <c r="I49" s="3" t="s">
        <v>4018</v>
      </c>
      <c r="J49" s="3" t="s">
        <v>4403</v>
      </c>
      <c r="K49" s="3" t="s">
        <v>4008</v>
      </c>
      <c r="L49" s="3" t="s">
        <v>650</v>
      </c>
      <c r="M49" s="3" t="s">
        <v>4404</v>
      </c>
      <c r="N49" s="3" t="s">
        <v>3535</v>
      </c>
      <c r="O49" s="3" t="s">
        <v>4396</v>
      </c>
      <c r="P49" s="3">
        <v>5</v>
      </c>
      <c r="Q49" s="3" t="s">
        <v>4397</v>
      </c>
      <c r="R49" s="3" t="s">
        <v>4405</v>
      </c>
      <c r="S49" s="3" t="s">
        <v>650</v>
      </c>
      <c r="T49" s="3" t="s">
        <v>650</v>
      </c>
      <c r="U49" s="3" t="s">
        <v>1380</v>
      </c>
      <c r="V49" s="3" t="s">
        <v>700</v>
      </c>
      <c r="W49" s="3"/>
      <c r="X49" s="3"/>
      <c r="Y49" s="3" t="s">
        <v>2001</v>
      </c>
    </row>
    <row r="50" spans="1:25" ht="60" customHeight="1" x14ac:dyDescent="0.2">
      <c r="A50" s="3" t="s">
        <v>4406</v>
      </c>
      <c r="B50" s="3" t="s">
        <v>4407</v>
      </c>
      <c r="C50" s="3" t="s">
        <v>4374</v>
      </c>
      <c r="D50" s="3">
        <v>228</v>
      </c>
      <c r="E50" s="3" t="s">
        <v>4003</v>
      </c>
      <c r="F50" s="3" t="s">
        <v>4110</v>
      </c>
      <c r="G50" s="11" t="s">
        <v>4408</v>
      </c>
      <c r="H50" s="3" t="s">
        <v>4409</v>
      </c>
      <c r="I50" s="3" t="s">
        <v>4018</v>
      </c>
      <c r="J50" s="3" t="s">
        <v>4410</v>
      </c>
      <c r="K50" s="3" t="s">
        <v>4411</v>
      </c>
      <c r="L50" s="3" t="s">
        <v>4020</v>
      </c>
      <c r="M50" s="3" t="s">
        <v>4010</v>
      </c>
      <c r="N50" s="3" t="s">
        <v>3535</v>
      </c>
      <c r="O50" s="3" t="s">
        <v>4412</v>
      </c>
      <c r="P50" s="3">
        <v>15</v>
      </c>
      <c r="Q50" s="3" t="s">
        <v>4413</v>
      </c>
      <c r="R50" s="3" t="s">
        <v>4414</v>
      </c>
      <c r="S50" s="3" t="s">
        <v>650</v>
      </c>
      <c r="T50" s="3" t="s">
        <v>650</v>
      </c>
      <c r="U50" s="3" t="s">
        <v>1380</v>
      </c>
      <c r="V50" s="3" t="s">
        <v>700</v>
      </c>
      <c r="W50" s="3"/>
      <c r="X50" s="3"/>
      <c r="Y50" s="3" t="s">
        <v>2001</v>
      </c>
    </row>
    <row r="51" spans="1:25" ht="60" customHeight="1" x14ac:dyDescent="0.2">
      <c r="A51" s="3" t="s">
        <v>4415</v>
      </c>
      <c r="B51" s="3" t="s">
        <v>4416</v>
      </c>
      <c r="C51" s="3" t="s">
        <v>4417</v>
      </c>
      <c r="D51" s="3">
        <v>37</v>
      </c>
      <c r="E51" s="3" t="s">
        <v>4129</v>
      </c>
      <c r="F51" s="3" t="s">
        <v>4110</v>
      </c>
      <c r="G51" s="11" t="s">
        <v>4418</v>
      </c>
      <c r="H51" s="3" t="s">
        <v>4419</v>
      </c>
      <c r="I51" s="3" t="s">
        <v>4018</v>
      </c>
      <c r="J51" s="3" t="s">
        <v>4132</v>
      </c>
      <c r="K51" s="3" t="s">
        <v>4420</v>
      </c>
      <c r="L51" s="3" t="s">
        <v>650</v>
      </c>
      <c r="M51" s="3" t="s">
        <v>4010</v>
      </c>
      <c r="N51" s="3" t="s">
        <v>3419</v>
      </c>
      <c r="O51" s="3" t="s">
        <v>4000</v>
      </c>
      <c r="P51" s="3">
        <v>80</v>
      </c>
      <c r="Q51" s="3" t="s">
        <v>4001</v>
      </c>
      <c r="R51" s="3" t="s">
        <v>4421</v>
      </c>
      <c r="S51" s="3" t="s">
        <v>650</v>
      </c>
      <c r="T51" s="3" t="s">
        <v>650</v>
      </c>
      <c r="U51" s="3" t="s">
        <v>1380</v>
      </c>
      <c r="V51" s="3" t="s">
        <v>700</v>
      </c>
      <c r="W51" s="3"/>
      <c r="X51" s="3"/>
      <c r="Y51" s="3" t="s">
        <v>2001</v>
      </c>
    </row>
    <row r="52" spans="1:25" ht="60" customHeight="1" x14ac:dyDescent="0.2">
      <c r="A52" s="3" t="s">
        <v>4422</v>
      </c>
      <c r="B52" s="3" t="s">
        <v>4423</v>
      </c>
      <c r="C52" s="3" t="s">
        <v>4417</v>
      </c>
      <c r="D52" s="3">
        <v>56</v>
      </c>
      <c r="E52" s="3" t="s">
        <v>4136</v>
      </c>
      <c r="F52" s="3" t="s">
        <v>4110</v>
      </c>
      <c r="G52" s="11" t="s">
        <v>4137</v>
      </c>
      <c r="H52" s="3" t="s">
        <v>4137</v>
      </c>
      <c r="I52" s="3" t="s">
        <v>4131</v>
      </c>
      <c r="J52" s="3" t="s">
        <v>4424</v>
      </c>
      <c r="K52" s="3" t="s">
        <v>4425</v>
      </c>
      <c r="L52" s="3" t="s">
        <v>650</v>
      </c>
      <c r="M52" s="3" t="s">
        <v>4010</v>
      </c>
      <c r="N52" s="3" t="s">
        <v>3535</v>
      </c>
      <c r="O52" s="3" t="s">
        <v>4344</v>
      </c>
      <c r="P52" s="3">
        <v>82</v>
      </c>
      <c r="Q52" s="3" t="s">
        <v>4345</v>
      </c>
      <c r="R52" s="3" t="s">
        <v>4426</v>
      </c>
      <c r="S52" s="3" t="s">
        <v>650</v>
      </c>
      <c r="T52" s="3" t="s">
        <v>650</v>
      </c>
      <c r="U52" s="3" t="s">
        <v>1380</v>
      </c>
      <c r="V52" s="3" t="s">
        <v>700</v>
      </c>
      <c r="W52" s="3"/>
      <c r="X52" s="3"/>
      <c r="Y52" s="3" t="s">
        <v>2001</v>
      </c>
    </row>
    <row r="53" spans="1:25" ht="60" customHeight="1" x14ac:dyDescent="0.2">
      <c r="A53" s="3" t="s">
        <v>4427</v>
      </c>
      <c r="B53" s="3" t="s">
        <v>4428</v>
      </c>
      <c r="C53" s="3" t="s">
        <v>4417</v>
      </c>
      <c r="D53" s="3">
        <v>79</v>
      </c>
      <c r="E53" s="3" t="s">
        <v>4129</v>
      </c>
      <c r="F53" s="3" t="s">
        <v>4429</v>
      </c>
      <c r="G53" s="11" t="s">
        <v>4430</v>
      </c>
      <c r="H53" s="3" t="s">
        <v>4431</v>
      </c>
      <c r="I53" s="3" t="s">
        <v>3996</v>
      </c>
      <c r="J53" s="3" t="s">
        <v>4132</v>
      </c>
      <c r="K53" s="3" t="s">
        <v>4432</v>
      </c>
      <c r="L53" s="3" t="s">
        <v>650</v>
      </c>
      <c r="M53" s="3" t="s">
        <v>4010</v>
      </c>
      <c r="N53" s="3" t="s">
        <v>3419</v>
      </c>
      <c r="O53" s="3" t="s">
        <v>4433</v>
      </c>
      <c r="P53" s="3">
        <v>91</v>
      </c>
      <c r="Q53" s="3" t="s">
        <v>4434</v>
      </c>
      <c r="R53" s="3" t="s">
        <v>4435</v>
      </c>
      <c r="S53" s="3" t="s">
        <v>650</v>
      </c>
      <c r="T53" s="3" t="s">
        <v>650</v>
      </c>
      <c r="U53" s="3" t="s">
        <v>1380</v>
      </c>
      <c r="V53" s="3" t="s">
        <v>700</v>
      </c>
      <c r="W53" s="3"/>
      <c r="X53" s="3"/>
      <c r="Y53" s="3" t="s">
        <v>2001</v>
      </c>
    </row>
    <row r="54" spans="1:25" ht="60" customHeight="1" x14ac:dyDescent="0.2">
      <c r="A54" s="3" t="s">
        <v>4436</v>
      </c>
      <c r="B54" s="3" t="s">
        <v>4437</v>
      </c>
      <c r="C54" s="3" t="s">
        <v>4438</v>
      </c>
      <c r="D54" s="3">
        <v>130</v>
      </c>
      <c r="E54" s="3" t="s">
        <v>4003</v>
      </c>
      <c r="F54" s="3" t="s">
        <v>4439</v>
      </c>
      <c r="G54" s="11" t="s">
        <v>4440</v>
      </c>
      <c r="H54" s="3" t="s">
        <v>4441</v>
      </c>
      <c r="I54" s="3" t="s">
        <v>4018</v>
      </c>
      <c r="J54" s="3" t="s">
        <v>4442</v>
      </c>
      <c r="K54" s="3" t="s">
        <v>4008</v>
      </c>
      <c r="L54" s="3" t="s">
        <v>4443</v>
      </c>
      <c r="M54" s="3" t="s">
        <v>4444</v>
      </c>
      <c r="N54" s="3" t="s">
        <v>3535</v>
      </c>
      <c r="O54" s="3" t="s">
        <v>650</v>
      </c>
      <c r="P54" s="3">
        <v>0</v>
      </c>
      <c r="Q54" s="3" t="s">
        <v>4052</v>
      </c>
      <c r="R54" s="3" t="s">
        <v>1499</v>
      </c>
      <c r="S54" s="3" t="s">
        <v>650</v>
      </c>
      <c r="T54" s="3" t="s">
        <v>650</v>
      </c>
      <c r="U54" s="3" t="s">
        <v>1380</v>
      </c>
      <c r="V54" s="3" t="s">
        <v>4445</v>
      </c>
      <c r="W54" s="3"/>
      <c r="X54" s="3"/>
      <c r="Y54" s="6" t="s">
        <v>4446</v>
      </c>
    </row>
    <row r="55" spans="1:25" ht="60" customHeight="1" x14ac:dyDescent="0.2">
      <c r="A55" s="3" t="s">
        <v>4447</v>
      </c>
      <c r="B55" s="3" t="s">
        <v>4448</v>
      </c>
      <c r="C55" s="3" t="s">
        <v>4438</v>
      </c>
      <c r="D55" s="3">
        <v>155</v>
      </c>
      <c r="E55" s="3" t="s">
        <v>4003</v>
      </c>
      <c r="F55" s="3" t="s">
        <v>4110</v>
      </c>
      <c r="G55" s="11" t="s">
        <v>4449</v>
      </c>
      <c r="H55" s="3" t="s">
        <v>4450</v>
      </c>
      <c r="I55" s="3" t="s">
        <v>4018</v>
      </c>
      <c r="J55" s="3" t="s">
        <v>4442</v>
      </c>
      <c r="K55" s="3" t="s">
        <v>4008</v>
      </c>
      <c r="L55" s="3" t="s">
        <v>4451</v>
      </c>
      <c r="M55" s="3" t="s">
        <v>4452</v>
      </c>
      <c r="N55" s="3" t="s">
        <v>3535</v>
      </c>
      <c r="O55" s="3" t="s">
        <v>650</v>
      </c>
      <c r="P55" s="3">
        <v>0</v>
      </c>
      <c r="Q55" s="3" t="s">
        <v>4052</v>
      </c>
      <c r="R55" s="3" t="s">
        <v>1499</v>
      </c>
      <c r="S55" s="3" t="s">
        <v>650</v>
      </c>
      <c r="T55" s="3" t="s">
        <v>650</v>
      </c>
      <c r="U55" s="3" t="s">
        <v>1380</v>
      </c>
      <c r="V55" s="3" t="s">
        <v>700</v>
      </c>
      <c r="W55" s="3"/>
      <c r="X55" s="3"/>
      <c r="Y55" s="6" t="s">
        <v>4446</v>
      </c>
    </row>
    <row r="56" spans="1:25" ht="60" customHeight="1" x14ac:dyDescent="0.2">
      <c r="A56" s="3" t="s">
        <v>4453</v>
      </c>
      <c r="B56" s="3" t="s">
        <v>4454</v>
      </c>
      <c r="C56" s="3" t="s">
        <v>4438</v>
      </c>
      <c r="D56" s="3">
        <v>180</v>
      </c>
      <c r="E56" s="3" t="s">
        <v>4003</v>
      </c>
      <c r="F56" s="3" t="s">
        <v>4455</v>
      </c>
      <c r="G56" s="11" t="s">
        <v>4456</v>
      </c>
      <c r="H56" s="3" t="s">
        <v>4457</v>
      </c>
      <c r="I56" s="3" t="s">
        <v>4290</v>
      </c>
      <c r="J56" s="3" t="s">
        <v>4458</v>
      </c>
      <c r="K56" s="3" t="s">
        <v>4008</v>
      </c>
      <c r="L56" s="3" t="s">
        <v>4020</v>
      </c>
      <c r="M56" s="3" t="s">
        <v>4459</v>
      </c>
      <c r="N56" s="3" t="s">
        <v>3535</v>
      </c>
      <c r="O56" s="3" t="s">
        <v>650</v>
      </c>
      <c r="P56" s="3">
        <v>0</v>
      </c>
      <c r="Q56" s="3" t="s">
        <v>4052</v>
      </c>
      <c r="R56" s="3" t="s">
        <v>1499</v>
      </c>
      <c r="S56" s="3" t="s">
        <v>650</v>
      </c>
      <c r="T56" s="3" t="s">
        <v>650</v>
      </c>
      <c r="U56" s="3" t="s">
        <v>1380</v>
      </c>
      <c r="V56" s="3" t="s">
        <v>428</v>
      </c>
      <c r="W56" s="3"/>
      <c r="X56" s="3"/>
      <c r="Y56" s="6" t="s">
        <v>4460</v>
      </c>
    </row>
    <row r="57" spans="1:25" ht="60" customHeight="1" x14ac:dyDescent="0.2">
      <c r="A57" s="3" t="s">
        <v>4461</v>
      </c>
      <c r="B57" s="3" t="s">
        <v>4462</v>
      </c>
      <c r="C57" s="3" t="s">
        <v>4438</v>
      </c>
      <c r="D57" s="3">
        <v>211</v>
      </c>
      <c r="E57" s="3" t="s">
        <v>4003</v>
      </c>
      <c r="F57" s="3" t="s">
        <v>4463</v>
      </c>
      <c r="G57" s="11" t="s">
        <v>4464</v>
      </c>
      <c r="H57" s="3" t="s">
        <v>4465</v>
      </c>
      <c r="I57" s="3" t="s">
        <v>4018</v>
      </c>
      <c r="J57" s="3" t="s">
        <v>4466</v>
      </c>
      <c r="K57" s="3" t="s">
        <v>4467</v>
      </c>
      <c r="L57" s="3" t="s">
        <v>4451</v>
      </c>
      <c r="M57" s="3" t="s">
        <v>4468</v>
      </c>
      <c r="N57" s="3" t="s">
        <v>3535</v>
      </c>
      <c r="O57" s="3" t="s">
        <v>4469</v>
      </c>
      <c r="P57" s="3">
        <v>1</v>
      </c>
      <c r="Q57" s="3" t="s">
        <v>4469</v>
      </c>
      <c r="R57" s="3" t="s">
        <v>4470</v>
      </c>
      <c r="S57" s="3" t="s">
        <v>650</v>
      </c>
      <c r="T57" s="3" t="s">
        <v>650</v>
      </c>
      <c r="U57" s="3" t="s">
        <v>1380</v>
      </c>
      <c r="V57" s="3" t="s">
        <v>505</v>
      </c>
      <c r="W57" s="3"/>
      <c r="X57" s="3"/>
      <c r="Y57" s="3" t="s">
        <v>2001</v>
      </c>
    </row>
    <row r="58" spans="1:25" ht="60" customHeight="1" x14ac:dyDescent="0.2">
      <c r="A58" s="3" t="s">
        <v>4471</v>
      </c>
      <c r="B58" s="3" t="s">
        <v>4472</v>
      </c>
      <c r="C58" s="3" t="s">
        <v>4438</v>
      </c>
      <c r="D58" s="3">
        <v>235</v>
      </c>
      <c r="E58" s="3" t="s">
        <v>4003</v>
      </c>
      <c r="F58" s="3" t="s">
        <v>4473</v>
      </c>
      <c r="G58" s="11" t="s">
        <v>4474</v>
      </c>
      <c r="H58" s="3" t="s">
        <v>4475</v>
      </c>
      <c r="I58" s="3" t="s">
        <v>4290</v>
      </c>
      <c r="J58" s="3" t="s">
        <v>4476</v>
      </c>
      <c r="K58" s="3" t="s">
        <v>4028</v>
      </c>
      <c r="L58" s="3" t="s">
        <v>4020</v>
      </c>
      <c r="M58" s="3" t="s">
        <v>4010</v>
      </c>
      <c r="N58" s="3" t="s">
        <v>3535</v>
      </c>
      <c r="O58" s="3" t="s">
        <v>650</v>
      </c>
      <c r="P58" s="3">
        <v>0</v>
      </c>
      <c r="Q58" s="3" t="s">
        <v>4052</v>
      </c>
      <c r="R58" s="3" t="s">
        <v>1499</v>
      </c>
      <c r="S58" s="3" t="s">
        <v>650</v>
      </c>
      <c r="T58" s="3" t="s">
        <v>650</v>
      </c>
      <c r="U58" s="3" t="s">
        <v>1380</v>
      </c>
      <c r="V58" s="3" t="s">
        <v>428</v>
      </c>
      <c r="W58" s="3"/>
      <c r="X58" s="3"/>
      <c r="Y58" s="6" t="s">
        <v>4477</v>
      </c>
    </row>
    <row r="59" spans="1:25" ht="60" customHeight="1" x14ac:dyDescent="0.2">
      <c r="A59" s="3" t="s">
        <v>4478</v>
      </c>
      <c r="B59" s="3" t="s">
        <v>4479</v>
      </c>
      <c r="C59" s="3" t="s">
        <v>4438</v>
      </c>
      <c r="D59" s="3">
        <v>259</v>
      </c>
      <c r="E59" s="3" t="s">
        <v>4003</v>
      </c>
      <c r="F59" s="3" t="s">
        <v>4480</v>
      </c>
      <c r="G59" s="11" t="s">
        <v>4481</v>
      </c>
      <c r="H59" s="3" t="s">
        <v>4482</v>
      </c>
      <c r="I59" s="3" t="s">
        <v>4018</v>
      </c>
      <c r="J59" s="3" t="s">
        <v>4483</v>
      </c>
      <c r="K59" s="3" t="s">
        <v>4484</v>
      </c>
      <c r="L59" s="3" t="s">
        <v>4485</v>
      </c>
      <c r="M59" s="3" t="s">
        <v>4010</v>
      </c>
      <c r="N59" s="3" t="s">
        <v>3535</v>
      </c>
      <c r="O59" s="3" t="s">
        <v>650</v>
      </c>
      <c r="P59" s="3">
        <v>0</v>
      </c>
      <c r="Q59" s="3" t="s">
        <v>4052</v>
      </c>
      <c r="R59" s="3" t="s">
        <v>1499</v>
      </c>
      <c r="S59" s="3" t="s">
        <v>650</v>
      </c>
      <c r="T59" s="3" t="s">
        <v>650</v>
      </c>
      <c r="U59" s="3" t="s">
        <v>1380</v>
      </c>
      <c r="V59" s="3" t="s">
        <v>700</v>
      </c>
      <c r="W59" s="3"/>
      <c r="X59" s="3"/>
      <c r="Y59" s="3" t="s">
        <v>2001</v>
      </c>
    </row>
    <row r="60" spans="1:25" ht="60" customHeight="1" x14ac:dyDescent="0.2">
      <c r="A60" s="3" t="s">
        <v>4486</v>
      </c>
      <c r="B60" s="3" t="s">
        <v>4487</v>
      </c>
      <c r="C60" s="3" t="s">
        <v>4488</v>
      </c>
      <c r="D60" s="3">
        <v>44</v>
      </c>
      <c r="E60" s="3" t="s">
        <v>4129</v>
      </c>
      <c r="F60" s="3" t="s">
        <v>4489</v>
      </c>
      <c r="G60" s="11" t="s">
        <v>4490</v>
      </c>
      <c r="H60" s="3" t="s">
        <v>4491</v>
      </c>
      <c r="I60" s="3" t="s">
        <v>4018</v>
      </c>
      <c r="J60" s="3" t="s">
        <v>4007</v>
      </c>
      <c r="K60" s="3" t="s">
        <v>4008</v>
      </c>
      <c r="L60" s="3" t="s">
        <v>650</v>
      </c>
      <c r="M60" s="3" t="s">
        <v>4010</v>
      </c>
      <c r="N60" s="3" t="s">
        <v>3419</v>
      </c>
      <c r="O60" s="3" t="s">
        <v>4057</v>
      </c>
      <c r="P60" s="3">
        <v>2</v>
      </c>
      <c r="Q60" s="3" t="s">
        <v>4058</v>
      </c>
      <c r="R60" s="3" t="s">
        <v>4492</v>
      </c>
      <c r="S60" s="3" t="s">
        <v>650</v>
      </c>
      <c r="T60" s="3" t="s">
        <v>650</v>
      </c>
      <c r="U60" s="3" t="s">
        <v>1380</v>
      </c>
      <c r="V60" s="3" t="s">
        <v>700</v>
      </c>
      <c r="W60" s="3"/>
      <c r="X60" s="3"/>
      <c r="Y60" s="3" t="s">
        <v>2001</v>
      </c>
    </row>
    <row r="61" spans="1:25" ht="60" customHeight="1" x14ac:dyDescent="0.2">
      <c r="A61" s="3" t="s">
        <v>4493</v>
      </c>
      <c r="B61" s="3" t="s">
        <v>4494</v>
      </c>
      <c r="C61" s="3" t="s">
        <v>4488</v>
      </c>
      <c r="D61" s="3">
        <v>129</v>
      </c>
      <c r="E61" s="3" t="s">
        <v>3992</v>
      </c>
      <c r="F61" s="3" t="s">
        <v>4495</v>
      </c>
      <c r="G61" s="11" t="s">
        <v>4496</v>
      </c>
      <c r="H61" s="3" t="s">
        <v>4497</v>
      </c>
      <c r="I61" s="3" t="s">
        <v>3996</v>
      </c>
      <c r="J61" s="3" t="s">
        <v>4007</v>
      </c>
      <c r="K61" s="3" t="s">
        <v>4066</v>
      </c>
      <c r="L61" s="3" t="s">
        <v>650</v>
      </c>
      <c r="M61" s="3" t="s">
        <v>4010</v>
      </c>
      <c r="N61" s="3" t="s">
        <v>3535</v>
      </c>
      <c r="O61" s="3" t="s">
        <v>4498</v>
      </c>
      <c r="P61" s="3">
        <v>13</v>
      </c>
      <c r="Q61" s="3" t="s">
        <v>4499</v>
      </c>
      <c r="R61" s="3" t="s">
        <v>4500</v>
      </c>
      <c r="S61" s="3" t="s">
        <v>650</v>
      </c>
      <c r="T61" s="3" t="s">
        <v>4501</v>
      </c>
      <c r="U61" s="3" t="s">
        <v>1380</v>
      </c>
      <c r="V61" s="3" t="s">
        <v>700</v>
      </c>
      <c r="W61" s="3"/>
      <c r="X61" s="3"/>
      <c r="Y61" s="3" t="s">
        <v>2001</v>
      </c>
    </row>
    <row r="62" spans="1:25" ht="60" customHeight="1" x14ac:dyDescent="0.2">
      <c r="A62" s="3" t="s">
        <v>4502</v>
      </c>
      <c r="B62" s="3" t="s">
        <v>4503</v>
      </c>
      <c r="C62" s="3" t="s">
        <v>4488</v>
      </c>
      <c r="D62" s="3">
        <v>213</v>
      </c>
      <c r="E62" s="3" t="s">
        <v>3992</v>
      </c>
      <c r="F62" s="3" t="s">
        <v>4504</v>
      </c>
      <c r="G62" s="11" t="s">
        <v>4505</v>
      </c>
      <c r="H62" s="3" t="s">
        <v>4506</v>
      </c>
      <c r="I62" s="3" t="s">
        <v>4018</v>
      </c>
      <c r="J62" s="3" t="s">
        <v>4007</v>
      </c>
      <c r="K62" s="3" t="s">
        <v>4008</v>
      </c>
      <c r="L62" s="3" t="s">
        <v>650</v>
      </c>
      <c r="M62" s="3" t="s">
        <v>4010</v>
      </c>
      <c r="N62" s="3" t="s">
        <v>3535</v>
      </c>
      <c r="O62" s="3" t="s">
        <v>4507</v>
      </c>
      <c r="P62" s="3">
        <v>14</v>
      </c>
      <c r="Q62" s="3" t="s">
        <v>4508</v>
      </c>
      <c r="R62" s="3" t="s">
        <v>4509</v>
      </c>
      <c r="S62" s="3" t="s">
        <v>650</v>
      </c>
      <c r="T62" s="3" t="s">
        <v>650</v>
      </c>
      <c r="U62" s="3" t="s">
        <v>1380</v>
      </c>
      <c r="V62" s="3" t="s">
        <v>700</v>
      </c>
      <c r="W62" s="3"/>
      <c r="X62" s="3"/>
      <c r="Y62" s="3" t="s">
        <v>2001</v>
      </c>
    </row>
    <row r="63" spans="1:25" ht="60" customHeight="1" x14ac:dyDescent="0.2">
      <c r="A63" s="3" t="s">
        <v>4510</v>
      </c>
      <c r="B63" s="3" t="s">
        <v>4511</v>
      </c>
      <c r="C63" s="3" t="s">
        <v>4488</v>
      </c>
      <c r="D63" s="3">
        <v>252</v>
      </c>
      <c r="E63" s="3" t="s">
        <v>3992</v>
      </c>
      <c r="F63" s="3" t="s">
        <v>4512</v>
      </c>
      <c r="G63" s="11" t="s">
        <v>4513</v>
      </c>
      <c r="H63" s="3" t="s">
        <v>4514</v>
      </c>
      <c r="I63" s="3" t="s">
        <v>4018</v>
      </c>
      <c r="J63" s="3" t="s">
        <v>4515</v>
      </c>
      <c r="K63" s="3" t="s">
        <v>4008</v>
      </c>
      <c r="L63" s="3" t="s">
        <v>650</v>
      </c>
      <c r="M63" s="3" t="s">
        <v>4010</v>
      </c>
      <c r="N63" s="3" t="s">
        <v>3535</v>
      </c>
      <c r="O63" s="3" t="s">
        <v>4057</v>
      </c>
      <c r="P63" s="3">
        <v>2</v>
      </c>
      <c r="Q63" s="3" t="s">
        <v>4058</v>
      </c>
      <c r="R63" s="3" t="s">
        <v>4516</v>
      </c>
      <c r="S63" s="3" t="s">
        <v>650</v>
      </c>
      <c r="T63" s="3" t="s">
        <v>4517</v>
      </c>
      <c r="U63" s="3" t="s">
        <v>1380</v>
      </c>
      <c r="V63" s="3" t="s">
        <v>700</v>
      </c>
      <c r="W63" s="3"/>
      <c r="X63" s="3"/>
      <c r="Y63" s="3" t="s">
        <v>2001</v>
      </c>
    </row>
    <row r="64" spans="1:25" ht="60" customHeight="1" x14ac:dyDescent="0.2">
      <c r="A64" s="3" t="s">
        <v>4518</v>
      </c>
      <c r="B64" s="3" t="s">
        <v>4519</v>
      </c>
      <c r="C64" s="3" t="s">
        <v>4488</v>
      </c>
      <c r="D64" s="3">
        <v>291</v>
      </c>
      <c r="E64" s="3" t="s">
        <v>3992</v>
      </c>
      <c r="F64" s="3" t="s">
        <v>4520</v>
      </c>
      <c r="G64" s="11" t="s">
        <v>4521</v>
      </c>
      <c r="H64" s="3" t="s">
        <v>4522</v>
      </c>
      <c r="I64" s="3" t="s">
        <v>3996</v>
      </c>
      <c r="J64" s="3" t="s">
        <v>4523</v>
      </c>
      <c r="K64" s="3" t="s">
        <v>4008</v>
      </c>
      <c r="L64" s="3" t="s">
        <v>650</v>
      </c>
      <c r="M64" s="3" t="s">
        <v>4124</v>
      </c>
      <c r="N64" s="3" t="s">
        <v>3535</v>
      </c>
      <c r="O64" s="3" t="s">
        <v>650</v>
      </c>
      <c r="P64" s="3">
        <v>0</v>
      </c>
      <c r="Q64" s="3" t="s">
        <v>4052</v>
      </c>
      <c r="R64" s="3" t="s">
        <v>1499</v>
      </c>
      <c r="S64" s="3" t="s">
        <v>650</v>
      </c>
      <c r="T64" s="3" t="s">
        <v>4524</v>
      </c>
      <c r="U64" s="3" t="s">
        <v>1380</v>
      </c>
      <c r="V64" s="3" t="s">
        <v>700</v>
      </c>
      <c r="W64" s="3"/>
      <c r="X64" s="3"/>
      <c r="Y64" s="3" t="s">
        <v>2001</v>
      </c>
    </row>
    <row r="65" spans="1:25" ht="60" customHeight="1" x14ac:dyDescent="0.2">
      <c r="A65" s="3" t="s">
        <v>4525</v>
      </c>
      <c r="B65" s="3" t="s">
        <v>4526</v>
      </c>
      <c r="C65" s="3" t="s">
        <v>4488</v>
      </c>
      <c r="D65" s="3">
        <v>318</v>
      </c>
      <c r="E65" s="3" t="s">
        <v>4003</v>
      </c>
      <c r="F65" s="3" t="s">
        <v>4527</v>
      </c>
      <c r="G65" s="11" t="s">
        <v>4528</v>
      </c>
      <c r="H65" s="3" t="s">
        <v>4529</v>
      </c>
      <c r="I65" s="3" t="s">
        <v>3996</v>
      </c>
      <c r="J65" s="3" t="s">
        <v>4007</v>
      </c>
      <c r="K65" s="3" t="s">
        <v>4028</v>
      </c>
      <c r="L65" s="3" t="s">
        <v>4530</v>
      </c>
      <c r="M65" s="3" t="s">
        <v>4010</v>
      </c>
      <c r="N65" s="3" t="s">
        <v>3535</v>
      </c>
      <c r="O65" s="3" t="s">
        <v>4531</v>
      </c>
      <c r="P65" s="3">
        <v>5</v>
      </c>
      <c r="Q65" s="3" t="s">
        <v>4532</v>
      </c>
      <c r="R65" s="3" t="s">
        <v>4533</v>
      </c>
      <c r="S65" s="3" t="s">
        <v>650</v>
      </c>
      <c r="T65" s="3" t="s">
        <v>650</v>
      </c>
      <c r="U65" s="3" t="s">
        <v>1380</v>
      </c>
      <c r="V65" s="3" t="s">
        <v>700</v>
      </c>
      <c r="W65" s="3"/>
      <c r="X65" s="3"/>
      <c r="Y65" s="3" t="s">
        <v>2001</v>
      </c>
    </row>
    <row r="66" spans="1:25" ht="60" customHeight="1" x14ac:dyDescent="0.2">
      <c r="A66" s="3" t="s">
        <v>4534</v>
      </c>
      <c r="B66" s="3" t="s">
        <v>4535</v>
      </c>
      <c r="C66" s="3" t="s">
        <v>4488</v>
      </c>
      <c r="D66" s="3">
        <v>375</v>
      </c>
      <c r="E66" s="3" t="s">
        <v>3992</v>
      </c>
      <c r="F66" s="3" t="s">
        <v>4536</v>
      </c>
      <c r="G66" s="11" t="s">
        <v>4537</v>
      </c>
      <c r="H66" s="3" t="s">
        <v>4538</v>
      </c>
      <c r="I66" s="3" t="s">
        <v>3996</v>
      </c>
      <c r="J66" s="3" t="s">
        <v>4007</v>
      </c>
      <c r="K66" s="3" t="s">
        <v>4539</v>
      </c>
      <c r="L66" s="3" t="s">
        <v>650</v>
      </c>
      <c r="M66" s="3" t="s">
        <v>4540</v>
      </c>
      <c r="N66" s="3" t="s">
        <v>3535</v>
      </c>
      <c r="O66" s="3" t="s">
        <v>4541</v>
      </c>
      <c r="P66" s="3">
        <v>4</v>
      </c>
      <c r="Q66" s="3" t="s">
        <v>4542</v>
      </c>
      <c r="R66" s="3" t="s">
        <v>4543</v>
      </c>
      <c r="S66" s="3" t="s">
        <v>650</v>
      </c>
      <c r="T66" s="3" t="s">
        <v>650</v>
      </c>
      <c r="U66" s="3" t="s">
        <v>1380</v>
      </c>
      <c r="V66" s="3" t="s">
        <v>700</v>
      </c>
      <c r="W66" s="3"/>
      <c r="X66" s="3"/>
      <c r="Y66" s="3" t="s">
        <v>2001</v>
      </c>
    </row>
    <row r="67" spans="1:25" ht="60" customHeight="1" x14ac:dyDescent="0.2">
      <c r="A67" s="3" t="s">
        <v>4544</v>
      </c>
      <c r="B67" s="3" t="s">
        <v>4545</v>
      </c>
      <c r="C67" s="3" t="s">
        <v>4488</v>
      </c>
      <c r="D67" s="3">
        <v>431</v>
      </c>
      <c r="E67" s="3" t="s">
        <v>4003</v>
      </c>
      <c r="F67" s="3" t="s">
        <v>4546</v>
      </c>
      <c r="G67" s="11" t="s">
        <v>4547</v>
      </c>
      <c r="H67" s="3" t="s">
        <v>4548</v>
      </c>
      <c r="I67" s="3" t="s">
        <v>3996</v>
      </c>
      <c r="J67" s="3" t="s">
        <v>4007</v>
      </c>
      <c r="K67" s="3" t="s">
        <v>4008</v>
      </c>
      <c r="L67" s="3" t="s">
        <v>4020</v>
      </c>
      <c r="M67" s="3" t="s">
        <v>4010</v>
      </c>
      <c r="N67" s="3" t="s">
        <v>3535</v>
      </c>
      <c r="O67" s="3" t="s">
        <v>4549</v>
      </c>
      <c r="P67" s="3">
        <v>5</v>
      </c>
      <c r="Q67" s="3" t="s">
        <v>4532</v>
      </c>
      <c r="R67" s="3" t="s">
        <v>4550</v>
      </c>
      <c r="S67" s="3" t="s">
        <v>650</v>
      </c>
      <c r="T67" s="3" t="s">
        <v>3939</v>
      </c>
      <c r="U67" s="3" t="s">
        <v>1380</v>
      </c>
      <c r="V67" s="3" t="s">
        <v>700</v>
      </c>
      <c r="W67" s="3"/>
      <c r="X67" s="3"/>
      <c r="Y67" s="3" t="s">
        <v>2001</v>
      </c>
    </row>
    <row r="68" spans="1:25" ht="60" customHeight="1" x14ac:dyDescent="0.2">
      <c r="A68" s="3" t="s">
        <v>4551</v>
      </c>
      <c r="B68" s="3" t="s">
        <v>4552</v>
      </c>
      <c r="C68" s="3" t="s">
        <v>4488</v>
      </c>
      <c r="D68" s="3">
        <v>477</v>
      </c>
      <c r="E68" s="3" t="s">
        <v>3992</v>
      </c>
      <c r="F68" s="3" t="s">
        <v>4553</v>
      </c>
      <c r="G68" s="11" t="s">
        <v>4554</v>
      </c>
      <c r="H68" s="3" t="s">
        <v>4555</v>
      </c>
      <c r="I68" s="3" t="s">
        <v>3996</v>
      </c>
      <c r="J68" s="3" t="s">
        <v>4007</v>
      </c>
      <c r="K68" s="3" t="s">
        <v>4028</v>
      </c>
      <c r="L68" s="3" t="s">
        <v>650</v>
      </c>
      <c r="M68" s="3" t="s">
        <v>4010</v>
      </c>
      <c r="N68" s="3" t="s">
        <v>3535</v>
      </c>
      <c r="O68" s="3" t="s">
        <v>4556</v>
      </c>
      <c r="P68" s="3">
        <v>3</v>
      </c>
      <c r="Q68" s="3" t="s">
        <v>4557</v>
      </c>
      <c r="R68" s="3" t="s">
        <v>4558</v>
      </c>
      <c r="S68" s="3" t="s">
        <v>650</v>
      </c>
      <c r="T68" s="3" t="s">
        <v>3959</v>
      </c>
      <c r="U68" s="3" t="s">
        <v>1380</v>
      </c>
      <c r="V68" s="3" t="s">
        <v>700</v>
      </c>
      <c r="W68" s="3"/>
      <c r="X68" s="3"/>
      <c r="Y68" s="3" t="s">
        <v>2001</v>
      </c>
    </row>
    <row r="69" spans="1:25" ht="60" customHeight="1" x14ac:dyDescent="0.2">
      <c r="A69" s="3" t="s">
        <v>2483</v>
      </c>
      <c r="B69" s="3" t="s">
        <v>2482</v>
      </c>
      <c r="C69" s="3" t="s">
        <v>4488</v>
      </c>
      <c r="D69" s="3">
        <v>525</v>
      </c>
      <c r="E69" s="3" t="s">
        <v>4003</v>
      </c>
      <c r="F69" s="3" t="s">
        <v>4559</v>
      </c>
      <c r="G69" s="11" t="s">
        <v>4560</v>
      </c>
      <c r="H69" s="3" t="s">
        <v>4561</v>
      </c>
      <c r="I69" s="3" t="s">
        <v>4018</v>
      </c>
      <c r="J69" s="3" t="s">
        <v>4007</v>
      </c>
      <c r="K69" s="3" t="s">
        <v>4008</v>
      </c>
      <c r="L69" s="3" t="s">
        <v>4562</v>
      </c>
      <c r="M69" s="3" t="s">
        <v>4021</v>
      </c>
      <c r="N69" s="3" t="s">
        <v>3535</v>
      </c>
      <c r="O69" s="3" t="s">
        <v>4563</v>
      </c>
      <c r="P69" s="3">
        <v>4</v>
      </c>
      <c r="Q69" s="3" t="s">
        <v>4564</v>
      </c>
      <c r="R69" s="3" t="s">
        <v>2488</v>
      </c>
      <c r="S69" s="3" t="s">
        <v>2479</v>
      </c>
      <c r="T69" s="3" t="s">
        <v>3947</v>
      </c>
      <c r="U69" s="3" t="s">
        <v>1380</v>
      </c>
      <c r="V69" s="3" t="s">
        <v>700</v>
      </c>
      <c r="W69" s="3"/>
      <c r="X69" s="3"/>
      <c r="Y69" s="3" t="s">
        <v>2001</v>
      </c>
    </row>
    <row r="70" spans="1:25" ht="60" customHeight="1" x14ac:dyDescent="0.2">
      <c r="A70" s="3" t="s">
        <v>4565</v>
      </c>
      <c r="B70" s="3" t="s">
        <v>4566</v>
      </c>
      <c r="C70" s="3" t="s">
        <v>4488</v>
      </c>
      <c r="D70" s="3">
        <v>562</v>
      </c>
      <c r="E70" s="3" t="s">
        <v>3992</v>
      </c>
      <c r="F70" s="3" t="s">
        <v>4567</v>
      </c>
      <c r="G70" s="11" t="s">
        <v>4568</v>
      </c>
      <c r="H70" s="3" t="s">
        <v>4569</v>
      </c>
      <c r="I70" s="3" t="s">
        <v>3996</v>
      </c>
      <c r="J70" s="3" t="s">
        <v>4007</v>
      </c>
      <c r="K70" s="3" t="s">
        <v>4066</v>
      </c>
      <c r="L70" s="3" t="s">
        <v>650</v>
      </c>
      <c r="M70" s="3" t="s">
        <v>4010</v>
      </c>
      <c r="N70" s="3" t="s">
        <v>3535</v>
      </c>
      <c r="O70" s="3" t="s">
        <v>650</v>
      </c>
      <c r="P70" s="3">
        <v>0</v>
      </c>
      <c r="Q70" s="3" t="s">
        <v>4052</v>
      </c>
      <c r="R70" s="3" t="s">
        <v>1499</v>
      </c>
      <c r="S70" s="3" t="s">
        <v>650</v>
      </c>
      <c r="T70" s="3" t="s">
        <v>650</v>
      </c>
      <c r="U70" s="3" t="s">
        <v>1380</v>
      </c>
      <c r="V70" s="3" t="s">
        <v>700</v>
      </c>
      <c r="W70" s="3"/>
      <c r="X70" s="3"/>
      <c r="Y70" s="3" t="s">
        <v>2001</v>
      </c>
    </row>
    <row r="71" spans="1:25" ht="60" customHeight="1" x14ac:dyDescent="0.2">
      <c r="A71" s="3" t="s">
        <v>4570</v>
      </c>
      <c r="B71" s="3" t="s">
        <v>4571</v>
      </c>
      <c r="C71" s="3" t="s">
        <v>4488</v>
      </c>
      <c r="D71" s="3">
        <v>596</v>
      </c>
      <c r="E71" s="3" t="s">
        <v>4003</v>
      </c>
      <c r="F71" s="3" t="s">
        <v>4572</v>
      </c>
      <c r="G71" s="11" t="s">
        <v>4573</v>
      </c>
      <c r="H71" s="3" t="s">
        <v>4574</v>
      </c>
      <c r="I71" s="3" t="s">
        <v>4018</v>
      </c>
      <c r="J71" s="3" t="s">
        <v>4007</v>
      </c>
      <c r="K71" s="3" t="s">
        <v>4008</v>
      </c>
      <c r="L71" s="3" t="s">
        <v>4020</v>
      </c>
      <c r="M71" s="3" t="s">
        <v>4010</v>
      </c>
      <c r="N71" s="3" t="s">
        <v>3535</v>
      </c>
      <c r="O71" s="3" t="s">
        <v>4575</v>
      </c>
      <c r="P71" s="3">
        <v>3</v>
      </c>
      <c r="Q71" s="3" t="s">
        <v>4576</v>
      </c>
      <c r="R71" s="3" t="s">
        <v>4577</v>
      </c>
      <c r="S71" s="3" t="s">
        <v>650</v>
      </c>
      <c r="T71" s="3" t="s">
        <v>650</v>
      </c>
      <c r="U71" s="3" t="s">
        <v>1380</v>
      </c>
      <c r="V71" s="3" t="s">
        <v>700</v>
      </c>
      <c r="W71" s="3"/>
      <c r="X71" s="3"/>
      <c r="Y71" s="3" t="s">
        <v>2001</v>
      </c>
    </row>
    <row r="72" spans="1:25" ht="60" customHeight="1" x14ac:dyDescent="0.2">
      <c r="A72" s="3" t="s">
        <v>4578</v>
      </c>
      <c r="B72" s="3" t="s">
        <v>4579</v>
      </c>
      <c r="C72" s="3" t="s">
        <v>4488</v>
      </c>
      <c r="D72" s="3">
        <v>650</v>
      </c>
      <c r="E72" s="3" t="s">
        <v>4003</v>
      </c>
      <c r="F72" s="3" t="s">
        <v>4580</v>
      </c>
      <c r="G72" s="11" t="s">
        <v>4581</v>
      </c>
      <c r="H72" s="3" t="s">
        <v>4582</v>
      </c>
      <c r="I72" s="3" t="s">
        <v>3996</v>
      </c>
      <c r="J72" s="3" t="s">
        <v>4007</v>
      </c>
      <c r="K72" s="3" t="s">
        <v>4028</v>
      </c>
      <c r="L72" s="3" t="s">
        <v>4020</v>
      </c>
      <c r="M72" s="3" t="s">
        <v>4010</v>
      </c>
      <c r="N72" s="3" t="s">
        <v>3535</v>
      </c>
      <c r="O72" s="3" t="s">
        <v>4583</v>
      </c>
      <c r="P72" s="3">
        <v>5</v>
      </c>
      <c r="Q72" s="3" t="s">
        <v>4584</v>
      </c>
      <c r="R72" s="3" t="s">
        <v>4585</v>
      </c>
      <c r="S72" s="3" t="s">
        <v>650</v>
      </c>
      <c r="T72" s="3" t="s">
        <v>3943</v>
      </c>
      <c r="U72" s="3" t="s">
        <v>1380</v>
      </c>
      <c r="V72" s="3" t="s">
        <v>2463</v>
      </c>
      <c r="W72" s="3"/>
      <c r="X72" s="3"/>
      <c r="Y72" s="3" t="s">
        <v>2001</v>
      </c>
    </row>
    <row r="73" spans="1:25" ht="60" customHeight="1" x14ac:dyDescent="0.2">
      <c r="A73" s="3" t="s">
        <v>2272</v>
      </c>
      <c r="B73" s="3" t="s">
        <v>2271</v>
      </c>
      <c r="C73" s="3" t="s">
        <v>4488</v>
      </c>
      <c r="D73" s="3">
        <v>728</v>
      </c>
      <c r="E73" s="3" t="s">
        <v>4003</v>
      </c>
      <c r="F73" s="3" t="s">
        <v>4586</v>
      </c>
      <c r="G73" s="11" t="s">
        <v>4587</v>
      </c>
      <c r="H73" s="3" t="s">
        <v>4588</v>
      </c>
      <c r="I73" s="3" t="s">
        <v>3996</v>
      </c>
      <c r="J73" s="3" t="s">
        <v>4007</v>
      </c>
      <c r="K73" s="3" t="s">
        <v>4008</v>
      </c>
      <c r="L73" s="3" t="s">
        <v>4020</v>
      </c>
      <c r="M73" s="3" t="s">
        <v>4010</v>
      </c>
      <c r="N73" s="3" t="s">
        <v>3535</v>
      </c>
      <c r="O73" s="3" t="s">
        <v>3248</v>
      </c>
      <c r="P73" s="3">
        <v>3</v>
      </c>
      <c r="Q73" s="3" t="s">
        <v>4589</v>
      </c>
      <c r="R73" s="3" t="s">
        <v>2277</v>
      </c>
      <c r="S73" s="3" t="s">
        <v>3607</v>
      </c>
      <c r="T73" s="3" t="s">
        <v>3746</v>
      </c>
      <c r="U73" s="3" t="s">
        <v>1380</v>
      </c>
      <c r="V73" s="3" t="s">
        <v>700</v>
      </c>
      <c r="W73" s="3"/>
      <c r="X73" s="3"/>
      <c r="Y73" s="3" t="s">
        <v>2001</v>
      </c>
    </row>
    <row r="74" spans="1:25" ht="45" customHeight="1" x14ac:dyDescent="0.2">
      <c r="A74" s="3" t="s">
        <v>4590</v>
      </c>
      <c r="B74" s="3" t="s">
        <v>4591</v>
      </c>
      <c r="C74" s="3" t="s">
        <v>4488</v>
      </c>
      <c r="D74" s="3">
        <v>763</v>
      </c>
      <c r="E74" s="3" t="s">
        <v>3992</v>
      </c>
      <c r="F74" s="3" t="s">
        <v>4592</v>
      </c>
      <c r="G74" s="11" t="s">
        <v>4593</v>
      </c>
      <c r="H74" s="3" t="s">
        <v>4594</v>
      </c>
      <c r="I74" s="3" t="s">
        <v>3996</v>
      </c>
      <c r="J74" s="3" t="s">
        <v>4007</v>
      </c>
      <c r="K74" s="3" t="s">
        <v>4008</v>
      </c>
      <c r="L74" s="3" t="s">
        <v>650</v>
      </c>
      <c r="M74" s="3" t="s">
        <v>4010</v>
      </c>
      <c r="N74" s="3" t="s">
        <v>3535</v>
      </c>
      <c r="O74" s="3" t="s">
        <v>4057</v>
      </c>
      <c r="P74" s="3">
        <v>2</v>
      </c>
      <c r="Q74" s="3" t="s">
        <v>4058</v>
      </c>
      <c r="R74" s="3" t="s">
        <v>4595</v>
      </c>
      <c r="S74" s="3" t="s">
        <v>650</v>
      </c>
      <c r="T74" s="3" t="s">
        <v>650</v>
      </c>
      <c r="U74" s="3" t="s">
        <v>1380</v>
      </c>
      <c r="V74" s="3" t="s">
        <v>700</v>
      </c>
      <c r="W74" s="3"/>
      <c r="X74" s="3"/>
      <c r="Y74" s="3" t="s">
        <v>2001</v>
      </c>
    </row>
    <row r="75" spans="1:25" ht="60" customHeight="1" x14ac:dyDescent="0.2">
      <c r="A75" s="3" t="s">
        <v>4596</v>
      </c>
      <c r="B75" s="3" t="s">
        <v>4597</v>
      </c>
      <c r="C75" s="3" t="s">
        <v>4488</v>
      </c>
      <c r="D75" s="3">
        <v>802</v>
      </c>
      <c r="E75" s="3" t="s">
        <v>3992</v>
      </c>
      <c r="F75" s="3" t="s">
        <v>4598</v>
      </c>
      <c r="G75" s="11" t="s">
        <v>4599</v>
      </c>
      <c r="H75" s="3" t="s">
        <v>4600</v>
      </c>
      <c r="I75" s="3" t="s">
        <v>3996</v>
      </c>
      <c r="J75" s="3" t="s">
        <v>4601</v>
      </c>
      <c r="K75" s="3" t="s">
        <v>4008</v>
      </c>
      <c r="L75" s="3" t="s">
        <v>650</v>
      </c>
      <c r="M75" s="3" t="s">
        <v>4124</v>
      </c>
      <c r="N75" s="3" t="s">
        <v>3535</v>
      </c>
      <c r="O75" s="3" t="s">
        <v>4602</v>
      </c>
      <c r="P75" s="3">
        <v>15</v>
      </c>
      <c r="Q75" s="3" t="s">
        <v>4603</v>
      </c>
      <c r="R75" s="3" t="s">
        <v>4604</v>
      </c>
      <c r="S75" s="3" t="s">
        <v>650</v>
      </c>
      <c r="T75" s="3" t="s">
        <v>3955</v>
      </c>
      <c r="U75" s="3" t="s">
        <v>1380</v>
      </c>
      <c r="V75" s="3" t="s">
        <v>700</v>
      </c>
      <c r="W75" s="3"/>
      <c r="X75" s="3"/>
      <c r="Y75" s="3" t="s">
        <v>2001</v>
      </c>
    </row>
    <row r="76" spans="1:25" ht="45" customHeight="1" x14ac:dyDescent="0.2">
      <c r="A76" s="3" t="s">
        <v>4605</v>
      </c>
      <c r="B76" s="3" t="s">
        <v>4606</v>
      </c>
      <c r="C76" s="3" t="s">
        <v>4488</v>
      </c>
      <c r="D76" s="3">
        <v>846</v>
      </c>
      <c r="E76" s="3" t="s">
        <v>4003</v>
      </c>
      <c r="F76" s="3" t="s">
        <v>4607</v>
      </c>
      <c r="G76" s="11" t="s">
        <v>4608</v>
      </c>
      <c r="H76" s="3" t="s">
        <v>4609</v>
      </c>
      <c r="I76" s="3" t="s">
        <v>4018</v>
      </c>
      <c r="J76" s="3" t="s">
        <v>4007</v>
      </c>
      <c r="K76" s="3" t="s">
        <v>4008</v>
      </c>
      <c r="L76" s="3" t="s">
        <v>4020</v>
      </c>
      <c r="M76" s="3" t="s">
        <v>4010</v>
      </c>
      <c r="N76" s="3" t="s">
        <v>3535</v>
      </c>
      <c r="O76" s="3" t="s">
        <v>4057</v>
      </c>
      <c r="P76" s="3">
        <v>2</v>
      </c>
      <c r="Q76" s="3" t="s">
        <v>4058</v>
      </c>
      <c r="R76" s="3" t="s">
        <v>2596</v>
      </c>
      <c r="S76" s="3" t="s">
        <v>650</v>
      </c>
      <c r="T76" s="3" t="s">
        <v>3931</v>
      </c>
      <c r="U76" s="3" t="s">
        <v>1380</v>
      </c>
      <c r="V76" s="3" t="s">
        <v>700</v>
      </c>
      <c r="W76" s="3"/>
      <c r="X76" s="3"/>
      <c r="Y76" s="3" t="s">
        <v>2001</v>
      </c>
    </row>
    <row r="77" spans="1:25" ht="60" customHeight="1" x14ac:dyDescent="0.2">
      <c r="A77" s="3" t="s">
        <v>2591</v>
      </c>
      <c r="B77" s="3" t="s">
        <v>4610</v>
      </c>
      <c r="C77" s="3" t="s">
        <v>4488</v>
      </c>
      <c r="D77" s="3">
        <v>888</v>
      </c>
      <c r="E77" s="3" t="s">
        <v>4003</v>
      </c>
      <c r="F77" s="3" t="s">
        <v>3883</v>
      </c>
      <c r="G77" s="11" t="s">
        <v>4611</v>
      </c>
      <c r="H77" s="3" t="s">
        <v>4612</v>
      </c>
      <c r="I77" s="3" t="s">
        <v>3996</v>
      </c>
      <c r="J77" s="3" t="s">
        <v>4007</v>
      </c>
      <c r="K77" s="3" t="s">
        <v>4613</v>
      </c>
      <c r="L77" s="3" t="s">
        <v>4020</v>
      </c>
      <c r="M77" s="3" t="s">
        <v>4010</v>
      </c>
      <c r="N77" s="3" t="s">
        <v>3535</v>
      </c>
      <c r="O77" s="3" t="s">
        <v>4057</v>
      </c>
      <c r="P77" s="3">
        <v>2</v>
      </c>
      <c r="Q77" s="3" t="s">
        <v>4058</v>
      </c>
      <c r="R77" s="3" t="s">
        <v>4614</v>
      </c>
      <c r="S77" s="3" t="s">
        <v>4615</v>
      </c>
      <c r="T77" s="3" t="s">
        <v>3881</v>
      </c>
      <c r="U77" s="3" t="s">
        <v>1380</v>
      </c>
      <c r="V77" s="3" t="s">
        <v>700</v>
      </c>
      <c r="W77" s="3"/>
      <c r="X77" s="3"/>
      <c r="Y77" s="6" t="s">
        <v>4616</v>
      </c>
    </row>
    <row r="78" spans="1:25" ht="60" customHeight="1" x14ac:dyDescent="0.2">
      <c r="A78" s="3" t="s">
        <v>4617</v>
      </c>
      <c r="B78" s="3" t="s">
        <v>4618</v>
      </c>
      <c r="C78" s="3" t="s">
        <v>4488</v>
      </c>
      <c r="D78" s="3">
        <v>938</v>
      </c>
      <c r="E78" s="3" t="s">
        <v>3992</v>
      </c>
      <c r="F78" s="3" t="s">
        <v>4619</v>
      </c>
      <c r="G78" s="11" t="s">
        <v>4620</v>
      </c>
      <c r="H78" s="3" t="s">
        <v>4621</v>
      </c>
      <c r="I78" s="3" t="s">
        <v>3996</v>
      </c>
      <c r="J78" s="3" t="s">
        <v>4007</v>
      </c>
      <c r="K78" s="3" t="s">
        <v>4066</v>
      </c>
      <c r="L78" s="3" t="s">
        <v>650</v>
      </c>
      <c r="M78" s="3" t="s">
        <v>4010</v>
      </c>
      <c r="N78" s="3" t="s">
        <v>3535</v>
      </c>
      <c r="O78" s="3" t="s">
        <v>4057</v>
      </c>
      <c r="P78" s="3">
        <v>2</v>
      </c>
      <c r="Q78" s="3" t="s">
        <v>4058</v>
      </c>
      <c r="R78" s="3" t="s">
        <v>4622</v>
      </c>
      <c r="S78" s="3" t="s">
        <v>650</v>
      </c>
      <c r="T78" s="3" t="s">
        <v>650</v>
      </c>
      <c r="U78" s="3" t="s">
        <v>1380</v>
      </c>
      <c r="V78" s="3" t="s">
        <v>700</v>
      </c>
      <c r="W78" s="3"/>
      <c r="X78" s="3"/>
      <c r="Y78" s="3" t="s">
        <v>2001</v>
      </c>
    </row>
    <row r="79" spans="1:25" ht="60" customHeight="1" x14ac:dyDescent="0.2">
      <c r="A79" s="3" t="s">
        <v>2902</v>
      </c>
      <c r="B79" s="3" t="s">
        <v>2901</v>
      </c>
      <c r="C79" s="3" t="s">
        <v>4488</v>
      </c>
      <c r="D79" s="3">
        <v>980</v>
      </c>
      <c r="E79" s="3" t="s">
        <v>4003</v>
      </c>
      <c r="F79" s="3" t="s">
        <v>4623</v>
      </c>
      <c r="G79" s="11" t="s">
        <v>4624</v>
      </c>
      <c r="H79" s="3" t="s">
        <v>4625</v>
      </c>
      <c r="I79" s="3" t="s">
        <v>3996</v>
      </c>
      <c r="J79" s="3" t="s">
        <v>4007</v>
      </c>
      <c r="K79" s="3" t="s">
        <v>4008</v>
      </c>
      <c r="L79" s="3" t="s">
        <v>4626</v>
      </c>
      <c r="M79" s="3" t="s">
        <v>4010</v>
      </c>
      <c r="N79" s="3" t="s">
        <v>3535</v>
      </c>
      <c r="O79" s="3" t="s">
        <v>4627</v>
      </c>
      <c r="P79" s="3">
        <v>7</v>
      </c>
      <c r="Q79" s="3" t="s">
        <v>4628</v>
      </c>
      <c r="R79" s="3" t="s">
        <v>2907</v>
      </c>
      <c r="S79" s="3" t="s">
        <v>2898</v>
      </c>
      <c r="T79" s="3" t="s">
        <v>3685</v>
      </c>
      <c r="U79" s="3" t="s">
        <v>1380</v>
      </c>
      <c r="V79" s="3" t="s">
        <v>700</v>
      </c>
      <c r="W79" s="3"/>
      <c r="X79" s="3"/>
      <c r="Y79" s="3" t="s">
        <v>2001</v>
      </c>
    </row>
    <row r="80" spans="1:25" ht="60" customHeight="1" x14ac:dyDescent="0.2">
      <c r="A80" s="3" t="s">
        <v>4629</v>
      </c>
      <c r="B80" s="3" t="s">
        <v>4630</v>
      </c>
      <c r="C80" s="3" t="s">
        <v>4488</v>
      </c>
      <c r="D80" s="3">
        <v>1049</v>
      </c>
      <c r="E80" s="3" t="s">
        <v>4003</v>
      </c>
      <c r="F80" s="3" t="s">
        <v>4110</v>
      </c>
      <c r="G80" s="11" t="s">
        <v>4631</v>
      </c>
      <c r="H80" s="3" t="s">
        <v>4632</v>
      </c>
      <c r="I80" s="3" t="s">
        <v>4018</v>
      </c>
      <c r="J80" s="3" t="s">
        <v>4113</v>
      </c>
      <c r="K80" s="3" t="s">
        <v>4633</v>
      </c>
      <c r="L80" s="3" t="s">
        <v>4020</v>
      </c>
      <c r="M80" s="3" t="s">
        <v>4010</v>
      </c>
      <c r="N80" s="3" t="s">
        <v>3535</v>
      </c>
      <c r="O80" s="3" t="s">
        <v>4634</v>
      </c>
      <c r="P80" s="3">
        <v>103</v>
      </c>
      <c r="Q80" s="3" t="s">
        <v>4635</v>
      </c>
      <c r="R80" s="3" t="s">
        <v>4636</v>
      </c>
      <c r="S80" s="3" t="s">
        <v>650</v>
      </c>
      <c r="T80" s="3" t="s">
        <v>650</v>
      </c>
      <c r="U80" s="3" t="s">
        <v>1380</v>
      </c>
      <c r="V80" s="3" t="s">
        <v>700</v>
      </c>
      <c r="W80" s="3"/>
      <c r="X80" s="3"/>
      <c r="Y80" s="3" t="s">
        <v>2001</v>
      </c>
    </row>
    <row r="81" spans="1:25" ht="60" customHeight="1" x14ac:dyDescent="0.2">
      <c r="A81" s="3" t="s">
        <v>4637</v>
      </c>
      <c r="B81" s="3" t="s">
        <v>4638</v>
      </c>
      <c r="C81" s="3" t="s">
        <v>4488</v>
      </c>
      <c r="D81" s="3">
        <v>1121</v>
      </c>
      <c r="E81" s="3" t="s">
        <v>4129</v>
      </c>
      <c r="F81" s="3" t="s">
        <v>4639</v>
      </c>
      <c r="G81" s="11" t="s">
        <v>4640</v>
      </c>
      <c r="H81" s="3" t="s">
        <v>4641</v>
      </c>
      <c r="I81" s="3" t="s">
        <v>4018</v>
      </c>
      <c r="J81" s="3" t="s">
        <v>4642</v>
      </c>
      <c r="K81" s="3" t="s">
        <v>4484</v>
      </c>
      <c r="L81" s="3" t="s">
        <v>650</v>
      </c>
      <c r="M81" s="3" t="s">
        <v>4124</v>
      </c>
      <c r="N81" s="3" t="s">
        <v>3419</v>
      </c>
      <c r="O81" s="3" t="s">
        <v>4507</v>
      </c>
      <c r="P81" s="3">
        <v>14</v>
      </c>
      <c r="Q81" s="3" t="s">
        <v>4508</v>
      </c>
      <c r="R81" s="3" t="s">
        <v>4643</v>
      </c>
      <c r="S81" s="3" t="s">
        <v>650</v>
      </c>
      <c r="T81" s="3" t="s">
        <v>650</v>
      </c>
      <c r="U81" s="3" t="s">
        <v>1380</v>
      </c>
      <c r="V81" s="3" t="s">
        <v>700</v>
      </c>
      <c r="W81" s="3"/>
      <c r="X81" s="3"/>
      <c r="Y81" s="3" t="s">
        <v>2001</v>
      </c>
    </row>
    <row r="82" spans="1:25" ht="60" customHeight="1" x14ac:dyDescent="0.2">
      <c r="A82" s="3" t="s">
        <v>4644</v>
      </c>
      <c r="B82" s="3" t="s">
        <v>4645</v>
      </c>
      <c r="C82" s="3" t="s">
        <v>4488</v>
      </c>
      <c r="D82" s="3">
        <v>1155</v>
      </c>
      <c r="E82" s="3" t="s">
        <v>3992</v>
      </c>
      <c r="F82" s="3" t="s">
        <v>4646</v>
      </c>
      <c r="G82" s="11" t="s">
        <v>4647</v>
      </c>
      <c r="H82" s="3" t="s">
        <v>4648</v>
      </c>
      <c r="I82" s="3" t="s">
        <v>4018</v>
      </c>
      <c r="J82" s="3" t="s">
        <v>4649</v>
      </c>
      <c r="K82" s="3" t="s">
        <v>4008</v>
      </c>
      <c r="L82" s="3" t="s">
        <v>650</v>
      </c>
      <c r="M82" s="3" t="s">
        <v>4124</v>
      </c>
      <c r="N82" s="3" t="s">
        <v>3535</v>
      </c>
      <c r="O82" s="3" t="s">
        <v>4507</v>
      </c>
      <c r="P82" s="3">
        <v>14</v>
      </c>
      <c r="Q82" s="3" t="s">
        <v>4508</v>
      </c>
      <c r="R82" s="3" t="s">
        <v>4650</v>
      </c>
      <c r="S82" s="3" t="s">
        <v>650</v>
      </c>
      <c r="T82" s="3" t="s">
        <v>4651</v>
      </c>
      <c r="U82" s="3" t="s">
        <v>1380</v>
      </c>
      <c r="V82" s="3" t="s">
        <v>2463</v>
      </c>
      <c r="W82" s="3"/>
      <c r="X82" s="3"/>
      <c r="Y82" s="3" t="s">
        <v>2001</v>
      </c>
    </row>
    <row r="83" spans="1:25" ht="60" customHeight="1" x14ac:dyDescent="0.2">
      <c r="A83" s="3" t="s">
        <v>4652</v>
      </c>
      <c r="B83" s="3" t="s">
        <v>4653</v>
      </c>
      <c r="C83" s="3" t="s">
        <v>4488</v>
      </c>
      <c r="D83" s="3">
        <v>1192</v>
      </c>
      <c r="E83" s="3" t="s">
        <v>4003</v>
      </c>
      <c r="F83" s="3" t="s">
        <v>4654</v>
      </c>
      <c r="G83" s="11" t="s">
        <v>4655</v>
      </c>
      <c r="H83" s="3" t="s">
        <v>4656</v>
      </c>
      <c r="I83" s="3" t="s">
        <v>4018</v>
      </c>
      <c r="J83" s="3" t="s">
        <v>4649</v>
      </c>
      <c r="K83" s="3" t="s">
        <v>4008</v>
      </c>
      <c r="L83" s="3" t="s">
        <v>4020</v>
      </c>
      <c r="M83" s="3" t="s">
        <v>4124</v>
      </c>
      <c r="N83" s="3" t="s">
        <v>3535</v>
      </c>
      <c r="O83" s="3" t="s">
        <v>4507</v>
      </c>
      <c r="P83" s="3">
        <v>14</v>
      </c>
      <c r="Q83" s="3" t="s">
        <v>4508</v>
      </c>
      <c r="R83" s="3" t="s">
        <v>4657</v>
      </c>
      <c r="S83" s="3" t="s">
        <v>650</v>
      </c>
      <c r="T83" s="3" t="s">
        <v>3951</v>
      </c>
      <c r="U83" s="3" t="s">
        <v>1380</v>
      </c>
      <c r="V83" s="3" t="s">
        <v>700</v>
      </c>
      <c r="W83" s="3"/>
      <c r="X83" s="3"/>
      <c r="Y83" s="3" t="s">
        <v>2001</v>
      </c>
    </row>
    <row r="84" spans="1:25" ht="60" customHeight="1" x14ac:dyDescent="0.2">
      <c r="A84" s="3" t="s">
        <v>4658</v>
      </c>
      <c r="B84" s="3" t="s">
        <v>2441</v>
      </c>
      <c r="C84" s="3" t="s">
        <v>4488</v>
      </c>
      <c r="D84" s="3">
        <v>1224</v>
      </c>
      <c r="E84" s="3" t="s">
        <v>4003</v>
      </c>
      <c r="F84" s="3" t="s">
        <v>4659</v>
      </c>
      <c r="G84" s="11" t="s">
        <v>4660</v>
      </c>
      <c r="H84" s="3" t="s">
        <v>4661</v>
      </c>
      <c r="I84" s="3" t="s">
        <v>4018</v>
      </c>
      <c r="J84" s="3" t="s">
        <v>4601</v>
      </c>
      <c r="K84" s="3" t="s">
        <v>4008</v>
      </c>
      <c r="L84" s="3" t="s">
        <v>4662</v>
      </c>
      <c r="M84" s="3" t="s">
        <v>4663</v>
      </c>
      <c r="N84" s="3" t="s">
        <v>3535</v>
      </c>
      <c r="O84" s="3" t="s">
        <v>4664</v>
      </c>
      <c r="P84" s="3">
        <v>28</v>
      </c>
      <c r="Q84" s="3" t="s">
        <v>4665</v>
      </c>
      <c r="R84" s="3" t="s">
        <v>2447</v>
      </c>
      <c r="S84" s="3" t="s">
        <v>650</v>
      </c>
      <c r="T84" s="3" t="s">
        <v>3913</v>
      </c>
      <c r="U84" s="3" t="s">
        <v>1380</v>
      </c>
      <c r="V84" s="3" t="s">
        <v>700</v>
      </c>
      <c r="W84" s="3"/>
      <c r="X84" s="3"/>
      <c r="Y84" s="3" t="s">
        <v>2001</v>
      </c>
    </row>
    <row r="85" spans="1:25" ht="60" customHeight="1" x14ac:dyDescent="0.2">
      <c r="A85" s="3" t="s">
        <v>4666</v>
      </c>
      <c r="B85" s="3" t="s">
        <v>4667</v>
      </c>
      <c r="C85" s="3" t="s">
        <v>4488</v>
      </c>
      <c r="D85" s="3">
        <v>1266</v>
      </c>
      <c r="E85" s="3" t="s">
        <v>4003</v>
      </c>
      <c r="F85" s="3" t="s">
        <v>4668</v>
      </c>
      <c r="G85" s="11" t="s">
        <v>4660</v>
      </c>
      <c r="H85" s="3" t="s">
        <v>4661</v>
      </c>
      <c r="I85" s="3" t="s">
        <v>4018</v>
      </c>
      <c r="J85" s="3" t="s">
        <v>4601</v>
      </c>
      <c r="K85" s="3" t="s">
        <v>4008</v>
      </c>
      <c r="L85" s="3" t="s">
        <v>4669</v>
      </c>
      <c r="M85" s="3" t="s">
        <v>4663</v>
      </c>
      <c r="N85" s="3" t="s">
        <v>3535</v>
      </c>
      <c r="O85" s="3" t="s">
        <v>4664</v>
      </c>
      <c r="P85" s="3">
        <v>28</v>
      </c>
      <c r="Q85" s="3" t="s">
        <v>4665</v>
      </c>
      <c r="R85" s="3" t="s">
        <v>4670</v>
      </c>
      <c r="S85" s="3" t="s">
        <v>650</v>
      </c>
      <c r="T85" s="3" t="s">
        <v>650</v>
      </c>
      <c r="U85" s="3" t="s">
        <v>1380</v>
      </c>
      <c r="V85" s="3" t="s">
        <v>700</v>
      </c>
      <c r="W85" s="3"/>
      <c r="X85" s="3"/>
      <c r="Y85" s="3" t="s">
        <v>2001</v>
      </c>
    </row>
    <row r="86" spans="1:25" ht="60" customHeight="1" x14ac:dyDescent="0.2">
      <c r="A86" s="3" t="s">
        <v>4671</v>
      </c>
      <c r="B86" s="3" t="s">
        <v>4672</v>
      </c>
      <c r="C86" s="3" t="s">
        <v>4488</v>
      </c>
      <c r="D86" s="3">
        <v>1311</v>
      </c>
      <c r="E86" s="3" t="s">
        <v>4003</v>
      </c>
      <c r="F86" s="3" t="s">
        <v>4673</v>
      </c>
      <c r="G86" s="11" t="s">
        <v>4674</v>
      </c>
      <c r="H86" s="3" t="s">
        <v>4675</v>
      </c>
      <c r="I86" s="3" t="s">
        <v>4018</v>
      </c>
      <c r="J86" s="3" t="s">
        <v>4007</v>
      </c>
      <c r="K86" s="3" t="s">
        <v>4676</v>
      </c>
      <c r="L86" s="3" t="s">
        <v>4020</v>
      </c>
      <c r="M86" s="3" t="s">
        <v>4010</v>
      </c>
      <c r="N86" s="3" t="s">
        <v>3535</v>
      </c>
      <c r="O86" s="3" t="s">
        <v>650</v>
      </c>
      <c r="P86" s="3">
        <v>0</v>
      </c>
      <c r="Q86" s="3" t="s">
        <v>4052</v>
      </c>
      <c r="R86" s="3" t="s">
        <v>1499</v>
      </c>
      <c r="S86" s="3" t="s">
        <v>650</v>
      </c>
      <c r="T86" s="3" t="s">
        <v>3877</v>
      </c>
      <c r="U86" s="3" t="s">
        <v>1380</v>
      </c>
      <c r="V86" s="3" t="s">
        <v>577</v>
      </c>
      <c r="W86" s="3"/>
      <c r="X86" s="3"/>
      <c r="Y86" s="3" t="s">
        <v>2001</v>
      </c>
    </row>
    <row r="87" spans="1:25" ht="45" customHeight="1" x14ac:dyDescent="0.2">
      <c r="A87" s="3" t="s">
        <v>4677</v>
      </c>
      <c r="B87" s="3" t="s">
        <v>4678</v>
      </c>
      <c r="C87" s="3" t="s">
        <v>4488</v>
      </c>
      <c r="D87" s="3">
        <v>1357</v>
      </c>
      <c r="E87" s="3" t="s">
        <v>4003</v>
      </c>
      <c r="F87" s="3" t="s">
        <v>3903</v>
      </c>
      <c r="G87" s="11" t="s">
        <v>4679</v>
      </c>
      <c r="H87" s="3" t="s">
        <v>4680</v>
      </c>
      <c r="I87" s="3" t="s">
        <v>3996</v>
      </c>
      <c r="J87" s="3" t="s">
        <v>4007</v>
      </c>
      <c r="K87" s="3" t="s">
        <v>4008</v>
      </c>
      <c r="L87" s="3" t="s">
        <v>4020</v>
      </c>
      <c r="M87" s="3" t="s">
        <v>4010</v>
      </c>
      <c r="N87" s="3" t="s">
        <v>3535</v>
      </c>
      <c r="O87" s="3" t="s">
        <v>4057</v>
      </c>
      <c r="P87" s="3">
        <v>2</v>
      </c>
      <c r="Q87" s="3" t="s">
        <v>4058</v>
      </c>
      <c r="R87" s="3" t="s">
        <v>4681</v>
      </c>
      <c r="S87" s="3" t="s">
        <v>650</v>
      </c>
      <c r="T87" s="3" t="s">
        <v>3901</v>
      </c>
      <c r="U87" s="3" t="s">
        <v>1380</v>
      </c>
      <c r="V87" s="3" t="s">
        <v>700</v>
      </c>
      <c r="W87" s="3"/>
      <c r="X87" s="3"/>
      <c r="Y87" s="3" t="s">
        <v>2001</v>
      </c>
    </row>
    <row r="88" spans="1:25" ht="60" customHeight="1" x14ac:dyDescent="0.2">
      <c r="A88" s="3" t="s">
        <v>4682</v>
      </c>
      <c r="B88" s="3" t="s">
        <v>4683</v>
      </c>
      <c r="C88" s="3" t="s">
        <v>4488</v>
      </c>
      <c r="D88" s="3">
        <v>1401</v>
      </c>
      <c r="E88" s="3" t="s">
        <v>4003</v>
      </c>
      <c r="F88" s="3" t="s">
        <v>4684</v>
      </c>
      <c r="G88" s="11" t="s">
        <v>4685</v>
      </c>
      <c r="H88" s="3" t="s">
        <v>4686</v>
      </c>
      <c r="I88" s="3" t="s">
        <v>4290</v>
      </c>
      <c r="J88" s="3" t="s">
        <v>4601</v>
      </c>
      <c r="K88" s="3" t="s">
        <v>4066</v>
      </c>
      <c r="L88" s="3" t="s">
        <v>4020</v>
      </c>
      <c r="M88" s="3" t="s">
        <v>4124</v>
      </c>
      <c r="N88" s="3" t="s">
        <v>3535</v>
      </c>
      <c r="O88" s="3" t="s">
        <v>4687</v>
      </c>
      <c r="P88" s="3">
        <v>44</v>
      </c>
      <c r="Q88" s="3" t="s">
        <v>4688</v>
      </c>
      <c r="R88" s="3" t="s">
        <v>4689</v>
      </c>
      <c r="S88" s="3" t="s">
        <v>650</v>
      </c>
      <c r="T88" s="3" t="s">
        <v>650</v>
      </c>
      <c r="U88" s="3" t="s">
        <v>1380</v>
      </c>
      <c r="V88" s="3" t="s">
        <v>428</v>
      </c>
      <c r="W88" s="3"/>
      <c r="X88" s="3"/>
      <c r="Y88" s="6" t="s">
        <v>4477</v>
      </c>
    </row>
    <row r="89" spans="1:25" ht="60" customHeight="1" x14ac:dyDescent="0.2">
      <c r="A89" s="3" t="s">
        <v>4690</v>
      </c>
      <c r="B89" s="3" t="s">
        <v>4691</v>
      </c>
      <c r="C89" s="3" t="s">
        <v>4488</v>
      </c>
      <c r="D89" s="3">
        <v>1466</v>
      </c>
      <c r="E89" s="3" t="s">
        <v>3992</v>
      </c>
      <c r="F89" s="3" t="s">
        <v>4692</v>
      </c>
      <c r="G89" s="11" t="s">
        <v>4693</v>
      </c>
      <c r="H89" s="3" t="s">
        <v>4694</v>
      </c>
      <c r="I89" s="3" t="s">
        <v>4018</v>
      </c>
      <c r="J89" s="3" t="s">
        <v>4601</v>
      </c>
      <c r="K89" s="3" t="s">
        <v>4066</v>
      </c>
      <c r="L89" s="3" t="s">
        <v>650</v>
      </c>
      <c r="M89" s="3" t="s">
        <v>4695</v>
      </c>
      <c r="N89" s="3" t="s">
        <v>3535</v>
      </c>
      <c r="O89" s="3" t="s">
        <v>4696</v>
      </c>
      <c r="P89" s="3">
        <v>27</v>
      </c>
      <c r="Q89" s="3" t="s">
        <v>4697</v>
      </c>
      <c r="R89" s="3" t="s">
        <v>4698</v>
      </c>
      <c r="S89" s="3" t="s">
        <v>650</v>
      </c>
      <c r="T89" s="3" t="s">
        <v>650</v>
      </c>
      <c r="U89" s="3" t="s">
        <v>1380</v>
      </c>
      <c r="V89" s="3" t="s">
        <v>700</v>
      </c>
      <c r="W89" s="3"/>
      <c r="X89" s="3"/>
      <c r="Y89" s="3" t="s">
        <v>2001</v>
      </c>
    </row>
    <row r="90" spans="1:25" ht="60" customHeight="1" x14ac:dyDescent="0.2">
      <c r="A90" s="3" t="s">
        <v>4699</v>
      </c>
      <c r="B90" s="3" t="s">
        <v>4700</v>
      </c>
      <c r="C90" s="3" t="s">
        <v>4488</v>
      </c>
      <c r="D90" s="3">
        <v>1539</v>
      </c>
      <c r="E90" s="3" t="s">
        <v>4003</v>
      </c>
      <c r="F90" s="3" t="s">
        <v>4701</v>
      </c>
      <c r="G90" s="11" t="s">
        <v>4702</v>
      </c>
      <c r="H90" s="3" t="s">
        <v>4703</v>
      </c>
      <c r="I90" s="3" t="s">
        <v>4018</v>
      </c>
      <c r="J90" s="3" t="s">
        <v>4007</v>
      </c>
      <c r="K90" s="3" t="s">
        <v>4008</v>
      </c>
      <c r="L90" s="3" t="s">
        <v>4020</v>
      </c>
      <c r="M90" s="3" t="s">
        <v>4124</v>
      </c>
      <c r="N90" s="3" t="s">
        <v>3535</v>
      </c>
      <c r="O90" s="3" t="s">
        <v>4057</v>
      </c>
      <c r="P90" s="3">
        <v>2</v>
      </c>
      <c r="Q90" s="3" t="s">
        <v>4058</v>
      </c>
      <c r="R90" s="3" t="s">
        <v>4704</v>
      </c>
      <c r="S90" s="3" t="s">
        <v>650</v>
      </c>
      <c r="T90" s="3" t="s">
        <v>3909</v>
      </c>
      <c r="U90" s="3" t="s">
        <v>1380</v>
      </c>
      <c r="V90" s="3" t="s">
        <v>2463</v>
      </c>
      <c r="W90" s="3"/>
      <c r="X90" s="3"/>
      <c r="Y90" s="3" t="s">
        <v>2001</v>
      </c>
    </row>
    <row r="91" spans="1:25" ht="60" customHeight="1" x14ac:dyDescent="0.2">
      <c r="A91" s="3" t="s">
        <v>2458</v>
      </c>
      <c r="B91" s="3" t="s">
        <v>2457</v>
      </c>
      <c r="C91" s="3" t="s">
        <v>4488</v>
      </c>
      <c r="D91" s="3">
        <v>1582</v>
      </c>
      <c r="E91" s="3" t="s">
        <v>3992</v>
      </c>
      <c r="F91" s="3" t="s">
        <v>4110</v>
      </c>
      <c r="G91" s="11" t="s">
        <v>4705</v>
      </c>
      <c r="H91" s="3" t="s">
        <v>4706</v>
      </c>
      <c r="I91" s="3" t="s">
        <v>3996</v>
      </c>
      <c r="J91" s="3" t="s">
        <v>4007</v>
      </c>
      <c r="K91" s="3" t="s">
        <v>4008</v>
      </c>
      <c r="L91" s="3" t="s">
        <v>650</v>
      </c>
      <c r="M91" s="3" t="s">
        <v>4010</v>
      </c>
      <c r="N91" s="3" t="s">
        <v>3535</v>
      </c>
      <c r="O91" s="3" t="s">
        <v>4707</v>
      </c>
      <c r="P91" s="3">
        <v>39</v>
      </c>
      <c r="Q91" s="3" t="s">
        <v>4708</v>
      </c>
      <c r="R91" s="3" t="s">
        <v>2460</v>
      </c>
      <c r="S91" s="3" t="s">
        <v>2454</v>
      </c>
      <c r="T91" s="3" t="s">
        <v>650</v>
      </c>
      <c r="U91" s="3" t="s">
        <v>1380</v>
      </c>
      <c r="V91" s="3" t="s">
        <v>2463</v>
      </c>
      <c r="W91" s="3"/>
      <c r="X91" s="3"/>
      <c r="Y91" s="3" t="s">
        <v>2001</v>
      </c>
    </row>
    <row r="92" spans="1:25" ht="60" customHeight="1" x14ac:dyDescent="0.2">
      <c r="A92" s="3" t="s">
        <v>4709</v>
      </c>
      <c r="B92" s="3" t="s">
        <v>4710</v>
      </c>
      <c r="C92" s="3" t="s">
        <v>4488</v>
      </c>
      <c r="D92" s="3">
        <v>1616</v>
      </c>
      <c r="E92" s="3" t="s">
        <v>4129</v>
      </c>
      <c r="F92" s="3" t="s">
        <v>4711</v>
      </c>
      <c r="G92" s="11" t="s">
        <v>4712</v>
      </c>
      <c r="H92" s="3" t="s">
        <v>4713</v>
      </c>
      <c r="I92" s="3" t="s">
        <v>4018</v>
      </c>
      <c r="J92" s="3" t="s">
        <v>4007</v>
      </c>
      <c r="K92" s="3" t="s">
        <v>4028</v>
      </c>
      <c r="L92" s="3" t="s">
        <v>650</v>
      </c>
      <c r="M92" s="3" t="s">
        <v>4010</v>
      </c>
      <c r="N92" s="3" t="s">
        <v>3419</v>
      </c>
      <c r="O92" s="3" t="s">
        <v>4714</v>
      </c>
      <c r="P92" s="3">
        <v>37</v>
      </c>
      <c r="Q92" s="3" t="s">
        <v>4715</v>
      </c>
      <c r="R92" s="3" t="s">
        <v>4716</v>
      </c>
      <c r="S92" s="3" t="s">
        <v>650</v>
      </c>
      <c r="T92" s="3" t="s">
        <v>650</v>
      </c>
      <c r="U92" s="3" t="s">
        <v>1380</v>
      </c>
      <c r="V92" s="3" t="s">
        <v>700</v>
      </c>
      <c r="W92" s="3"/>
      <c r="X92" s="3"/>
      <c r="Y92" s="3" t="s">
        <v>2001</v>
      </c>
    </row>
    <row r="93" spans="1:25" ht="60" customHeight="1" x14ac:dyDescent="0.2">
      <c r="A93" s="3" t="s">
        <v>1429</v>
      </c>
      <c r="B93" s="3" t="s">
        <v>1428</v>
      </c>
      <c r="C93" s="3" t="s">
        <v>4488</v>
      </c>
      <c r="D93" s="3">
        <v>1676</v>
      </c>
      <c r="E93" s="3" t="s">
        <v>4003</v>
      </c>
      <c r="F93" s="3" t="s">
        <v>4717</v>
      </c>
      <c r="G93" s="11" t="s">
        <v>4718</v>
      </c>
      <c r="H93" s="3" t="s">
        <v>4719</v>
      </c>
      <c r="I93" s="3" t="s">
        <v>4018</v>
      </c>
      <c r="J93" s="3" t="s">
        <v>4720</v>
      </c>
      <c r="K93" s="3" t="s">
        <v>4028</v>
      </c>
      <c r="L93" s="3" t="s">
        <v>4020</v>
      </c>
      <c r="M93" s="3" t="s">
        <v>4124</v>
      </c>
      <c r="N93" s="3" t="s">
        <v>3535</v>
      </c>
      <c r="O93" s="3" t="s">
        <v>4721</v>
      </c>
      <c r="P93" s="3">
        <v>47</v>
      </c>
      <c r="Q93" s="3" t="s">
        <v>4722</v>
      </c>
      <c r="R93" s="3" t="s">
        <v>1434</v>
      </c>
      <c r="S93" s="3" t="s">
        <v>3807</v>
      </c>
      <c r="T93" s="3" t="s">
        <v>650</v>
      </c>
      <c r="U93" s="3" t="s">
        <v>1380</v>
      </c>
      <c r="V93" s="3" t="s">
        <v>700</v>
      </c>
      <c r="W93" s="3"/>
      <c r="X93" s="3"/>
      <c r="Y93" s="3" t="s">
        <v>2001</v>
      </c>
    </row>
    <row r="94" spans="1:25" ht="60" customHeight="1" x14ac:dyDescent="0.2">
      <c r="A94" s="3" t="s">
        <v>4723</v>
      </c>
      <c r="B94" s="3" t="s">
        <v>4724</v>
      </c>
      <c r="C94" s="3" t="s">
        <v>4725</v>
      </c>
      <c r="D94" s="3">
        <v>52</v>
      </c>
      <c r="E94" s="3" t="s">
        <v>3992</v>
      </c>
      <c r="F94" s="3" t="s">
        <v>4726</v>
      </c>
      <c r="G94" s="11" t="s">
        <v>4727</v>
      </c>
      <c r="H94" s="3" t="s">
        <v>4728</v>
      </c>
      <c r="I94" s="3" t="s">
        <v>4290</v>
      </c>
      <c r="J94" s="3" t="s">
        <v>4729</v>
      </c>
      <c r="K94" s="3" t="s">
        <v>4008</v>
      </c>
      <c r="L94" s="3" t="s">
        <v>650</v>
      </c>
      <c r="M94" s="3" t="s">
        <v>4010</v>
      </c>
      <c r="N94" s="3" t="s">
        <v>3535</v>
      </c>
      <c r="O94" s="3" t="s">
        <v>4730</v>
      </c>
      <c r="P94" s="3">
        <v>4</v>
      </c>
      <c r="Q94" s="3" t="s">
        <v>4731</v>
      </c>
      <c r="R94" s="3" t="s">
        <v>4732</v>
      </c>
      <c r="S94" s="3" t="s">
        <v>650</v>
      </c>
      <c r="T94" s="3" t="s">
        <v>4733</v>
      </c>
      <c r="U94" s="3" t="s">
        <v>1380</v>
      </c>
      <c r="V94" s="3" t="s">
        <v>539</v>
      </c>
      <c r="W94" s="3"/>
      <c r="X94" s="3"/>
      <c r="Y94" s="6" t="s">
        <v>4477</v>
      </c>
    </row>
    <row r="95" spans="1:25" ht="60" customHeight="1" x14ac:dyDescent="0.2">
      <c r="A95" s="3" t="s">
        <v>4734</v>
      </c>
      <c r="B95" s="3" t="s">
        <v>4735</v>
      </c>
      <c r="C95" s="3" t="s">
        <v>4725</v>
      </c>
      <c r="D95" s="3">
        <v>103</v>
      </c>
      <c r="E95" s="3" t="s">
        <v>3992</v>
      </c>
      <c r="F95" s="3" t="s">
        <v>4736</v>
      </c>
      <c r="G95" s="11" t="s">
        <v>4737</v>
      </c>
      <c r="H95" s="3" t="s">
        <v>4738</v>
      </c>
      <c r="I95" s="3" t="s">
        <v>4018</v>
      </c>
      <c r="J95" s="3" t="s">
        <v>4739</v>
      </c>
      <c r="K95" s="3" t="s">
        <v>4066</v>
      </c>
      <c r="L95" s="3" t="s">
        <v>650</v>
      </c>
      <c r="M95" s="3" t="s">
        <v>4740</v>
      </c>
      <c r="N95" s="3" t="s">
        <v>3535</v>
      </c>
      <c r="O95" s="3" t="s">
        <v>4741</v>
      </c>
      <c r="P95" s="3">
        <v>5</v>
      </c>
      <c r="Q95" s="3" t="s">
        <v>4742</v>
      </c>
      <c r="R95" s="3" t="s">
        <v>4743</v>
      </c>
      <c r="S95" s="3" t="s">
        <v>650</v>
      </c>
      <c r="T95" s="3" t="s">
        <v>650</v>
      </c>
      <c r="U95" s="3" t="s">
        <v>1380</v>
      </c>
      <c r="V95" s="3" t="s">
        <v>700</v>
      </c>
      <c r="W95" s="3"/>
      <c r="X95" s="3"/>
      <c r="Y95" s="3" t="s">
        <v>2001</v>
      </c>
    </row>
    <row r="96" spans="1:25" ht="60" customHeight="1" x14ac:dyDescent="0.2">
      <c r="A96" s="3" t="s">
        <v>4744</v>
      </c>
      <c r="B96" s="3" t="s">
        <v>4745</v>
      </c>
      <c r="C96" s="3" t="s">
        <v>4725</v>
      </c>
      <c r="D96" s="3">
        <v>260</v>
      </c>
      <c r="E96" s="3" t="s">
        <v>3992</v>
      </c>
      <c r="F96" s="3" t="s">
        <v>3969</v>
      </c>
      <c r="G96" s="11" t="s">
        <v>4746</v>
      </c>
      <c r="H96" s="3" t="s">
        <v>4747</v>
      </c>
      <c r="I96" s="3" t="s">
        <v>4290</v>
      </c>
      <c r="J96" s="3" t="s">
        <v>4748</v>
      </c>
      <c r="K96" s="3" t="s">
        <v>4008</v>
      </c>
      <c r="L96" s="3" t="s">
        <v>650</v>
      </c>
      <c r="M96" s="3" t="s">
        <v>4749</v>
      </c>
      <c r="N96" s="3" t="s">
        <v>3535</v>
      </c>
      <c r="O96" s="3" t="s">
        <v>4750</v>
      </c>
      <c r="P96" s="3">
        <v>1</v>
      </c>
      <c r="Q96" s="3" t="s">
        <v>4750</v>
      </c>
      <c r="R96" s="3" t="s">
        <v>4751</v>
      </c>
      <c r="S96" s="3" t="s">
        <v>650</v>
      </c>
      <c r="T96" s="3" t="s">
        <v>3967</v>
      </c>
      <c r="U96" s="3" t="s">
        <v>1380</v>
      </c>
      <c r="V96" s="3" t="s">
        <v>428</v>
      </c>
      <c r="W96" s="3"/>
      <c r="X96" s="3"/>
      <c r="Y96" s="6" t="s">
        <v>4752</v>
      </c>
    </row>
    <row r="97" spans="1:25" ht="60" customHeight="1" x14ac:dyDescent="0.2">
      <c r="A97" s="3" t="s">
        <v>4753</v>
      </c>
      <c r="B97" s="3" t="s">
        <v>4754</v>
      </c>
      <c r="C97" s="3" t="s">
        <v>4725</v>
      </c>
      <c r="D97" s="3">
        <v>294</v>
      </c>
      <c r="E97" s="3" t="s">
        <v>3992</v>
      </c>
      <c r="F97" s="3" t="s">
        <v>3694</v>
      </c>
      <c r="G97" s="11" t="s">
        <v>4755</v>
      </c>
      <c r="H97" s="3" t="s">
        <v>4756</v>
      </c>
      <c r="I97" s="3" t="s">
        <v>4290</v>
      </c>
      <c r="J97" s="3" t="s">
        <v>4757</v>
      </c>
      <c r="K97" s="3" t="s">
        <v>4008</v>
      </c>
      <c r="L97" s="3" t="s">
        <v>650</v>
      </c>
      <c r="M97" s="3" t="s">
        <v>4010</v>
      </c>
      <c r="N97" s="3" t="s">
        <v>3535</v>
      </c>
      <c r="O97" s="3" t="s">
        <v>4758</v>
      </c>
      <c r="P97" s="3">
        <v>2</v>
      </c>
      <c r="Q97" s="3" t="s">
        <v>4759</v>
      </c>
      <c r="R97" s="3" t="s">
        <v>2941</v>
      </c>
      <c r="S97" s="3" t="s">
        <v>650</v>
      </c>
      <c r="T97" s="3" t="s">
        <v>3692</v>
      </c>
      <c r="U97" s="3" t="s">
        <v>1380</v>
      </c>
      <c r="V97" s="3" t="s">
        <v>428</v>
      </c>
      <c r="W97" s="3"/>
      <c r="X97" s="3"/>
      <c r="Y97" s="6" t="s">
        <v>4752</v>
      </c>
    </row>
    <row r="98" spans="1:25" ht="60" customHeight="1" x14ac:dyDescent="0.2">
      <c r="A98" s="3" t="s">
        <v>4760</v>
      </c>
      <c r="B98" s="3" t="s">
        <v>4761</v>
      </c>
      <c r="C98" s="3" t="s">
        <v>4725</v>
      </c>
      <c r="D98" s="3">
        <v>337</v>
      </c>
      <c r="E98" s="3" t="s">
        <v>4003</v>
      </c>
      <c r="F98" s="3" t="s">
        <v>4762</v>
      </c>
      <c r="G98" s="11" t="s">
        <v>4763</v>
      </c>
      <c r="H98" s="3" t="s">
        <v>4764</v>
      </c>
      <c r="I98" s="3" t="s">
        <v>4290</v>
      </c>
      <c r="J98" s="3" t="s">
        <v>4765</v>
      </c>
      <c r="K98" s="3" t="s">
        <v>4008</v>
      </c>
      <c r="L98" s="3" t="s">
        <v>4766</v>
      </c>
      <c r="M98" s="3" t="s">
        <v>4767</v>
      </c>
      <c r="N98" s="3" t="s">
        <v>3535</v>
      </c>
      <c r="O98" s="3" t="s">
        <v>4768</v>
      </c>
      <c r="P98" s="3">
        <v>3</v>
      </c>
      <c r="Q98" s="3" t="s">
        <v>4769</v>
      </c>
      <c r="R98" s="3" t="s">
        <v>4770</v>
      </c>
      <c r="S98" s="3" t="s">
        <v>650</v>
      </c>
      <c r="T98" s="3" t="s">
        <v>4771</v>
      </c>
      <c r="U98" s="3" t="s">
        <v>1380</v>
      </c>
      <c r="V98" s="3" t="s">
        <v>428</v>
      </c>
      <c r="W98" s="3"/>
      <c r="X98" s="3"/>
      <c r="Y98" s="6" t="s">
        <v>4772</v>
      </c>
    </row>
    <row r="99" spans="1:25" ht="60" customHeight="1" x14ac:dyDescent="0.2">
      <c r="A99" s="3" t="s">
        <v>4773</v>
      </c>
      <c r="B99" s="3" t="s">
        <v>4774</v>
      </c>
      <c r="C99" s="3" t="s">
        <v>4725</v>
      </c>
      <c r="D99" s="3">
        <v>380</v>
      </c>
      <c r="E99" s="3" t="s">
        <v>4003</v>
      </c>
      <c r="F99" s="3" t="s">
        <v>3867</v>
      </c>
      <c r="G99" s="11" t="s">
        <v>4775</v>
      </c>
      <c r="H99" s="3" t="s">
        <v>4776</v>
      </c>
      <c r="I99" s="3" t="s">
        <v>4018</v>
      </c>
      <c r="J99" s="3" t="s">
        <v>4765</v>
      </c>
      <c r="K99" s="3" t="s">
        <v>4008</v>
      </c>
      <c r="L99" s="3" t="s">
        <v>4020</v>
      </c>
      <c r="M99" s="3" t="s">
        <v>4010</v>
      </c>
      <c r="N99" s="3" t="s">
        <v>3535</v>
      </c>
      <c r="O99" s="3" t="s">
        <v>4730</v>
      </c>
      <c r="P99" s="3">
        <v>4</v>
      </c>
      <c r="Q99" s="3" t="s">
        <v>4731</v>
      </c>
      <c r="R99" s="3" t="s">
        <v>4777</v>
      </c>
      <c r="S99" s="3" t="s">
        <v>650</v>
      </c>
      <c r="T99" s="3" t="s">
        <v>3865</v>
      </c>
      <c r="U99" s="3" t="s">
        <v>1380</v>
      </c>
      <c r="V99" s="3" t="s">
        <v>700</v>
      </c>
      <c r="W99" s="3"/>
      <c r="X99" s="3"/>
      <c r="Y99" s="3" t="s">
        <v>2001</v>
      </c>
    </row>
    <row r="100" spans="1:25" ht="60" customHeight="1" x14ac:dyDescent="0.2">
      <c r="A100" s="3" t="s">
        <v>4778</v>
      </c>
      <c r="B100" s="3" t="s">
        <v>4779</v>
      </c>
      <c r="C100" s="3" t="s">
        <v>4725</v>
      </c>
      <c r="D100" s="3">
        <v>407</v>
      </c>
      <c r="E100" s="3" t="s">
        <v>4003</v>
      </c>
      <c r="F100" s="3" t="s">
        <v>4780</v>
      </c>
      <c r="G100" s="11" t="s">
        <v>4781</v>
      </c>
      <c r="H100" s="3" t="s">
        <v>4782</v>
      </c>
      <c r="I100" s="3" t="s">
        <v>4290</v>
      </c>
      <c r="J100" s="3" t="s">
        <v>4757</v>
      </c>
      <c r="K100" s="3" t="s">
        <v>4008</v>
      </c>
      <c r="L100" s="3" t="s">
        <v>4020</v>
      </c>
      <c r="M100" s="3" t="s">
        <v>4010</v>
      </c>
      <c r="N100" s="3" t="s">
        <v>3535</v>
      </c>
      <c r="O100" s="3" t="s">
        <v>4768</v>
      </c>
      <c r="P100" s="3">
        <v>3</v>
      </c>
      <c r="Q100" s="3" t="s">
        <v>4769</v>
      </c>
      <c r="R100" s="3" t="s">
        <v>4783</v>
      </c>
      <c r="S100" s="3" t="s">
        <v>650</v>
      </c>
      <c r="T100" s="3" t="s">
        <v>650</v>
      </c>
      <c r="U100" s="3" t="s">
        <v>1380</v>
      </c>
      <c r="V100" s="3" t="s">
        <v>428</v>
      </c>
      <c r="W100" s="3"/>
      <c r="X100" s="3"/>
      <c r="Y100" s="6" t="s">
        <v>4784</v>
      </c>
    </row>
    <row r="101" spans="1:25" ht="60" customHeight="1" x14ac:dyDescent="0.2">
      <c r="A101" s="3" t="s">
        <v>4785</v>
      </c>
      <c r="B101" s="3" t="s">
        <v>4786</v>
      </c>
      <c r="C101" s="3" t="s">
        <v>4725</v>
      </c>
      <c r="D101" s="3">
        <v>445</v>
      </c>
      <c r="E101" s="3" t="s">
        <v>4003</v>
      </c>
      <c r="F101" s="3" t="s">
        <v>4787</v>
      </c>
      <c r="G101" s="11" t="s">
        <v>4788</v>
      </c>
      <c r="H101" s="3" t="s">
        <v>4789</v>
      </c>
      <c r="I101" s="3" t="s">
        <v>4018</v>
      </c>
      <c r="J101" s="3" t="s">
        <v>4757</v>
      </c>
      <c r="K101" s="3" t="s">
        <v>4008</v>
      </c>
      <c r="L101" s="3" t="s">
        <v>4020</v>
      </c>
      <c r="M101" s="3" t="s">
        <v>4010</v>
      </c>
      <c r="N101" s="3" t="s">
        <v>3535</v>
      </c>
      <c r="O101" s="3" t="s">
        <v>4768</v>
      </c>
      <c r="P101" s="3">
        <v>3</v>
      </c>
      <c r="Q101" s="3" t="s">
        <v>4769</v>
      </c>
      <c r="R101" s="3" t="s">
        <v>4790</v>
      </c>
      <c r="S101" s="3" t="s">
        <v>650</v>
      </c>
      <c r="T101" s="3" t="s">
        <v>650</v>
      </c>
      <c r="U101" s="3" t="s">
        <v>1380</v>
      </c>
      <c r="V101" s="3" t="s">
        <v>428</v>
      </c>
      <c r="W101" s="3"/>
      <c r="X101" s="3"/>
      <c r="Y101" s="3" t="s">
        <v>2001</v>
      </c>
    </row>
    <row r="102" spans="1:25" ht="60" customHeight="1" x14ac:dyDescent="0.2">
      <c r="A102" s="3" t="s">
        <v>4791</v>
      </c>
      <c r="B102" s="3" t="s">
        <v>4792</v>
      </c>
      <c r="C102" s="3" t="s">
        <v>4793</v>
      </c>
      <c r="D102" s="3">
        <v>108</v>
      </c>
      <c r="E102" s="3" t="s">
        <v>3992</v>
      </c>
      <c r="F102" s="3" t="s">
        <v>4794</v>
      </c>
      <c r="G102" s="11" t="s">
        <v>4795</v>
      </c>
      <c r="H102" s="3" t="s">
        <v>4796</v>
      </c>
      <c r="I102" s="3" t="s">
        <v>3996</v>
      </c>
      <c r="J102" s="3" t="s">
        <v>4601</v>
      </c>
      <c r="K102" s="3" t="s">
        <v>4797</v>
      </c>
      <c r="L102" s="3" t="s">
        <v>650</v>
      </c>
      <c r="M102" s="3" t="s">
        <v>4124</v>
      </c>
      <c r="N102" s="3" t="s">
        <v>3535</v>
      </c>
      <c r="O102" s="3" t="s">
        <v>4057</v>
      </c>
      <c r="P102" s="3">
        <v>2</v>
      </c>
      <c r="Q102" s="3" t="s">
        <v>4058</v>
      </c>
      <c r="R102" s="3" t="s">
        <v>4798</v>
      </c>
      <c r="S102" s="3" t="s">
        <v>650</v>
      </c>
      <c r="T102" s="3" t="s">
        <v>650</v>
      </c>
      <c r="U102" s="3" t="s">
        <v>1380</v>
      </c>
      <c r="V102" s="3" t="s">
        <v>700</v>
      </c>
      <c r="W102" s="3"/>
      <c r="X102" s="3"/>
      <c r="Y102" s="3" t="s">
        <v>2001</v>
      </c>
    </row>
    <row r="103" spans="1:25" ht="60" customHeight="1" x14ac:dyDescent="0.2">
      <c r="A103" s="3" t="s">
        <v>4799</v>
      </c>
      <c r="B103" s="3" t="s">
        <v>4800</v>
      </c>
      <c r="C103" s="3" t="s">
        <v>4793</v>
      </c>
      <c r="D103" s="3">
        <v>164</v>
      </c>
      <c r="E103" s="3" t="s">
        <v>3992</v>
      </c>
      <c r="F103" s="3" t="s">
        <v>4801</v>
      </c>
      <c r="G103" s="11" t="s">
        <v>4802</v>
      </c>
      <c r="H103" s="3" t="s">
        <v>4803</v>
      </c>
      <c r="I103" s="3" t="s">
        <v>4018</v>
      </c>
      <c r="J103" s="3" t="s">
        <v>4804</v>
      </c>
      <c r="K103" s="3" t="s">
        <v>4008</v>
      </c>
      <c r="L103" s="3" t="s">
        <v>650</v>
      </c>
      <c r="M103" s="3" t="s">
        <v>4805</v>
      </c>
      <c r="N103" s="3" t="s">
        <v>3535</v>
      </c>
      <c r="O103" s="3" t="s">
        <v>4806</v>
      </c>
      <c r="P103" s="3">
        <v>10</v>
      </c>
      <c r="Q103" s="3" t="s">
        <v>4807</v>
      </c>
      <c r="R103" s="3" t="s">
        <v>4808</v>
      </c>
      <c r="S103" s="3" t="s">
        <v>650</v>
      </c>
      <c r="T103" s="3" t="s">
        <v>650</v>
      </c>
      <c r="U103" s="3" t="s">
        <v>1380</v>
      </c>
      <c r="V103" s="3" t="s">
        <v>505</v>
      </c>
      <c r="W103" s="3"/>
      <c r="X103" s="3"/>
      <c r="Y103" s="3" t="s">
        <v>2001</v>
      </c>
    </row>
    <row r="104" spans="1:25" ht="60" customHeight="1" x14ac:dyDescent="0.2">
      <c r="A104" s="3" t="s">
        <v>4809</v>
      </c>
      <c r="B104" s="3" t="s">
        <v>4810</v>
      </c>
      <c r="C104" s="3" t="s">
        <v>4793</v>
      </c>
      <c r="D104" s="3">
        <v>222</v>
      </c>
      <c r="E104" s="3" t="s">
        <v>4003</v>
      </c>
      <c r="F104" s="3" t="s">
        <v>4811</v>
      </c>
      <c r="G104" s="11" t="s">
        <v>4812</v>
      </c>
      <c r="H104" s="3" t="s">
        <v>4813</v>
      </c>
      <c r="I104" s="3" t="s">
        <v>3996</v>
      </c>
      <c r="J104" s="3" t="s">
        <v>4814</v>
      </c>
      <c r="K104" s="3" t="s">
        <v>4815</v>
      </c>
      <c r="L104" s="3" t="s">
        <v>4020</v>
      </c>
      <c r="M104" s="3" t="s">
        <v>4816</v>
      </c>
      <c r="N104" s="3" t="s">
        <v>3535</v>
      </c>
      <c r="O104" s="3" t="s">
        <v>4817</v>
      </c>
      <c r="P104" s="3">
        <v>86</v>
      </c>
      <c r="Q104" s="3" t="s">
        <v>4818</v>
      </c>
      <c r="R104" s="3" t="s">
        <v>4819</v>
      </c>
      <c r="S104" s="3" t="s">
        <v>459</v>
      </c>
      <c r="T104" s="3" t="s">
        <v>650</v>
      </c>
      <c r="U104" s="3" t="s">
        <v>1380</v>
      </c>
      <c r="V104" s="3" t="s">
        <v>505</v>
      </c>
      <c r="W104" s="3"/>
      <c r="X104" s="3"/>
      <c r="Y104" s="6" t="s">
        <v>4820</v>
      </c>
    </row>
    <row r="105" spans="1:25" ht="60" customHeight="1" x14ac:dyDescent="0.2">
      <c r="A105" s="3" t="s">
        <v>4821</v>
      </c>
      <c r="B105" s="3" t="s">
        <v>4822</v>
      </c>
      <c r="C105" s="3" t="s">
        <v>4823</v>
      </c>
      <c r="D105" s="3">
        <v>59</v>
      </c>
      <c r="E105" s="3" t="s">
        <v>3992</v>
      </c>
      <c r="F105" s="3" t="s">
        <v>4824</v>
      </c>
      <c r="G105" s="11" t="s">
        <v>4825</v>
      </c>
      <c r="H105" s="3" t="s">
        <v>4826</v>
      </c>
      <c r="I105" s="3" t="s">
        <v>4018</v>
      </c>
      <c r="J105" s="3" t="s">
        <v>4827</v>
      </c>
      <c r="K105" s="3" t="s">
        <v>4484</v>
      </c>
      <c r="L105" s="3" t="s">
        <v>650</v>
      </c>
      <c r="M105" s="3" t="s">
        <v>4010</v>
      </c>
      <c r="N105" s="3" t="s">
        <v>3535</v>
      </c>
      <c r="O105" s="3" t="s">
        <v>650</v>
      </c>
      <c r="P105" s="3">
        <v>0</v>
      </c>
      <c r="Q105" s="3" t="s">
        <v>4052</v>
      </c>
      <c r="R105" s="3" t="s">
        <v>1499</v>
      </c>
      <c r="S105" s="3" t="s">
        <v>650</v>
      </c>
      <c r="T105" s="3" t="s">
        <v>650</v>
      </c>
      <c r="U105" s="3" t="s">
        <v>1380</v>
      </c>
      <c r="V105" s="3" t="s">
        <v>539</v>
      </c>
      <c r="W105" s="3"/>
      <c r="X105" s="3"/>
      <c r="Y105" s="3" t="s">
        <v>2001</v>
      </c>
    </row>
    <row r="106" spans="1:25" ht="60" customHeight="1" x14ac:dyDescent="0.2">
      <c r="A106" s="3" t="s">
        <v>4828</v>
      </c>
      <c r="B106" s="3" t="s">
        <v>4829</v>
      </c>
      <c r="C106" s="3" t="s">
        <v>4823</v>
      </c>
      <c r="D106" s="3">
        <v>203</v>
      </c>
      <c r="E106" s="3" t="s">
        <v>3992</v>
      </c>
      <c r="F106" s="3" t="s">
        <v>4830</v>
      </c>
      <c r="G106" s="11" t="s">
        <v>4831</v>
      </c>
      <c r="H106" s="3" t="s">
        <v>4832</v>
      </c>
      <c r="I106" s="3" t="s">
        <v>3996</v>
      </c>
      <c r="J106" s="3" t="s">
        <v>4833</v>
      </c>
      <c r="K106" s="3" t="s">
        <v>4834</v>
      </c>
      <c r="L106" s="3" t="s">
        <v>650</v>
      </c>
      <c r="M106" s="3" t="s">
        <v>4835</v>
      </c>
      <c r="N106" s="3" t="s">
        <v>3535</v>
      </c>
      <c r="O106" s="3" t="s">
        <v>4836</v>
      </c>
      <c r="P106" s="3">
        <v>6</v>
      </c>
      <c r="Q106" s="3" t="s">
        <v>4836</v>
      </c>
      <c r="R106" s="3" t="s">
        <v>4837</v>
      </c>
      <c r="S106" s="3" t="s">
        <v>650</v>
      </c>
      <c r="T106" s="3" t="s">
        <v>650</v>
      </c>
      <c r="U106" s="3" t="s">
        <v>1380</v>
      </c>
      <c r="V106" s="3" t="s">
        <v>539</v>
      </c>
      <c r="W106" s="3"/>
      <c r="X106" s="3"/>
      <c r="Y106" s="3" t="s">
        <v>2001</v>
      </c>
    </row>
    <row r="107" spans="1:25" ht="60" customHeight="1" x14ac:dyDescent="0.2">
      <c r="A107" s="3" t="s">
        <v>4838</v>
      </c>
      <c r="B107" s="3" t="s">
        <v>4839</v>
      </c>
      <c r="C107" s="3" t="s">
        <v>4823</v>
      </c>
      <c r="D107" s="3">
        <v>326</v>
      </c>
      <c r="E107" s="3" t="s">
        <v>4003</v>
      </c>
      <c r="F107" s="3" t="s">
        <v>4840</v>
      </c>
      <c r="G107" s="11" t="s">
        <v>4841</v>
      </c>
      <c r="H107" s="3" t="s">
        <v>4842</v>
      </c>
      <c r="I107" s="3" t="s">
        <v>3996</v>
      </c>
      <c r="J107" s="3" t="s">
        <v>4843</v>
      </c>
      <c r="K107" s="3" t="s">
        <v>4844</v>
      </c>
      <c r="L107" s="3" t="s">
        <v>4845</v>
      </c>
      <c r="M107" s="3" t="s">
        <v>4056</v>
      </c>
      <c r="N107" s="3" t="s">
        <v>3535</v>
      </c>
      <c r="O107" s="3" t="s">
        <v>650</v>
      </c>
      <c r="P107" s="3">
        <v>0</v>
      </c>
      <c r="Q107" s="3" t="s">
        <v>4052</v>
      </c>
      <c r="R107" s="3" t="s">
        <v>1499</v>
      </c>
      <c r="S107" s="3" t="s">
        <v>650</v>
      </c>
      <c r="T107" s="3" t="s">
        <v>650</v>
      </c>
      <c r="U107" s="3" t="s">
        <v>1380</v>
      </c>
      <c r="V107" s="3" t="s">
        <v>700</v>
      </c>
      <c r="W107" s="3"/>
      <c r="X107" s="3"/>
      <c r="Y107" s="3" t="s">
        <v>2001</v>
      </c>
    </row>
    <row r="108" spans="1:25" ht="60" customHeight="1" x14ac:dyDescent="0.2">
      <c r="A108" s="3" t="s">
        <v>4846</v>
      </c>
      <c r="B108" s="3" t="s">
        <v>4847</v>
      </c>
      <c r="C108" s="3" t="s">
        <v>4848</v>
      </c>
      <c r="D108" s="3">
        <v>454</v>
      </c>
      <c r="E108" s="3" t="s">
        <v>3992</v>
      </c>
      <c r="F108" s="3" t="s">
        <v>4849</v>
      </c>
      <c r="G108" s="11" t="s">
        <v>4850</v>
      </c>
      <c r="H108" s="3" t="s">
        <v>4851</v>
      </c>
      <c r="I108" s="3" t="s">
        <v>3996</v>
      </c>
      <c r="J108" s="3" t="s">
        <v>4852</v>
      </c>
      <c r="K108" s="3" t="s">
        <v>4853</v>
      </c>
      <c r="L108" s="3" t="s">
        <v>650</v>
      </c>
      <c r="M108" s="3" t="s">
        <v>4854</v>
      </c>
      <c r="N108" s="3" t="s">
        <v>3535</v>
      </c>
      <c r="O108" s="3" t="s">
        <v>4855</v>
      </c>
      <c r="P108" s="3">
        <v>8</v>
      </c>
      <c r="Q108" s="3" t="s">
        <v>4856</v>
      </c>
      <c r="R108" s="3" t="s">
        <v>4857</v>
      </c>
      <c r="S108" s="3" t="s">
        <v>650</v>
      </c>
      <c r="T108" s="3" t="s">
        <v>650</v>
      </c>
      <c r="U108" s="3" t="s">
        <v>1380</v>
      </c>
      <c r="V108" s="3" t="s">
        <v>539</v>
      </c>
      <c r="W108" s="3"/>
      <c r="X108" s="3"/>
      <c r="Y108" s="3" t="s">
        <v>2001</v>
      </c>
    </row>
    <row r="109" spans="1:25" ht="60" customHeight="1" x14ac:dyDescent="0.2">
      <c r="A109" s="3" t="s">
        <v>4858</v>
      </c>
      <c r="B109" s="3" t="s">
        <v>4859</v>
      </c>
      <c r="C109" s="3" t="s">
        <v>4848</v>
      </c>
      <c r="D109" s="3">
        <v>542</v>
      </c>
      <c r="E109" s="3" t="s">
        <v>3992</v>
      </c>
      <c r="F109" s="3" t="s">
        <v>4860</v>
      </c>
      <c r="G109" s="11" t="s">
        <v>4861</v>
      </c>
      <c r="H109" s="3" t="s">
        <v>4862</v>
      </c>
      <c r="I109" s="3" t="s">
        <v>3996</v>
      </c>
      <c r="J109" s="3" t="s">
        <v>4863</v>
      </c>
      <c r="K109" s="3" t="s">
        <v>4864</v>
      </c>
      <c r="L109" s="3" t="s">
        <v>650</v>
      </c>
      <c r="M109" s="3" t="s">
        <v>4124</v>
      </c>
      <c r="N109" s="3" t="s">
        <v>3535</v>
      </c>
      <c r="O109" s="3" t="s">
        <v>4865</v>
      </c>
      <c r="P109" s="3">
        <v>1</v>
      </c>
      <c r="Q109" s="3" t="s">
        <v>4865</v>
      </c>
      <c r="R109" s="3" t="s">
        <v>4866</v>
      </c>
      <c r="S109" s="3" t="s">
        <v>650</v>
      </c>
      <c r="T109" s="3" t="s">
        <v>650</v>
      </c>
      <c r="U109" s="3" t="s">
        <v>1380</v>
      </c>
      <c r="V109" s="3" t="s">
        <v>539</v>
      </c>
      <c r="W109" s="3"/>
      <c r="X109" s="3"/>
      <c r="Y109" s="3" t="s">
        <v>2001</v>
      </c>
    </row>
    <row r="110" spans="1:25" ht="45" customHeight="1" x14ac:dyDescent="0.2">
      <c r="A110" s="3" t="s">
        <v>4867</v>
      </c>
      <c r="B110" s="3" t="s">
        <v>4868</v>
      </c>
      <c r="C110" s="3" t="s">
        <v>4848</v>
      </c>
      <c r="D110" s="3">
        <v>581</v>
      </c>
      <c r="E110" s="3" t="s">
        <v>3992</v>
      </c>
      <c r="F110" s="3" t="s">
        <v>4869</v>
      </c>
      <c r="G110" s="11" t="s">
        <v>4870</v>
      </c>
      <c r="H110" s="3" t="s">
        <v>4871</v>
      </c>
      <c r="I110" s="3" t="s">
        <v>4018</v>
      </c>
      <c r="J110" s="3" t="s">
        <v>4827</v>
      </c>
      <c r="K110" s="3" t="s">
        <v>4872</v>
      </c>
      <c r="L110" s="3" t="s">
        <v>650</v>
      </c>
      <c r="M110" s="3" t="s">
        <v>4010</v>
      </c>
      <c r="N110" s="3" t="s">
        <v>3535</v>
      </c>
      <c r="O110" s="3" t="s">
        <v>650</v>
      </c>
      <c r="P110" s="3">
        <v>0</v>
      </c>
      <c r="Q110" s="3" t="s">
        <v>4052</v>
      </c>
      <c r="R110" s="3" t="s">
        <v>1499</v>
      </c>
      <c r="S110" s="3" t="s">
        <v>650</v>
      </c>
      <c r="T110" s="3" t="s">
        <v>650</v>
      </c>
      <c r="U110" s="3" t="s">
        <v>1380</v>
      </c>
      <c r="V110" s="3" t="s">
        <v>539</v>
      </c>
      <c r="W110" s="3"/>
      <c r="X110" s="3"/>
      <c r="Y110" s="3" t="s">
        <v>2001</v>
      </c>
    </row>
    <row r="111" spans="1:25" ht="60" customHeight="1" x14ac:dyDescent="0.2">
      <c r="A111" s="3" t="s">
        <v>4873</v>
      </c>
      <c r="B111" s="3" t="s">
        <v>4874</v>
      </c>
      <c r="C111" s="3" t="s">
        <v>4848</v>
      </c>
      <c r="D111" s="3">
        <v>614</v>
      </c>
      <c r="E111" s="3" t="s">
        <v>3992</v>
      </c>
      <c r="F111" s="3" t="s">
        <v>4875</v>
      </c>
      <c r="G111" s="11" t="s">
        <v>4876</v>
      </c>
      <c r="H111" s="3" t="s">
        <v>4877</v>
      </c>
      <c r="I111" s="3" t="s">
        <v>3996</v>
      </c>
      <c r="J111" s="3" t="s">
        <v>4852</v>
      </c>
      <c r="K111" s="3" t="s">
        <v>4853</v>
      </c>
      <c r="L111" s="3" t="s">
        <v>650</v>
      </c>
      <c r="M111" s="3" t="s">
        <v>4010</v>
      </c>
      <c r="N111" s="3" t="s">
        <v>3535</v>
      </c>
      <c r="O111" s="3" t="s">
        <v>4878</v>
      </c>
      <c r="P111" s="3">
        <v>3</v>
      </c>
      <c r="Q111" s="3" t="s">
        <v>4878</v>
      </c>
      <c r="R111" s="3" t="s">
        <v>4879</v>
      </c>
      <c r="S111" s="3" t="s">
        <v>650</v>
      </c>
      <c r="T111" s="3" t="s">
        <v>650</v>
      </c>
      <c r="U111" s="3" t="s">
        <v>1380</v>
      </c>
      <c r="V111" s="3" t="s">
        <v>539</v>
      </c>
      <c r="W111" s="3"/>
      <c r="X111" s="3"/>
      <c r="Y111" s="3" t="s">
        <v>2001</v>
      </c>
    </row>
    <row r="112" spans="1:25" ht="60" customHeight="1" x14ac:dyDescent="0.2">
      <c r="A112" s="3" t="s">
        <v>4880</v>
      </c>
      <c r="B112" s="3" t="s">
        <v>4881</v>
      </c>
      <c r="C112" s="3" t="s">
        <v>4848</v>
      </c>
      <c r="D112" s="3">
        <v>650</v>
      </c>
      <c r="E112" s="3" t="s">
        <v>3992</v>
      </c>
      <c r="F112" s="3" t="s">
        <v>4882</v>
      </c>
      <c r="G112" s="11" t="s">
        <v>4883</v>
      </c>
      <c r="H112" s="3" t="s">
        <v>4884</v>
      </c>
      <c r="I112" s="3" t="s">
        <v>3996</v>
      </c>
      <c r="J112" s="3" t="s">
        <v>4852</v>
      </c>
      <c r="K112" s="3" t="s">
        <v>4853</v>
      </c>
      <c r="L112" s="3" t="s">
        <v>650</v>
      </c>
      <c r="M112" s="3" t="s">
        <v>4010</v>
      </c>
      <c r="N112" s="3" t="s">
        <v>3535</v>
      </c>
      <c r="O112" s="3" t="s">
        <v>4885</v>
      </c>
      <c r="P112" s="3">
        <v>2</v>
      </c>
      <c r="Q112" s="3" t="s">
        <v>4885</v>
      </c>
      <c r="R112" s="3" t="s">
        <v>4886</v>
      </c>
      <c r="S112" s="3" t="s">
        <v>650</v>
      </c>
      <c r="T112" s="3" t="s">
        <v>650</v>
      </c>
      <c r="U112" s="3" t="s">
        <v>1380</v>
      </c>
      <c r="V112" s="3" t="s">
        <v>539</v>
      </c>
      <c r="W112" s="3"/>
      <c r="X112" s="3"/>
      <c r="Y112" s="3" t="s">
        <v>2001</v>
      </c>
    </row>
    <row r="113" spans="1:25" ht="60" customHeight="1" x14ac:dyDescent="0.2">
      <c r="A113" s="3" t="s">
        <v>4887</v>
      </c>
      <c r="B113" s="3" t="s">
        <v>4888</v>
      </c>
      <c r="C113" s="3" t="s">
        <v>4848</v>
      </c>
      <c r="D113" s="3">
        <v>692</v>
      </c>
      <c r="E113" s="3" t="s">
        <v>3992</v>
      </c>
      <c r="F113" s="3" t="s">
        <v>4889</v>
      </c>
      <c r="G113" s="11" t="s">
        <v>4890</v>
      </c>
      <c r="H113" s="3" t="s">
        <v>4891</v>
      </c>
      <c r="I113" s="3" t="s">
        <v>3996</v>
      </c>
      <c r="J113" s="3" t="s">
        <v>4827</v>
      </c>
      <c r="K113" s="3" t="s">
        <v>4892</v>
      </c>
      <c r="L113" s="3" t="s">
        <v>650</v>
      </c>
      <c r="M113" s="3" t="s">
        <v>4010</v>
      </c>
      <c r="N113" s="3" t="s">
        <v>3535</v>
      </c>
      <c r="O113" s="3" t="s">
        <v>4865</v>
      </c>
      <c r="P113" s="3">
        <v>1</v>
      </c>
      <c r="Q113" s="3" t="s">
        <v>4865</v>
      </c>
      <c r="R113" s="3" t="s">
        <v>4893</v>
      </c>
      <c r="S113" s="3" t="s">
        <v>650</v>
      </c>
      <c r="T113" s="3" t="s">
        <v>650</v>
      </c>
      <c r="U113" s="3" t="s">
        <v>1380</v>
      </c>
      <c r="V113" s="3" t="s">
        <v>539</v>
      </c>
      <c r="W113" s="3"/>
      <c r="X113" s="3"/>
      <c r="Y113" s="3" t="s">
        <v>2001</v>
      </c>
    </row>
    <row r="114" spans="1:25" ht="45" customHeight="1" x14ac:dyDescent="0.2">
      <c r="A114" s="3" t="s">
        <v>4894</v>
      </c>
      <c r="B114" s="3" t="s">
        <v>4895</v>
      </c>
      <c r="C114" s="3" t="s">
        <v>4848</v>
      </c>
      <c r="D114" s="3">
        <v>732</v>
      </c>
      <c r="E114" s="3" t="s">
        <v>4003</v>
      </c>
      <c r="F114" s="3" t="s">
        <v>4896</v>
      </c>
      <c r="G114" s="11" t="s">
        <v>4897</v>
      </c>
      <c r="H114" s="3" t="s">
        <v>4898</v>
      </c>
      <c r="I114" s="3" t="s">
        <v>4290</v>
      </c>
      <c r="J114" s="3" t="s">
        <v>4899</v>
      </c>
      <c r="K114" s="3" t="s">
        <v>4844</v>
      </c>
      <c r="L114" s="3" t="s">
        <v>4900</v>
      </c>
      <c r="M114" s="3" t="s">
        <v>4010</v>
      </c>
      <c r="N114" s="3" t="s">
        <v>3535</v>
      </c>
      <c r="O114" s="3" t="s">
        <v>650</v>
      </c>
      <c r="P114" s="3">
        <v>0</v>
      </c>
      <c r="Q114" s="3" t="s">
        <v>4052</v>
      </c>
      <c r="R114" s="3" t="s">
        <v>1499</v>
      </c>
      <c r="S114" s="3" t="s">
        <v>650</v>
      </c>
      <c r="T114" s="3" t="s">
        <v>4901</v>
      </c>
      <c r="U114" s="3" t="s">
        <v>1380</v>
      </c>
      <c r="V114" s="3" t="s">
        <v>539</v>
      </c>
      <c r="W114" s="3"/>
      <c r="X114" s="3"/>
      <c r="Y114" s="3" t="s">
        <v>2001</v>
      </c>
    </row>
    <row r="115" spans="1:25" ht="60" customHeight="1" x14ac:dyDescent="0.2">
      <c r="A115" s="3" t="s">
        <v>4902</v>
      </c>
      <c r="B115" s="3" t="s">
        <v>4903</v>
      </c>
      <c r="C115" s="3" t="s">
        <v>4848</v>
      </c>
      <c r="D115" s="3">
        <v>762</v>
      </c>
      <c r="E115" s="3" t="s">
        <v>4003</v>
      </c>
      <c r="F115" s="3" t="s">
        <v>4904</v>
      </c>
      <c r="G115" s="11" t="s">
        <v>4905</v>
      </c>
      <c r="H115" s="3" t="s">
        <v>4906</v>
      </c>
      <c r="I115" s="3" t="s">
        <v>4290</v>
      </c>
      <c r="J115" s="3" t="s">
        <v>4827</v>
      </c>
      <c r="K115" s="3" t="s">
        <v>4008</v>
      </c>
      <c r="L115" s="3" t="s">
        <v>4020</v>
      </c>
      <c r="M115" s="3" t="s">
        <v>4907</v>
      </c>
      <c r="N115" s="3" t="s">
        <v>3535</v>
      </c>
      <c r="O115" s="3" t="s">
        <v>650</v>
      </c>
      <c r="P115" s="3">
        <v>0</v>
      </c>
      <c r="Q115" s="3" t="s">
        <v>4052</v>
      </c>
      <c r="R115" s="3" t="s">
        <v>1499</v>
      </c>
      <c r="S115" s="3" t="s">
        <v>650</v>
      </c>
      <c r="T115" s="3" t="s">
        <v>4908</v>
      </c>
      <c r="U115" s="3" t="s">
        <v>1380</v>
      </c>
      <c r="V115" s="3" t="s">
        <v>539</v>
      </c>
      <c r="W115" s="3"/>
      <c r="X115" s="3"/>
      <c r="Y115" s="3" t="s">
        <v>2001</v>
      </c>
    </row>
    <row r="116" spans="1:25" ht="60" customHeight="1" x14ac:dyDescent="0.2">
      <c r="A116" s="3" t="s">
        <v>4909</v>
      </c>
      <c r="B116" s="3" t="s">
        <v>4910</v>
      </c>
      <c r="C116" s="3" t="s">
        <v>4848</v>
      </c>
      <c r="D116" s="3">
        <v>797</v>
      </c>
      <c r="E116" s="3" t="s">
        <v>4129</v>
      </c>
      <c r="F116" s="3" t="s">
        <v>4911</v>
      </c>
      <c r="G116" s="11" t="s">
        <v>4912</v>
      </c>
      <c r="H116" s="3" t="s">
        <v>4913</v>
      </c>
      <c r="I116" s="3" t="s">
        <v>3996</v>
      </c>
      <c r="J116" s="3" t="s">
        <v>4914</v>
      </c>
      <c r="K116" s="3" t="s">
        <v>4008</v>
      </c>
      <c r="L116" s="3" t="s">
        <v>650</v>
      </c>
      <c r="M116" s="3" t="s">
        <v>4915</v>
      </c>
      <c r="N116" s="3" t="s">
        <v>3419</v>
      </c>
      <c r="O116" s="3" t="s">
        <v>650</v>
      </c>
      <c r="P116" s="3">
        <v>0</v>
      </c>
      <c r="Q116" s="3" t="s">
        <v>4052</v>
      </c>
      <c r="R116" s="3" t="s">
        <v>1499</v>
      </c>
      <c r="S116" s="3" t="s">
        <v>650</v>
      </c>
      <c r="T116" s="3" t="s">
        <v>650</v>
      </c>
      <c r="U116" s="3" t="s">
        <v>1380</v>
      </c>
      <c r="V116" s="3" t="s">
        <v>2463</v>
      </c>
      <c r="W116" s="3"/>
      <c r="X116" s="3"/>
      <c r="Y116" s="3" t="s">
        <v>2001</v>
      </c>
    </row>
    <row r="117" spans="1:25" ht="60" customHeight="1" x14ac:dyDescent="0.2">
      <c r="A117" s="3" t="s">
        <v>4916</v>
      </c>
      <c r="B117" s="3" t="s">
        <v>4917</v>
      </c>
      <c r="C117" s="3" t="s">
        <v>3991</v>
      </c>
      <c r="D117" s="3">
        <v>125</v>
      </c>
      <c r="E117" s="3" t="s">
        <v>3992</v>
      </c>
      <c r="F117" s="3" t="s">
        <v>4918</v>
      </c>
      <c r="G117" s="11" t="s">
        <v>4919</v>
      </c>
      <c r="H117" s="3" t="s">
        <v>4920</v>
      </c>
      <c r="I117" s="3" t="s">
        <v>4018</v>
      </c>
      <c r="J117" s="3" t="s">
        <v>4007</v>
      </c>
      <c r="K117" s="3" t="s">
        <v>4008</v>
      </c>
      <c r="L117" s="3" t="s">
        <v>650</v>
      </c>
      <c r="M117" s="3" t="s">
        <v>4010</v>
      </c>
      <c r="N117" s="3" t="s">
        <v>3535</v>
      </c>
      <c r="O117" s="3" t="s">
        <v>4921</v>
      </c>
      <c r="P117" s="3">
        <v>48</v>
      </c>
      <c r="Q117" s="3" t="s">
        <v>4922</v>
      </c>
      <c r="R117" s="3" t="s">
        <v>4923</v>
      </c>
      <c r="S117" s="3" t="s">
        <v>650</v>
      </c>
      <c r="T117" s="3" t="s">
        <v>650</v>
      </c>
      <c r="U117" s="3" t="s">
        <v>1380</v>
      </c>
      <c r="V117" s="3" t="s">
        <v>700</v>
      </c>
      <c r="W117" s="3"/>
      <c r="X117" s="3"/>
      <c r="Y117" s="3" t="s">
        <v>2001</v>
      </c>
    </row>
    <row r="118" spans="1:25" ht="60" customHeight="1" x14ac:dyDescent="0.2">
      <c r="A118" s="3" t="s">
        <v>4924</v>
      </c>
      <c r="B118" s="3" t="s">
        <v>4925</v>
      </c>
      <c r="C118" s="3" t="s">
        <v>4151</v>
      </c>
      <c r="D118" s="3">
        <v>34</v>
      </c>
      <c r="E118" s="3" t="s">
        <v>3992</v>
      </c>
      <c r="F118" s="3" t="s">
        <v>4110</v>
      </c>
      <c r="G118" s="11" t="s">
        <v>4926</v>
      </c>
      <c r="H118" s="3" t="s">
        <v>4927</v>
      </c>
      <c r="I118" s="3" t="s">
        <v>4290</v>
      </c>
      <c r="J118" s="3" t="s">
        <v>4164</v>
      </c>
      <c r="K118" s="3" t="s">
        <v>4066</v>
      </c>
      <c r="L118" s="3" t="s">
        <v>650</v>
      </c>
      <c r="M118" s="3" t="s">
        <v>4010</v>
      </c>
      <c r="N118" s="3" t="s">
        <v>3535</v>
      </c>
      <c r="O118" s="3" t="s">
        <v>650</v>
      </c>
      <c r="P118" s="3">
        <v>0</v>
      </c>
      <c r="Q118" s="3" t="s">
        <v>4052</v>
      </c>
      <c r="R118" s="3" t="s">
        <v>1499</v>
      </c>
      <c r="S118" s="3" t="s">
        <v>650</v>
      </c>
      <c r="T118" s="3" t="s">
        <v>650</v>
      </c>
      <c r="U118" s="3" t="s">
        <v>1380</v>
      </c>
      <c r="V118" s="3" t="s">
        <v>539</v>
      </c>
      <c r="W118" s="3"/>
      <c r="X118" s="3"/>
      <c r="Y118" s="3" t="s">
        <v>2001</v>
      </c>
    </row>
    <row r="119" spans="1:25" ht="60" customHeight="1" x14ac:dyDescent="0.2">
      <c r="A119" s="3" t="s">
        <v>4928</v>
      </c>
      <c r="B119" s="3" t="s">
        <v>4929</v>
      </c>
      <c r="C119" s="3" t="s">
        <v>4151</v>
      </c>
      <c r="D119" s="3">
        <v>131</v>
      </c>
      <c r="E119" s="3" t="s">
        <v>4003</v>
      </c>
      <c r="F119" s="3" t="s">
        <v>4110</v>
      </c>
      <c r="G119" s="11" t="s">
        <v>4930</v>
      </c>
      <c r="H119" s="3" t="s">
        <v>4931</v>
      </c>
      <c r="I119" s="3" t="s">
        <v>4290</v>
      </c>
      <c r="J119" s="3" t="s">
        <v>4932</v>
      </c>
      <c r="K119" s="3" t="s">
        <v>4933</v>
      </c>
      <c r="L119" s="3" t="s">
        <v>4020</v>
      </c>
      <c r="M119" s="3" t="s">
        <v>4010</v>
      </c>
      <c r="N119" s="3" t="s">
        <v>3535</v>
      </c>
      <c r="O119" s="3" t="s">
        <v>650</v>
      </c>
      <c r="P119" s="3">
        <v>0</v>
      </c>
      <c r="Q119" s="3" t="s">
        <v>4052</v>
      </c>
      <c r="R119" s="3" t="s">
        <v>1499</v>
      </c>
      <c r="S119" s="3" t="s">
        <v>650</v>
      </c>
      <c r="T119" s="3" t="s">
        <v>650</v>
      </c>
      <c r="U119" s="3" t="s">
        <v>1380</v>
      </c>
      <c r="V119" s="3" t="s">
        <v>539</v>
      </c>
      <c r="W119" s="3"/>
      <c r="X119" s="3"/>
      <c r="Y119" s="3" t="s">
        <v>2001</v>
      </c>
    </row>
    <row r="120" spans="1:25" ht="60" customHeight="1" x14ac:dyDescent="0.2">
      <c r="A120" s="3" t="s">
        <v>4934</v>
      </c>
      <c r="B120" s="3" t="s">
        <v>4935</v>
      </c>
      <c r="C120" s="3" t="s">
        <v>4151</v>
      </c>
      <c r="D120" s="3">
        <v>156</v>
      </c>
      <c r="E120" s="3" t="s">
        <v>3992</v>
      </c>
      <c r="F120" s="3" t="s">
        <v>4936</v>
      </c>
      <c r="G120" s="11" t="s">
        <v>4937</v>
      </c>
      <c r="H120" s="3" t="s">
        <v>4938</v>
      </c>
      <c r="I120" s="3" t="s">
        <v>3996</v>
      </c>
      <c r="J120" s="3" t="s">
        <v>4939</v>
      </c>
      <c r="K120" s="3" t="s">
        <v>4933</v>
      </c>
      <c r="L120" s="3" t="s">
        <v>650</v>
      </c>
      <c r="M120" s="3" t="s">
        <v>4010</v>
      </c>
      <c r="N120" s="3" t="s">
        <v>3535</v>
      </c>
      <c r="O120" s="3" t="s">
        <v>650</v>
      </c>
      <c r="P120" s="3">
        <v>0</v>
      </c>
      <c r="Q120" s="3" t="s">
        <v>4052</v>
      </c>
      <c r="R120" s="3" t="s">
        <v>1499</v>
      </c>
      <c r="S120" s="3" t="s">
        <v>650</v>
      </c>
      <c r="T120" s="3" t="s">
        <v>650</v>
      </c>
      <c r="U120" s="3" t="s">
        <v>1380</v>
      </c>
      <c r="V120" s="3" t="s">
        <v>700</v>
      </c>
      <c r="W120" s="3"/>
      <c r="X120" s="3"/>
      <c r="Y120" s="3" t="s">
        <v>2001</v>
      </c>
    </row>
    <row r="121" spans="1:25" ht="60" customHeight="1" x14ac:dyDescent="0.2">
      <c r="A121" s="3" t="s">
        <v>4940</v>
      </c>
      <c r="B121" s="3" t="s">
        <v>4941</v>
      </c>
      <c r="C121" s="3" t="s">
        <v>4365</v>
      </c>
      <c r="D121" s="3">
        <v>70</v>
      </c>
      <c r="E121" s="3" t="s">
        <v>3992</v>
      </c>
      <c r="F121" s="3" t="s">
        <v>4942</v>
      </c>
      <c r="G121" s="11" t="s">
        <v>4943</v>
      </c>
      <c r="H121" s="3" t="s">
        <v>4944</v>
      </c>
      <c r="I121" s="3" t="s">
        <v>4018</v>
      </c>
      <c r="J121" s="3" t="s">
        <v>4945</v>
      </c>
      <c r="K121" s="3" t="s">
        <v>4028</v>
      </c>
      <c r="L121" s="3" t="s">
        <v>650</v>
      </c>
      <c r="M121" s="3" t="s">
        <v>4946</v>
      </c>
      <c r="N121" s="3" t="s">
        <v>3535</v>
      </c>
      <c r="O121" s="3" t="s">
        <v>650</v>
      </c>
      <c r="P121" s="3">
        <v>0</v>
      </c>
      <c r="Q121" s="3" t="s">
        <v>4052</v>
      </c>
      <c r="R121" s="3" t="s">
        <v>1499</v>
      </c>
      <c r="S121" s="3" t="s">
        <v>650</v>
      </c>
      <c r="T121" s="3" t="s">
        <v>650</v>
      </c>
      <c r="U121" s="3" t="s">
        <v>1380</v>
      </c>
      <c r="V121" s="3" t="s">
        <v>700</v>
      </c>
      <c r="W121" s="3"/>
      <c r="X121" s="3"/>
      <c r="Y121" s="3" t="s">
        <v>2001</v>
      </c>
    </row>
    <row r="122" spans="1:25" ht="60" customHeight="1" x14ac:dyDescent="0.2">
      <c r="A122" s="3" t="s">
        <v>4947</v>
      </c>
      <c r="B122" s="3" t="s">
        <v>4948</v>
      </c>
      <c r="C122" s="3" t="s">
        <v>4365</v>
      </c>
      <c r="D122" s="3">
        <v>105</v>
      </c>
      <c r="E122" s="3" t="s">
        <v>3992</v>
      </c>
      <c r="F122" s="3" t="s">
        <v>4949</v>
      </c>
      <c r="G122" s="11" t="s">
        <v>4950</v>
      </c>
      <c r="H122" s="3" t="s">
        <v>4951</v>
      </c>
      <c r="I122" s="3" t="s">
        <v>4018</v>
      </c>
      <c r="J122" s="3" t="s">
        <v>4952</v>
      </c>
      <c r="K122" s="3" t="s">
        <v>4008</v>
      </c>
      <c r="L122" s="3" t="s">
        <v>650</v>
      </c>
      <c r="M122" s="3" t="s">
        <v>4010</v>
      </c>
      <c r="N122" s="3" t="s">
        <v>3535</v>
      </c>
      <c r="O122" s="3" t="s">
        <v>650</v>
      </c>
      <c r="P122" s="3">
        <v>0</v>
      </c>
      <c r="Q122" s="3" t="s">
        <v>4052</v>
      </c>
      <c r="R122" s="3" t="s">
        <v>1499</v>
      </c>
      <c r="S122" s="3" t="s">
        <v>650</v>
      </c>
      <c r="T122" s="3" t="s">
        <v>650</v>
      </c>
      <c r="U122" s="3" t="s">
        <v>1380</v>
      </c>
      <c r="V122" s="3" t="s">
        <v>700</v>
      </c>
      <c r="W122" s="3"/>
      <c r="X122" s="3"/>
      <c r="Y122" s="3" t="s">
        <v>2001</v>
      </c>
    </row>
    <row r="123" spans="1:25" ht="60" customHeight="1" x14ac:dyDescent="0.2">
      <c r="A123" s="3" t="s">
        <v>4953</v>
      </c>
      <c r="B123" s="3" t="s">
        <v>4954</v>
      </c>
      <c r="C123" s="3" t="s">
        <v>4374</v>
      </c>
      <c r="D123" s="3">
        <v>29</v>
      </c>
      <c r="E123" s="3" t="s">
        <v>4136</v>
      </c>
      <c r="F123" s="3" t="s">
        <v>4110</v>
      </c>
      <c r="G123" s="11" t="s">
        <v>4955</v>
      </c>
      <c r="H123" s="3" t="s">
        <v>4956</v>
      </c>
      <c r="I123" s="3" t="s">
        <v>4018</v>
      </c>
      <c r="J123" s="3" t="s">
        <v>4957</v>
      </c>
      <c r="K123" s="3" t="s">
        <v>4028</v>
      </c>
      <c r="L123" s="3" t="s">
        <v>650</v>
      </c>
      <c r="M123" s="3" t="s">
        <v>4010</v>
      </c>
      <c r="N123" s="3" t="s">
        <v>3535</v>
      </c>
      <c r="O123" s="3" t="s">
        <v>650</v>
      </c>
      <c r="P123" s="3">
        <v>0</v>
      </c>
      <c r="Q123" s="3" t="s">
        <v>4052</v>
      </c>
      <c r="R123" s="3" t="s">
        <v>1499</v>
      </c>
      <c r="S123" s="3" t="s">
        <v>650</v>
      </c>
      <c r="T123" s="3" t="s">
        <v>650</v>
      </c>
      <c r="U123" s="3" t="s">
        <v>1380</v>
      </c>
      <c r="V123" s="3" t="s">
        <v>700</v>
      </c>
      <c r="W123" s="3"/>
      <c r="X123" s="3"/>
      <c r="Y123" s="3" t="s">
        <v>2001</v>
      </c>
    </row>
    <row r="124" spans="1:25" ht="60" customHeight="1" x14ac:dyDescent="0.2">
      <c r="A124" s="3" t="s">
        <v>4958</v>
      </c>
      <c r="B124" s="3" t="s">
        <v>4959</v>
      </c>
      <c r="C124" s="3" t="s">
        <v>4960</v>
      </c>
      <c r="D124" s="3">
        <v>161</v>
      </c>
      <c r="E124" s="3" t="s">
        <v>3992</v>
      </c>
      <c r="F124" s="3" t="s">
        <v>4961</v>
      </c>
      <c r="G124" s="11" t="s">
        <v>4962</v>
      </c>
      <c r="H124" s="3" t="s">
        <v>4963</v>
      </c>
      <c r="I124" s="3" t="s">
        <v>4018</v>
      </c>
      <c r="J124" s="3" t="s">
        <v>4964</v>
      </c>
      <c r="K124" s="3" t="s">
        <v>4965</v>
      </c>
      <c r="L124" s="3" t="s">
        <v>650</v>
      </c>
      <c r="M124" s="3" t="s">
        <v>4010</v>
      </c>
      <c r="N124" s="3" t="s">
        <v>3535</v>
      </c>
      <c r="O124" s="3" t="s">
        <v>4966</v>
      </c>
      <c r="P124" s="3">
        <v>8</v>
      </c>
      <c r="Q124" s="3" t="s">
        <v>4967</v>
      </c>
      <c r="R124" s="3" t="s">
        <v>4968</v>
      </c>
      <c r="S124" s="3" t="s">
        <v>650</v>
      </c>
      <c r="T124" s="3" t="s">
        <v>650</v>
      </c>
      <c r="U124" s="3" t="s">
        <v>1380</v>
      </c>
      <c r="V124" s="3" t="s">
        <v>2463</v>
      </c>
      <c r="W124" s="3"/>
      <c r="X124" s="3"/>
      <c r="Y124" s="3" t="s">
        <v>2001</v>
      </c>
    </row>
    <row r="125" spans="1:25" ht="60" customHeight="1" x14ac:dyDescent="0.2">
      <c r="A125" s="3" t="s">
        <v>4969</v>
      </c>
      <c r="B125" s="3" t="s">
        <v>4970</v>
      </c>
      <c r="C125" s="3" t="s">
        <v>4374</v>
      </c>
      <c r="D125" s="3">
        <v>275</v>
      </c>
      <c r="E125" s="3" t="s">
        <v>4136</v>
      </c>
      <c r="F125" s="3" t="s">
        <v>4110</v>
      </c>
      <c r="G125" s="11" t="s">
        <v>4971</v>
      </c>
      <c r="H125" s="3" t="s">
        <v>4971</v>
      </c>
      <c r="I125" s="3" t="s">
        <v>4018</v>
      </c>
      <c r="J125" s="3" t="s">
        <v>4972</v>
      </c>
      <c r="K125" s="3" t="s">
        <v>4028</v>
      </c>
      <c r="L125" s="3" t="s">
        <v>650</v>
      </c>
      <c r="M125" s="3" t="s">
        <v>4010</v>
      </c>
      <c r="N125" s="3" t="s">
        <v>3535</v>
      </c>
      <c r="O125" s="3" t="s">
        <v>4249</v>
      </c>
      <c r="P125" s="3">
        <v>1</v>
      </c>
      <c r="Q125" s="3" t="s">
        <v>4249</v>
      </c>
      <c r="R125" s="3" t="s">
        <v>4973</v>
      </c>
      <c r="S125" s="3" t="s">
        <v>650</v>
      </c>
      <c r="T125" s="3" t="s">
        <v>650</v>
      </c>
      <c r="U125" s="3" t="s">
        <v>1380</v>
      </c>
      <c r="V125" s="3" t="s">
        <v>505</v>
      </c>
      <c r="W125" s="3"/>
      <c r="X125" s="3"/>
      <c r="Y125" s="3" t="s">
        <v>2001</v>
      </c>
    </row>
    <row r="126" spans="1:25" ht="60" customHeight="1" x14ac:dyDescent="0.2">
      <c r="A126" s="3" t="s">
        <v>4974</v>
      </c>
      <c r="B126" s="3" t="s">
        <v>4975</v>
      </c>
      <c r="C126" s="3" t="s">
        <v>4488</v>
      </c>
      <c r="D126" s="3">
        <v>87</v>
      </c>
      <c r="E126" s="3" t="s">
        <v>3992</v>
      </c>
      <c r="F126" s="3" t="s">
        <v>4976</v>
      </c>
      <c r="G126" s="11" t="s">
        <v>4977</v>
      </c>
      <c r="H126" s="3" t="s">
        <v>4978</v>
      </c>
      <c r="I126" s="3" t="s">
        <v>4018</v>
      </c>
      <c r="J126" s="3" t="s">
        <v>4979</v>
      </c>
      <c r="K126" s="3" t="s">
        <v>4008</v>
      </c>
      <c r="L126" s="3" t="s">
        <v>650</v>
      </c>
      <c r="M126" s="3" t="s">
        <v>4980</v>
      </c>
      <c r="N126" s="3" t="s">
        <v>3535</v>
      </c>
      <c r="O126" s="3" t="s">
        <v>4057</v>
      </c>
      <c r="P126" s="3">
        <v>2</v>
      </c>
      <c r="Q126" s="3" t="s">
        <v>4058</v>
      </c>
      <c r="R126" s="3" t="s">
        <v>4981</v>
      </c>
      <c r="S126" s="3" t="s">
        <v>650</v>
      </c>
      <c r="T126" s="3" t="s">
        <v>650</v>
      </c>
      <c r="U126" s="3" t="s">
        <v>1380</v>
      </c>
      <c r="V126" s="3" t="s">
        <v>700</v>
      </c>
      <c r="W126" s="3"/>
      <c r="X126" s="3"/>
      <c r="Y126" s="3" t="s">
        <v>2001</v>
      </c>
    </row>
    <row r="127" spans="1:25" ht="60" customHeight="1" x14ac:dyDescent="0.2">
      <c r="A127" s="3" t="s">
        <v>4982</v>
      </c>
      <c r="B127" s="3" t="s">
        <v>4983</v>
      </c>
      <c r="C127" s="3" t="s">
        <v>4823</v>
      </c>
      <c r="D127" s="3">
        <v>92</v>
      </c>
      <c r="E127" s="3" t="s">
        <v>4136</v>
      </c>
      <c r="F127" s="3" t="s">
        <v>4110</v>
      </c>
      <c r="G127" s="11" t="s">
        <v>4984</v>
      </c>
      <c r="H127" s="3" t="s">
        <v>4984</v>
      </c>
      <c r="I127" s="3" t="s">
        <v>3996</v>
      </c>
      <c r="J127" s="3" t="s">
        <v>4985</v>
      </c>
      <c r="K127" s="3" t="s">
        <v>4028</v>
      </c>
      <c r="L127" s="3" t="s">
        <v>650</v>
      </c>
      <c r="M127" s="3" t="s">
        <v>4010</v>
      </c>
      <c r="N127" s="3" t="s">
        <v>3535</v>
      </c>
      <c r="O127" s="3" t="s">
        <v>650</v>
      </c>
      <c r="P127" s="3">
        <v>0</v>
      </c>
      <c r="Q127" s="3" t="s">
        <v>4052</v>
      </c>
      <c r="R127" s="3" t="s">
        <v>1499</v>
      </c>
      <c r="S127" s="3" t="s">
        <v>650</v>
      </c>
      <c r="T127" s="3" t="s">
        <v>650</v>
      </c>
      <c r="U127" s="3" t="s">
        <v>1380</v>
      </c>
      <c r="V127" s="3" t="s">
        <v>700</v>
      </c>
      <c r="W127" s="3"/>
      <c r="X127" s="3"/>
      <c r="Y127" s="3" t="s">
        <v>2001</v>
      </c>
    </row>
    <row r="128" spans="1:25" ht="60" customHeight="1" x14ac:dyDescent="0.2">
      <c r="A128" s="3" t="s">
        <v>4986</v>
      </c>
      <c r="B128" s="3" t="s">
        <v>4987</v>
      </c>
      <c r="C128" s="3" t="s">
        <v>4848</v>
      </c>
      <c r="D128" s="3">
        <v>118</v>
      </c>
      <c r="E128" s="3" t="s">
        <v>4136</v>
      </c>
      <c r="F128" s="3" t="s">
        <v>4110</v>
      </c>
      <c r="G128" s="11" t="s">
        <v>4988</v>
      </c>
      <c r="H128" s="3" t="s">
        <v>4988</v>
      </c>
      <c r="I128" s="3" t="s">
        <v>3996</v>
      </c>
      <c r="J128" s="3" t="s">
        <v>4989</v>
      </c>
      <c r="K128" s="3" t="s">
        <v>4028</v>
      </c>
      <c r="L128" s="3" t="s">
        <v>4990</v>
      </c>
      <c r="M128" s="3" t="s">
        <v>4010</v>
      </c>
      <c r="N128" s="3" t="s">
        <v>3535</v>
      </c>
      <c r="O128" s="3" t="s">
        <v>650</v>
      </c>
      <c r="P128" s="3">
        <v>0</v>
      </c>
      <c r="Q128" s="3" t="s">
        <v>4052</v>
      </c>
      <c r="R128" s="3" t="s">
        <v>1499</v>
      </c>
      <c r="S128" s="3" t="s">
        <v>650</v>
      </c>
      <c r="T128" s="3" t="s">
        <v>650</v>
      </c>
      <c r="U128" s="3" t="s">
        <v>1380</v>
      </c>
      <c r="V128" s="3" t="s">
        <v>700</v>
      </c>
      <c r="W128" s="3"/>
      <c r="X128" s="3"/>
      <c r="Y128" s="3" t="s">
        <v>2001</v>
      </c>
    </row>
    <row r="129" spans="1:25" ht="60" customHeight="1" x14ac:dyDescent="0.2">
      <c r="A129" s="3" t="s">
        <v>4991</v>
      </c>
      <c r="B129" s="3" t="s">
        <v>4992</v>
      </c>
      <c r="C129" s="3" t="s">
        <v>4848</v>
      </c>
      <c r="D129" s="3">
        <v>151</v>
      </c>
      <c r="E129" s="3" t="s">
        <v>4136</v>
      </c>
      <c r="F129" s="3" t="s">
        <v>4110</v>
      </c>
      <c r="G129" s="11" t="s">
        <v>4993</v>
      </c>
      <c r="H129" s="3" t="s">
        <v>4994</v>
      </c>
      <c r="I129" s="3" t="s">
        <v>4018</v>
      </c>
      <c r="J129" s="3" t="s">
        <v>4995</v>
      </c>
      <c r="K129" s="3" t="s">
        <v>4028</v>
      </c>
      <c r="L129" s="3" t="s">
        <v>650</v>
      </c>
      <c r="M129" s="3" t="s">
        <v>4996</v>
      </c>
      <c r="N129" s="3" t="s">
        <v>3419</v>
      </c>
      <c r="O129" s="3" t="s">
        <v>650</v>
      </c>
      <c r="P129" s="3">
        <v>0</v>
      </c>
      <c r="Q129" s="3" t="s">
        <v>4052</v>
      </c>
      <c r="R129" s="3" t="s">
        <v>1499</v>
      </c>
      <c r="S129" s="3" t="s">
        <v>650</v>
      </c>
      <c r="T129" s="3" t="s">
        <v>650</v>
      </c>
      <c r="U129" s="3" t="s">
        <v>1380</v>
      </c>
      <c r="V129" s="3" t="s">
        <v>700</v>
      </c>
      <c r="W129" s="3"/>
      <c r="X129" s="3"/>
      <c r="Y129" s="3" t="s">
        <v>2001</v>
      </c>
    </row>
    <row r="130" spans="1:25" ht="60" customHeight="1" x14ac:dyDescent="0.2">
      <c r="A130" s="3" t="s">
        <v>4997</v>
      </c>
      <c r="B130" s="3" t="s">
        <v>4998</v>
      </c>
      <c r="C130" s="3" t="s">
        <v>4848</v>
      </c>
      <c r="D130" s="3">
        <v>187</v>
      </c>
      <c r="E130" s="3" t="s">
        <v>4136</v>
      </c>
      <c r="F130" s="3" t="s">
        <v>4999</v>
      </c>
      <c r="G130" s="11" t="s">
        <v>5000</v>
      </c>
      <c r="H130" s="3" t="s">
        <v>5000</v>
      </c>
      <c r="I130" s="3" t="s">
        <v>4018</v>
      </c>
      <c r="J130" s="3" t="s">
        <v>4995</v>
      </c>
      <c r="K130" s="3" t="s">
        <v>4028</v>
      </c>
      <c r="L130" s="3" t="s">
        <v>650</v>
      </c>
      <c r="M130" s="3" t="s">
        <v>4010</v>
      </c>
      <c r="N130" s="3" t="s">
        <v>3535</v>
      </c>
      <c r="O130" s="3" t="s">
        <v>650</v>
      </c>
      <c r="P130" s="3">
        <v>0</v>
      </c>
      <c r="Q130" s="3" t="s">
        <v>4052</v>
      </c>
      <c r="R130" s="3" t="s">
        <v>1499</v>
      </c>
      <c r="S130" s="3" t="s">
        <v>650</v>
      </c>
      <c r="T130" s="3" t="s">
        <v>650</v>
      </c>
      <c r="U130" s="3" t="s">
        <v>1380</v>
      </c>
      <c r="V130" s="3" t="s">
        <v>700</v>
      </c>
      <c r="W130" s="3"/>
      <c r="X130" s="3"/>
      <c r="Y130" s="3" t="s">
        <v>2001</v>
      </c>
    </row>
    <row r="131" spans="1:25" ht="60" customHeight="1" x14ac:dyDescent="0.2">
      <c r="A131" s="3" t="s">
        <v>5001</v>
      </c>
      <c r="B131" s="3" t="s">
        <v>5002</v>
      </c>
      <c r="C131" s="3" t="s">
        <v>4848</v>
      </c>
      <c r="D131" s="3">
        <v>210</v>
      </c>
      <c r="E131" s="3" t="s">
        <v>4136</v>
      </c>
      <c r="F131" s="3" t="s">
        <v>4110</v>
      </c>
      <c r="G131" s="11" t="s">
        <v>5003</v>
      </c>
      <c r="H131" s="3" t="s">
        <v>5004</v>
      </c>
      <c r="I131" s="3" t="s">
        <v>4018</v>
      </c>
      <c r="J131" s="3" t="s">
        <v>4995</v>
      </c>
      <c r="K131" s="3" t="s">
        <v>5005</v>
      </c>
      <c r="L131" s="3" t="s">
        <v>650</v>
      </c>
      <c r="M131" s="3" t="s">
        <v>5006</v>
      </c>
      <c r="N131" s="3" t="s">
        <v>3535</v>
      </c>
      <c r="O131" s="3" t="s">
        <v>5007</v>
      </c>
      <c r="P131" s="3">
        <v>1</v>
      </c>
      <c r="Q131" s="3" t="s">
        <v>5007</v>
      </c>
      <c r="R131" s="3" t="s">
        <v>5008</v>
      </c>
      <c r="S131" s="3" t="s">
        <v>650</v>
      </c>
      <c r="T131" s="3" t="s">
        <v>650</v>
      </c>
      <c r="U131" s="3" t="s">
        <v>1380</v>
      </c>
      <c r="V131" s="3" t="s">
        <v>700</v>
      </c>
      <c r="W131" s="3"/>
      <c r="X131" s="3"/>
      <c r="Y131" s="3" t="s">
        <v>2001</v>
      </c>
    </row>
    <row r="132" spans="1:25" ht="60" customHeight="1" x14ac:dyDescent="0.2">
      <c r="A132" s="3" t="s">
        <v>5009</v>
      </c>
      <c r="B132" s="3" t="s">
        <v>5010</v>
      </c>
      <c r="C132" s="3" t="s">
        <v>4848</v>
      </c>
      <c r="D132" s="3">
        <v>250</v>
      </c>
      <c r="E132" s="3" t="s">
        <v>3992</v>
      </c>
      <c r="F132" s="3" t="s">
        <v>4110</v>
      </c>
      <c r="G132" s="11" t="s">
        <v>5011</v>
      </c>
      <c r="H132" s="3" t="s">
        <v>5012</v>
      </c>
      <c r="I132" s="3" t="s">
        <v>3996</v>
      </c>
      <c r="J132" s="3" t="s">
        <v>5013</v>
      </c>
      <c r="K132" s="3" t="s">
        <v>5014</v>
      </c>
      <c r="L132" s="3" t="s">
        <v>650</v>
      </c>
      <c r="M132" s="3" t="s">
        <v>5015</v>
      </c>
      <c r="N132" s="3" t="s">
        <v>3535</v>
      </c>
      <c r="O132" s="3" t="s">
        <v>5007</v>
      </c>
      <c r="P132" s="3">
        <v>1</v>
      </c>
      <c r="Q132" s="3" t="s">
        <v>5007</v>
      </c>
      <c r="R132" s="3" t="s">
        <v>5016</v>
      </c>
      <c r="S132" s="3" t="s">
        <v>650</v>
      </c>
      <c r="T132" s="3" t="s">
        <v>650</v>
      </c>
      <c r="U132" s="3" t="s">
        <v>1380</v>
      </c>
      <c r="V132" s="3" t="s">
        <v>539</v>
      </c>
      <c r="W132" s="3"/>
      <c r="X132" s="3"/>
      <c r="Y132" s="3" t="s">
        <v>2001</v>
      </c>
    </row>
    <row r="133" spans="1:25" ht="60" customHeight="1" x14ac:dyDescent="0.2">
      <c r="A133" s="3" t="s">
        <v>5017</v>
      </c>
      <c r="B133" s="3" t="s">
        <v>5018</v>
      </c>
      <c r="C133" s="3" t="s">
        <v>4848</v>
      </c>
      <c r="D133" s="3">
        <v>299</v>
      </c>
      <c r="E133" s="3" t="s">
        <v>4136</v>
      </c>
      <c r="F133" s="3" t="s">
        <v>4110</v>
      </c>
      <c r="G133" s="11" t="s">
        <v>5019</v>
      </c>
      <c r="H133" s="3" t="s">
        <v>5020</v>
      </c>
      <c r="I133" s="3" t="s">
        <v>4290</v>
      </c>
      <c r="J133" s="3" t="s">
        <v>5021</v>
      </c>
      <c r="K133" s="3" t="s">
        <v>4028</v>
      </c>
      <c r="L133" s="3" t="s">
        <v>650</v>
      </c>
      <c r="M133" s="3" t="s">
        <v>4010</v>
      </c>
      <c r="N133" s="3" t="s">
        <v>3535</v>
      </c>
      <c r="O133" s="3" t="s">
        <v>650</v>
      </c>
      <c r="P133" s="3">
        <v>0</v>
      </c>
      <c r="Q133" s="3" t="s">
        <v>4052</v>
      </c>
      <c r="R133" s="3" t="s">
        <v>1499</v>
      </c>
      <c r="S133" s="3" t="s">
        <v>650</v>
      </c>
      <c r="T133" s="3" t="s">
        <v>650</v>
      </c>
      <c r="U133" s="3" t="s">
        <v>1380</v>
      </c>
      <c r="V133" s="3" t="s">
        <v>539</v>
      </c>
      <c r="W133" s="3"/>
      <c r="X133" s="3"/>
      <c r="Y133" s="3" t="s">
        <v>2001</v>
      </c>
    </row>
    <row r="134" spans="1:25" ht="60" customHeight="1" x14ac:dyDescent="0.2">
      <c r="A134" s="3" t="s">
        <v>5022</v>
      </c>
      <c r="B134" s="3" t="s">
        <v>5023</v>
      </c>
      <c r="C134" s="3" t="s">
        <v>4848</v>
      </c>
      <c r="D134" s="3">
        <v>347</v>
      </c>
      <c r="E134" s="3" t="s">
        <v>3992</v>
      </c>
      <c r="F134" s="3" t="s">
        <v>5024</v>
      </c>
      <c r="G134" s="11" t="s">
        <v>5025</v>
      </c>
      <c r="H134" s="3" t="s">
        <v>5026</v>
      </c>
      <c r="I134" s="3" t="s">
        <v>3996</v>
      </c>
      <c r="J134" s="3" t="s">
        <v>5027</v>
      </c>
      <c r="K134" s="3" t="s">
        <v>5014</v>
      </c>
      <c r="L134" s="3" t="s">
        <v>650</v>
      </c>
      <c r="M134" s="3" t="s">
        <v>4010</v>
      </c>
      <c r="N134" s="3" t="s">
        <v>3535</v>
      </c>
      <c r="O134" s="3" t="s">
        <v>5028</v>
      </c>
      <c r="P134" s="3">
        <v>3</v>
      </c>
      <c r="Q134" s="3" t="s">
        <v>5028</v>
      </c>
      <c r="R134" s="3" t="s">
        <v>5029</v>
      </c>
      <c r="S134" s="3" t="s">
        <v>650</v>
      </c>
      <c r="T134" s="3" t="s">
        <v>650</v>
      </c>
      <c r="U134" s="3" t="s">
        <v>1380</v>
      </c>
      <c r="V134" s="3" t="s">
        <v>539</v>
      </c>
      <c r="W134" s="3"/>
      <c r="X134" s="3"/>
      <c r="Y134" s="3" t="s">
        <v>2001</v>
      </c>
    </row>
    <row r="135" spans="1:25" ht="60" customHeight="1" x14ac:dyDescent="0.2">
      <c r="A135" s="3" t="s">
        <v>5030</v>
      </c>
      <c r="B135" s="3" t="s">
        <v>5031</v>
      </c>
      <c r="C135" s="3" t="s">
        <v>4848</v>
      </c>
      <c r="D135" s="3">
        <v>392</v>
      </c>
      <c r="E135" s="3" t="s">
        <v>3992</v>
      </c>
      <c r="F135" s="3" t="s">
        <v>5032</v>
      </c>
      <c r="G135" s="11" t="s">
        <v>5033</v>
      </c>
      <c r="H135" s="3" t="s">
        <v>5034</v>
      </c>
      <c r="I135" s="3" t="s">
        <v>4018</v>
      </c>
      <c r="J135" s="3" t="s">
        <v>5035</v>
      </c>
      <c r="K135" s="3" t="s">
        <v>5014</v>
      </c>
      <c r="L135" s="3" t="s">
        <v>650</v>
      </c>
      <c r="M135" s="3" t="s">
        <v>4010</v>
      </c>
      <c r="N135" s="3" t="s">
        <v>3535</v>
      </c>
      <c r="O135" s="3" t="s">
        <v>5036</v>
      </c>
      <c r="P135" s="3">
        <v>2</v>
      </c>
      <c r="Q135" s="3" t="s">
        <v>5036</v>
      </c>
      <c r="R135" s="3" t="s">
        <v>5037</v>
      </c>
      <c r="S135" s="3" t="s">
        <v>650</v>
      </c>
      <c r="T135" s="3" t="s">
        <v>650</v>
      </c>
      <c r="U135" s="3" t="s">
        <v>1380</v>
      </c>
      <c r="V135" s="3" t="s">
        <v>539</v>
      </c>
      <c r="W135" s="3"/>
      <c r="X135" s="3"/>
      <c r="Y135" s="3" t="s">
        <v>2001</v>
      </c>
    </row>
    <row r="136" spans="1:25" ht="60" customHeight="1" x14ac:dyDescent="0.2">
      <c r="A136" s="3" t="s">
        <v>5038</v>
      </c>
      <c r="B136" s="3" t="s">
        <v>5039</v>
      </c>
      <c r="C136" s="3" t="s">
        <v>4960</v>
      </c>
      <c r="D136" s="3">
        <v>74</v>
      </c>
      <c r="E136" s="3" t="s">
        <v>4136</v>
      </c>
      <c r="F136" s="3" t="s">
        <v>4110</v>
      </c>
      <c r="G136" s="11" t="s">
        <v>5040</v>
      </c>
      <c r="H136" s="3" t="s">
        <v>5041</v>
      </c>
      <c r="I136" s="3" t="s">
        <v>4018</v>
      </c>
      <c r="J136" s="3" t="s">
        <v>4964</v>
      </c>
      <c r="K136" s="3" t="s">
        <v>4008</v>
      </c>
      <c r="L136" s="3" t="s">
        <v>650</v>
      </c>
      <c r="M136" s="3" t="s">
        <v>4010</v>
      </c>
      <c r="N136" s="3" t="s">
        <v>3535</v>
      </c>
      <c r="O136" s="3" t="s">
        <v>650</v>
      </c>
      <c r="P136" s="3">
        <v>0</v>
      </c>
      <c r="Q136" s="3" t="s">
        <v>4052</v>
      </c>
      <c r="R136" s="3" t="s">
        <v>1499</v>
      </c>
      <c r="S136" s="3" t="s">
        <v>650</v>
      </c>
      <c r="T136" s="3" t="s">
        <v>650</v>
      </c>
      <c r="U136" s="3" t="s">
        <v>1380</v>
      </c>
      <c r="V136" s="3" t="s">
        <v>700</v>
      </c>
      <c r="W136" s="3"/>
      <c r="X136" s="3"/>
      <c r="Y136" s="3" t="s">
        <v>2001</v>
      </c>
    </row>
    <row r="137" spans="1:25" ht="60" customHeight="1" x14ac:dyDescent="0.2">
      <c r="A137" s="3" t="s">
        <v>5042</v>
      </c>
      <c r="B137" s="3" t="s">
        <v>2843</v>
      </c>
      <c r="C137" s="3" t="s">
        <v>4960</v>
      </c>
      <c r="D137" s="3">
        <v>101</v>
      </c>
      <c r="E137" s="3" t="s">
        <v>3992</v>
      </c>
      <c r="F137" s="3" t="s">
        <v>5043</v>
      </c>
      <c r="G137" s="11" t="s">
        <v>5044</v>
      </c>
      <c r="H137" s="3" t="s">
        <v>5045</v>
      </c>
      <c r="I137" s="3" t="s">
        <v>4018</v>
      </c>
      <c r="J137" s="3" t="s">
        <v>5046</v>
      </c>
      <c r="K137" s="3" t="s">
        <v>4008</v>
      </c>
      <c r="L137" s="3" t="s">
        <v>650</v>
      </c>
      <c r="M137" s="3" t="s">
        <v>4010</v>
      </c>
      <c r="N137" s="3" t="s">
        <v>3535</v>
      </c>
      <c r="O137" s="3" t="s">
        <v>5047</v>
      </c>
      <c r="P137" s="3">
        <v>3</v>
      </c>
      <c r="Q137" s="3" t="s">
        <v>5048</v>
      </c>
      <c r="R137" s="3" t="s">
        <v>5049</v>
      </c>
      <c r="S137" s="3" t="s">
        <v>650</v>
      </c>
      <c r="T137" s="3" t="s">
        <v>650</v>
      </c>
      <c r="U137" s="3" t="s">
        <v>1380</v>
      </c>
      <c r="V137" s="3" t="s">
        <v>2463</v>
      </c>
      <c r="W137" s="3"/>
      <c r="X137" s="3"/>
      <c r="Y137" s="3" t="s">
        <v>2001</v>
      </c>
    </row>
    <row r="138" spans="1:25" ht="60" customHeight="1" x14ac:dyDescent="0.2">
      <c r="A138" s="3" t="s">
        <v>5050</v>
      </c>
      <c r="B138" s="3" t="s">
        <v>5051</v>
      </c>
      <c r="C138" s="3" t="s">
        <v>4960</v>
      </c>
      <c r="D138" s="3">
        <v>131</v>
      </c>
      <c r="E138" s="3" t="s">
        <v>3992</v>
      </c>
      <c r="F138" s="3" t="s">
        <v>5052</v>
      </c>
      <c r="G138" s="11" t="s">
        <v>5053</v>
      </c>
      <c r="H138" s="3" t="s">
        <v>5054</v>
      </c>
      <c r="I138" s="3" t="s">
        <v>4018</v>
      </c>
      <c r="J138" s="3" t="s">
        <v>5055</v>
      </c>
      <c r="K138" s="3" t="s">
        <v>4965</v>
      </c>
      <c r="L138" s="3" t="s">
        <v>650</v>
      </c>
      <c r="M138" s="3" t="s">
        <v>4010</v>
      </c>
      <c r="N138" s="3" t="s">
        <v>3535</v>
      </c>
      <c r="O138" s="3" t="s">
        <v>5056</v>
      </c>
      <c r="P138" s="3">
        <v>5</v>
      </c>
      <c r="Q138" s="3" t="s">
        <v>5057</v>
      </c>
      <c r="R138" s="3" t="s">
        <v>5058</v>
      </c>
      <c r="S138" s="3" t="s">
        <v>650</v>
      </c>
      <c r="T138" s="3" t="s">
        <v>650</v>
      </c>
      <c r="U138" s="3" t="s">
        <v>1380</v>
      </c>
      <c r="V138" s="3" t="s">
        <v>2463</v>
      </c>
      <c r="W138" s="3"/>
      <c r="X138" s="3"/>
      <c r="Y138" s="3" t="s">
        <v>2001</v>
      </c>
    </row>
    <row r="139" spans="1:25" ht="60" customHeight="1" x14ac:dyDescent="0.2">
      <c r="A139" s="3" t="s">
        <v>5059</v>
      </c>
      <c r="B139" s="3" t="s">
        <v>5060</v>
      </c>
      <c r="C139" s="3" t="s">
        <v>4960</v>
      </c>
      <c r="D139" s="3">
        <v>203</v>
      </c>
      <c r="E139" s="3" t="s">
        <v>3992</v>
      </c>
      <c r="F139" s="3" t="s">
        <v>5061</v>
      </c>
      <c r="G139" s="11" t="s">
        <v>5062</v>
      </c>
      <c r="H139" s="3" t="s">
        <v>5063</v>
      </c>
      <c r="I139" s="3" t="s">
        <v>3996</v>
      </c>
      <c r="J139" s="3" t="s">
        <v>4964</v>
      </c>
      <c r="K139" s="3" t="s">
        <v>4008</v>
      </c>
      <c r="L139" s="3" t="s">
        <v>650</v>
      </c>
      <c r="M139" s="3" t="s">
        <v>4021</v>
      </c>
      <c r="N139" s="3" t="s">
        <v>3535</v>
      </c>
      <c r="O139" s="3" t="s">
        <v>5064</v>
      </c>
      <c r="P139" s="3">
        <v>9</v>
      </c>
      <c r="Q139" s="3" t="s">
        <v>5065</v>
      </c>
      <c r="R139" s="3" t="s">
        <v>5066</v>
      </c>
      <c r="S139" s="3" t="s">
        <v>650</v>
      </c>
      <c r="T139" s="3" t="s">
        <v>650</v>
      </c>
      <c r="U139" s="3" t="s">
        <v>1380</v>
      </c>
      <c r="V139" s="3" t="s">
        <v>505</v>
      </c>
      <c r="W139" s="3"/>
      <c r="X139" s="3"/>
      <c r="Y139" s="3" t="s">
        <v>2001</v>
      </c>
    </row>
    <row r="140" spans="1:25" ht="60" customHeight="1" x14ac:dyDescent="0.2">
      <c r="A140" s="3" t="s">
        <v>5067</v>
      </c>
      <c r="B140" s="3" t="s">
        <v>5068</v>
      </c>
      <c r="C140" s="3" t="s">
        <v>4960</v>
      </c>
      <c r="D140" s="3">
        <v>253</v>
      </c>
      <c r="E140" s="3" t="s">
        <v>3992</v>
      </c>
      <c r="F140" s="3" t="s">
        <v>4110</v>
      </c>
      <c r="G140" s="11" t="s">
        <v>5069</v>
      </c>
      <c r="H140" s="3" t="s">
        <v>5070</v>
      </c>
      <c r="I140" s="3" t="s">
        <v>3996</v>
      </c>
      <c r="J140" s="3" t="s">
        <v>4964</v>
      </c>
      <c r="K140" s="3" t="s">
        <v>5071</v>
      </c>
      <c r="L140" s="3" t="s">
        <v>650</v>
      </c>
      <c r="M140" s="3" t="s">
        <v>5072</v>
      </c>
      <c r="N140" s="3" t="s">
        <v>3535</v>
      </c>
      <c r="O140" s="3" t="s">
        <v>5073</v>
      </c>
      <c r="P140" s="3">
        <v>15</v>
      </c>
      <c r="Q140" s="3" t="s">
        <v>5074</v>
      </c>
      <c r="R140" s="3" t="s">
        <v>5075</v>
      </c>
      <c r="S140" s="3" t="s">
        <v>650</v>
      </c>
      <c r="T140" s="3" t="s">
        <v>650</v>
      </c>
      <c r="U140" s="3" t="s">
        <v>1380</v>
      </c>
      <c r="V140" s="3" t="s">
        <v>505</v>
      </c>
      <c r="W140" s="3"/>
      <c r="X140" s="3"/>
      <c r="Y140" s="3" t="s">
        <v>2001</v>
      </c>
    </row>
    <row r="141" spans="1:25" ht="60" customHeight="1" x14ac:dyDescent="0.2">
      <c r="A141" s="3" t="s">
        <v>5076</v>
      </c>
      <c r="B141" s="3" t="s">
        <v>5077</v>
      </c>
      <c r="C141" s="3" t="s">
        <v>4960</v>
      </c>
      <c r="D141" s="3">
        <v>323</v>
      </c>
      <c r="E141" s="3" t="s">
        <v>3992</v>
      </c>
      <c r="F141" s="3" t="s">
        <v>5078</v>
      </c>
      <c r="G141" s="11" t="s">
        <v>5079</v>
      </c>
      <c r="H141" s="3" t="s">
        <v>5080</v>
      </c>
      <c r="I141" s="3" t="s">
        <v>4018</v>
      </c>
      <c r="J141" s="3" t="s">
        <v>4964</v>
      </c>
      <c r="K141" s="3" t="s">
        <v>4257</v>
      </c>
      <c r="L141" s="3" t="s">
        <v>650</v>
      </c>
      <c r="M141" s="3" t="s">
        <v>5081</v>
      </c>
      <c r="N141" s="3" t="s">
        <v>3535</v>
      </c>
      <c r="O141" s="3" t="s">
        <v>5082</v>
      </c>
      <c r="P141" s="3">
        <v>16</v>
      </c>
      <c r="Q141" s="3" t="s">
        <v>5083</v>
      </c>
      <c r="R141" s="3" t="s">
        <v>5084</v>
      </c>
      <c r="S141" s="3" t="s">
        <v>650</v>
      </c>
      <c r="T141" s="3" t="s">
        <v>650</v>
      </c>
      <c r="U141" s="3" t="s">
        <v>1380</v>
      </c>
      <c r="V141" s="3" t="s">
        <v>505</v>
      </c>
      <c r="W141" s="3"/>
      <c r="X141" s="3"/>
      <c r="Y141" s="3" t="s">
        <v>2001</v>
      </c>
    </row>
    <row r="142" spans="1:25" ht="60" customHeight="1" x14ac:dyDescent="0.2">
      <c r="A142" s="3" t="s">
        <v>5085</v>
      </c>
      <c r="B142" s="3" t="s">
        <v>5086</v>
      </c>
      <c r="C142" s="3" t="s">
        <v>4960</v>
      </c>
      <c r="D142" s="3">
        <v>382</v>
      </c>
      <c r="E142" s="3" t="s">
        <v>3992</v>
      </c>
      <c r="F142" s="3" t="s">
        <v>4110</v>
      </c>
      <c r="G142" s="11" t="s">
        <v>5087</v>
      </c>
      <c r="H142" s="3" t="s">
        <v>5088</v>
      </c>
      <c r="I142" s="3" t="s">
        <v>3996</v>
      </c>
      <c r="J142" s="3" t="s">
        <v>4964</v>
      </c>
      <c r="K142" s="3" t="s">
        <v>5089</v>
      </c>
      <c r="L142" s="3" t="s">
        <v>650</v>
      </c>
      <c r="M142" s="3" t="s">
        <v>4056</v>
      </c>
      <c r="N142" s="3" t="s">
        <v>3535</v>
      </c>
      <c r="O142" s="3" t="s">
        <v>5090</v>
      </c>
      <c r="P142" s="3">
        <v>21</v>
      </c>
      <c r="Q142" s="3" t="s">
        <v>5091</v>
      </c>
      <c r="R142" s="3" t="s">
        <v>5092</v>
      </c>
      <c r="S142" s="3" t="s">
        <v>650</v>
      </c>
      <c r="T142" s="3" t="s">
        <v>650</v>
      </c>
      <c r="U142" s="3" t="s">
        <v>1380</v>
      </c>
      <c r="V142" s="3" t="s">
        <v>505</v>
      </c>
      <c r="W142" s="3"/>
      <c r="X142" s="3"/>
      <c r="Y142" s="3" t="s">
        <v>2001</v>
      </c>
    </row>
    <row r="143" spans="1:25" ht="45" customHeight="1" x14ac:dyDescent="0.2">
      <c r="A143" s="3" t="s">
        <v>5093</v>
      </c>
      <c r="B143" s="3" t="s">
        <v>5094</v>
      </c>
      <c r="C143" s="3" t="s">
        <v>5095</v>
      </c>
      <c r="D143" s="3">
        <v>43</v>
      </c>
      <c r="E143" s="3" t="s">
        <v>4136</v>
      </c>
      <c r="F143" s="3" t="s">
        <v>5096</v>
      </c>
      <c r="G143" s="11" t="s">
        <v>5097</v>
      </c>
      <c r="H143" s="3" t="s">
        <v>5098</v>
      </c>
      <c r="I143" s="3" t="s">
        <v>4290</v>
      </c>
      <c r="J143" s="3" t="s">
        <v>5099</v>
      </c>
      <c r="K143" s="3" t="s">
        <v>4484</v>
      </c>
      <c r="L143" s="3" t="s">
        <v>650</v>
      </c>
      <c r="M143" s="3" t="s">
        <v>4010</v>
      </c>
      <c r="N143" s="3" t="s">
        <v>3535</v>
      </c>
      <c r="O143" s="3" t="s">
        <v>5100</v>
      </c>
      <c r="P143" s="3">
        <v>1</v>
      </c>
      <c r="Q143" s="3" t="s">
        <v>5100</v>
      </c>
      <c r="R143" s="3" t="s">
        <v>5101</v>
      </c>
      <c r="S143" s="3" t="s">
        <v>650</v>
      </c>
      <c r="T143" s="3" t="s">
        <v>650</v>
      </c>
      <c r="U143" s="3" t="s">
        <v>1380</v>
      </c>
      <c r="V143" s="3" t="s">
        <v>539</v>
      </c>
      <c r="W143" s="3"/>
      <c r="X143" s="3"/>
      <c r="Y143" s="3" t="s">
        <v>2001</v>
      </c>
    </row>
    <row r="144" spans="1:25" ht="60" customHeight="1" x14ac:dyDescent="0.2">
      <c r="A144" s="3" t="s">
        <v>5102</v>
      </c>
      <c r="B144" s="3" t="s">
        <v>5103</v>
      </c>
      <c r="C144" s="3" t="s">
        <v>5104</v>
      </c>
      <c r="D144" s="3">
        <v>53</v>
      </c>
      <c r="E144" s="3" t="s">
        <v>4129</v>
      </c>
      <c r="F144" s="3" t="s">
        <v>5105</v>
      </c>
      <c r="G144" s="11" t="s">
        <v>5106</v>
      </c>
      <c r="H144" s="3" t="s">
        <v>5107</v>
      </c>
      <c r="I144" s="3" t="s">
        <v>4290</v>
      </c>
      <c r="J144" s="3" t="s">
        <v>5108</v>
      </c>
      <c r="K144" s="3" t="s">
        <v>4028</v>
      </c>
      <c r="L144" s="3" t="s">
        <v>650</v>
      </c>
      <c r="M144" s="3" t="s">
        <v>4010</v>
      </c>
      <c r="N144" s="3" t="s">
        <v>3419</v>
      </c>
      <c r="O144" s="3" t="s">
        <v>5109</v>
      </c>
      <c r="P144" s="3">
        <v>4</v>
      </c>
      <c r="Q144" s="3" t="s">
        <v>5110</v>
      </c>
      <c r="R144" s="3" t="s">
        <v>5111</v>
      </c>
      <c r="S144" s="3" t="s">
        <v>650</v>
      </c>
      <c r="T144" s="3" t="s">
        <v>650</v>
      </c>
      <c r="U144" s="3" t="s">
        <v>1380</v>
      </c>
      <c r="V144" s="3" t="s">
        <v>539</v>
      </c>
      <c r="W144" s="3"/>
      <c r="X144" s="3"/>
      <c r="Y144" s="3" t="s">
        <v>2001</v>
      </c>
    </row>
    <row r="145" spans="1:25" ht="60" customHeight="1" x14ac:dyDescent="0.2">
      <c r="A145" s="3" t="s">
        <v>5112</v>
      </c>
      <c r="B145" s="3" t="s">
        <v>5113</v>
      </c>
      <c r="C145" s="3" t="s">
        <v>5104</v>
      </c>
      <c r="D145" s="3">
        <v>92</v>
      </c>
      <c r="E145" s="3" t="s">
        <v>4129</v>
      </c>
      <c r="F145" s="3" t="s">
        <v>5114</v>
      </c>
      <c r="G145" s="11" t="s">
        <v>5115</v>
      </c>
      <c r="H145" s="3" t="s">
        <v>5116</v>
      </c>
      <c r="I145" s="3" t="s">
        <v>4018</v>
      </c>
      <c r="J145" s="3" t="s">
        <v>4164</v>
      </c>
      <c r="K145" s="3" t="s">
        <v>4028</v>
      </c>
      <c r="L145" s="3" t="s">
        <v>650</v>
      </c>
      <c r="M145" s="3" t="s">
        <v>5117</v>
      </c>
      <c r="N145" s="3" t="s">
        <v>3419</v>
      </c>
      <c r="O145" s="3" t="s">
        <v>5118</v>
      </c>
      <c r="P145" s="3">
        <v>7</v>
      </c>
      <c r="Q145" s="3" t="s">
        <v>5119</v>
      </c>
      <c r="R145" s="3" t="s">
        <v>5120</v>
      </c>
      <c r="S145" s="3" t="s">
        <v>650</v>
      </c>
      <c r="T145" s="3" t="s">
        <v>650</v>
      </c>
      <c r="U145" s="3" t="s">
        <v>1380</v>
      </c>
      <c r="V145" s="3" t="s">
        <v>539</v>
      </c>
      <c r="W145" s="3"/>
      <c r="X145" s="3"/>
      <c r="Y145" s="3" t="s">
        <v>2001</v>
      </c>
    </row>
    <row r="146" spans="1:25" ht="60" customHeight="1" x14ac:dyDescent="0.2">
      <c r="A146" s="3" t="s">
        <v>5121</v>
      </c>
      <c r="B146" s="3" t="s">
        <v>5122</v>
      </c>
      <c r="C146" s="3" t="s">
        <v>5104</v>
      </c>
      <c r="D146" s="3">
        <v>137</v>
      </c>
      <c r="E146" s="3" t="s">
        <v>4129</v>
      </c>
      <c r="F146" s="3" t="s">
        <v>4110</v>
      </c>
      <c r="G146" s="11" t="s">
        <v>5123</v>
      </c>
      <c r="H146" s="3" t="s">
        <v>5124</v>
      </c>
      <c r="I146" s="3" t="s">
        <v>4018</v>
      </c>
      <c r="J146" s="3" t="s">
        <v>5108</v>
      </c>
      <c r="K146" s="3" t="s">
        <v>5125</v>
      </c>
      <c r="L146" s="3" t="s">
        <v>650</v>
      </c>
      <c r="M146" s="3" t="s">
        <v>4010</v>
      </c>
      <c r="N146" s="3" t="s">
        <v>3419</v>
      </c>
      <c r="O146" s="3" t="s">
        <v>5126</v>
      </c>
      <c r="P146" s="3">
        <v>4</v>
      </c>
      <c r="Q146" s="3" t="s">
        <v>5127</v>
      </c>
      <c r="R146" s="3" t="s">
        <v>5128</v>
      </c>
      <c r="S146" s="3" t="s">
        <v>650</v>
      </c>
      <c r="T146" s="3" t="s">
        <v>650</v>
      </c>
      <c r="U146" s="3" t="s">
        <v>1380</v>
      </c>
      <c r="V146" s="3" t="s">
        <v>539</v>
      </c>
      <c r="W146" s="3"/>
      <c r="X146" s="3"/>
      <c r="Y146" s="3" t="s">
        <v>2001</v>
      </c>
    </row>
    <row r="147" spans="1:25" ht="60" customHeight="1" x14ac:dyDescent="0.2">
      <c r="A147" s="3" t="s">
        <v>5129</v>
      </c>
      <c r="B147" s="3" t="s">
        <v>5130</v>
      </c>
      <c r="C147" s="3" t="s">
        <v>5104</v>
      </c>
      <c r="D147" s="3">
        <v>181</v>
      </c>
      <c r="E147" s="3" t="s">
        <v>4129</v>
      </c>
      <c r="F147" s="3" t="s">
        <v>4110</v>
      </c>
      <c r="G147" s="11" t="s">
        <v>5131</v>
      </c>
      <c r="H147" s="3" t="s">
        <v>5132</v>
      </c>
      <c r="I147" s="3" t="s">
        <v>4018</v>
      </c>
      <c r="J147" s="3" t="s">
        <v>4194</v>
      </c>
      <c r="K147" s="3" t="s">
        <v>5133</v>
      </c>
      <c r="L147" s="3" t="s">
        <v>650</v>
      </c>
      <c r="M147" s="3" t="s">
        <v>4010</v>
      </c>
      <c r="N147" s="3" t="s">
        <v>3419</v>
      </c>
      <c r="O147" s="3" t="s">
        <v>4203</v>
      </c>
      <c r="P147" s="3">
        <v>2</v>
      </c>
      <c r="Q147" s="3" t="s">
        <v>4204</v>
      </c>
      <c r="R147" s="3" t="s">
        <v>5134</v>
      </c>
      <c r="S147" s="3" t="s">
        <v>650</v>
      </c>
      <c r="T147" s="3" t="s">
        <v>650</v>
      </c>
      <c r="U147" s="3" t="s">
        <v>1380</v>
      </c>
      <c r="V147" s="3" t="s">
        <v>539</v>
      </c>
      <c r="W147" s="3"/>
      <c r="X147" s="3"/>
      <c r="Y147" s="3" t="s">
        <v>2001</v>
      </c>
    </row>
    <row r="148" spans="1:25" ht="60" customHeight="1" x14ac:dyDescent="0.2">
      <c r="A148" s="3" t="s">
        <v>5135</v>
      </c>
      <c r="B148" s="3" t="s">
        <v>5136</v>
      </c>
      <c r="C148" s="3" t="s">
        <v>5104</v>
      </c>
      <c r="D148" s="3">
        <v>213</v>
      </c>
      <c r="E148" s="3" t="s">
        <v>4129</v>
      </c>
      <c r="F148" s="3" t="s">
        <v>4110</v>
      </c>
      <c r="G148" s="11" t="s">
        <v>5137</v>
      </c>
      <c r="H148" s="3" t="s">
        <v>5138</v>
      </c>
      <c r="I148" s="3" t="s">
        <v>3996</v>
      </c>
      <c r="J148" s="3" t="s">
        <v>5139</v>
      </c>
      <c r="K148" s="3" t="s">
        <v>5140</v>
      </c>
      <c r="L148" s="3" t="s">
        <v>650</v>
      </c>
      <c r="M148" s="3" t="s">
        <v>4010</v>
      </c>
      <c r="N148" s="3" t="s">
        <v>3419</v>
      </c>
      <c r="O148" s="3" t="s">
        <v>5141</v>
      </c>
      <c r="P148" s="3">
        <v>9</v>
      </c>
      <c r="Q148" s="3" t="s">
        <v>5142</v>
      </c>
      <c r="R148" s="3" t="s">
        <v>5143</v>
      </c>
      <c r="S148" s="3" t="s">
        <v>650</v>
      </c>
      <c r="T148" s="3" t="s">
        <v>650</v>
      </c>
      <c r="U148" s="3" t="s">
        <v>1380</v>
      </c>
      <c r="V148" s="3" t="s">
        <v>539</v>
      </c>
      <c r="W148" s="3"/>
      <c r="X148" s="3"/>
      <c r="Y148" s="3" t="s">
        <v>2001</v>
      </c>
    </row>
    <row r="149" spans="1:25" ht="60" customHeight="1" x14ac:dyDescent="0.2">
      <c r="A149" s="3" t="s">
        <v>5144</v>
      </c>
      <c r="B149" s="3" t="s">
        <v>1660</v>
      </c>
      <c r="C149" s="3" t="s">
        <v>4035</v>
      </c>
      <c r="D149" s="3">
        <v>168</v>
      </c>
      <c r="E149" s="3" t="s">
        <v>4136</v>
      </c>
      <c r="F149" s="3" t="s">
        <v>5145</v>
      </c>
      <c r="G149" s="11" t="s">
        <v>5146</v>
      </c>
      <c r="H149" s="3" t="s">
        <v>5147</v>
      </c>
      <c r="I149" s="3" t="s">
        <v>4018</v>
      </c>
      <c r="J149" s="3" t="s">
        <v>4972</v>
      </c>
      <c r="K149" s="3" t="s">
        <v>4008</v>
      </c>
      <c r="L149" s="3" t="s">
        <v>650</v>
      </c>
      <c r="M149" s="3" t="s">
        <v>4010</v>
      </c>
      <c r="N149" s="3" t="s">
        <v>3535</v>
      </c>
      <c r="O149" s="3" t="s">
        <v>4249</v>
      </c>
      <c r="P149" s="3">
        <v>1</v>
      </c>
      <c r="Q149" s="3" t="s">
        <v>4249</v>
      </c>
      <c r="R149" s="3" t="s">
        <v>5148</v>
      </c>
      <c r="S149" s="3" t="s">
        <v>650</v>
      </c>
      <c r="T149" s="3" t="s">
        <v>650</v>
      </c>
      <c r="U149" s="3" t="s">
        <v>1380</v>
      </c>
      <c r="V149" s="3" t="s">
        <v>505</v>
      </c>
      <c r="W149" s="3"/>
      <c r="X149" s="3"/>
      <c r="Y149" s="3" t="s">
        <v>2001</v>
      </c>
    </row>
    <row r="150" spans="1:25" ht="60" customHeight="1" x14ac:dyDescent="0.2">
      <c r="A150" s="3" t="s">
        <v>5149</v>
      </c>
      <c r="B150" s="3" t="s">
        <v>5150</v>
      </c>
      <c r="C150" s="3" t="s">
        <v>4035</v>
      </c>
      <c r="D150" s="3">
        <v>198</v>
      </c>
      <c r="E150" s="3" t="s">
        <v>4129</v>
      </c>
      <c r="F150" s="3" t="s">
        <v>5151</v>
      </c>
      <c r="G150" s="11" t="s">
        <v>5152</v>
      </c>
      <c r="H150" s="3" t="s">
        <v>5153</v>
      </c>
      <c r="I150" s="3" t="s">
        <v>3996</v>
      </c>
      <c r="J150" s="3" t="s">
        <v>4039</v>
      </c>
      <c r="K150" s="3" t="s">
        <v>4040</v>
      </c>
      <c r="L150" s="3" t="s">
        <v>650</v>
      </c>
      <c r="M150" s="3" t="s">
        <v>4010</v>
      </c>
      <c r="N150" s="3" t="s">
        <v>3419</v>
      </c>
      <c r="O150" s="3" t="s">
        <v>5154</v>
      </c>
      <c r="P150" s="3">
        <v>60</v>
      </c>
      <c r="Q150" s="3" t="s">
        <v>5155</v>
      </c>
      <c r="R150" s="3" t="s">
        <v>5156</v>
      </c>
      <c r="S150" s="3" t="s">
        <v>650</v>
      </c>
      <c r="T150" s="3" t="s">
        <v>650</v>
      </c>
      <c r="U150" s="3" t="s">
        <v>1380</v>
      </c>
      <c r="V150" s="3" t="s">
        <v>577</v>
      </c>
      <c r="W150" s="3"/>
      <c r="X150" s="3"/>
      <c r="Y150" s="3" t="s">
        <v>2001</v>
      </c>
    </row>
    <row r="151" spans="1:25" ht="60" customHeight="1" x14ac:dyDescent="0.2">
      <c r="A151" s="3" t="s">
        <v>5157</v>
      </c>
      <c r="B151" s="3" t="s">
        <v>5158</v>
      </c>
      <c r="C151" s="3" t="s">
        <v>4035</v>
      </c>
      <c r="D151" s="3">
        <v>301</v>
      </c>
      <c r="E151" s="3" t="s">
        <v>3992</v>
      </c>
      <c r="F151" s="3" t="s">
        <v>5159</v>
      </c>
      <c r="G151" s="11" t="s">
        <v>5160</v>
      </c>
      <c r="H151" s="3" t="s">
        <v>5161</v>
      </c>
      <c r="I151" s="3" t="s">
        <v>3996</v>
      </c>
      <c r="J151" s="3" t="s">
        <v>4039</v>
      </c>
      <c r="K151" s="3" t="s">
        <v>5162</v>
      </c>
      <c r="L151" s="3" t="s">
        <v>650</v>
      </c>
      <c r="M151" s="3" t="s">
        <v>4010</v>
      </c>
      <c r="N151" s="3" t="s">
        <v>3535</v>
      </c>
      <c r="O151" s="3" t="s">
        <v>5163</v>
      </c>
      <c r="P151" s="3">
        <v>6</v>
      </c>
      <c r="Q151" s="3" t="s">
        <v>5164</v>
      </c>
      <c r="R151" s="3" t="s">
        <v>5165</v>
      </c>
      <c r="S151" s="3" t="s">
        <v>650</v>
      </c>
      <c r="T151" s="3" t="s">
        <v>650</v>
      </c>
      <c r="U151" s="3" t="s">
        <v>1380</v>
      </c>
      <c r="V151" s="3" t="s">
        <v>700</v>
      </c>
      <c r="W151" s="3"/>
      <c r="X151" s="3"/>
      <c r="Y151" s="3" t="s">
        <v>2001</v>
      </c>
    </row>
    <row r="152" spans="1:25" ht="45" customHeight="1" x14ac:dyDescent="0.2">
      <c r="A152" s="3" t="s">
        <v>5166</v>
      </c>
      <c r="B152" s="3" t="s">
        <v>5167</v>
      </c>
      <c r="C152" s="3" t="s">
        <v>4035</v>
      </c>
      <c r="D152" s="3">
        <v>441</v>
      </c>
      <c r="E152" s="3" t="s">
        <v>4136</v>
      </c>
      <c r="F152" s="3" t="s">
        <v>5168</v>
      </c>
      <c r="G152" s="11" t="s">
        <v>5169</v>
      </c>
      <c r="H152" s="3" t="s">
        <v>5169</v>
      </c>
      <c r="I152" s="3" t="s">
        <v>4018</v>
      </c>
      <c r="J152" s="3" t="s">
        <v>4194</v>
      </c>
      <c r="K152" s="3" t="s">
        <v>4484</v>
      </c>
      <c r="L152" s="3" t="s">
        <v>650</v>
      </c>
      <c r="M152" s="3" t="s">
        <v>4010</v>
      </c>
      <c r="N152" s="3" t="s">
        <v>3419</v>
      </c>
      <c r="O152" s="3" t="s">
        <v>4203</v>
      </c>
      <c r="P152" s="3">
        <v>2</v>
      </c>
      <c r="Q152" s="3" t="s">
        <v>4204</v>
      </c>
      <c r="R152" s="3" t="s">
        <v>5170</v>
      </c>
      <c r="S152" s="3" t="s">
        <v>650</v>
      </c>
      <c r="T152" s="3" t="s">
        <v>650</v>
      </c>
      <c r="U152" s="3" t="s">
        <v>1380</v>
      </c>
      <c r="V152" s="3" t="s">
        <v>700</v>
      </c>
      <c r="W152" s="3"/>
      <c r="X152" s="3"/>
      <c r="Y152" s="3" t="s">
        <v>2001</v>
      </c>
    </row>
    <row r="153" spans="1:25" ht="60" customHeight="1" x14ac:dyDescent="0.2">
      <c r="A153" s="3" t="s">
        <v>5171</v>
      </c>
      <c r="B153" s="3" t="s">
        <v>5172</v>
      </c>
      <c r="C153" s="3" t="s">
        <v>4151</v>
      </c>
      <c r="D153" s="3">
        <v>112</v>
      </c>
      <c r="E153" s="3" t="s">
        <v>3992</v>
      </c>
      <c r="F153" s="3" t="s">
        <v>4110</v>
      </c>
      <c r="G153" s="11" t="s">
        <v>5173</v>
      </c>
      <c r="H153" s="3" t="s">
        <v>5174</v>
      </c>
      <c r="I153" s="3" t="s">
        <v>4290</v>
      </c>
      <c r="J153" s="3" t="s">
        <v>5175</v>
      </c>
      <c r="K153" s="3" t="s">
        <v>4008</v>
      </c>
      <c r="L153" s="3" t="s">
        <v>650</v>
      </c>
      <c r="M153" s="3" t="s">
        <v>4056</v>
      </c>
      <c r="N153" s="3" t="s">
        <v>3535</v>
      </c>
      <c r="O153" s="3" t="s">
        <v>650</v>
      </c>
      <c r="P153" s="3">
        <v>0</v>
      </c>
      <c r="Q153" s="3" t="s">
        <v>4052</v>
      </c>
      <c r="R153" s="3" t="s">
        <v>1499</v>
      </c>
      <c r="S153" s="3" t="s">
        <v>650</v>
      </c>
      <c r="T153" s="3" t="s">
        <v>650</v>
      </c>
      <c r="U153" s="3" t="s">
        <v>1380</v>
      </c>
      <c r="V153" s="3" t="s">
        <v>539</v>
      </c>
      <c r="W153" s="3"/>
      <c r="X153" s="3"/>
      <c r="Y153" s="3" t="s">
        <v>2001</v>
      </c>
    </row>
    <row r="154" spans="1:25" ht="60" customHeight="1" x14ac:dyDescent="0.2">
      <c r="A154" s="3" t="s">
        <v>5176</v>
      </c>
      <c r="B154" s="3" t="s">
        <v>5177</v>
      </c>
      <c r="C154" s="3" t="s">
        <v>4374</v>
      </c>
      <c r="D154" s="3">
        <v>186</v>
      </c>
      <c r="E154" s="3" t="s">
        <v>3992</v>
      </c>
      <c r="F154" s="3" t="s">
        <v>5178</v>
      </c>
      <c r="G154" s="11" t="s">
        <v>5179</v>
      </c>
      <c r="H154" s="3" t="s">
        <v>5180</v>
      </c>
      <c r="I154" s="3" t="s">
        <v>4018</v>
      </c>
      <c r="J154" s="3" t="s">
        <v>4378</v>
      </c>
      <c r="K154" s="3" t="s">
        <v>4066</v>
      </c>
      <c r="L154" s="3" t="s">
        <v>650</v>
      </c>
      <c r="M154" s="3" t="s">
        <v>5181</v>
      </c>
      <c r="N154" s="3" t="s">
        <v>3535</v>
      </c>
      <c r="O154" s="3" t="s">
        <v>4380</v>
      </c>
      <c r="P154" s="3">
        <v>1</v>
      </c>
      <c r="Q154" s="3" t="s">
        <v>4380</v>
      </c>
      <c r="R154" s="3" t="s">
        <v>5182</v>
      </c>
      <c r="S154" s="3" t="s">
        <v>650</v>
      </c>
      <c r="T154" s="3" t="s">
        <v>650</v>
      </c>
      <c r="U154" s="3" t="s">
        <v>1380</v>
      </c>
      <c r="V154" s="3" t="s">
        <v>700</v>
      </c>
      <c r="W154" s="3"/>
      <c r="X154" s="3"/>
      <c r="Y154" s="3" t="s">
        <v>2001</v>
      </c>
    </row>
    <row r="155" spans="1:25" ht="60" customHeight="1" x14ac:dyDescent="0.2">
      <c r="A155" s="3" t="s">
        <v>5183</v>
      </c>
      <c r="B155" s="3" t="s">
        <v>5184</v>
      </c>
      <c r="C155" s="3" t="s">
        <v>4823</v>
      </c>
      <c r="D155" s="3">
        <v>130</v>
      </c>
      <c r="E155" s="3" t="s">
        <v>4136</v>
      </c>
      <c r="F155" s="3" t="s">
        <v>4110</v>
      </c>
      <c r="G155" s="11" t="s">
        <v>5185</v>
      </c>
      <c r="H155" s="3" t="s">
        <v>5186</v>
      </c>
      <c r="I155" s="3" t="s">
        <v>3996</v>
      </c>
      <c r="J155" s="3" t="s">
        <v>5187</v>
      </c>
      <c r="K155" s="3" t="s">
        <v>4028</v>
      </c>
      <c r="L155" s="3" t="s">
        <v>650</v>
      </c>
      <c r="M155" s="3" t="s">
        <v>5188</v>
      </c>
      <c r="N155" s="3" t="s">
        <v>3535</v>
      </c>
      <c r="O155" s="3" t="s">
        <v>650</v>
      </c>
      <c r="P155" s="3">
        <v>0</v>
      </c>
      <c r="Q155" s="3" t="s">
        <v>4052</v>
      </c>
      <c r="R155" s="3" t="s">
        <v>1499</v>
      </c>
      <c r="S155" s="3" t="s">
        <v>650</v>
      </c>
      <c r="T155" s="3" t="s">
        <v>650</v>
      </c>
      <c r="U155" s="3" t="s">
        <v>1380</v>
      </c>
      <c r="V155" s="3" t="s">
        <v>700</v>
      </c>
      <c r="W155" s="3"/>
      <c r="X155" s="3"/>
      <c r="Y155" s="3" t="s">
        <v>2001</v>
      </c>
    </row>
    <row r="156" spans="1:25" ht="45" customHeight="1" x14ac:dyDescent="0.2">
      <c r="A156" s="3" t="s">
        <v>5189</v>
      </c>
      <c r="B156" s="3" t="s">
        <v>5190</v>
      </c>
      <c r="C156" s="3" t="s">
        <v>5191</v>
      </c>
      <c r="D156" s="3">
        <v>38</v>
      </c>
      <c r="E156" s="3" t="s">
        <v>4003</v>
      </c>
      <c r="F156" s="3" t="s">
        <v>5192</v>
      </c>
      <c r="G156" s="11" t="s">
        <v>5193</v>
      </c>
      <c r="H156" s="3" t="s">
        <v>5194</v>
      </c>
      <c r="I156" s="3" t="s">
        <v>3996</v>
      </c>
      <c r="J156" s="3" t="s">
        <v>5195</v>
      </c>
      <c r="K156" s="3" t="s">
        <v>4844</v>
      </c>
      <c r="L156" s="3" t="s">
        <v>4020</v>
      </c>
      <c r="M156" s="3" t="s">
        <v>4010</v>
      </c>
      <c r="N156" s="3" t="s">
        <v>3535</v>
      </c>
      <c r="O156" s="3" t="s">
        <v>5196</v>
      </c>
      <c r="P156" s="3">
        <v>1</v>
      </c>
      <c r="Q156" s="3" t="s">
        <v>5196</v>
      </c>
      <c r="R156" s="3" t="s">
        <v>5197</v>
      </c>
      <c r="S156" s="3" t="s">
        <v>650</v>
      </c>
      <c r="T156" s="3" t="s">
        <v>650</v>
      </c>
      <c r="U156" s="3" t="s">
        <v>1380</v>
      </c>
      <c r="V156" s="3" t="s">
        <v>700</v>
      </c>
      <c r="W156" s="3"/>
      <c r="X156" s="3"/>
      <c r="Y156" s="3" t="s">
        <v>2001</v>
      </c>
    </row>
    <row r="157" spans="1:25" ht="60" customHeight="1" x14ac:dyDescent="0.2">
      <c r="A157" s="3" t="s">
        <v>5198</v>
      </c>
      <c r="B157" s="3" t="s">
        <v>5199</v>
      </c>
      <c r="C157" s="3" t="s">
        <v>5191</v>
      </c>
      <c r="D157" s="3">
        <v>64</v>
      </c>
      <c r="E157" s="3" t="s">
        <v>4003</v>
      </c>
      <c r="F157" s="3" t="s">
        <v>5200</v>
      </c>
      <c r="G157" s="11" t="s">
        <v>5201</v>
      </c>
      <c r="H157" s="3" t="s">
        <v>5202</v>
      </c>
      <c r="I157" s="3" t="s">
        <v>3996</v>
      </c>
      <c r="J157" s="3" t="s">
        <v>5203</v>
      </c>
      <c r="K157" s="3" t="s">
        <v>5204</v>
      </c>
      <c r="L157" s="3" t="s">
        <v>4020</v>
      </c>
      <c r="M157" s="3" t="s">
        <v>4010</v>
      </c>
      <c r="N157" s="3" t="s">
        <v>3535</v>
      </c>
      <c r="O157" s="3" t="s">
        <v>5205</v>
      </c>
      <c r="P157" s="3">
        <v>1</v>
      </c>
      <c r="Q157" s="3" t="s">
        <v>5205</v>
      </c>
      <c r="R157" s="3" t="s">
        <v>5206</v>
      </c>
      <c r="S157" s="3" t="s">
        <v>650</v>
      </c>
      <c r="T157" s="3" t="s">
        <v>650</v>
      </c>
      <c r="U157" s="3" t="s">
        <v>1380</v>
      </c>
      <c r="V157" s="3" t="s">
        <v>700</v>
      </c>
      <c r="W157" s="3"/>
      <c r="X157" s="3"/>
      <c r="Y157" s="3" t="s">
        <v>2001</v>
      </c>
    </row>
    <row r="158" spans="1:25" ht="60" customHeight="1" x14ac:dyDescent="0.2">
      <c r="A158" s="3" t="s">
        <v>5207</v>
      </c>
      <c r="B158" s="3" t="s">
        <v>5208</v>
      </c>
      <c r="C158" s="3" t="s">
        <v>5191</v>
      </c>
      <c r="D158" s="3">
        <v>114</v>
      </c>
      <c r="E158" s="3" t="s">
        <v>4003</v>
      </c>
      <c r="F158" s="3" t="s">
        <v>5209</v>
      </c>
      <c r="G158" s="11" t="s">
        <v>5210</v>
      </c>
      <c r="H158" s="3" t="s">
        <v>5211</v>
      </c>
      <c r="I158" s="3" t="s">
        <v>4065</v>
      </c>
      <c r="J158" s="3" t="s">
        <v>4601</v>
      </c>
      <c r="K158" s="3" t="s">
        <v>5212</v>
      </c>
      <c r="L158" s="3" t="s">
        <v>4020</v>
      </c>
      <c r="M158" s="3" t="s">
        <v>4124</v>
      </c>
      <c r="N158" s="3" t="s">
        <v>3535</v>
      </c>
      <c r="O158" s="3" t="s">
        <v>4057</v>
      </c>
      <c r="P158" s="3">
        <v>2</v>
      </c>
      <c r="Q158" s="3" t="s">
        <v>4058</v>
      </c>
      <c r="R158" s="3" t="s">
        <v>5213</v>
      </c>
      <c r="S158" s="3" t="s">
        <v>650</v>
      </c>
      <c r="T158" s="3" t="s">
        <v>650</v>
      </c>
      <c r="U158" s="3" t="s">
        <v>1380</v>
      </c>
      <c r="V158" s="3" t="s">
        <v>428</v>
      </c>
      <c r="W158" s="3"/>
      <c r="X158" s="3"/>
      <c r="Y158" s="3" t="s">
        <v>2001</v>
      </c>
    </row>
    <row r="159" spans="1:25" ht="45" customHeight="1" x14ac:dyDescent="0.2">
      <c r="A159" s="3" t="s">
        <v>5214</v>
      </c>
      <c r="B159" s="3" t="s">
        <v>5215</v>
      </c>
      <c r="C159" s="3" t="s">
        <v>5191</v>
      </c>
      <c r="D159" s="3">
        <v>159</v>
      </c>
      <c r="E159" s="3" t="s">
        <v>4003</v>
      </c>
      <c r="F159" s="3" t="s">
        <v>5216</v>
      </c>
      <c r="G159" s="11" t="s">
        <v>5217</v>
      </c>
      <c r="H159" s="3" t="s">
        <v>5218</v>
      </c>
      <c r="I159" s="3" t="s">
        <v>3996</v>
      </c>
      <c r="J159" s="3" t="s">
        <v>4007</v>
      </c>
      <c r="K159" s="3" t="s">
        <v>4484</v>
      </c>
      <c r="L159" s="3" t="s">
        <v>4020</v>
      </c>
      <c r="M159" s="3" t="s">
        <v>4010</v>
      </c>
      <c r="N159" s="3" t="s">
        <v>3535</v>
      </c>
      <c r="O159" s="3" t="s">
        <v>5219</v>
      </c>
      <c r="P159" s="3">
        <v>3</v>
      </c>
      <c r="Q159" s="3" t="s">
        <v>5220</v>
      </c>
      <c r="R159" s="3" t="s">
        <v>5221</v>
      </c>
      <c r="S159" s="3" t="s">
        <v>650</v>
      </c>
      <c r="T159" s="3" t="s">
        <v>650</v>
      </c>
      <c r="U159" s="3" t="s">
        <v>1380</v>
      </c>
      <c r="V159" s="3" t="s">
        <v>700</v>
      </c>
      <c r="W159" s="3"/>
      <c r="X159" s="3"/>
      <c r="Y159" s="3" t="s">
        <v>2001</v>
      </c>
    </row>
    <row r="160" spans="1:25" ht="60" customHeight="1" x14ac:dyDescent="0.2">
      <c r="A160" s="3" t="s">
        <v>5222</v>
      </c>
      <c r="B160" s="3" t="s">
        <v>5223</v>
      </c>
      <c r="C160" s="3" t="s">
        <v>5191</v>
      </c>
      <c r="D160" s="3">
        <v>199</v>
      </c>
      <c r="E160" s="3" t="s">
        <v>3992</v>
      </c>
      <c r="F160" s="3" t="s">
        <v>5224</v>
      </c>
      <c r="G160" s="11" t="s">
        <v>5225</v>
      </c>
      <c r="H160" s="3" t="s">
        <v>5226</v>
      </c>
      <c r="I160" s="3" t="s">
        <v>3996</v>
      </c>
      <c r="J160" s="3" t="s">
        <v>4164</v>
      </c>
      <c r="K160" s="3" t="s">
        <v>4028</v>
      </c>
      <c r="L160" s="3" t="s">
        <v>650</v>
      </c>
      <c r="M160" s="3" t="s">
        <v>4124</v>
      </c>
      <c r="N160" s="3" t="s">
        <v>3535</v>
      </c>
      <c r="O160" s="3" t="s">
        <v>5219</v>
      </c>
      <c r="P160" s="3">
        <v>3</v>
      </c>
      <c r="Q160" s="3" t="s">
        <v>5220</v>
      </c>
      <c r="R160" s="3" t="s">
        <v>5227</v>
      </c>
      <c r="S160" s="3" t="s">
        <v>650</v>
      </c>
      <c r="T160" s="3" t="s">
        <v>650</v>
      </c>
      <c r="U160" s="3" t="s">
        <v>1380</v>
      </c>
      <c r="V160" s="3" t="s">
        <v>2463</v>
      </c>
      <c r="W160" s="3"/>
      <c r="X160" s="3"/>
      <c r="Y160" s="3" t="s">
        <v>2001</v>
      </c>
    </row>
    <row r="161" spans="1:25" ht="60" customHeight="1" x14ac:dyDescent="0.2">
      <c r="A161" s="3" t="s">
        <v>5228</v>
      </c>
      <c r="B161" s="3" t="s">
        <v>5229</v>
      </c>
      <c r="C161" s="3" t="s">
        <v>5191</v>
      </c>
      <c r="D161" s="3">
        <v>229</v>
      </c>
      <c r="E161" s="3" t="s">
        <v>4129</v>
      </c>
      <c r="F161" s="3" t="s">
        <v>5230</v>
      </c>
      <c r="G161" s="11" t="s">
        <v>5231</v>
      </c>
      <c r="H161" s="3" t="s">
        <v>5232</v>
      </c>
      <c r="I161" s="3" t="s">
        <v>3996</v>
      </c>
      <c r="J161" s="3" t="s">
        <v>4164</v>
      </c>
      <c r="K161" s="3" t="s">
        <v>4028</v>
      </c>
      <c r="L161" s="3" t="s">
        <v>650</v>
      </c>
      <c r="M161" s="3" t="s">
        <v>4124</v>
      </c>
      <c r="N161" s="3" t="s">
        <v>3419</v>
      </c>
      <c r="O161" s="3" t="s">
        <v>5233</v>
      </c>
      <c r="P161" s="3">
        <v>4</v>
      </c>
      <c r="Q161" s="3" t="s">
        <v>5234</v>
      </c>
      <c r="R161" s="3" t="s">
        <v>5235</v>
      </c>
      <c r="S161" s="3" t="s">
        <v>650</v>
      </c>
      <c r="T161" s="3" t="s">
        <v>650</v>
      </c>
      <c r="U161" s="3" t="s">
        <v>1380</v>
      </c>
      <c r="V161" s="3" t="s">
        <v>700</v>
      </c>
      <c r="W161" s="3"/>
      <c r="X161" s="3"/>
      <c r="Y161" s="3" t="s">
        <v>2001</v>
      </c>
    </row>
    <row r="162" spans="1:25" ht="60" customHeight="1" x14ac:dyDescent="0.2">
      <c r="A162" s="3" t="s">
        <v>5236</v>
      </c>
      <c r="B162" s="3" t="s">
        <v>5237</v>
      </c>
      <c r="C162" s="3" t="s">
        <v>5191</v>
      </c>
      <c r="D162" s="3">
        <v>256</v>
      </c>
      <c r="E162" s="3" t="s">
        <v>4129</v>
      </c>
      <c r="F162" s="3" t="s">
        <v>5238</v>
      </c>
      <c r="G162" s="11" t="s">
        <v>5239</v>
      </c>
      <c r="H162" s="3" t="s">
        <v>5240</v>
      </c>
      <c r="I162" s="3" t="s">
        <v>3996</v>
      </c>
      <c r="J162" s="3" t="s">
        <v>4164</v>
      </c>
      <c r="K162" s="3" t="s">
        <v>4028</v>
      </c>
      <c r="L162" s="3" t="s">
        <v>650</v>
      </c>
      <c r="M162" s="3" t="s">
        <v>4124</v>
      </c>
      <c r="N162" s="3" t="s">
        <v>3419</v>
      </c>
      <c r="O162" s="3" t="s">
        <v>5241</v>
      </c>
      <c r="P162" s="3">
        <v>3</v>
      </c>
      <c r="Q162" s="3" t="s">
        <v>5220</v>
      </c>
      <c r="R162" s="3" t="s">
        <v>5242</v>
      </c>
      <c r="S162" s="3" t="s">
        <v>650</v>
      </c>
      <c r="T162" s="3" t="s">
        <v>650</v>
      </c>
      <c r="U162" s="3" t="s">
        <v>1380</v>
      </c>
      <c r="V162" s="3" t="s">
        <v>700</v>
      </c>
      <c r="W162" s="3"/>
      <c r="X162" s="3"/>
      <c r="Y162" s="3" t="s">
        <v>2001</v>
      </c>
    </row>
    <row r="163" spans="1:25" ht="45" customHeight="1" x14ac:dyDescent="0.2">
      <c r="A163" s="3" t="s">
        <v>5243</v>
      </c>
      <c r="B163" s="3" t="s">
        <v>5244</v>
      </c>
      <c r="C163" s="3" t="s">
        <v>5191</v>
      </c>
      <c r="D163" s="3">
        <v>279</v>
      </c>
      <c r="E163" s="3" t="s">
        <v>4129</v>
      </c>
      <c r="F163" s="3" t="s">
        <v>5245</v>
      </c>
      <c r="G163" s="11" t="s">
        <v>5246</v>
      </c>
      <c r="H163" s="3" t="s">
        <v>5247</v>
      </c>
      <c r="I163" s="3" t="s">
        <v>4018</v>
      </c>
      <c r="J163" s="3" t="s">
        <v>5248</v>
      </c>
      <c r="K163" s="3" t="s">
        <v>5212</v>
      </c>
      <c r="L163" s="3" t="s">
        <v>650</v>
      </c>
      <c r="M163" s="3" t="s">
        <v>4010</v>
      </c>
      <c r="N163" s="3" t="s">
        <v>3419</v>
      </c>
      <c r="O163" s="3" t="s">
        <v>4057</v>
      </c>
      <c r="P163" s="3">
        <v>2</v>
      </c>
      <c r="Q163" s="3" t="s">
        <v>4058</v>
      </c>
      <c r="R163" s="3" t="s">
        <v>5249</v>
      </c>
      <c r="S163" s="3" t="s">
        <v>650</v>
      </c>
      <c r="T163" s="3" t="s">
        <v>650</v>
      </c>
      <c r="U163" s="3" t="s">
        <v>1380</v>
      </c>
      <c r="V163" s="3" t="s">
        <v>2463</v>
      </c>
      <c r="W163" s="3"/>
      <c r="X163" s="3"/>
      <c r="Y163" s="3" t="s">
        <v>2001</v>
      </c>
    </row>
    <row r="164" spans="1:25" ht="60" customHeight="1" x14ac:dyDescent="0.2">
      <c r="A164" s="3" t="s">
        <v>5250</v>
      </c>
      <c r="B164" s="3" t="s">
        <v>5251</v>
      </c>
      <c r="C164" s="3" t="s">
        <v>4960</v>
      </c>
      <c r="D164" s="3">
        <v>467</v>
      </c>
      <c r="E164" s="3" t="s">
        <v>3992</v>
      </c>
      <c r="F164" s="3" t="s">
        <v>4110</v>
      </c>
      <c r="G164" s="11" t="s">
        <v>5252</v>
      </c>
      <c r="H164" s="3" t="s">
        <v>5253</v>
      </c>
      <c r="I164" s="3" t="s">
        <v>4018</v>
      </c>
      <c r="J164" s="3" t="s">
        <v>4964</v>
      </c>
      <c r="K164" s="3" t="s">
        <v>5254</v>
      </c>
      <c r="L164" s="3" t="s">
        <v>650</v>
      </c>
      <c r="M164" s="3" t="s">
        <v>4946</v>
      </c>
      <c r="N164" s="3" t="s">
        <v>3535</v>
      </c>
      <c r="O164" s="3" t="s">
        <v>5255</v>
      </c>
      <c r="P164" s="3">
        <v>24</v>
      </c>
      <c r="Q164" s="3" t="s">
        <v>5256</v>
      </c>
      <c r="R164" s="3" t="s">
        <v>5257</v>
      </c>
      <c r="S164" s="3" t="s">
        <v>650</v>
      </c>
      <c r="T164" s="3" t="s">
        <v>650</v>
      </c>
      <c r="U164" s="3" t="s">
        <v>1380</v>
      </c>
      <c r="V164" s="3" t="s">
        <v>2463</v>
      </c>
      <c r="W164" s="3"/>
      <c r="X164" s="3"/>
      <c r="Y164" s="3" t="s">
        <v>2001</v>
      </c>
    </row>
    <row r="165" spans="1:25" ht="60" customHeight="1" x14ac:dyDescent="0.2">
      <c r="A165" s="3" t="s">
        <v>5258</v>
      </c>
      <c r="B165" s="3" t="s">
        <v>5259</v>
      </c>
      <c r="C165" s="3" t="s">
        <v>5260</v>
      </c>
      <c r="D165" s="3">
        <v>62</v>
      </c>
      <c r="E165" s="3" t="s">
        <v>4136</v>
      </c>
      <c r="F165" s="3" t="s">
        <v>4110</v>
      </c>
      <c r="G165" s="11" t="s">
        <v>5261</v>
      </c>
      <c r="H165" s="3" t="s">
        <v>5262</v>
      </c>
      <c r="I165" s="3" t="s">
        <v>4290</v>
      </c>
      <c r="J165" s="3" t="s">
        <v>5263</v>
      </c>
      <c r="K165" s="3" t="s">
        <v>4484</v>
      </c>
      <c r="L165" s="3" t="s">
        <v>650</v>
      </c>
      <c r="M165" s="3" t="s">
        <v>4010</v>
      </c>
      <c r="N165" s="3" t="s">
        <v>3535</v>
      </c>
      <c r="O165" s="3" t="s">
        <v>5264</v>
      </c>
      <c r="P165" s="3">
        <v>1</v>
      </c>
      <c r="Q165" s="3" t="s">
        <v>5264</v>
      </c>
      <c r="R165" s="3" t="s">
        <v>5265</v>
      </c>
      <c r="S165" s="3" t="s">
        <v>650</v>
      </c>
      <c r="T165" s="3" t="s">
        <v>650</v>
      </c>
      <c r="U165" s="3" t="s">
        <v>1380</v>
      </c>
      <c r="V165" s="3" t="s">
        <v>539</v>
      </c>
      <c r="W165" s="3"/>
      <c r="X165" s="3"/>
      <c r="Y165" s="3" t="s">
        <v>2001</v>
      </c>
    </row>
    <row r="166" spans="1:25" ht="60" customHeight="1" x14ac:dyDescent="0.2">
      <c r="A166" s="3" t="s">
        <v>5266</v>
      </c>
      <c r="B166" s="3" t="s">
        <v>5267</v>
      </c>
      <c r="C166" s="3" t="s">
        <v>5260</v>
      </c>
      <c r="D166" s="3">
        <v>104</v>
      </c>
      <c r="E166" s="3" t="s">
        <v>4003</v>
      </c>
      <c r="F166" s="3" t="s">
        <v>5268</v>
      </c>
      <c r="G166" s="11" t="s">
        <v>5269</v>
      </c>
      <c r="H166" s="3" t="s">
        <v>5270</v>
      </c>
      <c r="I166" s="3" t="s">
        <v>4018</v>
      </c>
      <c r="J166" s="3" t="s">
        <v>4007</v>
      </c>
      <c r="K166" s="3" t="s">
        <v>5271</v>
      </c>
      <c r="L166" s="3" t="s">
        <v>4020</v>
      </c>
      <c r="M166" s="3" t="s">
        <v>4010</v>
      </c>
      <c r="N166" s="3" t="s">
        <v>3535</v>
      </c>
      <c r="O166" s="3" t="s">
        <v>5272</v>
      </c>
      <c r="P166" s="3">
        <v>2</v>
      </c>
      <c r="Q166" s="3" t="s">
        <v>5273</v>
      </c>
      <c r="R166" s="3" t="s">
        <v>5274</v>
      </c>
      <c r="S166" s="3" t="s">
        <v>650</v>
      </c>
      <c r="T166" s="3" t="s">
        <v>650</v>
      </c>
      <c r="U166" s="3" t="s">
        <v>1380</v>
      </c>
      <c r="V166" s="3" t="s">
        <v>577</v>
      </c>
      <c r="W166" s="3"/>
      <c r="X166" s="3"/>
      <c r="Y166" s="3" t="s">
        <v>2001</v>
      </c>
    </row>
    <row r="167" spans="1:25" ht="45" customHeight="1" x14ac:dyDescent="0.2">
      <c r="A167" s="3" t="s">
        <v>5275</v>
      </c>
      <c r="B167" s="3" t="s">
        <v>5276</v>
      </c>
      <c r="C167" s="3" t="s">
        <v>5260</v>
      </c>
      <c r="D167" s="3">
        <v>136</v>
      </c>
      <c r="E167" s="3" t="s">
        <v>4129</v>
      </c>
      <c r="F167" s="3" t="s">
        <v>5277</v>
      </c>
      <c r="G167" s="11" t="s">
        <v>5278</v>
      </c>
      <c r="H167" s="3" t="s">
        <v>5279</v>
      </c>
      <c r="I167" s="3" t="s">
        <v>3996</v>
      </c>
      <c r="J167" s="3" t="s">
        <v>4007</v>
      </c>
      <c r="K167" s="3" t="s">
        <v>4484</v>
      </c>
      <c r="L167" s="3" t="s">
        <v>650</v>
      </c>
      <c r="M167" s="3" t="s">
        <v>4010</v>
      </c>
      <c r="N167" s="3" t="s">
        <v>3419</v>
      </c>
      <c r="O167" s="3" t="s">
        <v>5280</v>
      </c>
      <c r="P167" s="3">
        <v>3</v>
      </c>
      <c r="Q167" s="3" t="s">
        <v>5281</v>
      </c>
      <c r="R167" s="3" t="s">
        <v>5282</v>
      </c>
      <c r="S167" s="3" t="s">
        <v>650</v>
      </c>
      <c r="T167" s="3" t="s">
        <v>650</v>
      </c>
      <c r="U167" s="3" t="s">
        <v>1380</v>
      </c>
      <c r="V167" s="3" t="s">
        <v>700</v>
      </c>
      <c r="W167" s="3"/>
      <c r="X167" s="3"/>
      <c r="Y167" s="3" t="s">
        <v>2001</v>
      </c>
    </row>
    <row r="168" spans="1:25" ht="45" customHeight="1" x14ac:dyDescent="0.2">
      <c r="A168" s="3" t="s">
        <v>5283</v>
      </c>
      <c r="B168" s="3" t="s">
        <v>5284</v>
      </c>
      <c r="C168" s="3" t="s">
        <v>5260</v>
      </c>
      <c r="D168" s="3">
        <v>164</v>
      </c>
      <c r="E168" s="3" t="s">
        <v>3992</v>
      </c>
      <c r="F168" s="3" t="s">
        <v>5285</v>
      </c>
      <c r="G168" s="11" t="s">
        <v>5286</v>
      </c>
      <c r="H168" s="3" t="s">
        <v>5287</v>
      </c>
      <c r="I168" s="3" t="s">
        <v>4018</v>
      </c>
      <c r="J168" s="3" t="s">
        <v>5288</v>
      </c>
      <c r="K168" s="3" t="s">
        <v>4008</v>
      </c>
      <c r="L168" s="3" t="s">
        <v>650</v>
      </c>
      <c r="M168" s="3" t="s">
        <v>4010</v>
      </c>
      <c r="N168" s="3" t="s">
        <v>3535</v>
      </c>
      <c r="O168" s="3" t="s">
        <v>5280</v>
      </c>
      <c r="P168" s="3">
        <v>3</v>
      </c>
      <c r="Q168" s="3" t="s">
        <v>5281</v>
      </c>
      <c r="R168" s="3" t="s">
        <v>5289</v>
      </c>
      <c r="S168" s="3" t="s">
        <v>650</v>
      </c>
      <c r="T168" s="3" t="s">
        <v>650</v>
      </c>
      <c r="U168" s="3" t="s">
        <v>1380</v>
      </c>
      <c r="V168" s="3" t="s">
        <v>700</v>
      </c>
      <c r="W168" s="3"/>
      <c r="X168" s="3"/>
      <c r="Y168" s="3" t="s">
        <v>2001</v>
      </c>
    </row>
    <row r="169" spans="1:25" ht="60" customHeight="1" x14ac:dyDescent="0.2">
      <c r="A169" s="3" t="s">
        <v>5290</v>
      </c>
      <c r="B169" s="3" t="s">
        <v>5291</v>
      </c>
      <c r="C169" s="3" t="s">
        <v>5260</v>
      </c>
      <c r="D169" s="3">
        <v>200</v>
      </c>
      <c r="E169" s="3" t="s">
        <v>3992</v>
      </c>
      <c r="F169" s="3" t="s">
        <v>5292</v>
      </c>
      <c r="G169" s="11" t="s">
        <v>5293</v>
      </c>
      <c r="H169" s="3" t="s">
        <v>5294</v>
      </c>
      <c r="I169" s="3" t="s">
        <v>3996</v>
      </c>
      <c r="J169" s="3" t="s">
        <v>4164</v>
      </c>
      <c r="K169" s="3" t="s">
        <v>4028</v>
      </c>
      <c r="L169" s="3" t="s">
        <v>650</v>
      </c>
      <c r="M169" s="3" t="s">
        <v>5295</v>
      </c>
      <c r="N169" s="3" t="s">
        <v>3535</v>
      </c>
      <c r="O169" s="3" t="s">
        <v>5296</v>
      </c>
      <c r="P169" s="3">
        <v>4</v>
      </c>
      <c r="Q169" s="3" t="s">
        <v>5297</v>
      </c>
      <c r="R169" s="3" t="s">
        <v>5298</v>
      </c>
      <c r="S169" s="3" t="s">
        <v>650</v>
      </c>
      <c r="T169" s="3" t="s">
        <v>650</v>
      </c>
      <c r="U169" s="3" t="s">
        <v>1380</v>
      </c>
      <c r="V169" s="3" t="s">
        <v>700</v>
      </c>
      <c r="W169" s="3"/>
      <c r="X169" s="3"/>
      <c r="Y169" s="3" t="s">
        <v>2001</v>
      </c>
    </row>
    <row r="170" spans="1:25" ht="60" customHeight="1" x14ac:dyDescent="0.2">
      <c r="A170" s="3" t="s">
        <v>5299</v>
      </c>
      <c r="B170" s="3" t="s">
        <v>5300</v>
      </c>
      <c r="C170" s="3" t="s">
        <v>4488</v>
      </c>
      <c r="D170" s="3">
        <v>171</v>
      </c>
      <c r="E170" s="3" t="s">
        <v>4003</v>
      </c>
      <c r="F170" s="3" t="s">
        <v>5301</v>
      </c>
      <c r="G170" s="11" t="s">
        <v>5302</v>
      </c>
      <c r="H170" s="3" t="s">
        <v>5303</v>
      </c>
      <c r="I170" s="3" t="s">
        <v>4018</v>
      </c>
      <c r="J170" s="3" t="s">
        <v>5304</v>
      </c>
      <c r="K170" s="3" t="s">
        <v>4066</v>
      </c>
      <c r="L170" s="3" t="s">
        <v>4020</v>
      </c>
      <c r="M170" s="3" t="s">
        <v>4124</v>
      </c>
      <c r="N170" s="3" t="s">
        <v>3535</v>
      </c>
      <c r="O170" s="3" t="s">
        <v>5305</v>
      </c>
      <c r="P170" s="3">
        <v>8</v>
      </c>
      <c r="Q170" s="3" t="s">
        <v>5306</v>
      </c>
      <c r="R170" s="3" t="s">
        <v>5307</v>
      </c>
      <c r="S170" s="3" t="s">
        <v>650</v>
      </c>
      <c r="T170" s="3" t="s">
        <v>650</v>
      </c>
      <c r="U170" s="3" t="s">
        <v>1380</v>
      </c>
      <c r="V170" s="3" t="s">
        <v>505</v>
      </c>
      <c r="W170" s="3"/>
      <c r="X170" s="3"/>
      <c r="Y170" s="3" t="s">
        <v>2001</v>
      </c>
    </row>
    <row r="171" spans="1:25" ht="60" customHeight="1" x14ac:dyDescent="0.2">
      <c r="A171" s="3" t="s">
        <v>5308</v>
      </c>
      <c r="B171" s="3" t="s">
        <v>5309</v>
      </c>
      <c r="C171" s="3" t="s">
        <v>4488</v>
      </c>
      <c r="D171" s="3">
        <v>1014</v>
      </c>
      <c r="E171" s="3" t="s">
        <v>4129</v>
      </c>
      <c r="F171" s="3" t="s">
        <v>5310</v>
      </c>
      <c r="G171" s="11" t="s">
        <v>5311</v>
      </c>
      <c r="H171" s="3" t="s">
        <v>5312</v>
      </c>
      <c r="I171" s="3" t="s">
        <v>3996</v>
      </c>
      <c r="J171" s="3" t="s">
        <v>5304</v>
      </c>
      <c r="K171" s="3" t="s">
        <v>4008</v>
      </c>
      <c r="L171" s="3" t="s">
        <v>650</v>
      </c>
      <c r="M171" s="3" t="s">
        <v>4010</v>
      </c>
      <c r="N171" s="3" t="s">
        <v>3419</v>
      </c>
      <c r="O171" s="3" t="s">
        <v>4057</v>
      </c>
      <c r="P171" s="3">
        <v>2</v>
      </c>
      <c r="Q171" s="3" t="s">
        <v>4058</v>
      </c>
      <c r="R171" s="3" t="s">
        <v>5313</v>
      </c>
      <c r="S171" s="3" t="s">
        <v>650</v>
      </c>
      <c r="T171" s="3" t="s">
        <v>650</v>
      </c>
      <c r="U171" s="3" t="s">
        <v>1380</v>
      </c>
      <c r="V171" s="3" t="s">
        <v>700</v>
      </c>
      <c r="W171" s="3"/>
      <c r="X171" s="3"/>
      <c r="Y171" s="3" t="s">
        <v>2001</v>
      </c>
    </row>
    <row r="172" spans="1:25" ht="60" customHeight="1" x14ac:dyDescent="0.2">
      <c r="A172" s="3" t="s">
        <v>5314</v>
      </c>
      <c r="B172" s="3" t="s">
        <v>5315</v>
      </c>
      <c r="C172" s="3" t="s">
        <v>4960</v>
      </c>
      <c r="D172" s="3">
        <v>839</v>
      </c>
      <c r="E172" s="3" t="s">
        <v>4003</v>
      </c>
      <c r="F172" s="3" t="s">
        <v>5316</v>
      </c>
      <c r="G172" s="11" t="s">
        <v>5317</v>
      </c>
      <c r="H172" s="3" t="s">
        <v>5318</v>
      </c>
      <c r="I172" s="3" t="s">
        <v>3996</v>
      </c>
      <c r="J172" s="3" t="s">
        <v>5319</v>
      </c>
      <c r="K172" s="3" t="s">
        <v>5320</v>
      </c>
      <c r="L172" s="3" t="s">
        <v>4020</v>
      </c>
      <c r="M172" s="3" t="s">
        <v>4010</v>
      </c>
      <c r="N172" s="3" t="s">
        <v>3535</v>
      </c>
      <c r="O172" s="3" t="s">
        <v>5219</v>
      </c>
      <c r="P172" s="3">
        <v>3</v>
      </c>
      <c r="Q172" s="3" t="s">
        <v>5220</v>
      </c>
      <c r="R172" s="3" t="s">
        <v>5321</v>
      </c>
      <c r="S172" s="3" t="s">
        <v>650</v>
      </c>
      <c r="T172" s="3" t="s">
        <v>650</v>
      </c>
      <c r="U172" s="3" t="s">
        <v>1380</v>
      </c>
      <c r="V172" s="3" t="s">
        <v>2463</v>
      </c>
      <c r="W172" s="3"/>
      <c r="X172" s="3"/>
      <c r="Y172" s="3" t="s">
        <v>2001</v>
      </c>
    </row>
    <row r="173" spans="1:25" ht="60" customHeight="1" x14ac:dyDescent="0.2">
      <c r="A173" s="3" t="s">
        <v>5322</v>
      </c>
      <c r="B173" s="3" t="s">
        <v>5323</v>
      </c>
      <c r="C173" s="3" t="s">
        <v>5324</v>
      </c>
      <c r="D173" s="3">
        <v>80</v>
      </c>
      <c r="E173" s="3" t="s">
        <v>3992</v>
      </c>
      <c r="F173" s="3" t="s">
        <v>5325</v>
      </c>
      <c r="G173" s="11" t="s">
        <v>5326</v>
      </c>
      <c r="H173" s="3" t="s">
        <v>5327</v>
      </c>
      <c r="I173" s="3" t="s">
        <v>4065</v>
      </c>
      <c r="J173" s="3" t="s">
        <v>4007</v>
      </c>
      <c r="K173" s="3" t="s">
        <v>4257</v>
      </c>
      <c r="L173" s="3" t="s">
        <v>650</v>
      </c>
      <c r="M173" s="3" t="s">
        <v>5328</v>
      </c>
      <c r="N173" s="3" t="s">
        <v>3535</v>
      </c>
      <c r="O173" s="3" t="s">
        <v>5329</v>
      </c>
      <c r="P173" s="3">
        <v>5</v>
      </c>
      <c r="Q173" s="3" t="s">
        <v>5330</v>
      </c>
      <c r="R173" s="3" t="s">
        <v>5331</v>
      </c>
      <c r="S173" s="3" t="s">
        <v>650</v>
      </c>
      <c r="T173" s="3" t="s">
        <v>650</v>
      </c>
      <c r="U173" s="3" t="s">
        <v>1380</v>
      </c>
      <c r="V173" s="3" t="s">
        <v>428</v>
      </c>
      <c r="W173" s="3"/>
      <c r="X173" s="3"/>
      <c r="Y173" s="3" t="s">
        <v>2001</v>
      </c>
    </row>
    <row r="174" spans="1:25" ht="60" customHeight="1" x14ac:dyDescent="0.2">
      <c r="A174" s="3" t="s">
        <v>5332</v>
      </c>
      <c r="B174" s="3" t="s">
        <v>5333</v>
      </c>
      <c r="C174" s="3" t="s">
        <v>5324</v>
      </c>
      <c r="D174" s="3">
        <v>135</v>
      </c>
      <c r="E174" s="3" t="s">
        <v>3992</v>
      </c>
      <c r="F174" s="3" t="s">
        <v>5334</v>
      </c>
      <c r="G174" s="11" t="s">
        <v>5335</v>
      </c>
      <c r="H174" s="3" t="s">
        <v>5336</v>
      </c>
      <c r="I174" s="3" t="s">
        <v>3996</v>
      </c>
      <c r="J174" s="3" t="s">
        <v>4007</v>
      </c>
      <c r="K174" s="3" t="s">
        <v>5337</v>
      </c>
      <c r="L174" s="3" t="s">
        <v>650</v>
      </c>
      <c r="M174" s="3" t="s">
        <v>4248</v>
      </c>
      <c r="N174" s="3" t="s">
        <v>3535</v>
      </c>
      <c r="O174" s="3" t="s">
        <v>5338</v>
      </c>
      <c r="P174" s="3">
        <v>38</v>
      </c>
      <c r="Q174" s="3" t="s">
        <v>5339</v>
      </c>
      <c r="R174" s="3" t="s">
        <v>5340</v>
      </c>
      <c r="S174" s="3" t="s">
        <v>650</v>
      </c>
      <c r="T174" s="3" t="s">
        <v>650</v>
      </c>
      <c r="U174" s="3" t="s">
        <v>1380</v>
      </c>
      <c r="V174" s="3" t="s">
        <v>2463</v>
      </c>
      <c r="W174" s="3"/>
      <c r="X174" s="3"/>
      <c r="Y174" s="3" t="s">
        <v>2001</v>
      </c>
    </row>
    <row r="175" spans="1:25" ht="45" customHeight="1" x14ac:dyDescent="0.2">
      <c r="A175" s="3" t="s">
        <v>5341</v>
      </c>
      <c r="B175" s="3" t="s">
        <v>5342</v>
      </c>
      <c r="C175" s="3" t="s">
        <v>5343</v>
      </c>
      <c r="D175" s="3">
        <v>55</v>
      </c>
      <c r="E175" s="3" t="s">
        <v>4136</v>
      </c>
      <c r="F175" s="3" t="s">
        <v>5344</v>
      </c>
      <c r="G175" s="11" t="s">
        <v>5345</v>
      </c>
      <c r="H175" s="3" t="s">
        <v>5346</v>
      </c>
      <c r="I175" s="3" t="s">
        <v>4290</v>
      </c>
      <c r="J175" s="3" t="s">
        <v>5347</v>
      </c>
      <c r="K175" s="3" t="s">
        <v>4028</v>
      </c>
      <c r="L175" s="3" t="s">
        <v>650</v>
      </c>
      <c r="M175" s="3" t="s">
        <v>4010</v>
      </c>
      <c r="N175" s="3" t="s">
        <v>3535</v>
      </c>
      <c r="O175" s="3" t="s">
        <v>650</v>
      </c>
      <c r="P175" s="3">
        <v>0</v>
      </c>
      <c r="Q175" s="3" t="s">
        <v>4052</v>
      </c>
      <c r="R175" s="3" t="s">
        <v>1499</v>
      </c>
      <c r="S175" s="3" t="s">
        <v>650</v>
      </c>
      <c r="T175" s="3" t="s">
        <v>650</v>
      </c>
      <c r="U175" s="3" t="s">
        <v>1380</v>
      </c>
      <c r="V175" s="3" t="s">
        <v>539</v>
      </c>
      <c r="W175" s="3"/>
      <c r="X175" s="3"/>
      <c r="Y175" s="3" t="s">
        <v>2001</v>
      </c>
    </row>
    <row r="176" spans="1:25" ht="60" customHeight="1" x14ac:dyDescent="0.2">
      <c r="A176" s="3" t="s">
        <v>5348</v>
      </c>
      <c r="B176" s="3" t="s">
        <v>5349</v>
      </c>
      <c r="C176" s="3" t="s">
        <v>5343</v>
      </c>
      <c r="D176" s="3">
        <v>85</v>
      </c>
      <c r="E176" s="3" t="s">
        <v>3992</v>
      </c>
      <c r="F176" s="3" t="s">
        <v>5350</v>
      </c>
      <c r="G176" s="11" t="s">
        <v>5351</v>
      </c>
      <c r="H176" s="3" t="s">
        <v>5352</v>
      </c>
      <c r="I176" s="3" t="s">
        <v>3996</v>
      </c>
      <c r="J176" s="3" t="s">
        <v>5353</v>
      </c>
      <c r="K176" s="3" t="s">
        <v>5162</v>
      </c>
      <c r="L176" s="3" t="s">
        <v>650</v>
      </c>
      <c r="M176" s="3" t="s">
        <v>5354</v>
      </c>
      <c r="N176" s="3" t="s">
        <v>3535</v>
      </c>
      <c r="O176" s="3" t="s">
        <v>5355</v>
      </c>
      <c r="P176" s="3">
        <v>1</v>
      </c>
      <c r="Q176" s="3" t="s">
        <v>5355</v>
      </c>
      <c r="R176" s="3" t="s">
        <v>5356</v>
      </c>
      <c r="S176" s="3" t="s">
        <v>650</v>
      </c>
      <c r="T176" s="3" t="s">
        <v>650</v>
      </c>
      <c r="U176" s="3" t="s">
        <v>1380</v>
      </c>
      <c r="V176" s="3" t="s">
        <v>2463</v>
      </c>
      <c r="W176" s="3"/>
      <c r="X176" s="3"/>
      <c r="Y176" s="3" t="s">
        <v>2001</v>
      </c>
    </row>
    <row r="177" spans="1:25" ht="60" customHeight="1" x14ac:dyDescent="0.2">
      <c r="A177" s="3" t="s">
        <v>5357</v>
      </c>
      <c r="B177" s="3" t="s">
        <v>5358</v>
      </c>
      <c r="C177" s="3" t="s">
        <v>5343</v>
      </c>
      <c r="D177" s="3">
        <v>141</v>
      </c>
      <c r="E177" s="3" t="s">
        <v>4003</v>
      </c>
      <c r="F177" s="3" t="s">
        <v>5359</v>
      </c>
      <c r="G177" s="11" t="s">
        <v>5360</v>
      </c>
      <c r="H177" s="3" t="s">
        <v>5361</v>
      </c>
      <c r="I177" s="3" t="s">
        <v>3996</v>
      </c>
      <c r="J177" s="3" t="s">
        <v>4164</v>
      </c>
      <c r="K177" s="3" t="s">
        <v>4028</v>
      </c>
      <c r="L177" s="3" t="s">
        <v>5362</v>
      </c>
      <c r="M177" s="3" t="s">
        <v>5363</v>
      </c>
      <c r="N177" s="3" t="s">
        <v>3535</v>
      </c>
      <c r="O177" s="3" t="s">
        <v>5364</v>
      </c>
      <c r="P177" s="3">
        <v>19</v>
      </c>
      <c r="Q177" s="3" t="s">
        <v>5365</v>
      </c>
      <c r="R177" s="3" t="s">
        <v>5366</v>
      </c>
      <c r="S177" s="3" t="s">
        <v>650</v>
      </c>
      <c r="T177" s="3" t="s">
        <v>650</v>
      </c>
      <c r="U177" s="3" t="s">
        <v>1380</v>
      </c>
      <c r="V177" s="3" t="s">
        <v>2463</v>
      </c>
      <c r="W177" s="3"/>
      <c r="X177" s="3"/>
      <c r="Y177" s="6" t="s">
        <v>5367</v>
      </c>
    </row>
    <row r="178" spans="1:25" ht="45" customHeight="1" x14ac:dyDescent="0.2">
      <c r="A178" s="3" t="s">
        <v>5368</v>
      </c>
      <c r="B178" s="3" t="s">
        <v>5369</v>
      </c>
      <c r="C178" s="3" t="s">
        <v>5370</v>
      </c>
      <c r="D178" s="3">
        <v>53</v>
      </c>
      <c r="E178" s="3" t="s">
        <v>3992</v>
      </c>
      <c r="F178" s="3" t="s">
        <v>5371</v>
      </c>
      <c r="G178" s="11" t="s">
        <v>5372</v>
      </c>
      <c r="H178" s="3" t="s">
        <v>5373</v>
      </c>
      <c r="I178" s="3" t="s">
        <v>3996</v>
      </c>
      <c r="J178" s="3" t="s">
        <v>4007</v>
      </c>
      <c r="K178" s="3" t="s">
        <v>4484</v>
      </c>
      <c r="L178" s="3" t="s">
        <v>650</v>
      </c>
      <c r="M178" s="3" t="s">
        <v>4010</v>
      </c>
      <c r="N178" s="3" t="s">
        <v>3535</v>
      </c>
      <c r="O178" s="3" t="s">
        <v>4057</v>
      </c>
      <c r="P178" s="3">
        <v>2</v>
      </c>
      <c r="Q178" s="3" t="s">
        <v>4058</v>
      </c>
      <c r="R178" s="3" t="s">
        <v>5374</v>
      </c>
      <c r="S178" s="3" t="s">
        <v>650</v>
      </c>
      <c r="T178" s="3" t="s">
        <v>650</v>
      </c>
      <c r="U178" s="3" t="s">
        <v>1380</v>
      </c>
      <c r="V178" s="3" t="s">
        <v>539</v>
      </c>
      <c r="W178" s="3"/>
      <c r="X178" s="3"/>
      <c r="Y178" s="3" t="s">
        <v>2001</v>
      </c>
    </row>
    <row r="179" spans="1:25" ht="60" customHeight="1" x14ac:dyDescent="0.2">
      <c r="A179" s="3" t="s">
        <v>5375</v>
      </c>
      <c r="B179" s="3" t="s">
        <v>5376</v>
      </c>
      <c r="C179" s="3" t="s">
        <v>5370</v>
      </c>
      <c r="D179" s="3">
        <v>91</v>
      </c>
      <c r="E179" s="3" t="s">
        <v>3992</v>
      </c>
      <c r="F179" s="3" t="s">
        <v>5377</v>
      </c>
      <c r="G179" s="11" t="s">
        <v>5378</v>
      </c>
      <c r="H179" s="3" t="s">
        <v>5379</v>
      </c>
      <c r="I179" s="3" t="s">
        <v>3996</v>
      </c>
      <c r="J179" s="3" t="s">
        <v>5380</v>
      </c>
      <c r="K179" s="3" t="s">
        <v>5381</v>
      </c>
      <c r="L179" s="3" t="s">
        <v>650</v>
      </c>
      <c r="M179" s="3" t="s">
        <v>4010</v>
      </c>
      <c r="N179" s="3" t="s">
        <v>3535</v>
      </c>
      <c r="O179" s="3" t="s">
        <v>5382</v>
      </c>
      <c r="P179" s="3">
        <v>10</v>
      </c>
      <c r="Q179" s="3" t="s">
        <v>5383</v>
      </c>
      <c r="R179" s="3" t="s">
        <v>5384</v>
      </c>
      <c r="S179" s="3" t="s">
        <v>650</v>
      </c>
      <c r="T179" s="3" t="s">
        <v>650</v>
      </c>
      <c r="U179" s="3" t="s">
        <v>1380</v>
      </c>
      <c r="V179" s="3" t="s">
        <v>539</v>
      </c>
      <c r="W179" s="3"/>
      <c r="X179" s="3"/>
      <c r="Y179" s="3" t="s">
        <v>2001</v>
      </c>
    </row>
    <row r="180" spans="1:25" ht="60" customHeight="1" x14ac:dyDescent="0.2">
      <c r="A180" s="3" t="s">
        <v>869</v>
      </c>
      <c r="B180" s="3" t="s">
        <v>5385</v>
      </c>
      <c r="C180" s="3" t="s">
        <v>4725</v>
      </c>
      <c r="D180" s="3">
        <v>215</v>
      </c>
      <c r="E180" s="3" t="s">
        <v>3992</v>
      </c>
      <c r="F180" s="3" t="s">
        <v>5386</v>
      </c>
      <c r="G180" s="11" t="s">
        <v>5387</v>
      </c>
      <c r="H180" s="3" t="s">
        <v>5388</v>
      </c>
      <c r="I180" s="3" t="s">
        <v>4290</v>
      </c>
      <c r="J180" s="3" t="s">
        <v>4748</v>
      </c>
      <c r="K180" s="3" t="s">
        <v>4008</v>
      </c>
      <c r="L180" s="3" t="s">
        <v>650</v>
      </c>
      <c r="M180" s="3" t="s">
        <v>5389</v>
      </c>
      <c r="N180" s="3" t="s">
        <v>3535</v>
      </c>
      <c r="O180" s="3" t="s">
        <v>650</v>
      </c>
      <c r="P180" s="3">
        <v>0</v>
      </c>
      <c r="Q180" s="3" t="s">
        <v>4052</v>
      </c>
      <c r="R180" s="3" t="s">
        <v>1499</v>
      </c>
      <c r="S180" s="3" t="s">
        <v>650</v>
      </c>
      <c r="T180" s="3" t="s">
        <v>650</v>
      </c>
      <c r="U180" s="3" t="s">
        <v>1380</v>
      </c>
      <c r="V180" s="3" t="s">
        <v>428</v>
      </c>
      <c r="W180" s="3"/>
      <c r="X180" s="3"/>
      <c r="Y180" s="6" t="s">
        <v>5390</v>
      </c>
    </row>
    <row r="181" spans="1:25" ht="60" customHeight="1" x14ac:dyDescent="0.2">
      <c r="A181" s="3" t="s">
        <v>5391</v>
      </c>
      <c r="B181" s="3" t="s">
        <v>5392</v>
      </c>
      <c r="C181" s="3" t="s">
        <v>5260</v>
      </c>
      <c r="D181" s="3">
        <v>231</v>
      </c>
      <c r="E181" s="3" t="s">
        <v>3992</v>
      </c>
      <c r="F181" s="3" t="s">
        <v>5393</v>
      </c>
      <c r="G181" s="11" t="s">
        <v>5394</v>
      </c>
      <c r="H181" s="3" t="s">
        <v>5395</v>
      </c>
      <c r="I181" s="3" t="s">
        <v>4290</v>
      </c>
      <c r="J181" s="3" t="s">
        <v>4007</v>
      </c>
      <c r="K181" s="3" t="s">
        <v>4008</v>
      </c>
      <c r="L181" s="3" t="s">
        <v>650</v>
      </c>
      <c r="M181" s="3" t="s">
        <v>5396</v>
      </c>
      <c r="N181" s="3" t="s">
        <v>3535</v>
      </c>
      <c r="O181" s="3" t="s">
        <v>5397</v>
      </c>
      <c r="P181" s="3">
        <v>6</v>
      </c>
      <c r="Q181" s="3" t="s">
        <v>5398</v>
      </c>
      <c r="R181" s="3" t="s">
        <v>5399</v>
      </c>
      <c r="S181" s="3" t="s">
        <v>650</v>
      </c>
      <c r="T181" s="3" t="s">
        <v>650</v>
      </c>
      <c r="U181" s="3" t="s">
        <v>1380</v>
      </c>
      <c r="V181" s="3" t="s">
        <v>428</v>
      </c>
      <c r="W181" s="3"/>
      <c r="X181" s="3"/>
      <c r="Y181" s="6" t="s">
        <v>5400</v>
      </c>
    </row>
    <row r="182" spans="1:25" ht="60" customHeight="1" x14ac:dyDescent="0.2">
      <c r="A182" s="3" t="s">
        <v>2984</v>
      </c>
      <c r="B182" s="3" t="s">
        <v>2995</v>
      </c>
      <c r="C182" s="3" t="s">
        <v>5401</v>
      </c>
      <c r="D182" s="3">
        <v>87</v>
      </c>
      <c r="E182" s="3" t="s">
        <v>3992</v>
      </c>
      <c r="F182" s="3" t="s">
        <v>5402</v>
      </c>
      <c r="G182" s="11" t="s">
        <v>5403</v>
      </c>
      <c r="H182" s="3" t="s">
        <v>5404</v>
      </c>
      <c r="I182" s="3" t="s">
        <v>4290</v>
      </c>
      <c r="J182" s="3" t="s">
        <v>5405</v>
      </c>
      <c r="K182" s="3" t="s">
        <v>5406</v>
      </c>
      <c r="L182" s="3" t="s">
        <v>650</v>
      </c>
      <c r="M182" s="3" t="s">
        <v>5407</v>
      </c>
      <c r="N182" s="3" t="s">
        <v>3535</v>
      </c>
      <c r="O182" s="3" t="s">
        <v>5408</v>
      </c>
      <c r="P182" s="3">
        <v>4</v>
      </c>
      <c r="Q182" s="3" t="s">
        <v>5408</v>
      </c>
      <c r="R182" s="3" t="s">
        <v>5409</v>
      </c>
      <c r="S182" s="3" t="s">
        <v>5410</v>
      </c>
      <c r="T182" s="3" t="s">
        <v>650</v>
      </c>
      <c r="U182" s="3" t="s">
        <v>1380</v>
      </c>
      <c r="V182" s="3" t="s">
        <v>7</v>
      </c>
      <c r="W182" s="3"/>
      <c r="X182" s="3"/>
      <c r="Y182" s="6" t="s">
        <v>4091</v>
      </c>
    </row>
    <row r="183" spans="1:25" ht="60" customHeight="1" x14ac:dyDescent="0.2">
      <c r="A183" s="3" t="s">
        <v>1708</v>
      </c>
      <c r="B183" s="3" t="s">
        <v>1707</v>
      </c>
      <c r="C183" s="3" t="s">
        <v>5401</v>
      </c>
      <c r="D183" s="3">
        <v>135</v>
      </c>
      <c r="E183" s="3" t="s">
        <v>4003</v>
      </c>
      <c r="F183" s="3" t="s">
        <v>5411</v>
      </c>
      <c r="G183" s="11" t="s">
        <v>5412</v>
      </c>
      <c r="H183" s="3" t="s">
        <v>5413</v>
      </c>
      <c r="I183" s="3" t="s">
        <v>4290</v>
      </c>
      <c r="J183" s="3" t="s">
        <v>5414</v>
      </c>
      <c r="K183" s="3" t="s">
        <v>5415</v>
      </c>
      <c r="L183" s="3" t="s">
        <v>4020</v>
      </c>
      <c r="M183" s="3" t="s">
        <v>5416</v>
      </c>
      <c r="N183" s="3" t="s">
        <v>3535</v>
      </c>
      <c r="O183" s="3" t="s">
        <v>5417</v>
      </c>
      <c r="P183" s="3">
        <v>5</v>
      </c>
      <c r="Q183" s="3" t="s">
        <v>5418</v>
      </c>
      <c r="R183" s="3" t="s">
        <v>5419</v>
      </c>
      <c r="S183" s="3" t="s">
        <v>5420</v>
      </c>
      <c r="T183" s="3" t="s">
        <v>650</v>
      </c>
      <c r="U183" s="3" t="s">
        <v>1380</v>
      </c>
      <c r="V183" s="3" t="s">
        <v>539</v>
      </c>
      <c r="W183" s="3"/>
      <c r="X183" s="3"/>
      <c r="Y183" s="6" t="s">
        <v>4091</v>
      </c>
    </row>
    <row r="184" spans="1:25" ht="60" customHeight="1" x14ac:dyDescent="0.2">
      <c r="A184" s="3" t="s">
        <v>5421</v>
      </c>
      <c r="B184" s="3" t="s">
        <v>5422</v>
      </c>
      <c r="C184" s="3" t="s">
        <v>5401</v>
      </c>
      <c r="D184" s="3">
        <v>53</v>
      </c>
      <c r="E184" s="3" t="s">
        <v>4136</v>
      </c>
      <c r="F184" s="3" t="s">
        <v>4110</v>
      </c>
      <c r="G184" s="11" t="s">
        <v>5423</v>
      </c>
      <c r="H184" s="3" t="s">
        <v>5424</v>
      </c>
      <c r="I184" s="3" t="s">
        <v>4290</v>
      </c>
      <c r="J184" s="3" t="s">
        <v>5195</v>
      </c>
      <c r="K184" s="3" t="s">
        <v>4028</v>
      </c>
      <c r="L184" s="3" t="s">
        <v>650</v>
      </c>
      <c r="M184" s="3" t="s">
        <v>4010</v>
      </c>
      <c r="N184" s="3" t="s">
        <v>3535</v>
      </c>
      <c r="O184" s="3" t="s">
        <v>650</v>
      </c>
      <c r="P184" s="3">
        <v>0</v>
      </c>
      <c r="Q184" s="3" t="s">
        <v>4052</v>
      </c>
      <c r="R184" s="3" t="s">
        <v>1499</v>
      </c>
      <c r="S184" s="3" t="s">
        <v>650</v>
      </c>
      <c r="T184" s="3" t="s">
        <v>650</v>
      </c>
      <c r="U184" s="3" t="s">
        <v>1380</v>
      </c>
      <c r="V184" s="3" t="s">
        <v>539</v>
      </c>
      <c r="W184" s="3"/>
      <c r="X184" s="3"/>
      <c r="Y184" s="3" t="s">
        <v>2001</v>
      </c>
    </row>
    <row r="185" spans="1:25" ht="60" customHeight="1" x14ac:dyDescent="0.2">
      <c r="A185" s="3" t="s">
        <v>5425</v>
      </c>
      <c r="B185" s="3" t="s">
        <v>5426</v>
      </c>
      <c r="C185" s="3" t="s">
        <v>4035</v>
      </c>
      <c r="D185" s="3">
        <v>82</v>
      </c>
      <c r="E185" s="3" t="s">
        <v>4003</v>
      </c>
      <c r="F185" s="3" t="s">
        <v>5427</v>
      </c>
      <c r="G185" s="11" t="s">
        <v>5428</v>
      </c>
      <c r="H185" s="3" t="s">
        <v>5429</v>
      </c>
      <c r="I185" s="3" t="s">
        <v>3996</v>
      </c>
      <c r="J185" s="3" t="s">
        <v>5430</v>
      </c>
      <c r="K185" s="3" t="s">
        <v>4844</v>
      </c>
      <c r="L185" s="3" t="s">
        <v>4020</v>
      </c>
      <c r="M185" s="3" t="s">
        <v>4010</v>
      </c>
      <c r="N185" s="3" t="s">
        <v>3535</v>
      </c>
      <c r="O185" s="3" t="s">
        <v>5431</v>
      </c>
      <c r="P185" s="3">
        <v>1</v>
      </c>
      <c r="Q185" s="3" t="s">
        <v>5431</v>
      </c>
      <c r="R185" s="3" t="s">
        <v>5432</v>
      </c>
      <c r="S185" s="3" t="s">
        <v>650</v>
      </c>
      <c r="T185" s="3" t="s">
        <v>650</v>
      </c>
      <c r="U185" s="3" t="s">
        <v>1380</v>
      </c>
      <c r="V185" s="3" t="s">
        <v>577</v>
      </c>
      <c r="W185" s="3"/>
      <c r="X185" s="3"/>
      <c r="Y185" s="6" t="s">
        <v>5433</v>
      </c>
    </row>
    <row r="186" spans="1:25" ht="60" customHeight="1" x14ac:dyDescent="0.2">
      <c r="A186" s="3" t="s">
        <v>5434</v>
      </c>
      <c r="B186" s="3" t="s">
        <v>5435</v>
      </c>
      <c r="C186" s="3" t="s">
        <v>4035</v>
      </c>
      <c r="D186" s="3">
        <v>117</v>
      </c>
      <c r="E186" s="3" t="s">
        <v>3992</v>
      </c>
      <c r="F186" s="3" t="s">
        <v>5436</v>
      </c>
      <c r="G186" s="11" t="s">
        <v>5437</v>
      </c>
      <c r="H186" s="3" t="s">
        <v>5438</v>
      </c>
      <c r="I186" s="3" t="s">
        <v>3996</v>
      </c>
      <c r="J186" s="3" t="s">
        <v>5439</v>
      </c>
      <c r="K186" s="3" t="s">
        <v>4844</v>
      </c>
      <c r="L186" s="3" t="s">
        <v>650</v>
      </c>
      <c r="M186" s="3" t="s">
        <v>4010</v>
      </c>
      <c r="N186" s="3" t="s">
        <v>3535</v>
      </c>
      <c r="O186" s="3" t="s">
        <v>650</v>
      </c>
      <c r="P186" s="3">
        <v>0</v>
      </c>
      <c r="Q186" s="3" t="s">
        <v>4052</v>
      </c>
      <c r="R186" s="3" t="s">
        <v>1499</v>
      </c>
      <c r="S186" s="3" t="s">
        <v>650</v>
      </c>
      <c r="T186" s="3" t="s">
        <v>650</v>
      </c>
      <c r="U186" s="3" t="s">
        <v>1380</v>
      </c>
      <c r="V186" s="3" t="s">
        <v>577</v>
      </c>
      <c r="W186" s="3"/>
      <c r="X186" s="3"/>
      <c r="Y186" s="6" t="s">
        <v>5433</v>
      </c>
    </row>
    <row r="187" spans="1:25" ht="60" customHeight="1" x14ac:dyDescent="0.2">
      <c r="A187" s="3" t="s">
        <v>2428</v>
      </c>
      <c r="B187" s="3" t="s">
        <v>5440</v>
      </c>
      <c r="C187" s="3" t="s">
        <v>4035</v>
      </c>
      <c r="D187" s="3">
        <v>53</v>
      </c>
      <c r="E187" s="3" t="s">
        <v>4003</v>
      </c>
      <c r="F187" s="3" t="s">
        <v>5441</v>
      </c>
      <c r="G187" s="11" t="s">
        <v>5442</v>
      </c>
      <c r="H187" s="3" t="s">
        <v>5443</v>
      </c>
      <c r="I187" s="3" t="s">
        <v>3996</v>
      </c>
      <c r="J187" s="3" t="s">
        <v>5444</v>
      </c>
      <c r="K187" s="3" t="s">
        <v>4008</v>
      </c>
      <c r="L187" s="3" t="s">
        <v>5445</v>
      </c>
      <c r="M187" s="3" t="s">
        <v>5446</v>
      </c>
      <c r="N187" s="3" t="s">
        <v>3535</v>
      </c>
      <c r="O187" s="3" t="s">
        <v>650</v>
      </c>
      <c r="P187" s="3">
        <v>0</v>
      </c>
      <c r="Q187" s="3" t="s">
        <v>4052</v>
      </c>
      <c r="R187" s="3" t="s">
        <v>1499</v>
      </c>
      <c r="S187" s="3" t="s">
        <v>2425</v>
      </c>
      <c r="T187" s="3" t="s">
        <v>650</v>
      </c>
      <c r="U187" s="3" t="s">
        <v>1380</v>
      </c>
      <c r="V187" s="3" t="s">
        <v>539</v>
      </c>
      <c r="W187" s="3"/>
      <c r="X187" s="3"/>
      <c r="Y187" s="6" t="s">
        <v>5447</v>
      </c>
    </row>
    <row r="188" spans="1:25" ht="60" customHeight="1" x14ac:dyDescent="0.2">
      <c r="A188" s="3" t="s">
        <v>5448</v>
      </c>
      <c r="B188" s="3" t="s">
        <v>5449</v>
      </c>
      <c r="C188" s="3" t="s">
        <v>4438</v>
      </c>
      <c r="D188" s="3">
        <v>79</v>
      </c>
      <c r="E188" s="3" t="s">
        <v>4003</v>
      </c>
      <c r="F188" s="3" t="s">
        <v>5450</v>
      </c>
      <c r="G188" s="11" t="s">
        <v>5451</v>
      </c>
      <c r="H188" s="3" t="s">
        <v>5452</v>
      </c>
      <c r="I188" s="3" t="s">
        <v>3996</v>
      </c>
      <c r="J188" s="3" t="s">
        <v>5453</v>
      </c>
      <c r="K188" s="3" t="s">
        <v>4008</v>
      </c>
      <c r="L188" s="3" t="s">
        <v>4020</v>
      </c>
      <c r="M188" s="3" t="s">
        <v>5454</v>
      </c>
      <c r="N188" s="3" t="s">
        <v>3535</v>
      </c>
      <c r="O188" s="3" t="s">
        <v>650</v>
      </c>
      <c r="P188" s="3">
        <v>0</v>
      </c>
      <c r="Q188" s="3" t="s">
        <v>4052</v>
      </c>
      <c r="R188" s="3" t="s">
        <v>1499</v>
      </c>
      <c r="S188" s="3" t="s">
        <v>926</v>
      </c>
      <c r="T188" s="3" t="s">
        <v>650</v>
      </c>
      <c r="U188" s="3" t="s">
        <v>1380</v>
      </c>
      <c r="V188" s="3" t="s">
        <v>539</v>
      </c>
      <c r="W188" s="3"/>
      <c r="X188" s="3"/>
      <c r="Y188" s="6" t="s">
        <v>5455</v>
      </c>
    </row>
    <row r="189" spans="1:25" ht="45" customHeight="1" x14ac:dyDescent="0.2">
      <c r="A189" s="3" t="s">
        <v>5456</v>
      </c>
      <c r="B189" s="3" t="s">
        <v>5457</v>
      </c>
      <c r="C189" s="3" t="s">
        <v>4438</v>
      </c>
      <c r="D189" s="3">
        <v>103</v>
      </c>
      <c r="E189" s="3" t="s">
        <v>4003</v>
      </c>
      <c r="F189" s="3" t="s">
        <v>5458</v>
      </c>
      <c r="G189" s="11" t="s">
        <v>5459</v>
      </c>
      <c r="H189" s="3" t="s">
        <v>5460</v>
      </c>
      <c r="I189" s="3" t="s">
        <v>4018</v>
      </c>
      <c r="J189" s="3" t="s">
        <v>5461</v>
      </c>
      <c r="K189" s="3" t="s">
        <v>4008</v>
      </c>
      <c r="L189" s="3" t="s">
        <v>4020</v>
      </c>
      <c r="M189" s="3" t="s">
        <v>5462</v>
      </c>
      <c r="N189" s="3" t="s">
        <v>3535</v>
      </c>
      <c r="O189" s="3" t="s">
        <v>5463</v>
      </c>
      <c r="P189" s="3">
        <v>1</v>
      </c>
      <c r="Q189" s="3" t="s">
        <v>5463</v>
      </c>
      <c r="R189" s="3" t="s">
        <v>5464</v>
      </c>
      <c r="S189" s="3" t="s">
        <v>926</v>
      </c>
      <c r="T189" s="3" t="s">
        <v>650</v>
      </c>
      <c r="U189" s="3" t="s">
        <v>1380</v>
      </c>
      <c r="V189" s="3" t="s">
        <v>539</v>
      </c>
      <c r="W189" s="3"/>
      <c r="X189" s="3"/>
      <c r="Y189" s="6" t="s">
        <v>5455</v>
      </c>
    </row>
    <row r="190" spans="1:25" ht="60" customHeight="1" x14ac:dyDescent="0.2">
      <c r="A190" s="3" t="s">
        <v>5465</v>
      </c>
      <c r="B190" s="3" t="s">
        <v>5466</v>
      </c>
      <c r="C190" s="3" t="s">
        <v>4438</v>
      </c>
      <c r="D190" s="3">
        <v>48</v>
      </c>
      <c r="E190" s="3" t="s">
        <v>4003</v>
      </c>
      <c r="F190" s="3" t="s">
        <v>5467</v>
      </c>
      <c r="G190" s="11" t="s">
        <v>5468</v>
      </c>
      <c r="H190" s="3" t="s">
        <v>5469</v>
      </c>
      <c r="I190" s="3" t="s">
        <v>3996</v>
      </c>
      <c r="J190" s="3" t="s">
        <v>5470</v>
      </c>
      <c r="K190" s="3" t="s">
        <v>4257</v>
      </c>
      <c r="L190" s="3" t="s">
        <v>5471</v>
      </c>
      <c r="M190" s="3" t="s">
        <v>5472</v>
      </c>
      <c r="N190" s="3" t="s">
        <v>3535</v>
      </c>
      <c r="O190" s="3" t="s">
        <v>650</v>
      </c>
      <c r="P190" s="3">
        <v>0</v>
      </c>
      <c r="Q190" s="3" t="s">
        <v>4052</v>
      </c>
      <c r="R190" s="3" t="s">
        <v>1499</v>
      </c>
      <c r="S190" s="3" t="s">
        <v>650</v>
      </c>
      <c r="T190" s="3" t="s">
        <v>650</v>
      </c>
      <c r="U190" s="3" t="s">
        <v>1380</v>
      </c>
      <c r="V190" s="3" t="s">
        <v>539</v>
      </c>
      <c r="W190" s="3"/>
      <c r="X190" s="3"/>
      <c r="Y190" s="3" t="s">
        <v>2001</v>
      </c>
    </row>
    <row r="191" spans="1:25" ht="60" customHeight="1" x14ac:dyDescent="0.2">
      <c r="A191" s="3" t="s">
        <v>5473</v>
      </c>
      <c r="B191" s="3" t="s">
        <v>5474</v>
      </c>
      <c r="C191" s="3" t="s">
        <v>4960</v>
      </c>
      <c r="D191" s="3">
        <v>804</v>
      </c>
      <c r="E191" s="3" t="s">
        <v>3992</v>
      </c>
      <c r="F191" s="3" t="s">
        <v>4110</v>
      </c>
      <c r="G191" s="11" t="s">
        <v>5475</v>
      </c>
      <c r="H191" s="3" t="s">
        <v>5476</v>
      </c>
      <c r="I191" s="3" t="s">
        <v>4018</v>
      </c>
      <c r="J191" s="3" t="s">
        <v>5477</v>
      </c>
      <c r="K191" s="3" t="s">
        <v>4008</v>
      </c>
      <c r="L191" s="3" t="s">
        <v>650</v>
      </c>
      <c r="M191" s="3" t="s">
        <v>5478</v>
      </c>
      <c r="N191" s="3" t="s">
        <v>3535</v>
      </c>
      <c r="O191" s="3" t="s">
        <v>650</v>
      </c>
      <c r="P191" s="3">
        <v>0</v>
      </c>
      <c r="Q191" s="3" t="s">
        <v>4052</v>
      </c>
      <c r="R191" s="3" t="s">
        <v>1499</v>
      </c>
      <c r="S191" s="3" t="s">
        <v>650</v>
      </c>
      <c r="T191" s="3" t="s">
        <v>650</v>
      </c>
      <c r="U191" s="3" t="s">
        <v>1380</v>
      </c>
      <c r="V191" s="3" t="s">
        <v>539</v>
      </c>
      <c r="W191" s="3"/>
      <c r="X191" s="3"/>
      <c r="Y191" s="3" t="s">
        <v>2001</v>
      </c>
    </row>
    <row r="192" spans="1:25" ht="60" customHeight="1" x14ac:dyDescent="0.2">
      <c r="A192" s="3" t="s">
        <v>2635</v>
      </c>
      <c r="B192" s="3" t="s">
        <v>2634</v>
      </c>
      <c r="C192" s="3" t="s">
        <v>4960</v>
      </c>
      <c r="D192" s="3">
        <v>675</v>
      </c>
      <c r="E192" s="3" t="s">
        <v>4003</v>
      </c>
      <c r="F192" s="3" t="s">
        <v>4110</v>
      </c>
      <c r="G192" s="11" t="s">
        <v>5479</v>
      </c>
      <c r="H192" s="3" t="s">
        <v>5480</v>
      </c>
      <c r="I192" s="3" t="s">
        <v>3996</v>
      </c>
      <c r="J192" s="3" t="s">
        <v>5481</v>
      </c>
      <c r="K192" s="3" t="s">
        <v>5482</v>
      </c>
      <c r="L192" s="3" t="s">
        <v>5483</v>
      </c>
      <c r="M192" s="3" t="s">
        <v>5484</v>
      </c>
      <c r="N192" s="3" t="s">
        <v>3535</v>
      </c>
      <c r="O192" s="3" t="s">
        <v>5485</v>
      </c>
      <c r="P192" s="3">
        <v>60</v>
      </c>
      <c r="Q192" s="3" t="s">
        <v>5486</v>
      </c>
      <c r="R192" s="3" t="s">
        <v>5487</v>
      </c>
      <c r="S192" s="3" t="s">
        <v>5488</v>
      </c>
      <c r="T192" s="3" t="s">
        <v>650</v>
      </c>
      <c r="U192" s="3" t="s">
        <v>1380</v>
      </c>
      <c r="V192" s="3" t="s">
        <v>505</v>
      </c>
      <c r="W192" s="3"/>
      <c r="X192" s="3"/>
      <c r="Y192" s="6" t="s">
        <v>5489</v>
      </c>
    </row>
    <row r="193" spans="1:25" ht="60" customHeight="1" x14ac:dyDescent="0.2">
      <c r="A193" s="3" t="s">
        <v>5490</v>
      </c>
      <c r="B193" s="3" t="s">
        <v>5491</v>
      </c>
      <c r="C193" s="3" t="s">
        <v>5104</v>
      </c>
      <c r="D193" s="3">
        <v>272</v>
      </c>
      <c r="E193" s="3" t="s">
        <v>4129</v>
      </c>
      <c r="F193" s="3" t="s">
        <v>4110</v>
      </c>
      <c r="G193" s="11" t="s">
        <v>5492</v>
      </c>
      <c r="H193" s="3" t="s">
        <v>5493</v>
      </c>
      <c r="I193" s="3" t="s">
        <v>4018</v>
      </c>
      <c r="J193" s="3" t="s">
        <v>5139</v>
      </c>
      <c r="K193" s="3" t="s">
        <v>5494</v>
      </c>
      <c r="L193" s="3" t="s">
        <v>650</v>
      </c>
      <c r="M193" s="3" t="s">
        <v>4010</v>
      </c>
      <c r="N193" s="3" t="s">
        <v>3419</v>
      </c>
      <c r="O193" s="3" t="s">
        <v>5495</v>
      </c>
      <c r="P193" s="3">
        <v>14</v>
      </c>
      <c r="Q193" s="3" t="s">
        <v>5496</v>
      </c>
      <c r="R193" s="3" t="s">
        <v>5497</v>
      </c>
      <c r="S193" s="3" t="s">
        <v>650</v>
      </c>
      <c r="T193" s="3" t="s">
        <v>650</v>
      </c>
      <c r="U193" s="3" t="s">
        <v>1380</v>
      </c>
      <c r="V193" s="3" t="s">
        <v>539</v>
      </c>
      <c r="W193" s="3"/>
      <c r="X193" s="3"/>
      <c r="Y193" s="7" t="s">
        <v>5498</v>
      </c>
    </row>
    <row r="194" spans="1:25" ht="60" customHeight="1" x14ac:dyDescent="0.2">
      <c r="A194" s="3" t="s">
        <v>2756</v>
      </c>
      <c r="B194" s="3" t="s">
        <v>2755</v>
      </c>
      <c r="C194" s="3" t="s">
        <v>4035</v>
      </c>
      <c r="D194" s="3">
        <v>419</v>
      </c>
      <c r="E194" s="3" t="s">
        <v>4129</v>
      </c>
      <c r="F194" s="3" t="s">
        <v>4110</v>
      </c>
      <c r="G194" s="11" t="s">
        <v>5499</v>
      </c>
      <c r="H194" s="3" t="s">
        <v>5500</v>
      </c>
      <c r="I194" s="3" t="s">
        <v>4018</v>
      </c>
      <c r="J194" s="3" t="s">
        <v>4039</v>
      </c>
      <c r="K194" s="3" t="s">
        <v>5501</v>
      </c>
      <c r="L194" s="3" t="s">
        <v>650</v>
      </c>
      <c r="M194" s="3" t="s">
        <v>4010</v>
      </c>
      <c r="N194" s="3" t="s">
        <v>3419</v>
      </c>
      <c r="O194" s="3" t="s">
        <v>5502</v>
      </c>
      <c r="P194" s="3">
        <v>66</v>
      </c>
      <c r="Q194" s="3" t="s">
        <v>5503</v>
      </c>
      <c r="R194" s="3" t="s">
        <v>5504</v>
      </c>
      <c r="S194" s="3" t="s">
        <v>5505</v>
      </c>
      <c r="T194" s="3" t="s">
        <v>650</v>
      </c>
      <c r="U194" s="3" t="s">
        <v>1380</v>
      </c>
      <c r="V194" s="3" t="s">
        <v>700</v>
      </c>
      <c r="W194" s="3"/>
      <c r="X194" s="3"/>
      <c r="Y194" s="7" t="s">
        <v>5498</v>
      </c>
    </row>
    <row r="195" spans="1:25" ht="60" customHeight="1" x14ac:dyDescent="0.2">
      <c r="A195" s="3" t="s">
        <v>2442</v>
      </c>
      <c r="B195" s="3" t="s">
        <v>2694</v>
      </c>
      <c r="C195" s="3" t="s">
        <v>5506</v>
      </c>
      <c r="D195" s="3">
        <v>150</v>
      </c>
      <c r="E195" s="3" t="s">
        <v>4003</v>
      </c>
      <c r="F195" s="3" t="s">
        <v>5507</v>
      </c>
      <c r="G195" s="11" t="s">
        <v>5508</v>
      </c>
      <c r="H195" s="3" t="s">
        <v>5509</v>
      </c>
      <c r="I195" s="3" t="s">
        <v>3996</v>
      </c>
      <c r="J195" s="3" t="s">
        <v>5510</v>
      </c>
      <c r="K195" s="3" t="s">
        <v>5511</v>
      </c>
      <c r="L195" s="3" t="s">
        <v>5512</v>
      </c>
      <c r="M195" s="3" t="s">
        <v>4010</v>
      </c>
      <c r="N195" s="3" t="s">
        <v>3535</v>
      </c>
      <c r="O195" s="3" t="s">
        <v>5513</v>
      </c>
      <c r="P195" s="3">
        <v>71</v>
      </c>
      <c r="Q195" s="3" t="s">
        <v>5514</v>
      </c>
      <c r="R195" s="3" t="s">
        <v>5515</v>
      </c>
      <c r="S195" s="3" t="s">
        <v>5516</v>
      </c>
      <c r="T195" s="3" t="s">
        <v>650</v>
      </c>
      <c r="U195" s="3" t="s">
        <v>1380</v>
      </c>
      <c r="V195" s="3" t="s">
        <v>505</v>
      </c>
      <c r="W195" s="3"/>
      <c r="X195" s="3"/>
      <c r="Y195" s="3" t="s">
        <v>2001</v>
      </c>
    </row>
    <row r="196" spans="1:25" ht="45" customHeight="1" x14ac:dyDescent="0.2">
      <c r="A196" s="3" t="s">
        <v>5517</v>
      </c>
      <c r="B196" s="3" t="s">
        <v>5518</v>
      </c>
      <c r="C196" s="3" t="s">
        <v>5519</v>
      </c>
      <c r="D196" s="3">
        <v>164</v>
      </c>
      <c r="E196" s="3" t="s">
        <v>4003</v>
      </c>
      <c r="F196" s="3" t="s">
        <v>5520</v>
      </c>
      <c r="G196" s="11" t="s">
        <v>5521</v>
      </c>
      <c r="H196" s="3" t="s">
        <v>5522</v>
      </c>
      <c r="I196" s="3" t="s">
        <v>4018</v>
      </c>
      <c r="J196" s="3" t="s">
        <v>5523</v>
      </c>
      <c r="K196" s="3" t="s">
        <v>5524</v>
      </c>
      <c r="L196" s="3" t="s">
        <v>4020</v>
      </c>
      <c r="M196" s="3" t="s">
        <v>4010</v>
      </c>
      <c r="N196" s="3" t="s">
        <v>3535</v>
      </c>
      <c r="O196" s="3" t="s">
        <v>5525</v>
      </c>
      <c r="P196" s="3">
        <v>1</v>
      </c>
      <c r="Q196" s="3" t="s">
        <v>5525</v>
      </c>
      <c r="R196" s="3" t="s">
        <v>5526</v>
      </c>
      <c r="S196" s="3" t="s">
        <v>650</v>
      </c>
      <c r="T196" s="3" t="s">
        <v>650</v>
      </c>
      <c r="U196" s="3" t="s">
        <v>1380</v>
      </c>
      <c r="V196" s="3" t="s">
        <v>700</v>
      </c>
      <c r="W196" s="3"/>
      <c r="X196" s="3"/>
      <c r="Y196" s="3" t="s">
        <v>2001</v>
      </c>
    </row>
    <row r="197" spans="1:25" ht="45" customHeight="1" x14ac:dyDescent="0.2">
      <c r="A197" s="3" t="s">
        <v>5527</v>
      </c>
      <c r="B197" s="3" t="s">
        <v>5528</v>
      </c>
      <c r="C197" s="3" t="s">
        <v>5529</v>
      </c>
      <c r="D197" s="3">
        <v>34</v>
      </c>
      <c r="E197" s="3" t="s">
        <v>4003</v>
      </c>
      <c r="F197" s="3" t="s">
        <v>5530</v>
      </c>
      <c r="G197" s="11" t="s">
        <v>5531</v>
      </c>
      <c r="H197" s="3" t="s">
        <v>5532</v>
      </c>
      <c r="I197" s="3" t="s">
        <v>3996</v>
      </c>
      <c r="J197" s="3" t="s">
        <v>5533</v>
      </c>
      <c r="K197" s="3" t="s">
        <v>4844</v>
      </c>
      <c r="L197" s="3" t="s">
        <v>4020</v>
      </c>
      <c r="M197" s="3" t="s">
        <v>5534</v>
      </c>
      <c r="N197" s="3" t="s">
        <v>3535</v>
      </c>
      <c r="O197" s="3" t="s">
        <v>650</v>
      </c>
      <c r="P197" s="3">
        <v>0</v>
      </c>
      <c r="Q197" s="3" t="s">
        <v>4052</v>
      </c>
      <c r="R197" s="3" t="s">
        <v>1499</v>
      </c>
      <c r="S197" s="3" t="s">
        <v>650</v>
      </c>
      <c r="T197" s="3" t="s">
        <v>650</v>
      </c>
      <c r="U197" s="3" t="s">
        <v>1380</v>
      </c>
      <c r="V197" s="3" t="s">
        <v>700</v>
      </c>
      <c r="W197" s="3"/>
      <c r="X197" s="3"/>
      <c r="Y197" s="3" t="s">
        <v>2001</v>
      </c>
    </row>
    <row r="198" spans="1:25" ht="45" customHeight="1" x14ac:dyDescent="0.2">
      <c r="A198" s="3" t="s">
        <v>5535</v>
      </c>
      <c r="B198" s="3" t="s">
        <v>5536</v>
      </c>
      <c r="C198" s="3" t="s">
        <v>5529</v>
      </c>
      <c r="D198" s="3">
        <v>65</v>
      </c>
      <c r="E198" s="3" t="s">
        <v>4003</v>
      </c>
      <c r="F198" s="3" t="s">
        <v>5537</v>
      </c>
      <c r="G198" s="11" t="s">
        <v>5538</v>
      </c>
      <c r="H198" s="3" t="s">
        <v>5539</v>
      </c>
      <c r="I198" s="3" t="s">
        <v>4018</v>
      </c>
      <c r="J198" s="3" t="s">
        <v>5540</v>
      </c>
      <c r="K198" s="3" t="s">
        <v>4008</v>
      </c>
      <c r="L198" s="3" t="s">
        <v>4020</v>
      </c>
      <c r="M198" s="3" t="s">
        <v>5541</v>
      </c>
      <c r="N198" s="3" t="s">
        <v>3535</v>
      </c>
      <c r="O198" s="3" t="s">
        <v>650</v>
      </c>
      <c r="P198" s="3">
        <v>0</v>
      </c>
      <c r="Q198" s="3" t="s">
        <v>4052</v>
      </c>
      <c r="R198" s="3" t="s">
        <v>1499</v>
      </c>
      <c r="S198" s="3" t="s">
        <v>650</v>
      </c>
      <c r="T198" s="3" t="s">
        <v>650</v>
      </c>
      <c r="U198" s="3" t="s">
        <v>1380</v>
      </c>
      <c r="V198" s="3" t="s">
        <v>700</v>
      </c>
      <c r="W198" s="3"/>
      <c r="X198" s="3"/>
      <c r="Y198" s="3" t="s">
        <v>2001</v>
      </c>
    </row>
    <row r="199" spans="1:25" ht="60" customHeight="1" x14ac:dyDescent="0.2">
      <c r="A199" s="3" t="s">
        <v>1511</v>
      </c>
      <c r="B199" s="3" t="s">
        <v>1510</v>
      </c>
      <c r="C199" s="3" t="s">
        <v>5529</v>
      </c>
      <c r="D199" s="3">
        <v>95</v>
      </c>
      <c r="E199" s="3" t="s">
        <v>4003</v>
      </c>
      <c r="F199" s="3" t="s">
        <v>5542</v>
      </c>
      <c r="G199" s="11" t="s">
        <v>5543</v>
      </c>
      <c r="H199" s="3" t="s">
        <v>5544</v>
      </c>
      <c r="I199" s="3" t="s">
        <v>4018</v>
      </c>
      <c r="J199" s="3" t="s">
        <v>5545</v>
      </c>
      <c r="K199" s="3" t="s">
        <v>4257</v>
      </c>
      <c r="L199" s="3" t="s">
        <v>4020</v>
      </c>
      <c r="M199" s="3" t="s">
        <v>4010</v>
      </c>
      <c r="N199" s="3" t="s">
        <v>3535</v>
      </c>
      <c r="O199" s="3" t="s">
        <v>5546</v>
      </c>
      <c r="P199" s="3">
        <v>1</v>
      </c>
      <c r="Q199" s="3" t="s">
        <v>5546</v>
      </c>
      <c r="R199" s="3" t="s">
        <v>1516</v>
      </c>
      <c r="S199" s="3" t="s">
        <v>1507</v>
      </c>
      <c r="T199" s="3" t="s">
        <v>650</v>
      </c>
      <c r="U199" s="3" t="s">
        <v>1380</v>
      </c>
      <c r="V199" s="3" t="s">
        <v>700</v>
      </c>
      <c r="W199" s="3"/>
      <c r="X199" s="3"/>
      <c r="Y199" s="3" t="s">
        <v>2001</v>
      </c>
    </row>
    <row r="200" spans="1:25" ht="60" customHeight="1" x14ac:dyDescent="0.2">
      <c r="A200" s="3" t="s">
        <v>5547</v>
      </c>
      <c r="B200" s="3" t="s">
        <v>5548</v>
      </c>
      <c r="C200" s="3" t="s">
        <v>5519</v>
      </c>
      <c r="D200" s="3">
        <v>61</v>
      </c>
      <c r="E200" s="3" t="s">
        <v>4136</v>
      </c>
      <c r="F200" s="3" t="s">
        <v>4110</v>
      </c>
      <c r="G200" s="11" t="s">
        <v>5549</v>
      </c>
      <c r="H200" s="3" t="s">
        <v>5550</v>
      </c>
      <c r="I200" s="3" t="s">
        <v>4290</v>
      </c>
      <c r="J200" s="3" t="s">
        <v>5551</v>
      </c>
      <c r="K200" s="3" t="s">
        <v>4028</v>
      </c>
      <c r="L200" s="3" t="s">
        <v>650</v>
      </c>
      <c r="M200" s="3" t="s">
        <v>4056</v>
      </c>
      <c r="N200" s="3" t="s">
        <v>3535</v>
      </c>
      <c r="O200" s="3" t="s">
        <v>650</v>
      </c>
      <c r="P200" s="3">
        <v>0</v>
      </c>
      <c r="Q200" s="3" t="s">
        <v>4052</v>
      </c>
      <c r="R200" s="3" t="s">
        <v>1499</v>
      </c>
      <c r="S200" s="3" t="s">
        <v>650</v>
      </c>
      <c r="T200" s="3" t="s">
        <v>650</v>
      </c>
      <c r="U200" s="3" t="s">
        <v>1380</v>
      </c>
      <c r="V200" s="3" t="s">
        <v>539</v>
      </c>
      <c r="W200" s="3"/>
      <c r="X200" s="3"/>
      <c r="Y200" s="3" t="s">
        <v>2001</v>
      </c>
    </row>
    <row r="201" spans="1:25" ht="60" customHeight="1" x14ac:dyDescent="0.2">
      <c r="A201" s="3" t="s">
        <v>5552</v>
      </c>
      <c r="B201" s="3" t="s">
        <v>5553</v>
      </c>
      <c r="C201" s="3" t="s">
        <v>5519</v>
      </c>
      <c r="D201" s="3">
        <v>86</v>
      </c>
      <c r="E201" s="3" t="s">
        <v>3992</v>
      </c>
      <c r="F201" s="3" t="s">
        <v>4110</v>
      </c>
      <c r="G201" s="11" t="s">
        <v>5554</v>
      </c>
      <c r="H201" s="3" t="s">
        <v>5555</v>
      </c>
      <c r="I201" s="3" t="s">
        <v>4290</v>
      </c>
      <c r="J201" s="3" t="s">
        <v>4972</v>
      </c>
      <c r="K201" s="3" t="s">
        <v>4028</v>
      </c>
      <c r="L201" s="3" t="s">
        <v>650</v>
      </c>
      <c r="M201" s="3" t="s">
        <v>5534</v>
      </c>
      <c r="N201" s="3" t="s">
        <v>3535</v>
      </c>
      <c r="O201" s="3" t="s">
        <v>5556</v>
      </c>
      <c r="P201" s="3">
        <v>3</v>
      </c>
      <c r="Q201" s="3" t="s">
        <v>5556</v>
      </c>
      <c r="R201" s="3" t="s">
        <v>5557</v>
      </c>
      <c r="S201" s="3" t="s">
        <v>650</v>
      </c>
      <c r="T201" s="3" t="s">
        <v>650</v>
      </c>
      <c r="U201" s="3" t="s">
        <v>1380</v>
      </c>
      <c r="V201" s="3" t="s">
        <v>539</v>
      </c>
      <c r="W201" s="3"/>
      <c r="X201" s="3"/>
      <c r="Y201" s="3" t="s">
        <v>2001</v>
      </c>
    </row>
    <row r="202" spans="1:25" ht="45" customHeight="1" x14ac:dyDescent="0.2">
      <c r="A202" s="3" t="s">
        <v>5558</v>
      </c>
      <c r="B202" s="3" t="s">
        <v>5559</v>
      </c>
      <c r="C202" s="3" t="s">
        <v>5560</v>
      </c>
      <c r="D202" s="3">
        <v>35</v>
      </c>
      <c r="E202" s="3" t="s">
        <v>4003</v>
      </c>
      <c r="F202" s="3" t="s">
        <v>5561</v>
      </c>
      <c r="G202" s="11" t="s">
        <v>5562</v>
      </c>
      <c r="H202" s="3" t="s">
        <v>5563</v>
      </c>
      <c r="I202" s="3" t="s">
        <v>3996</v>
      </c>
      <c r="J202" s="3" t="s">
        <v>4995</v>
      </c>
      <c r="K202" s="3" t="s">
        <v>4484</v>
      </c>
      <c r="L202" s="3" t="s">
        <v>4020</v>
      </c>
      <c r="M202" s="3" t="s">
        <v>4010</v>
      </c>
      <c r="N202" s="3" t="s">
        <v>3535</v>
      </c>
      <c r="O202" s="3" t="s">
        <v>650</v>
      </c>
      <c r="P202" s="3">
        <v>0</v>
      </c>
      <c r="Q202" s="3" t="s">
        <v>4052</v>
      </c>
      <c r="R202" s="3" t="s">
        <v>1499</v>
      </c>
      <c r="S202" s="3" t="s">
        <v>650</v>
      </c>
      <c r="T202" s="3" t="s">
        <v>5564</v>
      </c>
      <c r="U202" s="3" t="s">
        <v>1380</v>
      </c>
      <c r="V202" s="3" t="s">
        <v>700</v>
      </c>
      <c r="W202" s="3"/>
      <c r="X202" s="3"/>
      <c r="Y202" s="3" t="s">
        <v>2001</v>
      </c>
    </row>
    <row r="203" spans="1:25" ht="60" customHeight="1" x14ac:dyDescent="0.2">
      <c r="A203" s="3" t="s">
        <v>5565</v>
      </c>
      <c r="B203" s="3" t="s">
        <v>5566</v>
      </c>
      <c r="C203" s="3" t="s">
        <v>5560</v>
      </c>
      <c r="D203" s="3">
        <v>65</v>
      </c>
      <c r="E203" s="3" t="s">
        <v>4003</v>
      </c>
      <c r="F203" s="3" t="s">
        <v>4110</v>
      </c>
      <c r="G203" s="11" t="s">
        <v>5567</v>
      </c>
      <c r="H203" s="3" t="s">
        <v>5568</v>
      </c>
      <c r="I203" s="3" t="s">
        <v>4018</v>
      </c>
      <c r="J203" s="3" t="s">
        <v>5569</v>
      </c>
      <c r="K203" s="3" t="s">
        <v>5570</v>
      </c>
      <c r="L203" s="3" t="s">
        <v>5571</v>
      </c>
      <c r="M203" s="3" t="s">
        <v>5572</v>
      </c>
      <c r="N203" s="3" t="s">
        <v>3535</v>
      </c>
      <c r="O203" s="3" t="s">
        <v>5573</v>
      </c>
      <c r="P203" s="3">
        <v>14</v>
      </c>
      <c r="Q203" s="3" t="s">
        <v>5574</v>
      </c>
      <c r="R203" s="3" t="s">
        <v>5575</v>
      </c>
      <c r="S203" s="3" t="s">
        <v>650</v>
      </c>
      <c r="T203" s="3" t="s">
        <v>650</v>
      </c>
      <c r="U203" s="3" t="s">
        <v>1380</v>
      </c>
      <c r="V203" s="3" t="s">
        <v>700</v>
      </c>
      <c r="W203" s="3"/>
      <c r="X203" s="3"/>
      <c r="Y203" s="3" t="s">
        <v>2001</v>
      </c>
    </row>
    <row r="204" spans="1:25" ht="60" customHeight="1" x14ac:dyDescent="0.2">
      <c r="A204" s="3" t="s">
        <v>5576</v>
      </c>
      <c r="B204" s="3" t="s">
        <v>2238</v>
      </c>
      <c r="C204" s="3" t="s">
        <v>5577</v>
      </c>
      <c r="D204" s="3">
        <v>126</v>
      </c>
      <c r="E204" s="3" t="s">
        <v>4003</v>
      </c>
      <c r="F204" s="3" t="s">
        <v>5578</v>
      </c>
      <c r="G204" s="11" t="s">
        <v>5579</v>
      </c>
      <c r="H204" s="3" t="s">
        <v>5580</v>
      </c>
      <c r="I204" s="3" t="s">
        <v>3996</v>
      </c>
      <c r="J204" s="3" t="s">
        <v>5581</v>
      </c>
      <c r="K204" s="3" t="s">
        <v>4028</v>
      </c>
      <c r="L204" s="3" t="s">
        <v>4020</v>
      </c>
      <c r="M204" s="3" t="s">
        <v>4663</v>
      </c>
      <c r="N204" s="3" t="s">
        <v>3535</v>
      </c>
      <c r="O204" s="3" t="s">
        <v>650</v>
      </c>
      <c r="P204" s="3">
        <v>0</v>
      </c>
      <c r="Q204" s="3" t="s">
        <v>4052</v>
      </c>
      <c r="R204" s="3" t="s">
        <v>1499</v>
      </c>
      <c r="S204" s="3" t="s">
        <v>650</v>
      </c>
      <c r="T204" s="3" t="s">
        <v>3742</v>
      </c>
      <c r="U204" s="3" t="s">
        <v>1380</v>
      </c>
      <c r="V204" s="3" t="s">
        <v>700</v>
      </c>
      <c r="W204" s="3"/>
      <c r="X204" s="3"/>
      <c r="Y204" s="3" t="s">
        <v>2001</v>
      </c>
    </row>
    <row r="205" spans="1:25" ht="60" customHeight="1" x14ac:dyDescent="0.2">
      <c r="A205" s="3" t="s">
        <v>5582</v>
      </c>
      <c r="B205" s="3" t="s">
        <v>5583</v>
      </c>
      <c r="C205" s="3" t="s">
        <v>5577</v>
      </c>
      <c r="D205" s="3">
        <v>161</v>
      </c>
      <c r="E205" s="3" t="s">
        <v>4003</v>
      </c>
      <c r="F205" s="3" t="s">
        <v>5584</v>
      </c>
      <c r="G205" s="11" t="s">
        <v>5585</v>
      </c>
      <c r="H205" s="3" t="s">
        <v>5586</v>
      </c>
      <c r="I205" s="3" t="s">
        <v>4018</v>
      </c>
      <c r="J205" s="3" t="s">
        <v>5569</v>
      </c>
      <c r="K205" s="3" t="s">
        <v>4257</v>
      </c>
      <c r="L205" s="3" t="s">
        <v>5587</v>
      </c>
      <c r="M205" s="3" t="s">
        <v>4010</v>
      </c>
      <c r="N205" s="3" t="s">
        <v>3535</v>
      </c>
      <c r="O205" s="3" t="s">
        <v>5588</v>
      </c>
      <c r="P205" s="3">
        <v>14</v>
      </c>
      <c r="Q205" s="3" t="s">
        <v>5589</v>
      </c>
      <c r="R205" s="3" t="s">
        <v>5590</v>
      </c>
      <c r="S205" s="3" t="s">
        <v>650</v>
      </c>
      <c r="T205" s="3" t="s">
        <v>3889</v>
      </c>
      <c r="U205" s="3" t="s">
        <v>1380</v>
      </c>
      <c r="V205" s="3" t="s">
        <v>505</v>
      </c>
      <c r="W205" s="3"/>
      <c r="X205" s="3"/>
      <c r="Y205" s="3" t="s">
        <v>2001</v>
      </c>
    </row>
    <row r="206" spans="1:25" ht="60" customHeight="1" x14ac:dyDescent="0.2">
      <c r="A206" s="3" t="s">
        <v>5591</v>
      </c>
      <c r="B206" s="3" t="s">
        <v>5592</v>
      </c>
      <c r="C206" s="3" t="s">
        <v>5577</v>
      </c>
      <c r="D206" s="3">
        <v>193</v>
      </c>
      <c r="E206" s="3" t="s">
        <v>4003</v>
      </c>
      <c r="F206" s="3" t="s">
        <v>5593</v>
      </c>
      <c r="G206" s="11" t="s">
        <v>5594</v>
      </c>
      <c r="H206" s="3" t="s">
        <v>5595</v>
      </c>
      <c r="I206" s="3" t="s">
        <v>4018</v>
      </c>
      <c r="J206" s="3" t="s">
        <v>4995</v>
      </c>
      <c r="K206" s="3" t="s">
        <v>4484</v>
      </c>
      <c r="L206" s="3" t="s">
        <v>4020</v>
      </c>
      <c r="M206" s="3" t="s">
        <v>4010</v>
      </c>
      <c r="N206" s="3" t="s">
        <v>3535</v>
      </c>
      <c r="O206" s="3" t="s">
        <v>5596</v>
      </c>
      <c r="P206" s="3">
        <v>11</v>
      </c>
      <c r="Q206" s="3" t="s">
        <v>5597</v>
      </c>
      <c r="R206" s="3" t="s">
        <v>5598</v>
      </c>
      <c r="S206" s="3" t="s">
        <v>650</v>
      </c>
      <c r="T206" s="3" t="s">
        <v>5599</v>
      </c>
      <c r="U206" s="3" t="s">
        <v>1380</v>
      </c>
      <c r="V206" s="3" t="s">
        <v>700</v>
      </c>
      <c r="W206" s="3"/>
      <c r="X206" s="3"/>
      <c r="Y206" s="3" t="s">
        <v>2001</v>
      </c>
    </row>
    <row r="207" spans="1:25" ht="60" customHeight="1" x14ac:dyDescent="0.2">
      <c r="A207" s="3" t="s">
        <v>5600</v>
      </c>
      <c r="B207" s="3" t="s">
        <v>5601</v>
      </c>
      <c r="C207" s="3" t="s">
        <v>5577</v>
      </c>
      <c r="D207" s="3">
        <v>260</v>
      </c>
      <c r="E207" s="3" t="s">
        <v>4136</v>
      </c>
      <c r="F207" s="3" t="s">
        <v>5602</v>
      </c>
      <c r="G207" s="11" t="s">
        <v>5603</v>
      </c>
      <c r="H207" s="3" t="s">
        <v>5603</v>
      </c>
      <c r="I207" s="3" t="s">
        <v>3996</v>
      </c>
      <c r="J207" s="3" t="s">
        <v>5604</v>
      </c>
      <c r="K207" s="3" t="s">
        <v>4028</v>
      </c>
      <c r="L207" s="3" t="s">
        <v>650</v>
      </c>
      <c r="M207" s="3" t="s">
        <v>4010</v>
      </c>
      <c r="N207" s="3" t="s">
        <v>3419</v>
      </c>
      <c r="O207" s="3" t="s">
        <v>5605</v>
      </c>
      <c r="P207" s="3">
        <v>12</v>
      </c>
      <c r="Q207" s="3" t="s">
        <v>5606</v>
      </c>
      <c r="R207" s="3" t="s">
        <v>5607</v>
      </c>
      <c r="S207" s="3" t="s">
        <v>650</v>
      </c>
      <c r="T207" s="3" t="s">
        <v>5608</v>
      </c>
      <c r="U207" s="3" t="s">
        <v>1380</v>
      </c>
      <c r="V207" s="3" t="s">
        <v>700</v>
      </c>
      <c r="W207" s="3"/>
      <c r="X207" s="3"/>
      <c r="Y207" s="3" t="s">
        <v>2001</v>
      </c>
    </row>
    <row r="208" spans="1:25" ht="60" customHeight="1" x14ac:dyDescent="0.2">
      <c r="A208" s="3" t="s">
        <v>5609</v>
      </c>
      <c r="B208" s="3" t="s">
        <v>5610</v>
      </c>
      <c r="C208" s="3" t="s">
        <v>5577</v>
      </c>
      <c r="D208" s="3">
        <v>283</v>
      </c>
      <c r="E208" s="3" t="s">
        <v>4003</v>
      </c>
      <c r="F208" s="3" t="s">
        <v>5611</v>
      </c>
      <c r="G208" s="11" t="s">
        <v>4301</v>
      </c>
      <c r="H208" s="3" t="s">
        <v>4301</v>
      </c>
      <c r="I208" s="3" t="s">
        <v>4018</v>
      </c>
      <c r="J208" s="3" t="s">
        <v>4302</v>
      </c>
      <c r="K208" s="3" t="s">
        <v>4028</v>
      </c>
      <c r="L208" s="3" t="s">
        <v>5612</v>
      </c>
      <c r="M208" s="3" t="s">
        <v>4010</v>
      </c>
      <c r="N208" s="3" t="s">
        <v>3535</v>
      </c>
      <c r="O208" s="3" t="s">
        <v>5596</v>
      </c>
      <c r="P208" s="3">
        <v>11</v>
      </c>
      <c r="Q208" s="3" t="s">
        <v>5597</v>
      </c>
      <c r="R208" s="3" t="s">
        <v>5613</v>
      </c>
      <c r="S208" s="3" t="s">
        <v>650</v>
      </c>
      <c r="T208" s="3" t="s">
        <v>5614</v>
      </c>
      <c r="U208" s="3" t="s">
        <v>1380</v>
      </c>
      <c r="V208" s="3" t="s">
        <v>700</v>
      </c>
      <c r="W208" s="3"/>
      <c r="X208" s="3"/>
      <c r="Y208" s="3" t="s">
        <v>2001</v>
      </c>
    </row>
    <row r="209" spans="1:25" ht="60" customHeight="1" x14ac:dyDescent="0.2">
      <c r="A209" s="3" t="s">
        <v>5615</v>
      </c>
      <c r="B209" s="3" t="s">
        <v>5616</v>
      </c>
      <c r="C209" s="3" t="s">
        <v>5577</v>
      </c>
      <c r="D209" s="3">
        <v>338</v>
      </c>
      <c r="E209" s="3" t="s">
        <v>3992</v>
      </c>
      <c r="F209" s="3" t="s">
        <v>5617</v>
      </c>
      <c r="G209" s="11" t="s">
        <v>5618</v>
      </c>
      <c r="H209" s="3" t="s">
        <v>5619</v>
      </c>
      <c r="I209" s="3" t="s">
        <v>4018</v>
      </c>
      <c r="J209" s="3" t="s">
        <v>5620</v>
      </c>
      <c r="K209" s="3" t="s">
        <v>5621</v>
      </c>
      <c r="L209" s="3" t="s">
        <v>650</v>
      </c>
      <c r="M209" s="3" t="s">
        <v>4010</v>
      </c>
      <c r="N209" s="3" t="s">
        <v>3535</v>
      </c>
      <c r="O209" s="3" t="s">
        <v>5622</v>
      </c>
      <c r="P209" s="3">
        <v>9</v>
      </c>
      <c r="Q209" s="3" t="s">
        <v>5623</v>
      </c>
      <c r="R209" s="3" t="s">
        <v>5624</v>
      </c>
      <c r="S209" s="3" t="s">
        <v>650</v>
      </c>
      <c r="T209" s="3" t="s">
        <v>3821</v>
      </c>
      <c r="U209" s="3" t="s">
        <v>1380</v>
      </c>
      <c r="V209" s="3" t="s">
        <v>700</v>
      </c>
      <c r="W209" s="3"/>
      <c r="X209" s="3"/>
      <c r="Y209" s="3" t="s">
        <v>2001</v>
      </c>
    </row>
    <row r="210" spans="1:25" ht="60" customHeight="1" x14ac:dyDescent="0.2">
      <c r="A210" s="3" t="s">
        <v>5625</v>
      </c>
      <c r="B210" s="3" t="s">
        <v>5626</v>
      </c>
      <c r="C210" s="3" t="s">
        <v>5577</v>
      </c>
      <c r="D210" s="3">
        <v>373</v>
      </c>
      <c r="E210" s="3" t="s">
        <v>4003</v>
      </c>
      <c r="F210" s="3" t="s">
        <v>5627</v>
      </c>
      <c r="G210" s="11" t="s">
        <v>5628</v>
      </c>
      <c r="H210" s="3" t="s">
        <v>5629</v>
      </c>
      <c r="I210" s="3" t="s">
        <v>3996</v>
      </c>
      <c r="J210" s="3" t="s">
        <v>5630</v>
      </c>
      <c r="K210" s="3" t="s">
        <v>5631</v>
      </c>
      <c r="L210" s="3" t="s">
        <v>4020</v>
      </c>
      <c r="M210" s="3" t="s">
        <v>4010</v>
      </c>
      <c r="N210" s="3" t="s">
        <v>3535</v>
      </c>
      <c r="O210" s="3" t="s">
        <v>650</v>
      </c>
      <c r="P210" s="3">
        <v>0</v>
      </c>
      <c r="Q210" s="3" t="s">
        <v>4052</v>
      </c>
      <c r="R210" s="3" t="s">
        <v>1499</v>
      </c>
      <c r="S210" s="3" t="s">
        <v>650</v>
      </c>
      <c r="T210" s="3" t="s">
        <v>5632</v>
      </c>
      <c r="U210" s="3" t="s">
        <v>1380</v>
      </c>
      <c r="V210" s="3" t="s">
        <v>700</v>
      </c>
      <c r="W210" s="3"/>
      <c r="X210" s="3"/>
      <c r="Y210" s="3" t="s">
        <v>2001</v>
      </c>
    </row>
    <row r="211" spans="1:25" ht="60" customHeight="1" x14ac:dyDescent="0.2">
      <c r="A211" s="3" t="s">
        <v>5633</v>
      </c>
      <c r="B211" s="3" t="s">
        <v>5634</v>
      </c>
      <c r="C211" s="3" t="s">
        <v>5577</v>
      </c>
      <c r="D211" s="3">
        <v>402</v>
      </c>
      <c r="E211" s="3" t="s">
        <v>4003</v>
      </c>
      <c r="F211" s="3" t="s">
        <v>5635</v>
      </c>
      <c r="G211" s="11" t="s">
        <v>5636</v>
      </c>
      <c r="H211" s="3" t="s">
        <v>5637</v>
      </c>
      <c r="I211" s="3" t="s">
        <v>4290</v>
      </c>
      <c r="J211" s="3" t="s">
        <v>5638</v>
      </c>
      <c r="K211" s="3" t="s">
        <v>4028</v>
      </c>
      <c r="L211" s="3" t="s">
        <v>4020</v>
      </c>
      <c r="M211" s="3" t="s">
        <v>4010</v>
      </c>
      <c r="N211" s="3" t="s">
        <v>3535</v>
      </c>
      <c r="O211" s="3" t="s">
        <v>5639</v>
      </c>
      <c r="P211" s="3">
        <v>2</v>
      </c>
      <c r="Q211" s="3" t="s">
        <v>5640</v>
      </c>
      <c r="R211" s="3" t="s">
        <v>5641</v>
      </c>
      <c r="S211" s="3" t="s">
        <v>650</v>
      </c>
      <c r="T211" s="3" t="s">
        <v>5642</v>
      </c>
      <c r="U211" s="3" t="s">
        <v>1380</v>
      </c>
      <c r="V211" s="3" t="s">
        <v>539</v>
      </c>
      <c r="W211" s="3"/>
      <c r="X211" s="3"/>
      <c r="Y211" s="3" t="s">
        <v>2001</v>
      </c>
    </row>
    <row r="212" spans="1:25" ht="60" customHeight="1" x14ac:dyDescent="0.2">
      <c r="A212" s="3" t="s">
        <v>5643</v>
      </c>
      <c r="B212" s="3" t="s">
        <v>5644</v>
      </c>
      <c r="C212" s="3" t="s">
        <v>5577</v>
      </c>
      <c r="D212" s="3">
        <v>463</v>
      </c>
      <c r="E212" s="3" t="s">
        <v>4003</v>
      </c>
      <c r="F212" s="3" t="s">
        <v>5645</v>
      </c>
      <c r="G212" s="11" t="s">
        <v>5646</v>
      </c>
      <c r="H212" s="3" t="s">
        <v>5647</v>
      </c>
      <c r="I212" s="3" t="s">
        <v>3996</v>
      </c>
      <c r="J212" s="3" t="s">
        <v>4995</v>
      </c>
      <c r="K212" s="3" t="s">
        <v>5648</v>
      </c>
      <c r="L212" s="3" t="s">
        <v>5649</v>
      </c>
      <c r="M212" s="3" t="s">
        <v>4010</v>
      </c>
      <c r="N212" s="3" t="s">
        <v>3535</v>
      </c>
      <c r="O212" s="3" t="s">
        <v>5650</v>
      </c>
      <c r="P212" s="3">
        <v>10</v>
      </c>
      <c r="Q212" s="3" t="s">
        <v>5651</v>
      </c>
      <c r="R212" s="3" t="s">
        <v>5652</v>
      </c>
      <c r="S212" s="3" t="s">
        <v>650</v>
      </c>
      <c r="T212" s="3" t="s">
        <v>3817</v>
      </c>
      <c r="U212" s="3" t="s">
        <v>1380</v>
      </c>
      <c r="V212" s="3" t="s">
        <v>700</v>
      </c>
      <c r="W212" s="3"/>
      <c r="X212" s="3"/>
      <c r="Y212" s="3" t="s">
        <v>2001</v>
      </c>
    </row>
    <row r="213" spans="1:25" ht="60" customHeight="1" x14ac:dyDescent="0.2">
      <c r="A213" s="3" t="s">
        <v>5653</v>
      </c>
      <c r="B213" s="3" t="s">
        <v>5654</v>
      </c>
      <c r="C213" s="3" t="s">
        <v>5577</v>
      </c>
      <c r="D213" s="3">
        <v>504</v>
      </c>
      <c r="E213" s="3" t="s">
        <v>4003</v>
      </c>
      <c r="F213" s="3" t="s">
        <v>5655</v>
      </c>
      <c r="G213" s="11" t="s">
        <v>5656</v>
      </c>
      <c r="H213" s="3" t="s">
        <v>5657</v>
      </c>
      <c r="I213" s="3" t="s">
        <v>4018</v>
      </c>
      <c r="J213" s="3" t="s">
        <v>4995</v>
      </c>
      <c r="K213" s="3" t="s">
        <v>5658</v>
      </c>
      <c r="L213" s="3" t="s">
        <v>4020</v>
      </c>
      <c r="M213" s="3" t="s">
        <v>4010</v>
      </c>
      <c r="N213" s="3" t="s">
        <v>3535</v>
      </c>
      <c r="O213" s="3" t="s">
        <v>650</v>
      </c>
      <c r="P213" s="3">
        <v>0</v>
      </c>
      <c r="Q213" s="3" t="s">
        <v>4052</v>
      </c>
      <c r="R213" s="3" t="s">
        <v>1499</v>
      </c>
      <c r="S213" s="3" t="s">
        <v>650</v>
      </c>
      <c r="T213" s="3" t="s">
        <v>5659</v>
      </c>
      <c r="U213" s="3" t="s">
        <v>1380</v>
      </c>
      <c r="V213" s="3" t="s">
        <v>700</v>
      </c>
      <c r="W213" s="3"/>
      <c r="X213" s="3"/>
      <c r="Y213" s="3" t="s">
        <v>2001</v>
      </c>
    </row>
    <row r="214" spans="1:25" ht="45" customHeight="1" x14ac:dyDescent="0.2">
      <c r="A214" s="3" t="s">
        <v>5660</v>
      </c>
      <c r="B214" s="3" t="s">
        <v>5661</v>
      </c>
      <c r="C214" s="3" t="s">
        <v>5577</v>
      </c>
      <c r="D214" s="3">
        <v>540</v>
      </c>
      <c r="E214" s="3" t="s">
        <v>3992</v>
      </c>
      <c r="F214" s="3" t="s">
        <v>5662</v>
      </c>
      <c r="G214" s="11" t="s">
        <v>5663</v>
      </c>
      <c r="H214" s="3" t="s">
        <v>5664</v>
      </c>
      <c r="I214" s="3" t="s">
        <v>4018</v>
      </c>
      <c r="J214" s="3" t="s">
        <v>4995</v>
      </c>
      <c r="K214" s="3" t="s">
        <v>5665</v>
      </c>
      <c r="L214" s="3" t="s">
        <v>650</v>
      </c>
      <c r="M214" s="3" t="s">
        <v>4010</v>
      </c>
      <c r="N214" s="3" t="s">
        <v>3535</v>
      </c>
      <c r="O214" s="3" t="s">
        <v>650</v>
      </c>
      <c r="P214" s="3">
        <v>0</v>
      </c>
      <c r="Q214" s="3" t="s">
        <v>4052</v>
      </c>
      <c r="R214" s="3" t="s">
        <v>1499</v>
      </c>
      <c r="S214" s="3" t="s">
        <v>650</v>
      </c>
      <c r="T214" s="3" t="s">
        <v>5666</v>
      </c>
      <c r="U214" s="3" t="s">
        <v>1380</v>
      </c>
      <c r="V214" s="3" t="s">
        <v>700</v>
      </c>
      <c r="W214" s="3"/>
      <c r="X214" s="3"/>
      <c r="Y214" s="3" t="s">
        <v>2001</v>
      </c>
    </row>
    <row r="215" spans="1:25" ht="60" customHeight="1" x14ac:dyDescent="0.2">
      <c r="A215" s="3" t="s">
        <v>5667</v>
      </c>
      <c r="B215" s="3" t="s">
        <v>5668</v>
      </c>
      <c r="C215" s="3" t="s">
        <v>5577</v>
      </c>
      <c r="D215" s="3">
        <v>565</v>
      </c>
      <c r="E215" s="3" t="s">
        <v>3992</v>
      </c>
      <c r="F215" s="3" t="s">
        <v>5669</v>
      </c>
      <c r="G215" s="11" t="s">
        <v>5670</v>
      </c>
      <c r="H215" s="3" t="s">
        <v>5671</v>
      </c>
      <c r="I215" s="3" t="s">
        <v>4018</v>
      </c>
      <c r="J215" s="3" t="s">
        <v>4995</v>
      </c>
      <c r="K215" s="3" t="s">
        <v>4484</v>
      </c>
      <c r="L215" s="3" t="s">
        <v>650</v>
      </c>
      <c r="M215" s="3" t="s">
        <v>4010</v>
      </c>
      <c r="N215" s="3" t="s">
        <v>3535</v>
      </c>
      <c r="O215" s="3" t="s">
        <v>5672</v>
      </c>
      <c r="P215" s="3">
        <v>11</v>
      </c>
      <c r="Q215" s="3" t="s">
        <v>5673</v>
      </c>
      <c r="R215" s="3" t="s">
        <v>5674</v>
      </c>
      <c r="S215" s="3" t="s">
        <v>650</v>
      </c>
      <c r="T215" s="3" t="s">
        <v>5675</v>
      </c>
      <c r="U215" s="3" t="s">
        <v>1380</v>
      </c>
      <c r="V215" s="3" t="s">
        <v>700</v>
      </c>
      <c r="W215" s="3"/>
      <c r="X215" s="3"/>
      <c r="Y215" s="3" t="s">
        <v>2001</v>
      </c>
    </row>
    <row r="216" spans="1:25" ht="60" customHeight="1" x14ac:dyDescent="0.2">
      <c r="A216" s="3" t="s">
        <v>5676</v>
      </c>
      <c r="B216" s="3" t="s">
        <v>5677</v>
      </c>
      <c r="C216" s="3" t="s">
        <v>5577</v>
      </c>
      <c r="D216" s="3">
        <v>625</v>
      </c>
      <c r="E216" s="3" t="s">
        <v>3992</v>
      </c>
      <c r="F216" s="3" t="s">
        <v>4110</v>
      </c>
      <c r="G216" s="11" t="s">
        <v>5678</v>
      </c>
      <c r="H216" s="3" t="s">
        <v>5679</v>
      </c>
      <c r="I216" s="3" t="s">
        <v>4018</v>
      </c>
      <c r="J216" s="3" t="s">
        <v>5569</v>
      </c>
      <c r="K216" s="3" t="s">
        <v>4008</v>
      </c>
      <c r="L216" s="3" t="s">
        <v>650</v>
      </c>
      <c r="M216" s="3" t="s">
        <v>5572</v>
      </c>
      <c r="N216" s="3" t="s">
        <v>3535</v>
      </c>
      <c r="O216" s="3" t="s">
        <v>650</v>
      </c>
      <c r="P216" s="3">
        <v>0</v>
      </c>
      <c r="Q216" s="3" t="s">
        <v>4052</v>
      </c>
      <c r="R216" s="3" t="s">
        <v>1499</v>
      </c>
      <c r="S216" s="3" t="s">
        <v>650</v>
      </c>
      <c r="T216" s="3" t="s">
        <v>650</v>
      </c>
      <c r="U216" s="3" t="s">
        <v>1380</v>
      </c>
      <c r="V216" s="3" t="s">
        <v>505</v>
      </c>
      <c r="W216" s="3"/>
      <c r="X216" s="3"/>
      <c r="Y216" s="3" t="s">
        <v>2001</v>
      </c>
    </row>
    <row r="217" spans="1:25" ht="60" customHeight="1" x14ac:dyDescent="0.2">
      <c r="A217" s="3" t="s">
        <v>5680</v>
      </c>
      <c r="B217" s="3" t="s">
        <v>5681</v>
      </c>
      <c r="C217" s="3" t="s">
        <v>5577</v>
      </c>
      <c r="D217" s="3">
        <v>655</v>
      </c>
      <c r="E217" s="3" t="s">
        <v>4003</v>
      </c>
      <c r="F217" s="3" t="s">
        <v>5682</v>
      </c>
      <c r="G217" s="11" t="s">
        <v>5683</v>
      </c>
      <c r="H217" s="3" t="s">
        <v>5684</v>
      </c>
      <c r="I217" s="3" t="s">
        <v>4018</v>
      </c>
      <c r="J217" s="3" t="s">
        <v>5569</v>
      </c>
      <c r="K217" s="3" t="s">
        <v>4008</v>
      </c>
      <c r="L217" s="3" t="s">
        <v>5685</v>
      </c>
      <c r="M217" s="3" t="s">
        <v>5572</v>
      </c>
      <c r="N217" s="3" t="s">
        <v>3535</v>
      </c>
      <c r="O217" s="3" t="s">
        <v>5686</v>
      </c>
      <c r="P217" s="3">
        <v>12</v>
      </c>
      <c r="Q217" s="3" t="s">
        <v>5687</v>
      </c>
      <c r="R217" s="3" t="s">
        <v>5688</v>
      </c>
      <c r="S217" s="3" t="s">
        <v>1723</v>
      </c>
      <c r="T217" s="3" t="s">
        <v>5689</v>
      </c>
      <c r="U217" s="3" t="s">
        <v>1380</v>
      </c>
      <c r="V217" s="3" t="s">
        <v>700</v>
      </c>
      <c r="W217" s="3"/>
      <c r="X217" s="3"/>
      <c r="Y217" s="3" t="s">
        <v>2001</v>
      </c>
    </row>
    <row r="218" spans="1:25" ht="60" customHeight="1" x14ac:dyDescent="0.2">
      <c r="A218" s="3" t="s">
        <v>5690</v>
      </c>
      <c r="B218" s="3" t="s">
        <v>5691</v>
      </c>
      <c r="C218" s="3" t="s">
        <v>5577</v>
      </c>
      <c r="D218" s="3">
        <v>676</v>
      </c>
      <c r="E218" s="3" t="s">
        <v>4129</v>
      </c>
      <c r="F218" s="3" t="s">
        <v>4110</v>
      </c>
      <c r="G218" s="11" t="s">
        <v>5692</v>
      </c>
      <c r="H218" s="3" t="s">
        <v>5693</v>
      </c>
      <c r="I218" s="3" t="s">
        <v>3996</v>
      </c>
      <c r="J218" s="3" t="s">
        <v>5569</v>
      </c>
      <c r="K218" s="3" t="s">
        <v>4008</v>
      </c>
      <c r="L218" s="3" t="s">
        <v>650</v>
      </c>
      <c r="M218" s="3" t="s">
        <v>4010</v>
      </c>
      <c r="N218" s="3" t="s">
        <v>3419</v>
      </c>
      <c r="O218" s="3" t="s">
        <v>5694</v>
      </c>
      <c r="P218" s="3">
        <v>12</v>
      </c>
      <c r="Q218" s="3" t="s">
        <v>5695</v>
      </c>
      <c r="R218" s="3" t="s">
        <v>5696</v>
      </c>
      <c r="S218" s="3" t="s">
        <v>650</v>
      </c>
      <c r="T218" s="3" t="s">
        <v>650</v>
      </c>
      <c r="U218" s="3" t="s">
        <v>1380</v>
      </c>
      <c r="V218" s="3" t="s">
        <v>700</v>
      </c>
      <c r="W218" s="3"/>
      <c r="X218" s="3"/>
      <c r="Y218" s="3" t="s">
        <v>2001</v>
      </c>
    </row>
    <row r="219" spans="1:25" ht="60" customHeight="1" x14ac:dyDescent="0.2">
      <c r="A219" s="3" t="s">
        <v>5697</v>
      </c>
      <c r="B219" s="3" t="s">
        <v>5698</v>
      </c>
      <c r="C219" s="3" t="s">
        <v>5577</v>
      </c>
      <c r="D219" s="3">
        <v>694</v>
      </c>
      <c r="E219" s="3" t="s">
        <v>4129</v>
      </c>
      <c r="F219" s="3" t="s">
        <v>4110</v>
      </c>
      <c r="G219" s="11" t="s">
        <v>5699</v>
      </c>
      <c r="H219" s="3" t="s">
        <v>5700</v>
      </c>
      <c r="I219" s="3" t="s">
        <v>3996</v>
      </c>
      <c r="J219" s="3" t="s">
        <v>5569</v>
      </c>
      <c r="K219" s="3" t="s">
        <v>4008</v>
      </c>
      <c r="L219" s="3" t="s">
        <v>650</v>
      </c>
      <c r="M219" s="3" t="s">
        <v>4010</v>
      </c>
      <c r="N219" s="3" t="s">
        <v>3419</v>
      </c>
      <c r="O219" s="3" t="s">
        <v>5694</v>
      </c>
      <c r="P219" s="3">
        <v>12</v>
      </c>
      <c r="Q219" s="3" t="s">
        <v>5695</v>
      </c>
      <c r="R219" s="3" t="s">
        <v>5701</v>
      </c>
      <c r="S219" s="3" t="s">
        <v>650</v>
      </c>
      <c r="T219" s="3" t="s">
        <v>650</v>
      </c>
      <c r="U219" s="3" t="s">
        <v>1380</v>
      </c>
      <c r="V219" s="3" t="s">
        <v>700</v>
      </c>
      <c r="W219" s="3"/>
      <c r="X219" s="3"/>
      <c r="Y219" s="3" t="s">
        <v>2001</v>
      </c>
    </row>
    <row r="220" spans="1:25" ht="60" customHeight="1" x14ac:dyDescent="0.2">
      <c r="A220" s="3" t="s">
        <v>5702</v>
      </c>
      <c r="B220" s="3" t="s">
        <v>5703</v>
      </c>
      <c r="C220" s="3" t="s">
        <v>5577</v>
      </c>
      <c r="D220" s="3">
        <v>712</v>
      </c>
      <c r="E220" s="3" t="s">
        <v>4129</v>
      </c>
      <c r="F220" s="3" t="s">
        <v>4110</v>
      </c>
      <c r="G220" s="11" t="s">
        <v>5704</v>
      </c>
      <c r="H220" s="3" t="s">
        <v>5705</v>
      </c>
      <c r="I220" s="3" t="s">
        <v>3996</v>
      </c>
      <c r="J220" s="3" t="s">
        <v>5569</v>
      </c>
      <c r="K220" s="3" t="s">
        <v>4008</v>
      </c>
      <c r="L220" s="3" t="s">
        <v>650</v>
      </c>
      <c r="M220" s="3" t="s">
        <v>4010</v>
      </c>
      <c r="N220" s="3" t="s">
        <v>3419</v>
      </c>
      <c r="O220" s="3" t="s">
        <v>5694</v>
      </c>
      <c r="P220" s="3">
        <v>12</v>
      </c>
      <c r="Q220" s="3" t="s">
        <v>5695</v>
      </c>
      <c r="R220" s="3" t="s">
        <v>5706</v>
      </c>
      <c r="S220" s="3" t="s">
        <v>650</v>
      </c>
      <c r="T220" s="3" t="s">
        <v>650</v>
      </c>
      <c r="U220" s="3" t="s">
        <v>1380</v>
      </c>
      <c r="V220" s="3" t="s">
        <v>700</v>
      </c>
      <c r="W220" s="3"/>
      <c r="X220" s="3"/>
      <c r="Y220" s="3" t="s">
        <v>2001</v>
      </c>
    </row>
    <row r="221" spans="1:25" ht="60" customHeight="1" x14ac:dyDescent="0.2">
      <c r="A221" s="3" t="s">
        <v>5707</v>
      </c>
      <c r="B221" s="3" t="s">
        <v>5708</v>
      </c>
      <c r="C221" s="3" t="s">
        <v>5577</v>
      </c>
      <c r="D221" s="3">
        <v>730</v>
      </c>
      <c r="E221" s="3" t="s">
        <v>4129</v>
      </c>
      <c r="F221" s="3" t="s">
        <v>4110</v>
      </c>
      <c r="G221" s="11" t="s">
        <v>5709</v>
      </c>
      <c r="H221" s="3" t="s">
        <v>5710</v>
      </c>
      <c r="I221" s="3" t="s">
        <v>3996</v>
      </c>
      <c r="J221" s="3" t="s">
        <v>5569</v>
      </c>
      <c r="K221" s="3" t="s">
        <v>4008</v>
      </c>
      <c r="L221" s="3" t="s">
        <v>650</v>
      </c>
      <c r="M221" s="3" t="s">
        <v>4010</v>
      </c>
      <c r="N221" s="3" t="s">
        <v>3419</v>
      </c>
      <c r="O221" s="3" t="s">
        <v>5694</v>
      </c>
      <c r="P221" s="3">
        <v>12</v>
      </c>
      <c r="Q221" s="3" t="s">
        <v>5695</v>
      </c>
      <c r="R221" s="3" t="s">
        <v>5711</v>
      </c>
      <c r="S221" s="3" t="s">
        <v>650</v>
      </c>
      <c r="T221" s="3" t="s">
        <v>650</v>
      </c>
      <c r="U221" s="3" t="s">
        <v>1380</v>
      </c>
      <c r="V221" s="3" t="s">
        <v>700</v>
      </c>
      <c r="W221" s="3"/>
      <c r="X221" s="3"/>
      <c r="Y221" s="3" t="s">
        <v>2001</v>
      </c>
    </row>
    <row r="222" spans="1:25" ht="60" customHeight="1" x14ac:dyDescent="0.2">
      <c r="A222" s="3" t="s">
        <v>5712</v>
      </c>
      <c r="B222" s="3" t="s">
        <v>5713</v>
      </c>
      <c r="C222" s="3" t="s">
        <v>5577</v>
      </c>
      <c r="D222" s="3">
        <v>753</v>
      </c>
      <c r="E222" s="3" t="s">
        <v>4003</v>
      </c>
      <c r="F222" s="3" t="s">
        <v>5714</v>
      </c>
      <c r="G222" s="11" t="s">
        <v>5715</v>
      </c>
      <c r="H222" s="3" t="s">
        <v>5716</v>
      </c>
      <c r="I222" s="3" t="s">
        <v>3996</v>
      </c>
      <c r="J222" s="3" t="s">
        <v>5569</v>
      </c>
      <c r="K222" s="3" t="s">
        <v>4008</v>
      </c>
      <c r="L222" s="3" t="s">
        <v>4020</v>
      </c>
      <c r="M222" s="3" t="s">
        <v>4010</v>
      </c>
      <c r="N222" s="3" t="s">
        <v>3535</v>
      </c>
      <c r="O222" s="3" t="s">
        <v>5694</v>
      </c>
      <c r="P222" s="3">
        <v>12</v>
      </c>
      <c r="Q222" s="3" t="s">
        <v>5695</v>
      </c>
      <c r="R222" s="3" t="s">
        <v>5717</v>
      </c>
      <c r="S222" s="3" t="s">
        <v>650</v>
      </c>
      <c r="T222" s="3" t="s">
        <v>5718</v>
      </c>
      <c r="U222" s="3" t="s">
        <v>1380</v>
      </c>
      <c r="V222" s="3" t="s">
        <v>700</v>
      </c>
      <c r="W222" s="3"/>
      <c r="X222" s="3"/>
      <c r="Y222" s="6" t="s">
        <v>5719</v>
      </c>
    </row>
    <row r="223" spans="1:25" ht="60" customHeight="1" x14ac:dyDescent="0.2">
      <c r="A223" s="3" t="s">
        <v>5720</v>
      </c>
      <c r="B223" s="3" t="s">
        <v>5721</v>
      </c>
      <c r="C223" s="3" t="s">
        <v>5577</v>
      </c>
      <c r="D223" s="3">
        <v>776</v>
      </c>
      <c r="E223" s="3" t="s">
        <v>4003</v>
      </c>
      <c r="F223" s="3" t="s">
        <v>5722</v>
      </c>
      <c r="G223" s="11" t="s">
        <v>5723</v>
      </c>
      <c r="H223" s="3" t="s">
        <v>5724</v>
      </c>
      <c r="I223" s="3" t="s">
        <v>3996</v>
      </c>
      <c r="J223" s="3" t="s">
        <v>5569</v>
      </c>
      <c r="K223" s="3" t="s">
        <v>4008</v>
      </c>
      <c r="L223" s="3" t="s">
        <v>4020</v>
      </c>
      <c r="M223" s="3" t="s">
        <v>4010</v>
      </c>
      <c r="N223" s="3" t="s">
        <v>3535</v>
      </c>
      <c r="O223" s="3" t="s">
        <v>5725</v>
      </c>
      <c r="P223" s="3">
        <v>14</v>
      </c>
      <c r="Q223" s="3" t="s">
        <v>5726</v>
      </c>
      <c r="R223" s="3" t="s">
        <v>5727</v>
      </c>
      <c r="S223" s="3" t="s">
        <v>650</v>
      </c>
      <c r="T223" s="3" t="s">
        <v>5728</v>
      </c>
      <c r="U223" s="3" t="s">
        <v>1380</v>
      </c>
      <c r="V223" s="3" t="s">
        <v>700</v>
      </c>
      <c r="W223" s="3"/>
      <c r="X223" s="3"/>
      <c r="Y223" s="3" t="s">
        <v>2001</v>
      </c>
    </row>
    <row r="224" spans="1:25" ht="60" customHeight="1" x14ac:dyDescent="0.2">
      <c r="A224" s="3" t="s">
        <v>5729</v>
      </c>
      <c r="B224" s="3" t="s">
        <v>5730</v>
      </c>
      <c r="C224" s="3" t="s">
        <v>5577</v>
      </c>
      <c r="D224" s="3">
        <v>817</v>
      </c>
      <c r="E224" s="3" t="s">
        <v>4136</v>
      </c>
      <c r="F224" s="3" t="s">
        <v>4110</v>
      </c>
      <c r="G224" s="11" t="s">
        <v>5731</v>
      </c>
      <c r="H224" s="3" t="s">
        <v>5732</v>
      </c>
      <c r="I224" s="3" t="s">
        <v>4018</v>
      </c>
      <c r="J224" s="3" t="s">
        <v>5604</v>
      </c>
      <c r="K224" s="3" t="s">
        <v>4844</v>
      </c>
      <c r="L224" s="3" t="s">
        <v>650</v>
      </c>
      <c r="M224" s="3" t="s">
        <v>4010</v>
      </c>
      <c r="N224" s="3" t="s">
        <v>3535</v>
      </c>
      <c r="O224" s="3" t="s">
        <v>650</v>
      </c>
      <c r="P224" s="3">
        <v>0</v>
      </c>
      <c r="Q224" s="3" t="s">
        <v>4052</v>
      </c>
      <c r="R224" s="3" t="s">
        <v>1499</v>
      </c>
      <c r="S224" s="3" t="s">
        <v>650</v>
      </c>
      <c r="T224" s="3" t="s">
        <v>650</v>
      </c>
      <c r="U224" s="3" t="s">
        <v>1380</v>
      </c>
      <c r="V224" s="3" t="s">
        <v>700</v>
      </c>
      <c r="W224" s="3"/>
      <c r="X224" s="3"/>
      <c r="Y224" s="3" t="s">
        <v>2001</v>
      </c>
    </row>
    <row r="225" spans="1:25" ht="60" customHeight="1" x14ac:dyDescent="0.2">
      <c r="A225" s="3" t="s">
        <v>5733</v>
      </c>
      <c r="B225" s="3" t="s">
        <v>5734</v>
      </c>
      <c r="C225" s="3" t="s">
        <v>5577</v>
      </c>
      <c r="D225" s="3">
        <v>845</v>
      </c>
      <c r="E225" s="3" t="s">
        <v>3992</v>
      </c>
      <c r="F225" s="3" t="s">
        <v>5735</v>
      </c>
      <c r="G225" s="11" t="s">
        <v>5736</v>
      </c>
      <c r="H225" s="3" t="s">
        <v>5737</v>
      </c>
      <c r="I225" s="3" t="s">
        <v>4065</v>
      </c>
      <c r="J225" s="3" t="s">
        <v>5738</v>
      </c>
      <c r="K225" s="3" t="s">
        <v>5739</v>
      </c>
      <c r="L225" s="3" t="s">
        <v>650</v>
      </c>
      <c r="M225" s="3" t="s">
        <v>4010</v>
      </c>
      <c r="N225" s="3" t="s">
        <v>3535</v>
      </c>
      <c r="O225" s="3" t="s">
        <v>650</v>
      </c>
      <c r="P225" s="3">
        <v>0</v>
      </c>
      <c r="Q225" s="3" t="s">
        <v>4052</v>
      </c>
      <c r="R225" s="3" t="s">
        <v>1499</v>
      </c>
      <c r="S225" s="3" t="s">
        <v>650</v>
      </c>
      <c r="T225" s="3" t="s">
        <v>650</v>
      </c>
      <c r="U225" s="3" t="s">
        <v>1380</v>
      </c>
      <c r="V225" s="3" t="s">
        <v>428</v>
      </c>
      <c r="W225" s="3"/>
      <c r="X225" s="3"/>
      <c r="Y225" s="3" t="s">
        <v>2001</v>
      </c>
    </row>
    <row r="226" spans="1:25" ht="60" customHeight="1" x14ac:dyDescent="0.2">
      <c r="A226" s="3" t="s">
        <v>5740</v>
      </c>
      <c r="B226" s="3" t="s">
        <v>5741</v>
      </c>
      <c r="C226" s="3" t="s">
        <v>5577</v>
      </c>
      <c r="D226" s="3">
        <v>892</v>
      </c>
      <c r="E226" s="3" t="s">
        <v>3992</v>
      </c>
      <c r="F226" s="3" t="s">
        <v>5742</v>
      </c>
      <c r="G226" s="11" t="s">
        <v>5743</v>
      </c>
      <c r="H226" s="3" t="s">
        <v>5744</v>
      </c>
      <c r="I226" s="3" t="s">
        <v>3996</v>
      </c>
      <c r="J226" s="3" t="s">
        <v>5745</v>
      </c>
      <c r="K226" s="3" t="s">
        <v>4844</v>
      </c>
      <c r="L226" s="3" t="s">
        <v>650</v>
      </c>
      <c r="M226" s="3" t="s">
        <v>4010</v>
      </c>
      <c r="N226" s="3" t="s">
        <v>3535</v>
      </c>
      <c r="O226" s="3" t="s">
        <v>5746</v>
      </c>
      <c r="P226" s="3">
        <v>7</v>
      </c>
      <c r="Q226" s="3" t="s">
        <v>5747</v>
      </c>
      <c r="R226" s="3" t="s">
        <v>5748</v>
      </c>
      <c r="S226" s="3" t="s">
        <v>650</v>
      </c>
      <c r="T226" s="3" t="s">
        <v>650</v>
      </c>
      <c r="U226" s="3" t="s">
        <v>1380</v>
      </c>
      <c r="V226" s="3" t="s">
        <v>700</v>
      </c>
      <c r="W226" s="3"/>
      <c r="X226" s="3"/>
      <c r="Y226" s="3" t="s">
        <v>2001</v>
      </c>
    </row>
    <row r="227" spans="1:25" ht="60" customHeight="1" x14ac:dyDescent="0.2">
      <c r="A227" s="3" t="s">
        <v>5749</v>
      </c>
      <c r="B227" s="3" t="s">
        <v>5750</v>
      </c>
      <c r="C227" s="3" t="s">
        <v>5577</v>
      </c>
      <c r="D227" s="3">
        <v>966</v>
      </c>
      <c r="E227" s="3" t="s">
        <v>4003</v>
      </c>
      <c r="F227" s="3" t="s">
        <v>5751</v>
      </c>
      <c r="G227" s="11" t="s">
        <v>5752</v>
      </c>
      <c r="H227" s="3" t="s">
        <v>5753</v>
      </c>
      <c r="I227" s="3" t="s">
        <v>3996</v>
      </c>
      <c r="J227" s="3" t="s">
        <v>5754</v>
      </c>
      <c r="K227" s="3" t="s">
        <v>5755</v>
      </c>
      <c r="L227" s="3" t="s">
        <v>5756</v>
      </c>
      <c r="M227" s="3" t="s">
        <v>4010</v>
      </c>
      <c r="N227" s="3" t="s">
        <v>3535</v>
      </c>
      <c r="O227" s="3" t="s">
        <v>5757</v>
      </c>
      <c r="P227" s="3">
        <v>7</v>
      </c>
      <c r="Q227" s="3" t="s">
        <v>5758</v>
      </c>
      <c r="R227" s="3" t="s">
        <v>5759</v>
      </c>
      <c r="S227" s="3" t="s">
        <v>650</v>
      </c>
      <c r="T227" s="3" t="s">
        <v>5760</v>
      </c>
      <c r="U227" s="3" t="s">
        <v>1380</v>
      </c>
      <c r="V227" s="3" t="s">
        <v>700</v>
      </c>
      <c r="W227" s="3"/>
      <c r="X227" s="3"/>
      <c r="Y227" s="3" t="s">
        <v>2001</v>
      </c>
    </row>
    <row r="228" spans="1:25" ht="60" customHeight="1" x14ac:dyDescent="0.2">
      <c r="A228" s="3" t="s">
        <v>1581</v>
      </c>
      <c r="B228" s="3" t="s">
        <v>1580</v>
      </c>
      <c r="C228" s="3" t="s">
        <v>5577</v>
      </c>
      <c r="D228" s="3">
        <v>1038</v>
      </c>
      <c r="E228" s="3" t="s">
        <v>4003</v>
      </c>
      <c r="F228" s="3" t="s">
        <v>5761</v>
      </c>
      <c r="G228" s="11" t="s">
        <v>5762</v>
      </c>
      <c r="H228" s="3" t="s">
        <v>5763</v>
      </c>
      <c r="I228" s="3" t="s">
        <v>3996</v>
      </c>
      <c r="J228" s="3" t="s">
        <v>4995</v>
      </c>
      <c r="K228" s="3" t="s">
        <v>5764</v>
      </c>
      <c r="L228" s="3" t="s">
        <v>4020</v>
      </c>
      <c r="M228" s="3" t="s">
        <v>5765</v>
      </c>
      <c r="N228" s="3" t="s">
        <v>3535</v>
      </c>
      <c r="O228" s="3" t="s">
        <v>5766</v>
      </c>
      <c r="P228" s="3">
        <v>11</v>
      </c>
      <c r="Q228" s="3" t="s">
        <v>5597</v>
      </c>
      <c r="R228" s="3" t="s">
        <v>1588</v>
      </c>
      <c r="S228" s="3" t="s">
        <v>1577</v>
      </c>
      <c r="T228" s="3" t="s">
        <v>3702</v>
      </c>
      <c r="U228" s="3" t="s">
        <v>1380</v>
      </c>
      <c r="V228" s="3" t="s">
        <v>505</v>
      </c>
      <c r="W228" s="3"/>
      <c r="X228" s="3"/>
      <c r="Y228" s="3" t="s">
        <v>2001</v>
      </c>
    </row>
    <row r="229" spans="1:25" ht="60" customHeight="1" x14ac:dyDescent="0.2">
      <c r="A229" s="3" t="s">
        <v>5767</v>
      </c>
      <c r="B229" s="3" t="s">
        <v>5768</v>
      </c>
      <c r="C229" s="3" t="s">
        <v>5577</v>
      </c>
      <c r="D229" s="3">
        <v>1148</v>
      </c>
      <c r="E229" s="3" t="s">
        <v>4003</v>
      </c>
      <c r="F229" s="3" t="s">
        <v>5769</v>
      </c>
      <c r="G229" s="11" t="s">
        <v>5770</v>
      </c>
      <c r="H229" s="3" t="s">
        <v>5771</v>
      </c>
      <c r="I229" s="3" t="s">
        <v>3996</v>
      </c>
      <c r="J229" s="3" t="s">
        <v>5772</v>
      </c>
      <c r="K229" s="3" t="s">
        <v>4844</v>
      </c>
      <c r="L229" s="3" t="s">
        <v>4020</v>
      </c>
      <c r="M229" s="3" t="s">
        <v>4010</v>
      </c>
      <c r="N229" s="3" t="s">
        <v>3535</v>
      </c>
      <c r="O229" s="3" t="s">
        <v>5773</v>
      </c>
      <c r="P229" s="3">
        <v>2</v>
      </c>
      <c r="Q229" s="3" t="s">
        <v>5773</v>
      </c>
      <c r="R229" s="3" t="s">
        <v>5774</v>
      </c>
      <c r="S229" s="3" t="s">
        <v>650</v>
      </c>
      <c r="T229" s="3" t="s">
        <v>5775</v>
      </c>
      <c r="U229" s="3" t="s">
        <v>1380</v>
      </c>
      <c r="V229" s="3" t="s">
        <v>700</v>
      </c>
      <c r="W229" s="3"/>
      <c r="X229" s="3"/>
      <c r="Y229" s="3" t="s">
        <v>2001</v>
      </c>
    </row>
    <row r="230" spans="1:25" ht="60" customHeight="1" x14ac:dyDescent="0.2">
      <c r="A230" s="3" t="s">
        <v>5776</v>
      </c>
      <c r="B230" s="3" t="s">
        <v>5777</v>
      </c>
      <c r="C230" s="3" t="s">
        <v>5577</v>
      </c>
      <c r="D230" s="3">
        <v>1215</v>
      </c>
      <c r="E230" s="3" t="s">
        <v>4003</v>
      </c>
      <c r="F230" s="3" t="s">
        <v>5778</v>
      </c>
      <c r="G230" s="11" t="s">
        <v>5779</v>
      </c>
      <c r="H230" s="3" t="s">
        <v>5780</v>
      </c>
      <c r="I230" s="3" t="s">
        <v>4018</v>
      </c>
      <c r="J230" s="3" t="s">
        <v>5569</v>
      </c>
      <c r="K230" s="3" t="s">
        <v>5781</v>
      </c>
      <c r="L230" s="3" t="s">
        <v>4020</v>
      </c>
      <c r="M230" s="3" t="s">
        <v>5572</v>
      </c>
      <c r="N230" s="3" t="s">
        <v>3535</v>
      </c>
      <c r="O230" s="3" t="s">
        <v>5686</v>
      </c>
      <c r="P230" s="3">
        <v>12</v>
      </c>
      <c r="Q230" s="3" t="s">
        <v>5687</v>
      </c>
      <c r="R230" s="3" t="s">
        <v>5782</v>
      </c>
      <c r="S230" s="3" t="s">
        <v>650</v>
      </c>
      <c r="T230" s="3" t="s">
        <v>5783</v>
      </c>
      <c r="U230" s="3" t="s">
        <v>1380</v>
      </c>
      <c r="V230" s="3" t="s">
        <v>700</v>
      </c>
      <c r="W230" s="3"/>
      <c r="X230" s="3"/>
      <c r="Y230" s="3" t="s">
        <v>2001</v>
      </c>
    </row>
    <row r="231" spans="1:25" ht="60" customHeight="1" x14ac:dyDescent="0.2">
      <c r="A231" s="3" t="s">
        <v>5784</v>
      </c>
      <c r="B231" s="3" t="s">
        <v>5785</v>
      </c>
      <c r="C231" s="3" t="s">
        <v>5577</v>
      </c>
      <c r="D231" s="3">
        <v>1271</v>
      </c>
      <c r="E231" s="3" t="s">
        <v>4003</v>
      </c>
      <c r="F231" s="3" t="s">
        <v>5786</v>
      </c>
      <c r="G231" s="11" t="s">
        <v>5787</v>
      </c>
      <c r="H231" s="3" t="s">
        <v>5788</v>
      </c>
      <c r="I231" s="3" t="s">
        <v>4018</v>
      </c>
      <c r="J231" s="3" t="s">
        <v>5789</v>
      </c>
      <c r="K231" s="3" t="s">
        <v>4008</v>
      </c>
      <c r="L231" s="3" t="s">
        <v>5790</v>
      </c>
      <c r="M231" s="3" t="s">
        <v>4010</v>
      </c>
      <c r="N231" s="3" t="s">
        <v>3535</v>
      </c>
      <c r="O231" s="3" t="s">
        <v>5791</v>
      </c>
      <c r="P231" s="3">
        <v>12</v>
      </c>
      <c r="Q231" s="3" t="s">
        <v>5792</v>
      </c>
      <c r="R231" s="3" t="s">
        <v>5793</v>
      </c>
      <c r="S231" s="3" t="s">
        <v>650</v>
      </c>
      <c r="T231" s="3" t="s">
        <v>5794</v>
      </c>
      <c r="U231" s="3" t="s">
        <v>1380</v>
      </c>
      <c r="V231" s="3" t="s">
        <v>700</v>
      </c>
      <c r="W231" s="3"/>
      <c r="X231" s="3"/>
      <c r="Y231" s="3" t="s">
        <v>2001</v>
      </c>
    </row>
    <row r="232" spans="1:25" ht="60" customHeight="1" x14ac:dyDescent="0.2">
      <c r="A232" s="3" t="s">
        <v>5795</v>
      </c>
      <c r="B232" s="3" t="s">
        <v>5796</v>
      </c>
      <c r="C232" s="3" t="s">
        <v>5577</v>
      </c>
      <c r="D232" s="3">
        <v>1312</v>
      </c>
      <c r="E232" s="3" t="s">
        <v>4003</v>
      </c>
      <c r="F232" s="3" t="s">
        <v>5797</v>
      </c>
      <c r="G232" s="11" t="s">
        <v>5798</v>
      </c>
      <c r="H232" s="3" t="s">
        <v>5799</v>
      </c>
      <c r="I232" s="3" t="s">
        <v>3996</v>
      </c>
      <c r="J232" s="3" t="s">
        <v>5569</v>
      </c>
      <c r="K232" s="3" t="s">
        <v>5800</v>
      </c>
      <c r="L232" s="3" t="s">
        <v>5801</v>
      </c>
      <c r="M232" s="3" t="s">
        <v>5572</v>
      </c>
      <c r="N232" s="3" t="s">
        <v>3535</v>
      </c>
      <c r="O232" s="3" t="s">
        <v>5672</v>
      </c>
      <c r="P232" s="3">
        <v>11</v>
      </c>
      <c r="Q232" s="3" t="s">
        <v>5673</v>
      </c>
      <c r="R232" s="3" t="s">
        <v>5802</v>
      </c>
      <c r="S232" s="3" t="s">
        <v>650</v>
      </c>
      <c r="T232" s="3" t="s">
        <v>5803</v>
      </c>
      <c r="U232" s="3" t="s">
        <v>1380</v>
      </c>
      <c r="V232" s="3" t="s">
        <v>700</v>
      </c>
      <c r="W232" s="3"/>
      <c r="X232" s="3"/>
      <c r="Y232" s="3" t="s">
        <v>2001</v>
      </c>
    </row>
    <row r="233" spans="1:25" ht="60" customHeight="1" x14ac:dyDescent="0.2">
      <c r="A233" s="3" t="s">
        <v>5804</v>
      </c>
      <c r="B233" s="3" t="s">
        <v>5805</v>
      </c>
      <c r="C233" s="3" t="s">
        <v>5577</v>
      </c>
      <c r="D233" s="3">
        <v>1354</v>
      </c>
      <c r="E233" s="3" t="s">
        <v>4003</v>
      </c>
      <c r="F233" s="3" t="s">
        <v>5806</v>
      </c>
      <c r="G233" s="11" t="s">
        <v>5807</v>
      </c>
      <c r="H233" s="3" t="s">
        <v>5808</v>
      </c>
      <c r="I233" s="3" t="s">
        <v>4018</v>
      </c>
      <c r="J233" s="3" t="s">
        <v>5789</v>
      </c>
      <c r="K233" s="3" t="s">
        <v>4008</v>
      </c>
      <c r="L233" s="3" t="s">
        <v>5801</v>
      </c>
      <c r="M233" s="3" t="s">
        <v>5809</v>
      </c>
      <c r="N233" s="3" t="s">
        <v>3535</v>
      </c>
      <c r="O233" s="3" t="s">
        <v>5810</v>
      </c>
      <c r="P233" s="3">
        <v>13</v>
      </c>
      <c r="Q233" s="3" t="s">
        <v>5811</v>
      </c>
      <c r="R233" s="3" t="s">
        <v>5812</v>
      </c>
      <c r="S233" s="3" t="s">
        <v>650</v>
      </c>
      <c r="T233" s="3" t="s">
        <v>5813</v>
      </c>
      <c r="U233" s="3" t="s">
        <v>1380</v>
      </c>
      <c r="V233" s="3" t="s">
        <v>505</v>
      </c>
      <c r="W233" s="3"/>
      <c r="X233" s="3"/>
      <c r="Y233" s="3" t="s">
        <v>2001</v>
      </c>
    </row>
    <row r="234" spans="1:25" ht="60" customHeight="1" x14ac:dyDescent="0.2">
      <c r="A234" s="3" t="s">
        <v>5814</v>
      </c>
      <c r="B234" s="3" t="s">
        <v>5815</v>
      </c>
      <c r="C234" s="3" t="s">
        <v>5577</v>
      </c>
      <c r="D234" s="3">
        <v>1382</v>
      </c>
      <c r="E234" s="3" t="s">
        <v>4003</v>
      </c>
      <c r="F234" s="3" t="s">
        <v>5816</v>
      </c>
      <c r="G234" s="11" t="s">
        <v>5817</v>
      </c>
      <c r="H234" s="3" t="s">
        <v>5818</v>
      </c>
      <c r="I234" s="3" t="s">
        <v>4018</v>
      </c>
      <c r="J234" s="3" t="s">
        <v>5569</v>
      </c>
      <c r="K234" s="3" t="s">
        <v>4008</v>
      </c>
      <c r="L234" s="3" t="s">
        <v>5819</v>
      </c>
      <c r="M234" s="3" t="s">
        <v>4010</v>
      </c>
      <c r="N234" s="3" t="s">
        <v>3535</v>
      </c>
      <c r="O234" s="3" t="s">
        <v>5820</v>
      </c>
      <c r="P234" s="3">
        <v>15</v>
      </c>
      <c r="Q234" s="3" t="s">
        <v>5821</v>
      </c>
      <c r="R234" s="3" t="s">
        <v>5822</v>
      </c>
      <c r="S234" s="3" t="s">
        <v>650</v>
      </c>
      <c r="T234" s="3" t="s">
        <v>3773</v>
      </c>
      <c r="U234" s="3" t="s">
        <v>1380</v>
      </c>
      <c r="V234" s="3" t="s">
        <v>505</v>
      </c>
      <c r="W234" s="3"/>
      <c r="X234" s="3"/>
      <c r="Y234" s="3" t="s">
        <v>2001</v>
      </c>
    </row>
    <row r="235" spans="1:25" ht="60" customHeight="1" x14ac:dyDescent="0.2">
      <c r="A235" s="3" t="s">
        <v>5823</v>
      </c>
      <c r="B235" s="3" t="s">
        <v>5824</v>
      </c>
      <c r="C235" s="3" t="s">
        <v>5577</v>
      </c>
      <c r="D235" s="3">
        <v>1415</v>
      </c>
      <c r="E235" s="3" t="s">
        <v>4003</v>
      </c>
      <c r="F235" s="3" t="s">
        <v>5825</v>
      </c>
      <c r="G235" s="11" t="s">
        <v>5826</v>
      </c>
      <c r="H235" s="3" t="s">
        <v>5827</v>
      </c>
      <c r="I235" s="3" t="s">
        <v>3996</v>
      </c>
      <c r="J235" s="3" t="s">
        <v>5828</v>
      </c>
      <c r="K235" s="3" t="s">
        <v>4008</v>
      </c>
      <c r="L235" s="3" t="s">
        <v>5829</v>
      </c>
      <c r="M235" s="3" t="s">
        <v>5830</v>
      </c>
      <c r="N235" s="3" t="s">
        <v>3535</v>
      </c>
      <c r="O235" s="3" t="s">
        <v>5605</v>
      </c>
      <c r="P235" s="3">
        <v>12</v>
      </c>
      <c r="Q235" s="3" t="s">
        <v>5606</v>
      </c>
      <c r="R235" s="3" t="s">
        <v>5831</v>
      </c>
      <c r="S235" s="3" t="s">
        <v>650</v>
      </c>
      <c r="T235" s="3" t="s">
        <v>5832</v>
      </c>
      <c r="U235" s="3" t="s">
        <v>1380</v>
      </c>
      <c r="V235" s="3" t="s">
        <v>700</v>
      </c>
      <c r="W235" s="3"/>
      <c r="X235" s="3"/>
      <c r="Y235" s="3" t="s">
        <v>2001</v>
      </c>
    </row>
    <row r="236" spans="1:25" ht="60" customHeight="1" x14ac:dyDescent="0.2">
      <c r="A236" s="3" t="s">
        <v>5833</v>
      </c>
      <c r="B236" s="3" t="s">
        <v>5834</v>
      </c>
      <c r="C236" s="3" t="s">
        <v>5577</v>
      </c>
      <c r="D236" s="3">
        <v>1491</v>
      </c>
      <c r="E236" s="3" t="s">
        <v>3992</v>
      </c>
      <c r="F236" s="3" t="s">
        <v>5835</v>
      </c>
      <c r="G236" s="11" t="s">
        <v>5836</v>
      </c>
      <c r="H236" s="3" t="s">
        <v>5837</v>
      </c>
      <c r="I236" s="3" t="s">
        <v>3996</v>
      </c>
      <c r="J236" s="3" t="s">
        <v>5838</v>
      </c>
      <c r="K236" s="3" t="s">
        <v>4008</v>
      </c>
      <c r="L236" s="3" t="s">
        <v>650</v>
      </c>
      <c r="M236" s="3" t="s">
        <v>5839</v>
      </c>
      <c r="N236" s="3" t="s">
        <v>3535</v>
      </c>
      <c r="O236" s="3" t="s">
        <v>5840</v>
      </c>
      <c r="P236" s="3">
        <v>15</v>
      </c>
      <c r="Q236" s="3" t="s">
        <v>5841</v>
      </c>
      <c r="R236" s="3" t="s">
        <v>5842</v>
      </c>
      <c r="S236" s="3" t="s">
        <v>650</v>
      </c>
      <c r="T236" s="3" t="s">
        <v>3873</v>
      </c>
      <c r="U236" s="3" t="s">
        <v>1380</v>
      </c>
      <c r="V236" s="3" t="s">
        <v>700</v>
      </c>
      <c r="W236" s="3"/>
      <c r="X236" s="3"/>
      <c r="Y236" s="6" t="s">
        <v>5843</v>
      </c>
    </row>
    <row r="237" spans="1:25" ht="60" customHeight="1" x14ac:dyDescent="0.2">
      <c r="A237" s="3" t="s">
        <v>5844</v>
      </c>
      <c r="B237" s="3" t="s">
        <v>5845</v>
      </c>
      <c r="C237" s="3" t="s">
        <v>5577</v>
      </c>
      <c r="D237" s="3">
        <v>1551</v>
      </c>
      <c r="E237" s="3" t="s">
        <v>4003</v>
      </c>
      <c r="F237" s="3" t="s">
        <v>5846</v>
      </c>
      <c r="G237" s="11" t="s">
        <v>5847</v>
      </c>
      <c r="H237" s="3" t="s">
        <v>5848</v>
      </c>
      <c r="I237" s="3" t="s">
        <v>3996</v>
      </c>
      <c r="J237" s="3" t="s">
        <v>5828</v>
      </c>
      <c r="K237" s="3" t="s">
        <v>4028</v>
      </c>
      <c r="L237" s="3" t="s">
        <v>4020</v>
      </c>
      <c r="M237" s="3" t="s">
        <v>4010</v>
      </c>
      <c r="N237" s="3" t="s">
        <v>3535</v>
      </c>
      <c r="O237" s="3" t="s">
        <v>5849</v>
      </c>
      <c r="P237" s="3">
        <v>13</v>
      </c>
      <c r="Q237" s="3" t="s">
        <v>5850</v>
      </c>
      <c r="R237" s="3" t="s">
        <v>5851</v>
      </c>
      <c r="S237" s="3" t="s">
        <v>650</v>
      </c>
      <c r="T237" s="3" t="s">
        <v>650</v>
      </c>
      <c r="U237" s="3" t="s">
        <v>1380</v>
      </c>
      <c r="V237" s="3" t="s">
        <v>700</v>
      </c>
      <c r="W237" s="3"/>
      <c r="X237" s="3"/>
      <c r="Y237" s="3" t="s">
        <v>2001</v>
      </c>
    </row>
    <row r="238" spans="1:25" ht="60" customHeight="1" x14ac:dyDescent="0.2">
      <c r="A238" s="3" t="s">
        <v>5852</v>
      </c>
      <c r="B238" s="3" t="s">
        <v>5853</v>
      </c>
      <c r="C238" s="3" t="s">
        <v>5577</v>
      </c>
      <c r="D238" s="3">
        <v>1587</v>
      </c>
      <c r="E238" s="3" t="s">
        <v>4003</v>
      </c>
      <c r="F238" s="3" t="s">
        <v>5854</v>
      </c>
      <c r="G238" s="11" t="s">
        <v>5855</v>
      </c>
      <c r="H238" s="3" t="s">
        <v>5856</v>
      </c>
      <c r="I238" s="3" t="s">
        <v>4018</v>
      </c>
      <c r="J238" s="3" t="s">
        <v>5838</v>
      </c>
      <c r="K238" s="3" t="s">
        <v>4008</v>
      </c>
      <c r="L238" s="3" t="s">
        <v>5857</v>
      </c>
      <c r="M238" s="3" t="s">
        <v>4010</v>
      </c>
      <c r="N238" s="3" t="s">
        <v>3535</v>
      </c>
      <c r="O238" s="3" t="s">
        <v>5858</v>
      </c>
      <c r="P238" s="3">
        <v>17</v>
      </c>
      <c r="Q238" s="3" t="s">
        <v>5859</v>
      </c>
      <c r="R238" s="3" t="s">
        <v>5860</v>
      </c>
      <c r="S238" s="3" t="s">
        <v>650</v>
      </c>
      <c r="T238" s="3" t="s">
        <v>3869</v>
      </c>
      <c r="U238" s="3" t="s">
        <v>1380</v>
      </c>
      <c r="V238" s="3" t="s">
        <v>505</v>
      </c>
      <c r="W238" s="3"/>
      <c r="X238" s="3"/>
      <c r="Y238" s="6" t="s">
        <v>5843</v>
      </c>
    </row>
    <row r="239" spans="1:25" ht="60" customHeight="1" x14ac:dyDescent="0.2">
      <c r="A239" s="3" t="s">
        <v>5861</v>
      </c>
      <c r="B239" s="3" t="s">
        <v>5862</v>
      </c>
      <c r="C239" s="3" t="s">
        <v>5577</v>
      </c>
      <c r="D239" s="3">
        <v>1618</v>
      </c>
      <c r="E239" s="3" t="s">
        <v>4129</v>
      </c>
      <c r="F239" s="3" t="s">
        <v>5863</v>
      </c>
      <c r="G239" s="11" t="s">
        <v>5864</v>
      </c>
      <c r="H239" s="3" t="s">
        <v>5865</v>
      </c>
      <c r="I239" s="3" t="s">
        <v>3996</v>
      </c>
      <c r="J239" s="3" t="s">
        <v>5569</v>
      </c>
      <c r="K239" s="3" t="s">
        <v>5204</v>
      </c>
      <c r="L239" s="3" t="s">
        <v>650</v>
      </c>
      <c r="M239" s="3" t="s">
        <v>5866</v>
      </c>
      <c r="N239" s="3" t="s">
        <v>3419</v>
      </c>
      <c r="O239" s="3" t="s">
        <v>3313</v>
      </c>
      <c r="P239" s="3">
        <v>14</v>
      </c>
      <c r="Q239" s="3" t="s">
        <v>5867</v>
      </c>
      <c r="R239" s="3" t="s">
        <v>5868</v>
      </c>
      <c r="S239" s="3" t="s">
        <v>650</v>
      </c>
      <c r="T239" s="3" t="s">
        <v>650</v>
      </c>
      <c r="U239" s="3" t="s">
        <v>1380</v>
      </c>
      <c r="V239" s="3" t="s">
        <v>700</v>
      </c>
      <c r="W239" s="3"/>
      <c r="X239" s="3"/>
      <c r="Y239" s="3" t="s">
        <v>2001</v>
      </c>
    </row>
    <row r="240" spans="1:25" ht="60" customHeight="1" x14ac:dyDescent="0.2">
      <c r="A240" s="3" t="s">
        <v>5869</v>
      </c>
      <c r="B240" s="3" t="s">
        <v>5870</v>
      </c>
      <c r="C240" s="3" t="s">
        <v>5577</v>
      </c>
      <c r="D240" s="3">
        <v>1658</v>
      </c>
      <c r="E240" s="3" t="s">
        <v>4003</v>
      </c>
      <c r="F240" s="3" t="s">
        <v>5871</v>
      </c>
      <c r="G240" s="11" t="s">
        <v>5872</v>
      </c>
      <c r="H240" s="3" t="s">
        <v>5873</v>
      </c>
      <c r="I240" s="3" t="s">
        <v>4290</v>
      </c>
      <c r="J240" s="3" t="s">
        <v>5874</v>
      </c>
      <c r="K240" s="3" t="s">
        <v>5875</v>
      </c>
      <c r="L240" s="3" t="s">
        <v>4020</v>
      </c>
      <c r="M240" s="3" t="s">
        <v>4010</v>
      </c>
      <c r="N240" s="3" t="s">
        <v>3535</v>
      </c>
      <c r="O240" s="3" t="s">
        <v>5876</v>
      </c>
      <c r="P240" s="3">
        <v>80</v>
      </c>
      <c r="Q240" s="3" t="s">
        <v>5877</v>
      </c>
      <c r="R240" s="3" t="s">
        <v>5878</v>
      </c>
      <c r="S240" s="3" t="s">
        <v>650</v>
      </c>
      <c r="T240" s="3" t="s">
        <v>5879</v>
      </c>
      <c r="U240" s="3" t="s">
        <v>1380</v>
      </c>
      <c r="V240" s="3" t="s">
        <v>700</v>
      </c>
      <c r="W240" s="3"/>
      <c r="X240" s="3"/>
      <c r="Y240" s="3" t="s">
        <v>2001</v>
      </c>
    </row>
    <row r="241" spans="1:25" ht="60" customHeight="1" x14ac:dyDescent="0.2">
      <c r="A241" s="3" t="s">
        <v>5880</v>
      </c>
      <c r="B241" s="3" t="s">
        <v>5881</v>
      </c>
      <c r="C241" s="3" t="s">
        <v>5577</v>
      </c>
      <c r="D241" s="3">
        <v>1707</v>
      </c>
      <c r="E241" s="3" t="s">
        <v>3992</v>
      </c>
      <c r="F241" s="3" t="s">
        <v>5882</v>
      </c>
      <c r="G241" s="11" t="s">
        <v>5883</v>
      </c>
      <c r="H241" s="3" t="s">
        <v>5884</v>
      </c>
      <c r="I241" s="3" t="s">
        <v>4018</v>
      </c>
      <c r="J241" s="3" t="s">
        <v>4331</v>
      </c>
      <c r="K241" s="3" t="s">
        <v>5885</v>
      </c>
      <c r="L241" s="3" t="s">
        <v>650</v>
      </c>
      <c r="M241" s="3" t="s">
        <v>4010</v>
      </c>
      <c r="N241" s="3" t="s">
        <v>3535</v>
      </c>
      <c r="O241" s="3" t="s">
        <v>5886</v>
      </c>
      <c r="P241" s="3">
        <v>79</v>
      </c>
      <c r="Q241" s="3" t="s">
        <v>5887</v>
      </c>
      <c r="R241" s="3" t="s">
        <v>5888</v>
      </c>
      <c r="S241" s="3" t="s">
        <v>650</v>
      </c>
      <c r="T241" s="3" t="s">
        <v>5889</v>
      </c>
      <c r="U241" s="3" t="s">
        <v>1380</v>
      </c>
      <c r="V241" s="3" t="s">
        <v>700</v>
      </c>
      <c r="W241" s="3"/>
      <c r="X241" s="3"/>
      <c r="Y241" s="3" t="s">
        <v>2001</v>
      </c>
    </row>
    <row r="242" spans="1:25" ht="60" customHeight="1" x14ac:dyDescent="0.2">
      <c r="A242" s="3" t="s">
        <v>5890</v>
      </c>
      <c r="B242" s="3" t="s">
        <v>5891</v>
      </c>
      <c r="C242" s="3" t="s">
        <v>5577</v>
      </c>
      <c r="D242" s="3">
        <v>1749</v>
      </c>
      <c r="E242" s="3" t="s">
        <v>4003</v>
      </c>
      <c r="F242" s="3" t="s">
        <v>5892</v>
      </c>
      <c r="G242" s="11" t="s">
        <v>5893</v>
      </c>
      <c r="H242" s="3" t="s">
        <v>5894</v>
      </c>
      <c r="I242" s="3" t="s">
        <v>3996</v>
      </c>
      <c r="J242" s="3" t="s">
        <v>5510</v>
      </c>
      <c r="K242" s="3" t="s">
        <v>4008</v>
      </c>
      <c r="L242" s="3" t="s">
        <v>4020</v>
      </c>
      <c r="M242" s="3" t="s">
        <v>4010</v>
      </c>
      <c r="N242" s="3" t="s">
        <v>3535</v>
      </c>
      <c r="O242" s="3" t="s">
        <v>5895</v>
      </c>
      <c r="P242" s="3">
        <v>8</v>
      </c>
      <c r="Q242" s="3" t="s">
        <v>5896</v>
      </c>
      <c r="R242" s="3" t="s">
        <v>5897</v>
      </c>
      <c r="S242" s="3" t="s">
        <v>650</v>
      </c>
      <c r="T242" s="3" t="s">
        <v>3885</v>
      </c>
      <c r="U242" s="3" t="s">
        <v>1380</v>
      </c>
      <c r="V242" s="3" t="s">
        <v>700</v>
      </c>
      <c r="W242" s="3"/>
      <c r="X242" s="3"/>
      <c r="Y242" s="3" t="s">
        <v>2001</v>
      </c>
    </row>
    <row r="243" spans="1:25" ht="60" customHeight="1" x14ac:dyDescent="0.2">
      <c r="A243" s="3" t="s">
        <v>5898</v>
      </c>
      <c r="B243" s="3" t="s">
        <v>5899</v>
      </c>
      <c r="C243" s="3" t="s">
        <v>5577</v>
      </c>
      <c r="D243" s="3">
        <v>1774</v>
      </c>
      <c r="E243" s="3" t="s">
        <v>4129</v>
      </c>
      <c r="F243" s="3" t="s">
        <v>4110</v>
      </c>
      <c r="G243" s="11" t="s">
        <v>4130</v>
      </c>
      <c r="H243" s="3" t="s">
        <v>4130</v>
      </c>
      <c r="I243" s="3" t="s">
        <v>4131</v>
      </c>
      <c r="J243" s="3" t="s">
        <v>4132</v>
      </c>
      <c r="K243" s="3" t="s">
        <v>4028</v>
      </c>
      <c r="L243" s="3" t="s">
        <v>650</v>
      </c>
      <c r="M243" s="3" t="s">
        <v>4010</v>
      </c>
      <c r="N243" s="3" t="s">
        <v>3419</v>
      </c>
      <c r="O243" s="3" t="s">
        <v>4000</v>
      </c>
      <c r="P243" s="3">
        <v>80</v>
      </c>
      <c r="Q243" s="3" t="s">
        <v>4001</v>
      </c>
      <c r="R243" s="3" t="s">
        <v>5900</v>
      </c>
      <c r="S243" s="3" t="s">
        <v>650</v>
      </c>
      <c r="T243" s="3" t="s">
        <v>650</v>
      </c>
      <c r="U243" s="3" t="s">
        <v>1380</v>
      </c>
      <c r="V243" s="3" t="s">
        <v>700</v>
      </c>
      <c r="W243" s="3"/>
      <c r="X243" s="3"/>
      <c r="Y243" s="3" t="s">
        <v>2001</v>
      </c>
    </row>
    <row r="244" spans="1:25" ht="60" customHeight="1" x14ac:dyDescent="0.2">
      <c r="A244" s="3" t="s">
        <v>5901</v>
      </c>
      <c r="B244" s="3" t="s">
        <v>5902</v>
      </c>
      <c r="C244" s="3" t="s">
        <v>5577</v>
      </c>
      <c r="D244" s="3">
        <v>1790</v>
      </c>
      <c r="E244" s="3" t="s">
        <v>4136</v>
      </c>
      <c r="F244" s="3" t="s">
        <v>4110</v>
      </c>
      <c r="G244" s="11" t="s">
        <v>4137</v>
      </c>
      <c r="H244" s="3" t="s">
        <v>4137</v>
      </c>
      <c r="I244" s="3" t="s">
        <v>4131</v>
      </c>
      <c r="J244" s="3" t="s">
        <v>5903</v>
      </c>
      <c r="K244" s="3" t="s">
        <v>4343</v>
      </c>
      <c r="L244" s="3" t="s">
        <v>650</v>
      </c>
      <c r="M244" s="3" t="s">
        <v>4010</v>
      </c>
      <c r="N244" s="3" t="s">
        <v>3419</v>
      </c>
      <c r="O244" s="3" t="s">
        <v>4344</v>
      </c>
      <c r="P244" s="3">
        <v>82</v>
      </c>
      <c r="Q244" s="3" t="s">
        <v>4345</v>
      </c>
      <c r="R244" s="3" t="s">
        <v>5904</v>
      </c>
      <c r="S244" s="3" t="s">
        <v>650</v>
      </c>
      <c r="T244" s="3" t="s">
        <v>650</v>
      </c>
      <c r="U244" s="3" t="s">
        <v>1380</v>
      </c>
      <c r="V244" s="3" t="s">
        <v>700</v>
      </c>
      <c r="W244" s="3"/>
      <c r="X244" s="3"/>
      <c r="Y244" s="3" t="s">
        <v>2001</v>
      </c>
    </row>
    <row r="245" spans="1:25" ht="60" customHeight="1" x14ac:dyDescent="0.2">
      <c r="A245" s="3" t="s">
        <v>5905</v>
      </c>
      <c r="B245" s="3" t="s">
        <v>5906</v>
      </c>
      <c r="C245" s="3" t="s">
        <v>5577</v>
      </c>
      <c r="D245" s="3">
        <v>1807</v>
      </c>
      <c r="E245" s="3" t="s">
        <v>4129</v>
      </c>
      <c r="F245" s="3" t="s">
        <v>4110</v>
      </c>
      <c r="G245" s="11" t="s">
        <v>5907</v>
      </c>
      <c r="H245" s="3" t="s">
        <v>5908</v>
      </c>
      <c r="I245" s="3" t="s">
        <v>3996</v>
      </c>
      <c r="J245" s="3" t="s">
        <v>4132</v>
      </c>
      <c r="K245" s="3" t="s">
        <v>4028</v>
      </c>
      <c r="L245" s="3" t="s">
        <v>650</v>
      </c>
      <c r="M245" s="3" t="s">
        <v>4010</v>
      </c>
      <c r="N245" s="3" t="s">
        <v>3419</v>
      </c>
      <c r="O245" s="3" t="s">
        <v>5909</v>
      </c>
      <c r="P245" s="3">
        <v>82</v>
      </c>
      <c r="Q245" s="3" t="s">
        <v>5910</v>
      </c>
      <c r="R245" s="3" t="s">
        <v>5911</v>
      </c>
      <c r="S245" s="3" t="s">
        <v>650</v>
      </c>
      <c r="T245" s="3" t="s">
        <v>650</v>
      </c>
      <c r="U245" s="3" t="s">
        <v>1380</v>
      </c>
      <c r="V245" s="3" t="s">
        <v>700</v>
      </c>
      <c r="W245" s="3"/>
      <c r="X245" s="3"/>
      <c r="Y245" s="3" t="s">
        <v>2001</v>
      </c>
    </row>
    <row r="246" spans="1:25" ht="60" customHeight="1" x14ac:dyDescent="0.2">
      <c r="A246" s="3" t="s">
        <v>5912</v>
      </c>
      <c r="B246" s="3" t="s">
        <v>5913</v>
      </c>
      <c r="C246" s="3" t="s">
        <v>5577</v>
      </c>
      <c r="D246" s="3">
        <v>1836</v>
      </c>
      <c r="E246" s="3" t="s">
        <v>4003</v>
      </c>
      <c r="F246" s="3" t="s">
        <v>5914</v>
      </c>
      <c r="G246" s="11" t="s">
        <v>5915</v>
      </c>
      <c r="H246" s="3" t="s">
        <v>5916</v>
      </c>
      <c r="I246" s="3" t="s">
        <v>3996</v>
      </c>
      <c r="J246" s="3" t="s">
        <v>4995</v>
      </c>
      <c r="K246" s="3" t="s">
        <v>4844</v>
      </c>
      <c r="L246" s="3" t="s">
        <v>4020</v>
      </c>
      <c r="M246" s="3" t="s">
        <v>4010</v>
      </c>
      <c r="N246" s="3" t="s">
        <v>3535</v>
      </c>
      <c r="O246" s="3" t="s">
        <v>650</v>
      </c>
      <c r="P246" s="3">
        <v>0</v>
      </c>
      <c r="Q246" s="3" t="s">
        <v>4052</v>
      </c>
      <c r="R246" s="3" t="s">
        <v>1499</v>
      </c>
      <c r="S246" s="3" t="s">
        <v>650</v>
      </c>
      <c r="T246" s="3" t="s">
        <v>5917</v>
      </c>
      <c r="U246" s="3" t="s">
        <v>1380</v>
      </c>
      <c r="V246" s="3" t="s">
        <v>984</v>
      </c>
      <c r="W246" s="3"/>
      <c r="X246" s="3"/>
      <c r="Y246" s="3" t="s">
        <v>2001</v>
      </c>
    </row>
    <row r="247" spans="1:25" ht="60" customHeight="1" x14ac:dyDescent="0.2">
      <c r="A247" s="3" t="s">
        <v>5918</v>
      </c>
      <c r="B247" s="3" t="s">
        <v>5919</v>
      </c>
      <c r="C247" s="3" t="s">
        <v>5577</v>
      </c>
      <c r="D247" s="3">
        <v>1884</v>
      </c>
      <c r="E247" s="3" t="s">
        <v>4003</v>
      </c>
      <c r="F247" s="3" t="s">
        <v>4110</v>
      </c>
      <c r="G247" s="11" t="s">
        <v>5920</v>
      </c>
      <c r="H247" s="3" t="s">
        <v>5921</v>
      </c>
      <c r="I247" s="3" t="s">
        <v>3996</v>
      </c>
      <c r="J247" s="3" t="s">
        <v>4164</v>
      </c>
      <c r="K247" s="3" t="s">
        <v>4028</v>
      </c>
      <c r="L247" s="3" t="s">
        <v>4020</v>
      </c>
      <c r="M247" s="3" t="s">
        <v>5922</v>
      </c>
      <c r="N247" s="3" t="s">
        <v>3535</v>
      </c>
      <c r="O247" s="3" t="s">
        <v>5923</v>
      </c>
      <c r="P247" s="3">
        <v>2</v>
      </c>
      <c r="Q247" s="3" t="s">
        <v>5923</v>
      </c>
      <c r="R247" s="3" t="s">
        <v>5924</v>
      </c>
      <c r="S247" s="3" t="s">
        <v>650</v>
      </c>
      <c r="T247" s="3" t="s">
        <v>650</v>
      </c>
      <c r="U247" s="3" t="s">
        <v>1380</v>
      </c>
      <c r="V247" s="3" t="s">
        <v>700</v>
      </c>
      <c r="W247" s="3"/>
      <c r="X247" s="3"/>
      <c r="Y247" s="3" t="s">
        <v>2001</v>
      </c>
    </row>
    <row r="248" spans="1:25" ht="60" customHeight="1" x14ac:dyDescent="0.2">
      <c r="A248" s="3" t="s">
        <v>5925</v>
      </c>
      <c r="B248" s="3" t="s">
        <v>5926</v>
      </c>
      <c r="C248" s="3" t="s">
        <v>5577</v>
      </c>
      <c r="D248" s="3">
        <v>1967</v>
      </c>
      <c r="E248" s="3" t="s">
        <v>4136</v>
      </c>
      <c r="F248" s="3" t="s">
        <v>4110</v>
      </c>
      <c r="G248" s="11" t="s">
        <v>5927</v>
      </c>
      <c r="H248" s="3" t="s">
        <v>5928</v>
      </c>
      <c r="I248" s="3" t="s">
        <v>4018</v>
      </c>
      <c r="J248" s="3" t="s">
        <v>5929</v>
      </c>
      <c r="K248" s="3" t="s">
        <v>5930</v>
      </c>
      <c r="L248" s="3" t="s">
        <v>5931</v>
      </c>
      <c r="M248" s="3" t="s">
        <v>4010</v>
      </c>
      <c r="N248" s="3" t="s">
        <v>3535</v>
      </c>
      <c r="O248" s="3" t="s">
        <v>650</v>
      </c>
      <c r="P248" s="3">
        <v>0</v>
      </c>
      <c r="Q248" s="3" t="s">
        <v>4052</v>
      </c>
      <c r="R248" s="3" t="s">
        <v>1499</v>
      </c>
      <c r="S248" s="3" t="s">
        <v>650</v>
      </c>
      <c r="T248" s="3" t="s">
        <v>650</v>
      </c>
      <c r="U248" s="3" t="s">
        <v>1380</v>
      </c>
      <c r="V248" s="3" t="s">
        <v>700</v>
      </c>
      <c r="W248" s="3"/>
      <c r="X248" s="3"/>
      <c r="Y248" s="3" t="s">
        <v>2001</v>
      </c>
    </row>
    <row r="249" spans="1:25" ht="45" customHeight="1" x14ac:dyDescent="0.2">
      <c r="A249" s="3" t="s">
        <v>5932</v>
      </c>
      <c r="B249" s="3" t="s">
        <v>5933</v>
      </c>
      <c r="C249" s="3" t="s">
        <v>5577</v>
      </c>
      <c r="D249" s="3">
        <v>1985</v>
      </c>
      <c r="E249" s="3" t="s">
        <v>4003</v>
      </c>
      <c r="F249" s="3" t="s">
        <v>5934</v>
      </c>
      <c r="G249" s="11" t="s">
        <v>5935</v>
      </c>
      <c r="H249" s="3" t="s">
        <v>5936</v>
      </c>
      <c r="I249" s="3" t="s">
        <v>4018</v>
      </c>
      <c r="J249" s="3" t="s">
        <v>4164</v>
      </c>
      <c r="K249" s="3" t="s">
        <v>4028</v>
      </c>
      <c r="L249" s="3" t="s">
        <v>4020</v>
      </c>
      <c r="M249" s="3" t="s">
        <v>4010</v>
      </c>
      <c r="N249" s="3" t="s">
        <v>3535</v>
      </c>
      <c r="O249" s="3" t="s">
        <v>5937</v>
      </c>
      <c r="P249" s="3">
        <v>2</v>
      </c>
      <c r="Q249" s="3" t="s">
        <v>5937</v>
      </c>
      <c r="R249" s="3" t="s">
        <v>5938</v>
      </c>
      <c r="S249" s="3" t="s">
        <v>650</v>
      </c>
      <c r="T249" s="3" t="s">
        <v>5939</v>
      </c>
      <c r="U249" s="3" t="s">
        <v>1380</v>
      </c>
      <c r="V249" s="3" t="s">
        <v>700</v>
      </c>
      <c r="W249" s="3"/>
      <c r="X249" s="3"/>
      <c r="Y249" s="3" t="s">
        <v>2001</v>
      </c>
    </row>
    <row r="250" spans="1:25" ht="30" customHeight="1" x14ac:dyDescent="0.2">
      <c r="A250" s="3" t="s">
        <v>5940</v>
      </c>
      <c r="B250" s="3" t="s">
        <v>5941</v>
      </c>
      <c r="C250" s="3" t="s">
        <v>5942</v>
      </c>
      <c r="D250" s="3">
        <v>50</v>
      </c>
      <c r="E250" s="3" t="s">
        <v>4136</v>
      </c>
      <c r="F250" s="3" t="s">
        <v>5943</v>
      </c>
      <c r="G250" s="11" t="s">
        <v>5944</v>
      </c>
      <c r="H250" s="3" t="s">
        <v>5945</v>
      </c>
      <c r="I250" s="3" t="s">
        <v>4290</v>
      </c>
      <c r="J250" s="3" t="s">
        <v>5946</v>
      </c>
      <c r="K250" s="3" t="s">
        <v>4008</v>
      </c>
      <c r="L250" s="3" t="s">
        <v>650</v>
      </c>
      <c r="M250" s="3" t="s">
        <v>5947</v>
      </c>
      <c r="N250" s="3" t="s">
        <v>3535</v>
      </c>
      <c r="O250" s="3" t="s">
        <v>650</v>
      </c>
      <c r="P250" s="3">
        <v>0</v>
      </c>
      <c r="Q250" s="3" t="s">
        <v>4052</v>
      </c>
      <c r="R250" s="3" t="s">
        <v>1499</v>
      </c>
      <c r="S250" s="3" t="s">
        <v>650</v>
      </c>
      <c r="T250" s="3" t="s">
        <v>5948</v>
      </c>
      <c r="U250" s="3" t="s">
        <v>1380</v>
      </c>
      <c r="V250" s="3" t="s">
        <v>539</v>
      </c>
      <c r="W250" s="3"/>
      <c r="X250" s="3"/>
      <c r="Y250" s="3" t="s">
        <v>2001</v>
      </c>
    </row>
    <row r="251" spans="1:25" ht="45" customHeight="1" x14ac:dyDescent="0.2">
      <c r="A251" s="3" t="s">
        <v>5949</v>
      </c>
      <c r="B251" s="3" t="s">
        <v>5950</v>
      </c>
      <c r="C251" s="3" t="s">
        <v>5942</v>
      </c>
      <c r="D251" s="3">
        <v>77</v>
      </c>
      <c r="E251" s="3" t="s">
        <v>4136</v>
      </c>
      <c r="F251" s="3" t="s">
        <v>5951</v>
      </c>
      <c r="G251" s="11" t="s">
        <v>5952</v>
      </c>
      <c r="H251" s="3" t="s">
        <v>5953</v>
      </c>
      <c r="I251" s="3" t="s">
        <v>4290</v>
      </c>
      <c r="J251" s="3" t="s">
        <v>5954</v>
      </c>
      <c r="K251" s="3" t="s">
        <v>4008</v>
      </c>
      <c r="L251" s="3" t="s">
        <v>650</v>
      </c>
      <c r="M251" s="3" t="s">
        <v>5955</v>
      </c>
      <c r="N251" s="3" t="s">
        <v>3535</v>
      </c>
      <c r="O251" s="3" t="s">
        <v>5956</v>
      </c>
      <c r="P251" s="3">
        <v>1</v>
      </c>
      <c r="Q251" s="3" t="s">
        <v>5956</v>
      </c>
      <c r="R251" s="3" t="s">
        <v>5957</v>
      </c>
      <c r="S251" s="3" t="s">
        <v>650</v>
      </c>
      <c r="T251" s="3" t="s">
        <v>5958</v>
      </c>
      <c r="U251" s="3" t="s">
        <v>1380</v>
      </c>
      <c r="V251" s="3" t="s">
        <v>539</v>
      </c>
      <c r="W251" s="3"/>
      <c r="X251" s="3"/>
      <c r="Y251" s="3" t="s">
        <v>2001</v>
      </c>
    </row>
    <row r="252" spans="1:25" ht="60" customHeight="1" x14ac:dyDescent="0.2">
      <c r="A252" s="3" t="s">
        <v>5959</v>
      </c>
      <c r="B252" s="3" t="s">
        <v>5960</v>
      </c>
      <c r="C252" s="3" t="s">
        <v>5942</v>
      </c>
      <c r="D252" s="3">
        <v>102</v>
      </c>
      <c r="E252" s="3" t="s">
        <v>4003</v>
      </c>
      <c r="F252" s="3" t="s">
        <v>5961</v>
      </c>
      <c r="G252" s="11" t="s">
        <v>5962</v>
      </c>
      <c r="H252" s="3" t="s">
        <v>5963</v>
      </c>
      <c r="I252" s="3" t="s">
        <v>4018</v>
      </c>
      <c r="J252" s="3" t="s">
        <v>4164</v>
      </c>
      <c r="K252" s="3" t="s">
        <v>4028</v>
      </c>
      <c r="L252" s="3" t="s">
        <v>4020</v>
      </c>
      <c r="M252" s="3" t="s">
        <v>4010</v>
      </c>
      <c r="N252" s="3" t="s">
        <v>3535</v>
      </c>
      <c r="O252" s="3" t="s">
        <v>5964</v>
      </c>
      <c r="P252" s="3">
        <v>2</v>
      </c>
      <c r="Q252" s="3" t="s">
        <v>5964</v>
      </c>
      <c r="R252" s="3" t="s">
        <v>5965</v>
      </c>
      <c r="S252" s="3" t="s">
        <v>650</v>
      </c>
      <c r="T252" s="3" t="s">
        <v>650</v>
      </c>
      <c r="U252" s="3" t="s">
        <v>1380</v>
      </c>
      <c r="V252" s="3" t="s">
        <v>505</v>
      </c>
      <c r="W252" s="3"/>
      <c r="X252" s="3"/>
      <c r="Y252" s="3" t="s">
        <v>2001</v>
      </c>
    </row>
    <row r="253" spans="1:25" ht="60" customHeight="1" x14ac:dyDescent="0.2">
      <c r="A253" s="3" t="s">
        <v>5966</v>
      </c>
      <c r="B253" s="3" t="s">
        <v>5967</v>
      </c>
      <c r="C253" s="3" t="s">
        <v>5942</v>
      </c>
      <c r="D253" s="3">
        <v>143</v>
      </c>
      <c r="E253" s="3" t="s">
        <v>4003</v>
      </c>
      <c r="F253" s="3" t="s">
        <v>5968</v>
      </c>
      <c r="G253" s="11" t="s">
        <v>5969</v>
      </c>
      <c r="H253" s="3" t="s">
        <v>5970</v>
      </c>
      <c r="I253" s="3" t="s">
        <v>3996</v>
      </c>
      <c r="J253" s="3" t="s">
        <v>4164</v>
      </c>
      <c r="K253" s="3" t="s">
        <v>4028</v>
      </c>
      <c r="L253" s="3" t="s">
        <v>4020</v>
      </c>
      <c r="M253" s="3" t="s">
        <v>5971</v>
      </c>
      <c r="N253" s="3" t="s">
        <v>3535</v>
      </c>
      <c r="O253" s="3" t="s">
        <v>5972</v>
      </c>
      <c r="P253" s="3">
        <v>3</v>
      </c>
      <c r="Q253" s="3" t="s">
        <v>5973</v>
      </c>
      <c r="R253" s="3" t="s">
        <v>5974</v>
      </c>
      <c r="S253" s="3" t="s">
        <v>650</v>
      </c>
      <c r="T253" s="3" t="s">
        <v>5975</v>
      </c>
      <c r="U253" s="3" t="s">
        <v>1380</v>
      </c>
      <c r="V253" s="3" t="s">
        <v>700</v>
      </c>
      <c r="W253" s="3"/>
      <c r="X253" s="3"/>
      <c r="Y253" s="3" t="s">
        <v>2001</v>
      </c>
    </row>
    <row r="254" spans="1:25" ht="60" customHeight="1" x14ac:dyDescent="0.2">
      <c r="A254" s="3" t="s">
        <v>5976</v>
      </c>
      <c r="B254" s="3" t="s">
        <v>5977</v>
      </c>
      <c r="C254" s="3" t="s">
        <v>5978</v>
      </c>
      <c r="D254" s="3">
        <v>45</v>
      </c>
      <c r="E254" s="3" t="s">
        <v>3992</v>
      </c>
      <c r="F254" s="3" t="s">
        <v>5979</v>
      </c>
      <c r="G254" s="11" t="s">
        <v>5980</v>
      </c>
      <c r="H254" s="3" t="s">
        <v>5981</v>
      </c>
      <c r="I254" s="3" t="s">
        <v>4018</v>
      </c>
      <c r="J254" s="3" t="s">
        <v>4995</v>
      </c>
      <c r="K254" s="3" t="s">
        <v>5621</v>
      </c>
      <c r="L254" s="3" t="s">
        <v>650</v>
      </c>
      <c r="M254" s="3" t="s">
        <v>4010</v>
      </c>
      <c r="N254" s="3" t="s">
        <v>3535</v>
      </c>
      <c r="O254" s="3" t="s">
        <v>5982</v>
      </c>
      <c r="P254" s="3">
        <v>11</v>
      </c>
      <c r="Q254" s="3" t="s">
        <v>5983</v>
      </c>
      <c r="R254" s="3" t="s">
        <v>5984</v>
      </c>
      <c r="S254" s="3" t="s">
        <v>650</v>
      </c>
      <c r="T254" s="3" t="s">
        <v>650</v>
      </c>
      <c r="U254" s="3" t="s">
        <v>1380</v>
      </c>
      <c r="V254" s="3" t="s">
        <v>539</v>
      </c>
      <c r="W254" s="3"/>
      <c r="X254" s="3"/>
      <c r="Y254" s="3" t="s">
        <v>2001</v>
      </c>
    </row>
    <row r="255" spans="1:25" ht="60" customHeight="1" x14ac:dyDescent="0.2">
      <c r="A255" s="3" t="s">
        <v>5985</v>
      </c>
      <c r="B255" s="3" t="s">
        <v>5986</v>
      </c>
      <c r="C255" s="3" t="s">
        <v>5978</v>
      </c>
      <c r="D255" s="3">
        <v>91</v>
      </c>
      <c r="E255" s="3" t="s">
        <v>3992</v>
      </c>
      <c r="F255" s="3" t="s">
        <v>4110</v>
      </c>
      <c r="G255" s="11" t="s">
        <v>5987</v>
      </c>
      <c r="H255" s="3" t="s">
        <v>5988</v>
      </c>
      <c r="I255" s="3" t="s">
        <v>3996</v>
      </c>
      <c r="J255" s="3" t="s">
        <v>5569</v>
      </c>
      <c r="K255" s="3" t="s">
        <v>4028</v>
      </c>
      <c r="L255" s="3" t="s">
        <v>650</v>
      </c>
      <c r="M255" s="3" t="s">
        <v>5989</v>
      </c>
      <c r="N255" s="3" t="s">
        <v>3535</v>
      </c>
      <c r="O255" s="3" t="s">
        <v>5990</v>
      </c>
      <c r="P255" s="3">
        <v>12</v>
      </c>
      <c r="Q255" s="3" t="s">
        <v>5991</v>
      </c>
      <c r="R255" s="3" t="s">
        <v>5992</v>
      </c>
      <c r="S255" s="3" t="s">
        <v>650</v>
      </c>
      <c r="T255" s="3" t="s">
        <v>650</v>
      </c>
      <c r="U255" s="3" t="s">
        <v>1380</v>
      </c>
      <c r="V255" s="3" t="s">
        <v>539</v>
      </c>
      <c r="W255" s="3"/>
      <c r="X255" s="3"/>
      <c r="Y255" s="3" t="s">
        <v>2001</v>
      </c>
    </row>
    <row r="256" spans="1:25" ht="60" customHeight="1" x14ac:dyDescent="0.2">
      <c r="A256" s="3" t="s">
        <v>5993</v>
      </c>
      <c r="B256" s="3" t="s">
        <v>5994</v>
      </c>
      <c r="C256" s="3" t="s">
        <v>5995</v>
      </c>
      <c r="D256" s="3">
        <v>30</v>
      </c>
      <c r="E256" s="3" t="s">
        <v>4003</v>
      </c>
      <c r="F256" s="3" t="s">
        <v>5996</v>
      </c>
      <c r="G256" s="11" t="s">
        <v>5997</v>
      </c>
      <c r="H256" s="3" t="s">
        <v>5998</v>
      </c>
      <c r="I256" s="3" t="s">
        <v>4018</v>
      </c>
      <c r="J256" s="3" t="s">
        <v>4995</v>
      </c>
      <c r="K256" s="3" t="s">
        <v>4484</v>
      </c>
      <c r="L256" s="3" t="s">
        <v>4020</v>
      </c>
      <c r="M256" s="3" t="s">
        <v>4010</v>
      </c>
      <c r="N256" s="3" t="s">
        <v>3535</v>
      </c>
      <c r="O256" s="3" t="s">
        <v>5672</v>
      </c>
      <c r="P256" s="3">
        <v>11</v>
      </c>
      <c r="Q256" s="3" t="s">
        <v>5673</v>
      </c>
      <c r="R256" s="3" t="s">
        <v>5999</v>
      </c>
      <c r="S256" s="3" t="s">
        <v>650</v>
      </c>
      <c r="T256" s="3" t="s">
        <v>6000</v>
      </c>
      <c r="U256" s="3" t="s">
        <v>1380</v>
      </c>
      <c r="V256" s="3" t="s">
        <v>700</v>
      </c>
      <c r="W256" s="3"/>
      <c r="X256" s="3"/>
      <c r="Y256" s="3" t="s">
        <v>2001</v>
      </c>
    </row>
    <row r="257" spans="1:25" ht="60" customHeight="1" x14ac:dyDescent="0.2">
      <c r="A257" s="3" t="s">
        <v>6001</v>
      </c>
      <c r="B257" s="3" t="s">
        <v>6002</v>
      </c>
      <c r="C257" s="3" t="s">
        <v>5995</v>
      </c>
      <c r="D257" s="3">
        <v>68</v>
      </c>
      <c r="E257" s="3" t="s">
        <v>3992</v>
      </c>
      <c r="F257" s="3" t="s">
        <v>6003</v>
      </c>
      <c r="G257" s="11" t="s">
        <v>6004</v>
      </c>
      <c r="H257" s="3" t="s">
        <v>6005</v>
      </c>
      <c r="I257" s="3" t="s">
        <v>4290</v>
      </c>
      <c r="J257" s="3" t="s">
        <v>4995</v>
      </c>
      <c r="K257" s="3" t="s">
        <v>6006</v>
      </c>
      <c r="L257" s="3" t="s">
        <v>650</v>
      </c>
      <c r="M257" s="3" t="s">
        <v>6007</v>
      </c>
      <c r="N257" s="3" t="s">
        <v>3535</v>
      </c>
      <c r="O257" s="3" t="s">
        <v>5639</v>
      </c>
      <c r="P257" s="3">
        <v>2</v>
      </c>
      <c r="Q257" s="3" t="s">
        <v>5640</v>
      </c>
      <c r="R257" s="3" t="s">
        <v>6008</v>
      </c>
      <c r="S257" s="3" t="s">
        <v>650</v>
      </c>
      <c r="T257" s="3" t="s">
        <v>6009</v>
      </c>
      <c r="U257" s="3" t="s">
        <v>1380</v>
      </c>
      <c r="V257" s="3" t="s">
        <v>1150</v>
      </c>
      <c r="W257" s="3" t="s">
        <v>6010</v>
      </c>
      <c r="X257" s="6" t="s">
        <v>6011</v>
      </c>
      <c r="Y257" s="6" t="s">
        <v>1854</v>
      </c>
    </row>
    <row r="258" spans="1:25" ht="60" customHeight="1" x14ac:dyDescent="0.2">
      <c r="A258" s="3" t="s">
        <v>6012</v>
      </c>
      <c r="B258" s="3" t="s">
        <v>6013</v>
      </c>
      <c r="C258" s="3" t="s">
        <v>5995</v>
      </c>
      <c r="D258" s="3">
        <v>101</v>
      </c>
      <c r="E258" s="3" t="s">
        <v>3992</v>
      </c>
      <c r="F258" s="3" t="s">
        <v>6014</v>
      </c>
      <c r="G258" s="11" t="s">
        <v>6015</v>
      </c>
      <c r="H258" s="3" t="s">
        <v>6016</v>
      </c>
      <c r="I258" s="3" t="s">
        <v>4290</v>
      </c>
      <c r="J258" s="3" t="s">
        <v>6017</v>
      </c>
      <c r="K258" s="3" t="s">
        <v>4008</v>
      </c>
      <c r="L258" s="3" t="s">
        <v>650</v>
      </c>
      <c r="M258" s="3" t="s">
        <v>4010</v>
      </c>
      <c r="N258" s="3" t="s">
        <v>3535</v>
      </c>
      <c r="O258" s="3" t="s">
        <v>650</v>
      </c>
      <c r="P258" s="3">
        <v>0</v>
      </c>
      <c r="Q258" s="3" t="s">
        <v>4052</v>
      </c>
      <c r="R258" s="3" t="s">
        <v>1499</v>
      </c>
      <c r="S258" s="3" t="s">
        <v>650</v>
      </c>
      <c r="T258" s="3" t="s">
        <v>6018</v>
      </c>
      <c r="U258" s="3" t="s">
        <v>1380</v>
      </c>
      <c r="V258" s="3" t="s">
        <v>1150</v>
      </c>
      <c r="W258" s="3" t="s">
        <v>6019</v>
      </c>
      <c r="X258" s="6" t="s">
        <v>6020</v>
      </c>
      <c r="Y258" s="6" t="s">
        <v>1854</v>
      </c>
    </row>
    <row r="259" spans="1:25" ht="60" customHeight="1" x14ac:dyDescent="0.2">
      <c r="A259" s="3" t="s">
        <v>6021</v>
      </c>
      <c r="B259" s="3" t="s">
        <v>6022</v>
      </c>
      <c r="C259" s="3" t="s">
        <v>5995</v>
      </c>
      <c r="D259" s="3">
        <v>130</v>
      </c>
      <c r="E259" s="3" t="s">
        <v>3992</v>
      </c>
      <c r="F259" s="3" t="s">
        <v>6023</v>
      </c>
      <c r="G259" s="11" t="s">
        <v>6024</v>
      </c>
      <c r="H259" s="3" t="s">
        <v>6025</v>
      </c>
      <c r="I259" s="3" t="s">
        <v>4290</v>
      </c>
      <c r="J259" s="3" t="s">
        <v>6026</v>
      </c>
      <c r="K259" s="3" t="s">
        <v>4257</v>
      </c>
      <c r="L259" s="3" t="s">
        <v>650</v>
      </c>
      <c r="M259" s="3" t="s">
        <v>6027</v>
      </c>
      <c r="N259" s="3" t="s">
        <v>3535</v>
      </c>
      <c r="O259" s="3" t="s">
        <v>650</v>
      </c>
      <c r="P259" s="3">
        <v>0</v>
      </c>
      <c r="Q259" s="3" t="s">
        <v>4052</v>
      </c>
      <c r="R259" s="3" t="s">
        <v>1499</v>
      </c>
      <c r="S259" s="3" t="s">
        <v>650</v>
      </c>
      <c r="T259" s="3" t="s">
        <v>6028</v>
      </c>
      <c r="U259" s="3" t="s">
        <v>1380</v>
      </c>
      <c r="V259" s="3" t="s">
        <v>1150</v>
      </c>
      <c r="W259" s="3"/>
      <c r="X259" s="3"/>
      <c r="Y259" s="6" t="s">
        <v>6029</v>
      </c>
    </row>
    <row r="260" spans="1:25" ht="60" customHeight="1" x14ac:dyDescent="0.2">
      <c r="A260" s="3" t="s">
        <v>6030</v>
      </c>
      <c r="B260" s="3" t="s">
        <v>6031</v>
      </c>
      <c r="C260" s="3" t="s">
        <v>5995</v>
      </c>
      <c r="D260" s="3">
        <v>160</v>
      </c>
      <c r="E260" s="3" t="s">
        <v>3992</v>
      </c>
      <c r="F260" s="3" t="s">
        <v>6032</v>
      </c>
      <c r="G260" s="11" t="s">
        <v>6033</v>
      </c>
      <c r="H260" s="3" t="s">
        <v>6034</v>
      </c>
      <c r="I260" s="3" t="s">
        <v>4290</v>
      </c>
      <c r="J260" s="3" t="s">
        <v>6017</v>
      </c>
      <c r="K260" s="3" t="s">
        <v>4257</v>
      </c>
      <c r="L260" s="3" t="s">
        <v>650</v>
      </c>
      <c r="M260" s="3" t="s">
        <v>6035</v>
      </c>
      <c r="N260" s="3" t="s">
        <v>3535</v>
      </c>
      <c r="O260" s="3" t="s">
        <v>6036</v>
      </c>
      <c r="P260" s="3">
        <v>1</v>
      </c>
      <c r="Q260" s="3" t="s">
        <v>6036</v>
      </c>
      <c r="R260" s="3" t="s">
        <v>6037</v>
      </c>
      <c r="S260" s="3" t="s">
        <v>650</v>
      </c>
      <c r="T260" s="3" t="s">
        <v>6038</v>
      </c>
      <c r="U260" s="3" t="s">
        <v>1380</v>
      </c>
      <c r="V260" s="3" t="s">
        <v>1150</v>
      </c>
      <c r="W260" s="3" t="s">
        <v>6039</v>
      </c>
      <c r="X260" s="6" t="s">
        <v>6040</v>
      </c>
      <c r="Y260" s="6" t="s">
        <v>6041</v>
      </c>
    </row>
    <row r="261" spans="1:25" ht="60" customHeight="1" x14ac:dyDescent="0.2">
      <c r="A261" s="3" t="s">
        <v>6042</v>
      </c>
      <c r="B261" s="3" t="s">
        <v>6043</v>
      </c>
      <c r="C261" s="3" t="s">
        <v>5995</v>
      </c>
      <c r="D261" s="3">
        <v>218</v>
      </c>
      <c r="E261" s="3" t="s">
        <v>3992</v>
      </c>
      <c r="F261" s="3" t="s">
        <v>6044</v>
      </c>
      <c r="G261" s="11" t="s">
        <v>6045</v>
      </c>
      <c r="H261" s="3" t="s">
        <v>6046</v>
      </c>
      <c r="I261" s="3" t="s">
        <v>4290</v>
      </c>
      <c r="J261" s="3" t="s">
        <v>6047</v>
      </c>
      <c r="K261" s="3" t="s">
        <v>4257</v>
      </c>
      <c r="L261" s="3" t="s">
        <v>650</v>
      </c>
      <c r="M261" s="3" t="s">
        <v>6048</v>
      </c>
      <c r="N261" s="3" t="s">
        <v>3535</v>
      </c>
      <c r="O261" s="3" t="s">
        <v>6049</v>
      </c>
      <c r="P261" s="3">
        <v>3</v>
      </c>
      <c r="Q261" s="3" t="s">
        <v>6049</v>
      </c>
      <c r="R261" s="3" t="s">
        <v>6050</v>
      </c>
      <c r="S261" s="3" t="s">
        <v>650</v>
      </c>
      <c r="T261" s="3" t="s">
        <v>6051</v>
      </c>
      <c r="U261" s="3" t="s">
        <v>1380</v>
      </c>
      <c r="V261" s="3" t="s">
        <v>1150</v>
      </c>
      <c r="W261" s="3" t="s">
        <v>6052</v>
      </c>
      <c r="X261" s="6" t="s">
        <v>6053</v>
      </c>
      <c r="Y261" s="6" t="s">
        <v>6054</v>
      </c>
    </row>
    <row r="262" spans="1:25" ht="60" customHeight="1" x14ac:dyDescent="0.2">
      <c r="A262" s="3" t="s">
        <v>6055</v>
      </c>
      <c r="B262" s="3" t="s">
        <v>6056</v>
      </c>
      <c r="C262" s="3" t="s">
        <v>5995</v>
      </c>
      <c r="D262" s="3">
        <v>264</v>
      </c>
      <c r="E262" s="3" t="s">
        <v>3992</v>
      </c>
      <c r="F262" s="3" t="s">
        <v>4110</v>
      </c>
      <c r="G262" s="11" t="s">
        <v>6057</v>
      </c>
      <c r="H262" s="3" t="s">
        <v>6058</v>
      </c>
      <c r="I262" s="3" t="s">
        <v>3996</v>
      </c>
      <c r="J262" s="3" t="s">
        <v>6059</v>
      </c>
      <c r="K262" s="3" t="s">
        <v>6060</v>
      </c>
      <c r="L262" s="3" t="s">
        <v>650</v>
      </c>
      <c r="M262" s="3" t="s">
        <v>4124</v>
      </c>
      <c r="N262" s="3" t="s">
        <v>3535</v>
      </c>
      <c r="O262" s="3" t="s">
        <v>6061</v>
      </c>
      <c r="P262" s="3">
        <v>2</v>
      </c>
      <c r="Q262" s="3" t="s">
        <v>6061</v>
      </c>
      <c r="R262" s="3" t="s">
        <v>6062</v>
      </c>
      <c r="S262" s="3" t="s">
        <v>650</v>
      </c>
      <c r="T262" s="3" t="s">
        <v>650</v>
      </c>
      <c r="U262" s="3" t="s">
        <v>1380</v>
      </c>
      <c r="V262" s="3" t="s">
        <v>1150</v>
      </c>
      <c r="W262" s="3" t="s">
        <v>6063</v>
      </c>
      <c r="X262" s="6" t="s">
        <v>6064</v>
      </c>
      <c r="Y262" s="6" t="s">
        <v>1854</v>
      </c>
    </row>
    <row r="263" spans="1:25" ht="60" customHeight="1" x14ac:dyDescent="0.2">
      <c r="A263" s="3" t="s">
        <v>6065</v>
      </c>
      <c r="B263" s="3" t="s">
        <v>6066</v>
      </c>
      <c r="C263" s="3" t="s">
        <v>5995</v>
      </c>
      <c r="D263" s="3">
        <v>289</v>
      </c>
      <c r="E263" s="3" t="s">
        <v>4129</v>
      </c>
      <c r="F263" s="3" t="s">
        <v>6067</v>
      </c>
      <c r="G263" s="11" t="s">
        <v>6068</v>
      </c>
      <c r="H263" s="3" t="s">
        <v>6069</v>
      </c>
      <c r="I263" s="3" t="s">
        <v>4018</v>
      </c>
      <c r="J263" s="3" t="s">
        <v>5569</v>
      </c>
      <c r="K263" s="3" t="s">
        <v>4008</v>
      </c>
      <c r="L263" s="3" t="s">
        <v>650</v>
      </c>
      <c r="M263" s="3" t="s">
        <v>4010</v>
      </c>
      <c r="N263" s="3" t="s">
        <v>3419</v>
      </c>
      <c r="O263" s="3" t="s">
        <v>6070</v>
      </c>
      <c r="P263" s="3">
        <v>14</v>
      </c>
      <c r="Q263" s="3" t="s">
        <v>6071</v>
      </c>
      <c r="R263" s="3" t="s">
        <v>6072</v>
      </c>
      <c r="S263" s="3" t="s">
        <v>650</v>
      </c>
      <c r="T263" s="3" t="s">
        <v>650</v>
      </c>
      <c r="U263" s="3" t="s">
        <v>1380</v>
      </c>
      <c r="V263" s="3" t="s">
        <v>505</v>
      </c>
      <c r="W263" s="3"/>
      <c r="X263" s="3"/>
      <c r="Y263" s="3" t="s">
        <v>2001</v>
      </c>
    </row>
    <row r="264" spans="1:25" ht="60" customHeight="1" x14ac:dyDescent="0.2">
      <c r="A264" s="3" t="s">
        <v>6073</v>
      </c>
      <c r="B264" s="3" t="s">
        <v>6074</v>
      </c>
      <c r="C264" s="3" t="s">
        <v>5995</v>
      </c>
      <c r="D264" s="3">
        <v>324</v>
      </c>
      <c r="E264" s="3" t="s">
        <v>4129</v>
      </c>
      <c r="F264" s="3" t="s">
        <v>6075</v>
      </c>
      <c r="G264" s="11" t="s">
        <v>6076</v>
      </c>
      <c r="H264" s="3" t="s">
        <v>6077</v>
      </c>
      <c r="I264" s="3" t="s">
        <v>4018</v>
      </c>
      <c r="J264" s="3" t="s">
        <v>5569</v>
      </c>
      <c r="K264" s="3" t="s">
        <v>4008</v>
      </c>
      <c r="L264" s="3" t="s">
        <v>650</v>
      </c>
      <c r="M264" s="3" t="s">
        <v>6078</v>
      </c>
      <c r="N264" s="3" t="s">
        <v>3419</v>
      </c>
      <c r="O264" s="3" t="s">
        <v>5672</v>
      </c>
      <c r="P264" s="3">
        <v>11</v>
      </c>
      <c r="Q264" s="3" t="s">
        <v>5673</v>
      </c>
      <c r="R264" s="3" t="s">
        <v>6079</v>
      </c>
      <c r="S264" s="3" t="s">
        <v>650</v>
      </c>
      <c r="T264" s="3" t="s">
        <v>650</v>
      </c>
      <c r="U264" s="3" t="s">
        <v>1380</v>
      </c>
      <c r="V264" s="3" t="s">
        <v>577</v>
      </c>
      <c r="W264" s="3" t="s">
        <v>6080</v>
      </c>
      <c r="X264" s="6" t="s">
        <v>6081</v>
      </c>
      <c r="Y264" s="6" t="s">
        <v>6082</v>
      </c>
    </row>
    <row r="265" spans="1:25" ht="60" customHeight="1" x14ac:dyDescent="0.2">
      <c r="A265" s="3" t="s">
        <v>1831</v>
      </c>
      <c r="B265" s="3" t="s">
        <v>6083</v>
      </c>
      <c r="C265" s="3" t="s">
        <v>5995</v>
      </c>
      <c r="D265" s="3">
        <v>421</v>
      </c>
      <c r="E265" s="3" t="s">
        <v>3992</v>
      </c>
      <c r="F265" s="3" t="s">
        <v>6084</v>
      </c>
      <c r="G265" s="11" t="s">
        <v>6085</v>
      </c>
      <c r="H265" s="3" t="s">
        <v>6086</v>
      </c>
      <c r="I265" s="3" t="s">
        <v>3996</v>
      </c>
      <c r="J265" s="3" t="s">
        <v>6047</v>
      </c>
      <c r="K265" s="3" t="s">
        <v>6087</v>
      </c>
      <c r="L265" s="3" t="s">
        <v>650</v>
      </c>
      <c r="M265" s="3" t="s">
        <v>6088</v>
      </c>
      <c r="N265" s="3" t="s">
        <v>3535</v>
      </c>
      <c r="O265" s="3" t="s">
        <v>6089</v>
      </c>
      <c r="P265" s="3">
        <v>5</v>
      </c>
      <c r="Q265" s="3" t="s">
        <v>6090</v>
      </c>
      <c r="R265" s="3" t="s">
        <v>6091</v>
      </c>
      <c r="S265" s="3" t="s">
        <v>1828</v>
      </c>
      <c r="T265" s="3" t="s">
        <v>6092</v>
      </c>
      <c r="U265" s="3" t="s">
        <v>1380</v>
      </c>
      <c r="V265" s="3" t="s">
        <v>1150</v>
      </c>
      <c r="W265" s="3"/>
      <c r="X265" s="3"/>
      <c r="Y265" s="6" t="s">
        <v>6029</v>
      </c>
    </row>
    <row r="266" spans="1:25" ht="60" customHeight="1" x14ac:dyDescent="0.2">
      <c r="A266" s="3" t="s">
        <v>1627</v>
      </c>
      <c r="B266" s="3" t="s">
        <v>1626</v>
      </c>
      <c r="C266" s="3" t="s">
        <v>6093</v>
      </c>
      <c r="D266" s="3">
        <v>32</v>
      </c>
      <c r="E266" s="3" t="s">
        <v>3992</v>
      </c>
      <c r="F266" s="3" t="s">
        <v>3714</v>
      </c>
      <c r="G266" s="11" t="s">
        <v>6094</v>
      </c>
      <c r="H266" s="3" t="s">
        <v>6095</v>
      </c>
      <c r="I266" s="3" t="s">
        <v>4290</v>
      </c>
      <c r="J266" s="3" t="s">
        <v>6096</v>
      </c>
      <c r="K266" s="3" t="s">
        <v>6097</v>
      </c>
      <c r="L266" s="3" t="s">
        <v>650</v>
      </c>
      <c r="M266" s="3" t="s">
        <v>4010</v>
      </c>
      <c r="N266" s="3" t="s">
        <v>3535</v>
      </c>
      <c r="O266" s="3" t="s">
        <v>4000</v>
      </c>
      <c r="P266" s="3">
        <v>80</v>
      </c>
      <c r="Q266" s="3" t="s">
        <v>4001</v>
      </c>
      <c r="R266" s="3" t="s">
        <v>1633</v>
      </c>
      <c r="S266" s="3" t="s">
        <v>1623</v>
      </c>
      <c r="T266" s="3" t="s">
        <v>3712</v>
      </c>
      <c r="U266" s="3" t="s">
        <v>1380</v>
      </c>
      <c r="V266" s="3" t="s">
        <v>1150</v>
      </c>
      <c r="W266" s="3"/>
      <c r="X266" s="3"/>
      <c r="Y266" s="3" t="s">
        <v>2001</v>
      </c>
    </row>
    <row r="267" spans="1:25" ht="60" customHeight="1" x14ac:dyDescent="0.2">
      <c r="A267" s="3" t="s">
        <v>6098</v>
      </c>
      <c r="B267" s="3" t="s">
        <v>6099</v>
      </c>
      <c r="C267" s="3" t="s">
        <v>5577</v>
      </c>
      <c r="D267" s="3">
        <v>600</v>
      </c>
      <c r="E267" s="3" t="s">
        <v>3992</v>
      </c>
      <c r="F267" s="3" t="s">
        <v>6100</v>
      </c>
      <c r="G267" s="11" t="s">
        <v>6101</v>
      </c>
      <c r="H267" s="3" t="s">
        <v>6102</v>
      </c>
      <c r="I267" s="3" t="s">
        <v>4018</v>
      </c>
      <c r="J267" s="3" t="s">
        <v>6103</v>
      </c>
      <c r="K267" s="3" t="s">
        <v>4008</v>
      </c>
      <c r="L267" s="3" t="s">
        <v>650</v>
      </c>
      <c r="M267" s="3" t="s">
        <v>5572</v>
      </c>
      <c r="N267" s="3" t="s">
        <v>3535</v>
      </c>
      <c r="O267" s="3" t="s">
        <v>650</v>
      </c>
      <c r="P267" s="3">
        <v>0</v>
      </c>
      <c r="Q267" s="3" t="s">
        <v>4052</v>
      </c>
      <c r="R267" s="3" t="s">
        <v>1499</v>
      </c>
      <c r="S267" s="3" t="s">
        <v>650</v>
      </c>
      <c r="T267" s="3" t="s">
        <v>650</v>
      </c>
      <c r="U267" s="3" t="s">
        <v>1380</v>
      </c>
      <c r="V267" s="3" t="s">
        <v>505</v>
      </c>
      <c r="W267" s="3"/>
      <c r="X267" s="3"/>
      <c r="Y267" s="3" t="s">
        <v>2001</v>
      </c>
    </row>
    <row r="268" spans="1:25" ht="60" customHeight="1" x14ac:dyDescent="0.2">
      <c r="A268" s="3" t="s">
        <v>6104</v>
      </c>
      <c r="B268" s="3" t="s">
        <v>6105</v>
      </c>
      <c r="C268" s="3" t="s">
        <v>5577</v>
      </c>
      <c r="D268" s="3">
        <v>1113</v>
      </c>
      <c r="E268" s="3" t="s">
        <v>4136</v>
      </c>
      <c r="F268" s="3" t="s">
        <v>4110</v>
      </c>
      <c r="G268" s="11" t="s">
        <v>6106</v>
      </c>
      <c r="H268" s="3" t="s">
        <v>6107</v>
      </c>
      <c r="I268" s="3" t="s">
        <v>4290</v>
      </c>
      <c r="J268" s="3" t="s">
        <v>6108</v>
      </c>
      <c r="K268" s="3" t="s">
        <v>6109</v>
      </c>
      <c r="L268" s="3" t="s">
        <v>650</v>
      </c>
      <c r="M268" s="3" t="s">
        <v>4010</v>
      </c>
      <c r="N268" s="3" t="s">
        <v>3535</v>
      </c>
      <c r="O268" s="3" t="s">
        <v>650</v>
      </c>
      <c r="P268" s="3">
        <v>0</v>
      </c>
      <c r="Q268" s="3" t="s">
        <v>4052</v>
      </c>
      <c r="R268" s="3" t="s">
        <v>1499</v>
      </c>
      <c r="S268" s="3" t="s">
        <v>650</v>
      </c>
      <c r="T268" s="3" t="s">
        <v>650</v>
      </c>
      <c r="U268" s="3" t="s">
        <v>1380</v>
      </c>
      <c r="V268" s="3" t="s">
        <v>539</v>
      </c>
      <c r="W268" s="3"/>
      <c r="X268" s="3"/>
      <c r="Y268" s="3" t="s">
        <v>2001</v>
      </c>
    </row>
    <row r="269" spans="1:25" ht="60" customHeight="1" x14ac:dyDescent="0.2">
      <c r="A269" s="3" t="s">
        <v>6110</v>
      </c>
      <c r="B269" s="3" t="s">
        <v>6111</v>
      </c>
      <c r="C269" s="3" t="s">
        <v>5577</v>
      </c>
      <c r="D269" s="3">
        <v>1927</v>
      </c>
      <c r="E269" s="3" t="s">
        <v>3992</v>
      </c>
      <c r="F269" s="3" t="s">
        <v>4110</v>
      </c>
      <c r="G269" s="11" t="s">
        <v>6112</v>
      </c>
      <c r="H269" s="3" t="s">
        <v>6113</v>
      </c>
      <c r="I269" s="3" t="s">
        <v>3996</v>
      </c>
      <c r="J269" s="3" t="s">
        <v>6114</v>
      </c>
      <c r="K269" s="3" t="s">
        <v>4844</v>
      </c>
      <c r="L269" s="3" t="s">
        <v>650</v>
      </c>
      <c r="M269" s="3" t="s">
        <v>4010</v>
      </c>
      <c r="N269" s="3" t="s">
        <v>3535</v>
      </c>
      <c r="O269" s="3" t="s">
        <v>5525</v>
      </c>
      <c r="P269" s="3">
        <v>1</v>
      </c>
      <c r="Q269" s="3" t="s">
        <v>5525</v>
      </c>
      <c r="R269" s="3" t="s">
        <v>6115</v>
      </c>
      <c r="S269" s="3" t="s">
        <v>650</v>
      </c>
      <c r="T269" s="3" t="s">
        <v>650</v>
      </c>
      <c r="U269" s="3" t="s">
        <v>1380</v>
      </c>
      <c r="V269" s="3" t="s">
        <v>700</v>
      </c>
      <c r="W269" s="3"/>
      <c r="X269" s="3"/>
      <c r="Y269" s="3" t="s">
        <v>2001</v>
      </c>
    </row>
    <row r="270" spans="1:25" ht="60" customHeight="1" x14ac:dyDescent="0.2">
      <c r="A270" s="3" t="s">
        <v>6116</v>
      </c>
      <c r="B270" s="3" t="s">
        <v>6117</v>
      </c>
      <c r="C270" s="3" t="s">
        <v>5995</v>
      </c>
      <c r="D270" s="3">
        <v>379</v>
      </c>
      <c r="E270" s="3" t="s">
        <v>3992</v>
      </c>
      <c r="F270" s="3" t="s">
        <v>6118</v>
      </c>
      <c r="G270" s="11" t="s">
        <v>6119</v>
      </c>
      <c r="H270" s="3" t="s">
        <v>6120</v>
      </c>
      <c r="I270" s="3" t="s">
        <v>4065</v>
      </c>
      <c r="J270" s="3" t="s">
        <v>6121</v>
      </c>
      <c r="K270" s="3" t="s">
        <v>4008</v>
      </c>
      <c r="L270" s="3" t="s">
        <v>650</v>
      </c>
      <c r="M270" s="3" t="s">
        <v>6122</v>
      </c>
      <c r="N270" s="3" t="s">
        <v>3535</v>
      </c>
      <c r="O270" s="3" t="s">
        <v>6049</v>
      </c>
      <c r="P270" s="3">
        <v>3</v>
      </c>
      <c r="Q270" s="3" t="s">
        <v>6049</v>
      </c>
      <c r="R270" s="3" t="s">
        <v>6123</v>
      </c>
      <c r="S270" s="3" t="s">
        <v>650</v>
      </c>
      <c r="T270" s="3" t="s">
        <v>650</v>
      </c>
      <c r="U270" s="3" t="s">
        <v>1380</v>
      </c>
      <c r="V270" s="3" t="s">
        <v>539</v>
      </c>
      <c r="W270" s="3"/>
      <c r="X270" s="3"/>
      <c r="Y270" s="3" t="s">
        <v>2001</v>
      </c>
    </row>
    <row r="271" spans="1:25" ht="60" customHeight="1" x14ac:dyDescent="0.2">
      <c r="A271" s="3" t="s">
        <v>6124</v>
      </c>
      <c r="B271" s="3" t="s">
        <v>6125</v>
      </c>
      <c r="C271" s="3" t="s">
        <v>5995</v>
      </c>
      <c r="D271" s="3">
        <v>187</v>
      </c>
      <c r="E271" s="3" t="s">
        <v>3992</v>
      </c>
      <c r="F271" s="3" t="s">
        <v>6126</v>
      </c>
      <c r="G271" s="11" t="s">
        <v>6127</v>
      </c>
      <c r="H271" s="3" t="s">
        <v>6128</v>
      </c>
      <c r="I271" s="3" t="s">
        <v>4018</v>
      </c>
      <c r="J271" s="3" t="s">
        <v>6017</v>
      </c>
      <c r="K271" s="3" t="s">
        <v>5739</v>
      </c>
      <c r="L271" s="3" t="s">
        <v>650</v>
      </c>
      <c r="M271" s="3" t="s">
        <v>4010</v>
      </c>
      <c r="N271" s="3" t="s">
        <v>3535</v>
      </c>
      <c r="O271" s="3" t="s">
        <v>650</v>
      </c>
      <c r="P271" s="3">
        <v>0</v>
      </c>
      <c r="Q271" s="3" t="s">
        <v>4052</v>
      </c>
      <c r="R271" s="3" t="s">
        <v>1499</v>
      </c>
      <c r="S271" s="3" t="s">
        <v>650</v>
      </c>
      <c r="T271" s="3" t="s">
        <v>650</v>
      </c>
      <c r="U271" s="3" t="s">
        <v>1380</v>
      </c>
      <c r="V271" s="3" t="s">
        <v>1150</v>
      </c>
      <c r="W271" s="3"/>
      <c r="X271" s="3"/>
      <c r="Y271" s="6" t="s">
        <v>6129</v>
      </c>
    </row>
    <row r="272" spans="1:25" ht="60" customHeight="1" x14ac:dyDescent="0.2">
      <c r="A272" s="3" t="s">
        <v>6130</v>
      </c>
      <c r="B272" s="3" t="s">
        <v>6131</v>
      </c>
      <c r="C272" s="3" t="s">
        <v>6132</v>
      </c>
      <c r="D272" s="3">
        <v>46</v>
      </c>
      <c r="E272" s="3" t="s">
        <v>3992</v>
      </c>
      <c r="F272" s="3" t="s">
        <v>4110</v>
      </c>
      <c r="G272" s="11" t="s">
        <v>6133</v>
      </c>
      <c r="H272" s="3" t="s">
        <v>6134</v>
      </c>
      <c r="I272" s="3" t="s">
        <v>3996</v>
      </c>
      <c r="J272" s="3" t="s">
        <v>6135</v>
      </c>
      <c r="K272" s="3" t="s">
        <v>4484</v>
      </c>
      <c r="L272" s="3" t="s">
        <v>650</v>
      </c>
      <c r="M272" s="3" t="s">
        <v>4010</v>
      </c>
      <c r="N272" s="3" t="s">
        <v>3535</v>
      </c>
      <c r="O272" s="3" t="s">
        <v>650</v>
      </c>
      <c r="P272" s="3">
        <v>0</v>
      </c>
      <c r="Q272" s="3" t="s">
        <v>4052</v>
      </c>
      <c r="R272" s="3" t="s">
        <v>1499</v>
      </c>
      <c r="S272" s="3" t="s">
        <v>650</v>
      </c>
      <c r="T272" s="3" t="s">
        <v>650</v>
      </c>
      <c r="U272" s="3" t="s">
        <v>1380</v>
      </c>
      <c r="V272" s="3" t="s">
        <v>1150</v>
      </c>
      <c r="W272" s="3"/>
      <c r="X272" s="3"/>
      <c r="Y272" s="3" t="s">
        <v>2001</v>
      </c>
    </row>
    <row r="273" spans="1:25" ht="60" customHeight="1" x14ac:dyDescent="0.2">
      <c r="A273" s="3" t="s">
        <v>6136</v>
      </c>
      <c r="B273" s="3" t="s">
        <v>6137</v>
      </c>
      <c r="C273" s="3" t="s">
        <v>6132</v>
      </c>
      <c r="D273" s="3">
        <v>120</v>
      </c>
      <c r="E273" s="3" t="s">
        <v>3992</v>
      </c>
      <c r="F273" s="3" t="s">
        <v>4110</v>
      </c>
      <c r="G273" s="11" t="s">
        <v>6138</v>
      </c>
      <c r="H273" s="3" t="s">
        <v>6139</v>
      </c>
      <c r="I273" s="3" t="s">
        <v>4018</v>
      </c>
      <c r="J273" s="3" t="s">
        <v>6140</v>
      </c>
      <c r="K273" s="3" t="s">
        <v>6141</v>
      </c>
      <c r="L273" s="3" t="s">
        <v>650</v>
      </c>
      <c r="M273" s="3" t="s">
        <v>4010</v>
      </c>
      <c r="N273" s="3" t="s">
        <v>3535</v>
      </c>
      <c r="O273" s="3" t="s">
        <v>6142</v>
      </c>
      <c r="P273" s="3">
        <v>9</v>
      </c>
      <c r="Q273" s="3" t="s">
        <v>6143</v>
      </c>
      <c r="R273" s="3" t="s">
        <v>6144</v>
      </c>
      <c r="S273" s="3" t="s">
        <v>650</v>
      </c>
      <c r="T273" s="3" t="s">
        <v>650</v>
      </c>
      <c r="U273" s="3" t="s">
        <v>1380</v>
      </c>
      <c r="V273" s="3" t="s">
        <v>1150</v>
      </c>
      <c r="W273" s="3"/>
      <c r="X273" s="3"/>
      <c r="Y273" s="3" t="s">
        <v>2001</v>
      </c>
    </row>
    <row r="274" spans="1:25" ht="60" customHeight="1" x14ac:dyDescent="0.2">
      <c r="A274" s="3" t="s">
        <v>6145</v>
      </c>
      <c r="B274" s="3" t="s">
        <v>6146</v>
      </c>
      <c r="C274" s="3" t="s">
        <v>6147</v>
      </c>
      <c r="D274" s="3">
        <v>137</v>
      </c>
      <c r="E274" s="3" t="s">
        <v>4003</v>
      </c>
      <c r="F274" s="3" t="s">
        <v>4110</v>
      </c>
      <c r="G274" s="11" t="s">
        <v>6148</v>
      </c>
      <c r="H274" s="3" t="s">
        <v>6148</v>
      </c>
      <c r="I274" s="3" t="s">
        <v>6149</v>
      </c>
      <c r="J274" s="3" t="s">
        <v>5954</v>
      </c>
      <c r="K274" s="3" t="s">
        <v>6150</v>
      </c>
      <c r="L274" s="3" t="s">
        <v>4020</v>
      </c>
      <c r="M274" s="3" t="s">
        <v>4010</v>
      </c>
      <c r="N274" s="3" t="s">
        <v>3535</v>
      </c>
      <c r="O274" s="3" t="s">
        <v>6151</v>
      </c>
      <c r="P274" s="3">
        <v>5</v>
      </c>
      <c r="Q274" s="3" t="s">
        <v>6152</v>
      </c>
      <c r="R274" s="3" t="s">
        <v>6153</v>
      </c>
      <c r="S274" s="3" t="s">
        <v>650</v>
      </c>
      <c r="T274" s="3" t="s">
        <v>650</v>
      </c>
      <c r="U274" s="3" t="s">
        <v>1380</v>
      </c>
      <c r="V274" s="3" t="s">
        <v>1150</v>
      </c>
      <c r="W274" s="3"/>
      <c r="X274" s="3"/>
      <c r="Y274" s="3" t="s">
        <v>2001</v>
      </c>
    </row>
    <row r="275" spans="1:25" ht="60" customHeight="1" x14ac:dyDescent="0.2">
      <c r="A275" s="3" t="s">
        <v>6154</v>
      </c>
      <c r="B275" s="3" t="s">
        <v>1995</v>
      </c>
      <c r="C275" s="3" t="s">
        <v>6155</v>
      </c>
      <c r="D275" s="3">
        <v>78</v>
      </c>
      <c r="E275" s="3" t="s">
        <v>4003</v>
      </c>
      <c r="F275" s="3" t="s">
        <v>4110</v>
      </c>
      <c r="G275" s="11" t="s">
        <v>6156</v>
      </c>
      <c r="H275" s="3" t="s">
        <v>6157</v>
      </c>
      <c r="I275" s="3" t="s">
        <v>3996</v>
      </c>
      <c r="J275" s="3" t="s">
        <v>4164</v>
      </c>
      <c r="K275" s="3" t="s">
        <v>4028</v>
      </c>
      <c r="L275" s="3" t="s">
        <v>4020</v>
      </c>
      <c r="M275" s="3" t="s">
        <v>6158</v>
      </c>
      <c r="N275" s="3" t="s">
        <v>3535</v>
      </c>
      <c r="O275" s="3" t="s">
        <v>6159</v>
      </c>
      <c r="P275" s="3">
        <v>74</v>
      </c>
      <c r="Q275" s="3" t="s">
        <v>6160</v>
      </c>
      <c r="R275" s="3" t="s">
        <v>6161</v>
      </c>
      <c r="S275" s="3" t="s">
        <v>650</v>
      </c>
      <c r="T275" s="3" t="s">
        <v>650</v>
      </c>
      <c r="U275" s="3" t="s">
        <v>1380</v>
      </c>
      <c r="V275" s="3" t="s">
        <v>7</v>
      </c>
      <c r="W275" s="3"/>
      <c r="X275" s="3"/>
      <c r="Y275" s="3" t="s">
        <v>2001</v>
      </c>
    </row>
    <row r="276" spans="1:25" ht="60" customHeight="1" x14ac:dyDescent="0.2">
      <c r="A276" s="3" t="s">
        <v>1789</v>
      </c>
      <c r="B276" s="3" t="s">
        <v>1788</v>
      </c>
      <c r="C276" s="3" t="s">
        <v>6132</v>
      </c>
      <c r="D276" s="3">
        <v>170</v>
      </c>
      <c r="E276" s="3" t="s">
        <v>4003</v>
      </c>
      <c r="F276" s="3" t="s">
        <v>4110</v>
      </c>
      <c r="G276" s="11" t="s">
        <v>6162</v>
      </c>
      <c r="H276" s="3" t="s">
        <v>6163</v>
      </c>
      <c r="I276" s="3" t="s">
        <v>3996</v>
      </c>
      <c r="J276" s="3" t="s">
        <v>6164</v>
      </c>
      <c r="K276" s="3" t="s">
        <v>6165</v>
      </c>
      <c r="L276" s="3" t="s">
        <v>4020</v>
      </c>
      <c r="M276" s="3" t="s">
        <v>6166</v>
      </c>
      <c r="N276" s="3" t="s">
        <v>3535</v>
      </c>
      <c r="O276" s="3" t="s">
        <v>6167</v>
      </c>
      <c r="P276" s="3">
        <v>24</v>
      </c>
      <c r="Q276" s="3" t="s">
        <v>6168</v>
      </c>
      <c r="R276" s="3" t="s">
        <v>6169</v>
      </c>
      <c r="S276" s="3" t="s">
        <v>3391</v>
      </c>
      <c r="T276" s="3" t="s">
        <v>650</v>
      </c>
      <c r="U276" s="3" t="s">
        <v>1380</v>
      </c>
      <c r="V276" s="3" t="s">
        <v>1150</v>
      </c>
      <c r="W276" s="3"/>
      <c r="X276" s="3"/>
      <c r="Y276" s="3" t="s">
        <v>2001</v>
      </c>
    </row>
    <row r="277" spans="1:25" ht="60" customHeight="1" x14ac:dyDescent="0.2">
      <c r="A277" s="3" t="s">
        <v>1754</v>
      </c>
      <c r="B277" s="3" t="s">
        <v>1743</v>
      </c>
      <c r="C277" s="3" t="s">
        <v>6147</v>
      </c>
      <c r="D277" s="3">
        <v>78</v>
      </c>
      <c r="E277" s="3" t="s">
        <v>4003</v>
      </c>
      <c r="F277" s="3" t="s">
        <v>4110</v>
      </c>
      <c r="G277" s="11" t="s">
        <v>6170</v>
      </c>
      <c r="H277" s="3" t="s">
        <v>6171</v>
      </c>
      <c r="I277" s="3" t="s">
        <v>3996</v>
      </c>
      <c r="J277" s="3" t="s">
        <v>4164</v>
      </c>
      <c r="K277" s="3" t="s">
        <v>4028</v>
      </c>
      <c r="L277" s="3" t="s">
        <v>4020</v>
      </c>
      <c r="M277" s="3" t="s">
        <v>6172</v>
      </c>
      <c r="N277" s="3" t="s">
        <v>3535</v>
      </c>
      <c r="O277" s="3" t="s">
        <v>6173</v>
      </c>
      <c r="P277" s="3">
        <v>14</v>
      </c>
      <c r="Q277" s="3" t="s">
        <v>6174</v>
      </c>
      <c r="R277" s="3" t="s">
        <v>6175</v>
      </c>
      <c r="S277" s="3" t="s">
        <v>6176</v>
      </c>
      <c r="T277" s="3" t="s">
        <v>650</v>
      </c>
      <c r="U277" s="3" t="s">
        <v>1380</v>
      </c>
      <c r="V277" s="3" t="s">
        <v>1150</v>
      </c>
      <c r="W277" s="3"/>
      <c r="X277" s="3"/>
      <c r="Y277" s="3" t="s">
        <v>2001</v>
      </c>
    </row>
    <row r="278" spans="1:25" ht="60" customHeight="1" x14ac:dyDescent="0.2">
      <c r="A278" s="3" t="s">
        <v>1462</v>
      </c>
      <c r="B278" s="3" t="s">
        <v>1461</v>
      </c>
      <c r="C278" s="3" t="s">
        <v>6177</v>
      </c>
      <c r="D278" s="3">
        <v>87</v>
      </c>
      <c r="E278" s="3" t="s">
        <v>4003</v>
      </c>
      <c r="F278" s="3" t="s">
        <v>4110</v>
      </c>
      <c r="G278" s="11" t="s">
        <v>6178</v>
      </c>
      <c r="H278" s="3" t="s">
        <v>6179</v>
      </c>
      <c r="I278" s="3" t="s">
        <v>3996</v>
      </c>
      <c r="J278" s="3" t="s">
        <v>4164</v>
      </c>
      <c r="K278" s="3" t="s">
        <v>4028</v>
      </c>
      <c r="L278" s="3" t="s">
        <v>6180</v>
      </c>
      <c r="M278" s="3" t="s">
        <v>6181</v>
      </c>
      <c r="N278" s="3" t="s">
        <v>3535</v>
      </c>
      <c r="O278" s="3" t="s">
        <v>6182</v>
      </c>
      <c r="P278" s="3">
        <v>111</v>
      </c>
      <c r="Q278" s="3" t="s">
        <v>6183</v>
      </c>
      <c r="R278" s="3" t="s">
        <v>6184</v>
      </c>
      <c r="S278" s="3" t="s">
        <v>6185</v>
      </c>
      <c r="T278" s="3" t="s">
        <v>650</v>
      </c>
      <c r="U278" s="3" t="s">
        <v>1380</v>
      </c>
      <c r="V278" s="3" t="s">
        <v>1150</v>
      </c>
      <c r="W278" s="3"/>
      <c r="X278" s="3"/>
      <c r="Y278" s="3" t="s">
        <v>2001</v>
      </c>
    </row>
    <row r="279" spans="1:25" ht="60" customHeight="1" x14ac:dyDescent="0.2">
      <c r="A279" s="3" t="s">
        <v>1842</v>
      </c>
      <c r="B279" s="3" t="s">
        <v>3011</v>
      </c>
      <c r="C279" s="3" t="s">
        <v>6186</v>
      </c>
      <c r="D279" s="3">
        <v>44</v>
      </c>
      <c r="E279" s="3" t="s">
        <v>4003</v>
      </c>
      <c r="F279" s="3" t="s">
        <v>4110</v>
      </c>
      <c r="G279" s="11" t="s">
        <v>6187</v>
      </c>
      <c r="H279" s="3" t="s">
        <v>6188</v>
      </c>
      <c r="I279" s="3" t="s">
        <v>3996</v>
      </c>
      <c r="J279" s="3" t="s">
        <v>6189</v>
      </c>
      <c r="K279" s="3" t="s">
        <v>6190</v>
      </c>
      <c r="L279" s="3" t="s">
        <v>6191</v>
      </c>
      <c r="M279" s="3" t="s">
        <v>4010</v>
      </c>
      <c r="N279" s="3" t="s">
        <v>3535</v>
      </c>
      <c r="O279" s="3" t="s">
        <v>6192</v>
      </c>
      <c r="P279" s="3">
        <v>21</v>
      </c>
      <c r="Q279" s="3" t="s">
        <v>6193</v>
      </c>
      <c r="R279" s="3" t="s">
        <v>6194</v>
      </c>
      <c r="S279" s="3" t="s">
        <v>6195</v>
      </c>
      <c r="T279" s="3" t="s">
        <v>650</v>
      </c>
      <c r="U279" s="3" t="s">
        <v>1380</v>
      </c>
      <c r="V279" s="3" t="s">
        <v>7</v>
      </c>
      <c r="W279" s="3"/>
      <c r="X279" s="3"/>
      <c r="Y279" s="3" t="s">
        <v>2001</v>
      </c>
    </row>
    <row r="280" spans="1:25" ht="60" customHeight="1" x14ac:dyDescent="0.2">
      <c r="A280" s="3" t="s">
        <v>3012</v>
      </c>
      <c r="B280" s="3" t="s">
        <v>1841</v>
      </c>
      <c r="C280" s="3" t="s">
        <v>6196</v>
      </c>
      <c r="D280" s="3">
        <v>80</v>
      </c>
      <c r="E280" s="3" t="s">
        <v>4003</v>
      </c>
      <c r="F280" s="3" t="s">
        <v>4110</v>
      </c>
      <c r="G280" s="11" t="s">
        <v>6197</v>
      </c>
      <c r="H280" s="3" t="s">
        <v>6198</v>
      </c>
      <c r="I280" s="3" t="s">
        <v>3996</v>
      </c>
      <c r="J280" s="3" t="s">
        <v>4164</v>
      </c>
      <c r="K280" s="3" t="s">
        <v>4028</v>
      </c>
      <c r="L280" s="3" t="s">
        <v>4020</v>
      </c>
      <c r="M280" s="3" t="s">
        <v>4915</v>
      </c>
      <c r="N280" s="3" t="s">
        <v>3535</v>
      </c>
      <c r="O280" s="3" t="s">
        <v>6199</v>
      </c>
      <c r="P280" s="3">
        <v>8</v>
      </c>
      <c r="Q280" s="3" t="s">
        <v>6200</v>
      </c>
      <c r="R280" s="3" t="s">
        <v>6201</v>
      </c>
      <c r="S280" s="3" t="s">
        <v>3008</v>
      </c>
      <c r="T280" s="3" t="s">
        <v>650</v>
      </c>
      <c r="U280" s="3" t="s">
        <v>1380</v>
      </c>
      <c r="V280" s="3" t="s">
        <v>7</v>
      </c>
      <c r="W280" s="3"/>
      <c r="X280" s="3"/>
      <c r="Y280" s="3" t="s">
        <v>2001</v>
      </c>
    </row>
    <row r="281" spans="1:25" ht="60" customHeight="1" x14ac:dyDescent="0.2">
      <c r="A281" s="3" t="s">
        <v>6202</v>
      </c>
      <c r="B281" s="3" t="s">
        <v>2101</v>
      </c>
      <c r="C281" s="3" t="s">
        <v>6203</v>
      </c>
      <c r="D281" s="3">
        <v>31</v>
      </c>
      <c r="E281" s="3" t="s">
        <v>4003</v>
      </c>
      <c r="F281" s="3" t="s">
        <v>4110</v>
      </c>
      <c r="G281" s="11" t="s">
        <v>6204</v>
      </c>
      <c r="H281" s="3" t="s">
        <v>6205</v>
      </c>
      <c r="I281" s="3" t="s">
        <v>3996</v>
      </c>
      <c r="J281" s="3" t="s">
        <v>4164</v>
      </c>
      <c r="K281" s="3" t="s">
        <v>4028</v>
      </c>
      <c r="L281" s="3" t="s">
        <v>4020</v>
      </c>
      <c r="M281" s="3" t="s">
        <v>4124</v>
      </c>
      <c r="N281" s="3" t="s">
        <v>3535</v>
      </c>
      <c r="O281" s="3" t="s">
        <v>6206</v>
      </c>
      <c r="P281" s="3">
        <v>4</v>
      </c>
      <c r="Q281" s="3" t="s">
        <v>6207</v>
      </c>
      <c r="R281" s="3" t="s">
        <v>6208</v>
      </c>
      <c r="S281" s="3" t="s">
        <v>650</v>
      </c>
      <c r="T281" s="3" t="s">
        <v>650</v>
      </c>
      <c r="U281" s="3" t="s">
        <v>1380</v>
      </c>
      <c r="V281" s="3" t="s">
        <v>7</v>
      </c>
      <c r="W281" s="3"/>
      <c r="X281" s="3"/>
      <c r="Y281" s="3" t="s">
        <v>2001</v>
      </c>
    </row>
    <row r="282" spans="1:25" ht="60" customHeight="1" x14ac:dyDescent="0.2">
      <c r="A282" s="3" t="s">
        <v>6209</v>
      </c>
      <c r="B282" s="3" t="s">
        <v>2062</v>
      </c>
      <c r="C282" s="3" t="s">
        <v>6210</v>
      </c>
      <c r="D282" s="3">
        <v>67</v>
      </c>
      <c r="E282" s="3" t="s">
        <v>4003</v>
      </c>
      <c r="F282" s="3" t="s">
        <v>4110</v>
      </c>
      <c r="G282" s="11" t="s">
        <v>6211</v>
      </c>
      <c r="H282" s="3" t="s">
        <v>6212</v>
      </c>
      <c r="I282" s="3" t="s">
        <v>3996</v>
      </c>
      <c r="J282" s="3" t="s">
        <v>4164</v>
      </c>
      <c r="K282" s="3" t="s">
        <v>4028</v>
      </c>
      <c r="L282" s="3" t="s">
        <v>6213</v>
      </c>
      <c r="M282" s="3" t="s">
        <v>6214</v>
      </c>
      <c r="N282" s="3" t="s">
        <v>3535</v>
      </c>
      <c r="O282" s="3" t="s">
        <v>6215</v>
      </c>
      <c r="P282" s="3">
        <v>21</v>
      </c>
      <c r="Q282" s="3" t="s">
        <v>6216</v>
      </c>
      <c r="R282" s="3" t="s">
        <v>6217</v>
      </c>
      <c r="S282" s="3" t="s">
        <v>650</v>
      </c>
      <c r="T282" s="3" t="s">
        <v>650</v>
      </c>
      <c r="U282" s="3" t="s">
        <v>1380</v>
      </c>
      <c r="V282" s="3" t="s">
        <v>7</v>
      </c>
      <c r="W282" s="3"/>
      <c r="X282" s="3"/>
      <c r="Y282" s="3" t="s">
        <v>2001</v>
      </c>
    </row>
    <row r="283" spans="1:25" ht="45" customHeight="1" x14ac:dyDescent="0.2">
      <c r="A283" s="3" t="s">
        <v>6218</v>
      </c>
      <c r="B283" s="3" t="s">
        <v>6219</v>
      </c>
      <c r="C283" s="3" t="s">
        <v>6220</v>
      </c>
      <c r="D283" s="3">
        <v>174</v>
      </c>
      <c r="E283" s="3" t="s">
        <v>4003</v>
      </c>
      <c r="F283" s="3" t="s">
        <v>6221</v>
      </c>
      <c r="G283" s="11" t="s">
        <v>6222</v>
      </c>
      <c r="H283" s="3" t="s">
        <v>6223</v>
      </c>
      <c r="I283" s="3" t="s">
        <v>4290</v>
      </c>
      <c r="J283" s="3" t="s">
        <v>6224</v>
      </c>
      <c r="K283" s="3" t="s">
        <v>4008</v>
      </c>
      <c r="L283" s="3" t="s">
        <v>4020</v>
      </c>
      <c r="M283" s="3" t="s">
        <v>6225</v>
      </c>
      <c r="N283" s="3" t="s">
        <v>3535</v>
      </c>
      <c r="O283" s="3" t="s">
        <v>650</v>
      </c>
      <c r="P283" s="3">
        <v>0</v>
      </c>
      <c r="Q283" s="3" t="s">
        <v>4052</v>
      </c>
      <c r="R283" s="3" t="s">
        <v>1499</v>
      </c>
      <c r="S283" s="3" t="s">
        <v>650</v>
      </c>
      <c r="T283" s="3" t="s">
        <v>6226</v>
      </c>
      <c r="U283" s="3" t="s">
        <v>1380</v>
      </c>
      <c r="V283" s="3" t="s">
        <v>700</v>
      </c>
      <c r="W283" s="3" t="s">
        <v>6227</v>
      </c>
      <c r="X283" s="6" t="s">
        <v>6228</v>
      </c>
      <c r="Y283" s="6" t="s">
        <v>1854</v>
      </c>
    </row>
    <row r="284" spans="1:25" ht="60" customHeight="1" x14ac:dyDescent="0.2">
      <c r="A284" s="3" t="s">
        <v>6229</v>
      </c>
      <c r="B284" s="3" t="s">
        <v>6230</v>
      </c>
      <c r="C284" s="3" t="s">
        <v>6220</v>
      </c>
      <c r="D284" s="3">
        <v>214</v>
      </c>
      <c r="E284" s="3" t="s">
        <v>4003</v>
      </c>
      <c r="F284" s="3" t="s">
        <v>3831</v>
      </c>
      <c r="G284" s="11" t="s">
        <v>6231</v>
      </c>
      <c r="H284" s="3" t="s">
        <v>6232</v>
      </c>
      <c r="I284" s="3" t="s">
        <v>4290</v>
      </c>
      <c r="J284" s="3" t="s">
        <v>6224</v>
      </c>
      <c r="K284" s="3" t="s">
        <v>4008</v>
      </c>
      <c r="L284" s="3" t="s">
        <v>4020</v>
      </c>
      <c r="M284" s="3" t="s">
        <v>6233</v>
      </c>
      <c r="N284" s="3" t="s">
        <v>3535</v>
      </c>
      <c r="O284" s="3" t="s">
        <v>6234</v>
      </c>
      <c r="P284" s="3">
        <v>1</v>
      </c>
      <c r="Q284" s="3" t="s">
        <v>6234</v>
      </c>
      <c r="R284" s="3" t="s">
        <v>6235</v>
      </c>
      <c r="S284" s="3" t="s">
        <v>650</v>
      </c>
      <c r="T284" s="3" t="s">
        <v>3829</v>
      </c>
      <c r="U284" s="3" t="s">
        <v>1380</v>
      </c>
      <c r="V284" s="3" t="s">
        <v>505</v>
      </c>
      <c r="W284" s="3" t="s">
        <v>6236</v>
      </c>
      <c r="X284" s="6" t="s">
        <v>6237</v>
      </c>
      <c r="Y284" s="6" t="s">
        <v>6238</v>
      </c>
    </row>
    <row r="285" spans="1:25" ht="60" customHeight="1" x14ac:dyDescent="0.2">
      <c r="A285" s="3" t="s">
        <v>1879</v>
      </c>
      <c r="B285" s="3" t="s">
        <v>6239</v>
      </c>
      <c r="C285" s="3" t="s">
        <v>6220</v>
      </c>
      <c r="D285" s="3">
        <v>237</v>
      </c>
      <c r="E285" s="3" t="s">
        <v>4003</v>
      </c>
      <c r="F285" s="3" t="s">
        <v>4110</v>
      </c>
      <c r="G285" s="11" t="s">
        <v>6240</v>
      </c>
      <c r="H285" s="3" t="s">
        <v>6241</v>
      </c>
      <c r="I285" s="3" t="s">
        <v>4018</v>
      </c>
      <c r="J285" s="3" t="s">
        <v>6224</v>
      </c>
      <c r="K285" s="3" t="s">
        <v>4008</v>
      </c>
      <c r="L285" s="3" t="s">
        <v>4020</v>
      </c>
      <c r="M285" s="3" t="s">
        <v>4010</v>
      </c>
      <c r="N285" s="3" t="s">
        <v>3535</v>
      </c>
      <c r="O285" s="3" t="s">
        <v>6242</v>
      </c>
      <c r="P285" s="3">
        <v>3</v>
      </c>
      <c r="Q285" s="3" t="s">
        <v>6243</v>
      </c>
      <c r="R285" s="3" t="s">
        <v>6244</v>
      </c>
      <c r="S285" s="3" t="s">
        <v>1876</v>
      </c>
      <c r="T285" s="3" t="s">
        <v>650</v>
      </c>
      <c r="U285" s="3" t="s">
        <v>1380</v>
      </c>
      <c r="V285" s="3" t="s">
        <v>505</v>
      </c>
      <c r="W285" s="3" t="s">
        <v>6245</v>
      </c>
      <c r="X285" s="6" t="s">
        <v>6246</v>
      </c>
      <c r="Y285" s="6" t="s">
        <v>1854</v>
      </c>
    </row>
    <row r="286" spans="1:25" ht="60" customHeight="1" x14ac:dyDescent="0.2">
      <c r="A286" s="3" t="s">
        <v>6247</v>
      </c>
      <c r="B286" s="3" t="s">
        <v>6248</v>
      </c>
      <c r="C286" s="3" t="s">
        <v>6220</v>
      </c>
      <c r="D286" s="3">
        <v>275</v>
      </c>
      <c r="E286" s="3" t="s">
        <v>3992</v>
      </c>
      <c r="F286" s="3" t="s">
        <v>3839</v>
      </c>
      <c r="G286" s="11" t="s">
        <v>6249</v>
      </c>
      <c r="H286" s="3" t="s">
        <v>6250</v>
      </c>
      <c r="I286" s="3" t="s">
        <v>4290</v>
      </c>
      <c r="J286" s="3" t="s">
        <v>6251</v>
      </c>
      <c r="K286" s="3" t="s">
        <v>4008</v>
      </c>
      <c r="L286" s="3" t="s">
        <v>650</v>
      </c>
      <c r="M286" s="3" t="s">
        <v>4010</v>
      </c>
      <c r="N286" s="3" t="s">
        <v>3535</v>
      </c>
      <c r="O286" s="3" t="s">
        <v>6252</v>
      </c>
      <c r="P286" s="3">
        <v>2</v>
      </c>
      <c r="Q286" s="3" t="s">
        <v>6252</v>
      </c>
      <c r="R286" s="3" t="s">
        <v>6253</v>
      </c>
      <c r="S286" s="3" t="s">
        <v>650</v>
      </c>
      <c r="T286" s="3" t="s">
        <v>3837</v>
      </c>
      <c r="U286" s="3" t="s">
        <v>1380</v>
      </c>
      <c r="V286" s="3" t="s">
        <v>700</v>
      </c>
      <c r="W286" s="3" t="s">
        <v>6254</v>
      </c>
      <c r="X286" s="6" t="s">
        <v>6255</v>
      </c>
      <c r="Y286" s="6" t="s">
        <v>6238</v>
      </c>
    </row>
    <row r="287" spans="1:25" ht="60" customHeight="1" x14ac:dyDescent="0.2">
      <c r="A287" s="3" t="s">
        <v>6256</v>
      </c>
      <c r="B287" s="3" t="s">
        <v>6257</v>
      </c>
      <c r="C287" s="3" t="s">
        <v>6220</v>
      </c>
      <c r="D287" s="3">
        <v>299</v>
      </c>
      <c r="E287" s="3" t="s">
        <v>3992</v>
      </c>
      <c r="F287" s="3" t="s">
        <v>6258</v>
      </c>
      <c r="G287" s="11" t="s">
        <v>6259</v>
      </c>
      <c r="H287" s="3" t="s">
        <v>6260</v>
      </c>
      <c r="I287" s="3" t="s">
        <v>4018</v>
      </c>
      <c r="J287" s="3" t="s">
        <v>6251</v>
      </c>
      <c r="K287" s="3" t="s">
        <v>4008</v>
      </c>
      <c r="L287" s="3" t="s">
        <v>650</v>
      </c>
      <c r="M287" s="3" t="s">
        <v>4010</v>
      </c>
      <c r="N287" s="3" t="s">
        <v>3535</v>
      </c>
      <c r="O287" s="3" t="s">
        <v>6261</v>
      </c>
      <c r="P287" s="3">
        <v>4</v>
      </c>
      <c r="Q287" s="3" t="s">
        <v>6262</v>
      </c>
      <c r="R287" s="3" t="s">
        <v>6263</v>
      </c>
      <c r="S287" s="3" t="s">
        <v>650</v>
      </c>
      <c r="T287" s="3" t="s">
        <v>3845</v>
      </c>
      <c r="U287" s="3" t="s">
        <v>1380</v>
      </c>
      <c r="V287" s="3" t="s">
        <v>505</v>
      </c>
      <c r="W287" s="3"/>
      <c r="X287" s="3"/>
      <c r="Y287" s="3" t="s">
        <v>2001</v>
      </c>
    </row>
    <row r="288" spans="1:25" ht="60" customHeight="1" x14ac:dyDescent="0.2">
      <c r="A288" s="3" t="s">
        <v>6264</v>
      </c>
      <c r="B288" s="3" t="s">
        <v>6265</v>
      </c>
      <c r="C288" s="3" t="s">
        <v>6220</v>
      </c>
      <c r="D288" s="3">
        <v>336</v>
      </c>
      <c r="E288" s="3" t="s">
        <v>3992</v>
      </c>
      <c r="F288" s="3" t="s">
        <v>6266</v>
      </c>
      <c r="G288" s="11" t="s">
        <v>6267</v>
      </c>
      <c r="H288" s="3" t="s">
        <v>6268</v>
      </c>
      <c r="I288" s="3" t="s">
        <v>4290</v>
      </c>
      <c r="J288" s="3" t="s">
        <v>6269</v>
      </c>
      <c r="K288" s="3" t="s">
        <v>6270</v>
      </c>
      <c r="L288" s="3" t="s">
        <v>650</v>
      </c>
      <c r="M288" s="3" t="s">
        <v>4124</v>
      </c>
      <c r="N288" s="3" t="s">
        <v>3535</v>
      </c>
      <c r="O288" s="3" t="s">
        <v>4249</v>
      </c>
      <c r="P288" s="3">
        <v>1</v>
      </c>
      <c r="Q288" s="3" t="s">
        <v>4249</v>
      </c>
      <c r="R288" s="3" t="s">
        <v>6271</v>
      </c>
      <c r="S288" s="3" t="s">
        <v>650</v>
      </c>
      <c r="T288" s="3" t="s">
        <v>6272</v>
      </c>
      <c r="U288" s="3" t="s">
        <v>1380</v>
      </c>
      <c r="V288" s="3" t="s">
        <v>7</v>
      </c>
      <c r="W288" s="3"/>
      <c r="X288" s="3"/>
      <c r="Y288" s="6" t="s">
        <v>1925</v>
      </c>
    </row>
    <row r="289" spans="1:25" ht="60" customHeight="1" x14ac:dyDescent="0.2">
      <c r="A289" s="3" t="s">
        <v>6273</v>
      </c>
      <c r="B289" s="3" t="s">
        <v>6274</v>
      </c>
      <c r="C289" s="3" t="s">
        <v>6220</v>
      </c>
      <c r="D289" s="3">
        <v>383</v>
      </c>
      <c r="E289" s="3" t="s">
        <v>3992</v>
      </c>
      <c r="F289" s="3" t="s">
        <v>6275</v>
      </c>
      <c r="G289" s="11" t="s">
        <v>6276</v>
      </c>
      <c r="H289" s="3" t="s">
        <v>6277</v>
      </c>
      <c r="I289" s="3" t="s">
        <v>4018</v>
      </c>
      <c r="J289" s="3" t="s">
        <v>6251</v>
      </c>
      <c r="K289" s="3" t="s">
        <v>4257</v>
      </c>
      <c r="L289" s="3" t="s">
        <v>650</v>
      </c>
      <c r="M289" s="3" t="s">
        <v>4010</v>
      </c>
      <c r="N289" s="3" t="s">
        <v>3535</v>
      </c>
      <c r="O289" s="3" t="s">
        <v>6278</v>
      </c>
      <c r="P289" s="3">
        <v>5</v>
      </c>
      <c r="Q289" s="3" t="s">
        <v>6279</v>
      </c>
      <c r="R289" s="3" t="s">
        <v>6280</v>
      </c>
      <c r="S289" s="3" t="s">
        <v>650</v>
      </c>
      <c r="T289" s="3" t="s">
        <v>3841</v>
      </c>
      <c r="U289" s="3" t="s">
        <v>1380</v>
      </c>
      <c r="V289" s="3" t="s">
        <v>505</v>
      </c>
      <c r="W289" s="3"/>
      <c r="X289" s="3"/>
      <c r="Y289" s="3" t="s">
        <v>2001</v>
      </c>
    </row>
    <row r="290" spans="1:25" ht="45" customHeight="1" x14ac:dyDescent="0.2">
      <c r="A290" s="3" t="s">
        <v>6281</v>
      </c>
      <c r="B290" s="3" t="s">
        <v>6282</v>
      </c>
      <c r="C290" s="3" t="s">
        <v>6220</v>
      </c>
      <c r="D290" s="3">
        <v>411</v>
      </c>
      <c r="E290" s="3" t="s">
        <v>4003</v>
      </c>
      <c r="F290" s="3" t="s">
        <v>6283</v>
      </c>
      <c r="G290" s="11" t="s">
        <v>6284</v>
      </c>
      <c r="H290" s="3" t="s">
        <v>6285</v>
      </c>
      <c r="I290" s="3" t="s">
        <v>4018</v>
      </c>
      <c r="J290" s="3" t="s">
        <v>6286</v>
      </c>
      <c r="K290" s="3" t="s">
        <v>4933</v>
      </c>
      <c r="L290" s="3" t="s">
        <v>4020</v>
      </c>
      <c r="M290" s="3" t="s">
        <v>4010</v>
      </c>
      <c r="N290" s="3" t="s">
        <v>3535</v>
      </c>
      <c r="O290" s="3" t="s">
        <v>650</v>
      </c>
      <c r="P290" s="3">
        <v>0</v>
      </c>
      <c r="Q290" s="3" t="s">
        <v>4052</v>
      </c>
      <c r="R290" s="3" t="s">
        <v>1499</v>
      </c>
      <c r="S290" s="3" t="s">
        <v>650</v>
      </c>
      <c r="T290" s="3" t="s">
        <v>3853</v>
      </c>
      <c r="U290" s="3" t="s">
        <v>1380</v>
      </c>
      <c r="V290" s="3" t="s">
        <v>700</v>
      </c>
      <c r="W290" s="3"/>
      <c r="X290" s="3"/>
      <c r="Y290" s="3" t="s">
        <v>2001</v>
      </c>
    </row>
    <row r="291" spans="1:25" ht="60" customHeight="1" x14ac:dyDescent="0.2">
      <c r="A291" s="3" t="s">
        <v>6287</v>
      </c>
      <c r="B291" s="3" t="s">
        <v>6288</v>
      </c>
      <c r="C291" s="3" t="s">
        <v>6220</v>
      </c>
      <c r="D291" s="3">
        <v>532</v>
      </c>
      <c r="E291" s="3" t="s">
        <v>4003</v>
      </c>
      <c r="F291" s="3" t="s">
        <v>3859</v>
      </c>
      <c r="G291" s="11" t="s">
        <v>6289</v>
      </c>
      <c r="H291" s="3" t="s">
        <v>6290</v>
      </c>
      <c r="I291" s="3" t="s">
        <v>4290</v>
      </c>
      <c r="J291" s="3" t="s">
        <v>6291</v>
      </c>
      <c r="K291" s="3" t="s">
        <v>4257</v>
      </c>
      <c r="L291" s="3" t="s">
        <v>4020</v>
      </c>
      <c r="M291" s="3" t="s">
        <v>4010</v>
      </c>
      <c r="N291" s="3" t="s">
        <v>3535</v>
      </c>
      <c r="O291" s="3" t="s">
        <v>650</v>
      </c>
      <c r="P291" s="3">
        <v>0</v>
      </c>
      <c r="Q291" s="3" t="s">
        <v>4052</v>
      </c>
      <c r="R291" s="3" t="s">
        <v>1499</v>
      </c>
      <c r="S291" s="3" t="s">
        <v>650</v>
      </c>
      <c r="T291" s="3" t="s">
        <v>3857</v>
      </c>
      <c r="U291" s="3" t="s">
        <v>1380</v>
      </c>
      <c r="V291" s="3" t="s">
        <v>428</v>
      </c>
      <c r="W291" s="3"/>
      <c r="X291" s="3"/>
      <c r="Y291" s="3" t="s">
        <v>2001</v>
      </c>
    </row>
    <row r="292" spans="1:25" ht="60" customHeight="1" x14ac:dyDescent="0.2">
      <c r="A292" s="3" t="s">
        <v>6292</v>
      </c>
      <c r="B292" s="3" t="s">
        <v>6293</v>
      </c>
      <c r="C292" s="3" t="s">
        <v>6220</v>
      </c>
      <c r="D292" s="3">
        <v>565</v>
      </c>
      <c r="E292" s="3" t="s">
        <v>3992</v>
      </c>
      <c r="F292" s="3" t="s">
        <v>6294</v>
      </c>
      <c r="G292" s="11" t="s">
        <v>6295</v>
      </c>
      <c r="H292" s="3" t="s">
        <v>6296</v>
      </c>
      <c r="I292" s="3" t="s">
        <v>4018</v>
      </c>
      <c r="J292" s="3" t="s">
        <v>6297</v>
      </c>
      <c r="K292" s="3" t="s">
        <v>4257</v>
      </c>
      <c r="L292" s="3" t="s">
        <v>650</v>
      </c>
      <c r="M292" s="3" t="s">
        <v>4124</v>
      </c>
      <c r="N292" s="3" t="s">
        <v>3535</v>
      </c>
      <c r="O292" s="3" t="s">
        <v>6298</v>
      </c>
      <c r="P292" s="3">
        <v>3</v>
      </c>
      <c r="Q292" s="3" t="s">
        <v>6298</v>
      </c>
      <c r="R292" s="3" t="s">
        <v>6299</v>
      </c>
      <c r="S292" s="3" t="s">
        <v>650</v>
      </c>
      <c r="T292" s="3" t="s">
        <v>3849</v>
      </c>
      <c r="U292" s="3" t="s">
        <v>1380</v>
      </c>
      <c r="V292" s="3" t="s">
        <v>505</v>
      </c>
      <c r="W292" s="3"/>
      <c r="X292" s="3"/>
      <c r="Y292" s="3" t="s">
        <v>2001</v>
      </c>
    </row>
    <row r="293" spans="1:25" ht="60" customHeight="1" x14ac:dyDescent="0.2">
      <c r="A293" s="3" t="s">
        <v>6300</v>
      </c>
      <c r="B293" s="3" t="s">
        <v>6301</v>
      </c>
      <c r="C293" s="3" t="s">
        <v>6220</v>
      </c>
      <c r="D293" s="3">
        <v>606</v>
      </c>
      <c r="E293" s="3" t="s">
        <v>4003</v>
      </c>
      <c r="F293" s="3" t="s">
        <v>6302</v>
      </c>
      <c r="G293" s="11" t="s">
        <v>6303</v>
      </c>
      <c r="H293" s="3" t="s">
        <v>6304</v>
      </c>
      <c r="I293" s="3" t="s">
        <v>3996</v>
      </c>
      <c r="J293" s="3" t="s">
        <v>6305</v>
      </c>
      <c r="K293" s="3" t="s">
        <v>4257</v>
      </c>
      <c r="L293" s="3" t="s">
        <v>4020</v>
      </c>
      <c r="M293" s="3" t="s">
        <v>4124</v>
      </c>
      <c r="N293" s="3" t="s">
        <v>3535</v>
      </c>
      <c r="O293" s="3" t="s">
        <v>6306</v>
      </c>
      <c r="P293" s="3">
        <v>2</v>
      </c>
      <c r="Q293" s="3" t="s">
        <v>6306</v>
      </c>
      <c r="R293" s="3" t="s">
        <v>6307</v>
      </c>
      <c r="S293" s="3" t="s">
        <v>650</v>
      </c>
      <c r="T293" s="3" t="s">
        <v>3861</v>
      </c>
      <c r="U293" s="3" t="s">
        <v>1380</v>
      </c>
      <c r="V293" s="3" t="s">
        <v>1102</v>
      </c>
      <c r="W293" s="3"/>
      <c r="X293" s="3"/>
      <c r="Y293" s="3" t="s">
        <v>2001</v>
      </c>
    </row>
    <row r="294" spans="1:25" ht="60" customHeight="1" x14ac:dyDescent="0.2">
      <c r="A294" s="3" t="s">
        <v>6308</v>
      </c>
      <c r="B294" s="3" t="s">
        <v>6309</v>
      </c>
      <c r="C294" s="3" t="s">
        <v>6220</v>
      </c>
      <c r="D294" s="3">
        <v>637</v>
      </c>
      <c r="E294" s="3" t="s">
        <v>3992</v>
      </c>
      <c r="F294" s="3" t="s">
        <v>6310</v>
      </c>
      <c r="G294" s="11" t="s">
        <v>6311</v>
      </c>
      <c r="H294" s="3" t="s">
        <v>6312</v>
      </c>
      <c r="I294" s="3" t="s">
        <v>3996</v>
      </c>
      <c r="J294" s="3" t="s">
        <v>6224</v>
      </c>
      <c r="K294" s="3" t="s">
        <v>5739</v>
      </c>
      <c r="L294" s="3" t="s">
        <v>650</v>
      </c>
      <c r="M294" s="3" t="s">
        <v>4010</v>
      </c>
      <c r="N294" s="3" t="s">
        <v>3535</v>
      </c>
      <c r="O294" s="3" t="s">
        <v>5525</v>
      </c>
      <c r="P294" s="3">
        <v>1</v>
      </c>
      <c r="Q294" s="3" t="s">
        <v>5525</v>
      </c>
      <c r="R294" s="3" t="s">
        <v>6313</v>
      </c>
      <c r="S294" s="3" t="s">
        <v>650</v>
      </c>
      <c r="T294" s="3" t="s">
        <v>3833</v>
      </c>
      <c r="U294" s="3" t="s">
        <v>1380</v>
      </c>
      <c r="V294" s="3" t="s">
        <v>700</v>
      </c>
      <c r="W294" s="3"/>
      <c r="X294" s="3"/>
      <c r="Y294" s="3" t="s">
        <v>2001</v>
      </c>
    </row>
    <row r="295" spans="1:25" ht="60" customHeight="1" x14ac:dyDescent="0.2">
      <c r="A295" s="3" t="s">
        <v>6314</v>
      </c>
      <c r="B295" s="3" t="s">
        <v>6315</v>
      </c>
      <c r="C295" s="3" t="s">
        <v>6220</v>
      </c>
      <c r="D295" s="3">
        <v>687</v>
      </c>
      <c r="E295" s="3" t="s">
        <v>4003</v>
      </c>
      <c r="F295" s="3" t="s">
        <v>3827</v>
      </c>
      <c r="G295" s="11" t="s">
        <v>6316</v>
      </c>
      <c r="H295" s="3" t="s">
        <v>6317</v>
      </c>
      <c r="I295" s="3" t="s">
        <v>3996</v>
      </c>
      <c r="J295" s="3" t="s">
        <v>5604</v>
      </c>
      <c r="K295" s="3" t="s">
        <v>4844</v>
      </c>
      <c r="L295" s="3" t="s">
        <v>6318</v>
      </c>
      <c r="M295" s="3" t="s">
        <v>4010</v>
      </c>
      <c r="N295" s="3" t="s">
        <v>3535</v>
      </c>
      <c r="O295" s="3" t="s">
        <v>6319</v>
      </c>
      <c r="P295" s="3">
        <v>6</v>
      </c>
      <c r="Q295" s="3" t="s">
        <v>6320</v>
      </c>
      <c r="R295" s="3" t="s">
        <v>6321</v>
      </c>
      <c r="S295" s="3" t="s">
        <v>650</v>
      </c>
      <c r="T295" s="3" t="s">
        <v>3825</v>
      </c>
      <c r="U295" s="3" t="s">
        <v>1380</v>
      </c>
      <c r="V295" s="3" t="s">
        <v>700</v>
      </c>
      <c r="W295" s="3"/>
      <c r="X295" s="3"/>
      <c r="Y295" s="3" t="s">
        <v>2001</v>
      </c>
    </row>
    <row r="296" spans="1:25" ht="60" customHeight="1" x14ac:dyDescent="0.2">
      <c r="A296" s="3" t="s">
        <v>2019</v>
      </c>
      <c r="B296" s="3" t="s">
        <v>2018</v>
      </c>
      <c r="C296" s="3" t="s">
        <v>6220</v>
      </c>
      <c r="D296" s="3">
        <v>739</v>
      </c>
      <c r="E296" s="3" t="s">
        <v>4003</v>
      </c>
      <c r="F296" s="3" t="s">
        <v>6322</v>
      </c>
      <c r="G296" s="11" t="s">
        <v>6323</v>
      </c>
      <c r="H296" s="3" t="s">
        <v>6324</v>
      </c>
      <c r="I296" s="3" t="s">
        <v>3996</v>
      </c>
      <c r="J296" s="3" t="s">
        <v>4164</v>
      </c>
      <c r="K296" s="3" t="s">
        <v>4028</v>
      </c>
      <c r="L296" s="3" t="s">
        <v>4020</v>
      </c>
      <c r="M296" s="3" t="s">
        <v>4124</v>
      </c>
      <c r="N296" s="3" t="s">
        <v>3535</v>
      </c>
      <c r="O296" s="3" t="s">
        <v>6325</v>
      </c>
      <c r="P296" s="3">
        <v>20</v>
      </c>
      <c r="Q296" s="3" t="s">
        <v>6326</v>
      </c>
      <c r="R296" s="3" t="s">
        <v>2026</v>
      </c>
      <c r="S296" s="3" t="s">
        <v>3577</v>
      </c>
      <c r="T296" s="3" t="s">
        <v>3716</v>
      </c>
      <c r="U296" s="3" t="s">
        <v>1380</v>
      </c>
      <c r="V296" s="3" t="s">
        <v>700</v>
      </c>
      <c r="W296" s="3"/>
      <c r="X296" s="3"/>
      <c r="Y296" s="3" t="s">
        <v>2001</v>
      </c>
    </row>
    <row r="297" spans="1:25" ht="60" customHeight="1" x14ac:dyDescent="0.2">
      <c r="A297" s="3" t="s">
        <v>6327</v>
      </c>
      <c r="B297" s="3" t="s">
        <v>6328</v>
      </c>
      <c r="C297" s="3" t="s">
        <v>6220</v>
      </c>
      <c r="D297" s="3">
        <v>797</v>
      </c>
      <c r="E297" s="3" t="s">
        <v>4003</v>
      </c>
      <c r="F297" s="3" t="s">
        <v>6329</v>
      </c>
      <c r="G297" s="11" t="s">
        <v>6330</v>
      </c>
      <c r="H297" s="3" t="s">
        <v>6331</v>
      </c>
      <c r="I297" s="3" t="s">
        <v>3996</v>
      </c>
      <c r="J297" s="3" t="s">
        <v>6332</v>
      </c>
      <c r="K297" s="3" t="s">
        <v>4028</v>
      </c>
      <c r="L297" s="3" t="s">
        <v>4020</v>
      </c>
      <c r="M297" s="3" t="s">
        <v>4056</v>
      </c>
      <c r="N297" s="3" t="s">
        <v>3535</v>
      </c>
      <c r="O297" s="3" t="s">
        <v>6333</v>
      </c>
      <c r="P297" s="3">
        <v>3</v>
      </c>
      <c r="Q297" s="3" t="s">
        <v>6334</v>
      </c>
      <c r="R297" s="3" t="s">
        <v>6335</v>
      </c>
      <c r="S297" s="3" t="s">
        <v>650</v>
      </c>
      <c r="T297" s="3" t="s">
        <v>6336</v>
      </c>
      <c r="U297" s="3" t="s">
        <v>1380</v>
      </c>
      <c r="V297" s="3" t="s">
        <v>700</v>
      </c>
      <c r="W297" s="3"/>
      <c r="X297" s="3"/>
      <c r="Y297" s="3" t="s">
        <v>2001</v>
      </c>
    </row>
    <row r="298" spans="1:25" ht="60" customHeight="1" x14ac:dyDescent="0.2">
      <c r="A298" s="3" t="s">
        <v>6337</v>
      </c>
      <c r="B298" s="3" t="s">
        <v>6338</v>
      </c>
      <c r="C298" s="3" t="s">
        <v>6220</v>
      </c>
      <c r="D298" s="3">
        <v>823</v>
      </c>
      <c r="E298" s="3" t="s">
        <v>4129</v>
      </c>
      <c r="F298" s="3" t="s">
        <v>6339</v>
      </c>
      <c r="G298" s="11" t="s">
        <v>6340</v>
      </c>
      <c r="H298" s="3" t="s">
        <v>6341</v>
      </c>
      <c r="I298" s="3" t="s">
        <v>4018</v>
      </c>
      <c r="J298" s="3" t="s">
        <v>6332</v>
      </c>
      <c r="K298" s="3" t="s">
        <v>4028</v>
      </c>
      <c r="L298" s="3" t="s">
        <v>650</v>
      </c>
      <c r="M298" s="3" t="s">
        <v>4010</v>
      </c>
      <c r="N298" s="3" t="s">
        <v>3419</v>
      </c>
      <c r="O298" s="3" t="s">
        <v>6342</v>
      </c>
      <c r="P298" s="3">
        <v>4</v>
      </c>
      <c r="Q298" s="3" t="s">
        <v>6343</v>
      </c>
      <c r="R298" s="3" t="s">
        <v>6344</v>
      </c>
      <c r="S298" s="3" t="s">
        <v>650</v>
      </c>
      <c r="T298" s="3" t="s">
        <v>6345</v>
      </c>
      <c r="U298" s="3" t="s">
        <v>1380</v>
      </c>
      <c r="V298" s="3" t="s">
        <v>1069</v>
      </c>
      <c r="W298" s="3"/>
      <c r="X298" s="3"/>
      <c r="Y298" s="3" t="s">
        <v>2001</v>
      </c>
    </row>
    <row r="299" spans="1:25" ht="60" customHeight="1" x14ac:dyDescent="0.2">
      <c r="A299" s="3" t="s">
        <v>6346</v>
      </c>
      <c r="B299" s="3" t="s">
        <v>6347</v>
      </c>
      <c r="C299" s="3" t="s">
        <v>6220</v>
      </c>
      <c r="D299" s="3">
        <v>859</v>
      </c>
      <c r="E299" s="3" t="s">
        <v>4129</v>
      </c>
      <c r="F299" s="3" t="s">
        <v>6348</v>
      </c>
      <c r="G299" s="11" t="s">
        <v>6349</v>
      </c>
      <c r="H299" s="3" t="s">
        <v>6350</v>
      </c>
      <c r="I299" s="3" t="s">
        <v>3996</v>
      </c>
      <c r="J299" s="3" t="s">
        <v>6351</v>
      </c>
      <c r="K299" s="3" t="s">
        <v>6352</v>
      </c>
      <c r="L299" s="3" t="s">
        <v>650</v>
      </c>
      <c r="M299" s="3" t="s">
        <v>6353</v>
      </c>
      <c r="N299" s="3" t="s">
        <v>3419</v>
      </c>
      <c r="O299" s="3" t="s">
        <v>6354</v>
      </c>
      <c r="P299" s="3">
        <v>3</v>
      </c>
      <c r="Q299" s="3" t="s">
        <v>6355</v>
      </c>
      <c r="R299" s="3" t="s">
        <v>6356</v>
      </c>
      <c r="S299" s="3" t="s">
        <v>650</v>
      </c>
      <c r="T299" s="3" t="s">
        <v>6357</v>
      </c>
      <c r="U299" s="3" t="s">
        <v>1380</v>
      </c>
      <c r="V299" s="3" t="s">
        <v>1069</v>
      </c>
      <c r="W299" s="3"/>
      <c r="X299" s="3"/>
      <c r="Y299" s="3" t="s">
        <v>2001</v>
      </c>
    </row>
    <row r="300" spans="1:25" ht="60" customHeight="1" x14ac:dyDescent="0.2">
      <c r="A300" s="3" t="s">
        <v>6358</v>
      </c>
      <c r="B300" s="3" t="s">
        <v>6359</v>
      </c>
      <c r="C300" s="3" t="s">
        <v>6220</v>
      </c>
      <c r="D300" s="3">
        <v>904</v>
      </c>
      <c r="E300" s="3" t="s">
        <v>4129</v>
      </c>
      <c r="F300" s="3" t="s">
        <v>6360</v>
      </c>
      <c r="G300" s="11" t="s">
        <v>6361</v>
      </c>
      <c r="H300" s="3" t="s">
        <v>6362</v>
      </c>
      <c r="I300" s="3" t="s">
        <v>3996</v>
      </c>
      <c r="J300" s="3" t="s">
        <v>4164</v>
      </c>
      <c r="K300" s="3" t="s">
        <v>4028</v>
      </c>
      <c r="L300" s="3" t="s">
        <v>650</v>
      </c>
      <c r="M300" s="3" t="s">
        <v>6363</v>
      </c>
      <c r="N300" s="3" t="s">
        <v>3419</v>
      </c>
      <c r="O300" s="3" t="s">
        <v>6364</v>
      </c>
      <c r="P300" s="3">
        <v>4</v>
      </c>
      <c r="Q300" s="3" t="s">
        <v>6364</v>
      </c>
      <c r="R300" s="3" t="s">
        <v>6365</v>
      </c>
      <c r="S300" s="3" t="s">
        <v>650</v>
      </c>
      <c r="T300" s="3" t="s">
        <v>6366</v>
      </c>
      <c r="U300" s="3" t="s">
        <v>1380</v>
      </c>
      <c r="V300" s="3" t="s">
        <v>1069</v>
      </c>
      <c r="W300" s="3"/>
      <c r="X300" s="3"/>
      <c r="Y300" s="3" t="s">
        <v>2001</v>
      </c>
    </row>
    <row r="301" spans="1:25" ht="60" customHeight="1" x14ac:dyDescent="0.2">
      <c r="A301" s="3" t="s">
        <v>1388</v>
      </c>
      <c r="B301" s="3" t="s">
        <v>1387</v>
      </c>
      <c r="C301" s="3" t="s">
        <v>6220</v>
      </c>
      <c r="D301" s="3">
        <v>951</v>
      </c>
      <c r="E301" s="3" t="s">
        <v>4003</v>
      </c>
      <c r="F301" s="3" t="s">
        <v>6367</v>
      </c>
      <c r="G301" s="11" t="s">
        <v>6368</v>
      </c>
      <c r="H301" s="3" t="s">
        <v>6369</v>
      </c>
      <c r="I301" s="3" t="s">
        <v>4018</v>
      </c>
      <c r="J301" s="3" t="s">
        <v>6332</v>
      </c>
      <c r="K301" s="3" t="s">
        <v>4257</v>
      </c>
      <c r="L301" s="3" t="s">
        <v>4020</v>
      </c>
      <c r="M301" s="3" t="s">
        <v>6370</v>
      </c>
      <c r="N301" s="3" t="s">
        <v>3535</v>
      </c>
      <c r="O301" s="3" t="s">
        <v>6333</v>
      </c>
      <c r="P301" s="3">
        <v>3</v>
      </c>
      <c r="Q301" s="3" t="s">
        <v>6334</v>
      </c>
      <c r="R301" s="3" t="s">
        <v>1397</v>
      </c>
      <c r="S301" s="3" t="s">
        <v>474</v>
      </c>
      <c r="T301" s="3" t="s">
        <v>3799</v>
      </c>
      <c r="U301" s="3" t="s">
        <v>1380</v>
      </c>
      <c r="V301" s="3" t="s">
        <v>505</v>
      </c>
      <c r="W301" s="3"/>
      <c r="X301" s="3"/>
      <c r="Y301" s="6" t="s">
        <v>6371</v>
      </c>
    </row>
    <row r="302" spans="1:25" ht="60" customHeight="1" x14ac:dyDescent="0.2">
      <c r="A302" s="3" t="s">
        <v>2039</v>
      </c>
      <c r="B302" s="3" t="s">
        <v>2038</v>
      </c>
      <c r="C302" s="3" t="s">
        <v>6220</v>
      </c>
      <c r="D302" s="3">
        <v>979</v>
      </c>
      <c r="E302" s="3" t="s">
        <v>4003</v>
      </c>
      <c r="F302" s="3" t="s">
        <v>6372</v>
      </c>
      <c r="G302" s="11" t="s">
        <v>6373</v>
      </c>
      <c r="H302" s="3" t="s">
        <v>6374</v>
      </c>
      <c r="I302" s="3" t="s">
        <v>4018</v>
      </c>
      <c r="J302" s="3" t="s">
        <v>6332</v>
      </c>
      <c r="K302" s="3" t="s">
        <v>4257</v>
      </c>
      <c r="L302" s="3" t="s">
        <v>4020</v>
      </c>
      <c r="M302" s="3" t="s">
        <v>4010</v>
      </c>
      <c r="N302" s="3" t="s">
        <v>3535</v>
      </c>
      <c r="O302" s="3" t="s">
        <v>6333</v>
      </c>
      <c r="P302" s="3">
        <v>3</v>
      </c>
      <c r="Q302" s="3" t="s">
        <v>6334</v>
      </c>
      <c r="R302" s="3" t="s">
        <v>2043</v>
      </c>
      <c r="S302" s="3" t="s">
        <v>2035</v>
      </c>
      <c r="T302" s="3" t="s">
        <v>3720</v>
      </c>
      <c r="U302" s="3" t="s">
        <v>1380</v>
      </c>
      <c r="V302" s="3" t="s">
        <v>700</v>
      </c>
      <c r="W302" s="3"/>
      <c r="X302" s="3"/>
      <c r="Y302" s="3" t="s">
        <v>2001</v>
      </c>
    </row>
    <row r="303" spans="1:25" ht="60" customHeight="1" x14ac:dyDescent="0.2">
      <c r="A303" s="3" t="s">
        <v>6375</v>
      </c>
      <c r="B303" s="3" t="s">
        <v>6376</v>
      </c>
      <c r="C303" s="3" t="s">
        <v>6220</v>
      </c>
      <c r="D303" s="3">
        <v>1009</v>
      </c>
      <c r="E303" s="3" t="s">
        <v>4003</v>
      </c>
      <c r="F303" s="3" t="s">
        <v>6377</v>
      </c>
      <c r="G303" s="11" t="s">
        <v>6378</v>
      </c>
      <c r="H303" s="3" t="s">
        <v>6379</v>
      </c>
      <c r="I303" s="3" t="s">
        <v>3996</v>
      </c>
      <c r="J303" s="3" t="s">
        <v>6380</v>
      </c>
      <c r="K303" s="3" t="s">
        <v>4008</v>
      </c>
      <c r="L303" s="3" t="s">
        <v>4020</v>
      </c>
      <c r="M303" s="3" t="s">
        <v>4056</v>
      </c>
      <c r="N303" s="3" t="s">
        <v>3535</v>
      </c>
      <c r="O303" s="3" t="s">
        <v>6381</v>
      </c>
      <c r="P303" s="3">
        <v>4</v>
      </c>
      <c r="Q303" s="3" t="s">
        <v>6382</v>
      </c>
      <c r="R303" s="3" t="s">
        <v>6383</v>
      </c>
      <c r="S303" s="3" t="s">
        <v>650</v>
      </c>
      <c r="T303" s="3" t="s">
        <v>650</v>
      </c>
      <c r="U303" s="3" t="s">
        <v>1380</v>
      </c>
      <c r="V303" s="3" t="s">
        <v>700</v>
      </c>
      <c r="W303" s="3"/>
      <c r="X303" s="3"/>
      <c r="Y303" s="3" t="s">
        <v>2001</v>
      </c>
    </row>
    <row r="304" spans="1:25" ht="60" customHeight="1" x14ac:dyDescent="0.2">
      <c r="A304" s="3" t="s">
        <v>6384</v>
      </c>
      <c r="B304" s="3" t="s">
        <v>6385</v>
      </c>
      <c r="C304" s="3" t="s">
        <v>656</v>
      </c>
      <c r="D304" s="3">
        <v>48</v>
      </c>
      <c r="E304" s="3" t="s">
        <v>3992</v>
      </c>
      <c r="F304" s="3" t="s">
        <v>6386</v>
      </c>
      <c r="G304" s="11" t="s">
        <v>6387</v>
      </c>
      <c r="H304" s="3" t="s">
        <v>6388</v>
      </c>
      <c r="I304" s="3" t="s">
        <v>4290</v>
      </c>
      <c r="J304" s="3" t="s">
        <v>6389</v>
      </c>
      <c r="K304" s="3" t="s">
        <v>4257</v>
      </c>
      <c r="L304" s="3" t="s">
        <v>650</v>
      </c>
      <c r="M304" s="3" t="s">
        <v>6390</v>
      </c>
      <c r="N304" s="3" t="s">
        <v>3535</v>
      </c>
      <c r="O304" s="3" t="s">
        <v>5355</v>
      </c>
      <c r="P304" s="3">
        <v>1</v>
      </c>
      <c r="Q304" s="3" t="s">
        <v>5355</v>
      </c>
      <c r="R304" s="3" t="s">
        <v>6391</v>
      </c>
      <c r="S304" s="3" t="s">
        <v>650</v>
      </c>
      <c r="T304" s="3" t="s">
        <v>6392</v>
      </c>
      <c r="U304" s="3" t="s">
        <v>1380</v>
      </c>
      <c r="V304" s="3" t="s">
        <v>428</v>
      </c>
      <c r="W304" s="3"/>
      <c r="X304" s="3"/>
      <c r="Y304" s="6" t="s">
        <v>6393</v>
      </c>
    </row>
    <row r="305" spans="1:25" ht="60" customHeight="1" x14ac:dyDescent="0.2">
      <c r="A305" s="3" t="s">
        <v>6394</v>
      </c>
      <c r="B305" s="3" t="s">
        <v>6395</v>
      </c>
      <c r="C305" s="3" t="s">
        <v>656</v>
      </c>
      <c r="D305" s="3">
        <v>93</v>
      </c>
      <c r="E305" s="3" t="s">
        <v>3992</v>
      </c>
      <c r="F305" s="3" t="s">
        <v>6396</v>
      </c>
      <c r="G305" s="11" t="s">
        <v>6397</v>
      </c>
      <c r="H305" s="3" t="s">
        <v>6398</v>
      </c>
      <c r="I305" s="3" t="s">
        <v>4018</v>
      </c>
      <c r="J305" s="3" t="s">
        <v>6399</v>
      </c>
      <c r="K305" s="3" t="s">
        <v>6400</v>
      </c>
      <c r="L305" s="3" t="s">
        <v>650</v>
      </c>
      <c r="M305" s="3" t="s">
        <v>4124</v>
      </c>
      <c r="N305" s="3" t="s">
        <v>3535</v>
      </c>
      <c r="O305" s="3" t="s">
        <v>655</v>
      </c>
      <c r="P305" s="3">
        <v>2</v>
      </c>
      <c r="Q305" s="3" t="s">
        <v>6401</v>
      </c>
      <c r="R305" s="3" t="s">
        <v>6402</v>
      </c>
      <c r="S305" s="3" t="s">
        <v>650</v>
      </c>
      <c r="T305" s="3" t="s">
        <v>6403</v>
      </c>
      <c r="U305" s="3" t="s">
        <v>1380</v>
      </c>
      <c r="V305" s="3" t="s">
        <v>7</v>
      </c>
      <c r="W305" s="3"/>
      <c r="X305" s="3"/>
      <c r="Y305" s="3" t="s">
        <v>2001</v>
      </c>
    </row>
    <row r="306" spans="1:25" ht="60" customHeight="1" x14ac:dyDescent="0.2">
      <c r="A306" s="3" t="s">
        <v>6404</v>
      </c>
      <c r="B306" s="3" t="s">
        <v>6405</v>
      </c>
      <c r="C306" s="3" t="s">
        <v>6406</v>
      </c>
      <c r="D306" s="3">
        <v>58</v>
      </c>
      <c r="E306" s="3" t="s">
        <v>4129</v>
      </c>
      <c r="F306" s="3" t="s">
        <v>6407</v>
      </c>
      <c r="G306" s="11" t="s">
        <v>6408</v>
      </c>
      <c r="H306" s="3" t="s">
        <v>6409</v>
      </c>
      <c r="I306" s="3" t="s">
        <v>3996</v>
      </c>
      <c r="J306" s="3" t="s">
        <v>6410</v>
      </c>
      <c r="K306" s="3" t="s">
        <v>4028</v>
      </c>
      <c r="L306" s="3" t="s">
        <v>650</v>
      </c>
      <c r="M306" s="3" t="s">
        <v>6411</v>
      </c>
      <c r="N306" s="3" t="s">
        <v>3419</v>
      </c>
      <c r="O306" s="3" t="s">
        <v>5264</v>
      </c>
      <c r="P306" s="3">
        <v>1</v>
      </c>
      <c r="Q306" s="3" t="s">
        <v>5264</v>
      </c>
      <c r="R306" s="3" t="s">
        <v>6412</v>
      </c>
      <c r="S306" s="3" t="s">
        <v>650</v>
      </c>
      <c r="T306" s="3" t="s">
        <v>6413</v>
      </c>
      <c r="U306" s="3" t="s">
        <v>1380</v>
      </c>
      <c r="V306" s="3" t="s">
        <v>1069</v>
      </c>
      <c r="W306" s="3"/>
      <c r="X306" s="3"/>
      <c r="Y306" s="3" t="s">
        <v>2001</v>
      </c>
    </row>
    <row r="307" spans="1:25" ht="60" customHeight="1" x14ac:dyDescent="0.2">
      <c r="A307" s="3" t="s">
        <v>6414</v>
      </c>
      <c r="B307" s="3" t="s">
        <v>6415</v>
      </c>
      <c r="C307" s="3" t="s">
        <v>6406</v>
      </c>
      <c r="D307" s="3">
        <v>113</v>
      </c>
      <c r="E307" s="3" t="s">
        <v>4129</v>
      </c>
      <c r="F307" s="3" t="s">
        <v>6416</v>
      </c>
      <c r="G307" s="11" t="s">
        <v>6417</v>
      </c>
      <c r="H307" s="3" t="s">
        <v>6418</v>
      </c>
      <c r="I307" s="3" t="s">
        <v>4065</v>
      </c>
      <c r="J307" s="3" t="s">
        <v>6419</v>
      </c>
      <c r="K307" s="3" t="s">
        <v>4484</v>
      </c>
      <c r="L307" s="3" t="s">
        <v>650</v>
      </c>
      <c r="M307" s="3" t="s">
        <v>4010</v>
      </c>
      <c r="N307" s="3" t="s">
        <v>3419</v>
      </c>
      <c r="O307" s="3" t="s">
        <v>5264</v>
      </c>
      <c r="P307" s="3">
        <v>1</v>
      </c>
      <c r="Q307" s="3" t="s">
        <v>5264</v>
      </c>
      <c r="R307" s="3" t="s">
        <v>6420</v>
      </c>
      <c r="S307" s="3" t="s">
        <v>650</v>
      </c>
      <c r="T307" s="3" t="s">
        <v>6421</v>
      </c>
      <c r="U307" s="3" t="s">
        <v>1380</v>
      </c>
      <c r="V307" s="3" t="s">
        <v>1069</v>
      </c>
      <c r="W307" s="3"/>
      <c r="X307" s="3"/>
      <c r="Y307" s="3" t="s">
        <v>2001</v>
      </c>
    </row>
    <row r="308" spans="1:25" ht="60" customHeight="1" x14ac:dyDescent="0.2">
      <c r="A308" s="3" t="s">
        <v>6422</v>
      </c>
      <c r="B308" s="3" t="s">
        <v>6423</v>
      </c>
      <c r="C308" s="3" t="s">
        <v>6406</v>
      </c>
      <c r="D308" s="3">
        <v>188</v>
      </c>
      <c r="E308" s="3" t="s">
        <v>4129</v>
      </c>
      <c r="F308" s="3" t="s">
        <v>6424</v>
      </c>
      <c r="G308" s="11" t="s">
        <v>6425</v>
      </c>
      <c r="H308" s="3" t="s">
        <v>6426</v>
      </c>
      <c r="I308" s="3" t="s">
        <v>4065</v>
      </c>
      <c r="J308" s="3" t="s">
        <v>4164</v>
      </c>
      <c r="K308" s="3" t="s">
        <v>4028</v>
      </c>
      <c r="L308" s="3" t="s">
        <v>650</v>
      </c>
      <c r="M308" s="3" t="s">
        <v>6427</v>
      </c>
      <c r="N308" s="3" t="s">
        <v>3419</v>
      </c>
      <c r="O308" s="3" t="s">
        <v>6428</v>
      </c>
      <c r="P308" s="3">
        <v>4</v>
      </c>
      <c r="Q308" s="3" t="s">
        <v>6429</v>
      </c>
      <c r="R308" s="3" t="s">
        <v>6430</v>
      </c>
      <c r="S308" s="3" t="s">
        <v>650</v>
      </c>
      <c r="T308" s="3" t="s">
        <v>6431</v>
      </c>
      <c r="U308" s="3" t="s">
        <v>1380</v>
      </c>
      <c r="V308" s="3" t="s">
        <v>1069</v>
      </c>
      <c r="W308" s="3"/>
      <c r="X308" s="3"/>
      <c r="Y308" s="3" t="s">
        <v>2001</v>
      </c>
    </row>
    <row r="309" spans="1:25" ht="45" customHeight="1" x14ac:dyDescent="0.2">
      <c r="A309" s="3" t="s">
        <v>6432</v>
      </c>
      <c r="B309" s="3" t="s">
        <v>6433</v>
      </c>
      <c r="C309" s="3" t="s">
        <v>6406</v>
      </c>
      <c r="D309" s="3">
        <v>233</v>
      </c>
      <c r="E309" s="3" t="s">
        <v>4129</v>
      </c>
      <c r="F309" s="3" t="s">
        <v>6434</v>
      </c>
      <c r="G309" s="11" t="s">
        <v>6435</v>
      </c>
      <c r="H309" s="3" t="s">
        <v>6436</v>
      </c>
      <c r="I309" s="3" t="s">
        <v>3996</v>
      </c>
      <c r="J309" s="3" t="s">
        <v>6437</v>
      </c>
      <c r="K309" s="3" t="s">
        <v>6438</v>
      </c>
      <c r="L309" s="3" t="s">
        <v>650</v>
      </c>
      <c r="M309" s="3" t="s">
        <v>4010</v>
      </c>
      <c r="N309" s="3" t="s">
        <v>3419</v>
      </c>
      <c r="O309" s="3" t="s">
        <v>650</v>
      </c>
      <c r="P309" s="3">
        <v>0</v>
      </c>
      <c r="Q309" s="3" t="s">
        <v>4052</v>
      </c>
      <c r="R309" s="3" t="s">
        <v>1499</v>
      </c>
      <c r="S309" s="3" t="s">
        <v>650</v>
      </c>
      <c r="T309" s="3" t="s">
        <v>6439</v>
      </c>
      <c r="U309" s="3" t="s">
        <v>1380</v>
      </c>
      <c r="V309" s="3" t="s">
        <v>1069</v>
      </c>
      <c r="W309" s="3"/>
      <c r="X309" s="3"/>
      <c r="Y309" s="3" t="s">
        <v>2001</v>
      </c>
    </row>
    <row r="310" spans="1:25" ht="60" customHeight="1" x14ac:dyDescent="0.2">
      <c r="A310" s="3" t="s">
        <v>6440</v>
      </c>
      <c r="B310" s="3" t="s">
        <v>6441</v>
      </c>
      <c r="C310" s="3" t="s">
        <v>6442</v>
      </c>
      <c r="D310" s="3">
        <v>44</v>
      </c>
      <c r="E310" s="3" t="s">
        <v>3992</v>
      </c>
      <c r="F310" s="3" t="s">
        <v>6443</v>
      </c>
      <c r="G310" s="11" t="s">
        <v>6444</v>
      </c>
      <c r="H310" s="3" t="s">
        <v>6445</v>
      </c>
      <c r="I310" s="3" t="s">
        <v>4290</v>
      </c>
      <c r="J310" s="3" t="s">
        <v>4164</v>
      </c>
      <c r="K310" s="3" t="s">
        <v>4028</v>
      </c>
      <c r="L310" s="3" t="s">
        <v>650</v>
      </c>
      <c r="M310" s="3" t="s">
        <v>6446</v>
      </c>
      <c r="N310" s="3" t="s">
        <v>3535</v>
      </c>
      <c r="O310" s="3" t="s">
        <v>650</v>
      </c>
      <c r="P310" s="3">
        <v>0</v>
      </c>
      <c r="Q310" s="3" t="s">
        <v>4052</v>
      </c>
      <c r="R310" s="3" t="s">
        <v>1499</v>
      </c>
      <c r="S310" s="3" t="s">
        <v>650</v>
      </c>
      <c r="T310" s="3" t="s">
        <v>6447</v>
      </c>
      <c r="U310" s="3" t="s">
        <v>1380</v>
      </c>
      <c r="V310" s="3" t="s">
        <v>7</v>
      </c>
      <c r="W310" s="3" t="s">
        <v>6448</v>
      </c>
      <c r="X310" s="6" t="s">
        <v>6449</v>
      </c>
      <c r="Y310" s="6" t="s">
        <v>1854</v>
      </c>
    </row>
    <row r="311" spans="1:25" ht="60" customHeight="1" x14ac:dyDescent="0.2">
      <c r="A311" s="3" t="s">
        <v>6450</v>
      </c>
      <c r="B311" s="3" t="s">
        <v>6451</v>
      </c>
      <c r="C311" s="3" t="s">
        <v>6220</v>
      </c>
      <c r="D311" s="3">
        <v>450</v>
      </c>
      <c r="E311" s="3" t="s">
        <v>3992</v>
      </c>
      <c r="F311" s="3" t="s">
        <v>6452</v>
      </c>
      <c r="G311" s="11" t="s">
        <v>6453</v>
      </c>
      <c r="H311" s="3" t="s">
        <v>6454</v>
      </c>
      <c r="I311" s="3" t="s">
        <v>3996</v>
      </c>
      <c r="J311" s="3" t="s">
        <v>6455</v>
      </c>
      <c r="K311" s="3" t="s">
        <v>4257</v>
      </c>
      <c r="L311" s="3" t="s">
        <v>650</v>
      </c>
      <c r="M311" s="3" t="s">
        <v>4010</v>
      </c>
      <c r="N311" s="3" t="s">
        <v>3535</v>
      </c>
      <c r="O311" s="3" t="s">
        <v>650</v>
      </c>
      <c r="P311" s="3">
        <v>0</v>
      </c>
      <c r="Q311" s="3" t="s">
        <v>4052</v>
      </c>
      <c r="R311" s="3" t="s">
        <v>1499</v>
      </c>
      <c r="S311" s="3" t="s">
        <v>650</v>
      </c>
      <c r="T311" s="3" t="s">
        <v>650</v>
      </c>
      <c r="U311" s="3" t="s">
        <v>1380</v>
      </c>
      <c r="V311" s="3" t="s">
        <v>700</v>
      </c>
      <c r="W311" s="3"/>
      <c r="X311" s="3"/>
      <c r="Y311" s="3" t="s">
        <v>2001</v>
      </c>
    </row>
    <row r="312" spans="1:25" ht="60" customHeight="1" x14ac:dyDescent="0.2">
      <c r="A312" s="3" t="s">
        <v>6456</v>
      </c>
      <c r="B312" s="3" t="s">
        <v>6457</v>
      </c>
      <c r="C312" s="3" t="s">
        <v>6406</v>
      </c>
      <c r="D312" s="3">
        <v>148</v>
      </c>
      <c r="E312" s="3" t="s">
        <v>4129</v>
      </c>
      <c r="F312" s="3" t="s">
        <v>4110</v>
      </c>
      <c r="G312" s="11" t="s">
        <v>6458</v>
      </c>
      <c r="H312" s="3" t="s">
        <v>6459</v>
      </c>
      <c r="I312" s="3" t="s">
        <v>4065</v>
      </c>
      <c r="J312" s="3" t="s">
        <v>6460</v>
      </c>
      <c r="K312" s="3" t="s">
        <v>4008</v>
      </c>
      <c r="L312" s="3" t="s">
        <v>650</v>
      </c>
      <c r="M312" s="3" t="s">
        <v>6461</v>
      </c>
      <c r="N312" s="3" t="s">
        <v>3419</v>
      </c>
      <c r="O312" s="3" t="s">
        <v>650</v>
      </c>
      <c r="P312" s="3">
        <v>0</v>
      </c>
      <c r="Q312" s="3" t="s">
        <v>4052</v>
      </c>
      <c r="R312" s="3" t="s">
        <v>1499</v>
      </c>
      <c r="S312" s="3" t="s">
        <v>650</v>
      </c>
      <c r="T312" s="3" t="s">
        <v>650</v>
      </c>
      <c r="U312" s="3" t="s">
        <v>1380</v>
      </c>
      <c r="V312" s="3" t="s">
        <v>1069</v>
      </c>
      <c r="W312" s="3"/>
      <c r="X312" s="3"/>
      <c r="Y312" s="3" t="s">
        <v>2001</v>
      </c>
    </row>
    <row r="313" spans="1:25" ht="60" customHeight="1" x14ac:dyDescent="0.2">
      <c r="A313" s="3" t="s">
        <v>6462</v>
      </c>
      <c r="B313" s="3" t="s">
        <v>6463</v>
      </c>
      <c r="C313" s="3" t="s">
        <v>6220</v>
      </c>
      <c r="D313" s="3">
        <v>67</v>
      </c>
      <c r="E313" s="3" t="s">
        <v>3992</v>
      </c>
      <c r="F313" s="3" t="s">
        <v>4110</v>
      </c>
      <c r="G313" s="11" t="s">
        <v>6464</v>
      </c>
      <c r="H313" s="3" t="s">
        <v>6465</v>
      </c>
      <c r="I313" s="3" t="s">
        <v>4018</v>
      </c>
      <c r="J313" s="3" t="s">
        <v>6466</v>
      </c>
      <c r="K313" s="3" t="s">
        <v>4008</v>
      </c>
      <c r="L313" s="3" t="s">
        <v>650</v>
      </c>
      <c r="M313" s="3" t="s">
        <v>4010</v>
      </c>
      <c r="N313" s="3" t="s">
        <v>3535</v>
      </c>
      <c r="O313" s="3" t="s">
        <v>650</v>
      </c>
      <c r="P313" s="3">
        <v>0</v>
      </c>
      <c r="Q313" s="3" t="s">
        <v>4052</v>
      </c>
      <c r="R313" s="3" t="s">
        <v>1499</v>
      </c>
      <c r="S313" s="3" t="s">
        <v>650</v>
      </c>
      <c r="T313" s="3" t="s">
        <v>650</v>
      </c>
      <c r="U313" s="3" t="s">
        <v>1380</v>
      </c>
      <c r="V313" s="3" t="s">
        <v>577</v>
      </c>
      <c r="W313" s="3"/>
      <c r="X313" s="3"/>
      <c r="Y313" s="6" t="s">
        <v>6467</v>
      </c>
    </row>
    <row r="314" spans="1:25" ht="60" customHeight="1" x14ac:dyDescent="0.2">
      <c r="A314" s="3" t="s">
        <v>6468</v>
      </c>
      <c r="B314" s="3" t="s">
        <v>6469</v>
      </c>
      <c r="C314" s="3" t="s">
        <v>6220</v>
      </c>
      <c r="D314" s="3">
        <v>101</v>
      </c>
      <c r="E314" s="3" t="s">
        <v>3992</v>
      </c>
      <c r="F314" s="3" t="s">
        <v>6470</v>
      </c>
      <c r="G314" s="11" t="s">
        <v>6471</v>
      </c>
      <c r="H314" s="3" t="s">
        <v>6472</v>
      </c>
      <c r="I314" s="3" t="s">
        <v>4018</v>
      </c>
      <c r="J314" s="3" t="s">
        <v>6473</v>
      </c>
      <c r="K314" s="3" t="s">
        <v>6474</v>
      </c>
      <c r="L314" s="3" t="s">
        <v>650</v>
      </c>
      <c r="M314" s="3" t="s">
        <v>4010</v>
      </c>
      <c r="N314" s="3" t="s">
        <v>3535</v>
      </c>
      <c r="O314" s="3" t="s">
        <v>650</v>
      </c>
      <c r="P314" s="3">
        <v>0</v>
      </c>
      <c r="Q314" s="3" t="s">
        <v>4052</v>
      </c>
      <c r="R314" s="3" t="s">
        <v>1499</v>
      </c>
      <c r="S314" s="3" t="s">
        <v>650</v>
      </c>
      <c r="T314" s="3" t="s">
        <v>650</v>
      </c>
      <c r="U314" s="3" t="s">
        <v>1380</v>
      </c>
      <c r="V314" s="3" t="s">
        <v>577</v>
      </c>
      <c r="W314" s="3"/>
      <c r="X314" s="3"/>
      <c r="Y314" s="6" t="s">
        <v>6475</v>
      </c>
    </row>
    <row r="315" spans="1:25" ht="60" customHeight="1" x14ac:dyDescent="0.2">
      <c r="A315" s="3" t="s">
        <v>6476</v>
      </c>
      <c r="B315" s="3" t="s">
        <v>6477</v>
      </c>
      <c r="C315" s="3" t="s">
        <v>6220</v>
      </c>
      <c r="D315" s="3">
        <v>129</v>
      </c>
      <c r="E315" s="3" t="s">
        <v>4003</v>
      </c>
      <c r="F315" s="3" t="s">
        <v>6478</v>
      </c>
      <c r="G315" s="11" t="s">
        <v>6479</v>
      </c>
      <c r="H315" s="3" t="s">
        <v>6480</v>
      </c>
      <c r="I315" s="3" t="s">
        <v>3996</v>
      </c>
      <c r="J315" s="3" t="s">
        <v>6481</v>
      </c>
      <c r="K315" s="3" t="s">
        <v>4844</v>
      </c>
      <c r="L315" s="3" t="s">
        <v>6482</v>
      </c>
      <c r="M315" s="3" t="s">
        <v>4010</v>
      </c>
      <c r="N315" s="3" t="s">
        <v>3535</v>
      </c>
      <c r="O315" s="3" t="s">
        <v>6483</v>
      </c>
      <c r="P315" s="3">
        <v>1</v>
      </c>
      <c r="Q315" s="3" t="s">
        <v>6483</v>
      </c>
      <c r="R315" s="3" t="s">
        <v>6484</v>
      </c>
      <c r="S315" s="3" t="s">
        <v>650</v>
      </c>
      <c r="T315" s="3" t="s">
        <v>650</v>
      </c>
      <c r="U315" s="3" t="s">
        <v>1380</v>
      </c>
      <c r="V315" s="3" t="s">
        <v>577</v>
      </c>
      <c r="W315" s="3"/>
      <c r="X315" s="3"/>
      <c r="Y315" s="6" t="s">
        <v>6475</v>
      </c>
    </row>
    <row r="316" spans="1:25" ht="60" customHeight="1" x14ac:dyDescent="0.2">
      <c r="A316" s="3" t="s">
        <v>6485</v>
      </c>
      <c r="B316" s="3" t="s">
        <v>6486</v>
      </c>
      <c r="C316" s="3" t="s">
        <v>6220</v>
      </c>
      <c r="D316" s="3">
        <v>495</v>
      </c>
      <c r="E316" s="3" t="s">
        <v>3992</v>
      </c>
      <c r="F316" s="3" t="s">
        <v>6487</v>
      </c>
      <c r="G316" s="11" t="s">
        <v>6488</v>
      </c>
      <c r="H316" s="3" t="s">
        <v>6489</v>
      </c>
      <c r="I316" s="3" t="s">
        <v>3996</v>
      </c>
      <c r="J316" s="3" t="s">
        <v>6490</v>
      </c>
      <c r="K316" s="3" t="s">
        <v>4257</v>
      </c>
      <c r="L316" s="3" t="s">
        <v>650</v>
      </c>
      <c r="M316" s="3" t="s">
        <v>4010</v>
      </c>
      <c r="N316" s="3" t="s">
        <v>3535</v>
      </c>
      <c r="O316" s="3" t="s">
        <v>650</v>
      </c>
      <c r="P316" s="3">
        <v>0</v>
      </c>
      <c r="Q316" s="3" t="s">
        <v>4052</v>
      </c>
      <c r="R316" s="3" t="s">
        <v>1499</v>
      </c>
      <c r="S316" s="3" t="s">
        <v>650</v>
      </c>
      <c r="T316" s="3" t="s">
        <v>650</v>
      </c>
      <c r="U316" s="3" t="s">
        <v>1380</v>
      </c>
      <c r="V316" s="3" t="s">
        <v>1069</v>
      </c>
      <c r="W316" s="3"/>
      <c r="X316" s="3"/>
      <c r="Y316" s="3" t="s">
        <v>2001</v>
      </c>
    </row>
    <row r="317" spans="1:25" ht="60" customHeight="1" x14ac:dyDescent="0.2">
      <c r="A317" s="3" t="s">
        <v>6491</v>
      </c>
      <c r="B317" s="3" t="s">
        <v>6492</v>
      </c>
      <c r="C317" s="3" t="s">
        <v>6493</v>
      </c>
      <c r="D317" s="3">
        <v>38</v>
      </c>
      <c r="E317" s="3" t="s">
        <v>4003</v>
      </c>
      <c r="F317" s="3" t="s">
        <v>3895</v>
      </c>
      <c r="G317" s="11" t="s">
        <v>6494</v>
      </c>
      <c r="H317" s="3" t="s">
        <v>6495</v>
      </c>
      <c r="I317" s="3" t="s">
        <v>4018</v>
      </c>
      <c r="J317" s="3" t="s">
        <v>5569</v>
      </c>
      <c r="K317" s="3" t="s">
        <v>6496</v>
      </c>
      <c r="L317" s="3" t="s">
        <v>6497</v>
      </c>
      <c r="M317" s="3" t="s">
        <v>4010</v>
      </c>
      <c r="N317" s="3" t="s">
        <v>3535</v>
      </c>
      <c r="O317" s="3" t="s">
        <v>3313</v>
      </c>
      <c r="P317" s="3">
        <v>14</v>
      </c>
      <c r="Q317" s="3" t="s">
        <v>5867</v>
      </c>
      <c r="R317" s="3" t="s">
        <v>6498</v>
      </c>
      <c r="S317" s="3" t="s">
        <v>650</v>
      </c>
      <c r="T317" s="3" t="s">
        <v>3893</v>
      </c>
      <c r="U317" s="3" t="s">
        <v>1380</v>
      </c>
      <c r="V317" s="3" t="s">
        <v>700</v>
      </c>
      <c r="W317" s="3"/>
      <c r="X317" s="3"/>
      <c r="Y317" s="3" t="s">
        <v>2001</v>
      </c>
    </row>
    <row r="318" spans="1:25" ht="60" customHeight="1" x14ac:dyDescent="0.2">
      <c r="A318" s="3" t="s">
        <v>6499</v>
      </c>
      <c r="B318" s="3" t="s">
        <v>6500</v>
      </c>
      <c r="C318" s="3" t="s">
        <v>6493</v>
      </c>
      <c r="D318" s="3">
        <v>84</v>
      </c>
      <c r="E318" s="3" t="s">
        <v>4003</v>
      </c>
      <c r="F318" s="3" t="s">
        <v>4110</v>
      </c>
      <c r="G318" s="11" t="s">
        <v>6501</v>
      </c>
      <c r="H318" s="3" t="s">
        <v>6502</v>
      </c>
      <c r="I318" s="3" t="s">
        <v>4018</v>
      </c>
      <c r="J318" s="3" t="s">
        <v>6503</v>
      </c>
      <c r="K318" s="3" t="s">
        <v>6504</v>
      </c>
      <c r="L318" s="3" t="s">
        <v>6505</v>
      </c>
      <c r="M318" s="3" t="s">
        <v>4021</v>
      </c>
      <c r="N318" s="3" t="s">
        <v>3535</v>
      </c>
      <c r="O318" s="3" t="s">
        <v>650</v>
      </c>
      <c r="P318" s="3">
        <v>0</v>
      </c>
      <c r="Q318" s="3" t="s">
        <v>4052</v>
      </c>
      <c r="R318" s="3" t="s">
        <v>1499</v>
      </c>
      <c r="S318" s="3" t="s">
        <v>650</v>
      </c>
      <c r="T318" s="3" t="s">
        <v>650</v>
      </c>
      <c r="U318" s="3" t="s">
        <v>1380</v>
      </c>
      <c r="V318" s="3" t="s">
        <v>505</v>
      </c>
      <c r="W318" s="3"/>
      <c r="X318" s="3"/>
      <c r="Y318" s="3" t="s">
        <v>2001</v>
      </c>
    </row>
    <row r="319" spans="1:25" ht="60" customHeight="1" x14ac:dyDescent="0.2">
      <c r="A319" s="3" t="s">
        <v>6506</v>
      </c>
      <c r="B319" s="3" t="s">
        <v>6507</v>
      </c>
      <c r="C319" s="3" t="s">
        <v>6493</v>
      </c>
      <c r="D319" s="3">
        <v>127</v>
      </c>
      <c r="E319" s="3" t="s">
        <v>4003</v>
      </c>
      <c r="F319" s="3" t="s">
        <v>6508</v>
      </c>
      <c r="G319" s="11" t="s">
        <v>6509</v>
      </c>
      <c r="H319" s="3" t="s">
        <v>6510</v>
      </c>
      <c r="I319" s="3" t="s">
        <v>3996</v>
      </c>
      <c r="J319" s="3" t="s">
        <v>6511</v>
      </c>
      <c r="K319" s="3" t="s">
        <v>4257</v>
      </c>
      <c r="L319" s="3" t="s">
        <v>4020</v>
      </c>
      <c r="M319" s="3" t="s">
        <v>6512</v>
      </c>
      <c r="N319" s="3" t="s">
        <v>3535</v>
      </c>
      <c r="O319" s="3" t="s">
        <v>6513</v>
      </c>
      <c r="P319" s="3">
        <v>6</v>
      </c>
      <c r="Q319" s="3" t="s">
        <v>6514</v>
      </c>
      <c r="R319" s="3" t="s">
        <v>6515</v>
      </c>
      <c r="S319" s="3" t="s">
        <v>650</v>
      </c>
      <c r="T319" s="3" t="s">
        <v>650</v>
      </c>
      <c r="U319" s="3" t="s">
        <v>1380</v>
      </c>
      <c r="V319" s="3" t="s">
        <v>700</v>
      </c>
      <c r="W319" s="3"/>
      <c r="X319" s="3"/>
      <c r="Y319" s="3" t="s">
        <v>2001</v>
      </c>
    </row>
    <row r="320" spans="1:25" ht="60" customHeight="1" x14ac:dyDescent="0.2">
      <c r="A320" s="3" t="s">
        <v>6516</v>
      </c>
      <c r="B320" s="3" t="s">
        <v>6517</v>
      </c>
      <c r="C320" s="3" t="s">
        <v>6493</v>
      </c>
      <c r="D320" s="3">
        <v>178</v>
      </c>
      <c r="E320" s="3" t="s">
        <v>4003</v>
      </c>
      <c r="F320" s="3" t="s">
        <v>4110</v>
      </c>
      <c r="G320" s="11" t="s">
        <v>6518</v>
      </c>
      <c r="H320" s="3" t="s">
        <v>6519</v>
      </c>
      <c r="I320" s="3" t="s">
        <v>3996</v>
      </c>
      <c r="J320" s="3" t="s">
        <v>6520</v>
      </c>
      <c r="K320" s="3" t="s">
        <v>6521</v>
      </c>
      <c r="L320" s="3" t="s">
        <v>6522</v>
      </c>
      <c r="M320" s="3" t="s">
        <v>4010</v>
      </c>
      <c r="N320" s="3" t="s">
        <v>3535</v>
      </c>
      <c r="O320" s="3" t="s">
        <v>6523</v>
      </c>
      <c r="P320" s="3">
        <v>8</v>
      </c>
      <c r="Q320" s="3" t="s">
        <v>6524</v>
      </c>
      <c r="R320" s="3" t="s">
        <v>6525</v>
      </c>
      <c r="S320" s="3" t="s">
        <v>650</v>
      </c>
      <c r="T320" s="3" t="s">
        <v>650</v>
      </c>
      <c r="U320" s="3" t="s">
        <v>1380</v>
      </c>
      <c r="V320" s="3" t="s">
        <v>700</v>
      </c>
      <c r="W320" s="3"/>
      <c r="X320" s="3"/>
      <c r="Y320" s="3" t="s">
        <v>2001</v>
      </c>
    </row>
    <row r="321" spans="1:25" ht="60" customHeight="1" x14ac:dyDescent="0.2">
      <c r="A321" s="3" t="s">
        <v>6526</v>
      </c>
      <c r="B321" s="3" t="s">
        <v>6527</v>
      </c>
      <c r="C321" s="3" t="s">
        <v>6493</v>
      </c>
      <c r="D321" s="3">
        <v>232</v>
      </c>
      <c r="E321" s="3" t="s">
        <v>4003</v>
      </c>
      <c r="F321" s="3" t="s">
        <v>6528</v>
      </c>
      <c r="G321" s="11" t="s">
        <v>6529</v>
      </c>
      <c r="H321" s="3" t="s">
        <v>6530</v>
      </c>
      <c r="I321" s="3" t="s">
        <v>4018</v>
      </c>
      <c r="J321" s="3" t="s">
        <v>6531</v>
      </c>
      <c r="K321" s="3" t="s">
        <v>4008</v>
      </c>
      <c r="L321" s="3" t="s">
        <v>6532</v>
      </c>
      <c r="M321" s="3" t="s">
        <v>4124</v>
      </c>
      <c r="N321" s="3" t="s">
        <v>3535</v>
      </c>
      <c r="O321" s="3" t="s">
        <v>6533</v>
      </c>
      <c r="P321" s="3">
        <v>3</v>
      </c>
      <c r="Q321" s="3" t="s">
        <v>6534</v>
      </c>
      <c r="R321" s="3" t="s">
        <v>6535</v>
      </c>
      <c r="S321" s="3" t="s">
        <v>650</v>
      </c>
      <c r="T321" s="3" t="s">
        <v>650</v>
      </c>
      <c r="U321" s="3" t="s">
        <v>1380</v>
      </c>
      <c r="V321" s="3" t="s">
        <v>700</v>
      </c>
      <c r="W321" s="3"/>
      <c r="X321" s="3"/>
      <c r="Y321" s="3" t="s">
        <v>2001</v>
      </c>
    </row>
    <row r="322" spans="1:25" ht="60" customHeight="1" x14ac:dyDescent="0.2">
      <c r="A322" s="3" t="s">
        <v>6536</v>
      </c>
      <c r="B322" s="3" t="s">
        <v>6537</v>
      </c>
      <c r="C322" s="3" t="s">
        <v>6538</v>
      </c>
      <c r="D322" s="3">
        <v>133</v>
      </c>
      <c r="E322" s="3" t="s">
        <v>4129</v>
      </c>
      <c r="F322" s="3" t="s">
        <v>6539</v>
      </c>
      <c r="G322" s="11" t="s">
        <v>6540</v>
      </c>
      <c r="H322" s="3" t="s">
        <v>6541</v>
      </c>
      <c r="I322" s="3" t="s">
        <v>4290</v>
      </c>
      <c r="J322" s="3" t="s">
        <v>6542</v>
      </c>
      <c r="K322" s="3" t="s">
        <v>4008</v>
      </c>
      <c r="L322" s="3" t="s">
        <v>650</v>
      </c>
      <c r="M322" s="3" t="s">
        <v>4010</v>
      </c>
      <c r="N322" s="3" t="s">
        <v>3419</v>
      </c>
      <c r="O322" s="3" t="s">
        <v>6543</v>
      </c>
      <c r="P322" s="3">
        <v>2</v>
      </c>
      <c r="Q322" s="3" t="s">
        <v>6544</v>
      </c>
      <c r="R322" s="3" t="s">
        <v>6545</v>
      </c>
      <c r="S322" s="3" t="s">
        <v>650</v>
      </c>
      <c r="T322" s="3" t="s">
        <v>650</v>
      </c>
      <c r="U322" s="3" t="s">
        <v>1380</v>
      </c>
      <c r="V322" s="3" t="s">
        <v>700</v>
      </c>
      <c r="W322" s="3"/>
      <c r="X322" s="3"/>
      <c r="Y322" s="3" t="s">
        <v>2001</v>
      </c>
    </row>
    <row r="323" spans="1:25" ht="60" customHeight="1" x14ac:dyDescent="0.2">
      <c r="A323" s="3" t="s">
        <v>6546</v>
      </c>
      <c r="B323" s="3" t="s">
        <v>6547</v>
      </c>
      <c r="C323" s="3" t="s">
        <v>6493</v>
      </c>
      <c r="D323" s="3">
        <v>289</v>
      </c>
      <c r="E323" s="3" t="s">
        <v>4003</v>
      </c>
      <c r="F323" s="3" t="s">
        <v>6548</v>
      </c>
      <c r="G323" s="11" t="s">
        <v>6549</v>
      </c>
      <c r="H323" s="3" t="s">
        <v>6550</v>
      </c>
      <c r="I323" s="3" t="s">
        <v>4290</v>
      </c>
      <c r="J323" s="3" t="s">
        <v>6551</v>
      </c>
      <c r="K323" s="3" t="s">
        <v>4008</v>
      </c>
      <c r="L323" s="3" t="s">
        <v>6552</v>
      </c>
      <c r="M323" s="3" t="s">
        <v>6553</v>
      </c>
      <c r="N323" s="3" t="s">
        <v>3535</v>
      </c>
      <c r="O323" s="3" t="s">
        <v>6554</v>
      </c>
      <c r="P323" s="3">
        <v>1</v>
      </c>
      <c r="Q323" s="3" t="s">
        <v>6554</v>
      </c>
      <c r="R323" s="3" t="s">
        <v>6555</v>
      </c>
      <c r="S323" s="3" t="s">
        <v>650</v>
      </c>
      <c r="T323" s="3" t="s">
        <v>650</v>
      </c>
      <c r="U323" s="3" t="s">
        <v>1380</v>
      </c>
      <c r="V323" s="3" t="s">
        <v>700</v>
      </c>
      <c r="W323" s="3"/>
      <c r="X323" s="3"/>
      <c r="Y323" s="3" t="s">
        <v>2001</v>
      </c>
    </row>
    <row r="324" spans="1:25" ht="60" customHeight="1" x14ac:dyDescent="0.2">
      <c r="A324" s="3" t="s">
        <v>6556</v>
      </c>
      <c r="B324" s="3" t="s">
        <v>6557</v>
      </c>
      <c r="C324" s="3" t="s">
        <v>6493</v>
      </c>
      <c r="D324" s="3">
        <v>370</v>
      </c>
      <c r="E324" s="3" t="s">
        <v>4003</v>
      </c>
      <c r="F324" s="3" t="s">
        <v>6558</v>
      </c>
      <c r="G324" s="11" t="s">
        <v>6559</v>
      </c>
      <c r="H324" s="3" t="s">
        <v>6560</v>
      </c>
      <c r="I324" s="3" t="s">
        <v>4018</v>
      </c>
      <c r="J324" s="3" t="s">
        <v>6561</v>
      </c>
      <c r="K324" s="3" t="s">
        <v>6562</v>
      </c>
      <c r="L324" s="3" t="s">
        <v>4020</v>
      </c>
      <c r="M324" s="3" t="s">
        <v>6563</v>
      </c>
      <c r="N324" s="3" t="s">
        <v>3535</v>
      </c>
      <c r="O324" s="3" t="s">
        <v>6564</v>
      </c>
      <c r="P324" s="3">
        <v>23</v>
      </c>
      <c r="Q324" s="3" t="s">
        <v>6565</v>
      </c>
      <c r="R324" s="3" t="s">
        <v>6566</v>
      </c>
      <c r="S324" s="3" t="s">
        <v>650</v>
      </c>
      <c r="T324" s="3" t="s">
        <v>650</v>
      </c>
      <c r="U324" s="3" t="s">
        <v>1380</v>
      </c>
      <c r="V324" s="3" t="s">
        <v>700</v>
      </c>
      <c r="W324" s="3"/>
      <c r="X324" s="3"/>
      <c r="Y324" s="3" t="s">
        <v>2001</v>
      </c>
    </row>
    <row r="325" spans="1:25" ht="60" customHeight="1" x14ac:dyDescent="0.2">
      <c r="A325" s="3" t="s">
        <v>6567</v>
      </c>
      <c r="B325" s="3" t="s">
        <v>6568</v>
      </c>
      <c r="C325" s="3" t="s">
        <v>6493</v>
      </c>
      <c r="D325" s="3">
        <v>415</v>
      </c>
      <c r="E325" s="3" t="s">
        <v>4003</v>
      </c>
      <c r="F325" s="3" t="s">
        <v>6569</v>
      </c>
      <c r="G325" s="11" t="s">
        <v>6570</v>
      </c>
      <c r="H325" s="3" t="s">
        <v>6571</v>
      </c>
      <c r="I325" s="3" t="s">
        <v>4018</v>
      </c>
      <c r="J325" s="3" t="s">
        <v>6572</v>
      </c>
      <c r="K325" s="3" t="s">
        <v>4008</v>
      </c>
      <c r="L325" s="3" t="s">
        <v>4020</v>
      </c>
      <c r="M325" s="3" t="s">
        <v>4915</v>
      </c>
      <c r="N325" s="3" t="s">
        <v>3535</v>
      </c>
      <c r="O325" s="3" t="s">
        <v>4885</v>
      </c>
      <c r="P325" s="3">
        <v>2</v>
      </c>
      <c r="Q325" s="3" t="s">
        <v>4885</v>
      </c>
      <c r="R325" s="3" t="s">
        <v>6573</v>
      </c>
      <c r="S325" s="3" t="s">
        <v>650</v>
      </c>
      <c r="T325" s="3" t="s">
        <v>650</v>
      </c>
      <c r="U325" s="3" t="s">
        <v>1380</v>
      </c>
      <c r="V325" s="3" t="s">
        <v>700</v>
      </c>
      <c r="W325" s="3"/>
      <c r="X325" s="3"/>
      <c r="Y325" s="3" t="s">
        <v>2001</v>
      </c>
    </row>
    <row r="326" spans="1:25" ht="60" customHeight="1" x14ac:dyDescent="0.2">
      <c r="A326" s="3" t="s">
        <v>6574</v>
      </c>
      <c r="B326" s="3" t="s">
        <v>6575</v>
      </c>
      <c r="C326" s="3" t="s">
        <v>6493</v>
      </c>
      <c r="D326" s="3">
        <v>464</v>
      </c>
      <c r="E326" s="3" t="s">
        <v>4003</v>
      </c>
      <c r="F326" s="3" t="s">
        <v>6576</v>
      </c>
      <c r="G326" s="11" t="s">
        <v>6577</v>
      </c>
      <c r="H326" s="3" t="s">
        <v>6578</v>
      </c>
      <c r="I326" s="3" t="s">
        <v>4290</v>
      </c>
      <c r="J326" s="3" t="s">
        <v>4164</v>
      </c>
      <c r="K326" s="3" t="s">
        <v>4028</v>
      </c>
      <c r="L326" s="3" t="s">
        <v>4020</v>
      </c>
      <c r="M326" s="3" t="s">
        <v>6579</v>
      </c>
      <c r="N326" s="3" t="s">
        <v>3535</v>
      </c>
      <c r="O326" s="3" t="s">
        <v>6580</v>
      </c>
      <c r="P326" s="3">
        <v>8</v>
      </c>
      <c r="Q326" s="3" t="s">
        <v>6581</v>
      </c>
      <c r="R326" s="3" t="s">
        <v>6582</v>
      </c>
      <c r="S326" s="3" t="s">
        <v>650</v>
      </c>
      <c r="T326" s="3" t="s">
        <v>650</v>
      </c>
      <c r="U326" s="3" t="s">
        <v>1380</v>
      </c>
      <c r="V326" s="3" t="s">
        <v>539</v>
      </c>
      <c r="W326" s="3"/>
      <c r="X326" s="3"/>
      <c r="Y326" s="6" t="s">
        <v>6583</v>
      </c>
    </row>
    <row r="327" spans="1:25" ht="60" customHeight="1" x14ac:dyDescent="0.2">
      <c r="A327" s="3" t="s">
        <v>6584</v>
      </c>
      <c r="B327" s="3" t="s">
        <v>6585</v>
      </c>
      <c r="C327" s="3" t="s">
        <v>6586</v>
      </c>
      <c r="D327" s="3">
        <v>45</v>
      </c>
      <c r="E327" s="3" t="s">
        <v>3992</v>
      </c>
      <c r="F327" s="3" t="s">
        <v>6587</v>
      </c>
      <c r="G327" s="11" t="s">
        <v>6588</v>
      </c>
      <c r="H327" s="3" t="s">
        <v>6589</v>
      </c>
      <c r="I327" s="3" t="s">
        <v>4018</v>
      </c>
      <c r="J327" s="3" t="s">
        <v>6590</v>
      </c>
      <c r="K327" s="3" t="s">
        <v>6591</v>
      </c>
      <c r="L327" s="3" t="s">
        <v>650</v>
      </c>
      <c r="M327" s="3" t="s">
        <v>4010</v>
      </c>
      <c r="N327" s="3" t="s">
        <v>3535</v>
      </c>
      <c r="O327" s="3" t="s">
        <v>6592</v>
      </c>
      <c r="P327" s="3">
        <v>81</v>
      </c>
      <c r="Q327" s="3" t="s">
        <v>6593</v>
      </c>
      <c r="R327" s="3" t="s">
        <v>6594</v>
      </c>
      <c r="S327" s="3" t="s">
        <v>650</v>
      </c>
      <c r="T327" s="3" t="s">
        <v>650</v>
      </c>
      <c r="U327" s="3" t="s">
        <v>1380</v>
      </c>
      <c r="V327" s="3" t="s">
        <v>505</v>
      </c>
      <c r="W327" s="3"/>
      <c r="X327" s="3"/>
      <c r="Y327" s="3" t="s">
        <v>2001</v>
      </c>
    </row>
    <row r="328" spans="1:25" ht="60" customHeight="1" x14ac:dyDescent="0.2">
      <c r="A328" s="3" t="s">
        <v>6595</v>
      </c>
      <c r="B328" s="3" t="s">
        <v>6596</v>
      </c>
      <c r="C328" s="3" t="s">
        <v>6586</v>
      </c>
      <c r="D328" s="3">
        <v>94</v>
      </c>
      <c r="E328" s="3" t="s">
        <v>3992</v>
      </c>
      <c r="F328" s="3" t="s">
        <v>4110</v>
      </c>
      <c r="G328" s="11" t="s">
        <v>6597</v>
      </c>
      <c r="H328" s="3" t="s">
        <v>6598</v>
      </c>
      <c r="I328" s="3" t="s">
        <v>3996</v>
      </c>
      <c r="J328" s="3" t="s">
        <v>4164</v>
      </c>
      <c r="K328" s="3" t="s">
        <v>4028</v>
      </c>
      <c r="L328" s="3" t="s">
        <v>650</v>
      </c>
      <c r="M328" s="3" t="s">
        <v>6599</v>
      </c>
      <c r="N328" s="3" t="s">
        <v>3535</v>
      </c>
      <c r="O328" s="3" t="s">
        <v>650</v>
      </c>
      <c r="P328" s="3">
        <v>0</v>
      </c>
      <c r="Q328" s="3" t="s">
        <v>4052</v>
      </c>
      <c r="R328" s="3" t="s">
        <v>1499</v>
      </c>
      <c r="S328" s="3" t="s">
        <v>650</v>
      </c>
      <c r="T328" s="3" t="s">
        <v>650</v>
      </c>
      <c r="U328" s="3" t="s">
        <v>1380</v>
      </c>
      <c r="V328" s="3" t="s">
        <v>505</v>
      </c>
      <c r="W328" s="3"/>
      <c r="X328" s="3"/>
      <c r="Y328" s="3" t="s">
        <v>2001</v>
      </c>
    </row>
    <row r="329" spans="1:25" ht="60" customHeight="1" x14ac:dyDescent="0.2">
      <c r="A329" s="3" t="s">
        <v>6600</v>
      </c>
      <c r="B329" s="3" t="s">
        <v>6601</v>
      </c>
      <c r="C329" s="3" t="s">
        <v>6586</v>
      </c>
      <c r="D329" s="3">
        <v>143</v>
      </c>
      <c r="E329" s="3" t="s">
        <v>3992</v>
      </c>
      <c r="F329" s="3" t="s">
        <v>4110</v>
      </c>
      <c r="G329" s="11" t="s">
        <v>6602</v>
      </c>
      <c r="H329" s="3" t="s">
        <v>6603</v>
      </c>
      <c r="I329" s="3" t="s">
        <v>3996</v>
      </c>
      <c r="J329" s="3" t="s">
        <v>4331</v>
      </c>
      <c r="K329" s="3" t="s">
        <v>6604</v>
      </c>
      <c r="L329" s="3" t="s">
        <v>650</v>
      </c>
      <c r="M329" s="3" t="s">
        <v>4010</v>
      </c>
      <c r="N329" s="3" t="s">
        <v>3535</v>
      </c>
      <c r="O329" s="3" t="s">
        <v>6605</v>
      </c>
      <c r="P329" s="3">
        <v>79</v>
      </c>
      <c r="Q329" s="3" t="s">
        <v>6606</v>
      </c>
      <c r="R329" s="3" t="s">
        <v>6607</v>
      </c>
      <c r="S329" s="3" t="s">
        <v>650</v>
      </c>
      <c r="T329" s="3" t="s">
        <v>650</v>
      </c>
      <c r="U329" s="3" t="s">
        <v>1380</v>
      </c>
      <c r="V329" s="3" t="s">
        <v>700</v>
      </c>
      <c r="W329" s="3"/>
      <c r="X329" s="3"/>
      <c r="Y329" s="3" t="s">
        <v>2001</v>
      </c>
    </row>
    <row r="330" spans="1:25" ht="60" customHeight="1" x14ac:dyDescent="0.2">
      <c r="A330" s="3" t="s">
        <v>6608</v>
      </c>
      <c r="B330" s="3" t="s">
        <v>6609</v>
      </c>
      <c r="C330" s="3" t="s">
        <v>6586</v>
      </c>
      <c r="D330" s="3">
        <v>171</v>
      </c>
      <c r="E330" s="3" t="s">
        <v>4129</v>
      </c>
      <c r="F330" s="3" t="s">
        <v>4110</v>
      </c>
      <c r="G330" s="11" t="s">
        <v>4130</v>
      </c>
      <c r="H330" s="3" t="s">
        <v>4130</v>
      </c>
      <c r="I330" s="3" t="s">
        <v>4131</v>
      </c>
      <c r="J330" s="3" t="s">
        <v>4132</v>
      </c>
      <c r="K330" s="3" t="s">
        <v>4028</v>
      </c>
      <c r="L330" s="3" t="s">
        <v>650</v>
      </c>
      <c r="M330" s="3" t="s">
        <v>4010</v>
      </c>
      <c r="N330" s="3" t="s">
        <v>3419</v>
      </c>
      <c r="O330" s="3" t="s">
        <v>4000</v>
      </c>
      <c r="P330" s="3">
        <v>80</v>
      </c>
      <c r="Q330" s="3" t="s">
        <v>4001</v>
      </c>
      <c r="R330" s="3" t="s">
        <v>6610</v>
      </c>
      <c r="S330" s="3" t="s">
        <v>650</v>
      </c>
      <c r="T330" s="3" t="s">
        <v>650</v>
      </c>
      <c r="U330" s="3" t="s">
        <v>1380</v>
      </c>
      <c r="V330" s="3" t="s">
        <v>700</v>
      </c>
      <c r="W330" s="3"/>
      <c r="X330" s="3"/>
      <c r="Y330" s="3" t="s">
        <v>2001</v>
      </c>
    </row>
    <row r="331" spans="1:25" ht="60" customHeight="1" x14ac:dyDescent="0.2">
      <c r="A331" s="3" t="s">
        <v>6611</v>
      </c>
      <c r="B331" s="3" t="s">
        <v>6612</v>
      </c>
      <c r="C331" s="3" t="s">
        <v>6586</v>
      </c>
      <c r="D331" s="3">
        <v>187</v>
      </c>
      <c r="E331" s="3" t="s">
        <v>4136</v>
      </c>
      <c r="F331" s="3" t="s">
        <v>4110</v>
      </c>
      <c r="G331" s="11" t="s">
        <v>4137</v>
      </c>
      <c r="H331" s="3" t="s">
        <v>4137</v>
      </c>
      <c r="I331" s="3" t="s">
        <v>4131</v>
      </c>
      <c r="J331" s="3" t="s">
        <v>6613</v>
      </c>
      <c r="K331" s="3" t="s">
        <v>4028</v>
      </c>
      <c r="L331" s="3" t="s">
        <v>650</v>
      </c>
      <c r="M331" s="3" t="s">
        <v>4010</v>
      </c>
      <c r="N331" s="3" t="s">
        <v>3419</v>
      </c>
      <c r="O331" s="3" t="s">
        <v>4139</v>
      </c>
      <c r="P331" s="3">
        <v>81</v>
      </c>
      <c r="Q331" s="3" t="s">
        <v>4140</v>
      </c>
      <c r="R331" s="3" t="s">
        <v>6614</v>
      </c>
      <c r="S331" s="3" t="s">
        <v>650</v>
      </c>
      <c r="T331" s="3" t="s">
        <v>650</v>
      </c>
      <c r="U331" s="3" t="s">
        <v>1380</v>
      </c>
      <c r="V331" s="3" t="s">
        <v>700</v>
      </c>
      <c r="W331" s="3"/>
      <c r="X331" s="3"/>
      <c r="Y331" s="3" t="s">
        <v>2001</v>
      </c>
    </row>
    <row r="332" spans="1:25" ht="60" customHeight="1" x14ac:dyDescent="0.2">
      <c r="A332" s="3" t="s">
        <v>6615</v>
      </c>
      <c r="B332" s="3" t="s">
        <v>6616</v>
      </c>
      <c r="C332" s="3" t="s">
        <v>6586</v>
      </c>
      <c r="D332" s="3">
        <v>222</v>
      </c>
      <c r="E332" s="3" t="s">
        <v>4003</v>
      </c>
      <c r="F332" s="3" t="s">
        <v>6617</v>
      </c>
      <c r="G332" s="11" t="s">
        <v>6618</v>
      </c>
      <c r="H332" s="3" t="s">
        <v>6619</v>
      </c>
      <c r="I332" s="3" t="s">
        <v>4018</v>
      </c>
      <c r="J332" s="3" t="s">
        <v>6620</v>
      </c>
      <c r="K332" s="3" t="s">
        <v>6621</v>
      </c>
      <c r="L332" s="3" t="s">
        <v>6622</v>
      </c>
      <c r="M332" s="3" t="s">
        <v>6623</v>
      </c>
      <c r="N332" s="3" t="s">
        <v>3535</v>
      </c>
      <c r="O332" s="3" t="s">
        <v>5525</v>
      </c>
      <c r="P332" s="3">
        <v>1</v>
      </c>
      <c r="Q332" s="3" t="s">
        <v>5525</v>
      </c>
      <c r="R332" s="3" t="s">
        <v>6624</v>
      </c>
      <c r="S332" s="3" t="s">
        <v>650</v>
      </c>
      <c r="T332" s="3" t="s">
        <v>650</v>
      </c>
      <c r="U332" s="3" t="s">
        <v>1380</v>
      </c>
      <c r="V332" s="3" t="s">
        <v>505</v>
      </c>
      <c r="W332" s="3"/>
      <c r="X332" s="3"/>
      <c r="Y332" s="3" t="s">
        <v>2001</v>
      </c>
    </row>
    <row r="333" spans="1:25" ht="60" customHeight="1" x14ac:dyDescent="0.2">
      <c r="A333" s="3" t="s">
        <v>6625</v>
      </c>
      <c r="B333" s="3" t="s">
        <v>6626</v>
      </c>
      <c r="C333" s="3" t="s">
        <v>6586</v>
      </c>
      <c r="D333" s="3">
        <v>256</v>
      </c>
      <c r="E333" s="3" t="s">
        <v>4003</v>
      </c>
      <c r="F333" s="3" t="s">
        <v>4110</v>
      </c>
      <c r="G333" s="11" t="s">
        <v>6627</v>
      </c>
      <c r="H333" s="3" t="s">
        <v>6628</v>
      </c>
      <c r="I333" s="3" t="s">
        <v>4018</v>
      </c>
      <c r="J333" s="3" t="s">
        <v>6629</v>
      </c>
      <c r="K333" s="3" t="s">
        <v>6630</v>
      </c>
      <c r="L333" s="3" t="s">
        <v>4020</v>
      </c>
      <c r="M333" s="3" t="s">
        <v>6631</v>
      </c>
      <c r="N333" s="3" t="s">
        <v>3535</v>
      </c>
      <c r="O333" s="3" t="s">
        <v>650</v>
      </c>
      <c r="P333" s="3">
        <v>0</v>
      </c>
      <c r="Q333" s="3" t="s">
        <v>4052</v>
      </c>
      <c r="R333" s="3" t="s">
        <v>1499</v>
      </c>
      <c r="S333" s="3" t="s">
        <v>650</v>
      </c>
      <c r="T333" s="3" t="s">
        <v>650</v>
      </c>
      <c r="U333" s="3" t="s">
        <v>1380</v>
      </c>
      <c r="V333" s="3" t="s">
        <v>505</v>
      </c>
      <c r="W333" s="3"/>
      <c r="X333" s="3"/>
      <c r="Y333" s="3" t="s">
        <v>2001</v>
      </c>
    </row>
    <row r="334" spans="1:25" ht="60" customHeight="1" x14ac:dyDescent="0.2">
      <c r="A334" s="3" t="s">
        <v>6632</v>
      </c>
      <c r="B334" s="3" t="s">
        <v>6633</v>
      </c>
      <c r="C334" s="3" t="s">
        <v>6586</v>
      </c>
      <c r="D334" s="3">
        <v>292</v>
      </c>
      <c r="E334" s="3" t="s">
        <v>4003</v>
      </c>
      <c r="F334" s="3" t="s">
        <v>6634</v>
      </c>
      <c r="G334" s="11" t="s">
        <v>6635</v>
      </c>
      <c r="H334" s="3" t="s">
        <v>6636</v>
      </c>
      <c r="I334" s="3" t="s">
        <v>3996</v>
      </c>
      <c r="J334" s="3" t="s">
        <v>6637</v>
      </c>
      <c r="K334" s="3" t="s">
        <v>4257</v>
      </c>
      <c r="L334" s="3" t="s">
        <v>4020</v>
      </c>
      <c r="M334" s="3" t="s">
        <v>4021</v>
      </c>
      <c r="N334" s="3" t="s">
        <v>3535</v>
      </c>
      <c r="O334" s="3" t="s">
        <v>5525</v>
      </c>
      <c r="P334" s="3">
        <v>1</v>
      </c>
      <c r="Q334" s="3" t="s">
        <v>5525</v>
      </c>
      <c r="R334" s="3" t="s">
        <v>6638</v>
      </c>
      <c r="S334" s="3" t="s">
        <v>650</v>
      </c>
      <c r="T334" s="3" t="s">
        <v>650</v>
      </c>
      <c r="U334" s="3" t="s">
        <v>1380</v>
      </c>
      <c r="V334" s="3" t="s">
        <v>700</v>
      </c>
      <c r="W334" s="3"/>
      <c r="X334" s="3"/>
      <c r="Y334" s="3" t="s">
        <v>2001</v>
      </c>
    </row>
    <row r="335" spans="1:25" ht="60" customHeight="1" x14ac:dyDescent="0.2">
      <c r="A335" s="3" t="s">
        <v>6639</v>
      </c>
      <c r="B335" s="3" t="s">
        <v>6640</v>
      </c>
      <c r="C335" s="3" t="s">
        <v>6586</v>
      </c>
      <c r="D335" s="3">
        <v>327</v>
      </c>
      <c r="E335" s="3" t="s">
        <v>3992</v>
      </c>
      <c r="F335" s="3" t="s">
        <v>6641</v>
      </c>
      <c r="G335" s="11" t="s">
        <v>6642</v>
      </c>
      <c r="H335" s="3" t="s">
        <v>6643</v>
      </c>
      <c r="I335" s="3" t="s">
        <v>3996</v>
      </c>
      <c r="J335" s="3" t="s">
        <v>6644</v>
      </c>
      <c r="K335" s="3" t="s">
        <v>4257</v>
      </c>
      <c r="L335" s="3" t="s">
        <v>650</v>
      </c>
      <c r="M335" s="3" t="s">
        <v>4124</v>
      </c>
      <c r="N335" s="3" t="s">
        <v>3535</v>
      </c>
      <c r="O335" s="3" t="s">
        <v>6645</v>
      </c>
      <c r="P335" s="3">
        <v>2</v>
      </c>
      <c r="Q335" s="3" t="s">
        <v>6646</v>
      </c>
      <c r="R335" s="3" t="s">
        <v>6647</v>
      </c>
      <c r="S335" s="3" t="s">
        <v>650</v>
      </c>
      <c r="T335" s="3" t="s">
        <v>650</v>
      </c>
      <c r="U335" s="3" t="s">
        <v>1380</v>
      </c>
      <c r="V335" s="3" t="s">
        <v>700</v>
      </c>
      <c r="W335" s="3"/>
      <c r="X335" s="3"/>
      <c r="Y335" s="3" t="s">
        <v>2001</v>
      </c>
    </row>
    <row r="336" spans="1:25" ht="60" customHeight="1" x14ac:dyDescent="0.2">
      <c r="A336" s="3" t="s">
        <v>6648</v>
      </c>
      <c r="B336" s="3" t="s">
        <v>6649</v>
      </c>
      <c r="C336" s="3" t="s">
        <v>6586</v>
      </c>
      <c r="D336" s="3">
        <v>364</v>
      </c>
      <c r="E336" s="3" t="s">
        <v>4003</v>
      </c>
      <c r="F336" s="3" t="s">
        <v>6650</v>
      </c>
      <c r="G336" s="11" t="s">
        <v>6651</v>
      </c>
      <c r="H336" s="3" t="s">
        <v>6652</v>
      </c>
      <c r="I336" s="3" t="s">
        <v>4018</v>
      </c>
      <c r="J336" s="3" t="s">
        <v>6644</v>
      </c>
      <c r="K336" s="3" t="s">
        <v>4257</v>
      </c>
      <c r="L336" s="3" t="s">
        <v>4020</v>
      </c>
      <c r="M336" s="3" t="s">
        <v>6653</v>
      </c>
      <c r="N336" s="3" t="s">
        <v>3535</v>
      </c>
      <c r="O336" s="3" t="s">
        <v>6654</v>
      </c>
      <c r="P336" s="3">
        <v>3</v>
      </c>
      <c r="Q336" s="3" t="s">
        <v>6655</v>
      </c>
      <c r="R336" s="3" t="s">
        <v>6656</v>
      </c>
      <c r="S336" s="3" t="s">
        <v>650</v>
      </c>
      <c r="T336" s="3" t="s">
        <v>650</v>
      </c>
      <c r="U336" s="3" t="s">
        <v>1380</v>
      </c>
      <c r="V336" s="3" t="s">
        <v>505</v>
      </c>
      <c r="W336" s="3"/>
      <c r="X336" s="3"/>
      <c r="Y336" s="3" t="s">
        <v>2001</v>
      </c>
    </row>
    <row r="337" spans="1:25" ht="60" customHeight="1" x14ac:dyDescent="0.2">
      <c r="A337" s="3" t="s">
        <v>6657</v>
      </c>
      <c r="B337" s="3" t="s">
        <v>6658</v>
      </c>
      <c r="C337" s="3" t="s">
        <v>6586</v>
      </c>
      <c r="D337" s="3">
        <v>399</v>
      </c>
      <c r="E337" s="3" t="s">
        <v>4003</v>
      </c>
      <c r="F337" s="3" t="s">
        <v>6659</v>
      </c>
      <c r="G337" s="11" t="s">
        <v>6660</v>
      </c>
      <c r="H337" s="3" t="s">
        <v>6661</v>
      </c>
      <c r="I337" s="3" t="s">
        <v>4018</v>
      </c>
      <c r="J337" s="3" t="s">
        <v>6662</v>
      </c>
      <c r="K337" s="3" t="s">
        <v>4257</v>
      </c>
      <c r="L337" s="3" t="s">
        <v>4020</v>
      </c>
      <c r="M337" s="3" t="s">
        <v>6663</v>
      </c>
      <c r="N337" s="3" t="s">
        <v>3535</v>
      </c>
      <c r="O337" s="3" t="s">
        <v>650</v>
      </c>
      <c r="P337" s="3">
        <v>0</v>
      </c>
      <c r="Q337" s="3" t="s">
        <v>4052</v>
      </c>
      <c r="R337" s="3" t="s">
        <v>1499</v>
      </c>
      <c r="S337" s="3" t="s">
        <v>650</v>
      </c>
      <c r="T337" s="3" t="s">
        <v>650</v>
      </c>
      <c r="U337" s="3" t="s">
        <v>1380</v>
      </c>
      <c r="V337" s="3" t="s">
        <v>700</v>
      </c>
      <c r="W337" s="3"/>
      <c r="X337" s="3"/>
      <c r="Y337" s="3" t="s">
        <v>2001</v>
      </c>
    </row>
    <row r="338" spans="1:25" ht="60" customHeight="1" x14ac:dyDescent="0.2">
      <c r="A338" s="3" t="s">
        <v>6664</v>
      </c>
      <c r="B338" s="3" t="s">
        <v>6665</v>
      </c>
      <c r="C338" s="3" t="s">
        <v>6586</v>
      </c>
      <c r="D338" s="3">
        <v>428</v>
      </c>
      <c r="E338" s="3" t="s">
        <v>4129</v>
      </c>
      <c r="F338" s="3" t="s">
        <v>6666</v>
      </c>
      <c r="G338" s="11" t="s">
        <v>6667</v>
      </c>
      <c r="H338" s="3" t="s">
        <v>6668</v>
      </c>
      <c r="I338" s="3" t="s">
        <v>4018</v>
      </c>
      <c r="J338" s="3" t="s">
        <v>6669</v>
      </c>
      <c r="K338" s="3" t="s">
        <v>4008</v>
      </c>
      <c r="L338" s="3" t="s">
        <v>650</v>
      </c>
      <c r="M338" s="3" t="s">
        <v>6670</v>
      </c>
      <c r="N338" s="3" t="s">
        <v>3419</v>
      </c>
      <c r="O338" s="3" t="s">
        <v>5639</v>
      </c>
      <c r="P338" s="3">
        <v>2</v>
      </c>
      <c r="Q338" s="3" t="s">
        <v>5640</v>
      </c>
      <c r="R338" s="3" t="s">
        <v>6671</v>
      </c>
      <c r="S338" s="3" t="s">
        <v>650</v>
      </c>
      <c r="T338" s="3" t="s">
        <v>650</v>
      </c>
      <c r="U338" s="3" t="s">
        <v>1380</v>
      </c>
      <c r="V338" s="3" t="s">
        <v>700</v>
      </c>
      <c r="W338" s="3"/>
      <c r="X338" s="3"/>
      <c r="Y338" s="3" t="s">
        <v>2001</v>
      </c>
    </row>
    <row r="339" spans="1:25" ht="60" customHeight="1" x14ac:dyDescent="0.2">
      <c r="A339" s="3" t="s">
        <v>2874</v>
      </c>
      <c r="B339" s="3" t="s">
        <v>2873</v>
      </c>
      <c r="C339" s="3" t="s">
        <v>6586</v>
      </c>
      <c r="D339" s="3">
        <v>469</v>
      </c>
      <c r="E339" s="3" t="s">
        <v>4003</v>
      </c>
      <c r="F339" s="3" t="s">
        <v>4110</v>
      </c>
      <c r="G339" s="11" t="s">
        <v>6672</v>
      </c>
      <c r="H339" s="3" t="s">
        <v>6673</v>
      </c>
      <c r="I339" s="3" t="s">
        <v>4018</v>
      </c>
      <c r="J339" s="3" t="s">
        <v>6674</v>
      </c>
      <c r="K339" s="3" t="s">
        <v>6675</v>
      </c>
      <c r="L339" s="3" t="s">
        <v>6676</v>
      </c>
      <c r="M339" s="3" t="s">
        <v>6677</v>
      </c>
      <c r="N339" s="3" t="s">
        <v>3535</v>
      </c>
      <c r="O339" s="3" t="s">
        <v>6678</v>
      </c>
      <c r="P339" s="3">
        <v>4</v>
      </c>
      <c r="Q339" s="3" t="s">
        <v>6679</v>
      </c>
      <c r="R339" s="3" t="s">
        <v>6680</v>
      </c>
      <c r="S339" s="3" t="s">
        <v>2870</v>
      </c>
      <c r="T339" s="3" t="s">
        <v>650</v>
      </c>
      <c r="U339" s="3" t="s">
        <v>1380</v>
      </c>
      <c r="V339" s="3" t="s">
        <v>700</v>
      </c>
      <c r="W339" s="3"/>
      <c r="X339" s="3"/>
      <c r="Y339" s="3" t="s">
        <v>2001</v>
      </c>
    </row>
    <row r="340" spans="1:25" ht="60" customHeight="1" x14ac:dyDescent="0.2">
      <c r="A340" s="3" t="s">
        <v>6681</v>
      </c>
      <c r="B340" s="3" t="s">
        <v>6682</v>
      </c>
      <c r="C340" s="3" t="s">
        <v>6683</v>
      </c>
      <c r="D340" s="3">
        <v>44</v>
      </c>
      <c r="E340" s="3" t="s">
        <v>4003</v>
      </c>
      <c r="F340" s="3" t="s">
        <v>6684</v>
      </c>
      <c r="G340" s="11" t="s">
        <v>6685</v>
      </c>
      <c r="H340" s="3" t="s">
        <v>6686</v>
      </c>
      <c r="I340" s="3" t="s">
        <v>3996</v>
      </c>
      <c r="J340" s="3" t="s">
        <v>6687</v>
      </c>
      <c r="K340" s="3" t="s">
        <v>4844</v>
      </c>
      <c r="L340" s="3" t="s">
        <v>6688</v>
      </c>
      <c r="M340" s="3" t="s">
        <v>4010</v>
      </c>
      <c r="N340" s="3" t="s">
        <v>3535</v>
      </c>
      <c r="O340" s="3" t="s">
        <v>650</v>
      </c>
      <c r="P340" s="3">
        <v>0</v>
      </c>
      <c r="Q340" s="3" t="s">
        <v>4052</v>
      </c>
      <c r="R340" s="3" t="s">
        <v>1499</v>
      </c>
      <c r="S340" s="3" t="s">
        <v>650</v>
      </c>
      <c r="T340" s="3" t="s">
        <v>6689</v>
      </c>
      <c r="U340" s="3" t="s">
        <v>1380</v>
      </c>
      <c r="V340" s="3" t="s">
        <v>700</v>
      </c>
      <c r="W340" s="3"/>
      <c r="X340" s="3"/>
      <c r="Y340" s="3" t="s">
        <v>2001</v>
      </c>
    </row>
    <row r="341" spans="1:25" ht="60" customHeight="1" x14ac:dyDescent="0.2">
      <c r="A341" s="3" t="s">
        <v>6690</v>
      </c>
      <c r="B341" s="3" t="s">
        <v>6691</v>
      </c>
      <c r="C341" s="3" t="s">
        <v>6683</v>
      </c>
      <c r="D341" s="3">
        <v>63</v>
      </c>
      <c r="E341" s="3" t="s">
        <v>4003</v>
      </c>
      <c r="F341" s="3" t="s">
        <v>6692</v>
      </c>
      <c r="G341" s="11" t="s">
        <v>6693</v>
      </c>
      <c r="H341" s="3" t="s">
        <v>6694</v>
      </c>
      <c r="I341" s="3" t="s">
        <v>3996</v>
      </c>
      <c r="J341" s="3" t="s">
        <v>6695</v>
      </c>
      <c r="K341" s="3" t="s">
        <v>4844</v>
      </c>
      <c r="L341" s="3" t="s">
        <v>6696</v>
      </c>
      <c r="M341" s="3" t="s">
        <v>4010</v>
      </c>
      <c r="N341" s="3" t="s">
        <v>3535</v>
      </c>
      <c r="O341" s="3" t="s">
        <v>650</v>
      </c>
      <c r="P341" s="3">
        <v>0</v>
      </c>
      <c r="Q341" s="3" t="s">
        <v>4052</v>
      </c>
      <c r="R341" s="3" t="s">
        <v>1499</v>
      </c>
      <c r="S341" s="3" t="s">
        <v>650</v>
      </c>
      <c r="T341" s="3" t="s">
        <v>6697</v>
      </c>
      <c r="U341" s="3" t="s">
        <v>1380</v>
      </c>
      <c r="V341" s="3" t="s">
        <v>700</v>
      </c>
      <c r="W341" s="3"/>
      <c r="X341" s="3"/>
      <c r="Y341" s="6" t="s">
        <v>6698</v>
      </c>
    </row>
    <row r="342" spans="1:25" ht="60" customHeight="1" x14ac:dyDescent="0.2">
      <c r="A342" s="3" t="s">
        <v>2123</v>
      </c>
      <c r="B342" s="3" t="s">
        <v>2122</v>
      </c>
      <c r="C342" s="3" t="s">
        <v>6683</v>
      </c>
      <c r="D342" s="3">
        <v>100</v>
      </c>
      <c r="E342" s="3" t="s">
        <v>4003</v>
      </c>
      <c r="F342" s="3" t="s">
        <v>3728</v>
      </c>
      <c r="G342" s="11" t="s">
        <v>6699</v>
      </c>
      <c r="H342" s="3" t="s">
        <v>6700</v>
      </c>
      <c r="I342" s="3" t="s">
        <v>3996</v>
      </c>
      <c r="J342" s="3" t="s">
        <v>6701</v>
      </c>
      <c r="K342" s="3" t="s">
        <v>6702</v>
      </c>
      <c r="L342" s="3" t="s">
        <v>6703</v>
      </c>
      <c r="M342" s="3" t="s">
        <v>5572</v>
      </c>
      <c r="N342" s="3" t="s">
        <v>3535</v>
      </c>
      <c r="O342" s="3" t="s">
        <v>6704</v>
      </c>
      <c r="P342" s="3">
        <v>16</v>
      </c>
      <c r="Q342" s="3" t="s">
        <v>6705</v>
      </c>
      <c r="R342" s="3" t="s">
        <v>2129</v>
      </c>
      <c r="S342" s="3" t="s">
        <v>3729</v>
      </c>
      <c r="T342" s="3" t="s">
        <v>3726</v>
      </c>
      <c r="U342" s="3" t="s">
        <v>1380</v>
      </c>
      <c r="V342" s="3" t="s">
        <v>539</v>
      </c>
      <c r="W342" s="3"/>
      <c r="X342" s="3"/>
      <c r="Y342" s="3" t="s">
        <v>2001</v>
      </c>
    </row>
    <row r="343" spans="1:25" ht="60" customHeight="1" x14ac:dyDescent="0.2">
      <c r="A343" s="3" t="s">
        <v>6706</v>
      </c>
      <c r="B343" s="3" t="s">
        <v>6707</v>
      </c>
      <c r="C343" s="3" t="s">
        <v>6683</v>
      </c>
      <c r="D343" s="3">
        <v>164</v>
      </c>
      <c r="E343" s="3" t="s">
        <v>4003</v>
      </c>
      <c r="F343" s="3" t="s">
        <v>4110</v>
      </c>
      <c r="G343" s="11" t="s">
        <v>6708</v>
      </c>
      <c r="H343" s="3" t="s">
        <v>6709</v>
      </c>
      <c r="I343" s="3" t="s">
        <v>3996</v>
      </c>
      <c r="J343" s="3" t="s">
        <v>4164</v>
      </c>
      <c r="K343" s="3" t="s">
        <v>4028</v>
      </c>
      <c r="L343" s="3" t="s">
        <v>4020</v>
      </c>
      <c r="M343" s="3" t="s">
        <v>6710</v>
      </c>
      <c r="N343" s="3" t="s">
        <v>3535</v>
      </c>
      <c r="O343" s="3" t="s">
        <v>6711</v>
      </c>
      <c r="P343" s="3">
        <v>9</v>
      </c>
      <c r="Q343" s="3" t="s">
        <v>6712</v>
      </c>
      <c r="R343" s="3" t="s">
        <v>6713</v>
      </c>
      <c r="S343" s="3" t="s">
        <v>650</v>
      </c>
      <c r="T343" s="3" t="s">
        <v>650</v>
      </c>
      <c r="U343" s="3" t="s">
        <v>1380</v>
      </c>
      <c r="V343" s="3" t="s">
        <v>428</v>
      </c>
      <c r="W343" s="3"/>
      <c r="X343" s="3"/>
      <c r="Y343" s="3" t="s">
        <v>2001</v>
      </c>
    </row>
    <row r="344" spans="1:25" ht="60" customHeight="1" x14ac:dyDescent="0.2">
      <c r="A344" s="3" t="s">
        <v>6714</v>
      </c>
      <c r="B344" s="3" t="s">
        <v>6715</v>
      </c>
      <c r="C344" s="3" t="s">
        <v>6683</v>
      </c>
      <c r="D344" s="3">
        <v>260</v>
      </c>
      <c r="E344" s="3" t="s">
        <v>4003</v>
      </c>
      <c r="F344" s="3" t="s">
        <v>6716</v>
      </c>
      <c r="G344" s="11" t="s">
        <v>6717</v>
      </c>
      <c r="H344" s="3" t="s">
        <v>6718</v>
      </c>
      <c r="I344" s="3" t="s">
        <v>3996</v>
      </c>
      <c r="J344" s="3" t="s">
        <v>6719</v>
      </c>
      <c r="K344" s="3" t="s">
        <v>4844</v>
      </c>
      <c r="L344" s="3" t="s">
        <v>4020</v>
      </c>
      <c r="M344" s="3" t="s">
        <v>4010</v>
      </c>
      <c r="N344" s="3" t="s">
        <v>3535</v>
      </c>
      <c r="O344" s="3" t="s">
        <v>650</v>
      </c>
      <c r="P344" s="3">
        <v>0</v>
      </c>
      <c r="Q344" s="3" t="s">
        <v>4052</v>
      </c>
      <c r="R344" s="3" t="s">
        <v>1499</v>
      </c>
      <c r="S344" s="3" t="s">
        <v>650</v>
      </c>
      <c r="T344" s="3" t="s">
        <v>6720</v>
      </c>
      <c r="U344" s="3" t="s">
        <v>1380</v>
      </c>
      <c r="V344" s="3" t="s">
        <v>700</v>
      </c>
      <c r="W344" s="3"/>
      <c r="X344" s="3"/>
      <c r="Y344" s="3" t="s">
        <v>2001</v>
      </c>
    </row>
    <row r="345" spans="1:25" ht="45" customHeight="1" x14ac:dyDescent="0.2">
      <c r="A345" s="3" t="s">
        <v>6721</v>
      </c>
      <c r="B345" s="3" t="s">
        <v>6722</v>
      </c>
      <c r="C345" s="3" t="s">
        <v>6683</v>
      </c>
      <c r="D345" s="3">
        <v>285</v>
      </c>
      <c r="E345" s="3" t="s">
        <v>4003</v>
      </c>
      <c r="F345" s="3" t="s">
        <v>6723</v>
      </c>
      <c r="G345" s="11" t="s">
        <v>6724</v>
      </c>
      <c r="H345" s="3" t="s">
        <v>6725</v>
      </c>
      <c r="I345" s="3" t="s">
        <v>3996</v>
      </c>
      <c r="J345" s="3" t="s">
        <v>6726</v>
      </c>
      <c r="K345" s="3" t="s">
        <v>4257</v>
      </c>
      <c r="L345" s="3" t="s">
        <v>4020</v>
      </c>
      <c r="M345" s="3" t="s">
        <v>4010</v>
      </c>
      <c r="N345" s="3" t="s">
        <v>3535</v>
      </c>
      <c r="O345" s="3" t="s">
        <v>650</v>
      </c>
      <c r="P345" s="3">
        <v>0</v>
      </c>
      <c r="Q345" s="3" t="s">
        <v>4052</v>
      </c>
      <c r="R345" s="3" t="s">
        <v>1499</v>
      </c>
      <c r="S345" s="3" t="s">
        <v>650</v>
      </c>
      <c r="T345" s="3" t="s">
        <v>6727</v>
      </c>
      <c r="U345" s="3" t="s">
        <v>1380</v>
      </c>
      <c r="V345" s="3" t="s">
        <v>700</v>
      </c>
      <c r="W345" s="3"/>
      <c r="X345" s="3"/>
      <c r="Y345" s="3" t="s">
        <v>2001</v>
      </c>
    </row>
    <row r="346" spans="1:25" ht="60" customHeight="1" x14ac:dyDescent="0.2">
      <c r="A346" s="3" t="s">
        <v>6728</v>
      </c>
      <c r="B346" s="3" t="s">
        <v>6729</v>
      </c>
      <c r="C346" s="3" t="s">
        <v>6683</v>
      </c>
      <c r="D346" s="3">
        <v>313</v>
      </c>
      <c r="E346" s="3" t="s">
        <v>4003</v>
      </c>
      <c r="F346" s="3" t="s">
        <v>6730</v>
      </c>
      <c r="G346" s="11" t="s">
        <v>6731</v>
      </c>
      <c r="H346" s="3" t="s">
        <v>6732</v>
      </c>
      <c r="I346" s="3" t="s">
        <v>3996</v>
      </c>
      <c r="J346" s="3" t="s">
        <v>4164</v>
      </c>
      <c r="K346" s="3" t="s">
        <v>4028</v>
      </c>
      <c r="L346" s="3" t="s">
        <v>4020</v>
      </c>
      <c r="M346" s="3" t="s">
        <v>6733</v>
      </c>
      <c r="N346" s="3" t="s">
        <v>3535</v>
      </c>
      <c r="O346" s="3" t="s">
        <v>6319</v>
      </c>
      <c r="P346" s="3">
        <v>6</v>
      </c>
      <c r="Q346" s="3" t="s">
        <v>6320</v>
      </c>
      <c r="R346" s="3" t="s">
        <v>6734</v>
      </c>
      <c r="S346" s="3" t="s">
        <v>650</v>
      </c>
      <c r="T346" s="3" t="s">
        <v>6735</v>
      </c>
      <c r="U346" s="3" t="s">
        <v>1380</v>
      </c>
      <c r="V346" s="3" t="s">
        <v>700</v>
      </c>
      <c r="W346" s="3"/>
      <c r="X346" s="3"/>
      <c r="Y346" s="3" t="s">
        <v>2001</v>
      </c>
    </row>
    <row r="347" spans="1:25" ht="60" customHeight="1" x14ac:dyDescent="0.2">
      <c r="A347" s="3" t="s">
        <v>6736</v>
      </c>
      <c r="B347" s="3" t="s">
        <v>6737</v>
      </c>
      <c r="C347" s="3" t="s">
        <v>6738</v>
      </c>
      <c r="D347" s="3">
        <v>119</v>
      </c>
      <c r="E347" s="3" t="s">
        <v>4003</v>
      </c>
      <c r="F347" s="3" t="s">
        <v>6739</v>
      </c>
      <c r="G347" s="11" t="s">
        <v>6740</v>
      </c>
      <c r="H347" s="3" t="s">
        <v>6741</v>
      </c>
      <c r="I347" s="3" t="s">
        <v>3996</v>
      </c>
      <c r="J347" s="3" t="s">
        <v>6742</v>
      </c>
      <c r="K347" s="3" t="s">
        <v>6743</v>
      </c>
      <c r="L347" s="3" t="s">
        <v>4020</v>
      </c>
      <c r="M347" s="3" t="s">
        <v>6744</v>
      </c>
      <c r="N347" s="3" t="s">
        <v>3535</v>
      </c>
      <c r="O347" s="3" t="s">
        <v>6745</v>
      </c>
      <c r="P347" s="3">
        <v>43</v>
      </c>
      <c r="Q347" s="3" t="s">
        <v>6746</v>
      </c>
      <c r="R347" s="3" t="s">
        <v>6747</v>
      </c>
      <c r="S347" s="3" t="s">
        <v>493</v>
      </c>
      <c r="T347" s="3" t="s">
        <v>650</v>
      </c>
      <c r="U347" s="3" t="s">
        <v>1380</v>
      </c>
      <c r="V347" s="3" t="s">
        <v>505</v>
      </c>
      <c r="W347" s="3"/>
      <c r="X347" s="3"/>
      <c r="Y347" s="3" t="s">
        <v>2001</v>
      </c>
    </row>
    <row r="348" spans="1:25" ht="60" customHeight="1" x14ac:dyDescent="0.2">
      <c r="A348" s="3" t="s">
        <v>6748</v>
      </c>
      <c r="B348" s="3" t="s">
        <v>6749</v>
      </c>
      <c r="C348" s="3" t="s">
        <v>6738</v>
      </c>
      <c r="D348" s="3">
        <v>205</v>
      </c>
      <c r="E348" s="3" t="s">
        <v>4003</v>
      </c>
      <c r="F348" s="3" t="s">
        <v>6750</v>
      </c>
      <c r="G348" s="11" t="s">
        <v>6751</v>
      </c>
      <c r="H348" s="3" t="s">
        <v>6752</v>
      </c>
      <c r="I348" s="3" t="s">
        <v>4018</v>
      </c>
      <c r="J348" s="3" t="s">
        <v>6753</v>
      </c>
      <c r="K348" s="3" t="s">
        <v>4008</v>
      </c>
      <c r="L348" s="3" t="s">
        <v>4020</v>
      </c>
      <c r="M348" s="3" t="s">
        <v>6754</v>
      </c>
      <c r="N348" s="3" t="s">
        <v>3535</v>
      </c>
      <c r="O348" s="3" t="s">
        <v>4730</v>
      </c>
      <c r="P348" s="3">
        <v>4</v>
      </c>
      <c r="Q348" s="3" t="s">
        <v>4731</v>
      </c>
      <c r="R348" s="3" t="s">
        <v>6755</v>
      </c>
      <c r="S348" s="3" t="s">
        <v>650</v>
      </c>
      <c r="T348" s="3" t="s">
        <v>650</v>
      </c>
      <c r="U348" s="3" t="s">
        <v>1380</v>
      </c>
      <c r="V348" s="3" t="s">
        <v>505</v>
      </c>
      <c r="W348" s="3"/>
      <c r="X348" s="3"/>
      <c r="Y348" s="3" t="s">
        <v>2001</v>
      </c>
    </row>
    <row r="349" spans="1:25" ht="60" customHeight="1" x14ac:dyDescent="0.2">
      <c r="A349" s="3" t="s">
        <v>2392</v>
      </c>
      <c r="B349" s="3" t="s">
        <v>6756</v>
      </c>
      <c r="C349" s="3" t="s">
        <v>6738</v>
      </c>
      <c r="D349" s="3">
        <v>256</v>
      </c>
      <c r="E349" s="3" t="s">
        <v>4003</v>
      </c>
      <c r="F349" s="3" t="s">
        <v>4110</v>
      </c>
      <c r="G349" s="11" t="s">
        <v>6757</v>
      </c>
      <c r="H349" s="3" t="s">
        <v>6758</v>
      </c>
      <c r="I349" s="3" t="s">
        <v>4065</v>
      </c>
      <c r="J349" s="3" t="s">
        <v>6759</v>
      </c>
      <c r="K349" s="3" t="s">
        <v>6760</v>
      </c>
      <c r="L349" s="3" t="s">
        <v>6761</v>
      </c>
      <c r="M349" s="3" t="s">
        <v>6762</v>
      </c>
      <c r="N349" s="3" t="s">
        <v>3535</v>
      </c>
      <c r="O349" s="3" t="s">
        <v>4249</v>
      </c>
      <c r="P349" s="3">
        <v>1</v>
      </c>
      <c r="Q349" s="3" t="s">
        <v>4249</v>
      </c>
      <c r="R349" s="3" t="s">
        <v>6763</v>
      </c>
      <c r="S349" s="3" t="s">
        <v>3771</v>
      </c>
      <c r="T349" s="3" t="s">
        <v>650</v>
      </c>
      <c r="U349" s="3" t="s">
        <v>1380</v>
      </c>
      <c r="V349" s="3" t="s">
        <v>428</v>
      </c>
      <c r="W349" s="3"/>
      <c r="X349" s="3"/>
      <c r="Y349" s="3" t="s">
        <v>2001</v>
      </c>
    </row>
    <row r="350" spans="1:25" ht="60" customHeight="1" x14ac:dyDescent="0.2">
      <c r="A350" s="3" t="s">
        <v>6764</v>
      </c>
      <c r="B350" s="3" t="s">
        <v>6765</v>
      </c>
      <c r="C350" s="3" t="s">
        <v>6738</v>
      </c>
      <c r="D350" s="3">
        <v>319</v>
      </c>
      <c r="E350" s="3" t="s">
        <v>4003</v>
      </c>
      <c r="F350" s="3" t="s">
        <v>4110</v>
      </c>
      <c r="G350" s="11" t="s">
        <v>6766</v>
      </c>
      <c r="H350" s="3" t="s">
        <v>6767</v>
      </c>
      <c r="I350" s="3" t="s">
        <v>3996</v>
      </c>
      <c r="J350" s="3" t="s">
        <v>6768</v>
      </c>
      <c r="K350" s="3" t="s">
        <v>6769</v>
      </c>
      <c r="L350" s="3" t="s">
        <v>6770</v>
      </c>
      <c r="M350" s="3" t="s">
        <v>6771</v>
      </c>
      <c r="N350" s="3" t="s">
        <v>3535</v>
      </c>
      <c r="O350" s="3" t="s">
        <v>650</v>
      </c>
      <c r="P350" s="3">
        <v>0</v>
      </c>
      <c r="Q350" s="3" t="s">
        <v>4052</v>
      </c>
      <c r="R350" s="3" t="s">
        <v>1499</v>
      </c>
      <c r="S350" s="3" t="s">
        <v>650</v>
      </c>
      <c r="T350" s="3" t="s">
        <v>650</v>
      </c>
      <c r="U350" s="3" t="s">
        <v>1380</v>
      </c>
      <c r="V350" s="3" t="s">
        <v>700</v>
      </c>
      <c r="W350" s="3"/>
      <c r="X350" s="3"/>
      <c r="Y350" s="3" t="s">
        <v>2001</v>
      </c>
    </row>
    <row r="351" spans="1:25" ht="60" customHeight="1" x14ac:dyDescent="0.2">
      <c r="A351" s="3" t="s">
        <v>6772</v>
      </c>
      <c r="B351" s="3" t="s">
        <v>6773</v>
      </c>
      <c r="C351" s="3" t="s">
        <v>6774</v>
      </c>
      <c r="D351" s="3">
        <v>67</v>
      </c>
      <c r="E351" s="3" t="s">
        <v>4003</v>
      </c>
      <c r="F351" s="3" t="s">
        <v>6775</v>
      </c>
      <c r="G351" s="11" t="s">
        <v>6776</v>
      </c>
      <c r="H351" s="3" t="s">
        <v>6777</v>
      </c>
      <c r="I351" s="3" t="s">
        <v>4018</v>
      </c>
      <c r="J351" s="3" t="s">
        <v>6778</v>
      </c>
      <c r="K351" s="3" t="s">
        <v>4257</v>
      </c>
      <c r="L351" s="3" t="s">
        <v>4020</v>
      </c>
      <c r="M351" s="3" t="s">
        <v>4021</v>
      </c>
      <c r="N351" s="3" t="s">
        <v>3535</v>
      </c>
      <c r="O351" s="3" t="s">
        <v>6779</v>
      </c>
      <c r="P351" s="3">
        <v>12</v>
      </c>
      <c r="Q351" s="3" t="s">
        <v>6780</v>
      </c>
      <c r="R351" s="3" t="s">
        <v>6781</v>
      </c>
      <c r="S351" s="3" t="s">
        <v>650</v>
      </c>
      <c r="T351" s="3" t="s">
        <v>650</v>
      </c>
      <c r="U351" s="3" t="s">
        <v>1380</v>
      </c>
      <c r="V351" s="3" t="s">
        <v>700</v>
      </c>
      <c r="W351" s="3"/>
      <c r="X351" s="3"/>
      <c r="Y351" s="3" t="s">
        <v>2001</v>
      </c>
    </row>
    <row r="352" spans="1:25" ht="60" customHeight="1" x14ac:dyDescent="0.2">
      <c r="A352" s="3" t="s">
        <v>6782</v>
      </c>
      <c r="B352" s="3" t="s">
        <v>6783</v>
      </c>
      <c r="C352" s="3" t="s">
        <v>6774</v>
      </c>
      <c r="D352" s="3">
        <v>117</v>
      </c>
      <c r="E352" s="3" t="s">
        <v>4003</v>
      </c>
      <c r="F352" s="3" t="s">
        <v>6784</v>
      </c>
      <c r="G352" s="11" t="s">
        <v>6785</v>
      </c>
      <c r="H352" s="3" t="s">
        <v>6786</v>
      </c>
      <c r="I352" s="3" t="s">
        <v>3996</v>
      </c>
      <c r="J352" s="3" t="s">
        <v>6787</v>
      </c>
      <c r="K352" s="3" t="s">
        <v>6788</v>
      </c>
      <c r="L352" s="3" t="s">
        <v>4020</v>
      </c>
      <c r="M352" s="3" t="s">
        <v>6789</v>
      </c>
      <c r="N352" s="3" t="s">
        <v>3535</v>
      </c>
      <c r="O352" s="3" t="s">
        <v>6790</v>
      </c>
      <c r="P352" s="3">
        <v>18</v>
      </c>
      <c r="Q352" s="3" t="s">
        <v>6791</v>
      </c>
      <c r="R352" s="3" t="s">
        <v>6792</v>
      </c>
      <c r="S352" s="3" t="s">
        <v>650</v>
      </c>
      <c r="T352" s="3" t="s">
        <v>650</v>
      </c>
      <c r="U352" s="3" t="s">
        <v>1380</v>
      </c>
      <c r="V352" s="3" t="s">
        <v>505</v>
      </c>
      <c r="W352" s="3"/>
      <c r="X352" s="3"/>
      <c r="Y352" s="3" t="s">
        <v>2001</v>
      </c>
    </row>
    <row r="353" spans="1:25" ht="60" customHeight="1" x14ac:dyDescent="0.2">
      <c r="A353" s="3" t="s">
        <v>6793</v>
      </c>
      <c r="B353" s="3" t="s">
        <v>6794</v>
      </c>
      <c r="C353" s="3" t="s">
        <v>6774</v>
      </c>
      <c r="D353" s="3">
        <v>193</v>
      </c>
      <c r="E353" s="3" t="s">
        <v>4003</v>
      </c>
      <c r="F353" s="3" t="s">
        <v>6795</v>
      </c>
      <c r="G353" s="11" t="s">
        <v>6796</v>
      </c>
      <c r="H353" s="3" t="s">
        <v>6797</v>
      </c>
      <c r="I353" s="3" t="s">
        <v>4018</v>
      </c>
      <c r="J353" s="3" t="s">
        <v>6798</v>
      </c>
      <c r="K353" s="3" t="s">
        <v>6799</v>
      </c>
      <c r="L353" s="3" t="s">
        <v>4020</v>
      </c>
      <c r="M353" s="3" t="s">
        <v>4056</v>
      </c>
      <c r="N353" s="3" t="s">
        <v>3535</v>
      </c>
      <c r="O353" s="3" t="s">
        <v>6800</v>
      </c>
      <c r="P353" s="3">
        <v>19</v>
      </c>
      <c r="Q353" s="3" t="s">
        <v>6801</v>
      </c>
      <c r="R353" s="3" t="s">
        <v>6802</v>
      </c>
      <c r="S353" s="3" t="s">
        <v>650</v>
      </c>
      <c r="T353" s="3" t="s">
        <v>650</v>
      </c>
      <c r="U353" s="3" t="s">
        <v>1380</v>
      </c>
      <c r="V353" s="3" t="s">
        <v>700</v>
      </c>
      <c r="W353" s="3"/>
      <c r="X353" s="3"/>
      <c r="Y353" s="3" t="s">
        <v>2001</v>
      </c>
    </row>
    <row r="354" spans="1:25" ht="60" customHeight="1" x14ac:dyDescent="0.2">
      <c r="A354" s="3" t="s">
        <v>6803</v>
      </c>
      <c r="B354" s="3" t="s">
        <v>6804</v>
      </c>
      <c r="C354" s="3" t="s">
        <v>6805</v>
      </c>
      <c r="D354" s="3">
        <v>78</v>
      </c>
      <c r="E354" s="3" t="s">
        <v>4003</v>
      </c>
      <c r="F354" s="3" t="s">
        <v>6806</v>
      </c>
      <c r="G354" s="11" t="s">
        <v>6807</v>
      </c>
      <c r="H354" s="3" t="s">
        <v>6808</v>
      </c>
      <c r="I354" s="3" t="s">
        <v>4018</v>
      </c>
      <c r="J354" s="3" t="s">
        <v>6809</v>
      </c>
      <c r="K354" s="3" t="s">
        <v>6810</v>
      </c>
      <c r="L354" s="3" t="s">
        <v>6811</v>
      </c>
      <c r="M354" s="3" t="s">
        <v>6812</v>
      </c>
      <c r="N354" s="3" t="s">
        <v>3535</v>
      </c>
      <c r="O354" s="3" t="s">
        <v>6813</v>
      </c>
      <c r="P354" s="3">
        <v>11</v>
      </c>
      <c r="Q354" s="3" t="s">
        <v>6814</v>
      </c>
      <c r="R354" s="3" t="s">
        <v>6815</v>
      </c>
      <c r="S354" s="3" t="s">
        <v>650</v>
      </c>
      <c r="T354" s="3" t="s">
        <v>650</v>
      </c>
      <c r="U354" s="3" t="s">
        <v>1380</v>
      </c>
      <c r="V354" s="3" t="s">
        <v>700</v>
      </c>
      <c r="W354" s="3"/>
      <c r="X354" s="3"/>
      <c r="Y354" s="3" t="s">
        <v>2001</v>
      </c>
    </row>
    <row r="355" spans="1:25" ht="60" customHeight="1" x14ac:dyDescent="0.2">
      <c r="A355" s="3" t="s">
        <v>6816</v>
      </c>
      <c r="B355" s="3" t="s">
        <v>6817</v>
      </c>
      <c r="C355" s="3" t="s">
        <v>6805</v>
      </c>
      <c r="D355" s="3">
        <v>119</v>
      </c>
      <c r="E355" s="3" t="s">
        <v>4003</v>
      </c>
      <c r="F355" s="3" t="s">
        <v>6818</v>
      </c>
      <c r="G355" s="11" t="s">
        <v>6819</v>
      </c>
      <c r="H355" s="3" t="s">
        <v>6820</v>
      </c>
      <c r="I355" s="3" t="s">
        <v>3996</v>
      </c>
      <c r="J355" s="3" t="s">
        <v>6821</v>
      </c>
      <c r="K355" s="3" t="s">
        <v>4028</v>
      </c>
      <c r="L355" s="3" t="s">
        <v>4020</v>
      </c>
      <c r="M355" s="3" t="s">
        <v>6822</v>
      </c>
      <c r="N355" s="3" t="s">
        <v>3535</v>
      </c>
      <c r="O355" s="3" t="s">
        <v>6813</v>
      </c>
      <c r="P355" s="3">
        <v>11</v>
      </c>
      <c r="Q355" s="3" t="s">
        <v>6814</v>
      </c>
      <c r="R355" s="3" t="s">
        <v>6823</v>
      </c>
      <c r="S355" s="3" t="s">
        <v>650</v>
      </c>
      <c r="T355" s="3" t="s">
        <v>650</v>
      </c>
      <c r="U355" s="3" t="s">
        <v>1380</v>
      </c>
      <c r="V355" s="3" t="s">
        <v>984</v>
      </c>
      <c r="W355" s="3"/>
      <c r="X355" s="3"/>
      <c r="Y355" s="3" t="s">
        <v>2001</v>
      </c>
    </row>
    <row r="356" spans="1:25" ht="60" customHeight="1" x14ac:dyDescent="0.2">
      <c r="A356" s="3" t="s">
        <v>6824</v>
      </c>
      <c r="B356" s="3" t="s">
        <v>6825</v>
      </c>
      <c r="C356" s="3" t="s">
        <v>6826</v>
      </c>
      <c r="D356" s="3">
        <v>107</v>
      </c>
      <c r="E356" s="3" t="s">
        <v>4003</v>
      </c>
      <c r="F356" s="3" t="s">
        <v>6827</v>
      </c>
      <c r="G356" s="11" t="s">
        <v>6828</v>
      </c>
      <c r="H356" s="3" t="s">
        <v>6829</v>
      </c>
      <c r="I356" s="3" t="s">
        <v>4065</v>
      </c>
      <c r="J356" s="3" t="s">
        <v>6830</v>
      </c>
      <c r="K356" s="3" t="s">
        <v>4257</v>
      </c>
      <c r="L356" s="3" t="s">
        <v>4020</v>
      </c>
      <c r="M356" s="3" t="s">
        <v>4010</v>
      </c>
      <c r="N356" s="3" t="s">
        <v>3535</v>
      </c>
      <c r="O356" s="3" t="s">
        <v>6831</v>
      </c>
      <c r="P356" s="3">
        <v>12</v>
      </c>
      <c r="Q356" s="3" t="s">
        <v>6832</v>
      </c>
      <c r="R356" s="3" t="s">
        <v>6833</v>
      </c>
      <c r="S356" s="3" t="s">
        <v>650</v>
      </c>
      <c r="T356" s="3" t="s">
        <v>650</v>
      </c>
      <c r="U356" s="3" t="s">
        <v>1380</v>
      </c>
      <c r="V356" s="3" t="s">
        <v>984</v>
      </c>
      <c r="W356" s="3"/>
      <c r="X356" s="3"/>
      <c r="Y356" s="3" t="s">
        <v>2001</v>
      </c>
    </row>
    <row r="357" spans="1:25" ht="60" customHeight="1" x14ac:dyDescent="0.2">
      <c r="A357" s="3" t="s">
        <v>6834</v>
      </c>
      <c r="B357" s="3" t="s">
        <v>6835</v>
      </c>
      <c r="C357" s="3" t="s">
        <v>6826</v>
      </c>
      <c r="D357" s="3">
        <v>161</v>
      </c>
      <c r="E357" s="3" t="s">
        <v>3992</v>
      </c>
      <c r="F357" s="3" t="s">
        <v>6836</v>
      </c>
      <c r="G357" s="11" t="s">
        <v>6837</v>
      </c>
      <c r="H357" s="3" t="s">
        <v>6838</v>
      </c>
      <c r="I357" s="3" t="s">
        <v>4065</v>
      </c>
      <c r="J357" s="3" t="s">
        <v>6830</v>
      </c>
      <c r="K357" s="3" t="s">
        <v>4028</v>
      </c>
      <c r="L357" s="3" t="s">
        <v>650</v>
      </c>
      <c r="M357" s="3" t="s">
        <v>6839</v>
      </c>
      <c r="N357" s="3" t="s">
        <v>3535</v>
      </c>
      <c r="O357" s="3" t="s">
        <v>6831</v>
      </c>
      <c r="P357" s="3">
        <v>12</v>
      </c>
      <c r="Q357" s="3" t="s">
        <v>6832</v>
      </c>
      <c r="R357" s="3" t="s">
        <v>6840</v>
      </c>
      <c r="S357" s="3" t="s">
        <v>650</v>
      </c>
      <c r="T357" s="3" t="s">
        <v>650</v>
      </c>
      <c r="U357" s="3" t="s">
        <v>1380</v>
      </c>
      <c r="V357" s="3" t="s">
        <v>984</v>
      </c>
      <c r="W357" s="3"/>
      <c r="X357" s="3"/>
      <c r="Y357" s="3" t="s">
        <v>2001</v>
      </c>
    </row>
    <row r="358" spans="1:25" ht="60" customHeight="1" x14ac:dyDescent="0.2">
      <c r="A358" s="3" t="s">
        <v>6841</v>
      </c>
      <c r="B358" s="3" t="s">
        <v>6842</v>
      </c>
      <c r="C358" s="3" t="s">
        <v>6826</v>
      </c>
      <c r="D358" s="3">
        <v>220</v>
      </c>
      <c r="E358" s="3" t="s">
        <v>3992</v>
      </c>
      <c r="F358" s="3" t="s">
        <v>6843</v>
      </c>
      <c r="G358" s="11" t="s">
        <v>6844</v>
      </c>
      <c r="H358" s="3" t="s">
        <v>6845</v>
      </c>
      <c r="I358" s="3" t="s">
        <v>3996</v>
      </c>
      <c r="J358" s="3" t="s">
        <v>6846</v>
      </c>
      <c r="K358" s="3" t="s">
        <v>4028</v>
      </c>
      <c r="L358" s="3" t="s">
        <v>650</v>
      </c>
      <c r="M358" s="3" t="s">
        <v>6839</v>
      </c>
      <c r="N358" s="3" t="s">
        <v>3535</v>
      </c>
      <c r="O358" s="3" t="s">
        <v>6847</v>
      </c>
      <c r="P358" s="3">
        <v>11</v>
      </c>
      <c r="Q358" s="3" t="s">
        <v>6848</v>
      </c>
      <c r="R358" s="3" t="s">
        <v>6849</v>
      </c>
      <c r="S358" s="3" t="s">
        <v>650</v>
      </c>
      <c r="T358" s="3" t="s">
        <v>650</v>
      </c>
      <c r="U358" s="3" t="s">
        <v>1380</v>
      </c>
      <c r="V358" s="3" t="s">
        <v>700</v>
      </c>
      <c r="W358" s="3"/>
      <c r="X358" s="3"/>
      <c r="Y358" s="3" t="s">
        <v>2001</v>
      </c>
    </row>
    <row r="359" spans="1:25" ht="60" customHeight="1" x14ac:dyDescent="0.2">
      <c r="A359" s="3" t="s">
        <v>6850</v>
      </c>
      <c r="B359" s="3" t="s">
        <v>6851</v>
      </c>
      <c r="C359" s="3" t="s">
        <v>6826</v>
      </c>
      <c r="D359" s="3">
        <v>254</v>
      </c>
      <c r="E359" s="3" t="s">
        <v>4003</v>
      </c>
      <c r="F359" s="3" t="s">
        <v>6852</v>
      </c>
      <c r="G359" s="11" t="s">
        <v>6853</v>
      </c>
      <c r="H359" s="3" t="s">
        <v>6854</v>
      </c>
      <c r="I359" s="3" t="s">
        <v>3996</v>
      </c>
      <c r="J359" s="3" t="s">
        <v>6855</v>
      </c>
      <c r="K359" s="3" t="s">
        <v>4028</v>
      </c>
      <c r="L359" s="3" t="s">
        <v>4020</v>
      </c>
      <c r="M359" s="3" t="s">
        <v>4010</v>
      </c>
      <c r="N359" s="3" t="s">
        <v>3535</v>
      </c>
      <c r="O359" s="3" t="s">
        <v>6856</v>
      </c>
      <c r="P359" s="3">
        <v>14</v>
      </c>
      <c r="Q359" s="3" t="s">
        <v>6857</v>
      </c>
      <c r="R359" s="3" t="s">
        <v>6858</v>
      </c>
      <c r="S359" s="3" t="s">
        <v>650</v>
      </c>
      <c r="T359" s="3" t="s">
        <v>650</v>
      </c>
      <c r="U359" s="3" t="s">
        <v>1380</v>
      </c>
      <c r="V359" s="3" t="s">
        <v>505</v>
      </c>
      <c r="W359" s="3"/>
      <c r="X359" s="3"/>
      <c r="Y359" s="3" t="s">
        <v>2001</v>
      </c>
    </row>
    <row r="360" spans="1:25" ht="60" customHeight="1" x14ac:dyDescent="0.2">
      <c r="A360" s="3" t="s">
        <v>6859</v>
      </c>
      <c r="B360" s="3" t="s">
        <v>6860</v>
      </c>
      <c r="C360" s="3" t="s">
        <v>6826</v>
      </c>
      <c r="D360" s="3">
        <v>323</v>
      </c>
      <c r="E360" s="3" t="s">
        <v>4003</v>
      </c>
      <c r="F360" s="3" t="s">
        <v>6861</v>
      </c>
      <c r="G360" s="11" t="s">
        <v>6862</v>
      </c>
      <c r="H360" s="3" t="s">
        <v>6863</v>
      </c>
      <c r="I360" s="3" t="s">
        <v>3996</v>
      </c>
      <c r="J360" s="3" t="s">
        <v>6864</v>
      </c>
      <c r="K360" s="3" t="s">
        <v>6865</v>
      </c>
      <c r="L360" s="3" t="s">
        <v>4020</v>
      </c>
      <c r="M360" s="3" t="s">
        <v>6866</v>
      </c>
      <c r="N360" s="3" t="s">
        <v>3535</v>
      </c>
      <c r="O360" s="3" t="s">
        <v>6867</v>
      </c>
      <c r="P360" s="3">
        <v>15</v>
      </c>
      <c r="Q360" s="3" t="s">
        <v>6868</v>
      </c>
      <c r="R360" s="3" t="s">
        <v>6869</v>
      </c>
      <c r="S360" s="3" t="s">
        <v>650</v>
      </c>
      <c r="T360" s="3" t="s">
        <v>650</v>
      </c>
      <c r="U360" s="3" t="s">
        <v>1380</v>
      </c>
      <c r="V360" s="3" t="s">
        <v>505</v>
      </c>
      <c r="W360" s="3"/>
      <c r="X360" s="3"/>
      <c r="Y360" s="3" t="s">
        <v>2001</v>
      </c>
    </row>
    <row r="361" spans="1:25" ht="60" customHeight="1" x14ac:dyDescent="0.2">
      <c r="A361" s="3" t="s">
        <v>6870</v>
      </c>
      <c r="B361" s="3" t="s">
        <v>6871</v>
      </c>
      <c r="C361" s="3" t="s">
        <v>6826</v>
      </c>
      <c r="D361" s="3">
        <v>382</v>
      </c>
      <c r="E361" s="3" t="s">
        <v>3992</v>
      </c>
      <c r="F361" s="3" t="s">
        <v>6872</v>
      </c>
      <c r="G361" s="11" t="s">
        <v>6873</v>
      </c>
      <c r="H361" s="3" t="s">
        <v>6874</v>
      </c>
      <c r="I361" s="3" t="s">
        <v>4018</v>
      </c>
      <c r="J361" s="3" t="s">
        <v>6875</v>
      </c>
      <c r="K361" s="3" t="s">
        <v>4008</v>
      </c>
      <c r="L361" s="3" t="s">
        <v>650</v>
      </c>
      <c r="M361" s="3" t="s">
        <v>4010</v>
      </c>
      <c r="N361" s="3" t="s">
        <v>3535</v>
      </c>
      <c r="O361" s="3" t="s">
        <v>650</v>
      </c>
      <c r="P361" s="3">
        <v>0</v>
      </c>
      <c r="Q361" s="3" t="s">
        <v>4052</v>
      </c>
      <c r="R361" s="3" t="s">
        <v>1499</v>
      </c>
      <c r="S361" s="3" t="s">
        <v>650</v>
      </c>
      <c r="T361" s="3" t="s">
        <v>650</v>
      </c>
      <c r="U361" s="3" t="s">
        <v>1380</v>
      </c>
      <c r="V361" s="3" t="s">
        <v>700</v>
      </c>
      <c r="W361" s="3"/>
      <c r="X361" s="3"/>
      <c r="Y361" s="3" t="s">
        <v>2001</v>
      </c>
    </row>
    <row r="362" spans="1:25" ht="60" customHeight="1" x14ac:dyDescent="0.2">
      <c r="A362" s="3" t="s">
        <v>6876</v>
      </c>
      <c r="B362" s="3" t="s">
        <v>6877</v>
      </c>
      <c r="C362" s="3" t="s">
        <v>6826</v>
      </c>
      <c r="D362" s="3">
        <v>417</v>
      </c>
      <c r="E362" s="3" t="s">
        <v>4003</v>
      </c>
      <c r="F362" s="3" t="s">
        <v>4110</v>
      </c>
      <c r="G362" s="11" t="s">
        <v>6878</v>
      </c>
      <c r="H362" s="3" t="s">
        <v>6879</v>
      </c>
      <c r="I362" s="3" t="s">
        <v>3996</v>
      </c>
      <c r="J362" s="3" t="s">
        <v>6880</v>
      </c>
      <c r="K362" s="3" t="s">
        <v>6881</v>
      </c>
      <c r="L362" s="3" t="s">
        <v>4020</v>
      </c>
      <c r="M362" s="3" t="s">
        <v>6882</v>
      </c>
      <c r="N362" s="3" t="s">
        <v>3535</v>
      </c>
      <c r="O362" s="3" t="s">
        <v>6883</v>
      </c>
      <c r="P362" s="3">
        <v>14</v>
      </c>
      <c r="Q362" s="3" t="s">
        <v>6884</v>
      </c>
      <c r="R362" s="3" t="s">
        <v>6885</v>
      </c>
      <c r="S362" s="3" t="s">
        <v>650</v>
      </c>
      <c r="T362" s="3" t="s">
        <v>650</v>
      </c>
      <c r="U362" s="3" t="s">
        <v>1380</v>
      </c>
      <c r="V362" s="3" t="s">
        <v>700</v>
      </c>
      <c r="W362" s="3"/>
      <c r="X362" s="3"/>
      <c r="Y362" s="3" t="s">
        <v>2001</v>
      </c>
    </row>
    <row r="363" spans="1:25" ht="60" customHeight="1" x14ac:dyDescent="0.2">
      <c r="A363" s="3" t="s">
        <v>6886</v>
      </c>
      <c r="B363" s="3" t="s">
        <v>6887</v>
      </c>
      <c r="C363" s="3" t="s">
        <v>6888</v>
      </c>
      <c r="D363" s="3">
        <v>79</v>
      </c>
      <c r="E363" s="3" t="s">
        <v>4003</v>
      </c>
      <c r="F363" s="3" t="s">
        <v>6889</v>
      </c>
      <c r="G363" s="11" t="s">
        <v>6890</v>
      </c>
      <c r="H363" s="3" t="s">
        <v>6891</v>
      </c>
      <c r="I363" s="3" t="s">
        <v>4065</v>
      </c>
      <c r="J363" s="3" t="s">
        <v>6892</v>
      </c>
      <c r="K363" s="3" t="s">
        <v>6893</v>
      </c>
      <c r="L363" s="3" t="s">
        <v>6894</v>
      </c>
      <c r="M363" s="3" t="s">
        <v>4010</v>
      </c>
      <c r="N363" s="3" t="s">
        <v>3535</v>
      </c>
      <c r="O363" s="3" t="s">
        <v>650</v>
      </c>
      <c r="P363" s="3">
        <v>0</v>
      </c>
      <c r="Q363" s="3" t="s">
        <v>4052</v>
      </c>
      <c r="R363" s="3" t="s">
        <v>1499</v>
      </c>
      <c r="S363" s="3" t="s">
        <v>650</v>
      </c>
      <c r="T363" s="3" t="s">
        <v>3919</v>
      </c>
      <c r="U363" s="3" t="s">
        <v>1380</v>
      </c>
      <c r="V363" s="3" t="s">
        <v>428</v>
      </c>
      <c r="W363" s="3"/>
      <c r="X363" s="3"/>
      <c r="Y363" s="3" t="s">
        <v>2001</v>
      </c>
    </row>
    <row r="364" spans="1:25" ht="60" customHeight="1" x14ac:dyDescent="0.2">
      <c r="A364" s="3" t="s">
        <v>6895</v>
      </c>
      <c r="B364" s="3" t="s">
        <v>6896</v>
      </c>
      <c r="C364" s="3" t="s">
        <v>6897</v>
      </c>
      <c r="D364" s="3">
        <v>61</v>
      </c>
      <c r="E364" s="3" t="s">
        <v>4003</v>
      </c>
      <c r="F364" s="3" t="s">
        <v>4110</v>
      </c>
      <c r="G364" s="11" t="s">
        <v>6898</v>
      </c>
      <c r="H364" s="3" t="s">
        <v>6899</v>
      </c>
      <c r="I364" s="3" t="s">
        <v>3996</v>
      </c>
      <c r="J364" s="3" t="s">
        <v>6900</v>
      </c>
      <c r="K364" s="3" t="s">
        <v>6901</v>
      </c>
      <c r="L364" s="3" t="s">
        <v>6902</v>
      </c>
      <c r="M364" s="3" t="s">
        <v>6903</v>
      </c>
      <c r="N364" s="3" t="s">
        <v>3535</v>
      </c>
      <c r="O364" s="3" t="s">
        <v>650</v>
      </c>
      <c r="P364" s="3">
        <v>0</v>
      </c>
      <c r="Q364" s="3" t="s">
        <v>4052</v>
      </c>
      <c r="R364" s="3" t="s">
        <v>1499</v>
      </c>
      <c r="S364" s="3" t="s">
        <v>650</v>
      </c>
      <c r="T364" s="3" t="s">
        <v>650</v>
      </c>
      <c r="U364" s="3" t="s">
        <v>1380</v>
      </c>
      <c r="V364" s="3" t="s">
        <v>700</v>
      </c>
      <c r="W364" s="3"/>
      <c r="X364" s="3"/>
      <c r="Y364" s="3" t="s">
        <v>2001</v>
      </c>
    </row>
    <row r="365" spans="1:25" ht="60" customHeight="1" x14ac:dyDescent="0.2">
      <c r="A365" s="3" t="s">
        <v>2177</v>
      </c>
      <c r="B365" s="3" t="s">
        <v>2176</v>
      </c>
      <c r="C365" s="3" t="s">
        <v>6897</v>
      </c>
      <c r="D365" s="3">
        <v>112</v>
      </c>
      <c r="E365" s="3" t="s">
        <v>4003</v>
      </c>
      <c r="F365" s="3" t="s">
        <v>6904</v>
      </c>
      <c r="G365" s="11" t="s">
        <v>6905</v>
      </c>
      <c r="H365" s="3" t="s">
        <v>6906</v>
      </c>
      <c r="I365" s="3" t="s">
        <v>3996</v>
      </c>
      <c r="J365" s="3" t="s">
        <v>4007</v>
      </c>
      <c r="K365" s="3" t="s">
        <v>4008</v>
      </c>
      <c r="L365" s="3" t="s">
        <v>4020</v>
      </c>
      <c r="M365" s="3" t="s">
        <v>4010</v>
      </c>
      <c r="N365" s="3" t="s">
        <v>3535</v>
      </c>
      <c r="O365" s="3" t="s">
        <v>6907</v>
      </c>
      <c r="P365" s="3">
        <v>17</v>
      </c>
      <c r="Q365" s="3" t="s">
        <v>6908</v>
      </c>
      <c r="R365" s="3" t="s">
        <v>2182</v>
      </c>
      <c r="S365" s="3" t="s">
        <v>2173</v>
      </c>
      <c r="T365" s="3" t="s">
        <v>3782</v>
      </c>
      <c r="U365" s="3" t="s">
        <v>1380</v>
      </c>
      <c r="V365" s="3" t="s">
        <v>539</v>
      </c>
      <c r="W365" s="3"/>
      <c r="X365" s="3"/>
      <c r="Y365" s="3" t="s">
        <v>2001</v>
      </c>
    </row>
    <row r="366" spans="1:25" ht="60" customHeight="1" x14ac:dyDescent="0.2">
      <c r="A366" s="3" t="s">
        <v>6909</v>
      </c>
      <c r="B366" s="3" t="s">
        <v>6910</v>
      </c>
      <c r="C366" s="3" t="s">
        <v>6897</v>
      </c>
      <c r="D366" s="3">
        <v>368</v>
      </c>
      <c r="E366" s="3" t="s">
        <v>4003</v>
      </c>
      <c r="F366" s="3" t="s">
        <v>6911</v>
      </c>
      <c r="G366" s="11" t="s">
        <v>6912</v>
      </c>
      <c r="H366" s="3" t="s">
        <v>6913</v>
      </c>
      <c r="I366" s="3" t="s">
        <v>3996</v>
      </c>
      <c r="J366" s="3" t="s">
        <v>6914</v>
      </c>
      <c r="K366" s="3" t="s">
        <v>4028</v>
      </c>
      <c r="L366" s="3" t="s">
        <v>6915</v>
      </c>
      <c r="M366" s="3" t="s">
        <v>6916</v>
      </c>
      <c r="N366" s="3" t="s">
        <v>3535</v>
      </c>
      <c r="O366" s="3" t="s">
        <v>6917</v>
      </c>
      <c r="P366" s="3">
        <v>9</v>
      </c>
      <c r="Q366" s="3" t="s">
        <v>6918</v>
      </c>
      <c r="R366" s="3" t="s">
        <v>6919</v>
      </c>
      <c r="S366" s="3" t="s">
        <v>6920</v>
      </c>
      <c r="T366" s="3" t="s">
        <v>3786</v>
      </c>
      <c r="U366" s="3" t="s">
        <v>1380</v>
      </c>
      <c r="V366" s="3" t="s">
        <v>428</v>
      </c>
      <c r="W366" s="3"/>
      <c r="X366" s="3"/>
      <c r="Y366" s="6" t="s">
        <v>6921</v>
      </c>
    </row>
    <row r="367" spans="1:25" ht="60" customHeight="1" x14ac:dyDescent="0.2">
      <c r="A367" s="3" t="s">
        <v>6922</v>
      </c>
      <c r="B367" s="3" t="s">
        <v>6923</v>
      </c>
      <c r="C367" s="3" t="s">
        <v>6897</v>
      </c>
      <c r="D367" s="3">
        <v>517</v>
      </c>
      <c r="E367" s="3" t="s">
        <v>3992</v>
      </c>
      <c r="F367" s="3" t="s">
        <v>6924</v>
      </c>
      <c r="G367" s="11" t="s">
        <v>6925</v>
      </c>
      <c r="H367" s="3" t="s">
        <v>6926</v>
      </c>
      <c r="I367" s="3" t="s">
        <v>3996</v>
      </c>
      <c r="J367" s="3" t="s">
        <v>6914</v>
      </c>
      <c r="K367" s="3" t="s">
        <v>4028</v>
      </c>
      <c r="L367" s="3" t="s">
        <v>650</v>
      </c>
      <c r="M367" s="3" t="s">
        <v>4010</v>
      </c>
      <c r="N367" s="3" t="s">
        <v>3535</v>
      </c>
      <c r="O367" s="3" t="s">
        <v>650</v>
      </c>
      <c r="P367" s="3">
        <v>0</v>
      </c>
      <c r="Q367" s="3" t="s">
        <v>4052</v>
      </c>
      <c r="R367" s="3" t="s">
        <v>1499</v>
      </c>
      <c r="S367" s="3" t="s">
        <v>650</v>
      </c>
      <c r="T367" s="3" t="s">
        <v>650</v>
      </c>
      <c r="U367" s="3" t="s">
        <v>1380</v>
      </c>
      <c r="V367" s="3" t="s">
        <v>700</v>
      </c>
      <c r="W367" s="3"/>
      <c r="X367" s="3"/>
      <c r="Y367" s="3" t="s">
        <v>2001</v>
      </c>
    </row>
    <row r="368" spans="1:25" ht="60" customHeight="1" x14ac:dyDescent="0.2">
      <c r="A368" s="3" t="s">
        <v>6927</v>
      </c>
      <c r="B368" s="3" t="s">
        <v>6928</v>
      </c>
      <c r="C368" s="3" t="s">
        <v>6897</v>
      </c>
      <c r="D368" s="3">
        <v>546</v>
      </c>
      <c r="E368" s="3" t="s">
        <v>4003</v>
      </c>
      <c r="F368" s="3" t="s">
        <v>6929</v>
      </c>
      <c r="G368" s="11" t="s">
        <v>6930</v>
      </c>
      <c r="H368" s="3" t="s">
        <v>6931</v>
      </c>
      <c r="I368" s="3" t="s">
        <v>3996</v>
      </c>
      <c r="J368" s="3" t="s">
        <v>6932</v>
      </c>
      <c r="K368" s="3" t="s">
        <v>6933</v>
      </c>
      <c r="L368" s="3" t="s">
        <v>4020</v>
      </c>
      <c r="M368" s="3" t="s">
        <v>4010</v>
      </c>
      <c r="N368" s="3" t="s">
        <v>3535</v>
      </c>
      <c r="O368" s="3" t="s">
        <v>650</v>
      </c>
      <c r="P368" s="3">
        <v>0</v>
      </c>
      <c r="Q368" s="3" t="s">
        <v>4052</v>
      </c>
      <c r="R368" s="3" t="s">
        <v>1499</v>
      </c>
      <c r="S368" s="3" t="s">
        <v>650</v>
      </c>
      <c r="T368" s="3" t="s">
        <v>650</v>
      </c>
      <c r="U368" s="3" t="s">
        <v>1380</v>
      </c>
      <c r="V368" s="3" t="s">
        <v>700</v>
      </c>
      <c r="W368" s="3"/>
      <c r="X368" s="3"/>
      <c r="Y368" s="3" t="s">
        <v>2001</v>
      </c>
    </row>
    <row r="369" spans="1:25" ht="60" customHeight="1" x14ac:dyDescent="0.2">
      <c r="A369" s="3" t="s">
        <v>6934</v>
      </c>
      <c r="B369" s="3" t="s">
        <v>6935</v>
      </c>
      <c r="C369" s="3" t="s">
        <v>6897</v>
      </c>
      <c r="D369" s="3">
        <v>580</v>
      </c>
      <c r="E369" s="3" t="s">
        <v>3992</v>
      </c>
      <c r="F369" s="3" t="s">
        <v>4110</v>
      </c>
      <c r="G369" s="11" t="s">
        <v>6936</v>
      </c>
      <c r="H369" s="3" t="s">
        <v>6937</v>
      </c>
      <c r="I369" s="3" t="s">
        <v>4018</v>
      </c>
      <c r="J369" s="3" t="s">
        <v>6938</v>
      </c>
      <c r="K369" s="3" t="s">
        <v>6939</v>
      </c>
      <c r="L369" s="3" t="s">
        <v>650</v>
      </c>
      <c r="M369" s="3" t="s">
        <v>6940</v>
      </c>
      <c r="N369" s="3" t="s">
        <v>3535</v>
      </c>
      <c r="O369" s="3" t="s">
        <v>6941</v>
      </c>
      <c r="P369" s="3">
        <v>86</v>
      </c>
      <c r="Q369" s="3" t="s">
        <v>6942</v>
      </c>
      <c r="R369" s="3" t="s">
        <v>6943</v>
      </c>
      <c r="S369" s="3" t="s">
        <v>650</v>
      </c>
      <c r="T369" s="3" t="s">
        <v>650</v>
      </c>
      <c r="U369" s="3" t="s">
        <v>1380</v>
      </c>
      <c r="V369" s="3" t="s">
        <v>700</v>
      </c>
      <c r="W369" s="3"/>
      <c r="X369" s="3"/>
      <c r="Y369" s="3" t="s">
        <v>2001</v>
      </c>
    </row>
    <row r="370" spans="1:25" ht="60" customHeight="1" x14ac:dyDescent="0.2">
      <c r="A370" s="3" t="s">
        <v>6944</v>
      </c>
      <c r="B370" s="3" t="s">
        <v>6945</v>
      </c>
      <c r="C370" s="3" t="s">
        <v>6897</v>
      </c>
      <c r="D370" s="3">
        <v>619</v>
      </c>
      <c r="E370" s="3" t="s">
        <v>3992</v>
      </c>
      <c r="F370" s="3" t="s">
        <v>6946</v>
      </c>
      <c r="G370" s="11" t="s">
        <v>6947</v>
      </c>
      <c r="H370" s="3" t="s">
        <v>6948</v>
      </c>
      <c r="I370" s="3" t="s">
        <v>4018</v>
      </c>
      <c r="J370" s="3" t="s">
        <v>6949</v>
      </c>
      <c r="K370" s="3" t="s">
        <v>4008</v>
      </c>
      <c r="L370" s="3" t="s">
        <v>650</v>
      </c>
      <c r="M370" s="3" t="s">
        <v>6950</v>
      </c>
      <c r="N370" s="3" t="s">
        <v>3535</v>
      </c>
      <c r="O370" s="3" t="s">
        <v>650</v>
      </c>
      <c r="P370" s="3">
        <v>0</v>
      </c>
      <c r="Q370" s="3" t="s">
        <v>4052</v>
      </c>
      <c r="R370" s="3" t="s">
        <v>1499</v>
      </c>
      <c r="S370" s="3" t="s">
        <v>650</v>
      </c>
      <c r="T370" s="3" t="s">
        <v>650</v>
      </c>
      <c r="U370" s="3" t="s">
        <v>1380</v>
      </c>
      <c r="V370" s="3" t="s">
        <v>700</v>
      </c>
      <c r="W370" s="3"/>
      <c r="X370" s="3"/>
      <c r="Y370" s="3" t="s">
        <v>2001</v>
      </c>
    </row>
    <row r="371" spans="1:25" ht="60" customHeight="1" x14ac:dyDescent="0.2">
      <c r="A371" s="3" t="s">
        <v>1602</v>
      </c>
      <c r="B371" s="3" t="s">
        <v>1601</v>
      </c>
      <c r="C371" s="3" t="s">
        <v>6897</v>
      </c>
      <c r="D371" s="3">
        <v>663</v>
      </c>
      <c r="E371" s="3" t="s">
        <v>4003</v>
      </c>
      <c r="F371" s="3" t="s">
        <v>3708</v>
      </c>
      <c r="G371" s="11" t="s">
        <v>6951</v>
      </c>
      <c r="H371" s="3" t="s">
        <v>6952</v>
      </c>
      <c r="I371" s="3" t="s">
        <v>4290</v>
      </c>
      <c r="J371" s="3" t="s">
        <v>6914</v>
      </c>
      <c r="K371" s="3" t="s">
        <v>6953</v>
      </c>
      <c r="L371" s="3" t="s">
        <v>4020</v>
      </c>
      <c r="M371" s="3" t="s">
        <v>6954</v>
      </c>
      <c r="N371" s="3" t="s">
        <v>3535</v>
      </c>
      <c r="O371" s="3" t="s">
        <v>6955</v>
      </c>
      <c r="P371" s="3">
        <v>10</v>
      </c>
      <c r="Q371" s="3" t="s">
        <v>6956</v>
      </c>
      <c r="R371" s="3" t="s">
        <v>1610</v>
      </c>
      <c r="S371" s="3" t="s">
        <v>6957</v>
      </c>
      <c r="T371" s="3" t="s">
        <v>3706</v>
      </c>
      <c r="U371" s="3" t="s">
        <v>1380</v>
      </c>
      <c r="V371" s="3" t="s">
        <v>700</v>
      </c>
      <c r="W371" s="3"/>
      <c r="X371" s="3"/>
      <c r="Y371" s="3" t="s">
        <v>2001</v>
      </c>
    </row>
    <row r="372" spans="1:25" ht="60" customHeight="1" x14ac:dyDescent="0.2">
      <c r="A372" s="3" t="s">
        <v>6958</v>
      </c>
      <c r="B372" s="3" t="s">
        <v>6959</v>
      </c>
      <c r="C372" s="3" t="s">
        <v>6897</v>
      </c>
      <c r="D372" s="3">
        <v>721</v>
      </c>
      <c r="E372" s="3" t="s">
        <v>4003</v>
      </c>
      <c r="F372" s="3" t="s">
        <v>6960</v>
      </c>
      <c r="G372" s="11" t="s">
        <v>6961</v>
      </c>
      <c r="H372" s="3" t="s">
        <v>6962</v>
      </c>
      <c r="I372" s="3" t="s">
        <v>4018</v>
      </c>
      <c r="J372" s="3" t="s">
        <v>6963</v>
      </c>
      <c r="K372" s="3" t="s">
        <v>4257</v>
      </c>
      <c r="L372" s="3" t="s">
        <v>6964</v>
      </c>
      <c r="M372" s="3" t="s">
        <v>4010</v>
      </c>
      <c r="N372" s="3" t="s">
        <v>3535</v>
      </c>
      <c r="O372" s="3" t="s">
        <v>6965</v>
      </c>
      <c r="P372" s="3">
        <v>11</v>
      </c>
      <c r="Q372" s="3" t="s">
        <v>6966</v>
      </c>
      <c r="R372" s="3" t="s">
        <v>6967</v>
      </c>
      <c r="S372" s="3" t="s">
        <v>650</v>
      </c>
      <c r="T372" s="3" t="s">
        <v>650</v>
      </c>
      <c r="U372" s="3" t="s">
        <v>1380</v>
      </c>
      <c r="V372" s="3" t="s">
        <v>700</v>
      </c>
      <c r="W372" s="3"/>
      <c r="X372" s="3"/>
      <c r="Y372" s="3" t="s">
        <v>2001</v>
      </c>
    </row>
    <row r="373" spans="1:25" ht="60" customHeight="1" x14ac:dyDescent="0.2">
      <c r="A373" s="3" t="s">
        <v>6968</v>
      </c>
      <c r="B373" s="3" t="s">
        <v>6969</v>
      </c>
      <c r="C373" s="3" t="s">
        <v>6970</v>
      </c>
      <c r="D373" s="3">
        <v>47</v>
      </c>
      <c r="E373" s="3" t="s">
        <v>3992</v>
      </c>
      <c r="F373" s="3" t="s">
        <v>6971</v>
      </c>
      <c r="G373" s="11" t="s">
        <v>6972</v>
      </c>
      <c r="H373" s="3" t="s">
        <v>6973</v>
      </c>
      <c r="I373" s="3" t="s">
        <v>4290</v>
      </c>
      <c r="J373" s="3" t="s">
        <v>6974</v>
      </c>
      <c r="K373" s="3" t="s">
        <v>4008</v>
      </c>
      <c r="L373" s="3" t="s">
        <v>650</v>
      </c>
      <c r="M373" s="3" t="s">
        <v>4010</v>
      </c>
      <c r="N373" s="3" t="s">
        <v>3535</v>
      </c>
      <c r="O373" s="3" t="s">
        <v>650</v>
      </c>
      <c r="P373" s="3">
        <v>0</v>
      </c>
      <c r="Q373" s="3" t="s">
        <v>4052</v>
      </c>
      <c r="R373" s="3" t="s">
        <v>1499</v>
      </c>
      <c r="S373" s="3" t="s">
        <v>650</v>
      </c>
      <c r="T373" s="3" t="s">
        <v>3935</v>
      </c>
      <c r="U373" s="3" t="s">
        <v>1380</v>
      </c>
      <c r="V373" s="3" t="s">
        <v>700</v>
      </c>
      <c r="W373" s="3"/>
      <c r="X373" s="3"/>
      <c r="Y373" s="3" t="s">
        <v>2001</v>
      </c>
    </row>
    <row r="374" spans="1:25" ht="60" customHeight="1" x14ac:dyDescent="0.2">
      <c r="A374" s="3" t="s">
        <v>6975</v>
      </c>
      <c r="B374" s="3" t="s">
        <v>6976</v>
      </c>
      <c r="C374" s="3" t="s">
        <v>6970</v>
      </c>
      <c r="D374" s="3">
        <v>93</v>
      </c>
      <c r="E374" s="3" t="s">
        <v>3992</v>
      </c>
      <c r="F374" s="3" t="s">
        <v>6977</v>
      </c>
      <c r="G374" s="11" t="s">
        <v>6978</v>
      </c>
      <c r="H374" s="3" t="s">
        <v>6979</v>
      </c>
      <c r="I374" s="3" t="s">
        <v>4290</v>
      </c>
      <c r="J374" s="3" t="s">
        <v>6980</v>
      </c>
      <c r="K374" s="3" t="s">
        <v>4008</v>
      </c>
      <c r="L374" s="3" t="s">
        <v>650</v>
      </c>
      <c r="M374" s="3" t="s">
        <v>6981</v>
      </c>
      <c r="N374" s="3" t="s">
        <v>3535</v>
      </c>
      <c r="O374" s="3" t="s">
        <v>6982</v>
      </c>
      <c r="P374" s="3">
        <v>1</v>
      </c>
      <c r="Q374" s="3" t="s">
        <v>6982</v>
      </c>
      <c r="R374" s="3" t="s">
        <v>6983</v>
      </c>
      <c r="S374" s="3" t="s">
        <v>2281</v>
      </c>
      <c r="T374" s="3" t="s">
        <v>3927</v>
      </c>
      <c r="U374" s="3" t="s">
        <v>1380</v>
      </c>
      <c r="V374" s="3" t="s">
        <v>700</v>
      </c>
      <c r="W374" s="3"/>
      <c r="X374" s="3"/>
      <c r="Y374" s="3" t="s">
        <v>2001</v>
      </c>
    </row>
    <row r="375" spans="1:25" ht="45" customHeight="1" x14ac:dyDescent="0.2">
      <c r="A375" s="3" t="s">
        <v>6984</v>
      </c>
      <c r="B375" s="3" t="s">
        <v>6985</v>
      </c>
      <c r="C375" s="3" t="s">
        <v>6970</v>
      </c>
      <c r="D375" s="3">
        <v>124</v>
      </c>
      <c r="E375" s="3" t="s">
        <v>4129</v>
      </c>
      <c r="F375" s="3" t="s">
        <v>6986</v>
      </c>
      <c r="G375" s="11" t="s">
        <v>6987</v>
      </c>
      <c r="H375" s="3" t="s">
        <v>6988</v>
      </c>
      <c r="I375" s="3" t="s">
        <v>4018</v>
      </c>
      <c r="J375" s="3" t="s">
        <v>6989</v>
      </c>
      <c r="K375" s="3" t="s">
        <v>4008</v>
      </c>
      <c r="L375" s="3" t="s">
        <v>650</v>
      </c>
      <c r="M375" s="3" t="s">
        <v>4010</v>
      </c>
      <c r="N375" s="3" t="s">
        <v>3419</v>
      </c>
      <c r="O375" s="3" t="s">
        <v>6990</v>
      </c>
      <c r="P375" s="3">
        <v>2</v>
      </c>
      <c r="Q375" s="3" t="s">
        <v>6991</v>
      </c>
      <c r="R375" s="3" t="s">
        <v>6992</v>
      </c>
      <c r="S375" s="3" t="s">
        <v>650</v>
      </c>
      <c r="T375" s="3" t="s">
        <v>650</v>
      </c>
      <c r="U375" s="3" t="s">
        <v>1380</v>
      </c>
      <c r="V375" s="3" t="s">
        <v>700</v>
      </c>
      <c r="W375" s="3"/>
      <c r="X375" s="3"/>
      <c r="Y375" s="3" t="s">
        <v>2001</v>
      </c>
    </row>
    <row r="376" spans="1:25" ht="60" customHeight="1" x14ac:dyDescent="0.2">
      <c r="A376" s="3" t="s">
        <v>2255</v>
      </c>
      <c r="B376" s="3" t="s">
        <v>2254</v>
      </c>
      <c r="C376" s="3" t="s">
        <v>6970</v>
      </c>
      <c r="D376" s="3">
        <v>155</v>
      </c>
      <c r="E376" s="3" t="s">
        <v>4003</v>
      </c>
      <c r="F376" s="3" t="s">
        <v>6993</v>
      </c>
      <c r="G376" s="11" t="s">
        <v>6994</v>
      </c>
      <c r="H376" s="3" t="s">
        <v>6995</v>
      </c>
      <c r="I376" s="3" t="s">
        <v>4290</v>
      </c>
      <c r="J376" s="3" t="s">
        <v>6996</v>
      </c>
      <c r="K376" s="3" t="s">
        <v>4008</v>
      </c>
      <c r="L376" s="3" t="s">
        <v>4020</v>
      </c>
      <c r="M376" s="3" t="s">
        <v>6997</v>
      </c>
      <c r="N376" s="3" t="s">
        <v>3535</v>
      </c>
      <c r="O376" s="3" t="s">
        <v>6990</v>
      </c>
      <c r="P376" s="3">
        <v>2</v>
      </c>
      <c r="Q376" s="3" t="s">
        <v>6991</v>
      </c>
      <c r="R376" s="3" t="s">
        <v>2261</v>
      </c>
      <c r="S376" s="3" t="s">
        <v>504</v>
      </c>
      <c r="T376" s="3" t="s">
        <v>3897</v>
      </c>
      <c r="U376" s="3" t="s">
        <v>1380</v>
      </c>
      <c r="V376" s="3" t="s">
        <v>505</v>
      </c>
      <c r="W376" s="3"/>
      <c r="X376" s="3"/>
      <c r="Y376" s="3" t="s">
        <v>2001</v>
      </c>
    </row>
    <row r="377" spans="1:25" ht="45" customHeight="1" x14ac:dyDescent="0.2">
      <c r="A377" s="3" t="s">
        <v>6998</v>
      </c>
      <c r="B377" s="3" t="s">
        <v>6999</v>
      </c>
      <c r="C377" s="3" t="s">
        <v>6970</v>
      </c>
      <c r="D377" s="3">
        <v>176</v>
      </c>
      <c r="E377" s="3" t="s">
        <v>4003</v>
      </c>
      <c r="F377" s="3" t="s">
        <v>7000</v>
      </c>
      <c r="G377" s="11" t="s">
        <v>7001</v>
      </c>
      <c r="H377" s="3" t="s">
        <v>7002</v>
      </c>
      <c r="I377" s="3" t="s">
        <v>4018</v>
      </c>
      <c r="J377" s="3" t="s">
        <v>7003</v>
      </c>
      <c r="K377" s="3" t="s">
        <v>4008</v>
      </c>
      <c r="L377" s="3" t="s">
        <v>7004</v>
      </c>
      <c r="M377" s="3" t="s">
        <v>4010</v>
      </c>
      <c r="N377" s="3" t="s">
        <v>3535</v>
      </c>
      <c r="O377" s="3" t="s">
        <v>7005</v>
      </c>
      <c r="P377" s="3">
        <v>3</v>
      </c>
      <c r="Q377" s="3" t="s">
        <v>7006</v>
      </c>
      <c r="R377" s="3" t="s">
        <v>7007</v>
      </c>
      <c r="S377" s="3" t="s">
        <v>650</v>
      </c>
      <c r="T377" s="3" t="s">
        <v>650</v>
      </c>
      <c r="U377" s="3" t="s">
        <v>1380</v>
      </c>
      <c r="V377" s="3" t="s">
        <v>700</v>
      </c>
      <c r="W377" s="3"/>
      <c r="X377" s="3"/>
      <c r="Y377" s="3" t="s">
        <v>2001</v>
      </c>
    </row>
    <row r="378" spans="1:25" ht="60" customHeight="1" x14ac:dyDescent="0.2">
      <c r="A378" s="3" t="s">
        <v>7008</v>
      </c>
      <c r="B378" s="3" t="s">
        <v>7009</v>
      </c>
      <c r="C378" s="3" t="s">
        <v>6970</v>
      </c>
      <c r="D378" s="3">
        <v>205</v>
      </c>
      <c r="E378" s="3" t="s">
        <v>4003</v>
      </c>
      <c r="F378" s="3" t="s">
        <v>7010</v>
      </c>
      <c r="G378" s="11" t="s">
        <v>7011</v>
      </c>
      <c r="H378" s="3" t="s">
        <v>7012</v>
      </c>
      <c r="I378" s="3" t="s">
        <v>4018</v>
      </c>
      <c r="J378" s="3" t="s">
        <v>7013</v>
      </c>
      <c r="K378" s="3" t="s">
        <v>4008</v>
      </c>
      <c r="L378" s="3" t="s">
        <v>4020</v>
      </c>
      <c r="M378" s="3" t="s">
        <v>7014</v>
      </c>
      <c r="N378" s="3" t="s">
        <v>3535</v>
      </c>
      <c r="O378" s="3" t="s">
        <v>7005</v>
      </c>
      <c r="P378" s="3">
        <v>3</v>
      </c>
      <c r="Q378" s="3" t="s">
        <v>7006</v>
      </c>
      <c r="R378" s="3" t="s">
        <v>7015</v>
      </c>
      <c r="S378" s="3" t="s">
        <v>650</v>
      </c>
      <c r="T378" s="3" t="s">
        <v>650</v>
      </c>
      <c r="U378" s="3" t="s">
        <v>1380</v>
      </c>
      <c r="V378" s="3" t="s">
        <v>700</v>
      </c>
      <c r="W378" s="3"/>
      <c r="X378" s="3"/>
      <c r="Y378" s="3" t="s">
        <v>2001</v>
      </c>
    </row>
    <row r="379" spans="1:25" ht="60" customHeight="1" x14ac:dyDescent="0.2">
      <c r="A379" s="3" t="s">
        <v>7016</v>
      </c>
      <c r="B379" s="3" t="s">
        <v>7017</v>
      </c>
      <c r="C379" s="3" t="s">
        <v>6970</v>
      </c>
      <c r="D379" s="3">
        <v>236</v>
      </c>
      <c r="E379" s="3" t="s">
        <v>4003</v>
      </c>
      <c r="F379" s="3" t="s">
        <v>7018</v>
      </c>
      <c r="G379" s="11" t="s">
        <v>7019</v>
      </c>
      <c r="H379" s="3" t="s">
        <v>7020</v>
      </c>
      <c r="I379" s="3" t="s">
        <v>3996</v>
      </c>
      <c r="J379" s="3" t="s">
        <v>6974</v>
      </c>
      <c r="K379" s="3" t="s">
        <v>4844</v>
      </c>
      <c r="L379" s="3" t="s">
        <v>7021</v>
      </c>
      <c r="M379" s="3" t="s">
        <v>4248</v>
      </c>
      <c r="N379" s="3" t="s">
        <v>3535</v>
      </c>
      <c r="O379" s="3" t="s">
        <v>6982</v>
      </c>
      <c r="P379" s="3">
        <v>1</v>
      </c>
      <c r="Q379" s="3" t="s">
        <v>6982</v>
      </c>
      <c r="R379" s="3" t="s">
        <v>7022</v>
      </c>
      <c r="S379" s="3" t="s">
        <v>650</v>
      </c>
      <c r="T379" s="3" t="s">
        <v>650</v>
      </c>
      <c r="U379" s="3" t="s">
        <v>1380</v>
      </c>
      <c r="V379" s="3" t="s">
        <v>700</v>
      </c>
      <c r="W379" s="3"/>
      <c r="X379" s="3"/>
      <c r="Y379" s="3" t="s">
        <v>2001</v>
      </c>
    </row>
    <row r="380" spans="1:25" ht="60" customHeight="1" x14ac:dyDescent="0.2">
      <c r="A380" s="3" t="s">
        <v>7023</v>
      </c>
      <c r="B380" s="3" t="s">
        <v>7024</v>
      </c>
      <c r="C380" s="3" t="s">
        <v>6970</v>
      </c>
      <c r="D380" s="3">
        <v>268</v>
      </c>
      <c r="E380" s="3" t="s">
        <v>4003</v>
      </c>
      <c r="F380" s="3" t="s">
        <v>7025</v>
      </c>
      <c r="G380" s="11" t="s">
        <v>7026</v>
      </c>
      <c r="H380" s="3" t="s">
        <v>7027</v>
      </c>
      <c r="I380" s="3" t="s">
        <v>3996</v>
      </c>
      <c r="J380" s="3" t="s">
        <v>7028</v>
      </c>
      <c r="K380" s="3" t="s">
        <v>4028</v>
      </c>
      <c r="L380" s="3" t="s">
        <v>7029</v>
      </c>
      <c r="M380" s="3" t="s">
        <v>4010</v>
      </c>
      <c r="N380" s="3" t="s">
        <v>3535</v>
      </c>
      <c r="O380" s="3" t="s">
        <v>650</v>
      </c>
      <c r="P380" s="3">
        <v>0</v>
      </c>
      <c r="Q380" s="3" t="s">
        <v>4052</v>
      </c>
      <c r="R380" s="3" t="s">
        <v>1499</v>
      </c>
      <c r="S380" s="3" t="s">
        <v>650</v>
      </c>
      <c r="T380" s="3" t="s">
        <v>650</v>
      </c>
      <c r="U380" s="3" t="s">
        <v>1380</v>
      </c>
      <c r="V380" s="3" t="s">
        <v>700</v>
      </c>
      <c r="W380" s="3"/>
      <c r="X380" s="3"/>
      <c r="Y380" s="3" t="s">
        <v>2001</v>
      </c>
    </row>
    <row r="381" spans="1:25" ht="60" customHeight="1" x14ac:dyDescent="0.2">
      <c r="A381" s="3" t="s">
        <v>7030</v>
      </c>
      <c r="B381" s="3" t="s">
        <v>7031</v>
      </c>
      <c r="C381" s="3" t="s">
        <v>7032</v>
      </c>
      <c r="D381" s="3">
        <v>83</v>
      </c>
      <c r="E381" s="3" t="s">
        <v>4003</v>
      </c>
      <c r="F381" s="3" t="s">
        <v>7033</v>
      </c>
      <c r="G381" s="11" t="s">
        <v>7034</v>
      </c>
      <c r="H381" s="3" t="s">
        <v>7035</v>
      </c>
      <c r="I381" s="3" t="s">
        <v>4018</v>
      </c>
      <c r="J381" s="3" t="s">
        <v>7036</v>
      </c>
      <c r="K381" s="3" t="s">
        <v>4028</v>
      </c>
      <c r="L381" s="3" t="s">
        <v>4020</v>
      </c>
      <c r="M381" s="3" t="s">
        <v>7037</v>
      </c>
      <c r="N381" s="3" t="s">
        <v>3535</v>
      </c>
      <c r="O381" s="3" t="s">
        <v>7038</v>
      </c>
      <c r="P381" s="3">
        <v>24</v>
      </c>
      <c r="Q381" s="3" t="s">
        <v>7039</v>
      </c>
      <c r="R381" s="3" t="s">
        <v>7040</v>
      </c>
      <c r="S381" s="3" t="s">
        <v>650</v>
      </c>
      <c r="T381" s="3" t="s">
        <v>3905</v>
      </c>
      <c r="U381" s="3" t="s">
        <v>1380</v>
      </c>
      <c r="V381" s="3" t="s">
        <v>700</v>
      </c>
      <c r="W381" s="3"/>
      <c r="X381" s="3"/>
      <c r="Y381" s="3" t="s">
        <v>2001</v>
      </c>
    </row>
    <row r="382" spans="1:25" ht="60" customHeight="1" x14ac:dyDescent="0.2">
      <c r="A382" s="3" t="s">
        <v>7041</v>
      </c>
      <c r="B382" s="3" t="s">
        <v>7042</v>
      </c>
      <c r="C382" s="3" t="s">
        <v>7032</v>
      </c>
      <c r="D382" s="3">
        <v>140</v>
      </c>
      <c r="E382" s="3" t="s">
        <v>4003</v>
      </c>
      <c r="F382" s="3" t="s">
        <v>7043</v>
      </c>
      <c r="G382" s="11" t="s">
        <v>7044</v>
      </c>
      <c r="H382" s="3" t="s">
        <v>7045</v>
      </c>
      <c r="I382" s="3" t="s">
        <v>4018</v>
      </c>
      <c r="J382" s="3" t="s">
        <v>7046</v>
      </c>
      <c r="K382" s="3" t="s">
        <v>4008</v>
      </c>
      <c r="L382" s="3" t="s">
        <v>7047</v>
      </c>
      <c r="M382" s="3" t="s">
        <v>6822</v>
      </c>
      <c r="N382" s="3" t="s">
        <v>3535</v>
      </c>
      <c r="O382" s="3" t="s">
        <v>650</v>
      </c>
      <c r="P382" s="3">
        <v>0</v>
      </c>
      <c r="Q382" s="3" t="s">
        <v>4052</v>
      </c>
      <c r="R382" s="3" t="s">
        <v>1499</v>
      </c>
      <c r="S382" s="3" t="s">
        <v>650</v>
      </c>
      <c r="T382" s="3" t="s">
        <v>3778</v>
      </c>
      <c r="U382" s="3" t="s">
        <v>1380</v>
      </c>
      <c r="V382" s="3" t="s">
        <v>984</v>
      </c>
      <c r="W382" s="3"/>
      <c r="X382" s="3"/>
      <c r="Y382" s="3" t="s">
        <v>2001</v>
      </c>
    </row>
    <row r="383" spans="1:25" ht="60" customHeight="1" x14ac:dyDescent="0.2">
      <c r="A383" s="3" t="s">
        <v>2164</v>
      </c>
      <c r="B383" s="3" t="s">
        <v>2163</v>
      </c>
      <c r="C383" s="3" t="s">
        <v>7032</v>
      </c>
      <c r="D383" s="3">
        <v>193</v>
      </c>
      <c r="E383" s="3" t="s">
        <v>4003</v>
      </c>
      <c r="F383" s="3" t="s">
        <v>3792</v>
      </c>
      <c r="G383" s="11" t="s">
        <v>7048</v>
      </c>
      <c r="H383" s="3" t="s">
        <v>7049</v>
      </c>
      <c r="I383" s="3" t="s">
        <v>3996</v>
      </c>
      <c r="J383" s="3" t="s">
        <v>7050</v>
      </c>
      <c r="K383" s="3" t="s">
        <v>7051</v>
      </c>
      <c r="L383" s="3" t="s">
        <v>4020</v>
      </c>
      <c r="M383" s="3" t="s">
        <v>7052</v>
      </c>
      <c r="N383" s="3" t="s">
        <v>3535</v>
      </c>
      <c r="O383" s="3" t="s">
        <v>7053</v>
      </c>
      <c r="P383" s="3">
        <v>80</v>
      </c>
      <c r="Q383" s="3" t="s">
        <v>7054</v>
      </c>
      <c r="R383" s="3" t="s">
        <v>2169</v>
      </c>
      <c r="S383" s="3" t="s">
        <v>916</v>
      </c>
      <c r="T383" s="3" t="s">
        <v>3790</v>
      </c>
      <c r="U383" s="3" t="s">
        <v>1380</v>
      </c>
      <c r="V383" s="3" t="s">
        <v>539</v>
      </c>
      <c r="W383" s="3"/>
      <c r="X383" s="3"/>
      <c r="Y383" s="6" t="s">
        <v>7055</v>
      </c>
    </row>
    <row r="384" spans="1:25" ht="60" customHeight="1" x14ac:dyDescent="0.2">
      <c r="A384" s="3" t="s">
        <v>7056</v>
      </c>
      <c r="B384" s="3" t="s">
        <v>1358</v>
      </c>
      <c r="C384" s="3" t="s">
        <v>7032</v>
      </c>
      <c r="D384" s="3">
        <v>310</v>
      </c>
      <c r="E384" s="3" t="s">
        <v>4003</v>
      </c>
      <c r="F384" s="3" t="s">
        <v>7057</v>
      </c>
      <c r="G384" s="11" t="s">
        <v>7058</v>
      </c>
      <c r="H384" s="3" t="s">
        <v>7059</v>
      </c>
      <c r="I384" s="3" t="s">
        <v>3996</v>
      </c>
      <c r="J384" s="3" t="s">
        <v>7050</v>
      </c>
      <c r="K384" s="3" t="s">
        <v>7060</v>
      </c>
      <c r="L384" s="3" t="s">
        <v>7061</v>
      </c>
      <c r="M384" s="3" t="s">
        <v>4010</v>
      </c>
      <c r="N384" s="3" t="s">
        <v>3535</v>
      </c>
      <c r="O384" s="3" t="s">
        <v>7062</v>
      </c>
      <c r="P384" s="3">
        <v>82</v>
      </c>
      <c r="Q384" s="3" t="s">
        <v>7063</v>
      </c>
      <c r="R384" s="3" t="s">
        <v>1368</v>
      </c>
      <c r="S384" s="3" t="s">
        <v>3797</v>
      </c>
      <c r="T384" s="3" t="s">
        <v>3794</v>
      </c>
      <c r="U384" s="3" t="s">
        <v>1380</v>
      </c>
      <c r="V384" s="3" t="s">
        <v>539</v>
      </c>
      <c r="W384" s="3"/>
      <c r="X384" s="3"/>
      <c r="Y384" s="3" t="s">
        <v>2001</v>
      </c>
    </row>
    <row r="385" spans="1:25" ht="60" customHeight="1" x14ac:dyDescent="0.2">
      <c r="A385" s="3" t="s">
        <v>7064</v>
      </c>
      <c r="B385" s="3" t="s">
        <v>7065</v>
      </c>
      <c r="C385" s="3" t="s">
        <v>6805</v>
      </c>
      <c r="D385" s="3">
        <v>45</v>
      </c>
      <c r="E385" s="3" t="s">
        <v>4136</v>
      </c>
      <c r="F385" s="3" t="s">
        <v>4110</v>
      </c>
      <c r="G385" s="11" t="s">
        <v>7066</v>
      </c>
      <c r="H385" s="3" t="s">
        <v>7067</v>
      </c>
      <c r="I385" s="3" t="s">
        <v>4290</v>
      </c>
      <c r="J385" s="3" t="s">
        <v>7068</v>
      </c>
      <c r="K385" s="3" t="s">
        <v>4028</v>
      </c>
      <c r="L385" s="3" t="s">
        <v>650</v>
      </c>
      <c r="M385" s="3" t="s">
        <v>4010</v>
      </c>
      <c r="N385" s="3" t="s">
        <v>3535</v>
      </c>
      <c r="O385" s="3" t="s">
        <v>4806</v>
      </c>
      <c r="P385" s="3">
        <v>10</v>
      </c>
      <c r="Q385" s="3" t="s">
        <v>4807</v>
      </c>
      <c r="R385" s="3" t="s">
        <v>7069</v>
      </c>
      <c r="S385" s="3" t="s">
        <v>650</v>
      </c>
      <c r="T385" s="3" t="s">
        <v>650</v>
      </c>
      <c r="U385" s="3" t="s">
        <v>1380</v>
      </c>
      <c r="V385" s="3" t="s">
        <v>539</v>
      </c>
      <c r="W385" s="3"/>
      <c r="X385" s="3"/>
      <c r="Y385" s="3" t="s">
        <v>2001</v>
      </c>
    </row>
    <row r="386" spans="1:25" ht="60" customHeight="1" x14ac:dyDescent="0.2">
      <c r="A386" s="3" t="s">
        <v>7070</v>
      </c>
      <c r="B386" s="3" t="s">
        <v>7071</v>
      </c>
      <c r="C386" s="3" t="s">
        <v>6826</v>
      </c>
      <c r="D386" s="3">
        <v>48</v>
      </c>
      <c r="E386" s="3" t="s">
        <v>3992</v>
      </c>
      <c r="F386" s="3" t="s">
        <v>7072</v>
      </c>
      <c r="G386" s="11" t="s">
        <v>7073</v>
      </c>
      <c r="H386" s="3" t="s">
        <v>7074</v>
      </c>
      <c r="I386" s="3" t="s">
        <v>4018</v>
      </c>
      <c r="J386" s="3" t="s">
        <v>7075</v>
      </c>
      <c r="K386" s="3" t="s">
        <v>4257</v>
      </c>
      <c r="L386" s="3" t="s">
        <v>650</v>
      </c>
      <c r="M386" s="3" t="s">
        <v>4010</v>
      </c>
      <c r="N386" s="3" t="s">
        <v>3535</v>
      </c>
      <c r="O386" s="3" t="s">
        <v>650</v>
      </c>
      <c r="P386" s="3">
        <v>0</v>
      </c>
      <c r="Q386" s="3" t="s">
        <v>4052</v>
      </c>
      <c r="R386" s="3" t="s">
        <v>1499</v>
      </c>
      <c r="S386" s="3" t="s">
        <v>650</v>
      </c>
      <c r="T386" s="3" t="s">
        <v>650</v>
      </c>
      <c r="U386" s="3" t="s">
        <v>1380</v>
      </c>
      <c r="V386" s="3" t="s">
        <v>700</v>
      </c>
      <c r="W386" s="3"/>
      <c r="X386" s="3"/>
      <c r="Y386" s="3" t="s">
        <v>2001</v>
      </c>
    </row>
    <row r="387" spans="1:25" ht="60" customHeight="1" x14ac:dyDescent="0.2">
      <c r="A387" s="3" t="s">
        <v>7076</v>
      </c>
      <c r="B387" s="3" t="s">
        <v>7077</v>
      </c>
      <c r="C387" s="3" t="s">
        <v>6826</v>
      </c>
      <c r="D387" s="3">
        <v>79</v>
      </c>
      <c r="E387" s="3" t="s">
        <v>4136</v>
      </c>
      <c r="F387" s="3" t="s">
        <v>4110</v>
      </c>
      <c r="G387" s="11" t="s">
        <v>7078</v>
      </c>
      <c r="H387" s="3" t="s">
        <v>7078</v>
      </c>
      <c r="I387" s="3" t="s">
        <v>3996</v>
      </c>
      <c r="J387" s="3" t="s">
        <v>6914</v>
      </c>
      <c r="K387" s="3" t="s">
        <v>4028</v>
      </c>
      <c r="L387" s="3" t="s">
        <v>650</v>
      </c>
      <c r="M387" s="3" t="s">
        <v>4010</v>
      </c>
      <c r="N387" s="3" t="s">
        <v>3535</v>
      </c>
      <c r="O387" s="3" t="s">
        <v>4806</v>
      </c>
      <c r="P387" s="3">
        <v>10</v>
      </c>
      <c r="Q387" s="3" t="s">
        <v>4807</v>
      </c>
      <c r="R387" s="3" t="s">
        <v>7079</v>
      </c>
      <c r="S387" s="3" t="s">
        <v>650</v>
      </c>
      <c r="T387" s="3" t="s">
        <v>650</v>
      </c>
      <c r="U387" s="3" t="s">
        <v>1380</v>
      </c>
      <c r="V387" s="3" t="s">
        <v>700</v>
      </c>
      <c r="W387" s="3"/>
      <c r="X387" s="3"/>
      <c r="Y387" s="3" t="s">
        <v>2001</v>
      </c>
    </row>
    <row r="388" spans="1:25" ht="45" customHeight="1" x14ac:dyDescent="0.2">
      <c r="A388" s="3" t="s">
        <v>7080</v>
      </c>
      <c r="B388" s="3" t="s">
        <v>7081</v>
      </c>
      <c r="C388" s="3" t="s">
        <v>6897</v>
      </c>
      <c r="D388" s="3">
        <v>217</v>
      </c>
      <c r="E388" s="3" t="s">
        <v>3992</v>
      </c>
      <c r="F388" s="3" t="s">
        <v>7082</v>
      </c>
      <c r="G388" s="11" t="s">
        <v>7083</v>
      </c>
      <c r="H388" s="3" t="s">
        <v>7084</v>
      </c>
      <c r="I388" s="3" t="s">
        <v>4018</v>
      </c>
      <c r="J388" s="3" t="s">
        <v>7085</v>
      </c>
      <c r="K388" s="3" t="s">
        <v>4028</v>
      </c>
      <c r="L388" s="3" t="s">
        <v>650</v>
      </c>
      <c r="M388" s="3" t="s">
        <v>4010</v>
      </c>
      <c r="N388" s="3" t="s">
        <v>3535</v>
      </c>
      <c r="O388" s="3" t="s">
        <v>650</v>
      </c>
      <c r="P388" s="3">
        <v>0</v>
      </c>
      <c r="Q388" s="3" t="s">
        <v>4052</v>
      </c>
      <c r="R388" s="3" t="s">
        <v>1499</v>
      </c>
      <c r="S388" s="3" t="s">
        <v>650</v>
      </c>
      <c r="T388" s="3" t="s">
        <v>650</v>
      </c>
      <c r="U388" s="3" t="s">
        <v>1380</v>
      </c>
      <c r="V388" s="3" t="s">
        <v>700</v>
      </c>
      <c r="W388" s="3"/>
      <c r="X388" s="3"/>
      <c r="Y388" s="3" t="s">
        <v>2001</v>
      </c>
    </row>
    <row r="389" spans="1:25" ht="60" customHeight="1" x14ac:dyDescent="0.2">
      <c r="A389" s="3" t="s">
        <v>7086</v>
      </c>
      <c r="B389" s="3" t="s">
        <v>7087</v>
      </c>
      <c r="C389" s="3" t="s">
        <v>6897</v>
      </c>
      <c r="D389" s="3">
        <v>253</v>
      </c>
      <c r="E389" s="3" t="s">
        <v>3992</v>
      </c>
      <c r="F389" s="3" t="s">
        <v>4110</v>
      </c>
      <c r="G389" s="11" t="s">
        <v>7088</v>
      </c>
      <c r="H389" s="3" t="s">
        <v>7089</v>
      </c>
      <c r="I389" s="3" t="s">
        <v>4065</v>
      </c>
      <c r="J389" s="3" t="s">
        <v>7090</v>
      </c>
      <c r="K389" s="3" t="s">
        <v>4008</v>
      </c>
      <c r="L389" s="3" t="s">
        <v>650</v>
      </c>
      <c r="M389" s="3" t="s">
        <v>4010</v>
      </c>
      <c r="N389" s="3" t="s">
        <v>3535</v>
      </c>
      <c r="O389" s="3" t="s">
        <v>650</v>
      </c>
      <c r="P389" s="3">
        <v>0</v>
      </c>
      <c r="Q389" s="3" t="s">
        <v>4052</v>
      </c>
      <c r="R389" s="3" t="s">
        <v>1499</v>
      </c>
      <c r="S389" s="3" t="s">
        <v>650</v>
      </c>
      <c r="T389" s="3" t="s">
        <v>650</v>
      </c>
      <c r="U389" s="3" t="s">
        <v>1380</v>
      </c>
      <c r="V389" s="3" t="s">
        <v>428</v>
      </c>
      <c r="W389" s="3"/>
      <c r="X389" s="3"/>
      <c r="Y389" s="3" t="s">
        <v>2001</v>
      </c>
    </row>
    <row r="390" spans="1:25" ht="60" customHeight="1" x14ac:dyDescent="0.2">
      <c r="A390" s="3" t="s">
        <v>7091</v>
      </c>
      <c r="B390" s="3" t="s">
        <v>7092</v>
      </c>
      <c r="C390" s="3" t="s">
        <v>7093</v>
      </c>
      <c r="D390" s="3">
        <v>155</v>
      </c>
      <c r="E390" s="3" t="s">
        <v>4003</v>
      </c>
      <c r="F390" s="3" t="s">
        <v>7094</v>
      </c>
      <c r="G390" s="11" t="s">
        <v>7095</v>
      </c>
      <c r="H390" s="3" t="s">
        <v>7096</v>
      </c>
      <c r="I390" s="3" t="s">
        <v>3996</v>
      </c>
      <c r="J390" s="3" t="s">
        <v>7097</v>
      </c>
      <c r="K390" s="3" t="s">
        <v>4008</v>
      </c>
      <c r="L390" s="3" t="s">
        <v>4020</v>
      </c>
      <c r="M390" s="3" t="s">
        <v>4010</v>
      </c>
      <c r="N390" s="3" t="s">
        <v>3535</v>
      </c>
      <c r="O390" s="3" t="s">
        <v>650</v>
      </c>
      <c r="P390" s="3">
        <v>0</v>
      </c>
      <c r="Q390" s="3" t="s">
        <v>4052</v>
      </c>
      <c r="R390" s="3" t="s">
        <v>1499</v>
      </c>
      <c r="S390" s="3" t="s">
        <v>650</v>
      </c>
      <c r="T390" s="3" t="s">
        <v>650</v>
      </c>
      <c r="U390" s="3" t="s">
        <v>1380</v>
      </c>
      <c r="V390" s="3" t="s">
        <v>700</v>
      </c>
      <c r="W390" s="3"/>
      <c r="X390" s="3"/>
      <c r="Y390" s="3" t="s">
        <v>2001</v>
      </c>
    </row>
    <row r="391" spans="1:25" ht="60" customHeight="1" x14ac:dyDescent="0.2">
      <c r="A391" s="3" t="s">
        <v>7098</v>
      </c>
      <c r="B391" s="3" t="s">
        <v>7099</v>
      </c>
      <c r="C391" s="3" t="s">
        <v>6897</v>
      </c>
      <c r="D391" s="3">
        <v>292</v>
      </c>
      <c r="E391" s="3" t="s">
        <v>3992</v>
      </c>
      <c r="F391" s="3" t="s">
        <v>7100</v>
      </c>
      <c r="G391" s="11" t="s">
        <v>7101</v>
      </c>
      <c r="H391" s="3" t="s">
        <v>7102</v>
      </c>
      <c r="I391" s="3" t="s">
        <v>4018</v>
      </c>
      <c r="J391" s="3" t="s">
        <v>7103</v>
      </c>
      <c r="K391" s="3" t="s">
        <v>4008</v>
      </c>
      <c r="L391" s="3" t="s">
        <v>650</v>
      </c>
      <c r="M391" s="3" t="s">
        <v>4056</v>
      </c>
      <c r="N391" s="3" t="s">
        <v>3535</v>
      </c>
      <c r="O391" s="3" t="s">
        <v>650</v>
      </c>
      <c r="P391" s="3">
        <v>0</v>
      </c>
      <c r="Q391" s="3" t="s">
        <v>4052</v>
      </c>
      <c r="R391" s="3" t="s">
        <v>1499</v>
      </c>
      <c r="S391" s="3" t="s">
        <v>650</v>
      </c>
      <c r="T391" s="3" t="s">
        <v>650</v>
      </c>
      <c r="U391" s="3" t="s">
        <v>1380</v>
      </c>
      <c r="V391" s="3" t="s">
        <v>700</v>
      </c>
      <c r="W391" s="3"/>
      <c r="X391" s="3"/>
      <c r="Y391" s="3" t="s">
        <v>2001</v>
      </c>
    </row>
    <row r="392" spans="1:25" ht="60" customHeight="1" x14ac:dyDescent="0.2">
      <c r="A392" s="3" t="s">
        <v>7104</v>
      </c>
      <c r="B392" s="3" t="s">
        <v>7105</v>
      </c>
      <c r="C392" s="3" t="s">
        <v>7032</v>
      </c>
      <c r="D392" s="3">
        <v>54</v>
      </c>
      <c r="E392" s="3" t="s">
        <v>4003</v>
      </c>
      <c r="F392" s="3" t="s">
        <v>4110</v>
      </c>
      <c r="G392" s="11" t="s">
        <v>7106</v>
      </c>
      <c r="H392" s="3" t="s">
        <v>7107</v>
      </c>
      <c r="I392" s="3" t="s">
        <v>4018</v>
      </c>
      <c r="J392" s="3" t="s">
        <v>7108</v>
      </c>
      <c r="K392" s="3" t="s">
        <v>4028</v>
      </c>
      <c r="L392" s="3" t="s">
        <v>7109</v>
      </c>
      <c r="M392" s="3" t="s">
        <v>4010</v>
      </c>
      <c r="N392" s="3" t="s">
        <v>3535</v>
      </c>
      <c r="O392" s="3" t="s">
        <v>7110</v>
      </c>
      <c r="P392" s="3">
        <v>16</v>
      </c>
      <c r="Q392" s="3" t="s">
        <v>7111</v>
      </c>
      <c r="R392" s="3" t="s">
        <v>7112</v>
      </c>
      <c r="S392" s="3" t="s">
        <v>650</v>
      </c>
      <c r="T392" s="3" t="s">
        <v>650</v>
      </c>
      <c r="U392" s="3" t="s">
        <v>1380</v>
      </c>
      <c r="V392" s="3" t="s">
        <v>700</v>
      </c>
      <c r="W392" s="3"/>
      <c r="X392" s="3"/>
      <c r="Y392" s="3" t="s">
        <v>2001</v>
      </c>
    </row>
    <row r="393" spans="1:25" ht="60" customHeight="1" x14ac:dyDescent="0.2">
      <c r="A393" s="3" t="s">
        <v>7113</v>
      </c>
      <c r="B393" s="3" t="s">
        <v>7114</v>
      </c>
      <c r="C393" s="3" t="s">
        <v>6493</v>
      </c>
      <c r="D393" s="3">
        <v>259</v>
      </c>
      <c r="E393" s="3" t="s">
        <v>4003</v>
      </c>
      <c r="F393" s="3" t="s">
        <v>4110</v>
      </c>
      <c r="G393" s="11" t="s">
        <v>7115</v>
      </c>
      <c r="H393" s="3" t="s">
        <v>7116</v>
      </c>
      <c r="I393" s="3" t="s">
        <v>4018</v>
      </c>
      <c r="J393" s="3" t="s">
        <v>7117</v>
      </c>
      <c r="K393" s="3" t="s">
        <v>4008</v>
      </c>
      <c r="L393" s="3" t="s">
        <v>7118</v>
      </c>
      <c r="M393" s="3" t="s">
        <v>4124</v>
      </c>
      <c r="N393" s="3" t="s">
        <v>3535</v>
      </c>
      <c r="O393" s="3" t="s">
        <v>650</v>
      </c>
      <c r="P393" s="3">
        <v>0</v>
      </c>
      <c r="Q393" s="3" t="s">
        <v>4052</v>
      </c>
      <c r="R393" s="3" t="s">
        <v>1499</v>
      </c>
      <c r="S393" s="3" t="s">
        <v>650</v>
      </c>
      <c r="T393" s="3" t="s">
        <v>650</v>
      </c>
      <c r="U393" s="3" t="s">
        <v>1380</v>
      </c>
      <c r="V393" s="3" t="s">
        <v>960</v>
      </c>
      <c r="W393" s="3"/>
      <c r="X393" s="3"/>
      <c r="Y393" s="3" t="s">
        <v>2001</v>
      </c>
    </row>
    <row r="394" spans="1:25" ht="60" customHeight="1" x14ac:dyDescent="0.2">
      <c r="A394" s="3" t="s">
        <v>7119</v>
      </c>
      <c r="B394" s="3" t="s">
        <v>7120</v>
      </c>
      <c r="C394" s="3" t="s">
        <v>7032</v>
      </c>
      <c r="D394" s="3">
        <v>34</v>
      </c>
      <c r="E394" s="3" t="s">
        <v>3992</v>
      </c>
      <c r="F394" s="3" t="s">
        <v>4110</v>
      </c>
      <c r="G394" s="11" t="s">
        <v>7121</v>
      </c>
      <c r="H394" s="3" t="s">
        <v>7122</v>
      </c>
      <c r="I394" s="3" t="s">
        <v>4290</v>
      </c>
      <c r="J394" s="3" t="s">
        <v>7123</v>
      </c>
      <c r="K394" s="3" t="s">
        <v>7124</v>
      </c>
      <c r="L394" s="3" t="s">
        <v>650</v>
      </c>
      <c r="M394" s="3" t="s">
        <v>4010</v>
      </c>
      <c r="N394" s="3" t="s">
        <v>3535</v>
      </c>
      <c r="O394" s="3" t="s">
        <v>4249</v>
      </c>
      <c r="P394" s="3">
        <v>1</v>
      </c>
      <c r="Q394" s="3" t="s">
        <v>4249</v>
      </c>
      <c r="R394" s="3" t="s">
        <v>7125</v>
      </c>
      <c r="S394" s="3" t="s">
        <v>650</v>
      </c>
      <c r="T394" s="3" t="s">
        <v>650</v>
      </c>
      <c r="U394" s="3" t="s">
        <v>1380</v>
      </c>
      <c r="V394" s="3" t="s">
        <v>539</v>
      </c>
      <c r="W394" s="3"/>
      <c r="X394" s="3"/>
      <c r="Y394" s="3" t="s">
        <v>2001</v>
      </c>
    </row>
    <row r="395" spans="1:25" ht="60" customHeight="1" x14ac:dyDescent="0.2">
      <c r="A395" s="3" t="s">
        <v>2211</v>
      </c>
      <c r="B395" s="3" t="s">
        <v>2210</v>
      </c>
      <c r="C395" s="3" t="s">
        <v>6493</v>
      </c>
      <c r="D395" s="3">
        <v>322</v>
      </c>
      <c r="E395" s="3" t="s">
        <v>4003</v>
      </c>
      <c r="F395" s="3" t="s">
        <v>7126</v>
      </c>
      <c r="G395" s="11" t="s">
        <v>7127</v>
      </c>
      <c r="H395" s="3" t="s">
        <v>7128</v>
      </c>
      <c r="I395" s="3" t="s">
        <v>4290</v>
      </c>
      <c r="J395" s="3" t="s">
        <v>7129</v>
      </c>
      <c r="K395" s="3" t="s">
        <v>7130</v>
      </c>
      <c r="L395" s="3" t="s">
        <v>4020</v>
      </c>
      <c r="M395" s="3" t="s">
        <v>7131</v>
      </c>
      <c r="N395" s="3" t="s">
        <v>3535</v>
      </c>
      <c r="O395" s="3" t="s">
        <v>7132</v>
      </c>
      <c r="P395" s="3">
        <v>2</v>
      </c>
      <c r="Q395" s="3" t="s">
        <v>7133</v>
      </c>
      <c r="R395" s="3" t="s">
        <v>7134</v>
      </c>
      <c r="S395" s="3" t="s">
        <v>2207</v>
      </c>
      <c r="T395" s="3" t="s">
        <v>650</v>
      </c>
      <c r="U395" s="3" t="s">
        <v>1380</v>
      </c>
      <c r="V395" s="3" t="s">
        <v>428</v>
      </c>
      <c r="W395" s="3"/>
      <c r="X395" s="3"/>
      <c r="Y395" s="6" t="s">
        <v>7135</v>
      </c>
    </row>
    <row r="396" spans="1:25" ht="60" customHeight="1" x14ac:dyDescent="0.2">
      <c r="A396" s="3" t="s">
        <v>7136</v>
      </c>
      <c r="B396" s="3" t="s">
        <v>7137</v>
      </c>
      <c r="C396" s="3" t="s">
        <v>6493</v>
      </c>
      <c r="D396" s="3">
        <v>530</v>
      </c>
      <c r="E396" s="3" t="s">
        <v>4003</v>
      </c>
      <c r="F396" s="3" t="s">
        <v>7138</v>
      </c>
      <c r="G396" s="11" t="s">
        <v>7139</v>
      </c>
      <c r="H396" s="3" t="s">
        <v>7140</v>
      </c>
      <c r="I396" s="3" t="s">
        <v>4290</v>
      </c>
      <c r="J396" s="3" t="s">
        <v>7141</v>
      </c>
      <c r="K396" s="3" t="s">
        <v>4257</v>
      </c>
      <c r="L396" s="3" t="s">
        <v>4020</v>
      </c>
      <c r="M396" s="3" t="s">
        <v>7142</v>
      </c>
      <c r="N396" s="3" t="s">
        <v>3535</v>
      </c>
      <c r="O396" s="3" t="s">
        <v>6261</v>
      </c>
      <c r="P396" s="3">
        <v>4</v>
      </c>
      <c r="Q396" s="3" t="s">
        <v>6262</v>
      </c>
      <c r="R396" s="3" t="s">
        <v>7143</v>
      </c>
      <c r="S396" s="3" t="s">
        <v>650</v>
      </c>
      <c r="T396" s="3" t="s">
        <v>650</v>
      </c>
      <c r="U396" s="3" t="s">
        <v>1380</v>
      </c>
      <c r="V396" s="3" t="s">
        <v>428</v>
      </c>
      <c r="W396" s="3"/>
      <c r="X396" s="3"/>
      <c r="Y396" s="6" t="s">
        <v>6583</v>
      </c>
    </row>
    <row r="397" spans="1:25" ht="60" customHeight="1" x14ac:dyDescent="0.2">
      <c r="A397" s="3" t="s">
        <v>7144</v>
      </c>
      <c r="B397" s="3" t="s">
        <v>7145</v>
      </c>
      <c r="C397" s="3" t="s">
        <v>6738</v>
      </c>
      <c r="D397" s="3">
        <v>61</v>
      </c>
      <c r="E397" s="3" t="s">
        <v>3992</v>
      </c>
      <c r="F397" s="3" t="s">
        <v>7146</v>
      </c>
      <c r="G397" s="11" t="s">
        <v>7147</v>
      </c>
      <c r="H397" s="3" t="s">
        <v>7148</v>
      </c>
      <c r="I397" s="3" t="s">
        <v>4290</v>
      </c>
      <c r="J397" s="3" t="s">
        <v>7149</v>
      </c>
      <c r="K397" s="3" t="s">
        <v>7150</v>
      </c>
      <c r="L397" s="3" t="s">
        <v>650</v>
      </c>
      <c r="M397" s="3" t="s">
        <v>7151</v>
      </c>
      <c r="N397" s="3" t="s">
        <v>3535</v>
      </c>
      <c r="O397" s="3" t="s">
        <v>7152</v>
      </c>
      <c r="P397" s="3">
        <v>12</v>
      </c>
      <c r="Q397" s="3" t="s">
        <v>7153</v>
      </c>
      <c r="R397" s="3" t="s">
        <v>7154</v>
      </c>
      <c r="S397" s="3" t="s">
        <v>493</v>
      </c>
      <c r="T397" s="3" t="s">
        <v>650</v>
      </c>
      <c r="U397" s="3" t="s">
        <v>1380</v>
      </c>
      <c r="V397" s="3" t="s">
        <v>428</v>
      </c>
      <c r="W397" s="3"/>
      <c r="X397" s="3"/>
      <c r="Y397" s="6" t="s">
        <v>5400</v>
      </c>
    </row>
    <row r="398" spans="1:25" ht="60" customHeight="1" x14ac:dyDescent="0.2">
      <c r="A398" s="3" t="s">
        <v>839</v>
      </c>
      <c r="B398" s="3" t="s">
        <v>7155</v>
      </c>
      <c r="C398" s="3" t="s">
        <v>7156</v>
      </c>
      <c r="D398" s="3">
        <v>47</v>
      </c>
      <c r="E398" s="3" t="s">
        <v>4003</v>
      </c>
      <c r="F398" s="3" t="s">
        <v>7157</v>
      </c>
      <c r="G398" s="11" t="s">
        <v>7158</v>
      </c>
      <c r="H398" s="3" t="s">
        <v>7159</v>
      </c>
      <c r="I398" s="3" t="s">
        <v>4290</v>
      </c>
      <c r="J398" s="3" t="s">
        <v>7160</v>
      </c>
      <c r="K398" s="3" t="s">
        <v>7161</v>
      </c>
      <c r="L398" s="3" t="s">
        <v>4020</v>
      </c>
      <c r="M398" s="3" t="s">
        <v>7162</v>
      </c>
      <c r="N398" s="3" t="s">
        <v>3535</v>
      </c>
      <c r="O398" s="3" t="s">
        <v>650</v>
      </c>
      <c r="P398" s="3">
        <v>0</v>
      </c>
      <c r="Q398" s="3" t="s">
        <v>4052</v>
      </c>
      <c r="R398" s="3" t="s">
        <v>1499</v>
      </c>
      <c r="S398" s="3" t="s">
        <v>650</v>
      </c>
      <c r="T398" s="3" t="s">
        <v>650</v>
      </c>
      <c r="U398" s="3" t="s">
        <v>1380</v>
      </c>
      <c r="V398" s="3" t="s">
        <v>577</v>
      </c>
      <c r="W398" s="3"/>
      <c r="X398" s="3"/>
      <c r="Y398" s="6" t="s">
        <v>7163</v>
      </c>
    </row>
    <row r="399" spans="1:25" ht="60" customHeight="1" x14ac:dyDescent="0.2">
      <c r="A399" s="3" t="s">
        <v>7164</v>
      </c>
      <c r="B399" s="3" t="s">
        <v>7165</v>
      </c>
      <c r="C399" s="3" t="s">
        <v>7166</v>
      </c>
      <c r="D399" s="3">
        <v>266</v>
      </c>
      <c r="E399" s="3" t="s">
        <v>4129</v>
      </c>
      <c r="F399" s="3" t="s">
        <v>7167</v>
      </c>
      <c r="G399" s="11" t="s">
        <v>7168</v>
      </c>
      <c r="H399" s="3" t="s">
        <v>7169</v>
      </c>
      <c r="I399" s="3" t="s">
        <v>3996</v>
      </c>
      <c r="J399" s="3" t="s">
        <v>7170</v>
      </c>
      <c r="K399" s="3" t="s">
        <v>4484</v>
      </c>
      <c r="L399" s="3" t="s">
        <v>650</v>
      </c>
      <c r="M399" s="3" t="s">
        <v>4010</v>
      </c>
      <c r="N399" s="3" t="s">
        <v>3419</v>
      </c>
      <c r="O399" s="3" t="s">
        <v>650</v>
      </c>
      <c r="P399" s="3">
        <v>0</v>
      </c>
      <c r="Q399" s="3" t="s">
        <v>4052</v>
      </c>
      <c r="R399" s="3" t="s">
        <v>1499</v>
      </c>
      <c r="S399" s="3" t="s">
        <v>650</v>
      </c>
      <c r="T399" s="3" t="s">
        <v>650</v>
      </c>
      <c r="U399" s="3" t="s">
        <v>1380</v>
      </c>
      <c r="V399" s="3" t="s">
        <v>700</v>
      </c>
      <c r="W399" s="3"/>
      <c r="X399" s="3"/>
      <c r="Y399" s="3" t="s">
        <v>2001</v>
      </c>
    </row>
    <row r="400" spans="1:25" ht="45" customHeight="1" x14ac:dyDescent="0.2">
      <c r="A400" s="3" t="s">
        <v>7171</v>
      </c>
      <c r="B400" s="3" t="s">
        <v>7172</v>
      </c>
      <c r="C400" s="3" t="s">
        <v>7173</v>
      </c>
      <c r="D400" s="3">
        <v>55</v>
      </c>
      <c r="E400" s="3" t="s">
        <v>3992</v>
      </c>
      <c r="F400" s="3" t="s">
        <v>7174</v>
      </c>
      <c r="G400" s="11" t="s">
        <v>7175</v>
      </c>
      <c r="H400" s="3" t="s">
        <v>7176</v>
      </c>
      <c r="I400" s="3" t="s">
        <v>3996</v>
      </c>
      <c r="J400" s="3" t="s">
        <v>7177</v>
      </c>
      <c r="K400" s="3" t="s">
        <v>4844</v>
      </c>
      <c r="L400" s="3" t="s">
        <v>650</v>
      </c>
      <c r="M400" s="3" t="s">
        <v>4010</v>
      </c>
      <c r="N400" s="3" t="s">
        <v>3535</v>
      </c>
      <c r="O400" s="3" t="s">
        <v>5525</v>
      </c>
      <c r="P400" s="3">
        <v>1</v>
      </c>
      <c r="Q400" s="3" t="s">
        <v>5525</v>
      </c>
      <c r="R400" s="3" t="s">
        <v>7178</v>
      </c>
      <c r="S400" s="3" t="s">
        <v>650</v>
      </c>
      <c r="T400" s="3" t="s">
        <v>650</v>
      </c>
      <c r="U400" s="3" t="s">
        <v>1380</v>
      </c>
      <c r="V400" s="3" t="s">
        <v>700</v>
      </c>
      <c r="W400" s="3"/>
      <c r="X400" s="3"/>
      <c r="Y400" s="3" t="s">
        <v>2001</v>
      </c>
    </row>
    <row r="401" spans="1:25" ht="45" customHeight="1" x14ac:dyDescent="0.2">
      <c r="A401" s="3" t="s">
        <v>7179</v>
      </c>
      <c r="B401" s="3" t="s">
        <v>7180</v>
      </c>
      <c r="C401" s="3" t="s">
        <v>7173</v>
      </c>
      <c r="D401" s="3">
        <v>82</v>
      </c>
      <c r="E401" s="3" t="s">
        <v>3992</v>
      </c>
      <c r="F401" s="3" t="s">
        <v>7181</v>
      </c>
      <c r="G401" s="11" t="s">
        <v>7182</v>
      </c>
      <c r="H401" s="3" t="s">
        <v>7183</v>
      </c>
      <c r="I401" s="3" t="s">
        <v>3996</v>
      </c>
      <c r="J401" s="3" t="s">
        <v>7177</v>
      </c>
      <c r="K401" s="3" t="s">
        <v>4844</v>
      </c>
      <c r="L401" s="3" t="s">
        <v>650</v>
      </c>
      <c r="M401" s="3" t="s">
        <v>4010</v>
      </c>
      <c r="N401" s="3" t="s">
        <v>3535</v>
      </c>
      <c r="O401" s="3" t="s">
        <v>7184</v>
      </c>
      <c r="P401" s="3">
        <v>2</v>
      </c>
      <c r="Q401" s="3" t="s">
        <v>7184</v>
      </c>
      <c r="R401" s="3" t="s">
        <v>7185</v>
      </c>
      <c r="S401" s="3" t="s">
        <v>650</v>
      </c>
      <c r="T401" s="3" t="s">
        <v>650</v>
      </c>
      <c r="U401" s="3" t="s">
        <v>1380</v>
      </c>
      <c r="V401" s="3" t="s">
        <v>700</v>
      </c>
      <c r="W401" s="3"/>
      <c r="X401" s="3"/>
      <c r="Y401" s="3" t="s">
        <v>2001</v>
      </c>
    </row>
    <row r="402" spans="1:25" ht="60" customHeight="1" x14ac:dyDescent="0.2">
      <c r="A402" s="3" t="s">
        <v>7186</v>
      </c>
      <c r="B402" s="3" t="s">
        <v>7187</v>
      </c>
      <c r="C402" s="3" t="s">
        <v>7173</v>
      </c>
      <c r="D402" s="3">
        <v>119</v>
      </c>
      <c r="E402" s="3" t="s">
        <v>4003</v>
      </c>
      <c r="F402" s="3" t="s">
        <v>7188</v>
      </c>
      <c r="G402" s="11" t="s">
        <v>7189</v>
      </c>
      <c r="H402" s="3" t="s">
        <v>7190</v>
      </c>
      <c r="I402" s="3" t="s">
        <v>3996</v>
      </c>
      <c r="J402" s="3" t="s">
        <v>7191</v>
      </c>
      <c r="K402" s="3" t="s">
        <v>7192</v>
      </c>
      <c r="L402" s="3" t="s">
        <v>4020</v>
      </c>
      <c r="M402" s="3" t="s">
        <v>4010</v>
      </c>
      <c r="N402" s="3" t="s">
        <v>3535</v>
      </c>
      <c r="O402" s="3" t="s">
        <v>7193</v>
      </c>
      <c r="P402" s="3">
        <v>4</v>
      </c>
      <c r="Q402" s="3" t="s">
        <v>7194</v>
      </c>
      <c r="R402" s="3" t="s">
        <v>7195</v>
      </c>
      <c r="S402" s="3" t="s">
        <v>650</v>
      </c>
      <c r="T402" s="3" t="s">
        <v>650</v>
      </c>
      <c r="U402" s="3" t="s">
        <v>1380</v>
      </c>
      <c r="V402" s="3" t="s">
        <v>700</v>
      </c>
      <c r="W402" s="3"/>
      <c r="X402" s="3"/>
      <c r="Y402" s="3" t="s">
        <v>2001</v>
      </c>
    </row>
    <row r="403" spans="1:25" ht="60" customHeight="1" x14ac:dyDescent="0.2">
      <c r="A403" s="3" t="s">
        <v>7196</v>
      </c>
      <c r="B403" s="3" t="s">
        <v>7197</v>
      </c>
      <c r="C403" s="3" t="s">
        <v>7173</v>
      </c>
      <c r="D403" s="3">
        <v>168</v>
      </c>
      <c r="E403" s="3" t="s">
        <v>4003</v>
      </c>
      <c r="F403" s="3" t="s">
        <v>7198</v>
      </c>
      <c r="G403" s="11" t="s">
        <v>7199</v>
      </c>
      <c r="H403" s="3" t="s">
        <v>7200</v>
      </c>
      <c r="I403" s="3" t="s">
        <v>3996</v>
      </c>
      <c r="J403" s="3" t="s">
        <v>7201</v>
      </c>
      <c r="K403" s="3" t="s">
        <v>4844</v>
      </c>
      <c r="L403" s="3" t="s">
        <v>4020</v>
      </c>
      <c r="M403" s="3" t="s">
        <v>4010</v>
      </c>
      <c r="N403" s="3" t="s">
        <v>3535</v>
      </c>
      <c r="O403" s="3" t="s">
        <v>7202</v>
      </c>
      <c r="P403" s="3">
        <v>4</v>
      </c>
      <c r="Q403" s="3" t="s">
        <v>7203</v>
      </c>
      <c r="R403" s="3" t="s">
        <v>7204</v>
      </c>
      <c r="S403" s="3" t="s">
        <v>650</v>
      </c>
      <c r="T403" s="3" t="s">
        <v>650</v>
      </c>
      <c r="U403" s="3" t="s">
        <v>1380</v>
      </c>
      <c r="V403" s="3" t="s">
        <v>700</v>
      </c>
      <c r="W403" s="3"/>
      <c r="X403" s="3"/>
      <c r="Y403" s="3" t="s">
        <v>2001</v>
      </c>
    </row>
    <row r="404" spans="1:25" ht="45" customHeight="1" x14ac:dyDescent="0.2">
      <c r="A404" s="3" t="s">
        <v>7205</v>
      </c>
      <c r="B404" s="3" t="s">
        <v>7206</v>
      </c>
      <c r="C404" s="3" t="s">
        <v>7173</v>
      </c>
      <c r="D404" s="3">
        <v>192</v>
      </c>
      <c r="E404" s="3" t="s">
        <v>4129</v>
      </c>
      <c r="F404" s="3" t="s">
        <v>7207</v>
      </c>
      <c r="G404" s="11" t="s">
        <v>7208</v>
      </c>
      <c r="H404" s="3" t="s">
        <v>7209</v>
      </c>
      <c r="I404" s="3" t="s">
        <v>4018</v>
      </c>
      <c r="J404" s="3" t="s">
        <v>7201</v>
      </c>
      <c r="K404" s="3" t="s">
        <v>4484</v>
      </c>
      <c r="L404" s="3" t="s">
        <v>650</v>
      </c>
      <c r="M404" s="3" t="s">
        <v>4010</v>
      </c>
      <c r="N404" s="3" t="s">
        <v>3419</v>
      </c>
      <c r="O404" s="3" t="s">
        <v>7210</v>
      </c>
      <c r="P404" s="3">
        <v>2</v>
      </c>
      <c r="Q404" s="3" t="s">
        <v>7210</v>
      </c>
      <c r="R404" s="3" t="s">
        <v>7211</v>
      </c>
      <c r="S404" s="3" t="s">
        <v>650</v>
      </c>
      <c r="T404" s="3" t="s">
        <v>650</v>
      </c>
      <c r="U404" s="3" t="s">
        <v>1380</v>
      </c>
      <c r="V404" s="3" t="s">
        <v>700</v>
      </c>
      <c r="W404" s="3"/>
      <c r="X404" s="3"/>
      <c r="Y404" s="3" t="s">
        <v>2001</v>
      </c>
    </row>
    <row r="405" spans="1:25" ht="60" customHeight="1" x14ac:dyDescent="0.2">
      <c r="A405" s="3" t="s">
        <v>7212</v>
      </c>
      <c r="B405" s="3" t="s">
        <v>7213</v>
      </c>
      <c r="C405" s="3" t="s">
        <v>7214</v>
      </c>
      <c r="D405" s="3">
        <v>208</v>
      </c>
      <c r="E405" s="3" t="s">
        <v>4129</v>
      </c>
      <c r="F405" s="3" t="s">
        <v>7215</v>
      </c>
      <c r="G405" s="11" t="s">
        <v>7216</v>
      </c>
      <c r="H405" s="3" t="s">
        <v>7217</v>
      </c>
      <c r="I405" s="3" t="s">
        <v>4065</v>
      </c>
      <c r="J405" s="3" t="s">
        <v>7218</v>
      </c>
      <c r="K405" s="3" t="s">
        <v>7219</v>
      </c>
      <c r="L405" s="3" t="s">
        <v>650</v>
      </c>
      <c r="M405" s="3" t="s">
        <v>4010</v>
      </c>
      <c r="N405" s="3" t="s">
        <v>3419</v>
      </c>
      <c r="O405" s="3" t="s">
        <v>650</v>
      </c>
      <c r="P405" s="3">
        <v>0</v>
      </c>
      <c r="Q405" s="3" t="s">
        <v>4052</v>
      </c>
      <c r="R405" s="3" t="s">
        <v>1499</v>
      </c>
      <c r="S405" s="3" t="s">
        <v>650</v>
      </c>
      <c r="T405" s="3" t="s">
        <v>650</v>
      </c>
      <c r="U405" s="3" t="s">
        <v>1380</v>
      </c>
      <c r="V405" s="3" t="s">
        <v>428</v>
      </c>
      <c r="W405" s="3"/>
      <c r="X405" s="3"/>
      <c r="Y405" s="3" t="s">
        <v>2001</v>
      </c>
    </row>
    <row r="406" spans="1:25" ht="60" customHeight="1" x14ac:dyDescent="0.2">
      <c r="A406" s="3" t="s">
        <v>7220</v>
      </c>
      <c r="B406" s="3" t="s">
        <v>7221</v>
      </c>
      <c r="C406" s="3" t="s">
        <v>7214</v>
      </c>
      <c r="D406" s="3">
        <v>236</v>
      </c>
      <c r="E406" s="3" t="s">
        <v>4129</v>
      </c>
      <c r="F406" s="3" t="s">
        <v>7222</v>
      </c>
      <c r="G406" s="11" t="s">
        <v>7223</v>
      </c>
      <c r="H406" s="3" t="s">
        <v>7224</v>
      </c>
      <c r="I406" s="3" t="s">
        <v>3996</v>
      </c>
      <c r="J406" s="3" t="s">
        <v>7225</v>
      </c>
      <c r="K406" s="3" t="s">
        <v>4484</v>
      </c>
      <c r="L406" s="3" t="s">
        <v>650</v>
      </c>
      <c r="M406" s="3" t="s">
        <v>4010</v>
      </c>
      <c r="N406" s="3" t="s">
        <v>3419</v>
      </c>
      <c r="O406" s="3" t="s">
        <v>650</v>
      </c>
      <c r="P406" s="3">
        <v>0</v>
      </c>
      <c r="Q406" s="3" t="s">
        <v>4052</v>
      </c>
      <c r="R406" s="3" t="s">
        <v>1499</v>
      </c>
      <c r="S406" s="3" t="s">
        <v>650</v>
      </c>
      <c r="T406" s="3" t="s">
        <v>650</v>
      </c>
      <c r="U406" s="3" t="s">
        <v>1380</v>
      </c>
      <c r="V406" s="3" t="s">
        <v>700</v>
      </c>
      <c r="W406" s="3"/>
      <c r="X406" s="3"/>
      <c r="Y406" s="3" t="s">
        <v>2001</v>
      </c>
    </row>
    <row r="407" spans="1:25" ht="45" customHeight="1" x14ac:dyDescent="0.2">
      <c r="A407" s="3" t="s">
        <v>7226</v>
      </c>
      <c r="B407" s="3" t="s">
        <v>7227</v>
      </c>
      <c r="C407" s="3" t="s">
        <v>7214</v>
      </c>
      <c r="D407" s="3">
        <v>256</v>
      </c>
      <c r="E407" s="3" t="s">
        <v>4129</v>
      </c>
      <c r="F407" s="3" t="s">
        <v>7228</v>
      </c>
      <c r="G407" s="11" t="s">
        <v>7229</v>
      </c>
      <c r="H407" s="3" t="s">
        <v>7230</v>
      </c>
      <c r="I407" s="3" t="s">
        <v>3996</v>
      </c>
      <c r="J407" s="3" t="s">
        <v>7231</v>
      </c>
      <c r="K407" s="3" t="s">
        <v>7232</v>
      </c>
      <c r="L407" s="3" t="s">
        <v>650</v>
      </c>
      <c r="M407" s="3" t="s">
        <v>4010</v>
      </c>
      <c r="N407" s="3" t="s">
        <v>3419</v>
      </c>
      <c r="O407" s="3" t="s">
        <v>650</v>
      </c>
      <c r="P407" s="3">
        <v>0</v>
      </c>
      <c r="Q407" s="3" t="s">
        <v>4052</v>
      </c>
      <c r="R407" s="3" t="s">
        <v>1499</v>
      </c>
      <c r="S407" s="3" t="s">
        <v>650</v>
      </c>
      <c r="T407" s="3" t="s">
        <v>650</v>
      </c>
      <c r="U407" s="3" t="s">
        <v>1380</v>
      </c>
      <c r="V407" s="3" t="s">
        <v>700</v>
      </c>
      <c r="W407" s="3"/>
      <c r="X407" s="3"/>
      <c r="Y407" s="3" t="s">
        <v>2001</v>
      </c>
    </row>
    <row r="408" spans="1:25" ht="60" customHeight="1" x14ac:dyDescent="0.2">
      <c r="A408" s="3" t="s">
        <v>7233</v>
      </c>
      <c r="B408" s="3" t="s">
        <v>7234</v>
      </c>
      <c r="C408" s="3" t="s">
        <v>7235</v>
      </c>
      <c r="D408" s="3">
        <v>91</v>
      </c>
      <c r="E408" s="3" t="s">
        <v>3992</v>
      </c>
      <c r="F408" s="3" t="s">
        <v>7236</v>
      </c>
      <c r="G408" s="11" t="s">
        <v>7237</v>
      </c>
      <c r="H408" s="3" t="s">
        <v>7238</v>
      </c>
      <c r="I408" s="3" t="s">
        <v>3996</v>
      </c>
      <c r="J408" s="3" t="s">
        <v>7239</v>
      </c>
      <c r="K408" s="3" t="s">
        <v>7240</v>
      </c>
      <c r="L408" s="3" t="s">
        <v>650</v>
      </c>
      <c r="M408" s="3" t="s">
        <v>4010</v>
      </c>
      <c r="N408" s="3" t="s">
        <v>3535</v>
      </c>
      <c r="O408" s="3" t="s">
        <v>7241</v>
      </c>
      <c r="P408" s="3">
        <v>6</v>
      </c>
      <c r="Q408" s="3" t="s">
        <v>7242</v>
      </c>
      <c r="R408" s="3" t="s">
        <v>7243</v>
      </c>
      <c r="S408" s="3" t="s">
        <v>650</v>
      </c>
      <c r="T408" s="3" t="s">
        <v>650</v>
      </c>
      <c r="U408" s="3" t="s">
        <v>1380</v>
      </c>
      <c r="V408" s="3" t="s">
        <v>700</v>
      </c>
      <c r="W408" s="3"/>
      <c r="X408" s="3"/>
      <c r="Y408" s="3" t="s">
        <v>2001</v>
      </c>
    </row>
    <row r="409" spans="1:25" ht="60" customHeight="1" x14ac:dyDescent="0.2">
      <c r="A409" s="3" t="s">
        <v>7244</v>
      </c>
      <c r="B409" s="3" t="s">
        <v>7245</v>
      </c>
      <c r="C409" s="3" t="s">
        <v>7235</v>
      </c>
      <c r="D409" s="3">
        <v>193</v>
      </c>
      <c r="E409" s="3" t="s">
        <v>3992</v>
      </c>
      <c r="F409" s="3" t="s">
        <v>4110</v>
      </c>
      <c r="G409" s="11" t="s">
        <v>7246</v>
      </c>
      <c r="H409" s="3" t="s">
        <v>7247</v>
      </c>
      <c r="I409" s="3" t="s">
        <v>3996</v>
      </c>
      <c r="J409" s="3" t="s">
        <v>7248</v>
      </c>
      <c r="K409" s="3" t="s">
        <v>7249</v>
      </c>
      <c r="L409" s="3" t="s">
        <v>650</v>
      </c>
      <c r="M409" s="3" t="s">
        <v>4010</v>
      </c>
      <c r="N409" s="3" t="s">
        <v>3535</v>
      </c>
      <c r="O409" s="3" t="s">
        <v>7250</v>
      </c>
      <c r="P409" s="3">
        <v>7</v>
      </c>
      <c r="Q409" s="3" t="s">
        <v>7251</v>
      </c>
      <c r="R409" s="3" t="s">
        <v>7252</v>
      </c>
      <c r="S409" s="3" t="s">
        <v>650</v>
      </c>
      <c r="T409" s="3" t="s">
        <v>650</v>
      </c>
      <c r="U409" s="3" t="s">
        <v>1380</v>
      </c>
      <c r="V409" s="3" t="s">
        <v>700</v>
      </c>
      <c r="W409" s="3"/>
      <c r="X409" s="3"/>
      <c r="Y409" s="3" t="s">
        <v>2001</v>
      </c>
    </row>
    <row r="410" spans="1:25" ht="60" customHeight="1" x14ac:dyDescent="0.2">
      <c r="A410" s="3" t="s">
        <v>7253</v>
      </c>
      <c r="B410" s="3" t="s">
        <v>7254</v>
      </c>
      <c r="C410" s="3" t="s">
        <v>7255</v>
      </c>
      <c r="D410" s="3">
        <v>131</v>
      </c>
      <c r="E410" s="3" t="s">
        <v>4129</v>
      </c>
      <c r="F410" s="3" t="s">
        <v>7256</v>
      </c>
      <c r="G410" s="11" t="s">
        <v>7257</v>
      </c>
      <c r="H410" s="3" t="s">
        <v>7258</v>
      </c>
      <c r="I410" s="3" t="s">
        <v>3996</v>
      </c>
      <c r="J410" s="3" t="s">
        <v>7259</v>
      </c>
      <c r="K410" s="3" t="s">
        <v>7260</v>
      </c>
      <c r="L410" s="3" t="s">
        <v>650</v>
      </c>
      <c r="M410" s="3" t="s">
        <v>4010</v>
      </c>
      <c r="N410" s="3" t="s">
        <v>3419</v>
      </c>
      <c r="O410" s="3" t="s">
        <v>7261</v>
      </c>
      <c r="P410" s="3">
        <v>11</v>
      </c>
      <c r="Q410" s="3" t="s">
        <v>7262</v>
      </c>
      <c r="R410" s="3" t="s">
        <v>7263</v>
      </c>
      <c r="S410" s="3" t="s">
        <v>650</v>
      </c>
      <c r="T410" s="3" t="s">
        <v>650</v>
      </c>
      <c r="U410" s="3" t="s">
        <v>1380</v>
      </c>
      <c r="V410" s="3" t="s">
        <v>700</v>
      </c>
      <c r="W410" s="3"/>
      <c r="X410" s="3"/>
      <c r="Y410" s="3" t="s">
        <v>2001</v>
      </c>
    </row>
    <row r="411" spans="1:25" ht="60" customHeight="1" x14ac:dyDescent="0.2">
      <c r="A411" s="3" t="s">
        <v>7264</v>
      </c>
      <c r="B411" s="3" t="s">
        <v>7265</v>
      </c>
      <c r="C411" s="3" t="s">
        <v>7255</v>
      </c>
      <c r="D411" s="3">
        <v>224</v>
      </c>
      <c r="E411" s="3" t="s">
        <v>4003</v>
      </c>
      <c r="F411" s="3" t="s">
        <v>4110</v>
      </c>
      <c r="G411" s="11" t="s">
        <v>7266</v>
      </c>
      <c r="H411" s="3" t="s">
        <v>7267</v>
      </c>
      <c r="I411" s="3" t="s">
        <v>3996</v>
      </c>
      <c r="J411" s="3" t="s">
        <v>7268</v>
      </c>
      <c r="K411" s="3" t="s">
        <v>7269</v>
      </c>
      <c r="L411" s="3" t="s">
        <v>4020</v>
      </c>
      <c r="M411" s="3" t="s">
        <v>4010</v>
      </c>
      <c r="N411" s="3" t="s">
        <v>3535</v>
      </c>
      <c r="O411" s="3" t="s">
        <v>650</v>
      </c>
      <c r="P411" s="3">
        <v>0</v>
      </c>
      <c r="Q411" s="3" t="s">
        <v>4052</v>
      </c>
      <c r="R411" s="3" t="s">
        <v>1499</v>
      </c>
      <c r="S411" s="3" t="s">
        <v>650</v>
      </c>
      <c r="T411" s="3" t="s">
        <v>650</v>
      </c>
      <c r="U411" s="3" t="s">
        <v>1380</v>
      </c>
      <c r="V411" s="3" t="s">
        <v>700</v>
      </c>
      <c r="W411" s="3"/>
      <c r="X411" s="3"/>
      <c r="Y411" s="3" t="s">
        <v>2001</v>
      </c>
    </row>
    <row r="412" spans="1:25" ht="60" customHeight="1" x14ac:dyDescent="0.2">
      <c r="A412" s="3" t="s">
        <v>7270</v>
      </c>
      <c r="B412" s="3" t="s">
        <v>7271</v>
      </c>
      <c r="C412" s="3" t="s">
        <v>7255</v>
      </c>
      <c r="D412" s="3">
        <v>276</v>
      </c>
      <c r="E412" s="3" t="s">
        <v>4129</v>
      </c>
      <c r="F412" s="3" t="s">
        <v>4110</v>
      </c>
      <c r="G412" s="11" t="s">
        <v>7272</v>
      </c>
      <c r="H412" s="3" t="s">
        <v>7273</v>
      </c>
      <c r="I412" s="3" t="s">
        <v>4290</v>
      </c>
      <c r="J412" s="3" t="s">
        <v>7274</v>
      </c>
      <c r="K412" s="3" t="s">
        <v>4844</v>
      </c>
      <c r="L412" s="3" t="s">
        <v>650</v>
      </c>
      <c r="M412" s="3" t="s">
        <v>4010</v>
      </c>
      <c r="N412" s="3" t="s">
        <v>3419</v>
      </c>
      <c r="O412" s="3" t="s">
        <v>650</v>
      </c>
      <c r="P412" s="3">
        <v>0</v>
      </c>
      <c r="Q412" s="3" t="s">
        <v>4052</v>
      </c>
      <c r="R412" s="3" t="s">
        <v>1499</v>
      </c>
      <c r="S412" s="3" t="s">
        <v>650</v>
      </c>
      <c r="T412" s="3" t="s">
        <v>650</v>
      </c>
      <c r="U412" s="3" t="s">
        <v>1380</v>
      </c>
      <c r="V412" s="3" t="s">
        <v>539</v>
      </c>
      <c r="W412" s="3"/>
      <c r="X412" s="3"/>
      <c r="Y412" s="3" t="s">
        <v>2001</v>
      </c>
    </row>
    <row r="413" spans="1:25" ht="60" customHeight="1" x14ac:dyDescent="0.2">
      <c r="A413" s="3" t="s">
        <v>7275</v>
      </c>
      <c r="B413" s="3" t="s">
        <v>7276</v>
      </c>
      <c r="C413" s="3" t="s">
        <v>7255</v>
      </c>
      <c r="D413" s="3">
        <v>307</v>
      </c>
      <c r="E413" s="3" t="s">
        <v>4129</v>
      </c>
      <c r="F413" s="3" t="s">
        <v>4110</v>
      </c>
      <c r="G413" s="11" t="s">
        <v>7277</v>
      </c>
      <c r="H413" s="3" t="s">
        <v>7278</v>
      </c>
      <c r="I413" s="3" t="s">
        <v>3996</v>
      </c>
      <c r="J413" s="3" t="s">
        <v>4164</v>
      </c>
      <c r="K413" s="3" t="s">
        <v>4028</v>
      </c>
      <c r="L413" s="3" t="s">
        <v>650</v>
      </c>
      <c r="M413" s="3" t="s">
        <v>4010</v>
      </c>
      <c r="N413" s="3" t="s">
        <v>3419</v>
      </c>
      <c r="O413" s="3" t="s">
        <v>650</v>
      </c>
      <c r="P413" s="3">
        <v>0</v>
      </c>
      <c r="Q413" s="3" t="s">
        <v>4052</v>
      </c>
      <c r="R413" s="3" t="s">
        <v>1499</v>
      </c>
      <c r="S413" s="3" t="s">
        <v>650</v>
      </c>
      <c r="T413" s="3" t="s">
        <v>650</v>
      </c>
      <c r="U413" s="3" t="s">
        <v>1380</v>
      </c>
      <c r="V413" s="3" t="s">
        <v>700</v>
      </c>
      <c r="W413" s="3"/>
      <c r="X413" s="3"/>
      <c r="Y413" s="3" t="s">
        <v>2001</v>
      </c>
    </row>
    <row r="414" spans="1:25" ht="45" customHeight="1" x14ac:dyDescent="0.2">
      <c r="A414" s="3" t="s">
        <v>7279</v>
      </c>
      <c r="B414" s="3" t="s">
        <v>7280</v>
      </c>
      <c r="C414" s="3" t="s">
        <v>7255</v>
      </c>
      <c r="D414" s="3">
        <v>331</v>
      </c>
      <c r="E414" s="3" t="s">
        <v>4129</v>
      </c>
      <c r="F414" s="3" t="s">
        <v>7281</v>
      </c>
      <c r="G414" s="11" t="s">
        <v>7282</v>
      </c>
      <c r="H414" s="3" t="s">
        <v>7283</v>
      </c>
      <c r="I414" s="3" t="s">
        <v>3996</v>
      </c>
      <c r="J414" s="3" t="s">
        <v>7284</v>
      </c>
      <c r="K414" s="3" t="s">
        <v>7285</v>
      </c>
      <c r="L414" s="3" t="s">
        <v>650</v>
      </c>
      <c r="M414" s="3" t="s">
        <v>4010</v>
      </c>
      <c r="N414" s="3" t="s">
        <v>3419</v>
      </c>
      <c r="O414" s="3" t="s">
        <v>7286</v>
      </c>
      <c r="P414" s="3">
        <v>2</v>
      </c>
      <c r="Q414" s="3" t="s">
        <v>7286</v>
      </c>
      <c r="R414" s="3" t="s">
        <v>7287</v>
      </c>
      <c r="S414" s="3" t="s">
        <v>650</v>
      </c>
      <c r="T414" s="3" t="s">
        <v>650</v>
      </c>
      <c r="U414" s="3" t="s">
        <v>1380</v>
      </c>
      <c r="V414" s="3" t="s">
        <v>700</v>
      </c>
      <c r="W414" s="3"/>
      <c r="X414" s="3"/>
      <c r="Y414" s="3" t="s">
        <v>2001</v>
      </c>
    </row>
    <row r="415" spans="1:25" ht="45" customHeight="1" x14ac:dyDescent="0.2">
      <c r="A415" s="3" t="s">
        <v>7288</v>
      </c>
      <c r="B415" s="3" t="s">
        <v>7289</v>
      </c>
      <c r="C415" s="3" t="s">
        <v>7255</v>
      </c>
      <c r="D415" s="3">
        <v>351</v>
      </c>
      <c r="E415" s="3" t="s">
        <v>4129</v>
      </c>
      <c r="F415" s="3" t="s">
        <v>7290</v>
      </c>
      <c r="G415" s="11" t="s">
        <v>7291</v>
      </c>
      <c r="H415" s="3" t="s">
        <v>7292</v>
      </c>
      <c r="I415" s="3" t="s">
        <v>4018</v>
      </c>
      <c r="J415" s="3" t="s">
        <v>7293</v>
      </c>
      <c r="K415" s="3" t="s">
        <v>7294</v>
      </c>
      <c r="L415" s="3" t="s">
        <v>650</v>
      </c>
      <c r="M415" s="3" t="s">
        <v>4010</v>
      </c>
      <c r="N415" s="3" t="s">
        <v>3419</v>
      </c>
      <c r="O415" s="3" t="s">
        <v>650</v>
      </c>
      <c r="P415" s="3">
        <v>0</v>
      </c>
      <c r="Q415" s="3" t="s">
        <v>4052</v>
      </c>
      <c r="R415" s="3" t="s">
        <v>1499</v>
      </c>
      <c r="S415" s="3" t="s">
        <v>650</v>
      </c>
      <c r="T415" s="3" t="s">
        <v>650</v>
      </c>
      <c r="U415" s="3" t="s">
        <v>1380</v>
      </c>
      <c r="V415" s="3" t="s">
        <v>700</v>
      </c>
      <c r="W415" s="3"/>
      <c r="X415" s="3"/>
      <c r="Y415" s="3" t="s">
        <v>2001</v>
      </c>
    </row>
    <row r="416" spans="1:25" ht="60" customHeight="1" x14ac:dyDescent="0.2">
      <c r="A416" s="3" t="s">
        <v>7295</v>
      </c>
      <c r="B416" s="3" t="s">
        <v>7296</v>
      </c>
      <c r="C416" s="3" t="s">
        <v>7297</v>
      </c>
      <c r="D416" s="3">
        <v>65</v>
      </c>
      <c r="E416" s="3" t="s">
        <v>4129</v>
      </c>
      <c r="F416" s="3" t="s">
        <v>7298</v>
      </c>
      <c r="G416" s="11" t="s">
        <v>7299</v>
      </c>
      <c r="H416" s="3" t="s">
        <v>7300</v>
      </c>
      <c r="I416" s="3" t="s">
        <v>3996</v>
      </c>
      <c r="J416" s="3" t="s">
        <v>4164</v>
      </c>
      <c r="K416" s="3" t="s">
        <v>4028</v>
      </c>
      <c r="L416" s="3" t="s">
        <v>650</v>
      </c>
      <c r="M416" s="3" t="s">
        <v>4010</v>
      </c>
      <c r="N416" s="3" t="s">
        <v>3419</v>
      </c>
      <c r="O416" s="3" t="s">
        <v>650</v>
      </c>
      <c r="P416" s="3">
        <v>0</v>
      </c>
      <c r="Q416" s="3" t="s">
        <v>4052</v>
      </c>
      <c r="R416" s="3" t="s">
        <v>1499</v>
      </c>
      <c r="S416" s="3" t="s">
        <v>650</v>
      </c>
      <c r="T416" s="3" t="s">
        <v>650</v>
      </c>
      <c r="U416" s="3" t="s">
        <v>1380</v>
      </c>
      <c r="V416" s="3" t="s">
        <v>700</v>
      </c>
      <c r="W416" s="3"/>
      <c r="X416" s="3"/>
      <c r="Y416" s="3" t="s">
        <v>2001</v>
      </c>
    </row>
    <row r="417" spans="1:25" ht="45" customHeight="1" x14ac:dyDescent="0.2">
      <c r="A417" s="3" t="s">
        <v>7301</v>
      </c>
      <c r="B417" s="3" t="s">
        <v>7302</v>
      </c>
      <c r="C417" s="3" t="s">
        <v>7297</v>
      </c>
      <c r="D417" s="3">
        <v>108</v>
      </c>
      <c r="E417" s="3" t="s">
        <v>4129</v>
      </c>
      <c r="F417" s="3" t="s">
        <v>7303</v>
      </c>
      <c r="G417" s="11" t="s">
        <v>7304</v>
      </c>
      <c r="H417" s="3" t="s">
        <v>7305</v>
      </c>
      <c r="I417" s="3" t="s">
        <v>3996</v>
      </c>
      <c r="J417" s="3" t="s">
        <v>7306</v>
      </c>
      <c r="K417" s="3" t="s">
        <v>7285</v>
      </c>
      <c r="L417" s="3" t="s">
        <v>650</v>
      </c>
      <c r="M417" s="3" t="s">
        <v>4010</v>
      </c>
      <c r="N417" s="3" t="s">
        <v>3419</v>
      </c>
      <c r="O417" s="3" t="s">
        <v>650</v>
      </c>
      <c r="P417" s="3">
        <v>0</v>
      </c>
      <c r="Q417" s="3" t="s">
        <v>4052</v>
      </c>
      <c r="R417" s="3" t="s">
        <v>1499</v>
      </c>
      <c r="S417" s="3" t="s">
        <v>650</v>
      </c>
      <c r="T417" s="3" t="s">
        <v>650</v>
      </c>
      <c r="U417" s="3" t="s">
        <v>1380</v>
      </c>
      <c r="V417" s="3" t="s">
        <v>700</v>
      </c>
      <c r="W417" s="3"/>
      <c r="X417" s="3"/>
      <c r="Y417" s="3" t="s">
        <v>2001</v>
      </c>
    </row>
    <row r="418" spans="1:25" ht="60" customHeight="1" x14ac:dyDescent="0.2">
      <c r="A418" s="3" t="s">
        <v>7307</v>
      </c>
      <c r="B418" s="3" t="s">
        <v>7308</v>
      </c>
      <c r="C418" s="3" t="s">
        <v>7297</v>
      </c>
      <c r="D418" s="3">
        <v>129</v>
      </c>
      <c r="E418" s="3" t="s">
        <v>4129</v>
      </c>
      <c r="F418" s="3" t="s">
        <v>7309</v>
      </c>
      <c r="G418" s="11" t="s">
        <v>7310</v>
      </c>
      <c r="H418" s="3" t="s">
        <v>7311</v>
      </c>
      <c r="I418" s="3" t="s">
        <v>3996</v>
      </c>
      <c r="J418" s="3" t="s">
        <v>7312</v>
      </c>
      <c r="K418" s="3" t="s">
        <v>7285</v>
      </c>
      <c r="L418" s="3" t="s">
        <v>650</v>
      </c>
      <c r="M418" s="3" t="s">
        <v>4010</v>
      </c>
      <c r="N418" s="3" t="s">
        <v>3419</v>
      </c>
      <c r="O418" s="3" t="s">
        <v>7313</v>
      </c>
      <c r="P418" s="3">
        <v>2</v>
      </c>
      <c r="Q418" s="3" t="s">
        <v>7313</v>
      </c>
      <c r="R418" s="3" t="s">
        <v>7314</v>
      </c>
      <c r="S418" s="3" t="s">
        <v>650</v>
      </c>
      <c r="T418" s="3" t="s">
        <v>650</v>
      </c>
      <c r="U418" s="3" t="s">
        <v>1380</v>
      </c>
      <c r="V418" s="3" t="s">
        <v>700</v>
      </c>
      <c r="W418" s="3"/>
      <c r="X418" s="3"/>
      <c r="Y418" s="3" t="s">
        <v>2001</v>
      </c>
    </row>
    <row r="419" spans="1:25" ht="60" customHeight="1" x14ac:dyDescent="0.2">
      <c r="A419" s="3" t="s">
        <v>7315</v>
      </c>
      <c r="B419" s="3" t="s">
        <v>7316</v>
      </c>
      <c r="C419" s="3" t="s">
        <v>7297</v>
      </c>
      <c r="D419" s="3">
        <v>169</v>
      </c>
      <c r="E419" s="3" t="s">
        <v>4003</v>
      </c>
      <c r="F419" s="3" t="s">
        <v>7317</v>
      </c>
      <c r="G419" s="11" t="s">
        <v>7318</v>
      </c>
      <c r="H419" s="3" t="s">
        <v>7319</v>
      </c>
      <c r="I419" s="3" t="s">
        <v>3996</v>
      </c>
      <c r="J419" s="3" t="s">
        <v>7320</v>
      </c>
      <c r="K419" s="3" t="s">
        <v>4257</v>
      </c>
      <c r="L419" s="3" t="s">
        <v>4020</v>
      </c>
      <c r="M419" s="3" t="s">
        <v>4010</v>
      </c>
      <c r="N419" s="3" t="s">
        <v>3535</v>
      </c>
      <c r="O419" s="3" t="s">
        <v>4249</v>
      </c>
      <c r="P419" s="3">
        <v>1</v>
      </c>
      <c r="Q419" s="3" t="s">
        <v>4249</v>
      </c>
      <c r="R419" s="3" t="s">
        <v>7321</v>
      </c>
      <c r="S419" s="3" t="s">
        <v>650</v>
      </c>
      <c r="T419" s="3" t="s">
        <v>650</v>
      </c>
      <c r="U419" s="3" t="s">
        <v>1380</v>
      </c>
      <c r="V419" s="3" t="s">
        <v>700</v>
      </c>
      <c r="W419" s="3"/>
      <c r="X419" s="3"/>
      <c r="Y419" s="3" t="s">
        <v>2001</v>
      </c>
    </row>
    <row r="420" spans="1:25" ht="60" customHeight="1" x14ac:dyDescent="0.2">
      <c r="A420" s="3" t="s">
        <v>7322</v>
      </c>
      <c r="B420" s="3" t="s">
        <v>7323</v>
      </c>
      <c r="C420" s="3" t="s">
        <v>7324</v>
      </c>
      <c r="D420" s="3">
        <v>78</v>
      </c>
      <c r="E420" s="3" t="s">
        <v>4129</v>
      </c>
      <c r="F420" s="3" t="s">
        <v>7325</v>
      </c>
      <c r="G420" s="11" t="s">
        <v>7326</v>
      </c>
      <c r="H420" s="3" t="s">
        <v>7327</v>
      </c>
      <c r="I420" s="3" t="s">
        <v>3996</v>
      </c>
      <c r="J420" s="3" t="s">
        <v>4164</v>
      </c>
      <c r="K420" s="3" t="s">
        <v>4028</v>
      </c>
      <c r="L420" s="3" t="s">
        <v>650</v>
      </c>
      <c r="M420" s="3" t="s">
        <v>4010</v>
      </c>
      <c r="N420" s="3" t="s">
        <v>3419</v>
      </c>
      <c r="O420" s="3" t="s">
        <v>7328</v>
      </c>
      <c r="P420" s="3">
        <v>2</v>
      </c>
      <c r="Q420" s="3" t="s">
        <v>7328</v>
      </c>
      <c r="R420" s="3" t="s">
        <v>7329</v>
      </c>
      <c r="S420" s="3" t="s">
        <v>650</v>
      </c>
      <c r="T420" s="3" t="s">
        <v>650</v>
      </c>
      <c r="U420" s="3" t="s">
        <v>1380</v>
      </c>
      <c r="V420" s="3" t="s">
        <v>700</v>
      </c>
      <c r="W420" s="3"/>
      <c r="X420" s="3"/>
      <c r="Y420" s="3" t="s">
        <v>2001</v>
      </c>
    </row>
    <row r="421" spans="1:25" ht="60" customHeight="1" x14ac:dyDescent="0.2">
      <c r="A421" s="3" t="s">
        <v>7330</v>
      </c>
      <c r="B421" s="3" t="s">
        <v>7331</v>
      </c>
      <c r="C421" s="3" t="s">
        <v>7324</v>
      </c>
      <c r="D421" s="3">
        <v>106</v>
      </c>
      <c r="E421" s="3" t="s">
        <v>4129</v>
      </c>
      <c r="F421" s="3" t="s">
        <v>7332</v>
      </c>
      <c r="G421" s="11" t="s">
        <v>7333</v>
      </c>
      <c r="H421" s="3" t="s">
        <v>7334</v>
      </c>
      <c r="I421" s="3" t="s">
        <v>3996</v>
      </c>
      <c r="J421" s="3" t="s">
        <v>4164</v>
      </c>
      <c r="K421" s="3" t="s">
        <v>4028</v>
      </c>
      <c r="L421" s="3" t="s">
        <v>650</v>
      </c>
      <c r="M421" s="3" t="s">
        <v>4010</v>
      </c>
      <c r="N421" s="3" t="s">
        <v>3419</v>
      </c>
      <c r="O421" s="3" t="s">
        <v>7335</v>
      </c>
      <c r="P421" s="3">
        <v>1</v>
      </c>
      <c r="Q421" s="3" t="s">
        <v>7335</v>
      </c>
      <c r="R421" s="3" t="s">
        <v>7336</v>
      </c>
      <c r="S421" s="3" t="s">
        <v>650</v>
      </c>
      <c r="T421" s="3" t="s">
        <v>650</v>
      </c>
      <c r="U421" s="3" t="s">
        <v>1380</v>
      </c>
      <c r="V421" s="3" t="s">
        <v>700</v>
      </c>
      <c r="W421" s="3"/>
      <c r="X421" s="3"/>
      <c r="Y421" s="3" t="s">
        <v>2001</v>
      </c>
    </row>
    <row r="422" spans="1:25" ht="60" customHeight="1" x14ac:dyDescent="0.2">
      <c r="A422" s="3" t="s">
        <v>7337</v>
      </c>
      <c r="B422" s="3" t="s">
        <v>7338</v>
      </c>
      <c r="C422" s="3" t="s">
        <v>6538</v>
      </c>
      <c r="D422" s="3">
        <v>55</v>
      </c>
      <c r="E422" s="3" t="s">
        <v>4003</v>
      </c>
      <c r="F422" s="3" t="s">
        <v>7339</v>
      </c>
      <c r="G422" s="11" t="s">
        <v>7340</v>
      </c>
      <c r="H422" s="3" t="s">
        <v>7341</v>
      </c>
      <c r="I422" s="3" t="s">
        <v>4290</v>
      </c>
      <c r="J422" s="3" t="s">
        <v>6974</v>
      </c>
      <c r="K422" s="3" t="s">
        <v>4008</v>
      </c>
      <c r="L422" s="3" t="s">
        <v>7342</v>
      </c>
      <c r="M422" s="3" t="s">
        <v>7343</v>
      </c>
      <c r="N422" s="3" t="s">
        <v>3535</v>
      </c>
      <c r="O422" s="3" t="s">
        <v>5264</v>
      </c>
      <c r="P422" s="3">
        <v>1</v>
      </c>
      <c r="Q422" s="3" t="s">
        <v>5264</v>
      </c>
      <c r="R422" s="3" t="s">
        <v>7344</v>
      </c>
      <c r="S422" s="3" t="s">
        <v>650</v>
      </c>
      <c r="T422" s="3" t="s">
        <v>650</v>
      </c>
      <c r="U422" s="3" t="s">
        <v>1380</v>
      </c>
      <c r="V422" s="3" t="s">
        <v>700</v>
      </c>
      <c r="W422" s="3"/>
      <c r="X422" s="3"/>
      <c r="Y422" s="3" t="s">
        <v>2001</v>
      </c>
    </row>
    <row r="423" spans="1:25" ht="60" customHeight="1" x14ac:dyDescent="0.2">
      <c r="A423" s="3" t="s">
        <v>7345</v>
      </c>
      <c r="B423" s="3" t="s">
        <v>7346</v>
      </c>
      <c r="C423" s="3" t="s">
        <v>6538</v>
      </c>
      <c r="D423" s="3">
        <v>94</v>
      </c>
      <c r="E423" s="3" t="s">
        <v>3992</v>
      </c>
      <c r="F423" s="3" t="s">
        <v>7347</v>
      </c>
      <c r="G423" s="11" t="s">
        <v>7348</v>
      </c>
      <c r="H423" s="3" t="s">
        <v>7349</v>
      </c>
      <c r="I423" s="3" t="s">
        <v>4018</v>
      </c>
      <c r="J423" s="3" t="s">
        <v>7350</v>
      </c>
      <c r="K423" s="3" t="s">
        <v>4008</v>
      </c>
      <c r="L423" s="3" t="s">
        <v>650</v>
      </c>
      <c r="M423" s="3" t="s">
        <v>4010</v>
      </c>
      <c r="N423" s="3" t="s">
        <v>3535</v>
      </c>
      <c r="O423" s="3" t="s">
        <v>6543</v>
      </c>
      <c r="P423" s="3">
        <v>2</v>
      </c>
      <c r="Q423" s="3" t="s">
        <v>6544</v>
      </c>
      <c r="R423" s="3" t="s">
        <v>7351</v>
      </c>
      <c r="S423" s="3" t="s">
        <v>650</v>
      </c>
      <c r="T423" s="3" t="s">
        <v>650</v>
      </c>
      <c r="U423" s="3" t="s">
        <v>1380</v>
      </c>
      <c r="V423" s="3" t="s">
        <v>700</v>
      </c>
      <c r="W423" s="3"/>
      <c r="X423" s="3"/>
      <c r="Y423" s="3" t="s">
        <v>2001</v>
      </c>
    </row>
    <row r="424" spans="1:25" ht="60" customHeight="1" x14ac:dyDescent="0.2">
      <c r="A424" s="3" t="s">
        <v>7352</v>
      </c>
      <c r="B424" s="3" t="s">
        <v>7353</v>
      </c>
      <c r="C424" s="3" t="s">
        <v>7354</v>
      </c>
      <c r="D424" s="3">
        <v>81</v>
      </c>
      <c r="E424" s="3" t="s">
        <v>4136</v>
      </c>
      <c r="F424" s="3" t="s">
        <v>4110</v>
      </c>
      <c r="G424" s="11" t="s">
        <v>7355</v>
      </c>
      <c r="H424" s="3" t="s">
        <v>7356</v>
      </c>
      <c r="I424" s="3" t="s">
        <v>4290</v>
      </c>
      <c r="J424" s="3" t="s">
        <v>7357</v>
      </c>
      <c r="K424" s="3" t="s">
        <v>4844</v>
      </c>
      <c r="L424" s="3" t="s">
        <v>650</v>
      </c>
      <c r="M424" s="3" t="s">
        <v>4010</v>
      </c>
      <c r="N424" s="3" t="s">
        <v>3419</v>
      </c>
      <c r="O424" s="3" t="s">
        <v>650</v>
      </c>
      <c r="P424" s="3">
        <v>0</v>
      </c>
      <c r="Q424" s="3" t="s">
        <v>4052</v>
      </c>
      <c r="R424" s="3" t="s">
        <v>1499</v>
      </c>
      <c r="S424" s="3" t="s">
        <v>650</v>
      </c>
      <c r="T424" s="3" t="s">
        <v>650</v>
      </c>
      <c r="U424" s="3" t="s">
        <v>1380</v>
      </c>
      <c r="V424" s="3" t="s">
        <v>539</v>
      </c>
      <c r="W424" s="3"/>
      <c r="X424" s="3"/>
      <c r="Y424" s="3" t="s">
        <v>2001</v>
      </c>
    </row>
    <row r="425" spans="1:25" ht="60" customHeight="1" x14ac:dyDescent="0.2">
      <c r="A425" s="3" t="s">
        <v>7358</v>
      </c>
      <c r="B425" s="3" t="s">
        <v>7359</v>
      </c>
      <c r="C425" s="3" t="s">
        <v>7354</v>
      </c>
      <c r="D425" s="3">
        <v>118</v>
      </c>
      <c r="E425" s="3" t="s">
        <v>4136</v>
      </c>
      <c r="F425" s="3" t="s">
        <v>4110</v>
      </c>
      <c r="G425" s="11" t="s">
        <v>7360</v>
      </c>
      <c r="H425" s="3" t="s">
        <v>7361</v>
      </c>
      <c r="I425" s="3" t="s">
        <v>4290</v>
      </c>
      <c r="J425" s="3" t="s">
        <v>7362</v>
      </c>
      <c r="K425" s="3" t="s">
        <v>4844</v>
      </c>
      <c r="L425" s="3" t="s">
        <v>650</v>
      </c>
      <c r="M425" s="3" t="s">
        <v>4010</v>
      </c>
      <c r="N425" s="3" t="s">
        <v>3419</v>
      </c>
      <c r="O425" s="3" t="s">
        <v>650</v>
      </c>
      <c r="P425" s="3">
        <v>0</v>
      </c>
      <c r="Q425" s="3" t="s">
        <v>4052</v>
      </c>
      <c r="R425" s="3" t="s">
        <v>1499</v>
      </c>
      <c r="S425" s="3" t="s">
        <v>650</v>
      </c>
      <c r="T425" s="3" t="s">
        <v>650</v>
      </c>
      <c r="U425" s="3" t="s">
        <v>1380</v>
      </c>
      <c r="V425" s="3" t="s">
        <v>539</v>
      </c>
      <c r="W425" s="3"/>
      <c r="X425" s="3"/>
      <c r="Y425" s="3" t="s">
        <v>2001</v>
      </c>
    </row>
    <row r="426" spans="1:25" ht="60" customHeight="1" x14ac:dyDescent="0.2">
      <c r="A426" s="3" t="s">
        <v>7363</v>
      </c>
      <c r="B426" s="3" t="s">
        <v>7364</v>
      </c>
      <c r="C426" s="3" t="s">
        <v>7354</v>
      </c>
      <c r="D426" s="3">
        <v>191</v>
      </c>
      <c r="E426" s="3" t="s">
        <v>3992</v>
      </c>
      <c r="F426" s="3" t="s">
        <v>7365</v>
      </c>
      <c r="G426" s="11" t="s">
        <v>7366</v>
      </c>
      <c r="H426" s="3" t="s">
        <v>7367</v>
      </c>
      <c r="I426" s="3" t="s">
        <v>4018</v>
      </c>
      <c r="J426" s="3" t="s">
        <v>7368</v>
      </c>
      <c r="K426" s="3" t="s">
        <v>7369</v>
      </c>
      <c r="L426" s="3" t="s">
        <v>650</v>
      </c>
      <c r="M426" s="3" t="s">
        <v>7370</v>
      </c>
      <c r="N426" s="3" t="s">
        <v>3535</v>
      </c>
      <c r="O426" s="3" t="s">
        <v>650</v>
      </c>
      <c r="P426" s="3">
        <v>0</v>
      </c>
      <c r="Q426" s="3" t="s">
        <v>4052</v>
      </c>
      <c r="R426" s="3" t="s">
        <v>1499</v>
      </c>
      <c r="S426" s="3" t="s">
        <v>650</v>
      </c>
      <c r="T426" s="3" t="s">
        <v>650</v>
      </c>
      <c r="U426" s="3" t="s">
        <v>1380</v>
      </c>
      <c r="V426" s="3" t="s">
        <v>539</v>
      </c>
      <c r="W426" s="3"/>
      <c r="X426" s="3"/>
      <c r="Y426" s="3" t="s">
        <v>2001</v>
      </c>
    </row>
    <row r="427" spans="1:25" ht="60" customHeight="1" x14ac:dyDescent="0.2">
      <c r="A427" s="3" t="s">
        <v>7371</v>
      </c>
      <c r="B427" s="3" t="s">
        <v>7372</v>
      </c>
      <c r="C427" s="3" t="s">
        <v>7354</v>
      </c>
      <c r="D427" s="3">
        <v>283</v>
      </c>
      <c r="E427" s="3" t="s">
        <v>4129</v>
      </c>
      <c r="F427" s="3" t="s">
        <v>7373</v>
      </c>
      <c r="G427" s="11" t="s">
        <v>7374</v>
      </c>
      <c r="H427" s="3" t="s">
        <v>7375</v>
      </c>
      <c r="I427" s="3" t="s">
        <v>3996</v>
      </c>
      <c r="J427" s="3" t="s">
        <v>7376</v>
      </c>
      <c r="K427" s="3" t="s">
        <v>7377</v>
      </c>
      <c r="L427" s="3" t="s">
        <v>650</v>
      </c>
      <c r="M427" s="3" t="s">
        <v>4010</v>
      </c>
      <c r="N427" s="3" t="s">
        <v>3419</v>
      </c>
      <c r="O427" s="3" t="s">
        <v>7378</v>
      </c>
      <c r="P427" s="3">
        <v>3</v>
      </c>
      <c r="Q427" s="3" t="s">
        <v>7379</v>
      </c>
      <c r="R427" s="3" t="s">
        <v>7380</v>
      </c>
      <c r="S427" s="3" t="s">
        <v>650</v>
      </c>
      <c r="T427" s="3" t="s">
        <v>650</v>
      </c>
      <c r="U427" s="3" t="s">
        <v>1380</v>
      </c>
      <c r="V427" s="3" t="s">
        <v>700</v>
      </c>
      <c r="W427" s="3"/>
      <c r="X427" s="3"/>
      <c r="Y427" s="3" t="s">
        <v>2001</v>
      </c>
    </row>
    <row r="428" spans="1:25" ht="45" customHeight="1" x14ac:dyDescent="0.2">
      <c r="A428" s="3" t="s">
        <v>7381</v>
      </c>
      <c r="B428" s="3" t="s">
        <v>7382</v>
      </c>
      <c r="C428" s="3" t="s">
        <v>7354</v>
      </c>
      <c r="D428" s="3">
        <v>323</v>
      </c>
      <c r="E428" s="3" t="s">
        <v>4003</v>
      </c>
      <c r="F428" s="3" t="s">
        <v>7383</v>
      </c>
      <c r="G428" s="11" t="s">
        <v>7384</v>
      </c>
      <c r="H428" s="3" t="s">
        <v>7385</v>
      </c>
      <c r="I428" s="3" t="s">
        <v>3996</v>
      </c>
      <c r="J428" s="3" t="s">
        <v>7386</v>
      </c>
      <c r="K428" s="3" t="s">
        <v>7377</v>
      </c>
      <c r="L428" s="3" t="s">
        <v>4020</v>
      </c>
      <c r="M428" s="3" t="s">
        <v>4010</v>
      </c>
      <c r="N428" s="3" t="s">
        <v>3535</v>
      </c>
      <c r="O428" s="3" t="s">
        <v>650</v>
      </c>
      <c r="P428" s="3">
        <v>0</v>
      </c>
      <c r="Q428" s="3" t="s">
        <v>4052</v>
      </c>
      <c r="R428" s="3" t="s">
        <v>1499</v>
      </c>
      <c r="S428" s="3" t="s">
        <v>650</v>
      </c>
      <c r="T428" s="3" t="s">
        <v>650</v>
      </c>
      <c r="U428" s="3" t="s">
        <v>1380</v>
      </c>
      <c r="V428" s="3" t="s">
        <v>1069</v>
      </c>
      <c r="W428" s="3"/>
      <c r="X428" s="3"/>
      <c r="Y428" s="3" t="s">
        <v>2001</v>
      </c>
    </row>
    <row r="429" spans="1:25" ht="60" customHeight="1" x14ac:dyDescent="0.2">
      <c r="A429" s="3" t="s">
        <v>2063</v>
      </c>
      <c r="B429" s="3" t="s">
        <v>7387</v>
      </c>
      <c r="C429" s="3" t="s">
        <v>7354</v>
      </c>
      <c r="D429" s="3">
        <v>357</v>
      </c>
      <c r="E429" s="3" t="s">
        <v>4003</v>
      </c>
      <c r="F429" s="3" t="s">
        <v>7388</v>
      </c>
      <c r="G429" s="11" t="s">
        <v>7389</v>
      </c>
      <c r="H429" s="3" t="s">
        <v>7390</v>
      </c>
      <c r="I429" s="3" t="s">
        <v>3996</v>
      </c>
      <c r="J429" s="3" t="s">
        <v>7391</v>
      </c>
      <c r="K429" s="3" t="s">
        <v>4257</v>
      </c>
      <c r="L429" s="3" t="s">
        <v>4020</v>
      </c>
      <c r="M429" s="3" t="s">
        <v>7392</v>
      </c>
      <c r="N429" s="3" t="s">
        <v>3535</v>
      </c>
      <c r="O429" s="3" t="s">
        <v>7393</v>
      </c>
      <c r="P429" s="3">
        <v>5</v>
      </c>
      <c r="Q429" s="3" t="s">
        <v>7394</v>
      </c>
      <c r="R429" s="3" t="s">
        <v>7395</v>
      </c>
      <c r="S429" s="3" t="s">
        <v>7396</v>
      </c>
      <c r="T429" s="3" t="s">
        <v>650</v>
      </c>
      <c r="U429" s="3" t="s">
        <v>1380</v>
      </c>
      <c r="V429" s="3" t="s">
        <v>505</v>
      </c>
      <c r="W429" s="3"/>
      <c r="X429" s="3"/>
      <c r="Y429" s="3" t="s">
        <v>2001</v>
      </c>
    </row>
    <row r="430" spans="1:25" ht="60" customHeight="1" x14ac:dyDescent="0.2">
      <c r="A430" s="3" t="s">
        <v>7397</v>
      </c>
      <c r="B430" s="3" t="s">
        <v>7398</v>
      </c>
      <c r="C430" s="3" t="s">
        <v>7354</v>
      </c>
      <c r="D430" s="3">
        <v>389</v>
      </c>
      <c r="E430" s="3" t="s">
        <v>4129</v>
      </c>
      <c r="F430" s="3" t="s">
        <v>7399</v>
      </c>
      <c r="G430" s="11" t="s">
        <v>7400</v>
      </c>
      <c r="H430" s="3" t="s">
        <v>7401</v>
      </c>
      <c r="I430" s="3" t="s">
        <v>3996</v>
      </c>
      <c r="J430" s="3" t="s">
        <v>7402</v>
      </c>
      <c r="K430" s="3" t="s">
        <v>4257</v>
      </c>
      <c r="L430" s="3" t="s">
        <v>650</v>
      </c>
      <c r="M430" s="3" t="s">
        <v>4010</v>
      </c>
      <c r="N430" s="3" t="s">
        <v>3419</v>
      </c>
      <c r="O430" s="3" t="s">
        <v>7403</v>
      </c>
      <c r="P430" s="3">
        <v>1</v>
      </c>
      <c r="Q430" s="3" t="s">
        <v>7403</v>
      </c>
      <c r="R430" s="3" t="s">
        <v>7404</v>
      </c>
      <c r="S430" s="3" t="s">
        <v>650</v>
      </c>
      <c r="T430" s="3" t="s">
        <v>650</v>
      </c>
      <c r="U430" s="3" t="s">
        <v>1380</v>
      </c>
      <c r="V430" s="3" t="s">
        <v>700</v>
      </c>
      <c r="W430" s="3"/>
      <c r="X430" s="3"/>
      <c r="Y430" s="3" t="s">
        <v>2001</v>
      </c>
    </row>
    <row r="431" spans="1:25" ht="60" customHeight="1" x14ac:dyDescent="0.2">
      <c r="A431" s="3" t="s">
        <v>7405</v>
      </c>
      <c r="B431" s="3" t="s">
        <v>7406</v>
      </c>
      <c r="C431" s="3" t="s">
        <v>7354</v>
      </c>
      <c r="D431" s="3">
        <v>417</v>
      </c>
      <c r="E431" s="3" t="s">
        <v>3992</v>
      </c>
      <c r="F431" s="3" t="s">
        <v>7407</v>
      </c>
      <c r="G431" s="11" t="s">
        <v>7408</v>
      </c>
      <c r="H431" s="3" t="s">
        <v>7409</v>
      </c>
      <c r="I431" s="3" t="s">
        <v>4065</v>
      </c>
      <c r="J431" s="3" t="s">
        <v>7410</v>
      </c>
      <c r="K431" s="3" t="s">
        <v>7411</v>
      </c>
      <c r="L431" s="3" t="s">
        <v>650</v>
      </c>
      <c r="M431" s="3" t="s">
        <v>4010</v>
      </c>
      <c r="N431" s="3" t="s">
        <v>3535</v>
      </c>
      <c r="O431" s="3" t="s">
        <v>650</v>
      </c>
      <c r="P431" s="3">
        <v>0</v>
      </c>
      <c r="Q431" s="3" t="s">
        <v>4052</v>
      </c>
      <c r="R431" s="3" t="s">
        <v>1499</v>
      </c>
      <c r="S431" s="3" t="s">
        <v>650</v>
      </c>
      <c r="T431" s="3" t="s">
        <v>650</v>
      </c>
      <c r="U431" s="3" t="s">
        <v>1380</v>
      </c>
      <c r="V431" s="3" t="s">
        <v>428</v>
      </c>
      <c r="W431" s="3"/>
      <c r="X431" s="3"/>
      <c r="Y431" s="3" t="s">
        <v>2001</v>
      </c>
    </row>
    <row r="432" spans="1:25" ht="60" customHeight="1" x14ac:dyDescent="0.2">
      <c r="A432" s="3" t="s">
        <v>7412</v>
      </c>
      <c r="B432" s="3" t="s">
        <v>7413</v>
      </c>
      <c r="C432" s="3" t="s">
        <v>7354</v>
      </c>
      <c r="D432" s="3">
        <v>454</v>
      </c>
      <c r="E432" s="3" t="s">
        <v>3992</v>
      </c>
      <c r="F432" s="3" t="s">
        <v>7414</v>
      </c>
      <c r="G432" s="11" t="s">
        <v>7415</v>
      </c>
      <c r="H432" s="3" t="s">
        <v>7416</v>
      </c>
      <c r="I432" s="3" t="s">
        <v>3996</v>
      </c>
      <c r="J432" s="3" t="s">
        <v>7417</v>
      </c>
      <c r="K432" s="3" t="s">
        <v>5739</v>
      </c>
      <c r="L432" s="3" t="s">
        <v>650</v>
      </c>
      <c r="M432" s="3" t="s">
        <v>4010</v>
      </c>
      <c r="N432" s="3" t="s">
        <v>3535</v>
      </c>
      <c r="O432" s="3" t="s">
        <v>650</v>
      </c>
      <c r="P432" s="3">
        <v>0</v>
      </c>
      <c r="Q432" s="3" t="s">
        <v>4052</v>
      </c>
      <c r="R432" s="3" t="s">
        <v>1499</v>
      </c>
      <c r="S432" s="3" t="s">
        <v>650</v>
      </c>
      <c r="T432" s="3" t="s">
        <v>650</v>
      </c>
      <c r="U432" s="3" t="s">
        <v>1380</v>
      </c>
      <c r="V432" s="3" t="s">
        <v>700</v>
      </c>
      <c r="W432" s="3"/>
      <c r="X432" s="3"/>
      <c r="Y432" s="3" t="s">
        <v>2001</v>
      </c>
    </row>
    <row r="433" spans="1:25" ht="45" customHeight="1" x14ac:dyDescent="0.2">
      <c r="A433" s="3" t="s">
        <v>7418</v>
      </c>
      <c r="B433" s="3" t="s">
        <v>7419</v>
      </c>
      <c r="C433" s="3" t="s">
        <v>7354</v>
      </c>
      <c r="D433" s="3">
        <v>490</v>
      </c>
      <c r="E433" s="3" t="s">
        <v>4129</v>
      </c>
      <c r="F433" s="3" t="s">
        <v>7420</v>
      </c>
      <c r="G433" s="11" t="s">
        <v>7421</v>
      </c>
      <c r="H433" s="3" t="s">
        <v>7422</v>
      </c>
      <c r="I433" s="3" t="s">
        <v>4018</v>
      </c>
      <c r="J433" s="3" t="s">
        <v>7423</v>
      </c>
      <c r="K433" s="3" t="s">
        <v>4484</v>
      </c>
      <c r="L433" s="3" t="s">
        <v>650</v>
      </c>
      <c r="M433" s="3" t="s">
        <v>4010</v>
      </c>
      <c r="N433" s="3" t="s">
        <v>3419</v>
      </c>
      <c r="O433" s="3" t="s">
        <v>7424</v>
      </c>
      <c r="P433" s="3">
        <v>1</v>
      </c>
      <c r="Q433" s="3" t="s">
        <v>7424</v>
      </c>
      <c r="R433" s="3" t="s">
        <v>7425</v>
      </c>
      <c r="S433" s="3" t="s">
        <v>650</v>
      </c>
      <c r="T433" s="3" t="s">
        <v>650</v>
      </c>
      <c r="U433" s="3" t="s">
        <v>1380</v>
      </c>
      <c r="V433" s="3" t="s">
        <v>700</v>
      </c>
      <c r="W433" s="3"/>
      <c r="X433" s="3"/>
      <c r="Y433" s="3" t="s">
        <v>2001</v>
      </c>
    </row>
    <row r="434" spans="1:25" ht="60" customHeight="1" x14ac:dyDescent="0.2">
      <c r="A434" s="3" t="s">
        <v>7426</v>
      </c>
      <c r="B434" s="3" t="s">
        <v>7427</v>
      </c>
      <c r="C434" s="3" t="s">
        <v>7354</v>
      </c>
      <c r="D434" s="3">
        <v>534</v>
      </c>
      <c r="E434" s="3" t="s">
        <v>4129</v>
      </c>
      <c r="F434" s="3" t="s">
        <v>7428</v>
      </c>
      <c r="G434" s="11" t="s">
        <v>7429</v>
      </c>
      <c r="H434" s="3" t="s">
        <v>7430</v>
      </c>
      <c r="I434" s="3" t="s">
        <v>3996</v>
      </c>
      <c r="J434" s="3" t="s">
        <v>7431</v>
      </c>
      <c r="K434" s="3" t="s">
        <v>4028</v>
      </c>
      <c r="L434" s="3" t="s">
        <v>650</v>
      </c>
      <c r="M434" s="3" t="s">
        <v>7432</v>
      </c>
      <c r="N434" s="3" t="s">
        <v>3419</v>
      </c>
      <c r="O434" s="3" t="s">
        <v>650</v>
      </c>
      <c r="P434" s="3">
        <v>0</v>
      </c>
      <c r="Q434" s="3" t="s">
        <v>4052</v>
      </c>
      <c r="R434" s="3" t="s">
        <v>1499</v>
      </c>
      <c r="S434" s="3" t="s">
        <v>650</v>
      </c>
      <c r="T434" s="3" t="s">
        <v>650</v>
      </c>
      <c r="U434" s="3" t="s">
        <v>1380</v>
      </c>
      <c r="V434" s="3" t="s">
        <v>505</v>
      </c>
      <c r="W434" s="3"/>
      <c r="X434" s="3"/>
      <c r="Y434" s="3" t="s">
        <v>2001</v>
      </c>
    </row>
    <row r="435" spans="1:25" ht="60" customHeight="1" x14ac:dyDescent="0.2">
      <c r="A435" s="3" t="s">
        <v>7433</v>
      </c>
      <c r="B435" s="3" t="s">
        <v>7434</v>
      </c>
      <c r="C435" s="3" t="s">
        <v>7354</v>
      </c>
      <c r="D435" s="3">
        <v>562</v>
      </c>
      <c r="E435" s="3" t="s">
        <v>4129</v>
      </c>
      <c r="F435" s="3" t="s">
        <v>7435</v>
      </c>
      <c r="G435" s="11" t="s">
        <v>7436</v>
      </c>
      <c r="H435" s="3" t="s">
        <v>7437</v>
      </c>
      <c r="I435" s="3" t="s">
        <v>4018</v>
      </c>
      <c r="J435" s="3" t="s">
        <v>7438</v>
      </c>
      <c r="K435" s="3" t="s">
        <v>7377</v>
      </c>
      <c r="L435" s="3" t="s">
        <v>650</v>
      </c>
      <c r="M435" s="3" t="s">
        <v>4010</v>
      </c>
      <c r="N435" s="3" t="s">
        <v>3419</v>
      </c>
      <c r="O435" s="3" t="s">
        <v>650</v>
      </c>
      <c r="P435" s="3">
        <v>0</v>
      </c>
      <c r="Q435" s="3" t="s">
        <v>4052</v>
      </c>
      <c r="R435" s="3" t="s">
        <v>1499</v>
      </c>
      <c r="S435" s="3" t="s">
        <v>650</v>
      </c>
      <c r="T435" s="3" t="s">
        <v>650</v>
      </c>
      <c r="U435" s="3" t="s">
        <v>1380</v>
      </c>
      <c r="V435" s="3" t="s">
        <v>700</v>
      </c>
      <c r="W435" s="3"/>
      <c r="X435" s="3"/>
      <c r="Y435" s="3" t="s">
        <v>2001</v>
      </c>
    </row>
    <row r="436" spans="1:25" ht="60" customHeight="1" x14ac:dyDescent="0.2">
      <c r="A436" s="3" t="s">
        <v>7439</v>
      </c>
      <c r="B436" s="3" t="s">
        <v>7440</v>
      </c>
      <c r="C436" s="3" t="s">
        <v>7441</v>
      </c>
      <c r="D436" s="3">
        <v>102</v>
      </c>
      <c r="E436" s="3" t="s">
        <v>4003</v>
      </c>
      <c r="F436" s="3" t="s">
        <v>4110</v>
      </c>
      <c r="G436" s="11" t="s">
        <v>7442</v>
      </c>
      <c r="H436" s="3" t="s">
        <v>7443</v>
      </c>
      <c r="I436" s="3" t="s">
        <v>4290</v>
      </c>
      <c r="J436" s="3" t="s">
        <v>7444</v>
      </c>
      <c r="K436" s="3" t="s">
        <v>7445</v>
      </c>
      <c r="L436" s="3" t="s">
        <v>4020</v>
      </c>
      <c r="M436" s="3" t="s">
        <v>4056</v>
      </c>
      <c r="N436" s="3" t="s">
        <v>3535</v>
      </c>
      <c r="O436" s="3" t="s">
        <v>7446</v>
      </c>
      <c r="P436" s="3">
        <v>2</v>
      </c>
      <c r="Q436" s="3" t="s">
        <v>7446</v>
      </c>
      <c r="R436" s="3" t="s">
        <v>7447</v>
      </c>
      <c r="S436" s="3" t="s">
        <v>650</v>
      </c>
      <c r="T436" s="3" t="s">
        <v>650</v>
      </c>
      <c r="U436" s="3" t="s">
        <v>1380</v>
      </c>
      <c r="V436" s="3" t="s">
        <v>539</v>
      </c>
      <c r="W436" s="3"/>
      <c r="X436" s="3"/>
      <c r="Y436" s="3" t="s">
        <v>2001</v>
      </c>
    </row>
    <row r="437" spans="1:25" ht="60" customHeight="1" x14ac:dyDescent="0.2">
      <c r="A437" s="3" t="s">
        <v>7448</v>
      </c>
      <c r="B437" s="3" t="s">
        <v>7449</v>
      </c>
      <c r="C437" s="3" t="s">
        <v>7450</v>
      </c>
      <c r="D437" s="3">
        <v>38</v>
      </c>
      <c r="E437" s="3" t="s">
        <v>4003</v>
      </c>
      <c r="F437" s="3" t="s">
        <v>4110</v>
      </c>
      <c r="G437" s="11" t="s">
        <v>7451</v>
      </c>
      <c r="H437" s="3" t="s">
        <v>7452</v>
      </c>
      <c r="I437" s="3" t="s">
        <v>3996</v>
      </c>
      <c r="J437" s="3" t="s">
        <v>7453</v>
      </c>
      <c r="K437" s="3" t="s">
        <v>7454</v>
      </c>
      <c r="L437" s="3" t="s">
        <v>4020</v>
      </c>
      <c r="M437" s="3" t="s">
        <v>4010</v>
      </c>
      <c r="N437" s="3" t="s">
        <v>3535</v>
      </c>
      <c r="O437" s="3" t="s">
        <v>650</v>
      </c>
      <c r="P437" s="3">
        <v>0</v>
      </c>
      <c r="Q437" s="3" t="s">
        <v>4052</v>
      </c>
      <c r="R437" s="3" t="s">
        <v>1499</v>
      </c>
      <c r="S437" s="3" t="s">
        <v>650</v>
      </c>
      <c r="T437" s="3" t="s">
        <v>650</v>
      </c>
      <c r="U437" s="3" t="s">
        <v>1380</v>
      </c>
      <c r="V437" s="3" t="s">
        <v>700</v>
      </c>
      <c r="W437" s="3"/>
      <c r="X437" s="3"/>
      <c r="Y437" s="3" t="s">
        <v>2001</v>
      </c>
    </row>
    <row r="438" spans="1:25" ht="60" customHeight="1" x14ac:dyDescent="0.2">
      <c r="A438" s="3" t="s">
        <v>7455</v>
      </c>
      <c r="B438" s="3" t="s">
        <v>7456</v>
      </c>
      <c r="C438" s="3" t="s">
        <v>7450</v>
      </c>
      <c r="D438" s="3">
        <v>65</v>
      </c>
      <c r="E438" s="3" t="s">
        <v>4136</v>
      </c>
      <c r="F438" s="3" t="s">
        <v>4110</v>
      </c>
      <c r="G438" s="11" t="s">
        <v>4137</v>
      </c>
      <c r="H438" s="3" t="s">
        <v>4137</v>
      </c>
      <c r="I438" s="3" t="s">
        <v>4131</v>
      </c>
      <c r="J438" s="3" t="s">
        <v>7457</v>
      </c>
      <c r="K438" s="3" t="s">
        <v>7458</v>
      </c>
      <c r="L438" s="3" t="s">
        <v>650</v>
      </c>
      <c r="M438" s="3" t="s">
        <v>4010</v>
      </c>
      <c r="N438" s="3" t="s">
        <v>3535</v>
      </c>
      <c r="O438" s="3" t="s">
        <v>650</v>
      </c>
      <c r="P438" s="3">
        <v>0</v>
      </c>
      <c r="Q438" s="3" t="s">
        <v>4052</v>
      </c>
      <c r="R438" s="3" t="s">
        <v>1499</v>
      </c>
      <c r="S438" s="3" t="s">
        <v>650</v>
      </c>
      <c r="T438" s="3" t="s">
        <v>650</v>
      </c>
      <c r="U438" s="3" t="s">
        <v>1380</v>
      </c>
      <c r="V438" s="3" t="s">
        <v>700</v>
      </c>
      <c r="W438" s="3"/>
      <c r="X438" s="3"/>
      <c r="Y438" s="3" t="s">
        <v>2001</v>
      </c>
    </row>
    <row r="439" spans="1:25" ht="60" customHeight="1" x14ac:dyDescent="0.2">
      <c r="A439" s="3" t="s">
        <v>7459</v>
      </c>
      <c r="B439" s="3" t="s">
        <v>7460</v>
      </c>
      <c r="C439" s="3" t="s">
        <v>7461</v>
      </c>
      <c r="D439" s="3">
        <v>27</v>
      </c>
      <c r="E439" s="3" t="s">
        <v>7462</v>
      </c>
      <c r="F439" s="3" t="s">
        <v>7463</v>
      </c>
      <c r="G439" s="11" t="s">
        <v>7464</v>
      </c>
      <c r="H439" s="3" t="s">
        <v>7465</v>
      </c>
      <c r="I439" s="3" t="s">
        <v>3996</v>
      </c>
      <c r="J439" s="3" t="s">
        <v>7466</v>
      </c>
      <c r="K439" s="3" t="s">
        <v>7467</v>
      </c>
      <c r="L439" s="3" t="s">
        <v>650</v>
      </c>
      <c r="M439" s="3" t="s">
        <v>4010</v>
      </c>
      <c r="N439" s="3" t="s">
        <v>3419</v>
      </c>
      <c r="O439" s="3" t="s">
        <v>4000</v>
      </c>
      <c r="P439" s="3">
        <v>80</v>
      </c>
      <c r="Q439" s="3" t="s">
        <v>4001</v>
      </c>
      <c r="R439" s="3" t="s">
        <v>7468</v>
      </c>
      <c r="S439" s="3" t="s">
        <v>650</v>
      </c>
      <c r="T439" s="3" t="s">
        <v>650</v>
      </c>
      <c r="U439" s="3" t="s">
        <v>1380</v>
      </c>
      <c r="V439" s="3" t="s">
        <v>700</v>
      </c>
      <c r="W439" s="3"/>
      <c r="X439" s="3"/>
      <c r="Y439" s="3" t="s">
        <v>2001</v>
      </c>
    </row>
    <row r="440" spans="1:25" ht="60" customHeight="1" x14ac:dyDescent="0.2">
      <c r="A440" s="3" t="s">
        <v>7469</v>
      </c>
      <c r="B440" s="3" t="s">
        <v>7470</v>
      </c>
      <c r="C440" s="3" t="s">
        <v>7461</v>
      </c>
      <c r="D440" s="3">
        <v>55</v>
      </c>
      <c r="E440" s="3" t="s">
        <v>4136</v>
      </c>
      <c r="F440" s="3" t="s">
        <v>7471</v>
      </c>
      <c r="G440" s="11" t="s">
        <v>4130</v>
      </c>
      <c r="H440" s="3" t="s">
        <v>4130</v>
      </c>
      <c r="I440" s="3" t="s">
        <v>4131</v>
      </c>
      <c r="J440" s="3" t="s">
        <v>7472</v>
      </c>
      <c r="K440" s="3" t="s">
        <v>4425</v>
      </c>
      <c r="L440" s="3" t="s">
        <v>650</v>
      </c>
      <c r="M440" s="3" t="s">
        <v>4010</v>
      </c>
      <c r="N440" s="3" t="s">
        <v>3535</v>
      </c>
      <c r="O440" s="3" t="s">
        <v>4000</v>
      </c>
      <c r="P440" s="3">
        <v>80</v>
      </c>
      <c r="Q440" s="3" t="s">
        <v>4001</v>
      </c>
      <c r="R440" s="3" t="s">
        <v>7473</v>
      </c>
      <c r="S440" s="3" t="s">
        <v>650</v>
      </c>
      <c r="T440" s="3" t="s">
        <v>650</v>
      </c>
      <c r="U440" s="3" t="s">
        <v>1380</v>
      </c>
      <c r="V440" s="3" t="s">
        <v>700</v>
      </c>
      <c r="W440" s="3"/>
      <c r="X440" s="3"/>
      <c r="Y440" s="3" t="s">
        <v>2001</v>
      </c>
    </row>
    <row r="441" spans="1:25" ht="45" customHeight="1" x14ac:dyDescent="0.2">
      <c r="A441" s="3" t="s">
        <v>7474</v>
      </c>
      <c r="B441" s="3" t="s">
        <v>7475</v>
      </c>
      <c r="C441" s="3" t="s">
        <v>7476</v>
      </c>
      <c r="D441" s="3">
        <v>40</v>
      </c>
      <c r="E441" s="3" t="s">
        <v>4003</v>
      </c>
      <c r="F441" s="3" t="s">
        <v>7477</v>
      </c>
      <c r="G441" s="11" t="s">
        <v>7478</v>
      </c>
      <c r="H441" s="3" t="s">
        <v>7479</v>
      </c>
      <c r="I441" s="3" t="s">
        <v>3996</v>
      </c>
      <c r="J441" s="3" t="s">
        <v>7480</v>
      </c>
      <c r="K441" s="3" t="s">
        <v>7481</v>
      </c>
      <c r="L441" s="3" t="s">
        <v>4020</v>
      </c>
      <c r="M441" s="3" t="s">
        <v>4124</v>
      </c>
      <c r="N441" s="3" t="s">
        <v>3535</v>
      </c>
      <c r="O441" s="3" t="s">
        <v>650</v>
      </c>
      <c r="P441" s="3">
        <v>0</v>
      </c>
      <c r="Q441" s="3" t="s">
        <v>4052</v>
      </c>
      <c r="R441" s="3" t="s">
        <v>1499</v>
      </c>
      <c r="S441" s="3" t="s">
        <v>650</v>
      </c>
      <c r="T441" s="3" t="s">
        <v>7482</v>
      </c>
      <c r="U441" s="3" t="s">
        <v>1380</v>
      </c>
      <c r="V441" s="3" t="s">
        <v>700</v>
      </c>
      <c r="W441" s="3"/>
      <c r="X441" s="3"/>
      <c r="Y441" s="3" t="s">
        <v>2001</v>
      </c>
    </row>
    <row r="442" spans="1:25" ht="60" customHeight="1" x14ac:dyDescent="0.2">
      <c r="A442" s="3" t="s">
        <v>7483</v>
      </c>
      <c r="B442" s="3" t="s">
        <v>7484</v>
      </c>
      <c r="C442" s="3" t="s">
        <v>7485</v>
      </c>
      <c r="D442" s="3">
        <v>56</v>
      </c>
      <c r="E442" s="3" t="s">
        <v>4136</v>
      </c>
      <c r="F442" s="3" t="s">
        <v>4110</v>
      </c>
      <c r="G442" s="11" t="s">
        <v>7486</v>
      </c>
      <c r="H442" s="3" t="s">
        <v>7487</v>
      </c>
      <c r="I442" s="3" t="s">
        <v>3996</v>
      </c>
      <c r="J442" s="3" t="s">
        <v>7488</v>
      </c>
      <c r="K442" s="3" t="s">
        <v>4028</v>
      </c>
      <c r="L442" s="3" t="s">
        <v>650</v>
      </c>
      <c r="M442" s="3" t="s">
        <v>4010</v>
      </c>
      <c r="N442" s="3" t="s">
        <v>3535</v>
      </c>
      <c r="O442" s="3" t="s">
        <v>7489</v>
      </c>
      <c r="P442" s="3">
        <v>7</v>
      </c>
      <c r="Q442" s="3" t="s">
        <v>7490</v>
      </c>
      <c r="R442" s="3" t="s">
        <v>7491</v>
      </c>
      <c r="S442" s="3" t="s">
        <v>650</v>
      </c>
      <c r="T442" s="3" t="s">
        <v>650</v>
      </c>
      <c r="U442" s="3" t="s">
        <v>1380</v>
      </c>
      <c r="V442" s="3" t="s">
        <v>700</v>
      </c>
      <c r="W442" s="3"/>
      <c r="X442" s="3"/>
      <c r="Y442" s="3" t="s">
        <v>2001</v>
      </c>
    </row>
    <row r="443" spans="1:25" ht="60" customHeight="1" x14ac:dyDescent="0.2">
      <c r="A443" s="3" t="s">
        <v>7492</v>
      </c>
      <c r="B443" s="3" t="s">
        <v>7493</v>
      </c>
      <c r="C443" s="3" t="s">
        <v>7485</v>
      </c>
      <c r="D443" s="3">
        <v>88</v>
      </c>
      <c r="E443" s="3" t="s">
        <v>4136</v>
      </c>
      <c r="F443" s="3" t="s">
        <v>4110</v>
      </c>
      <c r="G443" s="11" t="s">
        <v>4137</v>
      </c>
      <c r="H443" s="3" t="s">
        <v>4137</v>
      </c>
      <c r="I443" s="3" t="s">
        <v>4131</v>
      </c>
      <c r="J443" s="3" t="s">
        <v>7494</v>
      </c>
      <c r="K443" s="3" t="s">
        <v>4028</v>
      </c>
      <c r="L443" s="3" t="s">
        <v>650</v>
      </c>
      <c r="M443" s="3" t="s">
        <v>4010</v>
      </c>
      <c r="N443" s="3" t="s">
        <v>3535</v>
      </c>
      <c r="O443" s="3" t="s">
        <v>650</v>
      </c>
      <c r="P443" s="3">
        <v>0</v>
      </c>
      <c r="Q443" s="3" t="s">
        <v>4052</v>
      </c>
      <c r="R443" s="3" t="s">
        <v>1499</v>
      </c>
      <c r="S443" s="3" t="s">
        <v>650</v>
      </c>
      <c r="T443" s="3" t="s">
        <v>650</v>
      </c>
      <c r="U443" s="3" t="s">
        <v>1380</v>
      </c>
      <c r="V443" s="3" t="s">
        <v>700</v>
      </c>
      <c r="W443" s="3"/>
      <c r="X443" s="3"/>
      <c r="Y443" s="3" t="s">
        <v>2001</v>
      </c>
    </row>
    <row r="444" spans="1:25" ht="60" customHeight="1" x14ac:dyDescent="0.2">
      <c r="A444" s="3" t="s">
        <v>7495</v>
      </c>
      <c r="B444" s="3" t="s">
        <v>7496</v>
      </c>
      <c r="C444" s="3" t="s">
        <v>7485</v>
      </c>
      <c r="D444" s="3">
        <v>104</v>
      </c>
      <c r="E444" s="3" t="s">
        <v>4129</v>
      </c>
      <c r="F444" s="3" t="s">
        <v>4110</v>
      </c>
      <c r="G444" s="11" t="s">
        <v>7497</v>
      </c>
      <c r="H444" s="3" t="s">
        <v>7498</v>
      </c>
      <c r="I444" s="3" t="s">
        <v>4290</v>
      </c>
      <c r="J444" s="3" t="s">
        <v>4164</v>
      </c>
      <c r="K444" s="3" t="s">
        <v>4484</v>
      </c>
      <c r="L444" s="3" t="s">
        <v>650</v>
      </c>
      <c r="M444" s="3" t="s">
        <v>4010</v>
      </c>
      <c r="N444" s="3" t="s">
        <v>3419</v>
      </c>
      <c r="O444" s="3" t="s">
        <v>650</v>
      </c>
      <c r="P444" s="3">
        <v>0</v>
      </c>
      <c r="Q444" s="3" t="s">
        <v>4052</v>
      </c>
      <c r="R444" s="3" t="s">
        <v>1499</v>
      </c>
      <c r="S444" s="3" t="s">
        <v>650</v>
      </c>
      <c r="T444" s="3" t="s">
        <v>650</v>
      </c>
      <c r="U444" s="3" t="s">
        <v>1380</v>
      </c>
      <c r="V444" s="3" t="s">
        <v>539</v>
      </c>
      <c r="W444" s="3"/>
      <c r="X444" s="3"/>
      <c r="Y444" s="3" t="s">
        <v>2001</v>
      </c>
    </row>
    <row r="445" spans="1:25" ht="45" customHeight="1" x14ac:dyDescent="0.2">
      <c r="A445" s="3" t="s">
        <v>7499</v>
      </c>
      <c r="B445" s="3" t="s">
        <v>7500</v>
      </c>
      <c r="C445" s="3" t="s">
        <v>7485</v>
      </c>
      <c r="D445" s="3">
        <v>133</v>
      </c>
      <c r="E445" s="3" t="s">
        <v>3992</v>
      </c>
      <c r="F445" s="3" t="s">
        <v>7501</v>
      </c>
      <c r="G445" s="11" t="s">
        <v>7502</v>
      </c>
      <c r="H445" s="3" t="s">
        <v>7503</v>
      </c>
      <c r="I445" s="3" t="s">
        <v>3996</v>
      </c>
      <c r="J445" s="3" t="s">
        <v>4164</v>
      </c>
      <c r="K445" s="3" t="s">
        <v>7504</v>
      </c>
      <c r="L445" s="3" t="s">
        <v>650</v>
      </c>
      <c r="M445" s="3" t="s">
        <v>4010</v>
      </c>
      <c r="N445" s="3" t="s">
        <v>3535</v>
      </c>
      <c r="O445" s="3" t="s">
        <v>650</v>
      </c>
      <c r="P445" s="3">
        <v>0</v>
      </c>
      <c r="Q445" s="3" t="s">
        <v>4052</v>
      </c>
      <c r="R445" s="3" t="s">
        <v>1499</v>
      </c>
      <c r="S445" s="3" t="s">
        <v>650</v>
      </c>
      <c r="T445" s="3" t="s">
        <v>7505</v>
      </c>
      <c r="U445" s="3" t="s">
        <v>1380</v>
      </c>
      <c r="V445" s="3" t="s">
        <v>700</v>
      </c>
      <c r="W445" s="3"/>
      <c r="X445" s="3"/>
      <c r="Y445" s="3" t="s">
        <v>2001</v>
      </c>
    </row>
    <row r="446" spans="1:25" ht="60" customHeight="1" x14ac:dyDescent="0.2">
      <c r="A446" s="3" t="s">
        <v>7506</v>
      </c>
      <c r="B446" s="3" t="s">
        <v>7507</v>
      </c>
      <c r="C446" s="3" t="s">
        <v>7485</v>
      </c>
      <c r="D446" s="3">
        <v>164</v>
      </c>
      <c r="E446" s="3" t="s">
        <v>4003</v>
      </c>
      <c r="F446" s="3" t="s">
        <v>4110</v>
      </c>
      <c r="G446" s="11" t="s">
        <v>7508</v>
      </c>
      <c r="H446" s="3" t="s">
        <v>7509</v>
      </c>
      <c r="I446" s="3" t="s">
        <v>3996</v>
      </c>
      <c r="J446" s="3" t="s">
        <v>4164</v>
      </c>
      <c r="K446" s="3" t="s">
        <v>4844</v>
      </c>
      <c r="L446" s="3" t="s">
        <v>7510</v>
      </c>
      <c r="M446" s="3" t="s">
        <v>4010</v>
      </c>
      <c r="N446" s="3" t="s">
        <v>3535</v>
      </c>
      <c r="O446" s="3" t="s">
        <v>7511</v>
      </c>
      <c r="P446" s="3">
        <v>1</v>
      </c>
      <c r="Q446" s="3" t="s">
        <v>7511</v>
      </c>
      <c r="R446" s="3" t="s">
        <v>7512</v>
      </c>
      <c r="S446" s="3" t="s">
        <v>650</v>
      </c>
      <c r="T446" s="3" t="s">
        <v>650</v>
      </c>
      <c r="U446" s="3" t="s">
        <v>1380</v>
      </c>
      <c r="V446" s="3" t="s">
        <v>700</v>
      </c>
      <c r="W446" s="3"/>
      <c r="X446" s="3"/>
      <c r="Y446" s="3" t="s">
        <v>2001</v>
      </c>
    </row>
    <row r="447" spans="1:25" ht="60" customHeight="1" x14ac:dyDescent="0.2">
      <c r="A447" s="3" t="s">
        <v>7513</v>
      </c>
      <c r="B447" s="3" t="s">
        <v>7514</v>
      </c>
      <c r="C447" s="3" t="s">
        <v>7485</v>
      </c>
      <c r="D447" s="3">
        <v>205</v>
      </c>
      <c r="E447" s="3" t="s">
        <v>4003</v>
      </c>
      <c r="F447" s="3" t="s">
        <v>7515</v>
      </c>
      <c r="G447" s="11" t="s">
        <v>7516</v>
      </c>
      <c r="H447" s="3" t="s">
        <v>7517</v>
      </c>
      <c r="I447" s="3" t="s">
        <v>3996</v>
      </c>
      <c r="J447" s="3" t="s">
        <v>4972</v>
      </c>
      <c r="K447" s="3" t="s">
        <v>4844</v>
      </c>
      <c r="L447" s="3" t="s">
        <v>4020</v>
      </c>
      <c r="M447" s="3" t="s">
        <v>4056</v>
      </c>
      <c r="N447" s="3" t="s">
        <v>3535</v>
      </c>
      <c r="O447" s="3" t="s">
        <v>7518</v>
      </c>
      <c r="P447" s="3">
        <v>4</v>
      </c>
      <c r="Q447" s="3" t="s">
        <v>7519</v>
      </c>
      <c r="R447" s="3" t="s">
        <v>7520</v>
      </c>
      <c r="S447" s="3" t="s">
        <v>650</v>
      </c>
      <c r="T447" s="3" t="s">
        <v>7521</v>
      </c>
      <c r="U447" s="3" t="s">
        <v>1380</v>
      </c>
      <c r="V447" s="3" t="s">
        <v>700</v>
      </c>
      <c r="W447" s="3"/>
      <c r="X447" s="3"/>
      <c r="Y447" s="3" t="s">
        <v>2001</v>
      </c>
    </row>
    <row r="448" spans="1:25" ht="60" customHeight="1" x14ac:dyDescent="0.2">
      <c r="A448" s="3" t="s">
        <v>7522</v>
      </c>
      <c r="B448" s="3" t="s">
        <v>7523</v>
      </c>
      <c r="C448" s="3" t="s">
        <v>7485</v>
      </c>
      <c r="D448" s="3">
        <v>244</v>
      </c>
      <c r="E448" s="3" t="s">
        <v>3992</v>
      </c>
      <c r="F448" s="3" t="s">
        <v>7524</v>
      </c>
      <c r="G448" s="11" t="s">
        <v>7525</v>
      </c>
      <c r="H448" s="3" t="s">
        <v>7526</v>
      </c>
      <c r="I448" s="3" t="s">
        <v>3996</v>
      </c>
      <c r="J448" s="3" t="s">
        <v>4972</v>
      </c>
      <c r="K448" s="3" t="s">
        <v>4844</v>
      </c>
      <c r="L448" s="3" t="s">
        <v>650</v>
      </c>
      <c r="M448" s="3" t="s">
        <v>4010</v>
      </c>
      <c r="N448" s="3" t="s">
        <v>3535</v>
      </c>
      <c r="O448" s="3" t="s">
        <v>7527</v>
      </c>
      <c r="P448" s="3">
        <v>3</v>
      </c>
      <c r="Q448" s="3" t="s">
        <v>7528</v>
      </c>
      <c r="R448" s="3" t="s">
        <v>7529</v>
      </c>
      <c r="S448" s="3" t="s">
        <v>650</v>
      </c>
      <c r="T448" s="3" t="s">
        <v>7530</v>
      </c>
      <c r="U448" s="3" t="s">
        <v>1380</v>
      </c>
      <c r="V448" s="3" t="s">
        <v>700</v>
      </c>
      <c r="W448" s="3"/>
      <c r="X448" s="3"/>
      <c r="Y448" s="3" t="s">
        <v>2001</v>
      </c>
    </row>
    <row r="449" spans="1:25" ht="60" customHeight="1" x14ac:dyDescent="0.2">
      <c r="A449" s="3" t="s">
        <v>7531</v>
      </c>
      <c r="B449" s="3" t="s">
        <v>7532</v>
      </c>
      <c r="C449" s="3" t="s">
        <v>7485</v>
      </c>
      <c r="D449" s="3">
        <v>284</v>
      </c>
      <c r="E449" s="3" t="s">
        <v>4003</v>
      </c>
      <c r="F449" s="3" t="s">
        <v>7533</v>
      </c>
      <c r="G449" s="11" t="s">
        <v>7534</v>
      </c>
      <c r="H449" s="3" t="s">
        <v>7535</v>
      </c>
      <c r="I449" s="3" t="s">
        <v>3996</v>
      </c>
      <c r="J449" s="3" t="s">
        <v>7536</v>
      </c>
      <c r="K449" s="3" t="s">
        <v>4844</v>
      </c>
      <c r="L449" s="3" t="s">
        <v>7537</v>
      </c>
      <c r="M449" s="3" t="s">
        <v>7538</v>
      </c>
      <c r="N449" s="3" t="s">
        <v>3535</v>
      </c>
      <c r="O449" s="3" t="s">
        <v>7527</v>
      </c>
      <c r="P449" s="3">
        <v>3</v>
      </c>
      <c r="Q449" s="3" t="s">
        <v>7528</v>
      </c>
      <c r="R449" s="3" t="s">
        <v>7539</v>
      </c>
      <c r="S449" s="3" t="s">
        <v>650</v>
      </c>
      <c r="T449" s="3" t="s">
        <v>650</v>
      </c>
      <c r="U449" s="3" t="s">
        <v>1380</v>
      </c>
      <c r="V449" s="3" t="s">
        <v>700</v>
      </c>
      <c r="W449" s="3"/>
      <c r="X449" s="3"/>
      <c r="Y449" s="3" t="s">
        <v>2001</v>
      </c>
    </row>
    <row r="450" spans="1:25" ht="60" customHeight="1" x14ac:dyDescent="0.2">
      <c r="A450" s="3" t="s">
        <v>7540</v>
      </c>
      <c r="B450" s="3" t="s">
        <v>7541</v>
      </c>
      <c r="C450" s="3" t="s">
        <v>7093</v>
      </c>
      <c r="D450" s="3">
        <v>65</v>
      </c>
      <c r="E450" s="3" t="s">
        <v>3992</v>
      </c>
      <c r="F450" s="3" t="s">
        <v>3925</v>
      </c>
      <c r="G450" s="11" t="s">
        <v>7542</v>
      </c>
      <c r="H450" s="3" t="s">
        <v>7543</v>
      </c>
      <c r="I450" s="3" t="s">
        <v>3996</v>
      </c>
      <c r="J450" s="3" t="s">
        <v>7123</v>
      </c>
      <c r="K450" s="3" t="s">
        <v>4008</v>
      </c>
      <c r="L450" s="3" t="s">
        <v>650</v>
      </c>
      <c r="M450" s="3" t="s">
        <v>4010</v>
      </c>
      <c r="N450" s="3" t="s">
        <v>3535</v>
      </c>
      <c r="O450" s="3" t="s">
        <v>4249</v>
      </c>
      <c r="P450" s="3">
        <v>1</v>
      </c>
      <c r="Q450" s="3" t="s">
        <v>4249</v>
      </c>
      <c r="R450" s="3" t="s">
        <v>7544</v>
      </c>
      <c r="S450" s="3" t="s">
        <v>650</v>
      </c>
      <c r="T450" s="3" t="s">
        <v>3923</v>
      </c>
      <c r="U450" s="3" t="s">
        <v>1380</v>
      </c>
      <c r="V450" s="3" t="s">
        <v>700</v>
      </c>
      <c r="W450" s="3"/>
      <c r="X450" s="3"/>
      <c r="Y450" s="3" t="s">
        <v>2001</v>
      </c>
    </row>
    <row r="451" spans="1:25" ht="60" customHeight="1" x14ac:dyDescent="0.2">
      <c r="A451" s="3" t="s">
        <v>7545</v>
      </c>
      <c r="B451" s="3" t="s">
        <v>7546</v>
      </c>
      <c r="C451" s="3" t="s">
        <v>7093</v>
      </c>
      <c r="D451" s="3">
        <v>102</v>
      </c>
      <c r="E451" s="3" t="s">
        <v>4136</v>
      </c>
      <c r="F451" s="3" t="s">
        <v>7547</v>
      </c>
      <c r="G451" s="11" t="s">
        <v>7548</v>
      </c>
      <c r="H451" s="3" t="s">
        <v>7548</v>
      </c>
      <c r="I451" s="3" t="s">
        <v>4018</v>
      </c>
      <c r="J451" s="3" t="s">
        <v>4972</v>
      </c>
      <c r="K451" s="3" t="s">
        <v>4844</v>
      </c>
      <c r="L451" s="3" t="s">
        <v>7549</v>
      </c>
      <c r="M451" s="3" t="s">
        <v>4010</v>
      </c>
      <c r="N451" s="3" t="s">
        <v>3535</v>
      </c>
      <c r="O451" s="3" t="s">
        <v>7550</v>
      </c>
      <c r="P451" s="3">
        <v>5</v>
      </c>
      <c r="Q451" s="3" t="s">
        <v>7551</v>
      </c>
      <c r="R451" s="3" t="s">
        <v>7552</v>
      </c>
      <c r="S451" s="3" t="s">
        <v>650</v>
      </c>
      <c r="T451" s="3" t="s">
        <v>650</v>
      </c>
      <c r="U451" s="3" t="s">
        <v>1380</v>
      </c>
      <c r="V451" s="3" t="s">
        <v>700</v>
      </c>
      <c r="W451" s="3"/>
      <c r="X451" s="3"/>
      <c r="Y451" s="3" t="s">
        <v>2001</v>
      </c>
    </row>
    <row r="452" spans="1:25" ht="60" customHeight="1" x14ac:dyDescent="0.2">
      <c r="A452" s="3" t="s">
        <v>7553</v>
      </c>
      <c r="B452" s="3" t="s">
        <v>7554</v>
      </c>
      <c r="C452" s="3" t="s">
        <v>7093</v>
      </c>
      <c r="D452" s="3">
        <v>119</v>
      </c>
      <c r="E452" s="3" t="s">
        <v>4136</v>
      </c>
      <c r="F452" s="3" t="s">
        <v>7555</v>
      </c>
      <c r="G452" s="11" t="s">
        <v>7556</v>
      </c>
      <c r="H452" s="3" t="s">
        <v>7556</v>
      </c>
      <c r="I452" s="3" t="s">
        <v>4018</v>
      </c>
      <c r="J452" s="3" t="s">
        <v>4972</v>
      </c>
      <c r="K452" s="3" t="s">
        <v>4844</v>
      </c>
      <c r="L452" s="3" t="s">
        <v>7557</v>
      </c>
      <c r="M452" s="3" t="s">
        <v>4010</v>
      </c>
      <c r="N452" s="3" t="s">
        <v>3535</v>
      </c>
      <c r="O452" s="3" t="s">
        <v>7558</v>
      </c>
      <c r="P452" s="3">
        <v>4</v>
      </c>
      <c r="Q452" s="3" t="s">
        <v>7559</v>
      </c>
      <c r="R452" s="3" t="s">
        <v>7560</v>
      </c>
      <c r="S452" s="3" t="s">
        <v>650</v>
      </c>
      <c r="T452" s="3" t="s">
        <v>650</v>
      </c>
      <c r="U452" s="3" t="s">
        <v>1380</v>
      </c>
      <c r="V452" s="3" t="s">
        <v>700</v>
      </c>
      <c r="W452" s="3"/>
      <c r="X452" s="3"/>
      <c r="Y452" s="3" t="s">
        <v>2001</v>
      </c>
    </row>
    <row r="453" spans="1:25" ht="60" customHeight="1" x14ac:dyDescent="0.2">
      <c r="A453" s="3" t="s">
        <v>629</v>
      </c>
      <c r="B453" s="3" t="s">
        <v>7561</v>
      </c>
      <c r="C453" s="3" t="s">
        <v>7297</v>
      </c>
      <c r="D453" s="3">
        <v>214</v>
      </c>
      <c r="E453" s="3" t="s">
        <v>3992</v>
      </c>
      <c r="F453" s="3" t="s">
        <v>7562</v>
      </c>
      <c r="G453" s="11" t="s">
        <v>7563</v>
      </c>
      <c r="H453" s="3" t="s">
        <v>7564</v>
      </c>
      <c r="I453" s="3" t="s">
        <v>4290</v>
      </c>
      <c r="J453" s="3" t="s">
        <v>4972</v>
      </c>
      <c r="K453" s="3" t="s">
        <v>4008</v>
      </c>
      <c r="L453" s="3" t="s">
        <v>650</v>
      </c>
      <c r="M453" s="3" t="s">
        <v>7565</v>
      </c>
      <c r="N453" s="3" t="s">
        <v>3535</v>
      </c>
      <c r="O453" s="3" t="s">
        <v>650</v>
      </c>
      <c r="P453" s="3">
        <v>0</v>
      </c>
      <c r="Q453" s="3" t="s">
        <v>4052</v>
      </c>
      <c r="R453" s="3" t="s">
        <v>1499</v>
      </c>
      <c r="S453" s="3" t="s">
        <v>650</v>
      </c>
      <c r="T453" s="3" t="s">
        <v>650</v>
      </c>
      <c r="U453" s="3" t="s">
        <v>1380</v>
      </c>
      <c r="V453" s="3" t="s">
        <v>428</v>
      </c>
      <c r="W453" s="3" t="s">
        <v>7566</v>
      </c>
      <c r="X453" s="6" t="s">
        <v>7567</v>
      </c>
      <c r="Y453" s="6" t="s">
        <v>7568</v>
      </c>
    </row>
    <row r="454" spans="1:25" ht="60" customHeight="1" x14ac:dyDescent="0.2">
      <c r="A454" s="3" t="s">
        <v>7569</v>
      </c>
      <c r="B454" s="3" t="s">
        <v>7570</v>
      </c>
      <c r="C454" s="3" t="s">
        <v>7166</v>
      </c>
      <c r="D454" s="3">
        <v>121</v>
      </c>
      <c r="E454" s="3" t="s">
        <v>4136</v>
      </c>
      <c r="F454" s="3" t="s">
        <v>4110</v>
      </c>
      <c r="G454" s="11" t="s">
        <v>7571</v>
      </c>
      <c r="H454" s="3" t="s">
        <v>7571</v>
      </c>
      <c r="I454" s="3" t="s">
        <v>3996</v>
      </c>
      <c r="J454" s="3" t="s">
        <v>7572</v>
      </c>
      <c r="K454" s="3" t="s">
        <v>4028</v>
      </c>
      <c r="L454" s="3" t="s">
        <v>650</v>
      </c>
      <c r="M454" s="3" t="s">
        <v>4010</v>
      </c>
      <c r="N454" s="3" t="s">
        <v>3535</v>
      </c>
      <c r="O454" s="3" t="s">
        <v>650</v>
      </c>
      <c r="P454" s="3">
        <v>0</v>
      </c>
      <c r="Q454" s="3" t="s">
        <v>4052</v>
      </c>
      <c r="R454" s="3" t="s">
        <v>1499</v>
      </c>
      <c r="S454" s="3" t="s">
        <v>650</v>
      </c>
      <c r="T454" s="3" t="s">
        <v>650</v>
      </c>
      <c r="U454" s="3" t="s">
        <v>1380</v>
      </c>
      <c r="V454" s="3" t="s">
        <v>700</v>
      </c>
      <c r="W454" s="3"/>
      <c r="X454" s="3"/>
      <c r="Y454" s="3" t="s">
        <v>2001</v>
      </c>
    </row>
    <row r="455" spans="1:25" ht="60" customHeight="1" x14ac:dyDescent="0.2">
      <c r="A455" s="3" t="s">
        <v>7573</v>
      </c>
      <c r="B455" s="3" t="s">
        <v>7574</v>
      </c>
      <c r="C455" s="3" t="s">
        <v>7575</v>
      </c>
      <c r="D455" s="3">
        <v>127</v>
      </c>
      <c r="E455" s="3" t="s">
        <v>4129</v>
      </c>
      <c r="F455" s="3" t="s">
        <v>7576</v>
      </c>
      <c r="G455" s="11" t="s">
        <v>7577</v>
      </c>
      <c r="H455" s="3" t="s">
        <v>7578</v>
      </c>
      <c r="I455" s="3" t="s">
        <v>4018</v>
      </c>
      <c r="J455" s="3" t="s">
        <v>7579</v>
      </c>
      <c r="K455" s="3" t="s">
        <v>7580</v>
      </c>
      <c r="L455" s="3" t="s">
        <v>650</v>
      </c>
      <c r="M455" s="3" t="s">
        <v>4010</v>
      </c>
      <c r="N455" s="3" t="s">
        <v>3419</v>
      </c>
      <c r="O455" s="3" t="s">
        <v>650</v>
      </c>
      <c r="P455" s="3">
        <v>0</v>
      </c>
      <c r="Q455" s="3" t="s">
        <v>4052</v>
      </c>
      <c r="R455" s="3" t="s">
        <v>1499</v>
      </c>
      <c r="S455" s="3" t="s">
        <v>650</v>
      </c>
      <c r="T455" s="3" t="s">
        <v>650</v>
      </c>
      <c r="U455" s="3" t="s">
        <v>1380</v>
      </c>
      <c r="V455" s="3" t="s">
        <v>700</v>
      </c>
      <c r="W455" s="3"/>
      <c r="X455" s="3"/>
      <c r="Y455" s="3" t="s">
        <v>2001</v>
      </c>
    </row>
    <row r="456" spans="1:25" ht="60" customHeight="1" x14ac:dyDescent="0.2">
      <c r="A456" s="3" t="s">
        <v>7581</v>
      </c>
      <c r="B456" s="3" t="s">
        <v>7582</v>
      </c>
      <c r="C456" s="3" t="s">
        <v>7255</v>
      </c>
      <c r="D456" s="3">
        <v>378</v>
      </c>
      <c r="E456" s="3" t="s">
        <v>4129</v>
      </c>
      <c r="F456" s="3" t="s">
        <v>4110</v>
      </c>
      <c r="G456" s="11" t="s">
        <v>7583</v>
      </c>
      <c r="H456" s="3" t="s">
        <v>7584</v>
      </c>
      <c r="I456" s="3" t="s">
        <v>3996</v>
      </c>
      <c r="J456" s="3" t="s">
        <v>7585</v>
      </c>
      <c r="K456" s="3" t="s">
        <v>7586</v>
      </c>
      <c r="L456" s="3" t="s">
        <v>650</v>
      </c>
      <c r="M456" s="3" t="s">
        <v>4010</v>
      </c>
      <c r="N456" s="3" t="s">
        <v>3419</v>
      </c>
      <c r="O456" s="3" t="s">
        <v>4249</v>
      </c>
      <c r="P456" s="3">
        <v>1</v>
      </c>
      <c r="Q456" s="3" t="s">
        <v>4249</v>
      </c>
      <c r="R456" s="3" t="s">
        <v>7587</v>
      </c>
      <c r="S456" s="3" t="s">
        <v>650</v>
      </c>
      <c r="T456" s="3" t="s">
        <v>650</v>
      </c>
      <c r="U456" s="3" t="s">
        <v>1380</v>
      </c>
      <c r="V456" s="3" t="s">
        <v>700</v>
      </c>
      <c r="W456" s="3"/>
      <c r="X456" s="3"/>
      <c r="Y456" s="3" t="s">
        <v>2001</v>
      </c>
    </row>
    <row r="457" spans="1:25" ht="60" customHeight="1" x14ac:dyDescent="0.2">
      <c r="A457" s="3" t="s">
        <v>7588</v>
      </c>
      <c r="B457" s="3" t="s">
        <v>7589</v>
      </c>
      <c r="C457" s="3" t="s">
        <v>7255</v>
      </c>
      <c r="D457" s="3">
        <v>400</v>
      </c>
      <c r="E457" s="3" t="s">
        <v>4136</v>
      </c>
      <c r="F457" s="3" t="s">
        <v>4110</v>
      </c>
      <c r="G457" s="11" t="s">
        <v>7590</v>
      </c>
      <c r="H457" s="3" t="s">
        <v>7591</v>
      </c>
      <c r="I457" s="3" t="s">
        <v>4018</v>
      </c>
      <c r="J457" s="3" t="s">
        <v>4972</v>
      </c>
      <c r="K457" s="3" t="s">
        <v>4028</v>
      </c>
      <c r="L457" s="3" t="s">
        <v>650</v>
      </c>
      <c r="M457" s="3" t="s">
        <v>7592</v>
      </c>
      <c r="N457" s="3" t="s">
        <v>3419</v>
      </c>
      <c r="O457" s="3" t="s">
        <v>650</v>
      </c>
      <c r="P457" s="3">
        <v>0</v>
      </c>
      <c r="Q457" s="3" t="s">
        <v>4052</v>
      </c>
      <c r="R457" s="3" t="s">
        <v>1499</v>
      </c>
      <c r="S457" s="3" t="s">
        <v>650</v>
      </c>
      <c r="T457" s="3" t="s">
        <v>650</v>
      </c>
      <c r="U457" s="3" t="s">
        <v>1380</v>
      </c>
      <c r="V457" s="3" t="s">
        <v>700</v>
      </c>
      <c r="W457" s="3"/>
      <c r="X457" s="3"/>
      <c r="Y457" s="3" t="s">
        <v>2001</v>
      </c>
    </row>
    <row r="458" spans="1:25" ht="60" customHeight="1" x14ac:dyDescent="0.2">
      <c r="A458" s="3" t="s">
        <v>7593</v>
      </c>
      <c r="B458" s="3" t="s">
        <v>7594</v>
      </c>
      <c r="C458" s="3" t="s">
        <v>7324</v>
      </c>
      <c r="D458" s="3">
        <v>46</v>
      </c>
      <c r="E458" s="3" t="s">
        <v>4003</v>
      </c>
      <c r="F458" s="3" t="s">
        <v>4110</v>
      </c>
      <c r="G458" s="11" t="s">
        <v>7595</v>
      </c>
      <c r="H458" s="3" t="s">
        <v>7596</v>
      </c>
      <c r="I458" s="3" t="s">
        <v>3996</v>
      </c>
      <c r="J458" s="3" t="s">
        <v>7597</v>
      </c>
      <c r="K458" s="3" t="s">
        <v>7598</v>
      </c>
      <c r="L458" s="3" t="s">
        <v>4020</v>
      </c>
      <c r="M458" s="3" t="s">
        <v>4010</v>
      </c>
      <c r="N458" s="3" t="s">
        <v>3535</v>
      </c>
      <c r="O458" s="3" t="s">
        <v>650</v>
      </c>
      <c r="P458" s="3">
        <v>0</v>
      </c>
      <c r="Q458" s="3" t="s">
        <v>4052</v>
      </c>
      <c r="R458" s="3" t="s">
        <v>1499</v>
      </c>
      <c r="S458" s="3" t="s">
        <v>650</v>
      </c>
      <c r="T458" s="3" t="s">
        <v>650</v>
      </c>
      <c r="U458" s="3" t="s">
        <v>1380</v>
      </c>
      <c r="V458" s="3" t="s">
        <v>700</v>
      </c>
      <c r="W458" s="3"/>
      <c r="X458" s="3"/>
      <c r="Y458" s="3" t="s">
        <v>2001</v>
      </c>
    </row>
    <row r="459" spans="1:25" ht="60" customHeight="1" x14ac:dyDescent="0.2">
      <c r="A459" s="3" t="s">
        <v>7599</v>
      </c>
      <c r="B459" s="3" t="s">
        <v>7600</v>
      </c>
      <c r="C459" s="3" t="s">
        <v>7354</v>
      </c>
      <c r="D459" s="3">
        <v>251</v>
      </c>
      <c r="E459" s="3" t="s">
        <v>4129</v>
      </c>
      <c r="F459" s="3" t="s">
        <v>4110</v>
      </c>
      <c r="G459" s="11" t="s">
        <v>7601</v>
      </c>
      <c r="H459" s="3" t="s">
        <v>7602</v>
      </c>
      <c r="I459" s="3" t="s">
        <v>3996</v>
      </c>
      <c r="J459" s="3" t="s">
        <v>7603</v>
      </c>
      <c r="K459" s="3" t="s">
        <v>4484</v>
      </c>
      <c r="L459" s="3" t="s">
        <v>650</v>
      </c>
      <c r="M459" s="3" t="s">
        <v>4010</v>
      </c>
      <c r="N459" s="3" t="s">
        <v>3419</v>
      </c>
      <c r="O459" s="3" t="s">
        <v>4885</v>
      </c>
      <c r="P459" s="3">
        <v>2</v>
      </c>
      <c r="Q459" s="3" t="s">
        <v>4885</v>
      </c>
      <c r="R459" s="3" t="s">
        <v>7604</v>
      </c>
      <c r="S459" s="3" t="s">
        <v>650</v>
      </c>
      <c r="T459" s="3" t="s">
        <v>650</v>
      </c>
      <c r="U459" s="3" t="s">
        <v>1380</v>
      </c>
      <c r="V459" s="3" t="s">
        <v>700</v>
      </c>
      <c r="W459" s="3"/>
      <c r="X459" s="3"/>
      <c r="Y459" s="3" t="s">
        <v>2001</v>
      </c>
    </row>
    <row r="460" spans="1:25" ht="60" customHeight="1" x14ac:dyDescent="0.2">
      <c r="A460" s="3" t="s">
        <v>7605</v>
      </c>
      <c r="B460" s="3" t="s">
        <v>7606</v>
      </c>
      <c r="C460" s="3" t="s">
        <v>7441</v>
      </c>
      <c r="D460" s="3">
        <v>52</v>
      </c>
      <c r="E460" s="3" t="s">
        <v>4136</v>
      </c>
      <c r="F460" s="3" t="s">
        <v>4110</v>
      </c>
      <c r="G460" s="11" t="s">
        <v>7607</v>
      </c>
      <c r="H460" s="3" t="s">
        <v>7608</v>
      </c>
      <c r="I460" s="3" t="s">
        <v>4290</v>
      </c>
      <c r="J460" s="3" t="s">
        <v>7609</v>
      </c>
      <c r="K460" s="3" t="s">
        <v>7610</v>
      </c>
      <c r="L460" s="3" t="s">
        <v>650</v>
      </c>
      <c r="M460" s="3" t="s">
        <v>4010</v>
      </c>
      <c r="N460" s="3" t="s">
        <v>3535</v>
      </c>
      <c r="O460" s="3" t="s">
        <v>650</v>
      </c>
      <c r="P460" s="3">
        <v>0</v>
      </c>
      <c r="Q460" s="3" t="s">
        <v>4052</v>
      </c>
      <c r="R460" s="3" t="s">
        <v>1499</v>
      </c>
      <c r="S460" s="3" t="s">
        <v>650</v>
      </c>
      <c r="T460" s="3" t="s">
        <v>650</v>
      </c>
      <c r="U460" s="3" t="s">
        <v>1380</v>
      </c>
      <c r="V460" s="3" t="s">
        <v>539</v>
      </c>
      <c r="W460" s="3"/>
      <c r="X460" s="3"/>
      <c r="Y460" s="3" t="s">
        <v>2001</v>
      </c>
    </row>
    <row r="461" spans="1:25" ht="60" customHeight="1" x14ac:dyDescent="0.2">
      <c r="A461" s="3" t="s">
        <v>7611</v>
      </c>
      <c r="B461" s="3" t="s">
        <v>7612</v>
      </c>
      <c r="C461" s="3" t="s">
        <v>7441</v>
      </c>
      <c r="D461" s="3">
        <v>71</v>
      </c>
      <c r="E461" s="3" t="s">
        <v>4136</v>
      </c>
      <c r="F461" s="3" t="s">
        <v>4110</v>
      </c>
      <c r="G461" s="11" t="s">
        <v>7613</v>
      </c>
      <c r="H461" s="3" t="s">
        <v>7614</v>
      </c>
      <c r="I461" s="3" t="s">
        <v>3996</v>
      </c>
      <c r="J461" s="3" t="s">
        <v>7615</v>
      </c>
      <c r="K461" s="3" t="s">
        <v>4028</v>
      </c>
      <c r="L461" s="3" t="s">
        <v>650</v>
      </c>
      <c r="M461" s="3" t="s">
        <v>4010</v>
      </c>
      <c r="N461" s="3" t="s">
        <v>3535</v>
      </c>
      <c r="O461" s="3" t="s">
        <v>7616</v>
      </c>
      <c r="P461" s="3">
        <v>1</v>
      </c>
      <c r="Q461" s="3" t="s">
        <v>7616</v>
      </c>
      <c r="R461" s="3" t="s">
        <v>7617</v>
      </c>
      <c r="S461" s="3" t="s">
        <v>650</v>
      </c>
      <c r="T461" s="3" t="s">
        <v>650</v>
      </c>
      <c r="U461" s="3" t="s">
        <v>1380</v>
      </c>
      <c r="V461" s="3" t="s">
        <v>700</v>
      </c>
      <c r="W461" s="3"/>
      <c r="X461" s="3"/>
      <c r="Y461" s="3" t="s">
        <v>2001</v>
      </c>
    </row>
    <row r="462" spans="1:25" ht="60" customHeight="1" x14ac:dyDescent="0.2">
      <c r="A462" s="3" t="s">
        <v>7618</v>
      </c>
      <c r="B462" s="3" t="s">
        <v>7619</v>
      </c>
      <c r="C462" s="3" t="s">
        <v>7441</v>
      </c>
      <c r="D462" s="3">
        <v>158</v>
      </c>
      <c r="E462" s="3" t="s">
        <v>4003</v>
      </c>
      <c r="F462" s="3" t="s">
        <v>4110</v>
      </c>
      <c r="G462" s="11" t="s">
        <v>7620</v>
      </c>
      <c r="H462" s="3" t="s">
        <v>7621</v>
      </c>
      <c r="I462" s="3" t="s">
        <v>3996</v>
      </c>
      <c r="J462" s="3" t="s">
        <v>4164</v>
      </c>
      <c r="K462" s="3" t="s">
        <v>4028</v>
      </c>
      <c r="L462" s="3" t="s">
        <v>7622</v>
      </c>
      <c r="M462" s="3" t="s">
        <v>4056</v>
      </c>
      <c r="N462" s="3" t="s">
        <v>3535</v>
      </c>
      <c r="O462" s="3" t="s">
        <v>7623</v>
      </c>
      <c r="P462" s="3">
        <v>11</v>
      </c>
      <c r="Q462" s="3" t="s">
        <v>7624</v>
      </c>
      <c r="R462" s="3" t="s">
        <v>7625</v>
      </c>
      <c r="S462" s="3" t="s">
        <v>650</v>
      </c>
      <c r="T462" s="3" t="s">
        <v>650</v>
      </c>
      <c r="U462" s="3" t="s">
        <v>1380</v>
      </c>
      <c r="V462" s="3" t="s">
        <v>700</v>
      </c>
      <c r="W462" s="3"/>
      <c r="X462" s="3"/>
      <c r="Y462" s="3" t="s">
        <v>2001</v>
      </c>
    </row>
    <row r="463" spans="1:25" ht="45" customHeight="1" x14ac:dyDescent="0.2">
      <c r="A463" s="3" t="s">
        <v>7626</v>
      </c>
      <c r="B463" s="3" t="s">
        <v>7627</v>
      </c>
      <c r="C463" s="3" t="s">
        <v>7628</v>
      </c>
      <c r="D463" s="3">
        <v>36</v>
      </c>
      <c r="E463" s="3" t="s">
        <v>4003</v>
      </c>
      <c r="F463" s="3" t="s">
        <v>7629</v>
      </c>
      <c r="G463" s="11" t="s">
        <v>7630</v>
      </c>
      <c r="H463" s="3" t="s">
        <v>7631</v>
      </c>
      <c r="I463" s="3" t="s">
        <v>3996</v>
      </c>
      <c r="J463" s="3" t="s">
        <v>5195</v>
      </c>
      <c r="K463" s="3" t="s">
        <v>4844</v>
      </c>
      <c r="L463" s="3" t="s">
        <v>7632</v>
      </c>
      <c r="M463" s="3" t="s">
        <v>4010</v>
      </c>
      <c r="N463" s="3" t="s">
        <v>3535</v>
      </c>
      <c r="O463" s="3" t="s">
        <v>650</v>
      </c>
      <c r="P463" s="3">
        <v>0</v>
      </c>
      <c r="Q463" s="3" t="s">
        <v>4052</v>
      </c>
      <c r="R463" s="3" t="s">
        <v>1499</v>
      </c>
      <c r="S463" s="3" t="s">
        <v>650</v>
      </c>
      <c r="T463" s="3" t="s">
        <v>650</v>
      </c>
      <c r="U463" s="3" t="s">
        <v>1380</v>
      </c>
      <c r="V463" s="3" t="s">
        <v>700</v>
      </c>
      <c r="W463" s="3"/>
      <c r="X463" s="3"/>
      <c r="Y463" s="3" t="s">
        <v>2001</v>
      </c>
    </row>
    <row r="464" spans="1:25" ht="60" customHeight="1" x14ac:dyDescent="0.2">
      <c r="A464" s="3" t="s">
        <v>7633</v>
      </c>
      <c r="B464" s="3" t="s">
        <v>7634</v>
      </c>
      <c r="C464" s="3" t="s">
        <v>7635</v>
      </c>
      <c r="D464" s="3">
        <v>70</v>
      </c>
      <c r="E464" s="3" t="s">
        <v>4136</v>
      </c>
      <c r="F464" s="3" t="s">
        <v>4110</v>
      </c>
      <c r="G464" s="11" t="s">
        <v>6148</v>
      </c>
      <c r="H464" s="3" t="s">
        <v>6148</v>
      </c>
      <c r="I464" s="3" t="s">
        <v>6149</v>
      </c>
      <c r="J464" s="3" t="s">
        <v>7636</v>
      </c>
      <c r="K464" s="3" t="s">
        <v>7637</v>
      </c>
      <c r="L464" s="3" t="s">
        <v>650</v>
      </c>
      <c r="M464" s="3" t="s">
        <v>4010</v>
      </c>
      <c r="N464" s="3" t="s">
        <v>3535</v>
      </c>
      <c r="O464" s="3" t="s">
        <v>650</v>
      </c>
      <c r="P464" s="3">
        <v>0</v>
      </c>
      <c r="Q464" s="3" t="s">
        <v>4052</v>
      </c>
      <c r="R464" s="3" t="s">
        <v>1499</v>
      </c>
      <c r="S464" s="3" t="s">
        <v>650</v>
      </c>
      <c r="T464" s="3" t="s">
        <v>650</v>
      </c>
      <c r="U464" s="3" t="s">
        <v>1380</v>
      </c>
      <c r="V464" s="3" t="s">
        <v>1069</v>
      </c>
      <c r="W464" s="3"/>
      <c r="X464" s="3"/>
      <c r="Y464" s="3" t="s">
        <v>2001</v>
      </c>
    </row>
    <row r="465" spans="1:25" ht="60" customHeight="1" x14ac:dyDescent="0.2">
      <c r="A465" s="3" t="s">
        <v>7638</v>
      </c>
      <c r="B465" s="3" t="s">
        <v>7639</v>
      </c>
      <c r="C465" s="3" t="s">
        <v>7635</v>
      </c>
      <c r="D465" s="3">
        <v>98</v>
      </c>
      <c r="E465" s="3" t="s">
        <v>4136</v>
      </c>
      <c r="F465" s="3" t="s">
        <v>4110</v>
      </c>
      <c r="G465" s="11" t="s">
        <v>7640</v>
      </c>
      <c r="H465" s="3" t="s">
        <v>7641</v>
      </c>
      <c r="I465" s="3" t="s">
        <v>3996</v>
      </c>
      <c r="J465" s="3" t="s">
        <v>7609</v>
      </c>
      <c r="K465" s="3" t="s">
        <v>4028</v>
      </c>
      <c r="L465" s="3" t="s">
        <v>650</v>
      </c>
      <c r="M465" s="3" t="s">
        <v>4010</v>
      </c>
      <c r="N465" s="3" t="s">
        <v>3535</v>
      </c>
      <c r="O465" s="3" t="s">
        <v>650</v>
      </c>
      <c r="P465" s="3">
        <v>0</v>
      </c>
      <c r="Q465" s="3" t="s">
        <v>4052</v>
      </c>
      <c r="R465" s="3" t="s">
        <v>1499</v>
      </c>
      <c r="S465" s="3" t="s">
        <v>650</v>
      </c>
      <c r="T465" s="3" t="s">
        <v>650</v>
      </c>
      <c r="U465" s="3" t="s">
        <v>1380</v>
      </c>
      <c r="V465" s="3" t="s">
        <v>1069</v>
      </c>
      <c r="W465" s="3"/>
      <c r="X465" s="3"/>
      <c r="Y465" s="3" t="s">
        <v>2001</v>
      </c>
    </row>
    <row r="466" spans="1:25" ht="60" customHeight="1" x14ac:dyDescent="0.2">
      <c r="A466" s="3" t="s">
        <v>7642</v>
      </c>
      <c r="B466" s="3" t="s">
        <v>7643</v>
      </c>
      <c r="C466" s="3" t="s">
        <v>7635</v>
      </c>
      <c r="D466" s="3">
        <v>126</v>
      </c>
      <c r="E466" s="3" t="s">
        <v>4136</v>
      </c>
      <c r="F466" s="3" t="s">
        <v>4110</v>
      </c>
      <c r="G466" s="11" t="s">
        <v>7644</v>
      </c>
      <c r="H466" s="3" t="s">
        <v>7645</v>
      </c>
      <c r="I466" s="3" t="s">
        <v>3996</v>
      </c>
      <c r="J466" s="3" t="s">
        <v>7646</v>
      </c>
      <c r="K466" s="3" t="s">
        <v>4028</v>
      </c>
      <c r="L466" s="3" t="s">
        <v>650</v>
      </c>
      <c r="M466" s="3" t="s">
        <v>4010</v>
      </c>
      <c r="N466" s="3" t="s">
        <v>3535</v>
      </c>
      <c r="O466" s="3" t="s">
        <v>7647</v>
      </c>
      <c r="P466" s="3">
        <v>1</v>
      </c>
      <c r="Q466" s="3" t="s">
        <v>7647</v>
      </c>
      <c r="R466" s="3" t="s">
        <v>7648</v>
      </c>
      <c r="S466" s="3" t="s">
        <v>650</v>
      </c>
      <c r="T466" s="3" t="s">
        <v>650</v>
      </c>
      <c r="U466" s="3" t="s">
        <v>1380</v>
      </c>
      <c r="V466" s="3" t="s">
        <v>1069</v>
      </c>
      <c r="W466" s="3"/>
      <c r="X466" s="3"/>
      <c r="Y466" s="3" t="s">
        <v>2001</v>
      </c>
    </row>
    <row r="467" spans="1:25" ht="60" customHeight="1" x14ac:dyDescent="0.2">
      <c r="A467" s="3" t="s">
        <v>7649</v>
      </c>
      <c r="B467" s="3" t="s">
        <v>7650</v>
      </c>
      <c r="C467" s="3" t="s">
        <v>7635</v>
      </c>
      <c r="D467" s="3">
        <v>155</v>
      </c>
      <c r="E467" s="3" t="s">
        <v>4136</v>
      </c>
      <c r="F467" s="3" t="s">
        <v>4110</v>
      </c>
      <c r="G467" s="11" t="s">
        <v>7651</v>
      </c>
      <c r="H467" s="3" t="s">
        <v>7652</v>
      </c>
      <c r="I467" s="3" t="s">
        <v>3996</v>
      </c>
      <c r="J467" s="3" t="s">
        <v>7585</v>
      </c>
      <c r="K467" s="3" t="s">
        <v>7653</v>
      </c>
      <c r="L467" s="3" t="s">
        <v>7654</v>
      </c>
      <c r="M467" s="3" t="s">
        <v>4010</v>
      </c>
      <c r="N467" s="3" t="s">
        <v>3535</v>
      </c>
      <c r="O467" s="3" t="s">
        <v>650</v>
      </c>
      <c r="P467" s="3">
        <v>0</v>
      </c>
      <c r="Q467" s="3" t="s">
        <v>4052</v>
      </c>
      <c r="R467" s="3" t="s">
        <v>1499</v>
      </c>
      <c r="S467" s="3" t="s">
        <v>650</v>
      </c>
      <c r="T467" s="3" t="s">
        <v>650</v>
      </c>
      <c r="U467" s="3" t="s">
        <v>1380</v>
      </c>
      <c r="V467" s="3" t="s">
        <v>1069</v>
      </c>
      <c r="W467" s="3"/>
      <c r="X467" s="3"/>
      <c r="Y467" s="3" t="s">
        <v>2001</v>
      </c>
    </row>
    <row r="468" spans="1:25" ht="45" customHeight="1" x14ac:dyDescent="0.2">
      <c r="A468" s="3" t="s">
        <v>7655</v>
      </c>
      <c r="B468" s="3" t="s">
        <v>7656</v>
      </c>
      <c r="C468" s="3" t="s">
        <v>7635</v>
      </c>
      <c r="D468" s="3">
        <v>186</v>
      </c>
      <c r="E468" s="3" t="s">
        <v>4136</v>
      </c>
      <c r="F468" s="3" t="s">
        <v>7657</v>
      </c>
      <c r="G468" s="11" t="s">
        <v>7658</v>
      </c>
      <c r="H468" s="3" t="s">
        <v>7659</v>
      </c>
      <c r="I468" s="3" t="s">
        <v>4018</v>
      </c>
      <c r="J468" s="3" t="s">
        <v>7660</v>
      </c>
      <c r="K468" s="3" t="s">
        <v>4028</v>
      </c>
      <c r="L468" s="3" t="s">
        <v>650</v>
      </c>
      <c r="M468" s="3" t="s">
        <v>4010</v>
      </c>
      <c r="N468" s="3" t="s">
        <v>3535</v>
      </c>
      <c r="O468" s="3" t="s">
        <v>650</v>
      </c>
      <c r="P468" s="3">
        <v>0</v>
      </c>
      <c r="Q468" s="3" t="s">
        <v>4052</v>
      </c>
      <c r="R468" s="3" t="s">
        <v>1499</v>
      </c>
      <c r="S468" s="3" t="s">
        <v>650</v>
      </c>
      <c r="T468" s="3" t="s">
        <v>650</v>
      </c>
      <c r="U468" s="3" t="s">
        <v>1380</v>
      </c>
      <c r="V468" s="3" t="s">
        <v>1069</v>
      </c>
      <c r="W468" s="3"/>
      <c r="X468" s="3"/>
      <c r="Y468" s="3" t="s">
        <v>2001</v>
      </c>
    </row>
    <row r="469" spans="1:25" ht="60" customHeight="1" x14ac:dyDescent="0.2">
      <c r="A469" s="3" t="s">
        <v>7661</v>
      </c>
      <c r="B469" s="3" t="s">
        <v>7662</v>
      </c>
      <c r="C469" s="3" t="s">
        <v>7635</v>
      </c>
      <c r="D469" s="3">
        <v>227</v>
      </c>
      <c r="E469" s="3" t="s">
        <v>3992</v>
      </c>
      <c r="F469" s="3" t="s">
        <v>7663</v>
      </c>
      <c r="G469" s="11" t="s">
        <v>7664</v>
      </c>
      <c r="H469" s="3" t="s">
        <v>7665</v>
      </c>
      <c r="I469" s="3" t="s">
        <v>4018</v>
      </c>
      <c r="J469" s="3" t="s">
        <v>7666</v>
      </c>
      <c r="K469" s="3" t="s">
        <v>5739</v>
      </c>
      <c r="L469" s="3" t="s">
        <v>650</v>
      </c>
      <c r="M469" s="3" t="s">
        <v>4010</v>
      </c>
      <c r="N469" s="3" t="s">
        <v>3535</v>
      </c>
      <c r="O469" s="3" t="s">
        <v>7667</v>
      </c>
      <c r="P469" s="3">
        <v>2</v>
      </c>
      <c r="Q469" s="3" t="s">
        <v>7667</v>
      </c>
      <c r="R469" s="3" t="s">
        <v>7668</v>
      </c>
      <c r="S469" s="3" t="s">
        <v>650</v>
      </c>
      <c r="T469" s="3" t="s">
        <v>650</v>
      </c>
      <c r="U469" s="3" t="s">
        <v>1380</v>
      </c>
      <c r="V469" s="3" t="s">
        <v>1069</v>
      </c>
      <c r="W469" s="3"/>
      <c r="X469" s="3"/>
      <c r="Y469" s="3" t="s">
        <v>2001</v>
      </c>
    </row>
    <row r="470" spans="1:25" ht="60" customHeight="1" x14ac:dyDescent="0.2">
      <c r="A470" s="3" t="s">
        <v>7669</v>
      </c>
      <c r="B470" s="3" t="s">
        <v>7670</v>
      </c>
      <c r="C470" s="3" t="s">
        <v>7635</v>
      </c>
      <c r="D470" s="3">
        <v>275</v>
      </c>
      <c r="E470" s="3" t="s">
        <v>4136</v>
      </c>
      <c r="F470" s="3" t="s">
        <v>7671</v>
      </c>
      <c r="G470" s="11" t="s">
        <v>7672</v>
      </c>
      <c r="H470" s="3" t="s">
        <v>7673</v>
      </c>
      <c r="I470" s="3" t="s">
        <v>3996</v>
      </c>
      <c r="J470" s="3" t="s">
        <v>7674</v>
      </c>
      <c r="K470" s="3" t="s">
        <v>7458</v>
      </c>
      <c r="L470" s="3" t="s">
        <v>650</v>
      </c>
      <c r="M470" s="3" t="s">
        <v>4010</v>
      </c>
      <c r="N470" s="3" t="s">
        <v>3535</v>
      </c>
      <c r="O470" s="3" t="s">
        <v>7675</v>
      </c>
      <c r="P470" s="3">
        <v>5</v>
      </c>
      <c r="Q470" s="3" t="s">
        <v>7676</v>
      </c>
      <c r="R470" s="3" t="s">
        <v>7677</v>
      </c>
      <c r="S470" s="3" t="s">
        <v>650</v>
      </c>
      <c r="T470" s="3" t="s">
        <v>650</v>
      </c>
      <c r="U470" s="3" t="s">
        <v>1380</v>
      </c>
      <c r="V470" s="3" t="s">
        <v>1069</v>
      </c>
      <c r="W470" s="3"/>
      <c r="X470" s="3"/>
      <c r="Y470" s="3" t="s">
        <v>2001</v>
      </c>
    </row>
    <row r="471" spans="1:25" ht="60" customHeight="1" x14ac:dyDescent="0.2">
      <c r="A471" s="3" t="s">
        <v>7678</v>
      </c>
      <c r="B471" s="3" t="s">
        <v>7679</v>
      </c>
      <c r="C471" s="3" t="s">
        <v>7635</v>
      </c>
      <c r="D471" s="3">
        <v>407</v>
      </c>
      <c r="E471" s="3" t="s">
        <v>3992</v>
      </c>
      <c r="F471" s="3" t="s">
        <v>7680</v>
      </c>
      <c r="G471" s="11" t="s">
        <v>7681</v>
      </c>
      <c r="H471" s="3" t="s">
        <v>7682</v>
      </c>
      <c r="I471" s="3" t="s">
        <v>3996</v>
      </c>
      <c r="J471" s="3" t="s">
        <v>7683</v>
      </c>
      <c r="K471" s="3" t="s">
        <v>7684</v>
      </c>
      <c r="L471" s="3" t="s">
        <v>650</v>
      </c>
      <c r="M471" s="3" t="s">
        <v>7685</v>
      </c>
      <c r="N471" s="3" t="s">
        <v>3535</v>
      </c>
      <c r="O471" s="3" t="s">
        <v>7686</v>
      </c>
      <c r="P471" s="3">
        <v>14</v>
      </c>
      <c r="Q471" s="3" t="s">
        <v>7687</v>
      </c>
      <c r="R471" s="3" t="s">
        <v>7688</v>
      </c>
      <c r="S471" s="3" t="s">
        <v>650</v>
      </c>
      <c r="T471" s="3" t="s">
        <v>650</v>
      </c>
      <c r="U471" s="3" t="s">
        <v>1380</v>
      </c>
      <c r="V471" s="3" t="s">
        <v>1069</v>
      </c>
      <c r="W471" s="3"/>
      <c r="X471" s="3"/>
      <c r="Y471" s="3" t="s">
        <v>2001</v>
      </c>
    </row>
    <row r="472" spans="1:25" ht="60" customHeight="1" x14ac:dyDescent="0.2">
      <c r="A472" s="3" t="s">
        <v>7689</v>
      </c>
      <c r="B472" s="3" t="s">
        <v>7690</v>
      </c>
      <c r="C472" s="3" t="s">
        <v>7635</v>
      </c>
      <c r="D472" s="3">
        <v>518</v>
      </c>
      <c r="E472" s="3" t="s">
        <v>4003</v>
      </c>
      <c r="F472" s="3" t="s">
        <v>7691</v>
      </c>
      <c r="G472" s="11" t="s">
        <v>7692</v>
      </c>
      <c r="H472" s="3" t="s">
        <v>7693</v>
      </c>
      <c r="I472" s="3" t="s">
        <v>3996</v>
      </c>
      <c r="J472" s="3" t="s">
        <v>7694</v>
      </c>
      <c r="K472" s="3" t="s">
        <v>4844</v>
      </c>
      <c r="L472" s="3" t="s">
        <v>4020</v>
      </c>
      <c r="M472" s="3" t="s">
        <v>4010</v>
      </c>
      <c r="N472" s="3" t="s">
        <v>3535</v>
      </c>
      <c r="O472" s="3" t="s">
        <v>650</v>
      </c>
      <c r="P472" s="3">
        <v>0</v>
      </c>
      <c r="Q472" s="3" t="s">
        <v>4052</v>
      </c>
      <c r="R472" s="3" t="s">
        <v>1499</v>
      </c>
      <c r="S472" s="3" t="s">
        <v>650</v>
      </c>
      <c r="T472" s="3" t="s">
        <v>650</v>
      </c>
      <c r="U472" s="3" t="s">
        <v>1380</v>
      </c>
      <c r="V472" s="3" t="s">
        <v>1069</v>
      </c>
      <c r="W472" s="3"/>
      <c r="X472" s="3"/>
      <c r="Y472" s="3" t="s">
        <v>2001</v>
      </c>
    </row>
    <row r="473" spans="1:25" ht="60" customHeight="1" x14ac:dyDescent="0.2">
      <c r="A473" s="3" t="s">
        <v>7695</v>
      </c>
      <c r="B473" s="3" t="s">
        <v>7696</v>
      </c>
      <c r="C473" s="3" t="s">
        <v>7697</v>
      </c>
      <c r="D473" s="3">
        <v>40</v>
      </c>
      <c r="E473" s="3" t="s">
        <v>4003</v>
      </c>
      <c r="F473" s="3" t="s">
        <v>4110</v>
      </c>
      <c r="G473" s="11" t="s">
        <v>7698</v>
      </c>
      <c r="H473" s="3" t="s">
        <v>7699</v>
      </c>
      <c r="I473" s="3" t="s">
        <v>4018</v>
      </c>
      <c r="J473" s="3" t="s">
        <v>7700</v>
      </c>
      <c r="K473" s="3" t="s">
        <v>4028</v>
      </c>
      <c r="L473" s="3" t="s">
        <v>4020</v>
      </c>
      <c r="M473" s="3" t="s">
        <v>4056</v>
      </c>
      <c r="N473" s="3" t="s">
        <v>3535</v>
      </c>
      <c r="O473" s="3" t="s">
        <v>650</v>
      </c>
      <c r="P473" s="3">
        <v>0</v>
      </c>
      <c r="Q473" s="3" t="s">
        <v>4052</v>
      </c>
      <c r="R473" s="3" t="s">
        <v>1499</v>
      </c>
      <c r="S473" s="3" t="s">
        <v>650</v>
      </c>
      <c r="T473" s="3" t="s">
        <v>650</v>
      </c>
      <c r="U473" s="3" t="s">
        <v>1380</v>
      </c>
      <c r="V473" s="3" t="s">
        <v>700</v>
      </c>
      <c r="W473" s="3"/>
      <c r="X473" s="3"/>
      <c r="Y473" s="3" t="s">
        <v>2001</v>
      </c>
    </row>
    <row r="474" spans="1:25" ht="60" customHeight="1" x14ac:dyDescent="0.2">
      <c r="A474" s="3" t="s">
        <v>7701</v>
      </c>
      <c r="B474" s="3" t="s">
        <v>7702</v>
      </c>
      <c r="C474" s="3" t="s">
        <v>7703</v>
      </c>
      <c r="D474" s="3">
        <v>174</v>
      </c>
      <c r="E474" s="3" t="s">
        <v>4003</v>
      </c>
      <c r="F474" s="3" t="s">
        <v>7704</v>
      </c>
      <c r="G474" s="11" t="s">
        <v>7705</v>
      </c>
      <c r="H474" s="3" t="s">
        <v>7706</v>
      </c>
      <c r="I474" s="3" t="s">
        <v>3996</v>
      </c>
      <c r="J474" s="3" t="s">
        <v>4164</v>
      </c>
      <c r="K474" s="3" t="s">
        <v>4028</v>
      </c>
      <c r="L474" s="3" t="s">
        <v>4020</v>
      </c>
      <c r="M474" s="3" t="s">
        <v>7707</v>
      </c>
      <c r="N474" s="3" t="s">
        <v>3535</v>
      </c>
      <c r="O474" s="3" t="s">
        <v>7708</v>
      </c>
      <c r="P474" s="3">
        <v>14</v>
      </c>
      <c r="Q474" s="3" t="s">
        <v>7709</v>
      </c>
      <c r="R474" s="3" t="s">
        <v>7710</v>
      </c>
      <c r="S474" s="3" t="s">
        <v>650</v>
      </c>
      <c r="T474" s="3" t="s">
        <v>7711</v>
      </c>
      <c r="U474" s="3" t="s">
        <v>1380</v>
      </c>
      <c r="V474" s="3" t="s">
        <v>700</v>
      </c>
      <c r="W474" s="3"/>
      <c r="X474" s="3"/>
      <c r="Y474" s="3" t="s">
        <v>2001</v>
      </c>
    </row>
    <row r="475" spans="1:25" ht="60" customHeight="1" x14ac:dyDescent="0.2">
      <c r="A475" s="3" t="s">
        <v>7712</v>
      </c>
      <c r="B475" s="3" t="s">
        <v>7713</v>
      </c>
      <c r="C475" s="3" t="s">
        <v>7703</v>
      </c>
      <c r="D475" s="3">
        <v>287</v>
      </c>
      <c r="E475" s="3" t="s">
        <v>7714</v>
      </c>
      <c r="F475" s="3" t="s">
        <v>7715</v>
      </c>
      <c r="G475" s="11" t="s">
        <v>7716</v>
      </c>
      <c r="H475" s="3" t="s">
        <v>7717</v>
      </c>
      <c r="I475" s="3" t="s">
        <v>3996</v>
      </c>
      <c r="J475" s="3" t="s">
        <v>7718</v>
      </c>
      <c r="K475" s="3" t="s">
        <v>5739</v>
      </c>
      <c r="L475" s="3" t="s">
        <v>4020</v>
      </c>
      <c r="M475" s="3" t="s">
        <v>4010</v>
      </c>
      <c r="N475" s="3" t="s">
        <v>3535</v>
      </c>
      <c r="O475" s="3" t="s">
        <v>650</v>
      </c>
      <c r="P475" s="3">
        <v>0</v>
      </c>
      <c r="Q475" s="3" t="s">
        <v>4052</v>
      </c>
      <c r="R475" s="3" t="s">
        <v>1499</v>
      </c>
      <c r="S475" s="3" t="s">
        <v>650</v>
      </c>
      <c r="T475" s="3" t="s">
        <v>650</v>
      </c>
      <c r="U475" s="3" t="s">
        <v>1380</v>
      </c>
      <c r="V475" s="3" t="s">
        <v>700</v>
      </c>
      <c r="W475" s="3"/>
      <c r="X475" s="3"/>
      <c r="Y475" s="3" t="s">
        <v>2001</v>
      </c>
    </row>
    <row r="476" spans="1:25" ht="60" customHeight="1" x14ac:dyDescent="0.2">
      <c r="A476" s="3" t="s">
        <v>7719</v>
      </c>
      <c r="B476" s="3" t="s">
        <v>7720</v>
      </c>
      <c r="C476" s="3" t="s">
        <v>7721</v>
      </c>
      <c r="D476" s="3">
        <v>113</v>
      </c>
      <c r="E476" s="3" t="s">
        <v>4003</v>
      </c>
      <c r="F476" s="3" t="s">
        <v>7722</v>
      </c>
      <c r="G476" s="11" t="s">
        <v>7723</v>
      </c>
      <c r="H476" s="3" t="s">
        <v>7724</v>
      </c>
      <c r="I476" s="3" t="s">
        <v>4065</v>
      </c>
      <c r="J476" s="3" t="s">
        <v>7725</v>
      </c>
      <c r="K476" s="3" t="s">
        <v>7726</v>
      </c>
      <c r="L476" s="3" t="s">
        <v>4020</v>
      </c>
      <c r="M476" s="3" t="s">
        <v>7727</v>
      </c>
      <c r="N476" s="3" t="s">
        <v>3535</v>
      </c>
      <c r="O476" s="3" t="s">
        <v>7728</v>
      </c>
      <c r="P476" s="3">
        <v>63</v>
      </c>
      <c r="Q476" s="3" t="s">
        <v>7729</v>
      </c>
      <c r="R476" s="3" t="s">
        <v>7730</v>
      </c>
      <c r="S476" s="3" t="s">
        <v>650</v>
      </c>
      <c r="T476" s="3" t="s">
        <v>650</v>
      </c>
      <c r="U476" s="3" t="s">
        <v>1380</v>
      </c>
      <c r="V476" s="3" t="s">
        <v>428</v>
      </c>
      <c r="W476" s="3"/>
      <c r="X476" s="3"/>
      <c r="Y476" s="3" t="s">
        <v>2001</v>
      </c>
    </row>
    <row r="477" spans="1:25" ht="60" customHeight="1" x14ac:dyDescent="0.2">
      <c r="A477" s="3" t="s">
        <v>1550</v>
      </c>
      <c r="B477" s="3" t="s">
        <v>1549</v>
      </c>
      <c r="C477" s="3" t="s">
        <v>7731</v>
      </c>
      <c r="D477" s="3">
        <v>63</v>
      </c>
      <c r="E477" s="3" t="s">
        <v>4003</v>
      </c>
      <c r="F477" s="3" t="s">
        <v>7732</v>
      </c>
      <c r="G477" s="11" t="s">
        <v>7733</v>
      </c>
      <c r="H477" s="3" t="s">
        <v>7734</v>
      </c>
      <c r="I477" s="3" t="s">
        <v>3996</v>
      </c>
      <c r="J477" s="3" t="s">
        <v>4164</v>
      </c>
      <c r="K477" s="3" t="s">
        <v>4028</v>
      </c>
      <c r="L477" s="3" t="s">
        <v>4020</v>
      </c>
      <c r="M477" s="3" t="s">
        <v>4010</v>
      </c>
      <c r="N477" s="3" t="s">
        <v>3535</v>
      </c>
      <c r="O477" s="3" t="s">
        <v>7735</v>
      </c>
      <c r="P477" s="3">
        <v>18</v>
      </c>
      <c r="Q477" s="3" t="s">
        <v>7736</v>
      </c>
      <c r="R477" s="3" t="s">
        <v>1556</v>
      </c>
      <c r="S477" s="3" t="s">
        <v>3599</v>
      </c>
      <c r="T477" s="3" t="s">
        <v>3698</v>
      </c>
      <c r="U477" s="3" t="s">
        <v>1380</v>
      </c>
      <c r="V477" s="3" t="s">
        <v>700</v>
      </c>
      <c r="W477" s="3"/>
      <c r="X477" s="3"/>
      <c r="Y477" s="3" t="s">
        <v>2001</v>
      </c>
    </row>
    <row r="478" spans="1:25" ht="60" customHeight="1" x14ac:dyDescent="0.2">
      <c r="A478" s="3" t="s">
        <v>7737</v>
      </c>
      <c r="B478" s="3" t="s">
        <v>7738</v>
      </c>
      <c r="C478" s="3" t="s">
        <v>7731</v>
      </c>
      <c r="D478" s="3">
        <v>105</v>
      </c>
      <c r="E478" s="3" t="s">
        <v>3992</v>
      </c>
      <c r="F478" s="3" t="s">
        <v>7739</v>
      </c>
      <c r="G478" s="11" t="s">
        <v>7740</v>
      </c>
      <c r="H478" s="3" t="s">
        <v>7741</v>
      </c>
      <c r="I478" s="3" t="s">
        <v>3996</v>
      </c>
      <c r="J478" s="3" t="s">
        <v>7742</v>
      </c>
      <c r="K478" s="3" t="s">
        <v>5212</v>
      </c>
      <c r="L478" s="3" t="s">
        <v>650</v>
      </c>
      <c r="M478" s="3" t="s">
        <v>4010</v>
      </c>
      <c r="N478" s="3" t="s">
        <v>3535</v>
      </c>
      <c r="O478" s="3" t="s">
        <v>5264</v>
      </c>
      <c r="P478" s="3">
        <v>1</v>
      </c>
      <c r="Q478" s="3" t="s">
        <v>5264</v>
      </c>
      <c r="R478" s="3" t="s">
        <v>7743</v>
      </c>
      <c r="S478" s="3" t="s">
        <v>650</v>
      </c>
      <c r="T478" s="3" t="s">
        <v>650</v>
      </c>
      <c r="U478" s="3" t="s">
        <v>1380</v>
      </c>
      <c r="V478" s="3" t="s">
        <v>539</v>
      </c>
      <c r="W478" s="3"/>
      <c r="X478" s="3"/>
      <c r="Y478" s="3" t="s">
        <v>2001</v>
      </c>
    </row>
    <row r="479" spans="1:25" ht="60" customHeight="1" x14ac:dyDescent="0.2">
      <c r="A479" s="3" t="s">
        <v>7744</v>
      </c>
      <c r="B479" s="3" t="s">
        <v>7745</v>
      </c>
      <c r="C479" s="3" t="s">
        <v>7731</v>
      </c>
      <c r="D479" s="3">
        <v>191</v>
      </c>
      <c r="E479" s="3" t="s">
        <v>4003</v>
      </c>
      <c r="F479" s="3" t="s">
        <v>7746</v>
      </c>
      <c r="G479" s="11" t="s">
        <v>7747</v>
      </c>
      <c r="H479" s="3" t="s">
        <v>7748</v>
      </c>
      <c r="I479" s="3" t="s">
        <v>4290</v>
      </c>
      <c r="J479" s="3" t="s">
        <v>7749</v>
      </c>
      <c r="K479" s="3" t="s">
        <v>7750</v>
      </c>
      <c r="L479" s="3" t="s">
        <v>4020</v>
      </c>
      <c r="M479" s="3" t="s">
        <v>4010</v>
      </c>
      <c r="N479" s="3" t="s">
        <v>3535</v>
      </c>
      <c r="O479" s="3" t="s">
        <v>4249</v>
      </c>
      <c r="P479" s="3">
        <v>1</v>
      </c>
      <c r="Q479" s="3" t="s">
        <v>4249</v>
      </c>
      <c r="R479" s="3" t="s">
        <v>7751</v>
      </c>
      <c r="S479" s="3" t="s">
        <v>650</v>
      </c>
      <c r="T479" s="3" t="s">
        <v>650</v>
      </c>
      <c r="U479" s="3" t="s">
        <v>1380</v>
      </c>
      <c r="V479" s="3" t="s">
        <v>539</v>
      </c>
      <c r="W479" s="3"/>
      <c r="X479" s="3"/>
      <c r="Y479" s="3" t="s">
        <v>2001</v>
      </c>
    </row>
    <row r="480" spans="1:25" ht="60" customHeight="1" x14ac:dyDescent="0.2">
      <c r="A480" s="3" t="s">
        <v>7752</v>
      </c>
      <c r="B480" s="3" t="s">
        <v>7753</v>
      </c>
      <c r="C480" s="3" t="s">
        <v>7731</v>
      </c>
      <c r="D480" s="3">
        <v>230</v>
      </c>
      <c r="E480" s="3" t="s">
        <v>3992</v>
      </c>
      <c r="F480" s="3" t="s">
        <v>7754</v>
      </c>
      <c r="G480" s="11" t="s">
        <v>7755</v>
      </c>
      <c r="H480" s="3" t="s">
        <v>7756</v>
      </c>
      <c r="I480" s="3" t="s">
        <v>3996</v>
      </c>
      <c r="J480" s="3" t="s">
        <v>7757</v>
      </c>
      <c r="K480" s="3" t="s">
        <v>7758</v>
      </c>
      <c r="L480" s="3" t="s">
        <v>650</v>
      </c>
      <c r="M480" s="3" t="s">
        <v>4010</v>
      </c>
      <c r="N480" s="3" t="s">
        <v>3535</v>
      </c>
      <c r="O480" s="3" t="s">
        <v>7759</v>
      </c>
      <c r="P480" s="3">
        <v>16</v>
      </c>
      <c r="Q480" s="3" t="s">
        <v>7760</v>
      </c>
      <c r="R480" s="3" t="s">
        <v>7761</v>
      </c>
      <c r="S480" s="3" t="s">
        <v>650</v>
      </c>
      <c r="T480" s="3" t="s">
        <v>7762</v>
      </c>
      <c r="U480" s="3" t="s">
        <v>1380</v>
      </c>
      <c r="V480" s="3" t="s">
        <v>505</v>
      </c>
      <c r="W480" s="3"/>
      <c r="X480" s="3"/>
      <c r="Y480" s="3" t="s">
        <v>2001</v>
      </c>
    </row>
    <row r="481" spans="1:25" ht="60" customHeight="1" x14ac:dyDescent="0.2">
      <c r="A481" s="3" t="s">
        <v>7763</v>
      </c>
      <c r="B481" s="3" t="s">
        <v>7764</v>
      </c>
      <c r="C481" s="3" t="s">
        <v>7731</v>
      </c>
      <c r="D481" s="3">
        <v>279</v>
      </c>
      <c r="E481" s="3" t="s">
        <v>4003</v>
      </c>
      <c r="F481" s="3" t="s">
        <v>7765</v>
      </c>
      <c r="G481" s="11" t="s">
        <v>7766</v>
      </c>
      <c r="H481" s="3" t="s">
        <v>7767</v>
      </c>
      <c r="I481" s="3" t="s">
        <v>4290</v>
      </c>
      <c r="J481" s="3" t="s">
        <v>7768</v>
      </c>
      <c r="K481" s="3" t="s">
        <v>7769</v>
      </c>
      <c r="L481" s="3" t="s">
        <v>4020</v>
      </c>
      <c r="M481" s="3" t="s">
        <v>4010</v>
      </c>
      <c r="N481" s="3" t="s">
        <v>3535</v>
      </c>
      <c r="O481" s="3" t="s">
        <v>7770</v>
      </c>
      <c r="P481" s="3">
        <v>17</v>
      </c>
      <c r="Q481" s="3" t="s">
        <v>7771</v>
      </c>
      <c r="R481" s="3" t="s">
        <v>7772</v>
      </c>
      <c r="S481" s="3" t="s">
        <v>650</v>
      </c>
      <c r="T481" s="3" t="s">
        <v>3813</v>
      </c>
      <c r="U481" s="3" t="s">
        <v>1380</v>
      </c>
      <c r="V481" s="3" t="s">
        <v>539</v>
      </c>
      <c r="W481" s="3"/>
      <c r="X481" s="3"/>
      <c r="Y481" s="3" t="s">
        <v>2001</v>
      </c>
    </row>
    <row r="482" spans="1:25" ht="60" customHeight="1" x14ac:dyDescent="0.2">
      <c r="A482" s="3" t="s">
        <v>7773</v>
      </c>
      <c r="B482" s="3" t="s">
        <v>7774</v>
      </c>
      <c r="C482" s="3" t="s">
        <v>7731</v>
      </c>
      <c r="D482" s="3">
        <v>312</v>
      </c>
      <c r="E482" s="3" t="s">
        <v>3992</v>
      </c>
      <c r="F482" s="3" t="s">
        <v>7775</v>
      </c>
      <c r="G482" s="11" t="s">
        <v>7776</v>
      </c>
      <c r="H482" s="3" t="s">
        <v>7777</v>
      </c>
      <c r="I482" s="3" t="s">
        <v>4018</v>
      </c>
      <c r="J482" s="3" t="s">
        <v>4164</v>
      </c>
      <c r="K482" s="3" t="s">
        <v>4028</v>
      </c>
      <c r="L482" s="3" t="s">
        <v>650</v>
      </c>
      <c r="M482" s="3" t="s">
        <v>4010</v>
      </c>
      <c r="N482" s="3" t="s">
        <v>3535</v>
      </c>
      <c r="O482" s="3" t="s">
        <v>650</v>
      </c>
      <c r="P482" s="3">
        <v>0</v>
      </c>
      <c r="Q482" s="3" t="s">
        <v>4052</v>
      </c>
      <c r="R482" s="3" t="s">
        <v>1499</v>
      </c>
      <c r="S482" s="3" t="s">
        <v>650</v>
      </c>
      <c r="T482" s="3" t="s">
        <v>7778</v>
      </c>
      <c r="U482" s="3" t="s">
        <v>1380</v>
      </c>
      <c r="V482" s="3" t="s">
        <v>1150</v>
      </c>
      <c r="W482" s="3"/>
      <c r="X482" s="3"/>
      <c r="Y482" s="3" t="s">
        <v>2001</v>
      </c>
    </row>
    <row r="483" spans="1:25" ht="60" customHeight="1" x14ac:dyDescent="0.2">
      <c r="A483" s="3" t="s">
        <v>7779</v>
      </c>
      <c r="B483" s="3" t="s">
        <v>7780</v>
      </c>
      <c r="C483" s="3" t="s">
        <v>7731</v>
      </c>
      <c r="D483" s="3">
        <v>369</v>
      </c>
      <c r="E483" s="3" t="s">
        <v>4003</v>
      </c>
      <c r="F483" s="3" t="s">
        <v>7781</v>
      </c>
      <c r="G483" s="11" t="s">
        <v>7782</v>
      </c>
      <c r="H483" s="3" t="s">
        <v>7783</v>
      </c>
      <c r="I483" s="3" t="s">
        <v>3996</v>
      </c>
      <c r="J483" s="3" t="s">
        <v>4164</v>
      </c>
      <c r="K483" s="3" t="s">
        <v>4028</v>
      </c>
      <c r="L483" s="3" t="s">
        <v>7784</v>
      </c>
      <c r="M483" s="3" t="s">
        <v>7785</v>
      </c>
      <c r="N483" s="3" t="s">
        <v>3535</v>
      </c>
      <c r="O483" s="3" t="s">
        <v>650</v>
      </c>
      <c r="P483" s="3">
        <v>0</v>
      </c>
      <c r="Q483" s="3" t="s">
        <v>4052</v>
      </c>
      <c r="R483" s="3" t="s">
        <v>1499</v>
      </c>
      <c r="S483" s="3" t="s">
        <v>650</v>
      </c>
      <c r="T483" s="3" t="s">
        <v>7786</v>
      </c>
      <c r="U483" s="3" t="s">
        <v>1380</v>
      </c>
      <c r="V483" s="3" t="s">
        <v>505</v>
      </c>
      <c r="W483" s="3"/>
      <c r="X483" s="3"/>
      <c r="Y483" s="3" t="s">
        <v>2001</v>
      </c>
    </row>
    <row r="484" spans="1:25" ht="60" customHeight="1" x14ac:dyDescent="0.2">
      <c r="A484" s="3" t="s">
        <v>7787</v>
      </c>
      <c r="B484" s="3" t="s">
        <v>7788</v>
      </c>
      <c r="C484" s="3" t="s">
        <v>7789</v>
      </c>
      <c r="D484" s="3">
        <v>149</v>
      </c>
      <c r="E484" s="3" t="s">
        <v>4003</v>
      </c>
      <c r="F484" s="3" t="s">
        <v>7790</v>
      </c>
      <c r="G484" s="11" t="s">
        <v>7791</v>
      </c>
      <c r="H484" s="3" t="s">
        <v>7792</v>
      </c>
      <c r="I484" s="3" t="s">
        <v>4065</v>
      </c>
      <c r="J484" s="3" t="s">
        <v>7793</v>
      </c>
      <c r="K484" s="3" t="s">
        <v>4844</v>
      </c>
      <c r="L484" s="3" t="s">
        <v>4020</v>
      </c>
      <c r="M484" s="3" t="s">
        <v>7794</v>
      </c>
      <c r="N484" s="3" t="s">
        <v>3535</v>
      </c>
      <c r="O484" s="3" t="s">
        <v>7795</v>
      </c>
      <c r="P484" s="3">
        <v>3</v>
      </c>
      <c r="Q484" s="3" t="s">
        <v>7795</v>
      </c>
      <c r="R484" s="3" t="s">
        <v>7796</v>
      </c>
      <c r="S484" s="3" t="s">
        <v>650</v>
      </c>
      <c r="T484" s="3" t="s">
        <v>7797</v>
      </c>
      <c r="U484" s="3" t="s">
        <v>1380</v>
      </c>
      <c r="V484" s="3" t="s">
        <v>428</v>
      </c>
      <c r="W484" s="3"/>
      <c r="X484" s="3"/>
      <c r="Y484" s="3" t="s">
        <v>2001</v>
      </c>
    </row>
    <row r="485" spans="1:25" ht="60" customHeight="1" x14ac:dyDescent="0.2">
      <c r="A485" s="3" t="s">
        <v>7798</v>
      </c>
      <c r="B485" s="3" t="s">
        <v>7799</v>
      </c>
      <c r="C485" s="3" t="s">
        <v>7789</v>
      </c>
      <c r="D485" s="3">
        <v>186</v>
      </c>
      <c r="E485" s="3" t="s">
        <v>3992</v>
      </c>
      <c r="F485" s="3" t="s">
        <v>7800</v>
      </c>
      <c r="G485" s="11" t="s">
        <v>7801</v>
      </c>
      <c r="H485" s="3" t="s">
        <v>7802</v>
      </c>
      <c r="I485" s="3" t="s">
        <v>3996</v>
      </c>
      <c r="J485" s="3" t="s">
        <v>7170</v>
      </c>
      <c r="K485" s="3" t="s">
        <v>7803</v>
      </c>
      <c r="L485" s="3" t="s">
        <v>650</v>
      </c>
      <c r="M485" s="3" t="s">
        <v>4010</v>
      </c>
      <c r="N485" s="3" t="s">
        <v>3535</v>
      </c>
      <c r="O485" s="3" t="s">
        <v>650</v>
      </c>
      <c r="P485" s="3">
        <v>0</v>
      </c>
      <c r="Q485" s="3" t="s">
        <v>4052</v>
      </c>
      <c r="R485" s="3" t="s">
        <v>1499</v>
      </c>
      <c r="S485" s="3" t="s">
        <v>650</v>
      </c>
      <c r="T485" s="3" t="s">
        <v>7804</v>
      </c>
      <c r="U485" s="3" t="s">
        <v>1380</v>
      </c>
      <c r="V485" s="3" t="s">
        <v>700</v>
      </c>
      <c r="W485" s="3"/>
      <c r="X485" s="3"/>
      <c r="Y485" s="3" t="s">
        <v>2001</v>
      </c>
    </row>
    <row r="486" spans="1:25" ht="60" customHeight="1" x14ac:dyDescent="0.2">
      <c r="A486" s="3" t="s">
        <v>7805</v>
      </c>
      <c r="B486" s="3" t="s">
        <v>7806</v>
      </c>
      <c r="C486" s="3" t="s">
        <v>7166</v>
      </c>
      <c r="D486" s="3">
        <v>151</v>
      </c>
      <c r="E486" s="3" t="s">
        <v>4129</v>
      </c>
      <c r="F486" s="3" t="s">
        <v>7807</v>
      </c>
      <c r="G486" s="11" t="s">
        <v>7808</v>
      </c>
      <c r="H486" s="3" t="s">
        <v>7809</v>
      </c>
      <c r="I486" s="3" t="s">
        <v>3996</v>
      </c>
      <c r="J486" s="3" t="s">
        <v>7810</v>
      </c>
      <c r="K486" s="3" t="s">
        <v>7219</v>
      </c>
      <c r="L486" s="3" t="s">
        <v>650</v>
      </c>
      <c r="M486" s="3" t="s">
        <v>4010</v>
      </c>
      <c r="N486" s="3" t="s">
        <v>3419</v>
      </c>
      <c r="O486" s="3" t="s">
        <v>7811</v>
      </c>
      <c r="P486" s="3">
        <v>6</v>
      </c>
      <c r="Q486" s="3" t="s">
        <v>7812</v>
      </c>
      <c r="R486" s="3" t="s">
        <v>7813</v>
      </c>
      <c r="S486" s="3" t="s">
        <v>650</v>
      </c>
      <c r="T486" s="3" t="s">
        <v>7814</v>
      </c>
      <c r="U486" s="3" t="s">
        <v>1380</v>
      </c>
      <c r="V486" s="3" t="s">
        <v>700</v>
      </c>
      <c r="W486" s="3"/>
      <c r="X486" s="3"/>
      <c r="Y486" s="3" t="s">
        <v>2001</v>
      </c>
    </row>
    <row r="487" spans="1:25" ht="60" customHeight="1" x14ac:dyDescent="0.2">
      <c r="A487" s="3" t="s">
        <v>7815</v>
      </c>
      <c r="B487" s="3" t="s">
        <v>7816</v>
      </c>
      <c r="C487" s="3" t="s">
        <v>7789</v>
      </c>
      <c r="D487" s="3">
        <v>426</v>
      </c>
      <c r="E487" s="3" t="s">
        <v>4003</v>
      </c>
      <c r="F487" s="3" t="s">
        <v>7817</v>
      </c>
      <c r="G487" s="11" t="s">
        <v>7818</v>
      </c>
      <c r="H487" s="3" t="s">
        <v>7819</v>
      </c>
      <c r="I487" s="3" t="s">
        <v>3996</v>
      </c>
      <c r="J487" s="3" t="s">
        <v>7170</v>
      </c>
      <c r="K487" s="3" t="s">
        <v>7820</v>
      </c>
      <c r="L487" s="3" t="s">
        <v>4020</v>
      </c>
      <c r="M487" s="3" t="s">
        <v>7821</v>
      </c>
      <c r="N487" s="3" t="s">
        <v>3535</v>
      </c>
      <c r="O487" s="3" t="s">
        <v>7822</v>
      </c>
      <c r="P487" s="3">
        <v>16</v>
      </c>
      <c r="Q487" s="3" t="s">
        <v>7823</v>
      </c>
      <c r="R487" s="3" t="s">
        <v>7824</v>
      </c>
      <c r="S487" s="3" t="s">
        <v>650</v>
      </c>
      <c r="T487" s="3" t="s">
        <v>7825</v>
      </c>
      <c r="U487" s="3" t="s">
        <v>1380</v>
      </c>
      <c r="V487" s="3" t="s">
        <v>700</v>
      </c>
      <c r="W487" s="3"/>
      <c r="X487" s="3"/>
      <c r="Y487" s="3" t="s">
        <v>2001</v>
      </c>
    </row>
    <row r="488" spans="1:25" ht="45" customHeight="1" x14ac:dyDescent="0.2">
      <c r="A488" s="3" t="s">
        <v>7826</v>
      </c>
      <c r="B488" s="3" t="s">
        <v>7827</v>
      </c>
      <c r="C488" s="3" t="s">
        <v>7789</v>
      </c>
      <c r="D488" s="3">
        <v>538</v>
      </c>
      <c r="E488" s="3" t="s">
        <v>4003</v>
      </c>
      <c r="F488" s="3" t="s">
        <v>7828</v>
      </c>
      <c r="G488" s="11" t="s">
        <v>7829</v>
      </c>
      <c r="H488" s="3" t="s">
        <v>7830</v>
      </c>
      <c r="I488" s="3" t="s">
        <v>4018</v>
      </c>
      <c r="J488" s="3" t="s">
        <v>7831</v>
      </c>
      <c r="K488" s="3" t="s">
        <v>7832</v>
      </c>
      <c r="L488" s="3" t="s">
        <v>7833</v>
      </c>
      <c r="M488" s="3" t="s">
        <v>5572</v>
      </c>
      <c r="N488" s="3" t="s">
        <v>3535</v>
      </c>
      <c r="O488" s="3" t="s">
        <v>7834</v>
      </c>
      <c r="P488" s="3">
        <v>1</v>
      </c>
      <c r="Q488" s="3" t="s">
        <v>7834</v>
      </c>
      <c r="R488" s="3" t="s">
        <v>7835</v>
      </c>
      <c r="S488" s="3" t="s">
        <v>650</v>
      </c>
      <c r="T488" s="3" t="s">
        <v>7836</v>
      </c>
      <c r="U488" s="3" t="s">
        <v>1380</v>
      </c>
      <c r="V488" s="3" t="s">
        <v>700</v>
      </c>
      <c r="W488" s="3"/>
      <c r="X488" s="3"/>
      <c r="Y488" s="3" t="s">
        <v>2001</v>
      </c>
    </row>
    <row r="489" spans="1:25" ht="60" customHeight="1" x14ac:dyDescent="0.2">
      <c r="A489" s="3" t="s">
        <v>7837</v>
      </c>
      <c r="B489" s="3" t="s">
        <v>7838</v>
      </c>
      <c r="C489" s="3" t="s">
        <v>7839</v>
      </c>
      <c r="D489" s="3">
        <v>35</v>
      </c>
      <c r="E489" s="3" t="s">
        <v>3992</v>
      </c>
      <c r="F489" s="3" t="s">
        <v>7840</v>
      </c>
      <c r="G489" s="11" t="s">
        <v>7841</v>
      </c>
      <c r="H489" s="3" t="s">
        <v>7842</v>
      </c>
      <c r="I489" s="3" t="s">
        <v>3996</v>
      </c>
      <c r="J489" s="3" t="s">
        <v>4164</v>
      </c>
      <c r="K489" s="3" t="s">
        <v>4028</v>
      </c>
      <c r="L489" s="3" t="s">
        <v>650</v>
      </c>
      <c r="M489" s="3" t="s">
        <v>4124</v>
      </c>
      <c r="N489" s="3" t="s">
        <v>3535</v>
      </c>
      <c r="O489" s="3" t="s">
        <v>650</v>
      </c>
      <c r="P489" s="3">
        <v>0</v>
      </c>
      <c r="Q489" s="3" t="s">
        <v>4052</v>
      </c>
      <c r="R489" s="3" t="s">
        <v>1499</v>
      </c>
      <c r="S489" s="3" t="s">
        <v>650</v>
      </c>
      <c r="T489" s="3" t="s">
        <v>650</v>
      </c>
      <c r="U489" s="3" t="s">
        <v>1380</v>
      </c>
      <c r="V489" s="3" t="s">
        <v>700</v>
      </c>
      <c r="W489" s="3"/>
      <c r="X489" s="3"/>
      <c r="Y489" s="6" t="s">
        <v>7843</v>
      </c>
    </row>
    <row r="490" spans="1:25" ht="60" customHeight="1" x14ac:dyDescent="0.2">
      <c r="A490" s="3" t="s">
        <v>7844</v>
      </c>
      <c r="B490" s="3" t="s">
        <v>7845</v>
      </c>
      <c r="C490" s="3" t="s">
        <v>7839</v>
      </c>
      <c r="D490" s="3">
        <v>107</v>
      </c>
      <c r="E490" s="3" t="s">
        <v>3992</v>
      </c>
      <c r="F490" s="3" t="s">
        <v>7846</v>
      </c>
      <c r="G490" s="11" t="s">
        <v>7847</v>
      </c>
      <c r="H490" s="3" t="s">
        <v>7848</v>
      </c>
      <c r="I490" s="3" t="s">
        <v>4018</v>
      </c>
      <c r="J490" s="3" t="s">
        <v>7849</v>
      </c>
      <c r="K490" s="3" t="s">
        <v>4257</v>
      </c>
      <c r="L490" s="3" t="s">
        <v>650</v>
      </c>
      <c r="M490" s="3" t="s">
        <v>4010</v>
      </c>
      <c r="N490" s="3" t="s">
        <v>3535</v>
      </c>
      <c r="O490" s="3" t="s">
        <v>650</v>
      </c>
      <c r="P490" s="3">
        <v>0</v>
      </c>
      <c r="Q490" s="3" t="s">
        <v>4052</v>
      </c>
      <c r="R490" s="3" t="s">
        <v>1499</v>
      </c>
      <c r="S490" s="3" t="s">
        <v>650</v>
      </c>
      <c r="T490" s="3" t="s">
        <v>650</v>
      </c>
      <c r="U490" s="3" t="s">
        <v>1380</v>
      </c>
      <c r="V490" s="3" t="s">
        <v>700</v>
      </c>
      <c r="W490" s="3"/>
      <c r="X490" s="3"/>
      <c r="Y490" s="3" t="s">
        <v>2001</v>
      </c>
    </row>
    <row r="491" spans="1:25" ht="60" customHeight="1" x14ac:dyDescent="0.2">
      <c r="A491" s="3" t="s">
        <v>7850</v>
      </c>
      <c r="B491" s="3" t="s">
        <v>7851</v>
      </c>
      <c r="C491" s="3" t="s">
        <v>7839</v>
      </c>
      <c r="D491" s="3">
        <v>137</v>
      </c>
      <c r="E491" s="3" t="s">
        <v>3992</v>
      </c>
      <c r="F491" s="3" t="s">
        <v>7852</v>
      </c>
      <c r="G491" s="11" t="s">
        <v>7853</v>
      </c>
      <c r="H491" s="3" t="s">
        <v>7854</v>
      </c>
      <c r="I491" s="3" t="s">
        <v>3996</v>
      </c>
      <c r="J491" s="3" t="s">
        <v>7855</v>
      </c>
      <c r="K491" s="3" t="s">
        <v>4257</v>
      </c>
      <c r="L491" s="3" t="s">
        <v>650</v>
      </c>
      <c r="M491" s="3" t="s">
        <v>4010</v>
      </c>
      <c r="N491" s="3" t="s">
        <v>3535</v>
      </c>
      <c r="O491" s="3" t="s">
        <v>650</v>
      </c>
      <c r="P491" s="3">
        <v>0</v>
      </c>
      <c r="Q491" s="3" t="s">
        <v>4052</v>
      </c>
      <c r="R491" s="3" t="s">
        <v>1499</v>
      </c>
      <c r="S491" s="3" t="s">
        <v>650</v>
      </c>
      <c r="T491" s="3" t="s">
        <v>650</v>
      </c>
      <c r="U491" s="3" t="s">
        <v>1380</v>
      </c>
      <c r="V491" s="3" t="s">
        <v>700</v>
      </c>
      <c r="W491" s="3"/>
      <c r="X491" s="3"/>
      <c r="Y491" s="3" t="s">
        <v>2001</v>
      </c>
    </row>
    <row r="492" spans="1:25" ht="60" customHeight="1" x14ac:dyDescent="0.2">
      <c r="A492" s="3" t="s">
        <v>7856</v>
      </c>
      <c r="B492" s="3" t="s">
        <v>7857</v>
      </c>
      <c r="C492" s="3" t="s">
        <v>7839</v>
      </c>
      <c r="D492" s="3">
        <v>167</v>
      </c>
      <c r="E492" s="3" t="s">
        <v>3992</v>
      </c>
      <c r="F492" s="3" t="s">
        <v>7858</v>
      </c>
      <c r="G492" s="11" t="s">
        <v>7859</v>
      </c>
      <c r="H492" s="3" t="s">
        <v>7860</v>
      </c>
      <c r="I492" s="3" t="s">
        <v>4018</v>
      </c>
      <c r="J492" s="3" t="s">
        <v>7861</v>
      </c>
      <c r="K492" s="3" t="s">
        <v>7862</v>
      </c>
      <c r="L492" s="3" t="s">
        <v>650</v>
      </c>
      <c r="M492" s="3" t="s">
        <v>4124</v>
      </c>
      <c r="N492" s="3" t="s">
        <v>3535</v>
      </c>
      <c r="O492" s="3" t="s">
        <v>7863</v>
      </c>
      <c r="P492" s="3">
        <v>3</v>
      </c>
      <c r="Q492" s="3" t="s">
        <v>7863</v>
      </c>
      <c r="R492" s="3" t="s">
        <v>7864</v>
      </c>
      <c r="S492" s="3" t="s">
        <v>650</v>
      </c>
      <c r="T492" s="3" t="s">
        <v>650</v>
      </c>
      <c r="U492" s="3" t="s">
        <v>1380</v>
      </c>
      <c r="V492" s="3" t="s">
        <v>700</v>
      </c>
      <c r="W492" s="3"/>
      <c r="X492" s="3"/>
      <c r="Y492" s="3" t="s">
        <v>2001</v>
      </c>
    </row>
    <row r="493" spans="1:25" ht="60" customHeight="1" x14ac:dyDescent="0.2">
      <c r="A493" s="3" t="s">
        <v>7865</v>
      </c>
      <c r="B493" s="3" t="s">
        <v>7866</v>
      </c>
      <c r="C493" s="3" t="s">
        <v>7867</v>
      </c>
      <c r="D493" s="3">
        <v>35</v>
      </c>
      <c r="E493" s="3" t="s">
        <v>4129</v>
      </c>
      <c r="F493" s="3" t="s">
        <v>4110</v>
      </c>
      <c r="G493" s="11" t="s">
        <v>7868</v>
      </c>
      <c r="H493" s="3" t="s">
        <v>7869</v>
      </c>
      <c r="I493" s="3" t="s">
        <v>4018</v>
      </c>
      <c r="J493" s="3" t="s">
        <v>4132</v>
      </c>
      <c r="K493" s="3" t="s">
        <v>7870</v>
      </c>
      <c r="L493" s="3" t="s">
        <v>650</v>
      </c>
      <c r="M493" s="3" t="s">
        <v>4010</v>
      </c>
      <c r="N493" s="3" t="s">
        <v>3419</v>
      </c>
      <c r="O493" s="3" t="s">
        <v>4000</v>
      </c>
      <c r="P493" s="3">
        <v>80</v>
      </c>
      <c r="Q493" s="3" t="s">
        <v>4001</v>
      </c>
      <c r="R493" s="3" t="s">
        <v>7871</v>
      </c>
      <c r="S493" s="3" t="s">
        <v>650</v>
      </c>
      <c r="T493" s="3" t="s">
        <v>650</v>
      </c>
      <c r="U493" s="3" t="s">
        <v>1380</v>
      </c>
      <c r="V493" s="3" t="s">
        <v>700</v>
      </c>
      <c r="W493" s="3"/>
      <c r="X493" s="3"/>
      <c r="Y493" s="3" t="s">
        <v>2001</v>
      </c>
    </row>
    <row r="494" spans="1:25" ht="60" customHeight="1" x14ac:dyDescent="0.2">
      <c r="A494" s="3" t="s">
        <v>7872</v>
      </c>
      <c r="B494" s="3" t="s">
        <v>7873</v>
      </c>
      <c r="C494" s="3" t="s">
        <v>7867</v>
      </c>
      <c r="D494" s="3">
        <v>54</v>
      </c>
      <c r="E494" s="3" t="s">
        <v>4136</v>
      </c>
      <c r="F494" s="3" t="s">
        <v>4110</v>
      </c>
      <c r="G494" s="11" t="s">
        <v>4137</v>
      </c>
      <c r="H494" s="3" t="s">
        <v>4137</v>
      </c>
      <c r="I494" s="3" t="s">
        <v>4131</v>
      </c>
      <c r="J494" s="3" t="s">
        <v>7874</v>
      </c>
      <c r="K494" s="3" t="s">
        <v>4425</v>
      </c>
      <c r="L494" s="3" t="s">
        <v>650</v>
      </c>
      <c r="M494" s="3" t="s">
        <v>4010</v>
      </c>
      <c r="N494" s="3" t="s">
        <v>3535</v>
      </c>
      <c r="O494" s="3" t="s">
        <v>4344</v>
      </c>
      <c r="P494" s="3">
        <v>82</v>
      </c>
      <c r="Q494" s="3" t="s">
        <v>4345</v>
      </c>
      <c r="R494" s="3" t="s">
        <v>7875</v>
      </c>
      <c r="S494" s="3" t="s">
        <v>650</v>
      </c>
      <c r="T494" s="3" t="s">
        <v>650</v>
      </c>
      <c r="U494" s="3" t="s">
        <v>1380</v>
      </c>
      <c r="V494" s="3" t="s">
        <v>700</v>
      </c>
      <c r="W494" s="3"/>
      <c r="X494" s="3"/>
      <c r="Y494" s="3" t="s">
        <v>2001</v>
      </c>
    </row>
    <row r="495" spans="1:25" ht="60" customHeight="1" x14ac:dyDescent="0.2">
      <c r="A495" s="3" t="s">
        <v>7876</v>
      </c>
      <c r="B495" s="3" t="s">
        <v>7877</v>
      </c>
      <c r="C495" s="3" t="s">
        <v>7867</v>
      </c>
      <c r="D495" s="3">
        <v>78</v>
      </c>
      <c r="E495" s="3" t="s">
        <v>4129</v>
      </c>
      <c r="F495" s="3" t="s">
        <v>7878</v>
      </c>
      <c r="G495" s="11" t="s">
        <v>7879</v>
      </c>
      <c r="H495" s="3" t="s">
        <v>7880</v>
      </c>
      <c r="I495" s="3" t="s">
        <v>4018</v>
      </c>
      <c r="J495" s="3" t="s">
        <v>4132</v>
      </c>
      <c r="K495" s="3" t="s">
        <v>7881</v>
      </c>
      <c r="L495" s="3" t="s">
        <v>650</v>
      </c>
      <c r="M495" s="3" t="s">
        <v>4010</v>
      </c>
      <c r="N495" s="3" t="s">
        <v>3419</v>
      </c>
      <c r="O495" s="3" t="s">
        <v>7882</v>
      </c>
      <c r="P495" s="3">
        <v>85</v>
      </c>
      <c r="Q495" s="3" t="s">
        <v>7883</v>
      </c>
      <c r="R495" s="3" t="s">
        <v>7884</v>
      </c>
      <c r="S495" s="3" t="s">
        <v>650</v>
      </c>
      <c r="T495" s="3" t="s">
        <v>650</v>
      </c>
      <c r="U495" s="3" t="s">
        <v>1380</v>
      </c>
      <c r="V495" s="3" t="s">
        <v>700</v>
      </c>
      <c r="W495" s="3"/>
      <c r="X495" s="3"/>
      <c r="Y495" s="3" t="s">
        <v>2001</v>
      </c>
    </row>
    <row r="496" spans="1:25" ht="60" customHeight="1" x14ac:dyDescent="0.2">
      <c r="A496" s="3" t="s">
        <v>7885</v>
      </c>
      <c r="B496" s="3" t="s">
        <v>7886</v>
      </c>
      <c r="C496" s="3" t="s">
        <v>7887</v>
      </c>
      <c r="D496" s="3">
        <v>48</v>
      </c>
      <c r="E496" s="3" t="s">
        <v>4003</v>
      </c>
      <c r="F496" s="3" t="s">
        <v>7888</v>
      </c>
      <c r="G496" s="11" t="s">
        <v>7889</v>
      </c>
      <c r="H496" s="3" t="s">
        <v>7890</v>
      </c>
      <c r="I496" s="3" t="s">
        <v>3996</v>
      </c>
      <c r="J496" s="3" t="s">
        <v>7891</v>
      </c>
      <c r="K496" s="3" t="s">
        <v>7892</v>
      </c>
      <c r="L496" s="3" t="s">
        <v>7893</v>
      </c>
      <c r="M496" s="3" t="s">
        <v>4010</v>
      </c>
      <c r="N496" s="3" t="s">
        <v>3535</v>
      </c>
      <c r="O496" s="3" t="s">
        <v>7894</v>
      </c>
      <c r="P496" s="3">
        <v>4</v>
      </c>
      <c r="Q496" s="3" t="s">
        <v>7895</v>
      </c>
      <c r="R496" s="3" t="s">
        <v>7896</v>
      </c>
      <c r="S496" s="3" t="s">
        <v>650</v>
      </c>
      <c r="T496" s="3" t="s">
        <v>7897</v>
      </c>
      <c r="U496" s="3" t="s">
        <v>1380</v>
      </c>
      <c r="V496" s="3" t="s">
        <v>700</v>
      </c>
      <c r="W496" s="3"/>
      <c r="X496" s="3"/>
      <c r="Y496" s="3" t="s">
        <v>2001</v>
      </c>
    </row>
    <row r="497" spans="1:25" ht="45" customHeight="1" x14ac:dyDescent="0.2">
      <c r="A497" s="3" t="s">
        <v>7898</v>
      </c>
      <c r="B497" s="3" t="s">
        <v>7899</v>
      </c>
      <c r="C497" s="3" t="s">
        <v>7887</v>
      </c>
      <c r="D497" s="3">
        <v>79</v>
      </c>
      <c r="E497" s="3" t="s">
        <v>4003</v>
      </c>
      <c r="F497" s="3" t="s">
        <v>7900</v>
      </c>
      <c r="G497" s="11" t="s">
        <v>7901</v>
      </c>
      <c r="H497" s="3" t="s">
        <v>7902</v>
      </c>
      <c r="I497" s="3" t="s">
        <v>4290</v>
      </c>
      <c r="J497" s="3" t="s">
        <v>7903</v>
      </c>
      <c r="K497" s="3" t="s">
        <v>7904</v>
      </c>
      <c r="L497" s="3" t="s">
        <v>7905</v>
      </c>
      <c r="M497" s="3" t="s">
        <v>4010</v>
      </c>
      <c r="N497" s="3" t="s">
        <v>3535</v>
      </c>
      <c r="O497" s="3" t="s">
        <v>650</v>
      </c>
      <c r="P497" s="3">
        <v>0</v>
      </c>
      <c r="Q497" s="3" t="s">
        <v>4052</v>
      </c>
      <c r="R497" s="3" t="s">
        <v>1499</v>
      </c>
      <c r="S497" s="3" t="s">
        <v>650</v>
      </c>
      <c r="T497" s="3" t="s">
        <v>650</v>
      </c>
      <c r="U497" s="3" t="s">
        <v>1380</v>
      </c>
      <c r="V497" s="3" t="s">
        <v>539</v>
      </c>
      <c r="W497" s="3"/>
      <c r="X497" s="3"/>
      <c r="Y497" s="3" t="s">
        <v>2001</v>
      </c>
    </row>
    <row r="498" spans="1:25" ht="60" customHeight="1" x14ac:dyDescent="0.2">
      <c r="A498" s="3" t="s">
        <v>7906</v>
      </c>
      <c r="B498" s="3" t="s">
        <v>7907</v>
      </c>
      <c r="C498" s="3" t="s">
        <v>7908</v>
      </c>
      <c r="D498" s="3">
        <v>55</v>
      </c>
      <c r="E498" s="3" t="s">
        <v>4003</v>
      </c>
      <c r="F498" s="3" t="s">
        <v>7909</v>
      </c>
      <c r="G498" s="11" t="s">
        <v>4608</v>
      </c>
      <c r="H498" s="3" t="s">
        <v>4609</v>
      </c>
      <c r="I498" s="3" t="s">
        <v>4018</v>
      </c>
      <c r="J498" s="3" t="s">
        <v>4331</v>
      </c>
      <c r="K498" s="3" t="s">
        <v>7910</v>
      </c>
      <c r="L498" s="3" t="s">
        <v>4020</v>
      </c>
      <c r="M498" s="3" t="s">
        <v>4010</v>
      </c>
      <c r="N498" s="3" t="s">
        <v>3535</v>
      </c>
      <c r="O498" s="3" t="s">
        <v>7911</v>
      </c>
      <c r="P498" s="3">
        <v>81</v>
      </c>
      <c r="Q498" s="3" t="s">
        <v>7912</v>
      </c>
      <c r="R498" s="3" t="s">
        <v>7913</v>
      </c>
      <c r="S498" s="3" t="s">
        <v>650</v>
      </c>
      <c r="T498" s="3" t="s">
        <v>650</v>
      </c>
      <c r="U498" s="3" t="s">
        <v>1380</v>
      </c>
      <c r="V498" s="3" t="s">
        <v>700</v>
      </c>
      <c r="W498" s="3"/>
      <c r="X498" s="3"/>
      <c r="Y498" s="3" t="s">
        <v>2001</v>
      </c>
    </row>
    <row r="499" spans="1:25" ht="60" customHeight="1" x14ac:dyDescent="0.2">
      <c r="A499" s="3" t="s">
        <v>7914</v>
      </c>
      <c r="B499" s="3" t="s">
        <v>7915</v>
      </c>
      <c r="C499" s="3" t="s">
        <v>7916</v>
      </c>
      <c r="D499" s="3">
        <v>42</v>
      </c>
      <c r="E499" s="3" t="s">
        <v>4003</v>
      </c>
      <c r="F499" s="3" t="s">
        <v>7917</v>
      </c>
      <c r="G499" s="11" t="s">
        <v>4919</v>
      </c>
      <c r="H499" s="3" t="s">
        <v>4920</v>
      </c>
      <c r="I499" s="3" t="s">
        <v>4018</v>
      </c>
      <c r="J499" s="3" t="s">
        <v>4007</v>
      </c>
      <c r="K499" s="3" t="s">
        <v>4008</v>
      </c>
      <c r="L499" s="3" t="s">
        <v>4009</v>
      </c>
      <c r="M499" s="3" t="s">
        <v>4010</v>
      </c>
      <c r="N499" s="3" t="s">
        <v>3535</v>
      </c>
      <c r="O499" s="3" t="s">
        <v>7918</v>
      </c>
      <c r="P499" s="3">
        <v>53</v>
      </c>
      <c r="Q499" s="3" t="s">
        <v>7919</v>
      </c>
      <c r="R499" s="3" t="s">
        <v>7920</v>
      </c>
      <c r="S499" s="3" t="s">
        <v>650</v>
      </c>
      <c r="T499" s="3" t="s">
        <v>650</v>
      </c>
      <c r="U499" s="3" t="s">
        <v>1380</v>
      </c>
      <c r="V499" s="3" t="s">
        <v>505</v>
      </c>
      <c r="W499" s="3"/>
      <c r="X499" s="3"/>
      <c r="Y499" s="3" t="s">
        <v>2001</v>
      </c>
    </row>
    <row r="500" spans="1:25" ht="60" customHeight="1" x14ac:dyDescent="0.2">
      <c r="A500" s="3" t="s">
        <v>7921</v>
      </c>
      <c r="B500" s="3" t="s">
        <v>7922</v>
      </c>
      <c r="C500" s="3" t="s">
        <v>7916</v>
      </c>
      <c r="D500" s="3">
        <v>71</v>
      </c>
      <c r="E500" s="3" t="s">
        <v>4003</v>
      </c>
      <c r="F500" s="3" t="s">
        <v>7923</v>
      </c>
      <c r="G500" s="11" t="s">
        <v>7924</v>
      </c>
      <c r="H500" s="3" t="s">
        <v>7925</v>
      </c>
      <c r="I500" s="3" t="s">
        <v>4018</v>
      </c>
      <c r="J500" s="3" t="s">
        <v>7926</v>
      </c>
      <c r="K500" s="3" t="s">
        <v>4028</v>
      </c>
      <c r="L500" s="3" t="s">
        <v>6622</v>
      </c>
      <c r="M500" s="3" t="s">
        <v>4010</v>
      </c>
      <c r="N500" s="3" t="s">
        <v>3535</v>
      </c>
      <c r="O500" s="3" t="s">
        <v>7927</v>
      </c>
      <c r="P500" s="3">
        <v>59</v>
      </c>
      <c r="Q500" s="3" t="s">
        <v>7928</v>
      </c>
      <c r="R500" s="3" t="s">
        <v>7929</v>
      </c>
      <c r="S500" s="3" t="s">
        <v>650</v>
      </c>
      <c r="T500" s="3" t="s">
        <v>650</v>
      </c>
      <c r="U500" s="3" t="s">
        <v>1380</v>
      </c>
      <c r="V500" s="3" t="s">
        <v>505</v>
      </c>
      <c r="W500" s="3"/>
      <c r="X500" s="3"/>
      <c r="Y500" s="3" t="s">
        <v>2001</v>
      </c>
    </row>
    <row r="501" spans="1:25" ht="60" customHeight="1" x14ac:dyDescent="0.2">
      <c r="A501" s="3" t="s">
        <v>7930</v>
      </c>
      <c r="B501" s="3" t="s">
        <v>7931</v>
      </c>
      <c r="C501" s="3" t="s">
        <v>7916</v>
      </c>
      <c r="D501" s="3">
        <v>95</v>
      </c>
      <c r="E501" s="3" t="s">
        <v>4003</v>
      </c>
      <c r="F501" s="3" t="s">
        <v>7932</v>
      </c>
      <c r="G501" s="11" t="s">
        <v>7933</v>
      </c>
      <c r="H501" s="3" t="s">
        <v>7934</v>
      </c>
      <c r="I501" s="3" t="s">
        <v>4018</v>
      </c>
      <c r="J501" s="3" t="s">
        <v>7926</v>
      </c>
      <c r="K501" s="3" t="s">
        <v>4008</v>
      </c>
      <c r="L501" s="3" t="s">
        <v>7935</v>
      </c>
      <c r="M501" s="3" t="s">
        <v>4010</v>
      </c>
      <c r="N501" s="3" t="s">
        <v>3535</v>
      </c>
      <c r="O501" s="3" t="s">
        <v>7936</v>
      </c>
      <c r="P501" s="3">
        <v>60</v>
      </c>
      <c r="Q501" s="3" t="s">
        <v>7937</v>
      </c>
      <c r="R501" s="3" t="s">
        <v>7938</v>
      </c>
      <c r="S501" s="3" t="s">
        <v>650</v>
      </c>
      <c r="T501" s="3" t="s">
        <v>650</v>
      </c>
      <c r="U501" s="3" t="s">
        <v>1380</v>
      </c>
      <c r="V501" s="3" t="s">
        <v>505</v>
      </c>
      <c r="W501" s="3"/>
      <c r="X501" s="3"/>
      <c r="Y501" s="3" t="s">
        <v>2001</v>
      </c>
    </row>
    <row r="502" spans="1:25" ht="60" customHeight="1" x14ac:dyDescent="0.2">
      <c r="A502" s="3" t="s">
        <v>7939</v>
      </c>
      <c r="B502" s="3" t="s">
        <v>7940</v>
      </c>
      <c r="C502" s="3" t="s">
        <v>7941</v>
      </c>
      <c r="D502" s="3">
        <v>65</v>
      </c>
      <c r="E502" s="3" t="s">
        <v>3992</v>
      </c>
      <c r="F502" s="3" t="s">
        <v>7942</v>
      </c>
      <c r="G502" s="11" t="s">
        <v>7943</v>
      </c>
      <c r="H502" s="3" t="s">
        <v>7944</v>
      </c>
      <c r="I502" s="3" t="s">
        <v>3996</v>
      </c>
      <c r="J502" s="3" t="s">
        <v>5510</v>
      </c>
      <c r="K502" s="3" t="s">
        <v>4008</v>
      </c>
      <c r="L502" s="3" t="s">
        <v>650</v>
      </c>
      <c r="M502" s="3" t="s">
        <v>4021</v>
      </c>
      <c r="N502" s="3" t="s">
        <v>3535</v>
      </c>
      <c r="O502" s="3" t="s">
        <v>7945</v>
      </c>
      <c r="P502" s="3">
        <v>58</v>
      </c>
      <c r="Q502" s="3" t="s">
        <v>7946</v>
      </c>
      <c r="R502" s="3" t="s">
        <v>7947</v>
      </c>
      <c r="S502" s="3" t="s">
        <v>650</v>
      </c>
      <c r="T502" s="3" t="s">
        <v>650</v>
      </c>
      <c r="U502" s="3" t="s">
        <v>1380</v>
      </c>
      <c r="V502" s="3" t="s">
        <v>539</v>
      </c>
      <c r="W502" s="3"/>
      <c r="X502" s="3"/>
      <c r="Y502" s="3" t="s">
        <v>2001</v>
      </c>
    </row>
    <row r="503" spans="1:25" ht="60" customHeight="1" x14ac:dyDescent="0.2">
      <c r="A503" s="3" t="s">
        <v>7948</v>
      </c>
      <c r="B503" s="3" t="s">
        <v>7949</v>
      </c>
      <c r="C503" s="3" t="s">
        <v>7941</v>
      </c>
      <c r="D503" s="3">
        <v>124</v>
      </c>
      <c r="E503" s="3" t="s">
        <v>4003</v>
      </c>
      <c r="F503" s="3" t="s">
        <v>7950</v>
      </c>
      <c r="G503" s="11" t="s">
        <v>7951</v>
      </c>
      <c r="H503" s="3" t="s">
        <v>7952</v>
      </c>
      <c r="I503" s="3" t="s">
        <v>4018</v>
      </c>
      <c r="J503" s="3" t="s">
        <v>4164</v>
      </c>
      <c r="K503" s="3" t="s">
        <v>4028</v>
      </c>
      <c r="L503" s="3" t="s">
        <v>4020</v>
      </c>
      <c r="M503" s="3" t="s">
        <v>7953</v>
      </c>
      <c r="N503" s="3" t="s">
        <v>3535</v>
      </c>
      <c r="O503" s="3" t="s">
        <v>7954</v>
      </c>
      <c r="P503" s="3">
        <v>175</v>
      </c>
      <c r="Q503" s="3" t="s">
        <v>7955</v>
      </c>
      <c r="R503" s="3" t="s">
        <v>7956</v>
      </c>
      <c r="S503" s="3" t="s">
        <v>650</v>
      </c>
      <c r="T503" s="3" t="s">
        <v>650</v>
      </c>
      <c r="U503" s="3" t="s">
        <v>1380</v>
      </c>
      <c r="V503" s="3" t="s">
        <v>700</v>
      </c>
      <c r="W503" s="3"/>
      <c r="X503" s="3"/>
      <c r="Y503" s="3" t="s">
        <v>2001</v>
      </c>
    </row>
    <row r="504" spans="1:25" ht="60" customHeight="1" x14ac:dyDescent="0.2">
      <c r="A504" s="3" t="s">
        <v>7957</v>
      </c>
      <c r="B504" s="3" t="s">
        <v>7958</v>
      </c>
      <c r="C504" s="3" t="s">
        <v>7941</v>
      </c>
      <c r="D504" s="3">
        <v>198</v>
      </c>
      <c r="E504" s="3" t="s">
        <v>4129</v>
      </c>
      <c r="F504" s="3" t="s">
        <v>7959</v>
      </c>
      <c r="G504" s="11" t="s">
        <v>7960</v>
      </c>
      <c r="H504" s="3" t="s">
        <v>7961</v>
      </c>
      <c r="I504" s="3" t="s">
        <v>3996</v>
      </c>
      <c r="J504" s="3" t="s">
        <v>7962</v>
      </c>
      <c r="K504" s="3" t="s">
        <v>7963</v>
      </c>
      <c r="L504" s="3" t="s">
        <v>650</v>
      </c>
      <c r="M504" s="3" t="s">
        <v>4010</v>
      </c>
      <c r="N504" s="3" t="s">
        <v>3419</v>
      </c>
      <c r="O504" s="3" t="s">
        <v>7964</v>
      </c>
      <c r="P504" s="3">
        <v>176</v>
      </c>
      <c r="Q504" s="3" t="s">
        <v>7965</v>
      </c>
      <c r="R504" s="3" t="s">
        <v>7966</v>
      </c>
      <c r="S504" s="3" t="s">
        <v>650</v>
      </c>
      <c r="T504" s="3" t="s">
        <v>650</v>
      </c>
      <c r="U504" s="3" t="s">
        <v>1380</v>
      </c>
      <c r="V504" s="3" t="s">
        <v>700</v>
      </c>
      <c r="W504" s="3"/>
      <c r="X504" s="3"/>
      <c r="Y504" s="3" t="s">
        <v>2001</v>
      </c>
    </row>
    <row r="505" spans="1:25" ht="60" customHeight="1" x14ac:dyDescent="0.2">
      <c r="A505" s="3" t="s">
        <v>7967</v>
      </c>
      <c r="B505" s="3" t="s">
        <v>7968</v>
      </c>
      <c r="C505" s="3" t="s">
        <v>7941</v>
      </c>
      <c r="D505" s="3">
        <v>226</v>
      </c>
      <c r="E505" s="3" t="s">
        <v>4003</v>
      </c>
      <c r="F505" s="3" t="s">
        <v>7969</v>
      </c>
      <c r="G505" s="11" t="s">
        <v>7970</v>
      </c>
      <c r="H505" s="3" t="s">
        <v>7971</v>
      </c>
      <c r="I505" s="3" t="s">
        <v>4018</v>
      </c>
      <c r="J505" s="3" t="s">
        <v>4164</v>
      </c>
      <c r="K505" s="3" t="s">
        <v>4028</v>
      </c>
      <c r="L505" s="3" t="s">
        <v>4020</v>
      </c>
      <c r="M505" s="3" t="s">
        <v>4010</v>
      </c>
      <c r="N505" s="3" t="s">
        <v>3535</v>
      </c>
      <c r="O505" s="3" t="s">
        <v>7972</v>
      </c>
      <c r="P505" s="3">
        <v>80</v>
      </c>
      <c r="Q505" s="3" t="s">
        <v>7973</v>
      </c>
      <c r="R505" s="3" t="s">
        <v>7974</v>
      </c>
      <c r="S505" s="3" t="s">
        <v>650</v>
      </c>
      <c r="T505" s="3" t="s">
        <v>7975</v>
      </c>
      <c r="U505" s="3" t="s">
        <v>1380</v>
      </c>
      <c r="V505" s="3" t="s">
        <v>700</v>
      </c>
      <c r="W505" s="3"/>
      <c r="X505" s="3"/>
      <c r="Y505" s="3" t="s">
        <v>2001</v>
      </c>
    </row>
    <row r="506" spans="1:25" ht="45" customHeight="1" x14ac:dyDescent="0.2">
      <c r="A506" s="3" t="s">
        <v>7976</v>
      </c>
      <c r="B506" s="3" t="s">
        <v>7977</v>
      </c>
      <c r="C506" s="3" t="s">
        <v>7978</v>
      </c>
      <c r="D506" s="3">
        <v>54</v>
      </c>
      <c r="E506" s="3" t="s">
        <v>4003</v>
      </c>
      <c r="F506" s="3" t="s">
        <v>7979</v>
      </c>
      <c r="G506" s="11" t="s">
        <v>7980</v>
      </c>
      <c r="H506" s="3" t="s">
        <v>7981</v>
      </c>
      <c r="I506" s="3" t="s">
        <v>4018</v>
      </c>
      <c r="J506" s="3" t="s">
        <v>4164</v>
      </c>
      <c r="K506" s="3" t="s">
        <v>7982</v>
      </c>
      <c r="L506" s="3" t="s">
        <v>4020</v>
      </c>
      <c r="M506" s="3" t="s">
        <v>4010</v>
      </c>
      <c r="N506" s="3" t="s">
        <v>3535</v>
      </c>
      <c r="O506" s="3" t="s">
        <v>7983</v>
      </c>
      <c r="P506" s="3">
        <v>1</v>
      </c>
      <c r="Q506" s="3" t="s">
        <v>7983</v>
      </c>
      <c r="R506" s="3" t="s">
        <v>7984</v>
      </c>
      <c r="S506" s="3" t="s">
        <v>650</v>
      </c>
      <c r="T506" s="3" t="s">
        <v>650</v>
      </c>
      <c r="U506" s="3" t="s">
        <v>1380</v>
      </c>
      <c r="V506" s="3" t="s">
        <v>700</v>
      </c>
      <c r="W506" s="3"/>
      <c r="X506" s="3"/>
      <c r="Y506" s="3" t="s">
        <v>2001</v>
      </c>
    </row>
    <row r="507" spans="1:25" ht="60" customHeight="1" x14ac:dyDescent="0.2">
      <c r="A507" s="3" t="s">
        <v>7985</v>
      </c>
      <c r="B507" s="3" t="s">
        <v>7986</v>
      </c>
      <c r="C507" s="3" t="s">
        <v>7978</v>
      </c>
      <c r="D507" s="3">
        <v>87</v>
      </c>
      <c r="E507" s="3" t="s">
        <v>4003</v>
      </c>
      <c r="F507" s="3" t="s">
        <v>7987</v>
      </c>
      <c r="G507" s="11" t="s">
        <v>7988</v>
      </c>
      <c r="H507" s="3" t="s">
        <v>7989</v>
      </c>
      <c r="I507" s="3" t="s">
        <v>4018</v>
      </c>
      <c r="J507" s="3" t="s">
        <v>7990</v>
      </c>
      <c r="K507" s="3" t="s">
        <v>7982</v>
      </c>
      <c r="L507" s="3" t="s">
        <v>4020</v>
      </c>
      <c r="M507" s="3" t="s">
        <v>4010</v>
      </c>
      <c r="N507" s="3" t="s">
        <v>3535</v>
      </c>
      <c r="O507" s="3" t="s">
        <v>7983</v>
      </c>
      <c r="P507" s="3">
        <v>1</v>
      </c>
      <c r="Q507" s="3" t="s">
        <v>7983</v>
      </c>
      <c r="R507" s="3" t="s">
        <v>7991</v>
      </c>
      <c r="S507" s="3" t="s">
        <v>650</v>
      </c>
      <c r="T507" s="3" t="s">
        <v>650</v>
      </c>
      <c r="U507" s="3" t="s">
        <v>1380</v>
      </c>
      <c r="V507" s="3" t="s">
        <v>700</v>
      </c>
      <c r="W507" s="3"/>
      <c r="X507" s="3"/>
      <c r="Y507" s="3" t="s">
        <v>2001</v>
      </c>
    </row>
    <row r="508" spans="1:25" ht="60" customHeight="1" x14ac:dyDescent="0.2">
      <c r="A508" s="3" t="s">
        <v>7992</v>
      </c>
      <c r="B508" s="3" t="s">
        <v>7993</v>
      </c>
      <c r="C508" s="3" t="s">
        <v>7994</v>
      </c>
      <c r="D508" s="3">
        <v>57</v>
      </c>
      <c r="E508" s="3" t="s">
        <v>4136</v>
      </c>
      <c r="F508" s="3" t="s">
        <v>7995</v>
      </c>
      <c r="G508" s="11" t="s">
        <v>7996</v>
      </c>
      <c r="H508" s="3" t="s">
        <v>7997</v>
      </c>
      <c r="I508" s="3" t="s">
        <v>3996</v>
      </c>
      <c r="J508" s="3" t="s">
        <v>4164</v>
      </c>
      <c r="K508" s="3" t="s">
        <v>7458</v>
      </c>
      <c r="L508" s="3" t="s">
        <v>650</v>
      </c>
      <c r="M508" s="3" t="s">
        <v>4010</v>
      </c>
      <c r="N508" s="3" t="s">
        <v>3535</v>
      </c>
      <c r="O508" s="3" t="s">
        <v>7998</v>
      </c>
      <c r="P508" s="3">
        <v>3</v>
      </c>
      <c r="Q508" s="3" t="s">
        <v>7998</v>
      </c>
      <c r="R508" s="3" t="s">
        <v>7999</v>
      </c>
      <c r="S508" s="3" t="s">
        <v>650</v>
      </c>
      <c r="T508" s="3" t="s">
        <v>650</v>
      </c>
      <c r="U508" s="3" t="s">
        <v>1380</v>
      </c>
      <c r="V508" s="3" t="s">
        <v>700</v>
      </c>
      <c r="W508" s="3"/>
      <c r="X508" s="3"/>
      <c r="Y508" s="3" t="s">
        <v>2001</v>
      </c>
    </row>
    <row r="509" spans="1:25" ht="30" customHeight="1" x14ac:dyDescent="0.2">
      <c r="A509" s="3" t="s">
        <v>8000</v>
      </c>
      <c r="B509" s="3" t="s">
        <v>8001</v>
      </c>
      <c r="C509" s="3" t="s">
        <v>7994</v>
      </c>
      <c r="D509" s="3">
        <v>126</v>
      </c>
      <c r="E509" s="3" t="s">
        <v>4136</v>
      </c>
      <c r="F509" s="3" t="s">
        <v>8002</v>
      </c>
      <c r="G509" s="11" t="s">
        <v>4137</v>
      </c>
      <c r="H509" s="3" t="s">
        <v>4137</v>
      </c>
      <c r="I509" s="3" t="s">
        <v>4131</v>
      </c>
      <c r="J509" s="3" t="s">
        <v>8003</v>
      </c>
      <c r="K509" s="3" t="s">
        <v>7458</v>
      </c>
      <c r="L509" s="3" t="s">
        <v>650</v>
      </c>
      <c r="M509" s="3" t="s">
        <v>4010</v>
      </c>
      <c r="N509" s="3" t="s">
        <v>3535</v>
      </c>
      <c r="O509" s="3" t="s">
        <v>650</v>
      </c>
      <c r="P509" s="3">
        <v>0</v>
      </c>
      <c r="Q509" s="3" t="s">
        <v>4052</v>
      </c>
      <c r="R509" s="3" t="s">
        <v>1499</v>
      </c>
      <c r="S509" s="3" t="s">
        <v>650</v>
      </c>
      <c r="T509" s="3" t="s">
        <v>650</v>
      </c>
      <c r="U509" s="3" t="s">
        <v>1380</v>
      </c>
      <c r="V509" s="3" t="s">
        <v>700</v>
      </c>
      <c r="W509" s="3"/>
      <c r="X509" s="3"/>
      <c r="Y509" s="3" t="s">
        <v>2001</v>
      </c>
    </row>
    <row r="510" spans="1:25" ht="30" customHeight="1" x14ac:dyDescent="0.2">
      <c r="A510" s="3" t="s">
        <v>8004</v>
      </c>
      <c r="B510" s="3" t="s">
        <v>8005</v>
      </c>
      <c r="C510" s="3" t="s">
        <v>7994</v>
      </c>
      <c r="D510" s="3">
        <v>154</v>
      </c>
      <c r="E510" s="3" t="s">
        <v>4136</v>
      </c>
      <c r="F510" s="3" t="s">
        <v>8006</v>
      </c>
      <c r="G510" s="11" t="s">
        <v>4137</v>
      </c>
      <c r="H510" s="3" t="s">
        <v>4137</v>
      </c>
      <c r="I510" s="3" t="s">
        <v>4131</v>
      </c>
      <c r="J510" s="3" t="s">
        <v>8007</v>
      </c>
      <c r="K510" s="3" t="s">
        <v>7458</v>
      </c>
      <c r="L510" s="3" t="s">
        <v>650</v>
      </c>
      <c r="M510" s="3" t="s">
        <v>4010</v>
      </c>
      <c r="N510" s="3" t="s">
        <v>3535</v>
      </c>
      <c r="O510" s="3" t="s">
        <v>650</v>
      </c>
      <c r="P510" s="3">
        <v>0</v>
      </c>
      <c r="Q510" s="3" t="s">
        <v>4052</v>
      </c>
      <c r="R510" s="3" t="s">
        <v>1499</v>
      </c>
      <c r="S510" s="3" t="s">
        <v>650</v>
      </c>
      <c r="T510" s="3" t="s">
        <v>650</v>
      </c>
      <c r="U510" s="3" t="s">
        <v>1380</v>
      </c>
      <c r="V510" s="3" t="s">
        <v>700</v>
      </c>
      <c r="W510" s="3"/>
      <c r="X510" s="3"/>
      <c r="Y510" s="3" t="s">
        <v>2001</v>
      </c>
    </row>
    <row r="511" spans="1:25" ht="45" customHeight="1" x14ac:dyDescent="0.2">
      <c r="A511" s="3" t="s">
        <v>8008</v>
      </c>
      <c r="B511" s="3" t="s">
        <v>8009</v>
      </c>
      <c r="C511" s="3" t="s">
        <v>7994</v>
      </c>
      <c r="D511" s="3">
        <v>180</v>
      </c>
      <c r="E511" s="3" t="s">
        <v>4129</v>
      </c>
      <c r="F511" s="3" t="s">
        <v>8010</v>
      </c>
      <c r="G511" s="11" t="s">
        <v>8011</v>
      </c>
      <c r="H511" s="3" t="s">
        <v>8012</v>
      </c>
      <c r="I511" s="3" t="s">
        <v>4018</v>
      </c>
      <c r="J511" s="3" t="s">
        <v>4164</v>
      </c>
      <c r="K511" s="3" t="s">
        <v>4484</v>
      </c>
      <c r="L511" s="3" t="s">
        <v>650</v>
      </c>
      <c r="M511" s="3" t="s">
        <v>4010</v>
      </c>
      <c r="N511" s="3" t="s">
        <v>3419</v>
      </c>
      <c r="O511" s="3" t="s">
        <v>650</v>
      </c>
      <c r="P511" s="3">
        <v>0</v>
      </c>
      <c r="Q511" s="3" t="s">
        <v>4052</v>
      </c>
      <c r="R511" s="3" t="s">
        <v>1499</v>
      </c>
      <c r="S511" s="3" t="s">
        <v>650</v>
      </c>
      <c r="T511" s="3" t="s">
        <v>650</v>
      </c>
      <c r="U511" s="3" t="s">
        <v>1380</v>
      </c>
      <c r="V511" s="3" t="s">
        <v>700</v>
      </c>
      <c r="W511" s="3"/>
      <c r="X511" s="3"/>
      <c r="Y511" s="3" t="s">
        <v>2001</v>
      </c>
    </row>
    <row r="512" spans="1:25" ht="60" customHeight="1" x14ac:dyDescent="0.2">
      <c r="A512" s="3" t="s">
        <v>8013</v>
      </c>
      <c r="B512" s="3" t="s">
        <v>8014</v>
      </c>
      <c r="C512" s="3" t="s">
        <v>7994</v>
      </c>
      <c r="D512" s="3">
        <v>202</v>
      </c>
      <c r="E512" s="3" t="s">
        <v>4003</v>
      </c>
      <c r="F512" s="3" t="s">
        <v>8015</v>
      </c>
      <c r="G512" s="11" t="s">
        <v>8011</v>
      </c>
      <c r="H512" s="3" t="s">
        <v>8012</v>
      </c>
      <c r="I512" s="3" t="s">
        <v>4018</v>
      </c>
      <c r="J512" s="3" t="s">
        <v>4164</v>
      </c>
      <c r="K512" s="3" t="s">
        <v>4484</v>
      </c>
      <c r="L512" s="3" t="s">
        <v>8016</v>
      </c>
      <c r="M512" s="3" t="s">
        <v>4010</v>
      </c>
      <c r="N512" s="3" t="s">
        <v>3535</v>
      </c>
      <c r="O512" s="3" t="s">
        <v>8017</v>
      </c>
      <c r="P512" s="3">
        <v>1</v>
      </c>
      <c r="Q512" s="3" t="s">
        <v>8017</v>
      </c>
      <c r="R512" s="3" t="s">
        <v>8018</v>
      </c>
      <c r="S512" s="3" t="s">
        <v>650</v>
      </c>
      <c r="T512" s="3" t="s">
        <v>650</v>
      </c>
      <c r="U512" s="3" t="s">
        <v>1380</v>
      </c>
      <c r="V512" s="3" t="s">
        <v>700</v>
      </c>
      <c r="W512" s="3"/>
      <c r="X512" s="3"/>
      <c r="Y512" s="3" t="s">
        <v>2001</v>
      </c>
    </row>
    <row r="513" spans="1:25" ht="45" customHeight="1" x14ac:dyDescent="0.2">
      <c r="A513" s="3" t="s">
        <v>8019</v>
      </c>
      <c r="B513" s="3" t="s">
        <v>8020</v>
      </c>
      <c r="C513" s="3" t="s">
        <v>8021</v>
      </c>
      <c r="D513" s="3">
        <v>122</v>
      </c>
      <c r="E513" s="3" t="s">
        <v>4136</v>
      </c>
      <c r="F513" s="3" t="s">
        <v>8022</v>
      </c>
      <c r="G513" s="11" t="s">
        <v>8023</v>
      </c>
      <c r="H513" s="3" t="s">
        <v>8024</v>
      </c>
      <c r="I513" s="3" t="s">
        <v>4290</v>
      </c>
      <c r="J513" s="3" t="s">
        <v>8025</v>
      </c>
      <c r="K513" s="3" t="s">
        <v>4425</v>
      </c>
      <c r="L513" s="3" t="s">
        <v>650</v>
      </c>
      <c r="M513" s="3" t="s">
        <v>4010</v>
      </c>
      <c r="N513" s="3" t="s">
        <v>3535</v>
      </c>
      <c r="O513" s="3" t="s">
        <v>8026</v>
      </c>
      <c r="P513" s="3">
        <v>1</v>
      </c>
      <c r="Q513" s="3" t="s">
        <v>8026</v>
      </c>
      <c r="R513" s="3" t="s">
        <v>8027</v>
      </c>
      <c r="S513" s="3" t="s">
        <v>650</v>
      </c>
      <c r="T513" s="3" t="s">
        <v>650</v>
      </c>
      <c r="U513" s="3" t="s">
        <v>1380</v>
      </c>
      <c r="V513" s="3" t="s">
        <v>539</v>
      </c>
      <c r="W513" s="3"/>
      <c r="X513" s="3"/>
      <c r="Y513" s="3" t="s">
        <v>2001</v>
      </c>
    </row>
    <row r="514" spans="1:25" ht="45" customHeight="1" x14ac:dyDescent="0.2">
      <c r="A514" s="3" t="s">
        <v>8028</v>
      </c>
      <c r="B514" s="3" t="s">
        <v>8029</v>
      </c>
      <c r="C514" s="3" t="s">
        <v>8021</v>
      </c>
      <c r="D514" s="3">
        <v>150</v>
      </c>
      <c r="E514" s="3" t="s">
        <v>3992</v>
      </c>
      <c r="F514" s="3" t="s">
        <v>8030</v>
      </c>
      <c r="G514" s="11" t="s">
        <v>8031</v>
      </c>
      <c r="H514" s="3" t="s">
        <v>8032</v>
      </c>
      <c r="I514" s="3" t="s">
        <v>4018</v>
      </c>
      <c r="J514" s="3" t="s">
        <v>4164</v>
      </c>
      <c r="K514" s="3" t="s">
        <v>8033</v>
      </c>
      <c r="L514" s="3" t="s">
        <v>650</v>
      </c>
      <c r="M514" s="3" t="s">
        <v>4010</v>
      </c>
      <c r="N514" s="3" t="s">
        <v>3535</v>
      </c>
      <c r="O514" s="3" t="s">
        <v>8034</v>
      </c>
      <c r="P514" s="3">
        <v>1</v>
      </c>
      <c r="Q514" s="3" t="s">
        <v>8034</v>
      </c>
      <c r="R514" s="3" t="s">
        <v>8035</v>
      </c>
      <c r="S514" s="3" t="s">
        <v>650</v>
      </c>
      <c r="T514" s="3" t="s">
        <v>650</v>
      </c>
      <c r="U514" s="3" t="s">
        <v>1380</v>
      </c>
      <c r="V514" s="3" t="s">
        <v>700</v>
      </c>
      <c r="W514" s="3"/>
      <c r="X514" s="3"/>
      <c r="Y514" s="3" t="s">
        <v>2001</v>
      </c>
    </row>
    <row r="515" spans="1:25" ht="45" customHeight="1" x14ac:dyDescent="0.2">
      <c r="A515" s="3" t="s">
        <v>8036</v>
      </c>
      <c r="B515" s="3" t="s">
        <v>8037</v>
      </c>
      <c r="C515" s="3" t="s">
        <v>8021</v>
      </c>
      <c r="D515" s="3">
        <v>174</v>
      </c>
      <c r="E515" s="3" t="s">
        <v>4136</v>
      </c>
      <c r="F515" s="3" t="s">
        <v>8038</v>
      </c>
      <c r="G515" s="11" t="s">
        <v>8039</v>
      </c>
      <c r="H515" s="3" t="s">
        <v>8040</v>
      </c>
      <c r="I515" s="3" t="s">
        <v>4290</v>
      </c>
      <c r="J515" s="3" t="s">
        <v>4164</v>
      </c>
      <c r="K515" s="3" t="s">
        <v>4425</v>
      </c>
      <c r="L515" s="3" t="s">
        <v>650</v>
      </c>
      <c r="M515" s="3" t="s">
        <v>4010</v>
      </c>
      <c r="N515" s="3" t="s">
        <v>3535</v>
      </c>
      <c r="O515" s="3" t="s">
        <v>8041</v>
      </c>
      <c r="P515" s="3">
        <v>1</v>
      </c>
      <c r="Q515" s="3" t="s">
        <v>8041</v>
      </c>
      <c r="R515" s="3" t="s">
        <v>8042</v>
      </c>
      <c r="S515" s="3" t="s">
        <v>650</v>
      </c>
      <c r="T515" s="3" t="s">
        <v>650</v>
      </c>
      <c r="U515" s="3" t="s">
        <v>1380</v>
      </c>
      <c r="V515" s="3" t="s">
        <v>539</v>
      </c>
      <c r="W515" s="3"/>
      <c r="X515" s="3"/>
      <c r="Y515" s="3" t="s">
        <v>2001</v>
      </c>
    </row>
    <row r="516" spans="1:25" ht="45" customHeight="1" x14ac:dyDescent="0.2">
      <c r="A516" s="3" t="s">
        <v>8043</v>
      </c>
      <c r="B516" s="3" t="s">
        <v>8044</v>
      </c>
      <c r="C516" s="3" t="s">
        <v>8021</v>
      </c>
      <c r="D516" s="3">
        <v>199</v>
      </c>
      <c r="E516" s="3" t="s">
        <v>3992</v>
      </c>
      <c r="F516" s="3" t="s">
        <v>8045</v>
      </c>
      <c r="G516" s="11" t="s">
        <v>8046</v>
      </c>
      <c r="H516" s="3" t="s">
        <v>8047</v>
      </c>
      <c r="I516" s="3" t="s">
        <v>3996</v>
      </c>
      <c r="J516" s="3" t="s">
        <v>4164</v>
      </c>
      <c r="K516" s="3" t="s">
        <v>4844</v>
      </c>
      <c r="L516" s="3" t="s">
        <v>650</v>
      </c>
      <c r="M516" s="3" t="s">
        <v>4010</v>
      </c>
      <c r="N516" s="3" t="s">
        <v>3535</v>
      </c>
      <c r="O516" s="3" t="s">
        <v>650</v>
      </c>
      <c r="P516" s="3">
        <v>0</v>
      </c>
      <c r="Q516" s="3" t="s">
        <v>4052</v>
      </c>
      <c r="R516" s="3" t="s">
        <v>1499</v>
      </c>
      <c r="S516" s="3" t="s">
        <v>650</v>
      </c>
      <c r="T516" s="3" t="s">
        <v>650</v>
      </c>
      <c r="U516" s="3" t="s">
        <v>1380</v>
      </c>
      <c r="V516" s="3" t="s">
        <v>700</v>
      </c>
      <c r="W516" s="3"/>
      <c r="X516" s="3"/>
      <c r="Y516" s="3" t="s">
        <v>2001</v>
      </c>
    </row>
    <row r="517" spans="1:25" ht="60" customHeight="1" x14ac:dyDescent="0.2">
      <c r="A517" s="3" t="s">
        <v>8048</v>
      </c>
      <c r="B517" s="3" t="s">
        <v>8049</v>
      </c>
      <c r="C517" s="3" t="s">
        <v>8021</v>
      </c>
      <c r="D517" s="3">
        <v>227</v>
      </c>
      <c r="E517" s="3" t="s">
        <v>3992</v>
      </c>
      <c r="F517" s="3" t="s">
        <v>8050</v>
      </c>
      <c r="G517" s="11" t="s">
        <v>8051</v>
      </c>
      <c r="H517" s="3" t="s">
        <v>8052</v>
      </c>
      <c r="I517" s="3" t="s">
        <v>3996</v>
      </c>
      <c r="J517" s="3" t="s">
        <v>4164</v>
      </c>
      <c r="K517" s="3" t="s">
        <v>4844</v>
      </c>
      <c r="L517" s="3" t="s">
        <v>650</v>
      </c>
      <c r="M517" s="3" t="s">
        <v>4010</v>
      </c>
      <c r="N517" s="3" t="s">
        <v>3535</v>
      </c>
      <c r="O517" s="3" t="s">
        <v>650</v>
      </c>
      <c r="P517" s="3">
        <v>0</v>
      </c>
      <c r="Q517" s="3" t="s">
        <v>4052</v>
      </c>
      <c r="R517" s="3" t="s">
        <v>1499</v>
      </c>
      <c r="S517" s="3" t="s">
        <v>650</v>
      </c>
      <c r="T517" s="3" t="s">
        <v>650</v>
      </c>
      <c r="U517" s="3" t="s">
        <v>1380</v>
      </c>
      <c r="V517" s="3" t="s">
        <v>700</v>
      </c>
      <c r="W517" s="3"/>
      <c r="X517" s="3"/>
      <c r="Y517" s="3" t="s">
        <v>2001</v>
      </c>
    </row>
    <row r="518" spans="1:25" ht="60" customHeight="1" x14ac:dyDescent="0.2">
      <c r="A518" s="3" t="s">
        <v>8053</v>
      </c>
      <c r="B518" s="3" t="s">
        <v>8054</v>
      </c>
      <c r="C518" s="3" t="s">
        <v>8021</v>
      </c>
      <c r="D518" s="3">
        <v>310</v>
      </c>
      <c r="E518" s="3" t="s">
        <v>3992</v>
      </c>
      <c r="F518" s="3" t="s">
        <v>8055</v>
      </c>
      <c r="G518" s="11" t="s">
        <v>8056</v>
      </c>
      <c r="H518" s="3" t="s">
        <v>8057</v>
      </c>
      <c r="I518" s="3" t="s">
        <v>4018</v>
      </c>
      <c r="J518" s="3" t="s">
        <v>8058</v>
      </c>
      <c r="K518" s="3" t="s">
        <v>8059</v>
      </c>
      <c r="L518" s="3" t="s">
        <v>650</v>
      </c>
      <c r="M518" s="3" t="s">
        <v>4010</v>
      </c>
      <c r="N518" s="3" t="s">
        <v>3535</v>
      </c>
      <c r="O518" s="3" t="s">
        <v>8060</v>
      </c>
      <c r="P518" s="3">
        <v>83</v>
      </c>
      <c r="Q518" s="3" t="s">
        <v>8061</v>
      </c>
      <c r="R518" s="3" t="s">
        <v>8062</v>
      </c>
      <c r="S518" s="3" t="s">
        <v>650</v>
      </c>
      <c r="T518" s="3" t="s">
        <v>650</v>
      </c>
      <c r="U518" s="3" t="s">
        <v>1380</v>
      </c>
      <c r="V518" s="3" t="s">
        <v>700</v>
      </c>
      <c r="W518" s="3"/>
      <c r="X518" s="3"/>
      <c r="Y518" s="3" t="s">
        <v>2001</v>
      </c>
    </row>
    <row r="519" spans="1:25" ht="60" customHeight="1" x14ac:dyDescent="0.2">
      <c r="A519" s="3" t="s">
        <v>8063</v>
      </c>
      <c r="B519" s="3" t="s">
        <v>8064</v>
      </c>
      <c r="C519" s="3" t="s">
        <v>8021</v>
      </c>
      <c r="D519" s="3">
        <v>333</v>
      </c>
      <c r="E519" s="3" t="s">
        <v>3992</v>
      </c>
      <c r="F519" s="3" t="s">
        <v>8065</v>
      </c>
      <c r="G519" s="11" t="s">
        <v>8066</v>
      </c>
      <c r="H519" s="3" t="s">
        <v>8067</v>
      </c>
      <c r="I519" s="3" t="s">
        <v>4018</v>
      </c>
      <c r="J519" s="3" t="s">
        <v>8068</v>
      </c>
      <c r="K519" s="3" t="s">
        <v>5739</v>
      </c>
      <c r="L519" s="3" t="s">
        <v>650</v>
      </c>
      <c r="M519" s="3" t="s">
        <v>4010</v>
      </c>
      <c r="N519" s="3" t="s">
        <v>3535</v>
      </c>
      <c r="O519" s="3" t="s">
        <v>8069</v>
      </c>
      <c r="P519" s="3">
        <v>83</v>
      </c>
      <c r="Q519" s="3" t="s">
        <v>8070</v>
      </c>
      <c r="R519" s="3" t="s">
        <v>8071</v>
      </c>
      <c r="S519" s="3" t="s">
        <v>650</v>
      </c>
      <c r="T519" s="3" t="s">
        <v>650</v>
      </c>
      <c r="U519" s="3" t="s">
        <v>1380</v>
      </c>
      <c r="V519" s="3" t="s">
        <v>700</v>
      </c>
      <c r="W519" s="3"/>
      <c r="X519" s="3"/>
      <c r="Y519" s="3" t="s">
        <v>2001</v>
      </c>
    </row>
    <row r="520" spans="1:25" ht="60" customHeight="1" x14ac:dyDescent="0.2">
      <c r="A520" s="3" t="s">
        <v>8072</v>
      </c>
      <c r="B520" s="3" t="s">
        <v>8073</v>
      </c>
      <c r="C520" s="3" t="s">
        <v>8021</v>
      </c>
      <c r="D520" s="3">
        <v>356</v>
      </c>
      <c r="E520" s="3" t="s">
        <v>3992</v>
      </c>
      <c r="F520" s="3" t="s">
        <v>8074</v>
      </c>
      <c r="G520" s="11" t="s">
        <v>8075</v>
      </c>
      <c r="H520" s="3" t="s">
        <v>8076</v>
      </c>
      <c r="I520" s="3" t="s">
        <v>4018</v>
      </c>
      <c r="J520" s="3" t="s">
        <v>8077</v>
      </c>
      <c r="K520" s="3" t="s">
        <v>5739</v>
      </c>
      <c r="L520" s="3" t="s">
        <v>650</v>
      </c>
      <c r="M520" s="3" t="s">
        <v>4010</v>
      </c>
      <c r="N520" s="3" t="s">
        <v>3535</v>
      </c>
      <c r="O520" s="3" t="s">
        <v>8069</v>
      </c>
      <c r="P520" s="3">
        <v>83</v>
      </c>
      <c r="Q520" s="3" t="s">
        <v>8070</v>
      </c>
      <c r="R520" s="3" t="s">
        <v>8078</v>
      </c>
      <c r="S520" s="3" t="s">
        <v>650</v>
      </c>
      <c r="T520" s="3" t="s">
        <v>650</v>
      </c>
      <c r="U520" s="3" t="s">
        <v>1380</v>
      </c>
      <c r="V520" s="3" t="s">
        <v>700</v>
      </c>
      <c r="W520" s="3"/>
      <c r="X520" s="3"/>
      <c r="Y520" s="3" t="s">
        <v>2001</v>
      </c>
    </row>
    <row r="521" spans="1:25" ht="60" customHeight="1" x14ac:dyDescent="0.2">
      <c r="A521" s="3" t="s">
        <v>8079</v>
      </c>
      <c r="B521" s="3" t="s">
        <v>8080</v>
      </c>
      <c r="C521" s="3" t="s">
        <v>8021</v>
      </c>
      <c r="D521" s="3">
        <v>379</v>
      </c>
      <c r="E521" s="3" t="s">
        <v>3992</v>
      </c>
      <c r="F521" s="3" t="s">
        <v>8081</v>
      </c>
      <c r="G521" s="11" t="s">
        <v>8082</v>
      </c>
      <c r="H521" s="3" t="s">
        <v>8083</v>
      </c>
      <c r="I521" s="3" t="s">
        <v>3996</v>
      </c>
      <c r="J521" s="3" t="s">
        <v>8084</v>
      </c>
      <c r="K521" s="3" t="s">
        <v>8059</v>
      </c>
      <c r="L521" s="3" t="s">
        <v>650</v>
      </c>
      <c r="M521" s="3" t="s">
        <v>4010</v>
      </c>
      <c r="N521" s="3" t="s">
        <v>3535</v>
      </c>
      <c r="O521" s="3" t="s">
        <v>8060</v>
      </c>
      <c r="P521" s="3">
        <v>83</v>
      </c>
      <c r="Q521" s="3" t="s">
        <v>8061</v>
      </c>
      <c r="R521" s="3" t="s">
        <v>8085</v>
      </c>
      <c r="S521" s="3" t="s">
        <v>650</v>
      </c>
      <c r="T521" s="3" t="s">
        <v>650</v>
      </c>
      <c r="U521" s="3" t="s">
        <v>1380</v>
      </c>
      <c r="V521" s="3" t="s">
        <v>700</v>
      </c>
      <c r="W521" s="3"/>
      <c r="X521" s="3"/>
      <c r="Y521" s="3" t="s">
        <v>2001</v>
      </c>
    </row>
    <row r="522" spans="1:25" ht="60" customHeight="1" x14ac:dyDescent="0.2">
      <c r="A522" s="3" t="s">
        <v>8086</v>
      </c>
      <c r="B522" s="3" t="s">
        <v>8087</v>
      </c>
      <c r="C522" s="3" t="s">
        <v>8021</v>
      </c>
      <c r="D522" s="3">
        <v>402</v>
      </c>
      <c r="E522" s="3" t="s">
        <v>3992</v>
      </c>
      <c r="F522" s="3" t="s">
        <v>8088</v>
      </c>
      <c r="G522" s="11" t="s">
        <v>8089</v>
      </c>
      <c r="H522" s="3" t="s">
        <v>8090</v>
      </c>
      <c r="I522" s="3" t="s">
        <v>4018</v>
      </c>
      <c r="J522" s="3" t="s">
        <v>8091</v>
      </c>
      <c r="K522" s="3" t="s">
        <v>8059</v>
      </c>
      <c r="L522" s="3" t="s">
        <v>650</v>
      </c>
      <c r="M522" s="3" t="s">
        <v>4010</v>
      </c>
      <c r="N522" s="3" t="s">
        <v>3535</v>
      </c>
      <c r="O522" s="3" t="s">
        <v>8060</v>
      </c>
      <c r="P522" s="3">
        <v>83</v>
      </c>
      <c r="Q522" s="3" t="s">
        <v>8061</v>
      </c>
      <c r="R522" s="3" t="s">
        <v>8092</v>
      </c>
      <c r="S522" s="3" t="s">
        <v>650</v>
      </c>
      <c r="T522" s="3" t="s">
        <v>650</v>
      </c>
      <c r="U522" s="3" t="s">
        <v>1380</v>
      </c>
      <c r="V522" s="3" t="s">
        <v>700</v>
      </c>
      <c r="W522" s="3"/>
      <c r="X522" s="3"/>
      <c r="Y522" s="3" t="s">
        <v>2001</v>
      </c>
    </row>
    <row r="523" spans="1:25" ht="45" customHeight="1" x14ac:dyDescent="0.2">
      <c r="A523" s="3" t="s">
        <v>8093</v>
      </c>
      <c r="B523" s="3" t="s">
        <v>8094</v>
      </c>
      <c r="C523" s="3" t="s">
        <v>8021</v>
      </c>
      <c r="D523" s="3">
        <v>429</v>
      </c>
      <c r="E523" s="3" t="s">
        <v>3992</v>
      </c>
      <c r="F523" s="3" t="s">
        <v>8095</v>
      </c>
      <c r="G523" s="11" t="s">
        <v>8096</v>
      </c>
      <c r="H523" s="3" t="s">
        <v>8097</v>
      </c>
      <c r="I523" s="3" t="s">
        <v>3996</v>
      </c>
      <c r="J523" s="3" t="s">
        <v>7585</v>
      </c>
      <c r="K523" s="3" t="s">
        <v>4484</v>
      </c>
      <c r="L523" s="3" t="s">
        <v>650</v>
      </c>
      <c r="M523" s="3" t="s">
        <v>4010</v>
      </c>
      <c r="N523" s="3" t="s">
        <v>3535</v>
      </c>
      <c r="O523" s="3" t="s">
        <v>650</v>
      </c>
      <c r="P523" s="3">
        <v>0</v>
      </c>
      <c r="Q523" s="3" t="s">
        <v>4052</v>
      </c>
      <c r="R523" s="3" t="s">
        <v>1499</v>
      </c>
      <c r="S523" s="3" t="s">
        <v>650</v>
      </c>
      <c r="T523" s="3" t="s">
        <v>650</v>
      </c>
      <c r="U523" s="3" t="s">
        <v>1380</v>
      </c>
      <c r="V523" s="3" t="s">
        <v>700</v>
      </c>
      <c r="W523" s="3"/>
      <c r="X523" s="3"/>
      <c r="Y523" s="3" t="s">
        <v>2001</v>
      </c>
    </row>
    <row r="524" spans="1:25" ht="60" customHeight="1" x14ac:dyDescent="0.2">
      <c r="A524" s="3" t="s">
        <v>8098</v>
      </c>
      <c r="B524" s="3" t="s">
        <v>8099</v>
      </c>
      <c r="C524" s="3" t="s">
        <v>8021</v>
      </c>
      <c r="D524" s="3">
        <v>454</v>
      </c>
      <c r="E524" s="3" t="s">
        <v>3992</v>
      </c>
      <c r="F524" s="3" t="s">
        <v>4110</v>
      </c>
      <c r="G524" s="11" t="s">
        <v>8100</v>
      </c>
      <c r="H524" s="3" t="s">
        <v>8101</v>
      </c>
      <c r="I524" s="3" t="s">
        <v>3996</v>
      </c>
      <c r="J524" s="3" t="s">
        <v>8102</v>
      </c>
      <c r="K524" s="3" t="s">
        <v>4844</v>
      </c>
      <c r="L524" s="3" t="s">
        <v>650</v>
      </c>
      <c r="M524" s="3" t="s">
        <v>4010</v>
      </c>
      <c r="N524" s="3" t="s">
        <v>3535</v>
      </c>
      <c r="O524" s="3" t="s">
        <v>650</v>
      </c>
      <c r="P524" s="3">
        <v>0</v>
      </c>
      <c r="Q524" s="3" t="s">
        <v>4052</v>
      </c>
      <c r="R524" s="3" t="s">
        <v>1499</v>
      </c>
      <c r="S524" s="3" t="s">
        <v>650</v>
      </c>
      <c r="T524" s="3" t="s">
        <v>650</v>
      </c>
      <c r="U524" s="3" t="s">
        <v>1380</v>
      </c>
      <c r="V524" s="3" t="s">
        <v>700</v>
      </c>
      <c r="W524" s="3"/>
      <c r="X524" s="3"/>
      <c r="Y524" s="3" t="s">
        <v>2001</v>
      </c>
    </row>
    <row r="525" spans="1:25" ht="60" customHeight="1" x14ac:dyDescent="0.2">
      <c r="A525" s="3" t="s">
        <v>8103</v>
      </c>
      <c r="B525" s="3" t="s">
        <v>8104</v>
      </c>
      <c r="C525" s="3" t="s">
        <v>8021</v>
      </c>
      <c r="D525" s="3">
        <v>485</v>
      </c>
      <c r="E525" s="3" t="s">
        <v>3992</v>
      </c>
      <c r="F525" s="3" t="s">
        <v>8105</v>
      </c>
      <c r="G525" s="11" t="s">
        <v>8106</v>
      </c>
      <c r="H525" s="3" t="s">
        <v>8107</v>
      </c>
      <c r="I525" s="3" t="s">
        <v>3996</v>
      </c>
      <c r="J525" s="3" t="s">
        <v>8108</v>
      </c>
      <c r="K525" s="3" t="s">
        <v>8109</v>
      </c>
      <c r="L525" s="3" t="s">
        <v>650</v>
      </c>
      <c r="M525" s="3" t="s">
        <v>4010</v>
      </c>
      <c r="N525" s="3" t="s">
        <v>3535</v>
      </c>
      <c r="O525" s="3" t="s">
        <v>8110</v>
      </c>
      <c r="P525" s="3">
        <v>1</v>
      </c>
      <c r="Q525" s="3" t="s">
        <v>8110</v>
      </c>
      <c r="R525" s="3" t="s">
        <v>8111</v>
      </c>
      <c r="S525" s="3" t="s">
        <v>650</v>
      </c>
      <c r="T525" s="3" t="s">
        <v>650</v>
      </c>
      <c r="U525" s="3" t="s">
        <v>1380</v>
      </c>
      <c r="V525" s="3" t="s">
        <v>700</v>
      </c>
      <c r="W525" s="3"/>
      <c r="X525" s="3"/>
      <c r="Y525" s="3" t="s">
        <v>2001</v>
      </c>
    </row>
    <row r="526" spans="1:25" ht="60" customHeight="1" x14ac:dyDescent="0.2">
      <c r="A526" s="3" t="s">
        <v>8112</v>
      </c>
      <c r="B526" s="3" t="s">
        <v>8113</v>
      </c>
      <c r="C526" s="3" t="s">
        <v>8021</v>
      </c>
      <c r="D526" s="3">
        <v>519</v>
      </c>
      <c r="E526" s="3" t="s">
        <v>3992</v>
      </c>
      <c r="F526" s="3" t="s">
        <v>8114</v>
      </c>
      <c r="G526" s="11" t="s">
        <v>8115</v>
      </c>
      <c r="H526" s="3" t="s">
        <v>8116</v>
      </c>
      <c r="I526" s="3" t="s">
        <v>4018</v>
      </c>
      <c r="J526" s="3" t="s">
        <v>8117</v>
      </c>
      <c r="K526" s="3" t="s">
        <v>8033</v>
      </c>
      <c r="L526" s="3" t="s">
        <v>650</v>
      </c>
      <c r="M526" s="3" t="s">
        <v>4010</v>
      </c>
      <c r="N526" s="3" t="s">
        <v>3535</v>
      </c>
      <c r="O526" s="3" t="s">
        <v>8118</v>
      </c>
      <c r="P526" s="3">
        <v>3</v>
      </c>
      <c r="Q526" s="3" t="s">
        <v>8119</v>
      </c>
      <c r="R526" s="3" t="s">
        <v>8120</v>
      </c>
      <c r="S526" s="3" t="s">
        <v>650</v>
      </c>
      <c r="T526" s="3" t="s">
        <v>650</v>
      </c>
      <c r="U526" s="3" t="s">
        <v>1380</v>
      </c>
      <c r="V526" s="3" t="s">
        <v>700</v>
      </c>
      <c r="W526" s="3"/>
      <c r="X526" s="3"/>
      <c r="Y526" s="3" t="s">
        <v>2001</v>
      </c>
    </row>
    <row r="527" spans="1:25" ht="60" customHeight="1" x14ac:dyDescent="0.2">
      <c r="A527" s="3" t="s">
        <v>8121</v>
      </c>
      <c r="B527" s="3" t="s">
        <v>8122</v>
      </c>
      <c r="C527" s="3" t="s">
        <v>8021</v>
      </c>
      <c r="D527" s="3">
        <v>549</v>
      </c>
      <c r="E527" s="3" t="s">
        <v>3992</v>
      </c>
      <c r="F527" s="3" t="s">
        <v>8123</v>
      </c>
      <c r="G527" s="11" t="s">
        <v>8124</v>
      </c>
      <c r="H527" s="3" t="s">
        <v>8125</v>
      </c>
      <c r="I527" s="3" t="s">
        <v>4018</v>
      </c>
      <c r="J527" s="3" t="s">
        <v>8126</v>
      </c>
      <c r="K527" s="3" t="s">
        <v>8127</v>
      </c>
      <c r="L527" s="3" t="s">
        <v>650</v>
      </c>
      <c r="M527" s="3" t="s">
        <v>4010</v>
      </c>
      <c r="N527" s="3" t="s">
        <v>3535</v>
      </c>
      <c r="O527" s="3" t="s">
        <v>8128</v>
      </c>
      <c r="P527" s="3">
        <v>4</v>
      </c>
      <c r="Q527" s="3" t="s">
        <v>8129</v>
      </c>
      <c r="R527" s="3" t="s">
        <v>8130</v>
      </c>
      <c r="S527" s="3" t="s">
        <v>650</v>
      </c>
      <c r="T527" s="3" t="s">
        <v>650</v>
      </c>
      <c r="U527" s="3" t="s">
        <v>1380</v>
      </c>
      <c r="V527" s="3" t="s">
        <v>700</v>
      </c>
      <c r="W527" s="3"/>
      <c r="X527" s="3"/>
      <c r="Y527" s="3" t="s">
        <v>2001</v>
      </c>
    </row>
    <row r="528" spans="1:25" ht="60" customHeight="1" x14ac:dyDescent="0.2">
      <c r="A528" s="3" t="s">
        <v>8131</v>
      </c>
      <c r="B528" s="3" t="s">
        <v>8132</v>
      </c>
      <c r="C528" s="3" t="s">
        <v>8133</v>
      </c>
      <c r="D528" s="3">
        <v>69</v>
      </c>
      <c r="E528" s="3" t="s">
        <v>4129</v>
      </c>
      <c r="F528" s="3" t="s">
        <v>8134</v>
      </c>
      <c r="G528" s="11" t="s">
        <v>8135</v>
      </c>
      <c r="H528" s="3" t="s">
        <v>8136</v>
      </c>
      <c r="I528" s="3" t="s">
        <v>4290</v>
      </c>
      <c r="J528" s="3" t="s">
        <v>4164</v>
      </c>
      <c r="K528" s="3" t="s">
        <v>8137</v>
      </c>
      <c r="L528" s="3" t="s">
        <v>650</v>
      </c>
      <c r="M528" s="3" t="s">
        <v>4124</v>
      </c>
      <c r="N528" s="3" t="s">
        <v>3419</v>
      </c>
      <c r="O528" s="3" t="s">
        <v>8138</v>
      </c>
      <c r="P528" s="3">
        <v>2</v>
      </c>
      <c r="Q528" s="3" t="s">
        <v>8138</v>
      </c>
      <c r="R528" s="3" t="s">
        <v>8139</v>
      </c>
      <c r="S528" s="3" t="s">
        <v>650</v>
      </c>
      <c r="T528" s="3" t="s">
        <v>8140</v>
      </c>
      <c r="U528" s="3" t="s">
        <v>1380</v>
      </c>
      <c r="V528" s="3" t="s">
        <v>539</v>
      </c>
      <c r="W528" s="3"/>
      <c r="X528" s="3"/>
      <c r="Y528" s="3" t="s">
        <v>2001</v>
      </c>
    </row>
    <row r="529" spans="1:25" ht="45" customHeight="1" x14ac:dyDescent="0.2">
      <c r="A529" s="3" t="s">
        <v>8141</v>
      </c>
      <c r="B529" s="3" t="s">
        <v>8142</v>
      </c>
      <c r="C529" s="3" t="s">
        <v>8133</v>
      </c>
      <c r="D529" s="3">
        <v>202</v>
      </c>
      <c r="E529" s="3" t="s">
        <v>7462</v>
      </c>
      <c r="F529" s="3" t="s">
        <v>8143</v>
      </c>
      <c r="G529" s="11" t="s">
        <v>8144</v>
      </c>
      <c r="H529" s="3" t="s">
        <v>8145</v>
      </c>
      <c r="I529" s="3" t="s">
        <v>3996</v>
      </c>
      <c r="J529" s="3" t="s">
        <v>4164</v>
      </c>
      <c r="K529" s="3" t="s">
        <v>4028</v>
      </c>
      <c r="L529" s="3" t="s">
        <v>650</v>
      </c>
      <c r="M529" s="3" t="s">
        <v>4010</v>
      </c>
      <c r="N529" s="3" t="s">
        <v>3419</v>
      </c>
      <c r="O529" s="3" t="s">
        <v>650</v>
      </c>
      <c r="P529" s="3">
        <v>0</v>
      </c>
      <c r="Q529" s="3" t="s">
        <v>4052</v>
      </c>
      <c r="R529" s="3" t="s">
        <v>1499</v>
      </c>
      <c r="S529" s="3" t="s">
        <v>650</v>
      </c>
      <c r="T529" s="3" t="s">
        <v>8146</v>
      </c>
      <c r="U529" s="3" t="s">
        <v>1380</v>
      </c>
      <c r="V529" s="3" t="s">
        <v>700</v>
      </c>
      <c r="W529" s="3"/>
      <c r="X529" s="3"/>
      <c r="Y529" s="3" t="s">
        <v>2001</v>
      </c>
    </row>
    <row r="530" spans="1:25" ht="60" customHeight="1" x14ac:dyDescent="0.2">
      <c r="A530" s="3" t="s">
        <v>8147</v>
      </c>
      <c r="B530" s="3" t="s">
        <v>8148</v>
      </c>
      <c r="C530" s="3" t="s">
        <v>8149</v>
      </c>
      <c r="D530" s="3">
        <v>106</v>
      </c>
      <c r="E530" s="3" t="s">
        <v>3992</v>
      </c>
      <c r="F530" s="3" t="s">
        <v>8150</v>
      </c>
      <c r="G530" s="11" t="s">
        <v>8151</v>
      </c>
      <c r="H530" s="3" t="s">
        <v>8152</v>
      </c>
      <c r="I530" s="3" t="s">
        <v>3996</v>
      </c>
      <c r="J530" s="3" t="s">
        <v>7170</v>
      </c>
      <c r="K530" s="3" t="s">
        <v>4028</v>
      </c>
      <c r="L530" s="3" t="s">
        <v>650</v>
      </c>
      <c r="M530" s="3" t="s">
        <v>4010</v>
      </c>
      <c r="N530" s="3" t="s">
        <v>3535</v>
      </c>
      <c r="O530" s="3" t="s">
        <v>8153</v>
      </c>
      <c r="P530" s="3">
        <v>4</v>
      </c>
      <c r="Q530" s="3" t="s">
        <v>8154</v>
      </c>
      <c r="R530" s="3" t="s">
        <v>8155</v>
      </c>
      <c r="S530" s="3" t="s">
        <v>650</v>
      </c>
      <c r="T530" s="3" t="s">
        <v>8156</v>
      </c>
      <c r="U530" s="3" t="s">
        <v>1380</v>
      </c>
      <c r="V530" s="3" t="s">
        <v>700</v>
      </c>
      <c r="W530" s="3"/>
      <c r="X530" s="3"/>
      <c r="Y530" s="3" t="s">
        <v>2001</v>
      </c>
    </row>
    <row r="531" spans="1:25" ht="60" customHeight="1" x14ac:dyDescent="0.2">
      <c r="A531" s="3" t="s">
        <v>8157</v>
      </c>
      <c r="B531" s="3" t="s">
        <v>8158</v>
      </c>
      <c r="C531" s="3" t="s">
        <v>8159</v>
      </c>
      <c r="D531" s="3">
        <v>22</v>
      </c>
      <c r="E531" s="3" t="s">
        <v>7462</v>
      </c>
      <c r="F531" s="3" t="s">
        <v>4110</v>
      </c>
      <c r="G531" s="11" t="s">
        <v>8160</v>
      </c>
      <c r="H531" s="3" t="s">
        <v>8161</v>
      </c>
      <c r="I531" s="3" t="s">
        <v>4018</v>
      </c>
      <c r="J531" s="3" t="s">
        <v>8162</v>
      </c>
      <c r="K531" s="3" t="s">
        <v>8163</v>
      </c>
      <c r="L531" s="3" t="s">
        <v>650</v>
      </c>
      <c r="M531" s="3" t="s">
        <v>4010</v>
      </c>
      <c r="N531" s="3" t="s">
        <v>3535</v>
      </c>
      <c r="O531" s="3" t="s">
        <v>650</v>
      </c>
      <c r="P531" s="3">
        <v>0</v>
      </c>
      <c r="Q531" s="3" t="s">
        <v>4052</v>
      </c>
      <c r="R531" s="3" t="s">
        <v>1499</v>
      </c>
      <c r="S531" s="3" t="s">
        <v>650</v>
      </c>
      <c r="T531" s="3" t="s">
        <v>650</v>
      </c>
      <c r="U531" s="3" t="s">
        <v>1380</v>
      </c>
      <c r="V531" s="3" t="s">
        <v>700</v>
      </c>
      <c r="W531" s="3"/>
      <c r="X531" s="3"/>
      <c r="Y531" s="3" t="s">
        <v>2001</v>
      </c>
    </row>
    <row r="532" spans="1:25" ht="60" customHeight="1" x14ac:dyDescent="0.2">
      <c r="A532" s="3" t="s">
        <v>8164</v>
      </c>
      <c r="B532" s="3" t="s">
        <v>8165</v>
      </c>
      <c r="C532" s="3" t="s">
        <v>8166</v>
      </c>
      <c r="D532" s="3">
        <v>88</v>
      </c>
      <c r="E532" s="3" t="s">
        <v>4003</v>
      </c>
      <c r="F532" s="3" t="s">
        <v>8167</v>
      </c>
      <c r="G532" s="11" t="s">
        <v>8168</v>
      </c>
      <c r="H532" s="3" t="s">
        <v>8169</v>
      </c>
      <c r="I532" s="3" t="s">
        <v>4018</v>
      </c>
      <c r="J532" s="3" t="s">
        <v>8170</v>
      </c>
      <c r="K532" s="3" t="s">
        <v>4028</v>
      </c>
      <c r="L532" s="3" t="s">
        <v>4020</v>
      </c>
      <c r="M532" s="3" t="s">
        <v>4010</v>
      </c>
      <c r="N532" s="3" t="s">
        <v>3535</v>
      </c>
      <c r="O532" s="3" t="s">
        <v>8171</v>
      </c>
      <c r="P532" s="3">
        <v>88</v>
      </c>
      <c r="Q532" s="3" t="s">
        <v>8172</v>
      </c>
      <c r="R532" s="3" t="s">
        <v>8173</v>
      </c>
      <c r="S532" s="3" t="s">
        <v>650</v>
      </c>
      <c r="T532" s="3" t="s">
        <v>650</v>
      </c>
      <c r="U532" s="3" t="s">
        <v>1380</v>
      </c>
      <c r="V532" s="3" t="s">
        <v>700</v>
      </c>
      <c r="W532" s="3"/>
      <c r="X532" s="3"/>
      <c r="Y532" s="3" t="s">
        <v>2001</v>
      </c>
    </row>
    <row r="533" spans="1:25" ht="30" customHeight="1" x14ac:dyDescent="0.2">
      <c r="A533" s="3" t="s">
        <v>8174</v>
      </c>
      <c r="B533" s="3" t="s">
        <v>8175</v>
      </c>
      <c r="C533" s="3" t="s">
        <v>8166</v>
      </c>
      <c r="D533" s="3">
        <v>130</v>
      </c>
      <c r="E533" s="3" t="s">
        <v>4136</v>
      </c>
      <c r="F533" s="3" t="s">
        <v>8176</v>
      </c>
      <c r="G533" s="11" t="s">
        <v>8177</v>
      </c>
      <c r="H533" s="3" t="s">
        <v>8178</v>
      </c>
      <c r="I533" s="3" t="s">
        <v>4290</v>
      </c>
      <c r="J533" s="3" t="s">
        <v>4164</v>
      </c>
      <c r="K533" s="3" t="s">
        <v>4028</v>
      </c>
      <c r="L533" s="3" t="s">
        <v>650</v>
      </c>
      <c r="M533" s="3" t="s">
        <v>4010</v>
      </c>
      <c r="N533" s="3" t="s">
        <v>3535</v>
      </c>
      <c r="O533" s="3" t="s">
        <v>650</v>
      </c>
      <c r="P533" s="3">
        <v>0</v>
      </c>
      <c r="Q533" s="3" t="s">
        <v>4052</v>
      </c>
      <c r="R533" s="3" t="s">
        <v>1499</v>
      </c>
      <c r="S533" s="3" t="s">
        <v>650</v>
      </c>
      <c r="T533" s="3" t="s">
        <v>650</v>
      </c>
      <c r="U533" s="3" t="s">
        <v>1380</v>
      </c>
      <c r="V533" s="3" t="s">
        <v>539</v>
      </c>
      <c r="W533" s="3"/>
      <c r="X533" s="3"/>
      <c r="Y533" s="3" t="s">
        <v>2001</v>
      </c>
    </row>
    <row r="534" spans="1:25" ht="60" customHeight="1" x14ac:dyDescent="0.2">
      <c r="A534" s="3" t="s">
        <v>8179</v>
      </c>
      <c r="B534" s="3" t="s">
        <v>8180</v>
      </c>
      <c r="C534" s="3" t="s">
        <v>8166</v>
      </c>
      <c r="D534" s="3">
        <v>150</v>
      </c>
      <c r="E534" s="3" t="s">
        <v>4003</v>
      </c>
      <c r="F534" s="3" t="s">
        <v>8181</v>
      </c>
      <c r="G534" s="11" t="s">
        <v>8182</v>
      </c>
      <c r="H534" s="3" t="s">
        <v>8183</v>
      </c>
      <c r="I534" s="3" t="s">
        <v>4018</v>
      </c>
      <c r="J534" s="3" t="s">
        <v>4164</v>
      </c>
      <c r="K534" s="3" t="s">
        <v>7982</v>
      </c>
      <c r="L534" s="3" t="s">
        <v>8184</v>
      </c>
      <c r="M534" s="3" t="s">
        <v>4010</v>
      </c>
      <c r="N534" s="3" t="s">
        <v>3535</v>
      </c>
      <c r="O534" s="3" t="s">
        <v>650</v>
      </c>
      <c r="P534" s="3">
        <v>0</v>
      </c>
      <c r="Q534" s="3" t="s">
        <v>4052</v>
      </c>
      <c r="R534" s="3" t="s">
        <v>1499</v>
      </c>
      <c r="S534" s="3" t="s">
        <v>650</v>
      </c>
      <c r="T534" s="3" t="s">
        <v>650</v>
      </c>
      <c r="U534" s="3" t="s">
        <v>1380</v>
      </c>
      <c r="V534" s="3" t="s">
        <v>700</v>
      </c>
      <c r="W534" s="3"/>
      <c r="X534" s="3"/>
      <c r="Y534" s="3" t="s">
        <v>2001</v>
      </c>
    </row>
    <row r="535" spans="1:25" ht="60" customHeight="1" x14ac:dyDescent="0.2">
      <c r="A535" s="3" t="s">
        <v>8185</v>
      </c>
      <c r="B535" s="3" t="s">
        <v>8186</v>
      </c>
      <c r="C535" s="3" t="s">
        <v>8166</v>
      </c>
      <c r="D535" s="3">
        <v>170</v>
      </c>
      <c r="E535" s="3" t="s">
        <v>4003</v>
      </c>
      <c r="F535" s="3" t="s">
        <v>4110</v>
      </c>
      <c r="G535" s="11" t="s">
        <v>8187</v>
      </c>
      <c r="H535" s="3" t="s">
        <v>8188</v>
      </c>
      <c r="I535" s="3" t="s">
        <v>4018</v>
      </c>
      <c r="J535" s="3" t="s">
        <v>4164</v>
      </c>
      <c r="K535" s="3" t="s">
        <v>4484</v>
      </c>
      <c r="L535" s="3" t="s">
        <v>4020</v>
      </c>
      <c r="M535" s="3" t="s">
        <v>4010</v>
      </c>
      <c r="N535" s="3" t="s">
        <v>3535</v>
      </c>
      <c r="O535" s="3" t="s">
        <v>650</v>
      </c>
      <c r="P535" s="3">
        <v>0</v>
      </c>
      <c r="Q535" s="3" t="s">
        <v>4052</v>
      </c>
      <c r="R535" s="3" t="s">
        <v>1499</v>
      </c>
      <c r="S535" s="3" t="s">
        <v>650</v>
      </c>
      <c r="T535" s="3" t="s">
        <v>650</v>
      </c>
      <c r="U535" s="3" t="s">
        <v>1380</v>
      </c>
      <c r="V535" s="3" t="s">
        <v>700</v>
      </c>
      <c r="W535" s="3"/>
      <c r="X535" s="3"/>
      <c r="Y535" s="3" t="s">
        <v>2001</v>
      </c>
    </row>
    <row r="536" spans="1:25" ht="60" customHeight="1" x14ac:dyDescent="0.2">
      <c r="A536" s="3" t="s">
        <v>8189</v>
      </c>
      <c r="B536" s="3" t="s">
        <v>8190</v>
      </c>
      <c r="C536" s="3" t="s">
        <v>8166</v>
      </c>
      <c r="D536" s="3">
        <v>204</v>
      </c>
      <c r="E536" s="3" t="s">
        <v>4129</v>
      </c>
      <c r="F536" s="3" t="s">
        <v>8191</v>
      </c>
      <c r="G536" s="11" t="s">
        <v>8192</v>
      </c>
      <c r="H536" s="3" t="s">
        <v>8193</v>
      </c>
      <c r="I536" s="3" t="s">
        <v>4290</v>
      </c>
      <c r="J536" s="3" t="s">
        <v>4164</v>
      </c>
      <c r="K536" s="3" t="s">
        <v>8033</v>
      </c>
      <c r="L536" s="3" t="s">
        <v>650</v>
      </c>
      <c r="M536" s="3" t="s">
        <v>4010</v>
      </c>
      <c r="N536" s="3" t="s">
        <v>3419</v>
      </c>
      <c r="O536" s="3" t="s">
        <v>650</v>
      </c>
      <c r="P536" s="3">
        <v>0</v>
      </c>
      <c r="Q536" s="3" t="s">
        <v>4052</v>
      </c>
      <c r="R536" s="3" t="s">
        <v>1499</v>
      </c>
      <c r="S536" s="3" t="s">
        <v>650</v>
      </c>
      <c r="T536" s="3" t="s">
        <v>650</v>
      </c>
      <c r="U536" s="3" t="s">
        <v>1380</v>
      </c>
      <c r="V536" s="3" t="s">
        <v>539</v>
      </c>
      <c r="W536" s="3"/>
      <c r="X536" s="3"/>
      <c r="Y536" s="3" t="s">
        <v>2001</v>
      </c>
    </row>
    <row r="537" spans="1:25" ht="60" customHeight="1" x14ac:dyDescent="0.2">
      <c r="A537" s="3" t="s">
        <v>8194</v>
      </c>
      <c r="B537" s="3" t="s">
        <v>8195</v>
      </c>
      <c r="C537" s="3" t="s">
        <v>8166</v>
      </c>
      <c r="D537" s="3">
        <v>223</v>
      </c>
      <c r="E537" s="3" t="s">
        <v>4003</v>
      </c>
      <c r="F537" s="3" t="s">
        <v>4110</v>
      </c>
      <c r="G537" s="11" t="s">
        <v>8196</v>
      </c>
      <c r="H537" s="3" t="s">
        <v>8197</v>
      </c>
      <c r="I537" s="3" t="s">
        <v>3996</v>
      </c>
      <c r="J537" s="3" t="s">
        <v>4164</v>
      </c>
      <c r="K537" s="3" t="s">
        <v>5739</v>
      </c>
      <c r="L537" s="3" t="s">
        <v>8198</v>
      </c>
      <c r="M537" s="3" t="s">
        <v>4010</v>
      </c>
      <c r="N537" s="3" t="s">
        <v>3535</v>
      </c>
      <c r="O537" s="3" t="s">
        <v>650</v>
      </c>
      <c r="P537" s="3">
        <v>0</v>
      </c>
      <c r="Q537" s="3" t="s">
        <v>4052</v>
      </c>
      <c r="R537" s="3" t="s">
        <v>1499</v>
      </c>
      <c r="S537" s="3" t="s">
        <v>650</v>
      </c>
      <c r="T537" s="3" t="s">
        <v>650</v>
      </c>
      <c r="U537" s="3" t="s">
        <v>1380</v>
      </c>
      <c r="V537" s="3" t="s">
        <v>700</v>
      </c>
      <c r="W537" s="3"/>
      <c r="X537" s="3"/>
      <c r="Y537" s="3" t="s">
        <v>2001</v>
      </c>
    </row>
    <row r="538" spans="1:25" ht="60" customHeight="1" x14ac:dyDescent="0.2">
      <c r="A538" s="3" t="s">
        <v>8199</v>
      </c>
      <c r="B538" s="3" t="s">
        <v>8200</v>
      </c>
      <c r="C538" s="3" t="s">
        <v>8166</v>
      </c>
      <c r="D538" s="3">
        <v>255</v>
      </c>
      <c r="E538" s="3" t="s">
        <v>7462</v>
      </c>
      <c r="F538" s="3" t="s">
        <v>8201</v>
      </c>
      <c r="G538" s="11" t="s">
        <v>8202</v>
      </c>
      <c r="H538" s="3" t="s">
        <v>8203</v>
      </c>
      <c r="I538" s="3" t="s">
        <v>3996</v>
      </c>
      <c r="J538" s="3" t="s">
        <v>8204</v>
      </c>
      <c r="K538" s="3" t="s">
        <v>8205</v>
      </c>
      <c r="L538" s="3" t="s">
        <v>650</v>
      </c>
      <c r="M538" s="3" t="s">
        <v>4010</v>
      </c>
      <c r="N538" s="3" t="s">
        <v>3535</v>
      </c>
      <c r="O538" s="3" t="s">
        <v>8206</v>
      </c>
      <c r="P538" s="3">
        <v>92</v>
      </c>
      <c r="Q538" s="3" t="s">
        <v>8207</v>
      </c>
      <c r="R538" s="3" t="s">
        <v>8208</v>
      </c>
      <c r="S538" s="3" t="s">
        <v>650</v>
      </c>
      <c r="T538" s="3" t="s">
        <v>650</v>
      </c>
      <c r="U538" s="3" t="s">
        <v>1380</v>
      </c>
      <c r="V538" s="3" t="s">
        <v>700</v>
      </c>
      <c r="W538" s="3"/>
      <c r="X538" s="3"/>
      <c r="Y538" s="3" t="s">
        <v>2001</v>
      </c>
    </row>
    <row r="539" spans="1:25" ht="60" customHeight="1" x14ac:dyDescent="0.2">
      <c r="A539" s="3" t="s">
        <v>8209</v>
      </c>
      <c r="B539" s="3" t="s">
        <v>8210</v>
      </c>
      <c r="C539" s="3" t="s">
        <v>8166</v>
      </c>
      <c r="D539" s="3">
        <v>303</v>
      </c>
      <c r="E539" s="3" t="s">
        <v>7462</v>
      </c>
      <c r="F539" s="3" t="s">
        <v>8211</v>
      </c>
      <c r="G539" s="11" t="s">
        <v>8212</v>
      </c>
      <c r="H539" s="3" t="s">
        <v>8213</v>
      </c>
      <c r="I539" s="3" t="s">
        <v>3996</v>
      </c>
      <c r="J539" s="3" t="s">
        <v>8214</v>
      </c>
      <c r="K539" s="3" t="s">
        <v>4425</v>
      </c>
      <c r="L539" s="3" t="s">
        <v>650</v>
      </c>
      <c r="M539" s="3" t="s">
        <v>4010</v>
      </c>
      <c r="N539" s="3" t="s">
        <v>3535</v>
      </c>
      <c r="O539" s="3" t="s">
        <v>8215</v>
      </c>
      <c r="P539" s="3">
        <v>89</v>
      </c>
      <c r="Q539" s="3" t="s">
        <v>8216</v>
      </c>
      <c r="R539" s="3" t="s">
        <v>8217</v>
      </c>
      <c r="S539" s="3" t="s">
        <v>650</v>
      </c>
      <c r="T539" s="3" t="s">
        <v>650</v>
      </c>
      <c r="U539" s="3" t="s">
        <v>1380</v>
      </c>
      <c r="V539" s="3" t="s">
        <v>700</v>
      </c>
      <c r="W539" s="3"/>
      <c r="X539" s="3"/>
      <c r="Y539" s="3" t="s">
        <v>2001</v>
      </c>
    </row>
    <row r="540" spans="1:25" ht="60" customHeight="1" x14ac:dyDescent="0.2">
      <c r="A540" s="3" t="s">
        <v>8218</v>
      </c>
      <c r="B540" s="3" t="s">
        <v>8219</v>
      </c>
      <c r="C540" s="3" t="s">
        <v>8166</v>
      </c>
      <c r="D540" s="3">
        <v>338</v>
      </c>
      <c r="E540" s="3" t="s">
        <v>7462</v>
      </c>
      <c r="F540" s="3" t="s">
        <v>8220</v>
      </c>
      <c r="G540" s="11" t="s">
        <v>8221</v>
      </c>
      <c r="H540" s="3" t="s">
        <v>8222</v>
      </c>
      <c r="I540" s="3" t="s">
        <v>3996</v>
      </c>
      <c r="J540" s="3" t="s">
        <v>4164</v>
      </c>
      <c r="K540" s="3" t="s">
        <v>8163</v>
      </c>
      <c r="L540" s="3" t="s">
        <v>650</v>
      </c>
      <c r="M540" s="3" t="s">
        <v>4010</v>
      </c>
      <c r="N540" s="3" t="s">
        <v>3535</v>
      </c>
      <c r="O540" s="3" t="s">
        <v>8223</v>
      </c>
      <c r="P540" s="3">
        <v>87</v>
      </c>
      <c r="Q540" s="3" t="s">
        <v>8224</v>
      </c>
      <c r="R540" s="3" t="s">
        <v>8225</v>
      </c>
      <c r="S540" s="3" t="s">
        <v>650</v>
      </c>
      <c r="T540" s="3" t="s">
        <v>650</v>
      </c>
      <c r="U540" s="3" t="s">
        <v>1380</v>
      </c>
      <c r="V540" s="3" t="s">
        <v>700</v>
      </c>
      <c r="W540" s="3"/>
      <c r="X540" s="3"/>
      <c r="Y540" s="3" t="s">
        <v>2001</v>
      </c>
    </row>
    <row r="541" spans="1:25" ht="60" customHeight="1" x14ac:dyDescent="0.2">
      <c r="A541" s="3" t="s">
        <v>8226</v>
      </c>
      <c r="B541" s="3" t="s">
        <v>8227</v>
      </c>
      <c r="C541" s="3" t="s">
        <v>8166</v>
      </c>
      <c r="D541" s="3">
        <v>365</v>
      </c>
      <c r="E541" s="3" t="s">
        <v>4136</v>
      </c>
      <c r="F541" s="3" t="s">
        <v>4110</v>
      </c>
      <c r="G541" s="11" t="s">
        <v>8228</v>
      </c>
      <c r="H541" s="3" t="s">
        <v>8229</v>
      </c>
      <c r="I541" s="3" t="s">
        <v>4290</v>
      </c>
      <c r="J541" s="3" t="s">
        <v>4164</v>
      </c>
      <c r="K541" s="3" t="s">
        <v>4028</v>
      </c>
      <c r="L541" s="3" t="s">
        <v>650</v>
      </c>
      <c r="M541" s="3" t="s">
        <v>4010</v>
      </c>
      <c r="N541" s="3" t="s">
        <v>3535</v>
      </c>
      <c r="O541" s="3" t="s">
        <v>8230</v>
      </c>
      <c r="P541" s="3">
        <v>2</v>
      </c>
      <c r="Q541" s="3" t="s">
        <v>8231</v>
      </c>
      <c r="R541" s="3" t="s">
        <v>8232</v>
      </c>
      <c r="S541" s="3" t="s">
        <v>650</v>
      </c>
      <c r="T541" s="3" t="s">
        <v>650</v>
      </c>
      <c r="U541" s="3" t="s">
        <v>1380</v>
      </c>
      <c r="V541" s="3" t="s">
        <v>539</v>
      </c>
      <c r="W541" s="3"/>
      <c r="X541" s="3"/>
      <c r="Y541" s="3" t="s">
        <v>2001</v>
      </c>
    </row>
    <row r="542" spans="1:25" ht="60" customHeight="1" x14ac:dyDescent="0.2">
      <c r="A542" s="3" t="s">
        <v>8233</v>
      </c>
      <c r="B542" s="3" t="s">
        <v>8234</v>
      </c>
      <c r="C542" s="3" t="s">
        <v>8166</v>
      </c>
      <c r="D542" s="3">
        <v>385</v>
      </c>
      <c r="E542" s="3" t="s">
        <v>4136</v>
      </c>
      <c r="F542" s="3" t="s">
        <v>4110</v>
      </c>
      <c r="G542" s="11" t="s">
        <v>8235</v>
      </c>
      <c r="H542" s="3" t="s">
        <v>8236</v>
      </c>
      <c r="I542" s="3" t="s">
        <v>4290</v>
      </c>
      <c r="J542" s="3" t="s">
        <v>8237</v>
      </c>
      <c r="K542" s="3" t="s">
        <v>4028</v>
      </c>
      <c r="L542" s="3" t="s">
        <v>650</v>
      </c>
      <c r="M542" s="3" t="s">
        <v>4010</v>
      </c>
      <c r="N542" s="3" t="s">
        <v>3535</v>
      </c>
      <c r="O542" s="3" t="s">
        <v>650</v>
      </c>
      <c r="P542" s="3">
        <v>0</v>
      </c>
      <c r="Q542" s="3" t="s">
        <v>4052</v>
      </c>
      <c r="R542" s="3" t="s">
        <v>1499</v>
      </c>
      <c r="S542" s="3" t="s">
        <v>650</v>
      </c>
      <c r="T542" s="3" t="s">
        <v>650</v>
      </c>
      <c r="U542" s="3" t="s">
        <v>1380</v>
      </c>
      <c r="V542" s="3" t="s">
        <v>539</v>
      </c>
      <c r="W542" s="3"/>
      <c r="X542" s="3"/>
      <c r="Y542" s="3" t="s">
        <v>2001</v>
      </c>
    </row>
    <row r="543" spans="1:25" ht="60" customHeight="1" x14ac:dyDescent="0.2">
      <c r="A543" s="3" t="s">
        <v>8238</v>
      </c>
      <c r="B543" s="3" t="s">
        <v>8239</v>
      </c>
      <c r="C543" s="3" t="s">
        <v>8166</v>
      </c>
      <c r="D543" s="3">
        <v>404</v>
      </c>
      <c r="E543" s="3" t="s">
        <v>4003</v>
      </c>
      <c r="F543" s="3" t="s">
        <v>4110</v>
      </c>
      <c r="G543" s="11" t="s">
        <v>8240</v>
      </c>
      <c r="H543" s="3" t="s">
        <v>8241</v>
      </c>
      <c r="I543" s="3" t="s">
        <v>4018</v>
      </c>
      <c r="J543" s="3" t="s">
        <v>8242</v>
      </c>
      <c r="K543" s="3" t="s">
        <v>4028</v>
      </c>
      <c r="L543" s="3" t="s">
        <v>4020</v>
      </c>
      <c r="M543" s="3" t="s">
        <v>4010</v>
      </c>
      <c r="N543" s="3" t="s">
        <v>3535</v>
      </c>
      <c r="O543" s="3" t="s">
        <v>650</v>
      </c>
      <c r="P543" s="3">
        <v>0</v>
      </c>
      <c r="Q543" s="3" t="s">
        <v>4052</v>
      </c>
      <c r="R543" s="3" t="s">
        <v>1499</v>
      </c>
      <c r="S543" s="3" t="s">
        <v>650</v>
      </c>
      <c r="T543" s="3" t="s">
        <v>650</v>
      </c>
      <c r="U543" s="3" t="s">
        <v>1380</v>
      </c>
      <c r="V543" s="3" t="s">
        <v>700</v>
      </c>
      <c r="W543" s="3"/>
      <c r="X543" s="3"/>
      <c r="Y543" s="3" t="s">
        <v>2001</v>
      </c>
    </row>
    <row r="544" spans="1:25" ht="60" customHeight="1" x14ac:dyDescent="0.2">
      <c r="A544" s="3" t="s">
        <v>8243</v>
      </c>
      <c r="B544" s="3" t="s">
        <v>8244</v>
      </c>
      <c r="C544" s="3" t="s">
        <v>8166</v>
      </c>
      <c r="D544" s="3">
        <v>429</v>
      </c>
      <c r="E544" s="3" t="s">
        <v>4136</v>
      </c>
      <c r="F544" s="3" t="s">
        <v>8245</v>
      </c>
      <c r="G544" s="11" t="s">
        <v>8246</v>
      </c>
      <c r="H544" s="3" t="s">
        <v>8247</v>
      </c>
      <c r="I544" s="3" t="s">
        <v>3996</v>
      </c>
      <c r="J544" s="3" t="s">
        <v>8248</v>
      </c>
      <c r="K544" s="3" t="s">
        <v>4425</v>
      </c>
      <c r="L544" s="3" t="s">
        <v>650</v>
      </c>
      <c r="M544" s="3" t="s">
        <v>4010</v>
      </c>
      <c r="N544" s="3" t="s">
        <v>3535</v>
      </c>
      <c r="O544" s="3" t="s">
        <v>8249</v>
      </c>
      <c r="P544" s="3">
        <v>90</v>
      </c>
      <c r="Q544" s="3" t="s">
        <v>8250</v>
      </c>
      <c r="R544" s="3" t="s">
        <v>8251</v>
      </c>
      <c r="S544" s="3" t="s">
        <v>650</v>
      </c>
      <c r="T544" s="3" t="s">
        <v>650</v>
      </c>
      <c r="U544" s="3" t="s">
        <v>1380</v>
      </c>
      <c r="V544" s="3" t="s">
        <v>700</v>
      </c>
      <c r="W544" s="3"/>
      <c r="X544" s="3"/>
      <c r="Y544" s="3" t="s">
        <v>2001</v>
      </c>
    </row>
    <row r="545" spans="1:25" ht="60" customHeight="1" x14ac:dyDescent="0.2">
      <c r="A545" s="3" t="s">
        <v>8252</v>
      </c>
      <c r="B545" s="3" t="s">
        <v>8253</v>
      </c>
      <c r="C545" s="3" t="s">
        <v>8166</v>
      </c>
      <c r="D545" s="3">
        <v>471</v>
      </c>
      <c r="E545" s="3" t="s">
        <v>4136</v>
      </c>
      <c r="F545" s="3" t="s">
        <v>8254</v>
      </c>
      <c r="G545" s="11" t="s">
        <v>8255</v>
      </c>
      <c r="H545" s="3" t="s">
        <v>8256</v>
      </c>
      <c r="I545" s="3" t="s">
        <v>3996</v>
      </c>
      <c r="J545" s="3" t="s">
        <v>8257</v>
      </c>
      <c r="K545" s="3" t="s">
        <v>4028</v>
      </c>
      <c r="L545" s="3" t="s">
        <v>650</v>
      </c>
      <c r="M545" s="3" t="s">
        <v>4010</v>
      </c>
      <c r="N545" s="3" t="s">
        <v>3535</v>
      </c>
      <c r="O545" s="3" t="s">
        <v>8258</v>
      </c>
      <c r="P545" s="3">
        <v>84</v>
      </c>
      <c r="Q545" s="3" t="s">
        <v>8259</v>
      </c>
      <c r="R545" s="3" t="s">
        <v>8260</v>
      </c>
      <c r="S545" s="3" t="s">
        <v>650</v>
      </c>
      <c r="T545" s="3" t="s">
        <v>650</v>
      </c>
      <c r="U545" s="3" t="s">
        <v>1380</v>
      </c>
      <c r="V545" s="3" t="s">
        <v>700</v>
      </c>
      <c r="W545" s="3"/>
      <c r="X545" s="3"/>
      <c r="Y545" s="3" t="s">
        <v>2001</v>
      </c>
    </row>
    <row r="546" spans="1:25" ht="60" customHeight="1" x14ac:dyDescent="0.2">
      <c r="A546" s="3" t="s">
        <v>8261</v>
      </c>
      <c r="B546" s="3" t="s">
        <v>8262</v>
      </c>
      <c r="C546" s="3" t="s">
        <v>8166</v>
      </c>
      <c r="D546" s="3">
        <v>501</v>
      </c>
      <c r="E546" s="3" t="s">
        <v>7462</v>
      </c>
      <c r="F546" s="3" t="s">
        <v>4110</v>
      </c>
      <c r="G546" s="11" t="s">
        <v>8263</v>
      </c>
      <c r="H546" s="3" t="s">
        <v>8264</v>
      </c>
      <c r="I546" s="3" t="s">
        <v>3996</v>
      </c>
      <c r="J546" s="3" t="s">
        <v>8265</v>
      </c>
      <c r="K546" s="3" t="s">
        <v>8266</v>
      </c>
      <c r="L546" s="3" t="s">
        <v>8267</v>
      </c>
      <c r="M546" s="3" t="s">
        <v>4010</v>
      </c>
      <c r="N546" s="3" t="s">
        <v>3535</v>
      </c>
      <c r="O546" s="3" t="s">
        <v>8268</v>
      </c>
      <c r="P546" s="3">
        <v>85</v>
      </c>
      <c r="Q546" s="3" t="s">
        <v>8269</v>
      </c>
      <c r="R546" s="3" t="s">
        <v>8270</v>
      </c>
      <c r="S546" s="3" t="s">
        <v>650</v>
      </c>
      <c r="T546" s="3" t="s">
        <v>650</v>
      </c>
      <c r="U546" s="3" t="s">
        <v>1380</v>
      </c>
      <c r="V546" s="3" t="s">
        <v>700</v>
      </c>
      <c r="W546" s="3"/>
      <c r="X546" s="3"/>
      <c r="Y546" s="3" t="s">
        <v>2001</v>
      </c>
    </row>
    <row r="547" spans="1:25" ht="45" customHeight="1" x14ac:dyDescent="0.2">
      <c r="A547" s="3" t="s">
        <v>8271</v>
      </c>
      <c r="B547" s="3" t="s">
        <v>8272</v>
      </c>
      <c r="C547" s="3" t="s">
        <v>8166</v>
      </c>
      <c r="D547" s="3">
        <v>557</v>
      </c>
      <c r="E547" s="3" t="s">
        <v>7714</v>
      </c>
      <c r="F547" s="3" t="s">
        <v>8273</v>
      </c>
      <c r="G547" s="11" t="s">
        <v>8274</v>
      </c>
      <c r="H547" s="3" t="s">
        <v>8275</v>
      </c>
      <c r="I547" s="3" t="s">
        <v>4018</v>
      </c>
      <c r="J547" s="3" t="s">
        <v>8276</v>
      </c>
      <c r="K547" s="3" t="s">
        <v>8163</v>
      </c>
      <c r="L547" s="3" t="s">
        <v>8277</v>
      </c>
      <c r="M547" s="3" t="s">
        <v>4010</v>
      </c>
      <c r="N547" s="3" t="s">
        <v>3535</v>
      </c>
      <c r="O547" s="3" t="s">
        <v>8278</v>
      </c>
      <c r="P547" s="3">
        <v>1</v>
      </c>
      <c r="Q547" s="3" t="s">
        <v>8278</v>
      </c>
      <c r="R547" s="3" t="s">
        <v>8279</v>
      </c>
      <c r="S547" s="3" t="s">
        <v>650</v>
      </c>
      <c r="T547" s="3" t="s">
        <v>650</v>
      </c>
      <c r="U547" s="3" t="s">
        <v>1380</v>
      </c>
      <c r="V547" s="3" t="s">
        <v>700</v>
      </c>
      <c r="W547" s="3"/>
      <c r="X547" s="3"/>
      <c r="Y547" s="3" t="s">
        <v>2001</v>
      </c>
    </row>
    <row r="548" spans="1:25" ht="60" customHeight="1" x14ac:dyDescent="0.2">
      <c r="A548" s="3" t="s">
        <v>8280</v>
      </c>
      <c r="B548" s="3" t="s">
        <v>8281</v>
      </c>
      <c r="C548" s="3" t="s">
        <v>8166</v>
      </c>
      <c r="D548" s="3">
        <v>588</v>
      </c>
      <c r="E548" s="3" t="s">
        <v>7462</v>
      </c>
      <c r="F548" s="3" t="s">
        <v>4110</v>
      </c>
      <c r="G548" s="11" t="s">
        <v>8282</v>
      </c>
      <c r="H548" s="3" t="s">
        <v>8283</v>
      </c>
      <c r="I548" s="3" t="s">
        <v>3996</v>
      </c>
      <c r="J548" s="3" t="s">
        <v>8284</v>
      </c>
      <c r="K548" s="3" t="s">
        <v>8205</v>
      </c>
      <c r="L548" s="3" t="s">
        <v>650</v>
      </c>
      <c r="M548" s="3" t="s">
        <v>4010</v>
      </c>
      <c r="N548" s="3" t="s">
        <v>3535</v>
      </c>
      <c r="O548" s="3" t="s">
        <v>650</v>
      </c>
      <c r="P548" s="3">
        <v>0</v>
      </c>
      <c r="Q548" s="3" t="s">
        <v>4052</v>
      </c>
      <c r="R548" s="3" t="s">
        <v>1499</v>
      </c>
      <c r="S548" s="3" t="s">
        <v>650</v>
      </c>
      <c r="T548" s="3" t="s">
        <v>650</v>
      </c>
      <c r="U548" s="3" t="s">
        <v>1380</v>
      </c>
      <c r="V548" s="3" t="s">
        <v>700</v>
      </c>
      <c r="W548" s="3"/>
      <c r="X548" s="3"/>
      <c r="Y548" s="3" t="s">
        <v>2001</v>
      </c>
    </row>
    <row r="549" spans="1:25" ht="60" customHeight="1" x14ac:dyDescent="0.2">
      <c r="A549" s="3" t="s">
        <v>8285</v>
      </c>
      <c r="B549" s="3" t="s">
        <v>8286</v>
      </c>
      <c r="C549" s="3" t="s">
        <v>8166</v>
      </c>
      <c r="D549" s="3">
        <v>611</v>
      </c>
      <c r="E549" s="3" t="s">
        <v>4136</v>
      </c>
      <c r="F549" s="3" t="s">
        <v>8287</v>
      </c>
      <c r="G549" s="11" t="s">
        <v>4130</v>
      </c>
      <c r="H549" s="3" t="s">
        <v>4130</v>
      </c>
      <c r="I549" s="3" t="s">
        <v>4131</v>
      </c>
      <c r="J549" s="3" t="s">
        <v>8288</v>
      </c>
      <c r="K549" s="3" t="s">
        <v>4425</v>
      </c>
      <c r="L549" s="3" t="s">
        <v>650</v>
      </c>
      <c r="M549" s="3" t="s">
        <v>4010</v>
      </c>
      <c r="N549" s="3" t="s">
        <v>3535</v>
      </c>
      <c r="O549" s="3" t="s">
        <v>8289</v>
      </c>
      <c r="P549" s="3">
        <v>86</v>
      </c>
      <c r="Q549" s="3" t="s">
        <v>8290</v>
      </c>
      <c r="R549" s="3" t="s">
        <v>8291</v>
      </c>
      <c r="S549" s="3" t="s">
        <v>650</v>
      </c>
      <c r="T549" s="3" t="s">
        <v>650</v>
      </c>
      <c r="U549" s="3" t="s">
        <v>1380</v>
      </c>
      <c r="V549" s="3" t="s">
        <v>700</v>
      </c>
      <c r="W549" s="3"/>
      <c r="X549" s="3"/>
      <c r="Y549" s="3" t="s">
        <v>2001</v>
      </c>
    </row>
    <row r="550" spans="1:25" ht="60" customHeight="1" x14ac:dyDescent="0.2">
      <c r="A550" s="3" t="s">
        <v>8292</v>
      </c>
      <c r="B550" s="3" t="s">
        <v>8293</v>
      </c>
      <c r="C550" s="3" t="s">
        <v>8166</v>
      </c>
      <c r="D550" s="3">
        <v>636</v>
      </c>
      <c r="E550" s="3" t="s">
        <v>4136</v>
      </c>
      <c r="F550" s="3" t="s">
        <v>8294</v>
      </c>
      <c r="G550" s="11" t="s">
        <v>4130</v>
      </c>
      <c r="H550" s="3" t="s">
        <v>4130</v>
      </c>
      <c r="I550" s="3" t="s">
        <v>4131</v>
      </c>
      <c r="J550" s="3" t="s">
        <v>8295</v>
      </c>
      <c r="K550" s="3" t="s">
        <v>4425</v>
      </c>
      <c r="L550" s="3" t="s">
        <v>650</v>
      </c>
      <c r="M550" s="3" t="s">
        <v>4010</v>
      </c>
      <c r="N550" s="3" t="s">
        <v>3535</v>
      </c>
      <c r="O550" s="3" t="s">
        <v>4000</v>
      </c>
      <c r="P550" s="3">
        <v>80</v>
      </c>
      <c r="Q550" s="3" t="s">
        <v>4001</v>
      </c>
      <c r="R550" s="3" t="s">
        <v>8296</v>
      </c>
      <c r="S550" s="3" t="s">
        <v>650</v>
      </c>
      <c r="T550" s="3" t="s">
        <v>650</v>
      </c>
      <c r="U550" s="3" t="s">
        <v>1380</v>
      </c>
      <c r="V550" s="3" t="s">
        <v>700</v>
      </c>
      <c r="W550" s="3"/>
      <c r="X550" s="3"/>
      <c r="Y550" s="3" t="s">
        <v>2001</v>
      </c>
    </row>
    <row r="551" spans="1:25" ht="60" customHeight="1" x14ac:dyDescent="0.2">
      <c r="A551" s="3" t="s">
        <v>8297</v>
      </c>
      <c r="B551" s="3" t="s">
        <v>8298</v>
      </c>
      <c r="C551" s="3" t="s">
        <v>8166</v>
      </c>
      <c r="D551" s="3">
        <v>670</v>
      </c>
      <c r="E551" s="3" t="s">
        <v>7462</v>
      </c>
      <c r="F551" s="3" t="s">
        <v>8299</v>
      </c>
      <c r="G551" s="11" t="s">
        <v>8300</v>
      </c>
      <c r="H551" s="3" t="s">
        <v>8301</v>
      </c>
      <c r="I551" s="3" t="s">
        <v>3996</v>
      </c>
      <c r="J551" s="3" t="s">
        <v>8265</v>
      </c>
      <c r="K551" s="3" t="s">
        <v>8205</v>
      </c>
      <c r="L551" s="3" t="s">
        <v>650</v>
      </c>
      <c r="M551" s="3" t="s">
        <v>4010</v>
      </c>
      <c r="N551" s="3" t="s">
        <v>3535</v>
      </c>
      <c r="O551" s="3" t="s">
        <v>8268</v>
      </c>
      <c r="P551" s="3">
        <v>85</v>
      </c>
      <c r="Q551" s="3" t="s">
        <v>8269</v>
      </c>
      <c r="R551" s="3" t="s">
        <v>8302</v>
      </c>
      <c r="S551" s="3" t="s">
        <v>650</v>
      </c>
      <c r="T551" s="3" t="s">
        <v>650</v>
      </c>
      <c r="U551" s="3" t="s">
        <v>1380</v>
      </c>
      <c r="V551" s="3" t="s">
        <v>700</v>
      </c>
      <c r="W551" s="3"/>
      <c r="X551" s="3"/>
      <c r="Y551" s="3" t="s">
        <v>2001</v>
      </c>
    </row>
    <row r="552" spans="1:25" ht="60" customHeight="1" x14ac:dyDescent="0.2">
      <c r="A552" s="3" t="s">
        <v>8303</v>
      </c>
      <c r="B552" s="3" t="s">
        <v>8304</v>
      </c>
      <c r="C552" s="3" t="s">
        <v>8166</v>
      </c>
      <c r="D552" s="3">
        <v>693</v>
      </c>
      <c r="E552" s="3" t="s">
        <v>4136</v>
      </c>
      <c r="F552" s="3" t="s">
        <v>4110</v>
      </c>
      <c r="G552" s="11" t="s">
        <v>4130</v>
      </c>
      <c r="H552" s="3" t="s">
        <v>4130</v>
      </c>
      <c r="I552" s="3" t="s">
        <v>4131</v>
      </c>
      <c r="J552" s="3" t="s">
        <v>4164</v>
      </c>
      <c r="K552" s="3" t="s">
        <v>4028</v>
      </c>
      <c r="L552" s="3" t="s">
        <v>650</v>
      </c>
      <c r="M552" s="3" t="s">
        <v>4010</v>
      </c>
      <c r="N552" s="3" t="s">
        <v>3535</v>
      </c>
      <c r="O552" s="3" t="s">
        <v>650</v>
      </c>
      <c r="P552" s="3">
        <v>0</v>
      </c>
      <c r="Q552" s="3" t="s">
        <v>4052</v>
      </c>
      <c r="R552" s="3" t="s">
        <v>1499</v>
      </c>
      <c r="S552" s="3" t="s">
        <v>650</v>
      </c>
      <c r="T552" s="3" t="s">
        <v>650</v>
      </c>
      <c r="U552" s="3" t="s">
        <v>1380</v>
      </c>
      <c r="V552" s="3" t="s">
        <v>700</v>
      </c>
      <c r="W552" s="3"/>
      <c r="X552" s="3"/>
      <c r="Y552" s="3" t="s">
        <v>2001</v>
      </c>
    </row>
    <row r="553" spans="1:25" ht="45" customHeight="1" x14ac:dyDescent="0.2">
      <c r="A553" s="3" t="s">
        <v>8305</v>
      </c>
      <c r="B553" s="3" t="s">
        <v>8306</v>
      </c>
      <c r="C553" s="3" t="s">
        <v>8307</v>
      </c>
      <c r="D553" s="3">
        <v>95</v>
      </c>
      <c r="E553" s="3" t="s">
        <v>4003</v>
      </c>
      <c r="F553" s="3" t="s">
        <v>8308</v>
      </c>
      <c r="G553" s="11" t="s">
        <v>8309</v>
      </c>
      <c r="H553" s="3" t="s">
        <v>8310</v>
      </c>
      <c r="I553" s="3" t="s">
        <v>3996</v>
      </c>
      <c r="J553" s="3" t="s">
        <v>8311</v>
      </c>
      <c r="K553" s="3" t="s">
        <v>4484</v>
      </c>
      <c r="L553" s="3" t="s">
        <v>4020</v>
      </c>
      <c r="M553" s="3" t="s">
        <v>4010</v>
      </c>
      <c r="N553" s="3" t="s">
        <v>3535</v>
      </c>
      <c r="O553" s="3" t="s">
        <v>650</v>
      </c>
      <c r="P553" s="3">
        <v>0</v>
      </c>
      <c r="Q553" s="3" t="s">
        <v>4052</v>
      </c>
      <c r="R553" s="3" t="s">
        <v>1499</v>
      </c>
      <c r="S553" s="3" t="s">
        <v>650</v>
      </c>
      <c r="T553" s="3" t="s">
        <v>8312</v>
      </c>
      <c r="U553" s="3" t="s">
        <v>1380</v>
      </c>
      <c r="V553" s="3" t="s">
        <v>700</v>
      </c>
      <c r="W553" s="3"/>
      <c r="X553" s="3"/>
      <c r="Y553" s="3" t="s">
        <v>2001</v>
      </c>
    </row>
    <row r="554" spans="1:25" ht="60" customHeight="1" x14ac:dyDescent="0.2">
      <c r="A554" s="3" t="s">
        <v>1492</v>
      </c>
      <c r="B554" s="3" t="s">
        <v>1491</v>
      </c>
      <c r="C554" s="3" t="s">
        <v>8307</v>
      </c>
      <c r="D554" s="3">
        <v>119</v>
      </c>
      <c r="E554" s="3" t="s">
        <v>4003</v>
      </c>
      <c r="F554" s="3" t="s">
        <v>8313</v>
      </c>
      <c r="G554" s="11" t="s">
        <v>8314</v>
      </c>
      <c r="H554" s="3" t="s">
        <v>8315</v>
      </c>
      <c r="I554" s="3" t="s">
        <v>4290</v>
      </c>
      <c r="J554" s="3" t="s">
        <v>8316</v>
      </c>
      <c r="K554" s="3" t="s">
        <v>8317</v>
      </c>
      <c r="L554" s="3" t="s">
        <v>4020</v>
      </c>
      <c r="M554" s="3" t="s">
        <v>4010</v>
      </c>
      <c r="N554" s="3" t="s">
        <v>3535</v>
      </c>
      <c r="O554" s="3" t="s">
        <v>650</v>
      </c>
      <c r="P554" s="3">
        <v>0</v>
      </c>
      <c r="Q554" s="3" t="s">
        <v>4052</v>
      </c>
      <c r="R554" s="3" t="s">
        <v>1499</v>
      </c>
      <c r="S554" s="3" t="s">
        <v>1487</v>
      </c>
      <c r="T554" s="3" t="s">
        <v>3661</v>
      </c>
      <c r="U554" s="3" t="s">
        <v>1380</v>
      </c>
      <c r="V554" s="3" t="s">
        <v>700</v>
      </c>
      <c r="W554" s="3"/>
      <c r="X554" s="3"/>
      <c r="Y554" s="3" t="s">
        <v>2001</v>
      </c>
    </row>
    <row r="555" spans="1:25" ht="60" customHeight="1" x14ac:dyDescent="0.2">
      <c r="A555" s="3" t="s">
        <v>8318</v>
      </c>
      <c r="B555" s="3" t="s">
        <v>8319</v>
      </c>
      <c r="C555" s="3" t="s">
        <v>8307</v>
      </c>
      <c r="D555" s="3">
        <v>161</v>
      </c>
      <c r="E555" s="3" t="s">
        <v>3992</v>
      </c>
      <c r="F555" s="3" t="s">
        <v>8320</v>
      </c>
      <c r="G555" s="11" t="s">
        <v>8321</v>
      </c>
      <c r="H555" s="3" t="s">
        <v>8322</v>
      </c>
      <c r="I555" s="3" t="s">
        <v>3996</v>
      </c>
      <c r="J555" s="3" t="s">
        <v>4164</v>
      </c>
      <c r="K555" s="3" t="s">
        <v>4028</v>
      </c>
      <c r="L555" s="3" t="s">
        <v>650</v>
      </c>
      <c r="M555" s="3" t="s">
        <v>4010</v>
      </c>
      <c r="N555" s="3" t="s">
        <v>3535</v>
      </c>
      <c r="O555" s="3" t="s">
        <v>5525</v>
      </c>
      <c r="P555" s="3">
        <v>1</v>
      </c>
      <c r="Q555" s="3" t="s">
        <v>5525</v>
      </c>
      <c r="R555" s="3" t="s">
        <v>8323</v>
      </c>
      <c r="S555" s="3" t="s">
        <v>650</v>
      </c>
      <c r="T555" s="3" t="s">
        <v>3809</v>
      </c>
      <c r="U555" s="3" t="s">
        <v>1380</v>
      </c>
      <c r="V555" s="3" t="s">
        <v>539</v>
      </c>
      <c r="W555" s="3"/>
      <c r="X555" s="3"/>
      <c r="Y555" s="3" t="s">
        <v>2001</v>
      </c>
    </row>
    <row r="556" spans="1:25" ht="60" customHeight="1" x14ac:dyDescent="0.2">
      <c r="A556" s="3" t="s">
        <v>8324</v>
      </c>
      <c r="B556" s="3" t="s">
        <v>8325</v>
      </c>
      <c r="C556" s="3" t="s">
        <v>8326</v>
      </c>
      <c r="D556" s="3">
        <v>34</v>
      </c>
      <c r="E556" s="3" t="s">
        <v>4003</v>
      </c>
      <c r="F556" s="3" t="s">
        <v>4110</v>
      </c>
      <c r="G556" s="11" t="s">
        <v>8327</v>
      </c>
      <c r="H556" s="3" t="s">
        <v>8328</v>
      </c>
      <c r="I556" s="3" t="s">
        <v>4018</v>
      </c>
      <c r="J556" s="3" t="s">
        <v>4164</v>
      </c>
      <c r="K556" s="3" t="s">
        <v>7982</v>
      </c>
      <c r="L556" s="3" t="s">
        <v>4020</v>
      </c>
      <c r="M556" s="3" t="s">
        <v>4010</v>
      </c>
      <c r="N556" s="3" t="s">
        <v>3535</v>
      </c>
      <c r="O556" s="3" t="s">
        <v>650</v>
      </c>
      <c r="P556" s="3">
        <v>0</v>
      </c>
      <c r="Q556" s="3" t="s">
        <v>4052</v>
      </c>
      <c r="R556" s="3" t="s">
        <v>1499</v>
      </c>
      <c r="S556" s="3" t="s">
        <v>650</v>
      </c>
      <c r="T556" s="3" t="s">
        <v>650</v>
      </c>
      <c r="U556" s="3" t="s">
        <v>1380</v>
      </c>
      <c r="V556" s="3" t="s">
        <v>700</v>
      </c>
      <c r="W556" s="3"/>
      <c r="X556" s="3"/>
      <c r="Y556" s="3" t="s">
        <v>2001</v>
      </c>
    </row>
    <row r="557" spans="1:25" ht="30" customHeight="1" x14ac:dyDescent="0.2">
      <c r="A557" s="3" t="s">
        <v>8329</v>
      </c>
      <c r="B557" s="3" t="s">
        <v>8330</v>
      </c>
      <c r="C557" s="3" t="s">
        <v>8326</v>
      </c>
      <c r="D557" s="3">
        <v>60</v>
      </c>
      <c r="E557" s="3" t="s">
        <v>4136</v>
      </c>
      <c r="F557" s="3" t="s">
        <v>8331</v>
      </c>
      <c r="G557" s="11" t="s">
        <v>8332</v>
      </c>
      <c r="H557" s="3" t="s">
        <v>8333</v>
      </c>
      <c r="I557" s="3" t="s">
        <v>4290</v>
      </c>
      <c r="J557" s="3" t="s">
        <v>4164</v>
      </c>
      <c r="K557" s="3" t="s">
        <v>4028</v>
      </c>
      <c r="L557" s="3" t="s">
        <v>650</v>
      </c>
      <c r="M557" s="3" t="s">
        <v>4010</v>
      </c>
      <c r="N557" s="3" t="s">
        <v>3419</v>
      </c>
      <c r="O557" s="3" t="s">
        <v>650</v>
      </c>
      <c r="P557" s="3">
        <v>0</v>
      </c>
      <c r="Q557" s="3" t="s">
        <v>4052</v>
      </c>
      <c r="R557" s="3" t="s">
        <v>1499</v>
      </c>
      <c r="S557" s="3" t="s">
        <v>650</v>
      </c>
      <c r="T557" s="3" t="s">
        <v>650</v>
      </c>
      <c r="U557" s="3" t="s">
        <v>1380</v>
      </c>
      <c r="V557" s="3" t="s">
        <v>539</v>
      </c>
      <c r="W557" s="3"/>
      <c r="X557" s="3"/>
      <c r="Y557" s="3" t="s">
        <v>2001</v>
      </c>
    </row>
    <row r="558" spans="1:25" ht="30" customHeight="1" x14ac:dyDescent="0.2">
      <c r="A558" s="3" t="s">
        <v>8334</v>
      </c>
      <c r="B558" s="3" t="s">
        <v>8335</v>
      </c>
      <c r="C558" s="3" t="s">
        <v>8326</v>
      </c>
      <c r="D558" s="3">
        <v>94</v>
      </c>
      <c r="E558" s="3" t="s">
        <v>4136</v>
      </c>
      <c r="F558" s="3" t="s">
        <v>8336</v>
      </c>
      <c r="G558" s="11" t="s">
        <v>8337</v>
      </c>
      <c r="H558" s="3" t="s">
        <v>8338</v>
      </c>
      <c r="I558" s="3" t="s">
        <v>4290</v>
      </c>
      <c r="J558" s="3" t="s">
        <v>4164</v>
      </c>
      <c r="K558" s="3" t="s">
        <v>4028</v>
      </c>
      <c r="L558" s="3" t="s">
        <v>650</v>
      </c>
      <c r="M558" s="3" t="s">
        <v>4010</v>
      </c>
      <c r="N558" s="3" t="s">
        <v>3419</v>
      </c>
      <c r="O558" s="3" t="s">
        <v>650</v>
      </c>
      <c r="P558" s="3">
        <v>0</v>
      </c>
      <c r="Q558" s="3" t="s">
        <v>4052</v>
      </c>
      <c r="R558" s="3" t="s">
        <v>1499</v>
      </c>
      <c r="S558" s="3" t="s">
        <v>650</v>
      </c>
      <c r="T558" s="3" t="s">
        <v>650</v>
      </c>
      <c r="U558" s="3" t="s">
        <v>1380</v>
      </c>
      <c r="V558" s="3" t="s">
        <v>539</v>
      </c>
      <c r="W558" s="3"/>
      <c r="X558" s="3"/>
      <c r="Y558" s="3" t="s">
        <v>2001</v>
      </c>
    </row>
    <row r="559" spans="1:25" ht="60" customHeight="1" x14ac:dyDescent="0.2">
      <c r="A559" s="3" t="s">
        <v>8339</v>
      </c>
      <c r="B559" s="3" t="s">
        <v>8340</v>
      </c>
      <c r="C559" s="3" t="s">
        <v>8326</v>
      </c>
      <c r="D559" s="3">
        <v>121</v>
      </c>
      <c r="E559" s="3" t="s">
        <v>4003</v>
      </c>
      <c r="F559" s="3" t="s">
        <v>8341</v>
      </c>
      <c r="G559" s="11" t="s">
        <v>8342</v>
      </c>
      <c r="H559" s="3" t="s">
        <v>8343</v>
      </c>
      <c r="I559" s="3" t="s">
        <v>3996</v>
      </c>
      <c r="J559" s="3" t="s">
        <v>8344</v>
      </c>
      <c r="K559" s="3" t="s">
        <v>4028</v>
      </c>
      <c r="L559" s="3" t="s">
        <v>4020</v>
      </c>
      <c r="M559" s="3" t="s">
        <v>4124</v>
      </c>
      <c r="N559" s="3" t="s">
        <v>3535</v>
      </c>
      <c r="O559" s="3" t="s">
        <v>650</v>
      </c>
      <c r="P559" s="3">
        <v>0</v>
      </c>
      <c r="Q559" s="3" t="s">
        <v>4052</v>
      </c>
      <c r="R559" s="3" t="s">
        <v>1499</v>
      </c>
      <c r="S559" s="3" t="s">
        <v>650</v>
      </c>
      <c r="T559" s="3" t="s">
        <v>650</v>
      </c>
      <c r="U559" s="3" t="s">
        <v>1380</v>
      </c>
      <c r="V559" s="3" t="s">
        <v>700</v>
      </c>
      <c r="W559" s="3"/>
      <c r="X559" s="3"/>
      <c r="Y559" s="3" t="s">
        <v>2001</v>
      </c>
    </row>
    <row r="560" spans="1:25" ht="45" customHeight="1" x14ac:dyDescent="0.2">
      <c r="A560" s="3" t="s">
        <v>8345</v>
      </c>
      <c r="B560" s="3" t="s">
        <v>8346</v>
      </c>
      <c r="C560" s="3" t="s">
        <v>8326</v>
      </c>
      <c r="D560" s="3">
        <v>158</v>
      </c>
      <c r="E560" s="3" t="s">
        <v>4136</v>
      </c>
      <c r="F560" s="3" t="s">
        <v>8347</v>
      </c>
      <c r="G560" s="11" t="s">
        <v>8348</v>
      </c>
      <c r="H560" s="3" t="s">
        <v>8349</v>
      </c>
      <c r="I560" s="3" t="s">
        <v>4290</v>
      </c>
      <c r="J560" s="3" t="s">
        <v>8350</v>
      </c>
      <c r="K560" s="3" t="s">
        <v>4028</v>
      </c>
      <c r="L560" s="3" t="s">
        <v>650</v>
      </c>
      <c r="M560" s="3" t="s">
        <v>4056</v>
      </c>
      <c r="N560" s="3" t="s">
        <v>3419</v>
      </c>
      <c r="O560" s="3" t="s">
        <v>650</v>
      </c>
      <c r="P560" s="3">
        <v>0</v>
      </c>
      <c r="Q560" s="3" t="s">
        <v>4052</v>
      </c>
      <c r="R560" s="3" t="s">
        <v>1499</v>
      </c>
      <c r="S560" s="3" t="s">
        <v>650</v>
      </c>
      <c r="T560" s="3" t="s">
        <v>650</v>
      </c>
      <c r="U560" s="3" t="s">
        <v>1380</v>
      </c>
      <c r="V560" s="3" t="s">
        <v>539</v>
      </c>
      <c r="W560" s="3"/>
      <c r="X560" s="3"/>
      <c r="Y560" s="3" t="s">
        <v>2001</v>
      </c>
    </row>
    <row r="561" spans="1:25" ht="30" customHeight="1" x14ac:dyDescent="0.2">
      <c r="A561" s="3" t="s">
        <v>8351</v>
      </c>
      <c r="B561" s="3" t="s">
        <v>8352</v>
      </c>
      <c r="C561" s="3" t="s">
        <v>8326</v>
      </c>
      <c r="D561" s="3">
        <v>186</v>
      </c>
      <c r="E561" s="3" t="s">
        <v>4136</v>
      </c>
      <c r="F561" s="3" t="s">
        <v>8353</v>
      </c>
      <c r="G561" s="11" t="s">
        <v>8354</v>
      </c>
      <c r="H561" s="3" t="s">
        <v>8355</v>
      </c>
      <c r="I561" s="3" t="s">
        <v>4290</v>
      </c>
      <c r="J561" s="3" t="s">
        <v>4164</v>
      </c>
      <c r="K561" s="3" t="s">
        <v>4028</v>
      </c>
      <c r="L561" s="3" t="s">
        <v>650</v>
      </c>
      <c r="M561" s="3" t="s">
        <v>4010</v>
      </c>
      <c r="N561" s="3" t="s">
        <v>3419</v>
      </c>
      <c r="O561" s="3" t="s">
        <v>650</v>
      </c>
      <c r="P561" s="3">
        <v>0</v>
      </c>
      <c r="Q561" s="3" t="s">
        <v>4052</v>
      </c>
      <c r="R561" s="3" t="s">
        <v>1499</v>
      </c>
      <c r="S561" s="3" t="s">
        <v>650</v>
      </c>
      <c r="T561" s="3" t="s">
        <v>650</v>
      </c>
      <c r="U561" s="3" t="s">
        <v>1380</v>
      </c>
      <c r="V561" s="3" t="s">
        <v>539</v>
      </c>
      <c r="W561" s="3"/>
      <c r="X561" s="3"/>
      <c r="Y561" s="3" t="s">
        <v>2001</v>
      </c>
    </row>
    <row r="562" spans="1:25" ht="45" customHeight="1" x14ac:dyDescent="0.2">
      <c r="A562" s="3" t="s">
        <v>8356</v>
      </c>
      <c r="B562" s="3" t="s">
        <v>8357</v>
      </c>
      <c r="C562" s="3" t="s">
        <v>8326</v>
      </c>
      <c r="D562" s="3">
        <v>221</v>
      </c>
      <c r="E562" s="3" t="s">
        <v>4129</v>
      </c>
      <c r="F562" s="3" t="s">
        <v>8358</v>
      </c>
      <c r="G562" s="11" t="s">
        <v>8359</v>
      </c>
      <c r="H562" s="3" t="s">
        <v>8360</v>
      </c>
      <c r="I562" s="3" t="s">
        <v>4018</v>
      </c>
      <c r="J562" s="3" t="s">
        <v>4164</v>
      </c>
      <c r="K562" s="3" t="s">
        <v>4028</v>
      </c>
      <c r="L562" s="3" t="s">
        <v>650</v>
      </c>
      <c r="M562" s="3" t="s">
        <v>4010</v>
      </c>
      <c r="N562" s="3" t="s">
        <v>3419</v>
      </c>
      <c r="O562" s="3" t="s">
        <v>650</v>
      </c>
      <c r="P562" s="3">
        <v>0</v>
      </c>
      <c r="Q562" s="3" t="s">
        <v>4052</v>
      </c>
      <c r="R562" s="3" t="s">
        <v>1499</v>
      </c>
      <c r="S562" s="3" t="s">
        <v>650</v>
      </c>
      <c r="T562" s="3" t="s">
        <v>650</v>
      </c>
      <c r="U562" s="3" t="s">
        <v>1380</v>
      </c>
      <c r="V562" s="3" t="s">
        <v>700</v>
      </c>
      <c r="W562" s="3"/>
      <c r="X562" s="3"/>
      <c r="Y562" s="3" t="s">
        <v>2001</v>
      </c>
    </row>
    <row r="563" spans="1:25" ht="60" customHeight="1" x14ac:dyDescent="0.2">
      <c r="A563" s="3" t="s">
        <v>8361</v>
      </c>
      <c r="B563" s="3" t="s">
        <v>8362</v>
      </c>
      <c r="C563" s="3" t="s">
        <v>8326</v>
      </c>
      <c r="D563" s="3">
        <v>253</v>
      </c>
      <c r="E563" s="3" t="s">
        <v>4003</v>
      </c>
      <c r="F563" s="3" t="s">
        <v>8363</v>
      </c>
      <c r="G563" s="11" t="s">
        <v>8364</v>
      </c>
      <c r="H563" s="3" t="s">
        <v>8365</v>
      </c>
      <c r="I563" s="3" t="s">
        <v>3996</v>
      </c>
      <c r="J563" s="3" t="s">
        <v>8366</v>
      </c>
      <c r="K563" s="3" t="s">
        <v>4028</v>
      </c>
      <c r="L563" s="3" t="s">
        <v>4020</v>
      </c>
      <c r="M563" s="3" t="s">
        <v>4124</v>
      </c>
      <c r="N563" s="3" t="s">
        <v>3535</v>
      </c>
      <c r="O563" s="3" t="s">
        <v>650</v>
      </c>
      <c r="P563" s="3">
        <v>0</v>
      </c>
      <c r="Q563" s="3" t="s">
        <v>4052</v>
      </c>
      <c r="R563" s="3" t="s">
        <v>1499</v>
      </c>
      <c r="S563" s="3" t="s">
        <v>650</v>
      </c>
      <c r="T563" s="3" t="s">
        <v>650</v>
      </c>
      <c r="U563" s="3" t="s">
        <v>1380</v>
      </c>
      <c r="V563" s="3" t="s">
        <v>700</v>
      </c>
      <c r="W563" s="3"/>
      <c r="X563" s="3"/>
      <c r="Y563" s="3" t="s">
        <v>2001</v>
      </c>
    </row>
    <row r="564" spans="1:25" ht="60" customHeight="1" x14ac:dyDescent="0.2">
      <c r="A564" s="3" t="s">
        <v>8367</v>
      </c>
      <c r="B564" s="3" t="s">
        <v>8368</v>
      </c>
      <c r="C564" s="3" t="s">
        <v>8369</v>
      </c>
      <c r="D564" s="3">
        <v>40</v>
      </c>
      <c r="E564" s="3" t="s">
        <v>7462</v>
      </c>
      <c r="F564" s="3" t="s">
        <v>8370</v>
      </c>
      <c r="G564" s="11" t="s">
        <v>8371</v>
      </c>
      <c r="H564" s="3" t="s">
        <v>8372</v>
      </c>
      <c r="I564" s="3" t="s">
        <v>3996</v>
      </c>
      <c r="J564" s="3" t="s">
        <v>8373</v>
      </c>
      <c r="K564" s="3" t="s">
        <v>8374</v>
      </c>
      <c r="L564" s="3" t="s">
        <v>650</v>
      </c>
      <c r="M564" s="3" t="s">
        <v>4010</v>
      </c>
      <c r="N564" s="3" t="s">
        <v>3419</v>
      </c>
      <c r="O564" s="3" t="s">
        <v>8375</v>
      </c>
      <c r="P564" s="3">
        <v>7</v>
      </c>
      <c r="Q564" s="3" t="s">
        <v>8376</v>
      </c>
      <c r="R564" s="3" t="s">
        <v>8377</v>
      </c>
      <c r="S564" s="3" t="s">
        <v>650</v>
      </c>
      <c r="T564" s="3" t="s">
        <v>650</v>
      </c>
      <c r="U564" s="3" t="s">
        <v>1380</v>
      </c>
      <c r="V564" s="3" t="s">
        <v>700</v>
      </c>
      <c r="W564" s="3"/>
      <c r="X564" s="3"/>
      <c r="Y564" s="3" t="s">
        <v>2001</v>
      </c>
    </row>
    <row r="565" spans="1:25" ht="45" customHeight="1" x14ac:dyDescent="0.2">
      <c r="A565" s="3" t="s">
        <v>8378</v>
      </c>
      <c r="B565" s="3" t="s">
        <v>8379</v>
      </c>
      <c r="C565" s="3" t="s">
        <v>8369</v>
      </c>
      <c r="D565" s="3">
        <v>109</v>
      </c>
      <c r="E565" s="3" t="s">
        <v>3992</v>
      </c>
      <c r="F565" s="3" t="s">
        <v>8380</v>
      </c>
      <c r="G565" s="11" t="s">
        <v>8381</v>
      </c>
      <c r="H565" s="3" t="s">
        <v>8382</v>
      </c>
      <c r="I565" s="3" t="s">
        <v>4290</v>
      </c>
      <c r="J565" s="3" t="s">
        <v>8383</v>
      </c>
      <c r="K565" s="3" t="s">
        <v>4844</v>
      </c>
      <c r="L565" s="3" t="s">
        <v>650</v>
      </c>
      <c r="M565" s="3" t="s">
        <v>4010</v>
      </c>
      <c r="N565" s="3" t="s">
        <v>3535</v>
      </c>
      <c r="O565" s="3" t="s">
        <v>650</v>
      </c>
      <c r="P565" s="3">
        <v>0</v>
      </c>
      <c r="Q565" s="3" t="s">
        <v>4052</v>
      </c>
      <c r="R565" s="3" t="s">
        <v>1499</v>
      </c>
      <c r="S565" s="3" t="s">
        <v>650</v>
      </c>
      <c r="T565" s="3" t="s">
        <v>650</v>
      </c>
      <c r="U565" s="3" t="s">
        <v>1380</v>
      </c>
      <c r="V565" s="3" t="s">
        <v>539</v>
      </c>
      <c r="W565" s="3"/>
      <c r="X565" s="3"/>
      <c r="Y565" s="3" t="s">
        <v>2001</v>
      </c>
    </row>
    <row r="566" spans="1:25" ht="60" customHeight="1" x14ac:dyDescent="0.2">
      <c r="A566" s="3" t="s">
        <v>8384</v>
      </c>
      <c r="B566" s="3" t="s">
        <v>8385</v>
      </c>
      <c r="C566" s="3" t="s">
        <v>8369</v>
      </c>
      <c r="D566" s="3">
        <v>155</v>
      </c>
      <c r="E566" s="3" t="s">
        <v>4129</v>
      </c>
      <c r="F566" s="3" t="s">
        <v>4110</v>
      </c>
      <c r="G566" s="11" t="s">
        <v>8386</v>
      </c>
      <c r="H566" s="3" t="s">
        <v>8387</v>
      </c>
      <c r="I566" s="3" t="s">
        <v>3996</v>
      </c>
      <c r="J566" s="3" t="s">
        <v>7170</v>
      </c>
      <c r="K566" s="3" t="s">
        <v>8388</v>
      </c>
      <c r="L566" s="3" t="s">
        <v>650</v>
      </c>
      <c r="M566" s="3" t="s">
        <v>8389</v>
      </c>
      <c r="N566" s="3" t="s">
        <v>3419</v>
      </c>
      <c r="O566" s="3" t="s">
        <v>8390</v>
      </c>
      <c r="P566" s="3">
        <v>6</v>
      </c>
      <c r="Q566" s="3" t="s">
        <v>8391</v>
      </c>
      <c r="R566" s="3" t="s">
        <v>8392</v>
      </c>
      <c r="S566" s="3" t="s">
        <v>650</v>
      </c>
      <c r="T566" s="3" t="s">
        <v>650</v>
      </c>
      <c r="U566" s="3" t="s">
        <v>1380</v>
      </c>
      <c r="V566" s="3" t="s">
        <v>700</v>
      </c>
      <c r="W566" s="3"/>
      <c r="X566" s="3"/>
      <c r="Y566" s="3" t="s">
        <v>2001</v>
      </c>
    </row>
    <row r="567" spans="1:25" ht="60" customHeight="1" x14ac:dyDescent="0.2">
      <c r="A567" s="3" t="s">
        <v>8393</v>
      </c>
      <c r="B567" s="3" t="s">
        <v>8394</v>
      </c>
      <c r="C567" s="3" t="s">
        <v>8149</v>
      </c>
      <c r="D567" s="3">
        <v>27</v>
      </c>
      <c r="E567" s="3" t="s">
        <v>4003</v>
      </c>
      <c r="F567" s="3" t="s">
        <v>4110</v>
      </c>
      <c r="G567" s="11" t="s">
        <v>8395</v>
      </c>
      <c r="H567" s="3" t="s">
        <v>8396</v>
      </c>
      <c r="I567" s="3" t="s">
        <v>4290</v>
      </c>
      <c r="J567" s="3" t="s">
        <v>4164</v>
      </c>
      <c r="K567" s="3" t="s">
        <v>4484</v>
      </c>
      <c r="L567" s="3" t="s">
        <v>4020</v>
      </c>
      <c r="M567" s="3" t="s">
        <v>4010</v>
      </c>
      <c r="N567" s="3" t="s">
        <v>3535</v>
      </c>
      <c r="O567" s="3" t="s">
        <v>650</v>
      </c>
      <c r="P567" s="3">
        <v>0</v>
      </c>
      <c r="Q567" s="3" t="s">
        <v>4052</v>
      </c>
      <c r="R567" s="3" t="s">
        <v>1499</v>
      </c>
      <c r="S567" s="3" t="s">
        <v>650</v>
      </c>
      <c r="T567" s="3" t="s">
        <v>650</v>
      </c>
      <c r="U567" s="3" t="s">
        <v>1380</v>
      </c>
      <c r="V567" s="3" t="s">
        <v>539</v>
      </c>
      <c r="W567" s="3"/>
      <c r="X567" s="3"/>
      <c r="Y567" s="3" t="s">
        <v>2001</v>
      </c>
    </row>
    <row r="568" spans="1:25" ht="60" customHeight="1" x14ac:dyDescent="0.2">
      <c r="A568" s="3" t="s">
        <v>8397</v>
      </c>
      <c r="B568" s="3" t="s">
        <v>8398</v>
      </c>
      <c r="C568" s="3" t="s">
        <v>8149</v>
      </c>
      <c r="D568" s="3">
        <v>55</v>
      </c>
      <c r="E568" s="3" t="s">
        <v>4003</v>
      </c>
      <c r="F568" s="3" t="s">
        <v>8399</v>
      </c>
      <c r="G568" s="11" t="s">
        <v>8400</v>
      </c>
      <c r="H568" s="3" t="s">
        <v>8401</v>
      </c>
      <c r="I568" s="3" t="s">
        <v>3996</v>
      </c>
      <c r="J568" s="3" t="s">
        <v>8402</v>
      </c>
      <c r="K568" s="3" t="s">
        <v>8033</v>
      </c>
      <c r="L568" s="3" t="s">
        <v>4020</v>
      </c>
      <c r="M568" s="3" t="s">
        <v>4010</v>
      </c>
      <c r="N568" s="3" t="s">
        <v>3535</v>
      </c>
      <c r="O568" s="3" t="s">
        <v>650</v>
      </c>
      <c r="P568" s="3">
        <v>0</v>
      </c>
      <c r="Q568" s="3" t="s">
        <v>4052</v>
      </c>
      <c r="R568" s="3" t="s">
        <v>1499</v>
      </c>
      <c r="S568" s="3" t="s">
        <v>650</v>
      </c>
      <c r="T568" s="3" t="s">
        <v>650</v>
      </c>
      <c r="U568" s="3" t="s">
        <v>1380</v>
      </c>
      <c r="V568" s="3" t="s">
        <v>700</v>
      </c>
      <c r="W568" s="3"/>
      <c r="X568" s="3"/>
      <c r="Y568" s="3" t="s">
        <v>2001</v>
      </c>
    </row>
    <row r="569" spans="1:25" ht="60" customHeight="1" x14ac:dyDescent="0.2">
      <c r="A569" s="3" t="s">
        <v>8403</v>
      </c>
      <c r="B569" s="3" t="s">
        <v>8404</v>
      </c>
      <c r="C569" s="3" t="s">
        <v>8149</v>
      </c>
      <c r="D569" s="3">
        <v>172</v>
      </c>
      <c r="E569" s="3" t="s">
        <v>7714</v>
      </c>
      <c r="F569" s="3" t="s">
        <v>4110</v>
      </c>
      <c r="G569" s="11" t="s">
        <v>8405</v>
      </c>
      <c r="H569" s="3" t="s">
        <v>8406</v>
      </c>
      <c r="I569" s="3" t="s">
        <v>3996</v>
      </c>
      <c r="J569" s="3" t="s">
        <v>8407</v>
      </c>
      <c r="K569" s="3" t="s">
        <v>8205</v>
      </c>
      <c r="L569" s="3" t="s">
        <v>4020</v>
      </c>
      <c r="M569" s="3" t="s">
        <v>4010</v>
      </c>
      <c r="N569" s="3" t="s">
        <v>3535</v>
      </c>
      <c r="O569" s="3" t="s">
        <v>8408</v>
      </c>
      <c r="P569" s="3">
        <v>6</v>
      </c>
      <c r="Q569" s="3" t="s">
        <v>8409</v>
      </c>
      <c r="R569" s="3" t="s">
        <v>8410</v>
      </c>
      <c r="S569" s="3" t="s">
        <v>650</v>
      </c>
      <c r="T569" s="3" t="s">
        <v>650</v>
      </c>
      <c r="U569" s="3" t="s">
        <v>1380</v>
      </c>
      <c r="V569" s="3" t="s">
        <v>700</v>
      </c>
      <c r="W569" s="3"/>
      <c r="X569" s="3"/>
      <c r="Y569" s="3" t="s">
        <v>2001</v>
      </c>
    </row>
    <row r="570" spans="1:25" ht="60" customHeight="1" x14ac:dyDescent="0.2">
      <c r="A570" s="3" t="s">
        <v>8411</v>
      </c>
      <c r="B570" s="3" t="s">
        <v>8412</v>
      </c>
      <c r="C570" s="3" t="s">
        <v>8413</v>
      </c>
      <c r="D570" s="3">
        <v>66</v>
      </c>
      <c r="E570" s="3" t="s">
        <v>4136</v>
      </c>
      <c r="F570" s="3" t="s">
        <v>4110</v>
      </c>
      <c r="G570" s="11" t="s">
        <v>4137</v>
      </c>
      <c r="H570" s="3" t="s">
        <v>4137</v>
      </c>
      <c r="I570" s="3" t="s">
        <v>4131</v>
      </c>
      <c r="J570" s="3" t="s">
        <v>8414</v>
      </c>
      <c r="K570" s="3" t="s">
        <v>4028</v>
      </c>
      <c r="L570" s="3" t="s">
        <v>650</v>
      </c>
      <c r="M570" s="3" t="s">
        <v>4010</v>
      </c>
      <c r="N570" s="3" t="s">
        <v>3419</v>
      </c>
      <c r="O570" s="3" t="s">
        <v>650</v>
      </c>
      <c r="P570" s="3">
        <v>0</v>
      </c>
      <c r="Q570" s="3" t="s">
        <v>4052</v>
      </c>
      <c r="R570" s="3" t="s">
        <v>1499</v>
      </c>
      <c r="S570" s="3" t="s">
        <v>650</v>
      </c>
      <c r="T570" s="3" t="s">
        <v>650</v>
      </c>
      <c r="U570" s="3" t="s">
        <v>1380</v>
      </c>
      <c r="V570" s="3" t="s">
        <v>700</v>
      </c>
      <c r="W570" s="3"/>
      <c r="X570" s="3"/>
      <c r="Y570" s="3" t="s">
        <v>2001</v>
      </c>
    </row>
    <row r="571" spans="1:25" ht="60" customHeight="1" x14ac:dyDescent="0.2">
      <c r="A571" s="3" t="s">
        <v>8415</v>
      </c>
      <c r="B571" s="3" t="s">
        <v>8416</v>
      </c>
      <c r="C571" s="3" t="s">
        <v>8413</v>
      </c>
      <c r="D571" s="3">
        <v>87</v>
      </c>
      <c r="E571" s="3" t="s">
        <v>4003</v>
      </c>
      <c r="F571" s="3" t="s">
        <v>8417</v>
      </c>
      <c r="G571" s="11" t="s">
        <v>8418</v>
      </c>
      <c r="H571" s="3" t="s">
        <v>8419</v>
      </c>
      <c r="I571" s="3" t="s">
        <v>3996</v>
      </c>
      <c r="J571" s="3" t="s">
        <v>4164</v>
      </c>
      <c r="K571" s="3" t="s">
        <v>8420</v>
      </c>
      <c r="L571" s="3" t="s">
        <v>4020</v>
      </c>
      <c r="M571" s="3" t="s">
        <v>4010</v>
      </c>
      <c r="N571" s="3" t="s">
        <v>3535</v>
      </c>
      <c r="O571" s="3" t="s">
        <v>650</v>
      </c>
      <c r="P571" s="3">
        <v>0</v>
      </c>
      <c r="Q571" s="3" t="s">
        <v>4052</v>
      </c>
      <c r="R571" s="3" t="s">
        <v>1499</v>
      </c>
      <c r="S571" s="3" t="s">
        <v>650</v>
      </c>
      <c r="T571" s="3" t="s">
        <v>650</v>
      </c>
      <c r="U571" s="3" t="s">
        <v>1380</v>
      </c>
      <c r="V571" s="3" t="s">
        <v>700</v>
      </c>
      <c r="W571" s="3"/>
      <c r="X571" s="3"/>
      <c r="Y571" s="3" t="s">
        <v>2001</v>
      </c>
    </row>
    <row r="572" spans="1:25" ht="60" customHeight="1" x14ac:dyDescent="0.2">
      <c r="A572" s="3" t="s">
        <v>8421</v>
      </c>
      <c r="B572" s="3" t="s">
        <v>8422</v>
      </c>
      <c r="C572" s="3" t="s">
        <v>8413</v>
      </c>
      <c r="D572" s="3">
        <v>129</v>
      </c>
      <c r="E572" s="3" t="s">
        <v>4003</v>
      </c>
      <c r="F572" s="3" t="s">
        <v>8423</v>
      </c>
      <c r="G572" s="11" t="s">
        <v>8424</v>
      </c>
      <c r="H572" s="3" t="s">
        <v>8425</v>
      </c>
      <c r="I572" s="3" t="s">
        <v>3996</v>
      </c>
      <c r="J572" s="3" t="s">
        <v>8426</v>
      </c>
      <c r="K572" s="3" t="s">
        <v>8427</v>
      </c>
      <c r="L572" s="3" t="s">
        <v>4020</v>
      </c>
      <c r="M572" s="3" t="s">
        <v>4124</v>
      </c>
      <c r="N572" s="3" t="s">
        <v>3535</v>
      </c>
      <c r="O572" s="3" t="s">
        <v>650</v>
      </c>
      <c r="P572" s="3">
        <v>0</v>
      </c>
      <c r="Q572" s="3" t="s">
        <v>4052</v>
      </c>
      <c r="R572" s="3" t="s">
        <v>1499</v>
      </c>
      <c r="S572" s="3" t="s">
        <v>650</v>
      </c>
      <c r="T572" s="3" t="s">
        <v>650</v>
      </c>
      <c r="U572" s="3" t="s">
        <v>1380</v>
      </c>
      <c r="V572" s="3" t="s">
        <v>700</v>
      </c>
      <c r="W572" s="3"/>
      <c r="X572" s="3"/>
      <c r="Y572" s="3" t="s">
        <v>2001</v>
      </c>
    </row>
    <row r="573" spans="1:25" ht="45" customHeight="1" x14ac:dyDescent="0.2">
      <c r="A573" s="3" t="s">
        <v>8428</v>
      </c>
      <c r="B573" s="3" t="s">
        <v>8429</v>
      </c>
      <c r="C573" s="3" t="s">
        <v>8430</v>
      </c>
      <c r="D573" s="3">
        <v>54</v>
      </c>
      <c r="E573" s="3" t="s">
        <v>4136</v>
      </c>
      <c r="F573" s="3" t="s">
        <v>8431</v>
      </c>
      <c r="G573" s="11" t="s">
        <v>8432</v>
      </c>
      <c r="H573" s="3" t="s">
        <v>8433</v>
      </c>
      <c r="I573" s="3" t="s">
        <v>4290</v>
      </c>
      <c r="J573" s="3" t="s">
        <v>8434</v>
      </c>
      <c r="K573" s="3" t="s">
        <v>4028</v>
      </c>
      <c r="L573" s="3" t="s">
        <v>650</v>
      </c>
      <c r="M573" s="3" t="s">
        <v>4010</v>
      </c>
      <c r="N573" s="3" t="s">
        <v>3535</v>
      </c>
      <c r="O573" s="3" t="s">
        <v>650</v>
      </c>
      <c r="P573" s="3">
        <v>0</v>
      </c>
      <c r="Q573" s="3" t="s">
        <v>4052</v>
      </c>
      <c r="R573" s="3" t="s">
        <v>1499</v>
      </c>
      <c r="S573" s="3" t="s">
        <v>650</v>
      </c>
      <c r="T573" s="3" t="s">
        <v>8435</v>
      </c>
      <c r="U573" s="3" t="s">
        <v>1380</v>
      </c>
      <c r="V573" s="3" t="s">
        <v>539</v>
      </c>
      <c r="W573" s="3"/>
      <c r="X573" s="3"/>
      <c r="Y573" s="3" t="s">
        <v>2001</v>
      </c>
    </row>
    <row r="574" spans="1:25" ht="60" customHeight="1" x14ac:dyDescent="0.2">
      <c r="A574" s="3" t="s">
        <v>8436</v>
      </c>
      <c r="B574" s="3" t="s">
        <v>8437</v>
      </c>
      <c r="C574" s="3" t="s">
        <v>8430</v>
      </c>
      <c r="D574" s="3">
        <v>102</v>
      </c>
      <c r="E574" s="3" t="s">
        <v>4129</v>
      </c>
      <c r="F574" s="3" t="s">
        <v>8438</v>
      </c>
      <c r="G574" s="11" t="s">
        <v>8439</v>
      </c>
      <c r="H574" s="3" t="s">
        <v>8440</v>
      </c>
      <c r="I574" s="3" t="s">
        <v>3996</v>
      </c>
      <c r="J574" s="3" t="s">
        <v>4164</v>
      </c>
      <c r="K574" s="3" t="s">
        <v>4028</v>
      </c>
      <c r="L574" s="3" t="s">
        <v>650</v>
      </c>
      <c r="M574" s="3" t="s">
        <v>8441</v>
      </c>
      <c r="N574" s="3" t="s">
        <v>3419</v>
      </c>
      <c r="O574" s="3" t="s">
        <v>8442</v>
      </c>
      <c r="P574" s="3">
        <v>39</v>
      </c>
      <c r="Q574" s="3" t="s">
        <v>8443</v>
      </c>
      <c r="R574" s="3" t="s">
        <v>8444</v>
      </c>
      <c r="S574" s="3" t="s">
        <v>650</v>
      </c>
      <c r="T574" s="3" t="s">
        <v>8445</v>
      </c>
      <c r="U574" s="3" t="s">
        <v>1380</v>
      </c>
      <c r="V574" s="3" t="s">
        <v>700</v>
      </c>
      <c r="W574" s="3"/>
      <c r="X574" s="3"/>
      <c r="Y574" s="3" t="s">
        <v>2001</v>
      </c>
    </row>
    <row r="575" spans="1:25" ht="60" customHeight="1" x14ac:dyDescent="0.2">
      <c r="A575" s="3" t="s">
        <v>8446</v>
      </c>
      <c r="B575" s="3" t="s">
        <v>8447</v>
      </c>
      <c r="C575" s="3" t="s">
        <v>8430</v>
      </c>
      <c r="D575" s="3">
        <v>312</v>
      </c>
      <c r="E575" s="3" t="s">
        <v>4129</v>
      </c>
      <c r="F575" s="3" t="s">
        <v>8448</v>
      </c>
      <c r="G575" s="11" t="s">
        <v>8449</v>
      </c>
      <c r="H575" s="3" t="s">
        <v>8450</v>
      </c>
      <c r="I575" s="3" t="s">
        <v>4018</v>
      </c>
      <c r="J575" s="3" t="s">
        <v>8451</v>
      </c>
      <c r="K575" s="3" t="s">
        <v>4853</v>
      </c>
      <c r="L575" s="3" t="s">
        <v>650</v>
      </c>
      <c r="M575" s="3" t="s">
        <v>4010</v>
      </c>
      <c r="N575" s="3" t="s">
        <v>3419</v>
      </c>
      <c r="O575" s="3" t="s">
        <v>5525</v>
      </c>
      <c r="P575" s="3">
        <v>1</v>
      </c>
      <c r="Q575" s="3" t="s">
        <v>5525</v>
      </c>
      <c r="R575" s="3" t="s">
        <v>8452</v>
      </c>
      <c r="S575" s="3" t="s">
        <v>650</v>
      </c>
      <c r="T575" s="3" t="s">
        <v>8453</v>
      </c>
      <c r="U575" s="3" t="s">
        <v>1380</v>
      </c>
      <c r="V575" s="3" t="s">
        <v>700</v>
      </c>
      <c r="W575" s="3"/>
      <c r="X575" s="3"/>
      <c r="Y575" s="3" t="s">
        <v>2001</v>
      </c>
    </row>
    <row r="576" spans="1:25" ht="60" customHeight="1" x14ac:dyDescent="0.2">
      <c r="A576" s="3" t="s">
        <v>8454</v>
      </c>
      <c r="B576" s="3" t="s">
        <v>8455</v>
      </c>
      <c r="C576" s="3" t="s">
        <v>8456</v>
      </c>
      <c r="D576" s="3">
        <v>124</v>
      </c>
      <c r="E576" s="3" t="s">
        <v>4129</v>
      </c>
      <c r="F576" s="3" t="s">
        <v>8457</v>
      </c>
      <c r="G576" s="11" t="s">
        <v>8458</v>
      </c>
      <c r="H576" s="3" t="s">
        <v>8459</v>
      </c>
      <c r="I576" s="3" t="s">
        <v>3996</v>
      </c>
      <c r="J576" s="3" t="s">
        <v>8460</v>
      </c>
      <c r="K576" s="3" t="s">
        <v>8461</v>
      </c>
      <c r="L576" s="3" t="s">
        <v>650</v>
      </c>
      <c r="M576" s="3" t="s">
        <v>4010</v>
      </c>
      <c r="N576" s="3" t="s">
        <v>3419</v>
      </c>
      <c r="O576" s="3" t="s">
        <v>5264</v>
      </c>
      <c r="P576" s="3">
        <v>1</v>
      </c>
      <c r="Q576" s="3" t="s">
        <v>5264</v>
      </c>
      <c r="R576" s="3" t="s">
        <v>8462</v>
      </c>
      <c r="S576" s="3" t="s">
        <v>650</v>
      </c>
      <c r="T576" s="3" t="s">
        <v>8463</v>
      </c>
      <c r="U576" s="3" t="s">
        <v>1380</v>
      </c>
      <c r="V576" s="3" t="s">
        <v>700</v>
      </c>
      <c r="W576" s="3"/>
      <c r="X576" s="3"/>
      <c r="Y576" s="3" t="s">
        <v>2001</v>
      </c>
    </row>
    <row r="577" spans="1:25" ht="60" customHeight="1" x14ac:dyDescent="0.2">
      <c r="A577" s="3" t="s">
        <v>8464</v>
      </c>
      <c r="B577" s="3" t="s">
        <v>8465</v>
      </c>
      <c r="C577" s="3" t="s">
        <v>8456</v>
      </c>
      <c r="D577" s="3">
        <v>220</v>
      </c>
      <c r="E577" s="3" t="s">
        <v>4129</v>
      </c>
      <c r="F577" s="3" t="s">
        <v>8466</v>
      </c>
      <c r="G577" s="11" t="s">
        <v>8467</v>
      </c>
      <c r="H577" s="3" t="s">
        <v>8468</v>
      </c>
      <c r="I577" s="3" t="s">
        <v>3996</v>
      </c>
      <c r="J577" s="3" t="s">
        <v>8469</v>
      </c>
      <c r="K577" s="3" t="s">
        <v>8470</v>
      </c>
      <c r="L577" s="3" t="s">
        <v>650</v>
      </c>
      <c r="M577" s="3" t="s">
        <v>8471</v>
      </c>
      <c r="N577" s="3" t="s">
        <v>3419</v>
      </c>
      <c r="O577" s="3" t="s">
        <v>8472</v>
      </c>
      <c r="P577" s="3">
        <v>9</v>
      </c>
      <c r="Q577" s="3" t="s">
        <v>8473</v>
      </c>
      <c r="R577" s="3" t="s">
        <v>8474</v>
      </c>
      <c r="S577" s="3" t="s">
        <v>650</v>
      </c>
      <c r="T577" s="3" t="s">
        <v>8475</v>
      </c>
      <c r="U577" s="3" t="s">
        <v>1380</v>
      </c>
      <c r="V577" s="3" t="s">
        <v>700</v>
      </c>
      <c r="W577" s="3"/>
      <c r="X577" s="3"/>
      <c r="Y577" s="3" t="s">
        <v>2001</v>
      </c>
    </row>
    <row r="578" spans="1:25" ht="60" customHeight="1" x14ac:dyDescent="0.2">
      <c r="A578" s="3" t="s">
        <v>8476</v>
      </c>
      <c r="B578" s="3" t="s">
        <v>8477</v>
      </c>
      <c r="C578" s="3" t="s">
        <v>8456</v>
      </c>
      <c r="D578" s="3">
        <v>310</v>
      </c>
      <c r="E578" s="3" t="s">
        <v>4129</v>
      </c>
      <c r="F578" s="3" t="s">
        <v>8478</v>
      </c>
      <c r="G578" s="11" t="s">
        <v>8479</v>
      </c>
      <c r="H578" s="3" t="s">
        <v>8480</v>
      </c>
      <c r="I578" s="3" t="s">
        <v>3996</v>
      </c>
      <c r="J578" s="3" t="s">
        <v>8481</v>
      </c>
      <c r="K578" s="3" t="s">
        <v>8482</v>
      </c>
      <c r="L578" s="3" t="s">
        <v>650</v>
      </c>
      <c r="M578" s="3" t="s">
        <v>8483</v>
      </c>
      <c r="N578" s="3" t="s">
        <v>3419</v>
      </c>
      <c r="O578" s="3" t="s">
        <v>8484</v>
      </c>
      <c r="P578" s="3">
        <v>3</v>
      </c>
      <c r="Q578" s="3" t="s">
        <v>8485</v>
      </c>
      <c r="R578" s="3" t="s">
        <v>8486</v>
      </c>
      <c r="S578" s="3" t="s">
        <v>650</v>
      </c>
      <c r="T578" s="3" t="s">
        <v>8487</v>
      </c>
      <c r="U578" s="3" t="s">
        <v>1380</v>
      </c>
      <c r="V578" s="3" t="s">
        <v>700</v>
      </c>
      <c r="W578" s="3"/>
      <c r="X578" s="3"/>
      <c r="Y578" s="3" t="s">
        <v>2001</v>
      </c>
    </row>
    <row r="579" spans="1:25" ht="60" customHeight="1" x14ac:dyDescent="0.2">
      <c r="A579" s="3" t="s">
        <v>8488</v>
      </c>
      <c r="B579" s="3" t="s">
        <v>8489</v>
      </c>
      <c r="C579" s="3" t="s">
        <v>8456</v>
      </c>
      <c r="D579" s="3">
        <v>372</v>
      </c>
      <c r="E579" s="3" t="s">
        <v>4129</v>
      </c>
      <c r="F579" s="3" t="s">
        <v>8490</v>
      </c>
      <c r="G579" s="11" t="s">
        <v>8491</v>
      </c>
      <c r="H579" s="3" t="s">
        <v>8492</v>
      </c>
      <c r="I579" s="3" t="s">
        <v>3996</v>
      </c>
      <c r="J579" s="3" t="s">
        <v>8493</v>
      </c>
      <c r="K579" s="3" t="s">
        <v>8494</v>
      </c>
      <c r="L579" s="3" t="s">
        <v>650</v>
      </c>
      <c r="M579" s="3" t="s">
        <v>8495</v>
      </c>
      <c r="N579" s="3" t="s">
        <v>3419</v>
      </c>
      <c r="O579" s="3" t="s">
        <v>5639</v>
      </c>
      <c r="P579" s="3">
        <v>2</v>
      </c>
      <c r="Q579" s="3" t="s">
        <v>5640</v>
      </c>
      <c r="R579" s="3" t="s">
        <v>8496</v>
      </c>
      <c r="S579" s="3" t="s">
        <v>650</v>
      </c>
      <c r="T579" s="3" t="s">
        <v>8497</v>
      </c>
      <c r="U579" s="3" t="s">
        <v>1380</v>
      </c>
      <c r="V579" s="3" t="s">
        <v>700</v>
      </c>
      <c r="W579" s="3"/>
      <c r="X579" s="3"/>
      <c r="Y579" s="3" t="s">
        <v>2001</v>
      </c>
    </row>
    <row r="580" spans="1:25" ht="60" customHeight="1" x14ac:dyDescent="0.2">
      <c r="A580" s="3" t="s">
        <v>8498</v>
      </c>
      <c r="B580" s="3" t="s">
        <v>8499</v>
      </c>
      <c r="C580" s="3" t="s">
        <v>8456</v>
      </c>
      <c r="D580" s="3">
        <v>453</v>
      </c>
      <c r="E580" s="3" t="s">
        <v>4129</v>
      </c>
      <c r="F580" s="3" t="s">
        <v>8500</v>
      </c>
      <c r="G580" s="11" t="s">
        <v>8501</v>
      </c>
      <c r="H580" s="3" t="s">
        <v>8502</v>
      </c>
      <c r="I580" s="3" t="s">
        <v>4290</v>
      </c>
      <c r="J580" s="3" t="s">
        <v>8503</v>
      </c>
      <c r="K580" s="3" t="s">
        <v>4844</v>
      </c>
      <c r="L580" s="3" t="s">
        <v>650</v>
      </c>
      <c r="M580" s="3" t="s">
        <v>4010</v>
      </c>
      <c r="N580" s="3" t="s">
        <v>3419</v>
      </c>
      <c r="O580" s="3" t="s">
        <v>8504</v>
      </c>
      <c r="P580" s="3">
        <v>2</v>
      </c>
      <c r="Q580" s="3" t="s">
        <v>8504</v>
      </c>
      <c r="R580" s="3" t="s">
        <v>8505</v>
      </c>
      <c r="S580" s="3" t="s">
        <v>650</v>
      </c>
      <c r="T580" s="3" t="s">
        <v>8506</v>
      </c>
      <c r="U580" s="3" t="s">
        <v>1380</v>
      </c>
      <c r="V580" s="3" t="s">
        <v>539</v>
      </c>
      <c r="W580" s="3"/>
      <c r="X580" s="3"/>
      <c r="Y580" s="3" t="s">
        <v>2001</v>
      </c>
    </row>
    <row r="581" spans="1:25" ht="60" customHeight="1" x14ac:dyDescent="0.2">
      <c r="A581" s="3" t="s">
        <v>8507</v>
      </c>
      <c r="B581" s="3" t="s">
        <v>8508</v>
      </c>
      <c r="C581" s="3" t="s">
        <v>8456</v>
      </c>
      <c r="D581" s="3">
        <v>482</v>
      </c>
      <c r="E581" s="3" t="s">
        <v>4129</v>
      </c>
      <c r="F581" s="3" t="s">
        <v>8509</v>
      </c>
      <c r="G581" s="11" t="s">
        <v>8510</v>
      </c>
      <c r="H581" s="3" t="s">
        <v>8511</v>
      </c>
      <c r="I581" s="3" t="s">
        <v>4018</v>
      </c>
      <c r="J581" s="3" t="s">
        <v>8512</v>
      </c>
      <c r="K581" s="3" t="s">
        <v>8513</v>
      </c>
      <c r="L581" s="3" t="s">
        <v>650</v>
      </c>
      <c r="M581" s="3" t="s">
        <v>4010</v>
      </c>
      <c r="N581" s="3" t="s">
        <v>3419</v>
      </c>
      <c r="O581" s="3" t="s">
        <v>8514</v>
      </c>
      <c r="P581" s="3">
        <v>4</v>
      </c>
      <c r="Q581" s="3" t="s">
        <v>8515</v>
      </c>
      <c r="R581" s="3" t="s">
        <v>8516</v>
      </c>
      <c r="S581" s="3" t="s">
        <v>650</v>
      </c>
      <c r="T581" s="3" t="s">
        <v>8517</v>
      </c>
      <c r="U581" s="3" t="s">
        <v>1380</v>
      </c>
      <c r="V581" s="3" t="s">
        <v>700</v>
      </c>
      <c r="W581" s="3"/>
      <c r="X581" s="3"/>
      <c r="Y581" s="3" t="s">
        <v>2001</v>
      </c>
    </row>
    <row r="582" spans="1:25" ht="60" customHeight="1" x14ac:dyDescent="0.2">
      <c r="A582" s="3" t="s">
        <v>8518</v>
      </c>
      <c r="B582" s="3" t="s">
        <v>8519</v>
      </c>
      <c r="C582" s="3" t="s">
        <v>8456</v>
      </c>
      <c r="D582" s="3">
        <v>523</v>
      </c>
      <c r="E582" s="3" t="s">
        <v>4129</v>
      </c>
      <c r="F582" s="3" t="s">
        <v>8520</v>
      </c>
      <c r="G582" s="11" t="s">
        <v>8521</v>
      </c>
      <c r="H582" s="3" t="s">
        <v>8522</v>
      </c>
      <c r="I582" s="3" t="s">
        <v>3996</v>
      </c>
      <c r="J582" s="3" t="s">
        <v>8523</v>
      </c>
      <c r="K582" s="3" t="s">
        <v>4008</v>
      </c>
      <c r="L582" s="3" t="s">
        <v>650</v>
      </c>
      <c r="M582" s="3" t="s">
        <v>8524</v>
      </c>
      <c r="N582" s="3" t="s">
        <v>3419</v>
      </c>
      <c r="O582" s="3" t="s">
        <v>650</v>
      </c>
      <c r="P582" s="3">
        <v>0</v>
      </c>
      <c r="Q582" s="3" t="s">
        <v>4052</v>
      </c>
      <c r="R582" s="3" t="s">
        <v>1499</v>
      </c>
      <c r="S582" s="3" t="s">
        <v>650</v>
      </c>
      <c r="T582" s="3" t="s">
        <v>8525</v>
      </c>
      <c r="U582" s="3" t="s">
        <v>1380</v>
      </c>
      <c r="V582" s="3" t="s">
        <v>700</v>
      </c>
      <c r="W582" s="3"/>
      <c r="X582" s="3"/>
      <c r="Y582" s="3" t="s">
        <v>2001</v>
      </c>
    </row>
    <row r="583" spans="1:25" ht="60" customHeight="1" x14ac:dyDescent="0.2">
      <c r="A583" s="3" t="s">
        <v>8526</v>
      </c>
      <c r="B583" s="3" t="s">
        <v>8527</v>
      </c>
      <c r="C583" s="3" t="s">
        <v>8456</v>
      </c>
      <c r="D583" s="3">
        <v>559</v>
      </c>
      <c r="E583" s="3" t="s">
        <v>4129</v>
      </c>
      <c r="F583" s="3" t="s">
        <v>8528</v>
      </c>
      <c r="G583" s="11" t="s">
        <v>8529</v>
      </c>
      <c r="H583" s="3" t="s">
        <v>8530</v>
      </c>
      <c r="I583" s="3" t="s">
        <v>4018</v>
      </c>
      <c r="J583" s="3" t="s">
        <v>8531</v>
      </c>
      <c r="K583" s="3" t="s">
        <v>5800</v>
      </c>
      <c r="L583" s="3" t="s">
        <v>650</v>
      </c>
      <c r="M583" s="3" t="s">
        <v>4010</v>
      </c>
      <c r="N583" s="3" t="s">
        <v>3419</v>
      </c>
      <c r="O583" s="3" t="s">
        <v>5525</v>
      </c>
      <c r="P583" s="3">
        <v>1</v>
      </c>
      <c r="Q583" s="3" t="s">
        <v>5525</v>
      </c>
      <c r="R583" s="3" t="s">
        <v>8532</v>
      </c>
      <c r="S583" s="3" t="s">
        <v>650</v>
      </c>
      <c r="T583" s="3" t="s">
        <v>8533</v>
      </c>
      <c r="U583" s="3" t="s">
        <v>1380</v>
      </c>
      <c r="V583" s="3" t="s">
        <v>700</v>
      </c>
      <c r="W583" s="3"/>
      <c r="X583" s="3"/>
      <c r="Y583" s="3" t="s">
        <v>2001</v>
      </c>
    </row>
    <row r="584" spans="1:25" ht="60" customHeight="1" x14ac:dyDescent="0.2">
      <c r="A584" s="3" t="s">
        <v>8534</v>
      </c>
      <c r="B584" s="3" t="s">
        <v>8535</v>
      </c>
      <c r="C584" s="3" t="s">
        <v>8536</v>
      </c>
      <c r="D584" s="3">
        <v>35</v>
      </c>
      <c r="E584" s="3" t="s">
        <v>3992</v>
      </c>
      <c r="F584" s="3" t="s">
        <v>4110</v>
      </c>
      <c r="G584" s="11" t="s">
        <v>8537</v>
      </c>
      <c r="H584" s="3" t="s">
        <v>8538</v>
      </c>
      <c r="I584" s="3" t="s">
        <v>4290</v>
      </c>
      <c r="J584" s="3" t="s">
        <v>4164</v>
      </c>
      <c r="K584" s="3" t="s">
        <v>5739</v>
      </c>
      <c r="L584" s="3" t="s">
        <v>650</v>
      </c>
      <c r="M584" s="3" t="s">
        <v>4010</v>
      </c>
      <c r="N584" s="3" t="s">
        <v>3535</v>
      </c>
      <c r="O584" s="3" t="s">
        <v>650</v>
      </c>
      <c r="P584" s="3">
        <v>0</v>
      </c>
      <c r="Q584" s="3" t="s">
        <v>4052</v>
      </c>
      <c r="R584" s="3" t="s">
        <v>1499</v>
      </c>
      <c r="S584" s="3" t="s">
        <v>650</v>
      </c>
      <c r="T584" s="3" t="s">
        <v>650</v>
      </c>
      <c r="U584" s="3" t="s">
        <v>1380</v>
      </c>
      <c r="V584" s="3" t="s">
        <v>539</v>
      </c>
      <c r="W584" s="3"/>
      <c r="X584" s="3"/>
      <c r="Y584" s="3" t="s">
        <v>2001</v>
      </c>
    </row>
    <row r="585" spans="1:25" ht="60" customHeight="1" x14ac:dyDescent="0.2">
      <c r="A585" s="3" t="s">
        <v>8539</v>
      </c>
      <c r="B585" s="3" t="s">
        <v>8540</v>
      </c>
      <c r="C585" s="3" t="s">
        <v>8536</v>
      </c>
      <c r="D585" s="3">
        <v>60</v>
      </c>
      <c r="E585" s="3" t="s">
        <v>4136</v>
      </c>
      <c r="F585" s="3" t="s">
        <v>4110</v>
      </c>
      <c r="G585" s="11" t="s">
        <v>8541</v>
      </c>
      <c r="H585" s="3" t="s">
        <v>8541</v>
      </c>
      <c r="I585" s="3" t="s">
        <v>4018</v>
      </c>
      <c r="J585" s="3" t="s">
        <v>4164</v>
      </c>
      <c r="K585" s="3" t="s">
        <v>4028</v>
      </c>
      <c r="L585" s="3" t="s">
        <v>650</v>
      </c>
      <c r="M585" s="3" t="s">
        <v>4010</v>
      </c>
      <c r="N585" s="3" t="s">
        <v>3535</v>
      </c>
      <c r="O585" s="3" t="s">
        <v>8542</v>
      </c>
      <c r="P585" s="3">
        <v>1</v>
      </c>
      <c r="Q585" s="3" t="s">
        <v>8542</v>
      </c>
      <c r="R585" s="3" t="s">
        <v>8543</v>
      </c>
      <c r="S585" s="3" t="s">
        <v>650</v>
      </c>
      <c r="T585" s="3" t="s">
        <v>650</v>
      </c>
      <c r="U585" s="3" t="s">
        <v>1380</v>
      </c>
      <c r="V585" s="3" t="s">
        <v>700</v>
      </c>
      <c r="W585" s="3"/>
      <c r="X585" s="3"/>
      <c r="Y585" s="3" t="s">
        <v>2001</v>
      </c>
    </row>
    <row r="586" spans="1:25" ht="60" customHeight="1" x14ac:dyDescent="0.2">
      <c r="A586" s="3" t="s">
        <v>8544</v>
      </c>
      <c r="B586" s="3" t="s">
        <v>8545</v>
      </c>
      <c r="C586" s="3" t="s">
        <v>8536</v>
      </c>
      <c r="D586" s="3">
        <v>148</v>
      </c>
      <c r="E586" s="3" t="s">
        <v>3992</v>
      </c>
      <c r="F586" s="3" t="s">
        <v>8546</v>
      </c>
      <c r="G586" s="11" t="s">
        <v>8547</v>
      </c>
      <c r="H586" s="3" t="s">
        <v>8548</v>
      </c>
      <c r="I586" s="3" t="s">
        <v>4290</v>
      </c>
      <c r="J586" s="3" t="s">
        <v>8549</v>
      </c>
      <c r="K586" s="3" t="s">
        <v>4008</v>
      </c>
      <c r="L586" s="3" t="s">
        <v>650</v>
      </c>
      <c r="M586" s="3" t="s">
        <v>7432</v>
      </c>
      <c r="N586" s="3" t="s">
        <v>3535</v>
      </c>
      <c r="O586" s="3" t="s">
        <v>650</v>
      </c>
      <c r="P586" s="3">
        <v>0</v>
      </c>
      <c r="Q586" s="3" t="s">
        <v>4052</v>
      </c>
      <c r="R586" s="3" t="s">
        <v>1499</v>
      </c>
      <c r="S586" s="3" t="s">
        <v>650</v>
      </c>
      <c r="T586" s="3" t="s">
        <v>650</v>
      </c>
      <c r="U586" s="3" t="s">
        <v>1380</v>
      </c>
      <c r="V586" s="3" t="s">
        <v>539</v>
      </c>
      <c r="W586" s="3"/>
      <c r="X586" s="3"/>
      <c r="Y586" s="3" t="s">
        <v>2001</v>
      </c>
    </row>
    <row r="587" spans="1:25" ht="60" customHeight="1" x14ac:dyDescent="0.2">
      <c r="A587" s="3" t="s">
        <v>8550</v>
      </c>
      <c r="B587" s="3" t="s">
        <v>8551</v>
      </c>
      <c r="C587" s="3" t="s">
        <v>8552</v>
      </c>
      <c r="D587" s="3">
        <v>38</v>
      </c>
      <c r="E587" s="3" t="s">
        <v>3992</v>
      </c>
      <c r="F587" s="3" t="s">
        <v>4110</v>
      </c>
      <c r="G587" s="11" t="s">
        <v>8553</v>
      </c>
      <c r="H587" s="3" t="s">
        <v>8554</v>
      </c>
      <c r="I587" s="3" t="s">
        <v>3996</v>
      </c>
      <c r="J587" s="3" t="s">
        <v>8555</v>
      </c>
      <c r="K587" s="3" t="s">
        <v>4484</v>
      </c>
      <c r="L587" s="3" t="s">
        <v>650</v>
      </c>
      <c r="M587" s="3" t="s">
        <v>4124</v>
      </c>
      <c r="N587" s="3" t="s">
        <v>3535</v>
      </c>
      <c r="O587" s="3" t="s">
        <v>650</v>
      </c>
      <c r="P587" s="3">
        <v>0</v>
      </c>
      <c r="Q587" s="3" t="s">
        <v>4052</v>
      </c>
      <c r="R587" s="3" t="s">
        <v>1499</v>
      </c>
      <c r="S587" s="3" t="s">
        <v>650</v>
      </c>
      <c r="T587" s="3" t="s">
        <v>650</v>
      </c>
      <c r="U587" s="3" t="s">
        <v>1380</v>
      </c>
      <c r="V587" s="3" t="s">
        <v>700</v>
      </c>
      <c r="W587" s="3"/>
      <c r="X587" s="3"/>
      <c r="Y587" s="3" t="s">
        <v>2001</v>
      </c>
    </row>
    <row r="588" spans="1:25" ht="60" customHeight="1" x14ac:dyDescent="0.2">
      <c r="A588" s="3" t="s">
        <v>8556</v>
      </c>
      <c r="B588" s="3" t="s">
        <v>8557</v>
      </c>
      <c r="C588" s="3" t="s">
        <v>8552</v>
      </c>
      <c r="D588" s="3">
        <v>144</v>
      </c>
      <c r="E588" s="3" t="s">
        <v>4003</v>
      </c>
      <c r="F588" s="3" t="s">
        <v>8558</v>
      </c>
      <c r="G588" s="11" t="s">
        <v>8559</v>
      </c>
      <c r="H588" s="3" t="s">
        <v>8560</v>
      </c>
      <c r="I588" s="3" t="s">
        <v>3996</v>
      </c>
      <c r="J588" s="3" t="s">
        <v>8561</v>
      </c>
      <c r="K588" s="3" t="s">
        <v>8562</v>
      </c>
      <c r="L588" s="3" t="s">
        <v>4020</v>
      </c>
      <c r="M588" s="3" t="s">
        <v>4124</v>
      </c>
      <c r="N588" s="3" t="s">
        <v>3535</v>
      </c>
      <c r="O588" s="3" t="s">
        <v>8563</v>
      </c>
      <c r="P588" s="3">
        <v>9</v>
      </c>
      <c r="Q588" s="3" t="s">
        <v>8564</v>
      </c>
      <c r="R588" s="3" t="s">
        <v>8565</v>
      </c>
      <c r="S588" s="3" t="s">
        <v>650</v>
      </c>
      <c r="T588" s="3" t="s">
        <v>650</v>
      </c>
      <c r="U588" s="3" t="s">
        <v>1380</v>
      </c>
      <c r="V588" s="3" t="s">
        <v>700</v>
      </c>
      <c r="W588" s="3"/>
      <c r="X588" s="3"/>
      <c r="Y588" s="3" t="s">
        <v>2001</v>
      </c>
    </row>
    <row r="589" spans="1:25" ht="60" customHeight="1" x14ac:dyDescent="0.2">
      <c r="A589" s="3" t="s">
        <v>8566</v>
      </c>
      <c r="B589" s="3" t="s">
        <v>8567</v>
      </c>
      <c r="C589" s="3" t="s">
        <v>7703</v>
      </c>
      <c r="D589" s="3">
        <v>83</v>
      </c>
      <c r="E589" s="3" t="s">
        <v>3992</v>
      </c>
      <c r="F589" s="3" t="s">
        <v>4110</v>
      </c>
      <c r="G589" s="11" t="s">
        <v>8568</v>
      </c>
      <c r="H589" s="3" t="s">
        <v>8569</v>
      </c>
      <c r="I589" s="3" t="s">
        <v>3996</v>
      </c>
      <c r="J589" s="3" t="s">
        <v>6114</v>
      </c>
      <c r="K589" s="3" t="s">
        <v>4028</v>
      </c>
      <c r="L589" s="3" t="s">
        <v>650</v>
      </c>
      <c r="M589" s="3" t="s">
        <v>4010</v>
      </c>
      <c r="N589" s="3" t="s">
        <v>3535</v>
      </c>
      <c r="O589" s="3" t="s">
        <v>650</v>
      </c>
      <c r="P589" s="3">
        <v>0</v>
      </c>
      <c r="Q589" s="3" t="s">
        <v>4052</v>
      </c>
      <c r="R589" s="3" t="s">
        <v>1499</v>
      </c>
      <c r="S589" s="3" t="s">
        <v>650</v>
      </c>
      <c r="T589" s="3" t="s">
        <v>650</v>
      </c>
      <c r="U589" s="3" t="s">
        <v>1380</v>
      </c>
      <c r="V589" s="3" t="s">
        <v>700</v>
      </c>
      <c r="W589" s="3"/>
      <c r="X589" s="3"/>
      <c r="Y589" s="3" t="s">
        <v>2001</v>
      </c>
    </row>
    <row r="590" spans="1:25" ht="60" customHeight="1" x14ac:dyDescent="0.2">
      <c r="A590" s="3" t="s">
        <v>8570</v>
      </c>
      <c r="B590" s="3" t="s">
        <v>8571</v>
      </c>
      <c r="C590" s="3" t="s">
        <v>7703</v>
      </c>
      <c r="D590" s="3">
        <v>109</v>
      </c>
      <c r="E590" s="3" t="s">
        <v>4136</v>
      </c>
      <c r="F590" s="3" t="s">
        <v>8572</v>
      </c>
      <c r="G590" s="11" t="s">
        <v>8573</v>
      </c>
      <c r="H590" s="3" t="s">
        <v>8573</v>
      </c>
      <c r="I590" s="3" t="s">
        <v>4018</v>
      </c>
      <c r="J590" s="3" t="s">
        <v>5569</v>
      </c>
      <c r="K590" s="3" t="s">
        <v>4028</v>
      </c>
      <c r="L590" s="3" t="s">
        <v>650</v>
      </c>
      <c r="M590" s="3" t="s">
        <v>4010</v>
      </c>
      <c r="N590" s="3" t="s">
        <v>3535</v>
      </c>
      <c r="O590" s="3" t="s">
        <v>8574</v>
      </c>
      <c r="P590" s="3">
        <v>8</v>
      </c>
      <c r="Q590" s="3" t="s">
        <v>8575</v>
      </c>
      <c r="R590" s="3" t="s">
        <v>8576</v>
      </c>
      <c r="S590" s="3" t="s">
        <v>650</v>
      </c>
      <c r="T590" s="3" t="s">
        <v>650</v>
      </c>
      <c r="U590" s="3" t="s">
        <v>1380</v>
      </c>
      <c r="V590" s="3" t="s">
        <v>700</v>
      </c>
      <c r="W590" s="3"/>
      <c r="X590" s="3"/>
      <c r="Y590" s="3" t="s">
        <v>2001</v>
      </c>
    </row>
    <row r="591" spans="1:25" ht="60" customHeight="1" x14ac:dyDescent="0.2">
      <c r="A591" s="3" t="s">
        <v>8577</v>
      </c>
      <c r="B591" s="3" t="s">
        <v>8578</v>
      </c>
      <c r="C591" s="3" t="s">
        <v>7703</v>
      </c>
      <c r="D591" s="3">
        <v>129</v>
      </c>
      <c r="E591" s="3" t="s">
        <v>4136</v>
      </c>
      <c r="F591" s="3" t="s">
        <v>4110</v>
      </c>
      <c r="G591" s="11" t="s">
        <v>8579</v>
      </c>
      <c r="H591" s="3" t="s">
        <v>8580</v>
      </c>
      <c r="I591" s="3" t="s">
        <v>4290</v>
      </c>
      <c r="J591" s="3" t="s">
        <v>8581</v>
      </c>
      <c r="K591" s="3" t="s">
        <v>4028</v>
      </c>
      <c r="L591" s="3" t="s">
        <v>650</v>
      </c>
      <c r="M591" s="3" t="s">
        <v>4010</v>
      </c>
      <c r="N591" s="3" t="s">
        <v>3535</v>
      </c>
      <c r="O591" s="3" t="s">
        <v>650</v>
      </c>
      <c r="P591" s="3">
        <v>0</v>
      </c>
      <c r="Q591" s="3" t="s">
        <v>4052</v>
      </c>
      <c r="R591" s="3" t="s">
        <v>1499</v>
      </c>
      <c r="S591" s="3" t="s">
        <v>650</v>
      </c>
      <c r="T591" s="3" t="s">
        <v>650</v>
      </c>
      <c r="U591" s="3" t="s">
        <v>1380</v>
      </c>
      <c r="V591" s="3" t="s">
        <v>539</v>
      </c>
      <c r="W591" s="3"/>
      <c r="X591" s="3"/>
      <c r="Y591" s="3" t="s">
        <v>2001</v>
      </c>
    </row>
    <row r="592" spans="1:25" ht="60" customHeight="1" x14ac:dyDescent="0.2">
      <c r="A592" s="3" t="s">
        <v>8582</v>
      </c>
      <c r="B592" s="3" t="s">
        <v>8583</v>
      </c>
      <c r="C592" s="3" t="s">
        <v>7731</v>
      </c>
      <c r="D592" s="3">
        <v>131</v>
      </c>
      <c r="E592" s="3" t="s">
        <v>4136</v>
      </c>
      <c r="F592" s="3" t="s">
        <v>4110</v>
      </c>
      <c r="G592" s="11" t="s">
        <v>8584</v>
      </c>
      <c r="H592" s="3" t="s">
        <v>8585</v>
      </c>
      <c r="I592" s="3" t="s">
        <v>4290</v>
      </c>
      <c r="J592" s="3" t="s">
        <v>8586</v>
      </c>
      <c r="K592" s="3" t="s">
        <v>8587</v>
      </c>
      <c r="L592" s="3" t="s">
        <v>650</v>
      </c>
      <c r="M592" s="3" t="s">
        <v>4010</v>
      </c>
      <c r="N592" s="3" t="s">
        <v>3535</v>
      </c>
      <c r="O592" s="3" t="s">
        <v>650</v>
      </c>
      <c r="P592" s="3">
        <v>0</v>
      </c>
      <c r="Q592" s="3" t="s">
        <v>4052</v>
      </c>
      <c r="R592" s="3" t="s">
        <v>1499</v>
      </c>
      <c r="S592" s="3" t="s">
        <v>650</v>
      </c>
      <c r="T592" s="3" t="s">
        <v>650</v>
      </c>
      <c r="U592" s="3" t="s">
        <v>1380</v>
      </c>
      <c r="V592" s="3" t="s">
        <v>539</v>
      </c>
      <c r="W592" s="3"/>
      <c r="X592" s="3"/>
      <c r="Y592" s="3" t="s">
        <v>2001</v>
      </c>
    </row>
    <row r="593" spans="1:25" ht="60" customHeight="1" x14ac:dyDescent="0.2">
      <c r="A593" s="3" t="s">
        <v>8588</v>
      </c>
      <c r="B593" s="3" t="s">
        <v>4971</v>
      </c>
      <c r="C593" s="3" t="s">
        <v>7731</v>
      </c>
      <c r="D593" s="3">
        <v>172</v>
      </c>
      <c r="E593" s="3" t="s">
        <v>4136</v>
      </c>
      <c r="F593" s="3" t="s">
        <v>4110</v>
      </c>
      <c r="G593" s="11" t="s">
        <v>8589</v>
      </c>
      <c r="H593" s="3" t="s">
        <v>8590</v>
      </c>
      <c r="I593" s="3" t="s">
        <v>3996</v>
      </c>
      <c r="J593" s="3" t="s">
        <v>8591</v>
      </c>
      <c r="K593" s="3" t="s">
        <v>4008</v>
      </c>
      <c r="L593" s="3" t="s">
        <v>650</v>
      </c>
      <c r="M593" s="3" t="s">
        <v>4010</v>
      </c>
      <c r="N593" s="3" t="s">
        <v>3535</v>
      </c>
      <c r="O593" s="3" t="s">
        <v>650</v>
      </c>
      <c r="P593" s="3">
        <v>0</v>
      </c>
      <c r="Q593" s="3" t="s">
        <v>4052</v>
      </c>
      <c r="R593" s="3" t="s">
        <v>1499</v>
      </c>
      <c r="S593" s="3" t="s">
        <v>650</v>
      </c>
      <c r="T593" s="3" t="s">
        <v>650</v>
      </c>
      <c r="U593" s="3" t="s">
        <v>1380</v>
      </c>
      <c r="V593" s="3" t="s">
        <v>700</v>
      </c>
      <c r="W593" s="3"/>
      <c r="X593" s="3"/>
      <c r="Y593" s="3" t="s">
        <v>2001</v>
      </c>
    </row>
    <row r="594" spans="1:25" ht="60" customHeight="1" x14ac:dyDescent="0.2">
      <c r="A594" s="3" t="s">
        <v>8592</v>
      </c>
      <c r="B594" s="3" t="s">
        <v>8593</v>
      </c>
      <c r="C594" s="3" t="s">
        <v>7789</v>
      </c>
      <c r="D594" s="3">
        <v>56</v>
      </c>
      <c r="E594" s="3" t="s">
        <v>3992</v>
      </c>
      <c r="F594" s="3" t="s">
        <v>4110</v>
      </c>
      <c r="G594" s="11" t="s">
        <v>8594</v>
      </c>
      <c r="H594" s="3" t="s">
        <v>8595</v>
      </c>
      <c r="I594" s="3" t="s">
        <v>3996</v>
      </c>
      <c r="J594" s="3" t="s">
        <v>7793</v>
      </c>
      <c r="K594" s="3" t="s">
        <v>4066</v>
      </c>
      <c r="L594" s="3" t="s">
        <v>650</v>
      </c>
      <c r="M594" s="3" t="s">
        <v>4010</v>
      </c>
      <c r="N594" s="3" t="s">
        <v>3535</v>
      </c>
      <c r="O594" s="3" t="s">
        <v>650</v>
      </c>
      <c r="P594" s="3">
        <v>0</v>
      </c>
      <c r="Q594" s="3" t="s">
        <v>4052</v>
      </c>
      <c r="R594" s="3" t="s">
        <v>1499</v>
      </c>
      <c r="S594" s="3" t="s">
        <v>650</v>
      </c>
      <c r="T594" s="3" t="s">
        <v>650</v>
      </c>
      <c r="U594" s="3" t="s">
        <v>1380</v>
      </c>
      <c r="V594" s="3" t="s">
        <v>700</v>
      </c>
      <c r="W594" s="3"/>
      <c r="X594" s="3"/>
      <c r="Y594" s="3" t="s">
        <v>2001</v>
      </c>
    </row>
    <row r="595" spans="1:25" ht="60" customHeight="1" x14ac:dyDescent="0.2">
      <c r="A595" s="3" t="s">
        <v>8596</v>
      </c>
      <c r="B595" s="3" t="s">
        <v>8597</v>
      </c>
      <c r="C595" s="3" t="s">
        <v>7789</v>
      </c>
      <c r="D595" s="3">
        <v>88</v>
      </c>
      <c r="E595" s="3" t="s">
        <v>3992</v>
      </c>
      <c r="F595" s="3" t="s">
        <v>4110</v>
      </c>
      <c r="G595" s="11" t="s">
        <v>8598</v>
      </c>
      <c r="H595" s="3" t="s">
        <v>8599</v>
      </c>
      <c r="I595" s="3" t="s">
        <v>4018</v>
      </c>
      <c r="J595" s="3" t="s">
        <v>8600</v>
      </c>
      <c r="K595" s="3" t="s">
        <v>4844</v>
      </c>
      <c r="L595" s="3" t="s">
        <v>650</v>
      </c>
      <c r="M595" s="3" t="s">
        <v>4010</v>
      </c>
      <c r="N595" s="3" t="s">
        <v>3535</v>
      </c>
      <c r="O595" s="3" t="s">
        <v>650</v>
      </c>
      <c r="P595" s="3">
        <v>0</v>
      </c>
      <c r="Q595" s="3" t="s">
        <v>4052</v>
      </c>
      <c r="R595" s="3" t="s">
        <v>1499</v>
      </c>
      <c r="S595" s="3" t="s">
        <v>650</v>
      </c>
      <c r="T595" s="3" t="s">
        <v>650</v>
      </c>
      <c r="U595" s="3" t="s">
        <v>1380</v>
      </c>
      <c r="V595" s="3" t="s">
        <v>700</v>
      </c>
      <c r="W595" s="3"/>
      <c r="X595" s="3"/>
      <c r="Y595" s="3" t="s">
        <v>2001</v>
      </c>
    </row>
    <row r="596" spans="1:25" ht="60" customHeight="1" x14ac:dyDescent="0.2">
      <c r="A596" s="3" t="s">
        <v>8601</v>
      </c>
      <c r="B596" s="3" t="s">
        <v>8602</v>
      </c>
      <c r="C596" s="3" t="s">
        <v>7789</v>
      </c>
      <c r="D596" s="3">
        <v>118</v>
      </c>
      <c r="E596" s="3" t="s">
        <v>3992</v>
      </c>
      <c r="F596" s="3" t="s">
        <v>4110</v>
      </c>
      <c r="G596" s="11" t="s">
        <v>8603</v>
      </c>
      <c r="H596" s="3" t="s">
        <v>8604</v>
      </c>
      <c r="I596" s="3" t="s">
        <v>4065</v>
      </c>
      <c r="J596" s="3" t="s">
        <v>8605</v>
      </c>
      <c r="K596" s="3" t="s">
        <v>4844</v>
      </c>
      <c r="L596" s="3" t="s">
        <v>650</v>
      </c>
      <c r="M596" s="3" t="s">
        <v>4010</v>
      </c>
      <c r="N596" s="3" t="s">
        <v>3535</v>
      </c>
      <c r="O596" s="3" t="s">
        <v>650</v>
      </c>
      <c r="P596" s="3">
        <v>0</v>
      </c>
      <c r="Q596" s="3" t="s">
        <v>4052</v>
      </c>
      <c r="R596" s="3" t="s">
        <v>1499</v>
      </c>
      <c r="S596" s="3" t="s">
        <v>650</v>
      </c>
      <c r="T596" s="3" t="s">
        <v>650</v>
      </c>
      <c r="U596" s="3" t="s">
        <v>1380</v>
      </c>
      <c r="V596" s="3" t="s">
        <v>428</v>
      </c>
      <c r="W596" s="3"/>
      <c r="X596" s="3"/>
      <c r="Y596" s="3" t="s">
        <v>2001</v>
      </c>
    </row>
    <row r="597" spans="1:25" ht="60" customHeight="1" x14ac:dyDescent="0.2">
      <c r="A597" s="3" t="s">
        <v>8606</v>
      </c>
      <c r="B597" s="3" t="s">
        <v>8607</v>
      </c>
      <c r="C597" s="3" t="s">
        <v>7789</v>
      </c>
      <c r="D597" s="3">
        <v>258</v>
      </c>
      <c r="E597" s="3" t="s">
        <v>3992</v>
      </c>
      <c r="F597" s="3" t="s">
        <v>4110</v>
      </c>
      <c r="G597" s="11" t="s">
        <v>8608</v>
      </c>
      <c r="H597" s="3" t="s">
        <v>8609</v>
      </c>
      <c r="I597" s="3" t="s">
        <v>4065</v>
      </c>
      <c r="J597" s="3" t="s">
        <v>8610</v>
      </c>
      <c r="K597" s="3" t="s">
        <v>4008</v>
      </c>
      <c r="L597" s="3" t="s">
        <v>650</v>
      </c>
      <c r="M597" s="3" t="s">
        <v>4010</v>
      </c>
      <c r="N597" s="3" t="s">
        <v>3535</v>
      </c>
      <c r="O597" s="3" t="s">
        <v>650</v>
      </c>
      <c r="P597" s="3">
        <v>0</v>
      </c>
      <c r="Q597" s="3" t="s">
        <v>4052</v>
      </c>
      <c r="R597" s="3" t="s">
        <v>1499</v>
      </c>
      <c r="S597" s="3" t="s">
        <v>650</v>
      </c>
      <c r="T597" s="3" t="s">
        <v>650</v>
      </c>
      <c r="U597" s="3" t="s">
        <v>1380</v>
      </c>
      <c r="V597" s="3" t="s">
        <v>428</v>
      </c>
      <c r="W597" s="3"/>
      <c r="X597" s="3"/>
      <c r="Y597" s="3" t="s">
        <v>2001</v>
      </c>
    </row>
    <row r="598" spans="1:25" ht="60" customHeight="1" x14ac:dyDescent="0.2">
      <c r="A598" s="3" t="s">
        <v>8611</v>
      </c>
      <c r="B598" s="3" t="s">
        <v>8612</v>
      </c>
      <c r="C598" s="3" t="s">
        <v>7789</v>
      </c>
      <c r="D598" s="3">
        <v>290</v>
      </c>
      <c r="E598" s="3" t="s">
        <v>3992</v>
      </c>
      <c r="F598" s="3" t="s">
        <v>8613</v>
      </c>
      <c r="G598" s="11" t="s">
        <v>8614</v>
      </c>
      <c r="H598" s="3" t="s">
        <v>8615</v>
      </c>
      <c r="I598" s="3" t="s">
        <v>3996</v>
      </c>
      <c r="J598" s="3" t="s">
        <v>8616</v>
      </c>
      <c r="K598" s="3" t="s">
        <v>5800</v>
      </c>
      <c r="L598" s="3" t="s">
        <v>650</v>
      </c>
      <c r="M598" s="3" t="s">
        <v>4010</v>
      </c>
      <c r="N598" s="3" t="s">
        <v>3535</v>
      </c>
      <c r="O598" s="3" t="s">
        <v>650</v>
      </c>
      <c r="P598" s="3">
        <v>0</v>
      </c>
      <c r="Q598" s="3" t="s">
        <v>4052</v>
      </c>
      <c r="R598" s="3" t="s">
        <v>1499</v>
      </c>
      <c r="S598" s="3" t="s">
        <v>650</v>
      </c>
      <c r="T598" s="3" t="s">
        <v>650</v>
      </c>
      <c r="U598" s="3" t="s">
        <v>1380</v>
      </c>
      <c r="V598" s="3" t="s">
        <v>700</v>
      </c>
      <c r="W598" s="3"/>
      <c r="X598" s="3"/>
      <c r="Y598" s="3" t="s">
        <v>2001</v>
      </c>
    </row>
    <row r="599" spans="1:25" ht="60" customHeight="1" x14ac:dyDescent="0.2">
      <c r="A599" s="3" t="s">
        <v>8617</v>
      </c>
      <c r="B599" s="3" t="s">
        <v>8618</v>
      </c>
      <c r="C599" s="3" t="s">
        <v>7789</v>
      </c>
      <c r="D599" s="3">
        <v>323</v>
      </c>
      <c r="E599" s="3" t="s">
        <v>3992</v>
      </c>
      <c r="F599" s="3" t="s">
        <v>8619</v>
      </c>
      <c r="G599" s="11" t="s">
        <v>8620</v>
      </c>
      <c r="H599" s="3" t="s">
        <v>8621</v>
      </c>
      <c r="I599" s="3" t="s">
        <v>3996</v>
      </c>
      <c r="J599" s="3" t="s">
        <v>8616</v>
      </c>
      <c r="K599" s="3" t="s">
        <v>5739</v>
      </c>
      <c r="L599" s="3" t="s">
        <v>650</v>
      </c>
      <c r="M599" s="3" t="s">
        <v>4010</v>
      </c>
      <c r="N599" s="3" t="s">
        <v>3535</v>
      </c>
      <c r="O599" s="3" t="s">
        <v>650</v>
      </c>
      <c r="P599" s="3">
        <v>0</v>
      </c>
      <c r="Q599" s="3" t="s">
        <v>4052</v>
      </c>
      <c r="R599" s="3" t="s">
        <v>1499</v>
      </c>
      <c r="S599" s="3" t="s">
        <v>650</v>
      </c>
      <c r="T599" s="3" t="s">
        <v>650</v>
      </c>
      <c r="U599" s="3" t="s">
        <v>1380</v>
      </c>
      <c r="V599" s="3" t="s">
        <v>700</v>
      </c>
      <c r="W599" s="3"/>
      <c r="X599" s="3"/>
      <c r="Y599" s="3" t="s">
        <v>2001</v>
      </c>
    </row>
    <row r="600" spans="1:25" ht="60" customHeight="1" x14ac:dyDescent="0.2">
      <c r="A600" s="3" t="s">
        <v>8622</v>
      </c>
      <c r="B600" s="3" t="s">
        <v>8623</v>
      </c>
      <c r="C600" s="3" t="s">
        <v>7789</v>
      </c>
      <c r="D600" s="3">
        <v>381</v>
      </c>
      <c r="E600" s="3" t="s">
        <v>3992</v>
      </c>
      <c r="F600" s="3" t="s">
        <v>8624</v>
      </c>
      <c r="G600" s="11" t="s">
        <v>8625</v>
      </c>
      <c r="H600" s="3" t="s">
        <v>8626</v>
      </c>
      <c r="I600" s="3" t="s">
        <v>4065</v>
      </c>
      <c r="J600" s="3" t="s">
        <v>8627</v>
      </c>
      <c r="K600" s="3" t="s">
        <v>4008</v>
      </c>
      <c r="L600" s="3" t="s">
        <v>650</v>
      </c>
      <c r="M600" s="3" t="s">
        <v>4010</v>
      </c>
      <c r="N600" s="3" t="s">
        <v>3535</v>
      </c>
      <c r="O600" s="3" t="s">
        <v>5525</v>
      </c>
      <c r="P600" s="3">
        <v>1</v>
      </c>
      <c r="Q600" s="3" t="s">
        <v>5525</v>
      </c>
      <c r="R600" s="3" t="s">
        <v>8628</v>
      </c>
      <c r="S600" s="3" t="s">
        <v>650</v>
      </c>
      <c r="T600" s="3" t="s">
        <v>650</v>
      </c>
      <c r="U600" s="3" t="s">
        <v>1380</v>
      </c>
      <c r="V600" s="3" t="s">
        <v>428</v>
      </c>
      <c r="W600" s="3"/>
      <c r="X600" s="3"/>
      <c r="Y600" s="3" t="s">
        <v>2001</v>
      </c>
    </row>
    <row r="601" spans="1:25" ht="60" customHeight="1" x14ac:dyDescent="0.2">
      <c r="A601" s="3" t="s">
        <v>8629</v>
      </c>
      <c r="B601" s="3" t="s">
        <v>8630</v>
      </c>
      <c r="C601" s="3" t="s">
        <v>7789</v>
      </c>
      <c r="D601" s="3">
        <v>512</v>
      </c>
      <c r="E601" s="3" t="s">
        <v>4136</v>
      </c>
      <c r="F601" s="3" t="s">
        <v>4110</v>
      </c>
      <c r="G601" s="11" t="s">
        <v>8631</v>
      </c>
      <c r="H601" s="3" t="s">
        <v>8632</v>
      </c>
      <c r="I601" s="3" t="s">
        <v>3996</v>
      </c>
      <c r="J601" s="3" t="s">
        <v>8633</v>
      </c>
      <c r="K601" s="3" t="s">
        <v>4028</v>
      </c>
      <c r="L601" s="3" t="s">
        <v>650</v>
      </c>
      <c r="M601" s="3" t="s">
        <v>4010</v>
      </c>
      <c r="N601" s="3" t="s">
        <v>3535</v>
      </c>
      <c r="O601" s="3" t="s">
        <v>650</v>
      </c>
      <c r="P601" s="3">
        <v>0</v>
      </c>
      <c r="Q601" s="3" t="s">
        <v>4052</v>
      </c>
      <c r="R601" s="3" t="s">
        <v>1499</v>
      </c>
      <c r="S601" s="3" t="s">
        <v>650</v>
      </c>
      <c r="T601" s="3" t="s">
        <v>650</v>
      </c>
      <c r="U601" s="3" t="s">
        <v>1380</v>
      </c>
      <c r="V601" s="3" t="s">
        <v>700</v>
      </c>
      <c r="W601" s="3"/>
      <c r="X601" s="3"/>
      <c r="Y601" s="3" t="s">
        <v>2001</v>
      </c>
    </row>
    <row r="602" spans="1:25" ht="60" customHeight="1" x14ac:dyDescent="0.2">
      <c r="A602" s="3" t="s">
        <v>8634</v>
      </c>
      <c r="B602" s="3" t="s">
        <v>8635</v>
      </c>
      <c r="C602" s="3" t="s">
        <v>7908</v>
      </c>
      <c r="D602" s="3">
        <v>28</v>
      </c>
      <c r="E602" s="3" t="s">
        <v>3992</v>
      </c>
      <c r="F602" s="3" t="s">
        <v>4110</v>
      </c>
      <c r="G602" s="11" t="s">
        <v>8636</v>
      </c>
      <c r="H602" s="3" t="s">
        <v>8637</v>
      </c>
      <c r="I602" s="3" t="s">
        <v>3996</v>
      </c>
      <c r="J602" s="3" t="s">
        <v>7123</v>
      </c>
      <c r="K602" s="3" t="s">
        <v>4257</v>
      </c>
      <c r="L602" s="3" t="s">
        <v>650</v>
      </c>
      <c r="M602" s="3" t="s">
        <v>4010</v>
      </c>
      <c r="N602" s="3" t="s">
        <v>3535</v>
      </c>
      <c r="O602" s="3" t="s">
        <v>4249</v>
      </c>
      <c r="P602" s="3">
        <v>1</v>
      </c>
      <c r="Q602" s="3" t="s">
        <v>4249</v>
      </c>
      <c r="R602" s="3" t="s">
        <v>8638</v>
      </c>
      <c r="S602" s="3" t="s">
        <v>650</v>
      </c>
      <c r="T602" s="3" t="s">
        <v>650</v>
      </c>
      <c r="U602" s="3" t="s">
        <v>1380</v>
      </c>
      <c r="V602" s="3" t="s">
        <v>700</v>
      </c>
      <c r="W602" s="3"/>
      <c r="X602" s="3"/>
      <c r="Y602" s="3" t="s">
        <v>2001</v>
      </c>
    </row>
    <row r="603" spans="1:25" ht="60" customHeight="1" x14ac:dyDescent="0.2">
      <c r="A603" s="3" t="s">
        <v>8639</v>
      </c>
      <c r="B603" s="3" t="s">
        <v>8640</v>
      </c>
      <c r="C603" s="3" t="s">
        <v>7978</v>
      </c>
      <c r="D603" s="3">
        <v>25</v>
      </c>
      <c r="E603" s="3" t="s">
        <v>3992</v>
      </c>
      <c r="F603" s="3" t="s">
        <v>4110</v>
      </c>
      <c r="G603" s="11" t="s">
        <v>8641</v>
      </c>
      <c r="H603" s="3" t="s">
        <v>8642</v>
      </c>
      <c r="I603" s="3" t="s">
        <v>4018</v>
      </c>
      <c r="J603" s="3" t="s">
        <v>4164</v>
      </c>
      <c r="K603" s="3" t="s">
        <v>8643</v>
      </c>
      <c r="L603" s="3" t="s">
        <v>650</v>
      </c>
      <c r="M603" s="3" t="s">
        <v>4010</v>
      </c>
      <c r="N603" s="3" t="s">
        <v>3535</v>
      </c>
      <c r="O603" s="3" t="s">
        <v>650</v>
      </c>
      <c r="P603" s="3">
        <v>0</v>
      </c>
      <c r="Q603" s="3" t="s">
        <v>4052</v>
      </c>
      <c r="R603" s="3" t="s">
        <v>1499</v>
      </c>
      <c r="S603" s="3" t="s">
        <v>650</v>
      </c>
      <c r="T603" s="3" t="s">
        <v>650</v>
      </c>
      <c r="U603" s="3" t="s">
        <v>1380</v>
      </c>
      <c r="V603" s="3" t="s">
        <v>700</v>
      </c>
      <c r="W603" s="3"/>
      <c r="X603" s="3"/>
      <c r="Y603" s="3" t="s">
        <v>2001</v>
      </c>
    </row>
    <row r="604" spans="1:25" ht="60" customHeight="1" x14ac:dyDescent="0.2">
      <c r="A604" s="3" t="s">
        <v>8644</v>
      </c>
      <c r="B604" s="3" t="s">
        <v>8645</v>
      </c>
      <c r="C604" s="3" t="s">
        <v>7994</v>
      </c>
      <c r="D604" s="3">
        <v>33</v>
      </c>
      <c r="E604" s="3" t="s">
        <v>3992</v>
      </c>
      <c r="F604" s="3" t="s">
        <v>4110</v>
      </c>
      <c r="G604" s="11" t="s">
        <v>8646</v>
      </c>
      <c r="H604" s="3" t="s">
        <v>8647</v>
      </c>
      <c r="I604" s="3" t="s">
        <v>4290</v>
      </c>
      <c r="J604" s="3" t="s">
        <v>4164</v>
      </c>
      <c r="K604" s="3" t="s">
        <v>8643</v>
      </c>
      <c r="L604" s="3" t="s">
        <v>650</v>
      </c>
      <c r="M604" s="3" t="s">
        <v>4010</v>
      </c>
      <c r="N604" s="3" t="s">
        <v>3535</v>
      </c>
      <c r="O604" s="3" t="s">
        <v>650</v>
      </c>
      <c r="P604" s="3">
        <v>0</v>
      </c>
      <c r="Q604" s="3" t="s">
        <v>4052</v>
      </c>
      <c r="R604" s="3" t="s">
        <v>1499</v>
      </c>
      <c r="S604" s="3" t="s">
        <v>650</v>
      </c>
      <c r="T604" s="3" t="s">
        <v>650</v>
      </c>
      <c r="U604" s="3" t="s">
        <v>1380</v>
      </c>
      <c r="V604" s="3" t="s">
        <v>539</v>
      </c>
      <c r="W604" s="3"/>
      <c r="X604" s="3"/>
      <c r="Y604" s="3" t="s">
        <v>2001</v>
      </c>
    </row>
    <row r="605" spans="1:25" ht="60" customHeight="1" x14ac:dyDescent="0.2">
      <c r="A605" s="3" t="s">
        <v>8648</v>
      </c>
      <c r="B605" s="3" t="s">
        <v>8649</v>
      </c>
      <c r="C605" s="3" t="s">
        <v>7994</v>
      </c>
      <c r="D605" s="3">
        <v>94</v>
      </c>
      <c r="E605" s="3" t="s">
        <v>4136</v>
      </c>
      <c r="F605" s="3" t="s">
        <v>4110</v>
      </c>
      <c r="G605" s="11" t="s">
        <v>8650</v>
      </c>
      <c r="H605" s="3" t="s">
        <v>8651</v>
      </c>
      <c r="I605" s="3" t="s">
        <v>4018</v>
      </c>
      <c r="J605" s="3" t="s">
        <v>4164</v>
      </c>
      <c r="K605" s="3" t="s">
        <v>7458</v>
      </c>
      <c r="L605" s="3" t="s">
        <v>650</v>
      </c>
      <c r="M605" s="3" t="s">
        <v>4010</v>
      </c>
      <c r="N605" s="3" t="s">
        <v>3535</v>
      </c>
      <c r="O605" s="3" t="s">
        <v>8017</v>
      </c>
      <c r="P605" s="3">
        <v>1</v>
      </c>
      <c r="Q605" s="3" t="s">
        <v>8017</v>
      </c>
      <c r="R605" s="3" t="s">
        <v>8652</v>
      </c>
      <c r="S605" s="3" t="s">
        <v>650</v>
      </c>
      <c r="T605" s="3" t="s">
        <v>650</v>
      </c>
      <c r="U605" s="3" t="s">
        <v>1380</v>
      </c>
      <c r="V605" s="3" t="s">
        <v>700</v>
      </c>
      <c r="W605" s="3"/>
      <c r="X605" s="3"/>
      <c r="Y605" s="3" t="s">
        <v>2001</v>
      </c>
    </row>
    <row r="606" spans="1:25" ht="60" customHeight="1" x14ac:dyDescent="0.2">
      <c r="A606" s="3" t="s">
        <v>8653</v>
      </c>
      <c r="B606" s="3" t="s">
        <v>8654</v>
      </c>
      <c r="C606" s="3" t="s">
        <v>8021</v>
      </c>
      <c r="D606" s="3">
        <v>48</v>
      </c>
      <c r="E606" s="3" t="s">
        <v>7462</v>
      </c>
      <c r="F606" s="3" t="s">
        <v>4110</v>
      </c>
      <c r="G606" s="11" t="s">
        <v>4130</v>
      </c>
      <c r="H606" s="3" t="s">
        <v>4130</v>
      </c>
      <c r="I606" s="3" t="s">
        <v>4131</v>
      </c>
      <c r="J606" s="3" t="s">
        <v>8655</v>
      </c>
      <c r="K606" s="3" t="s">
        <v>8033</v>
      </c>
      <c r="L606" s="3" t="s">
        <v>650</v>
      </c>
      <c r="M606" s="3" t="s">
        <v>4010</v>
      </c>
      <c r="N606" s="3" t="s">
        <v>3535</v>
      </c>
      <c r="O606" s="3" t="s">
        <v>650</v>
      </c>
      <c r="P606" s="3">
        <v>0</v>
      </c>
      <c r="Q606" s="3" t="s">
        <v>4052</v>
      </c>
      <c r="R606" s="3" t="s">
        <v>1499</v>
      </c>
      <c r="S606" s="3" t="s">
        <v>650</v>
      </c>
      <c r="T606" s="3" t="s">
        <v>650</v>
      </c>
      <c r="U606" s="3" t="s">
        <v>1380</v>
      </c>
      <c r="V606" s="3" t="s">
        <v>700</v>
      </c>
      <c r="W606" s="3"/>
      <c r="X606" s="3"/>
      <c r="Y606" s="3" t="s">
        <v>2001</v>
      </c>
    </row>
    <row r="607" spans="1:25" ht="60" customHeight="1" x14ac:dyDescent="0.2">
      <c r="A607" s="3" t="s">
        <v>8656</v>
      </c>
      <c r="B607" s="3" t="s">
        <v>8657</v>
      </c>
      <c r="C607" s="3" t="s">
        <v>8021</v>
      </c>
      <c r="D607" s="3">
        <v>72</v>
      </c>
      <c r="E607" s="3" t="s">
        <v>4136</v>
      </c>
      <c r="F607" s="3" t="s">
        <v>4110</v>
      </c>
      <c r="G607" s="11" t="s">
        <v>4130</v>
      </c>
      <c r="H607" s="3" t="s">
        <v>4130</v>
      </c>
      <c r="I607" s="3" t="s">
        <v>4131</v>
      </c>
      <c r="J607" s="3" t="s">
        <v>8658</v>
      </c>
      <c r="K607" s="3" t="s">
        <v>4425</v>
      </c>
      <c r="L607" s="3" t="s">
        <v>650</v>
      </c>
      <c r="M607" s="3" t="s">
        <v>4010</v>
      </c>
      <c r="N607" s="3" t="s">
        <v>3535</v>
      </c>
      <c r="O607" s="3" t="s">
        <v>650</v>
      </c>
      <c r="P607" s="3">
        <v>0</v>
      </c>
      <c r="Q607" s="3" t="s">
        <v>4052</v>
      </c>
      <c r="R607" s="3" t="s">
        <v>1499</v>
      </c>
      <c r="S607" s="3" t="s">
        <v>650</v>
      </c>
      <c r="T607" s="3" t="s">
        <v>650</v>
      </c>
      <c r="U607" s="3" t="s">
        <v>1380</v>
      </c>
      <c r="V607" s="3" t="s">
        <v>700</v>
      </c>
      <c r="W607" s="3"/>
      <c r="X607" s="3"/>
      <c r="Y607" s="3" t="s">
        <v>2001</v>
      </c>
    </row>
    <row r="608" spans="1:25" ht="60" customHeight="1" x14ac:dyDescent="0.2">
      <c r="A608" s="3" t="s">
        <v>8659</v>
      </c>
      <c r="B608" s="3" t="s">
        <v>8660</v>
      </c>
      <c r="C608" s="3" t="s">
        <v>8021</v>
      </c>
      <c r="D608" s="3">
        <v>95</v>
      </c>
      <c r="E608" s="3" t="s">
        <v>4136</v>
      </c>
      <c r="F608" s="3" t="s">
        <v>4110</v>
      </c>
      <c r="G608" s="11" t="s">
        <v>4130</v>
      </c>
      <c r="H608" s="3" t="s">
        <v>4130</v>
      </c>
      <c r="I608" s="3" t="s">
        <v>4131</v>
      </c>
      <c r="J608" s="3" t="s">
        <v>8655</v>
      </c>
      <c r="K608" s="3" t="s">
        <v>4425</v>
      </c>
      <c r="L608" s="3" t="s">
        <v>650</v>
      </c>
      <c r="M608" s="3" t="s">
        <v>4010</v>
      </c>
      <c r="N608" s="3" t="s">
        <v>3535</v>
      </c>
      <c r="O608" s="3" t="s">
        <v>650</v>
      </c>
      <c r="P608" s="3">
        <v>0</v>
      </c>
      <c r="Q608" s="3" t="s">
        <v>4052</v>
      </c>
      <c r="R608" s="3" t="s">
        <v>1499</v>
      </c>
      <c r="S608" s="3" t="s">
        <v>650</v>
      </c>
      <c r="T608" s="3" t="s">
        <v>650</v>
      </c>
      <c r="U608" s="3" t="s">
        <v>1380</v>
      </c>
      <c r="V608" s="3" t="s">
        <v>700</v>
      </c>
      <c r="W608" s="3"/>
      <c r="X608" s="3"/>
      <c r="Y608" s="3" t="s">
        <v>2001</v>
      </c>
    </row>
    <row r="609" spans="1:25" ht="60" customHeight="1" x14ac:dyDescent="0.2">
      <c r="A609" s="3" t="s">
        <v>8661</v>
      </c>
      <c r="B609" s="3" t="s">
        <v>8662</v>
      </c>
      <c r="C609" s="3" t="s">
        <v>8021</v>
      </c>
      <c r="D609" s="3">
        <v>262</v>
      </c>
      <c r="E609" s="3" t="s">
        <v>3992</v>
      </c>
      <c r="F609" s="3" t="s">
        <v>8663</v>
      </c>
      <c r="G609" s="11" t="s">
        <v>8664</v>
      </c>
      <c r="H609" s="3" t="s">
        <v>8665</v>
      </c>
      <c r="I609" s="3" t="s">
        <v>3996</v>
      </c>
      <c r="J609" s="3" t="s">
        <v>8666</v>
      </c>
      <c r="K609" s="3" t="s">
        <v>4844</v>
      </c>
      <c r="L609" s="3" t="s">
        <v>650</v>
      </c>
      <c r="M609" s="3" t="s">
        <v>4010</v>
      </c>
      <c r="N609" s="3" t="s">
        <v>3535</v>
      </c>
      <c r="O609" s="3" t="s">
        <v>4000</v>
      </c>
      <c r="P609" s="3">
        <v>80</v>
      </c>
      <c r="Q609" s="3" t="s">
        <v>4001</v>
      </c>
      <c r="R609" s="3" t="s">
        <v>8667</v>
      </c>
      <c r="S609" s="3" t="s">
        <v>650</v>
      </c>
      <c r="T609" s="3" t="s">
        <v>650</v>
      </c>
      <c r="U609" s="3" t="s">
        <v>1380</v>
      </c>
      <c r="V609" s="3" t="s">
        <v>700</v>
      </c>
      <c r="W609" s="3"/>
      <c r="X609" s="3"/>
      <c r="Y609" s="3" t="s">
        <v>2001</v>
      </c>
    </row>
    <row r="610" spans="1:25" ht="60" customHeight="1" x14ac:dyDescent="0.2">
      <c r="A610" s="3" t="s">
        <v>8668</v>
      </c>
      <c r="B610" s="3" t="s">
        <v>8669</v>
      </c>
      <c r="C610" s="3" t="s">
        <v>8021</v>
      </c>
      <c r="D610" s="3">
        <v>287</v>
      </c>
      <c r="E610" s="3" t="s">
        <v>3992</v>
      </c>
      <c r="F610" s="3" t="s">
        <v>4110</v>
      </c>
      <c r="G610" s="11" t="s">
        <v>8670</v>
      </c>
      <c r="H610" s="3" t="s">
        <v>8671</v>
      </c>
      <c r="I610" s="3" t="s">
        <v>4018</v>
      </c>
      <c r="J610" s="3" t="s">
        <v>8672</v>
      </c>
      <c r="K610" s="3" t="s">
        <v>4844</v>
      </c>
      <c r="L610" s="3" t="s">
        <v>650</v>
      </c>
      <c r="M610" s="3" t="s">
        <v>4010</v>
      </c>
      <c r="N610" s="3" t="s">
        <v>3535</v>
      </c>
      <c r="O610" s="3" t="s">
        <v>8673</v>
      </c>
      <c r="P610" s="3">
        <v>82</v>
      </c>
      <c r="Q610" s="3" t="s">
        <v>8674</v>
      </c>
      <c r="R610" s="3" t="s">
        <v>8675</v>
      </c>
      <c r="S610" s="3" t="s">
        <v>650</v>
      </c>
      <c r="T610" s="3" t="s">
        <v>650</v>
      </c>
      <c r="U610" s="3" t="s">
        <v>1380</v>
      </c>
      <c r="V610" s="3" t="s">
        <v>700</v>
      </c>
      <c r="W610" s="3"/>
      <c r="X610" s="3"/>
      <c r="Y610" s="3" t="s">
        <v>2001</v>
      </c>
    </row>
    <row r="611" spans="1:25" ht="60" customHeight="1" x14ac:dyDescent="0.2">
      <c r="A611" s="3" t="s">
        <v>8676</v>
      </c>
      <c r="B611" s="3" t="s">
        <v>8677</v>
      </c>
      <c r="C611" s="3" t="s">
        <v>8133</v>
      </c>
      <c r="D611" s="3">
        <v>111</v>
      </c>
      <c r="E611" s="3" t="s">
        <v>7462</v>
      </c>
      <c r="F611" s="3" t="s">
        <v>4110</v>
      </c>
      <c r="G611" s="11" t="s">
        <v>8678</v>
      </c>
      <c r="H611" s="3" t="s">
        <v>8679</v>
      </c>
      <c r="I611" s="3" t="s">
        <v>3996</v>
      </c>
      <c r="J611" s="3" t="s">
        <v>4164</v>
      </c>
      <c r="K611" s="3" t="s">
        <v>8562</v>
      </c>
      <c r="L611" s="3" t="s">
        <v>650</v>
      </c>
      <c r="M611" s="3" t="s">
        <v>7565</v>
      </c>
      <c r="N611" s="3" t="s">
        <v>3419</v>
      </c>
      <c r="O611" s="3" t="s">
        <v>650</v>
      </c>
      <c r="P611" s="3">
        <v>0</v>
      </c>
      <c r="Q611" s="3" t="s">
        <v>4052</v>
      </c>
      <c r="R611" s="3" t="s">
        <v>1499</v>
      </c>
      <c r="S611" s="3" t="s">
        <v>650</v>
      </c>
      <c r="T611" s="3" t="s">
        <v>650</v>
      </c>
      <c r="U611" s="3" t="s">
        <v>1380</v>
      </c>
      <c r="V611" s="3" t="s">
        <v>700</v>
      </c>
      <c r="W611" s="3"/>
      <c r="X611" s="3"/>
      <c r="Y611" s="3" t="s">
        <v>2001</v>
      </c>
    </row>
    <row r="612" spans="1:25" ht="60" customHeight="1" x14ac:dyDescent="0.2">
      <c r="A612" s="3" t="s">
        <v>8680</v>
      </c>
      <c r="B612" s="3" t="s">
        <v>8681</v>
      </c>
      <c r="C612" s="3" t="s">
        <v>8133</v>
      </c>
      <c r="D612" s="3">
        <v>153</v>
      </c>
      <c r="E612" s="3" t="s">
        <v>7462</v>
      </c>
      <c r="F612" s="3" t="s">
        <v>4110</v>
      </c>
      <c r="G612" s="11" t="s">
        <v>8682</v>
      </c>
      <c r="H612" s="3" t="s">
        <v>8683</v>
      </c>
      <c r="I612" s="3" t="s">
        <v>4065</v>
      </c>
      <c r="J612" s="3" t="s">
        <v>4164</v>
      </c>
      <c r="K612" s="3" t="s">
        <v>8562</v>
      </c>
      <c r="L612" s="3" t="s">
        <v>650</v>
      </c>
      <c r="M612" s="3" t="s">
        <v>7565</v>
      </c>
      <c r="N612" s="3" t="s">
        <v>3419</v>
      </c>
      <c r="O612" s="3" t="s">
        <v>650</v>
      </c>
      <c r="P612" s="3">
        <v>0</v>
      </c>
      <c r="Q612" s="3" t="s">
        <v>4052</v>
      </c>
      <c r="R612" s="3" t="s">
        <v>1499</v>
      </c>
      <c r="S612" s="3" t="s">
        <v>650</v>
      </c>
      <c r="T612" s="3" t="s">
        <v>650</v>
      </c>
      <c r="U612" s="3" t="s">
        <v>1380</v>
      </c>
      <c r="V612" s="3" t="s">
        <v>428</v>
      </c>
      <c r="W612" s="3"/>
      <c r="X612" s="3"/>
      <c r="Y612" s="3" t="s">
        <v>2001</v>
      </c>
    </row>
    <row r="613" spans="1:25" ht="60" customHeight="1" x14ac:dyDescent="0.2">
      <c r="A613" s="3" t="s">
        <v>8684</v>
      </c>
      <c r="B613" s="3" t="s">
        <v>8685</v>
      </c>
      <c r="C613" s="3" t="s">
        <v>8166</v>
      </c>
      <c r="D613" s="3">
        <v>535</v>
      </c>
      <c r="E613" s="3" t="s">
        <v>3992</v>
      </c>
      <c r="F613" s="3" t="s">
        <v>8686</v>
      </c>
      <c r="G613" s="11" t="s">
        <v>8687</v>
      </c>
      <c r="H613" s="3" t="s">
        <v>8688</v>
      </c>
      <c r="I613" s="3" t="s">
        <v>3996</v>
      </c>
      <c r="J613" s="3" t="s">
        <v>4164</v>
      </c>
      <c r="K613" s="3" t="s">
        <v>4844</v>
      </c>
      <c r="L613" s="3" t="s">
        <v>650</v>
      </c>
      <c r="M613" s="3" t="s">
        <v>4010</v>
      </c>
      <c r="N613" s="3" t="s">
        <v>3535</v>
      </c>
      <c r="O613" s="3" t="s">
        <v>650</v>
      </c>
      <c r="P613" s="3">
        <v>0</v>
      </c>
      <c r="Q613" s="3" t="s">
        <v>4052</v>
      </c>
      <c r="R613" s="3" t="s">
        <v>1499</v>
      </c>
      <c r="S613" s="3" t="s">
        <v>650</v>
      </c>
      <c r="T613" s="3" t="s">
        <v>650</v>
      </c>
      <c r="U613" s="3" t="s">
        <v>1380</v>
      </c>
      <c r="V613" s="3" t="s">
        <v>700</v>
      </c>
      <c r="W613" s="3"/>
      <c r="X613" s="3"/>
      <c r="Y613" s="3" t="s">
        <v>2001</v>
      </c>
    </row>
    <row r="614" spans="1:25" ht="60" customHeight="1" x14ac:dyDescent="0.2">
      <c r="A614" s="3" t="s">
        <v>8689</v>
      </c>
      <c r="B614" s="3" t="s">
        <v>8690</v>
      </c>
      <c r="C614" s="3" t="s">
        <v>8307</v>
      </c>
      <c r="D614" s="3">
        <v>40</v>
      </c>
      <c r="E614" s="3" t="s">
        <v>7462</v>
      </c>
      <c r="F614" s="3" t="s">
        <v>8691</v>
      </c>
      <c r="G614" s="11" t="s">
        <v>8692</v>
      </c>
      <c r="H614" s="3" t="s">
        <v>8693</v>
      </c>
      <c r="I614" s="3" t="s">
        <v>3996</v>
      </c>
      <c r="J614" s="3" t="s">
        <v>8311</v>
      </c>
      <c r="K614" s="3" t="s">
        <v>4844</v>
      </c>
      <c r="L614" s="3" t="s">
        <v>650</v>
      </c>
      <c r="M614" s="3" t="s">
        <v>4010</v>
      </c>
      <c r="N614" s="3" t="s">
        <v>3419</v>
      </c>
      <c r="O614" s="3" t="s">
        <v>650</v>
      </c>
      <c r="P614" s="3">
        <v>0</v>
      </c>
      <c r="Q614" s="3" t="s">
        <v>4052</v>
      </c>
      <c r="R614" s="3" t="s">
        <v>1499</v>
      </c>
      <c r="S614" s="3" t="s">
        <v>650</v>
      </c>
      <c r="T614" s="3" t="s">
        <v>650</v>
      </c>
      <c r="U614" s="3" t="s">
        <v>1380</v>
      </c>
      <c r="V614" s="3" t="s">
        <v>700</v>
      </c>
      <c r="W614" s="3" t="s">
        <v>8694</v>
      </c>
      <c r="X614" s="6" t="s">
        <v>8695</v>
      </c>
      <c r="Y614" s="6" t="s">
        <v>1854</v>
      </c>
    </row>
    <row r="615" spans="1:25" ht="60" customHeight="1" x14ac:dyDescent="0.2">
      <c r="A615" s="3" t="s">
        <v>8696</v>
      </c>
      <c r="B615" s="3" t="s">
        <v>8697</v>
      </c>
      <c r="C615" s="3" t="s">
        <v>8369</v>
      </c>
      <c r="D615" s="3">
        <v>287</v>
      </c>
      <c r="E615" s="3" t="s">
        <v>4129</v>
      </c>
      <c r="F615" s="3" t="s">
        <v>4110</v>
      </c>
      <c r="G615" s="11" t="s">
        <v>8698</v>
      </c>
      <c r="H615" s="3" t="s">
        <v>8699</v>
      </c>
      <c r="I615" s="3" t="s">
        <v>3996</v>
      </c>
      <c r="J615" s="3" t="s">
        <v>8700</v>
      </c>
      <c r="K615" s="3" t="s">
        <v>4844</v>
      </c>
      <c r="L615" s="3" t="s">
        <v>650</v>
      </c>
      <c r="M615" s="3" t="s">
        <v>4010</v>
      </c>
      <c r="N615" s="3" t="s">
        <v>3419</v>
      </c>
      <c r="O615" s="3" t="s">
        <v>650</v>
      </c>
      <c r="P615" s="3">
        <v>0</v>
      </c>
      <c r="Q615" s="3" t="s">
        <v>4052</v>
      </c>
      <c r="R615" s="3" t="s">
        <v>1499</v>
      </c>
      <c r="S615" s="3" t="s">
        <v>650</v>
      </c>
      <c r="T615" s="3" t="s">
        <v>650</v>
      </c>
      <c r="U615" s="3" t="s">
        <v>1380</v>
      </c>
      <c r="V615" s="3" t="s">
        <v>700</v>
      </c>
      <c r="W615" s="3"/>
      <c r="X615" s="3"/>
      <c r="Y615" s="3" t="s">
        <v>2001</v>
      </c>
    </row>
    <row r="616" spans="1:25" ht="60" customHeight="1" x14ac:dyDescent="0.2">
      <c r="A616" s="3" t="s">
        <v>8701</v>
      </c>
      <c r="B616" s="3" t="s">
        <v>8702</v>
      </c>
      <c r="C616" s="3" t="s">
        <v>8456</v>
      </c>
      <c r="D616" s="3">
        <v>170</v>
      </c>
      <c r="E616" s="3" t="s">
        <v>4129</v>
      </c>
      <c r="F616" s="3" t="s">
        <v>8703</v>
      </c>
      <c r="G616" s="11" t="s">
        <v>8704</v>
      </c>
      <c r="H616" s="3" t="s">
        <v>8705</v>
      </c>
      <c r="I616" s="3" t="s">
        <v>3996</v>
      </c>
      <c r="J616" s="3" t="s">
        <v>8469</v>
      </c>
      <c r="K616" s="3" t="s">
        <v>8706</v>
      </c>
      <c r="L616" s="3" t="s">
        <v>650</v>
      </c>
      <c r="M616" s="3" t="s">
        <v>4010</v>
      </c>
      <c r="N616" s="3" t="s">
        <v>3419</v>
      </c>
      <c r="O616" s="3" t="s">
        <v>650</v>
      </c>
      <c r="P616" s="3">
        <v>0</v>
      </c>
      <c r="Q616" s="3" t="s">
        <v>4052</v>
      </c>
      <c r="R616" s="3" t="s">
        <v>1499</v>
      </c>
      <c r="S616" s="3" t="s">
        <v>650</v>
      </c>
      <c r="T616" s="3" t="s">
        <v>650</v>
      </c>
      <c r="U616" s="3" t="s">
        <v>1380</v>
      </c>
      <c r="V616" s="3" t="s">
        <v>700</v>
      </c>
      <c r="W616" s="3"/>
      <c r="X616" s="3"/>
      <c r="Y616" s="3" t="s">
        <v>2001</v>
      </c>
    </row>
    <row r="617" spans="1:25" ht="60" customHeight="1" x14ac:dyDescent="0.2">
      <c r="A617" s="3" t="s">
        <v>8707</v>
      </c>
      <c r="B617" s="3" t="s">
        <v>8708</v>
      </c>
      <c r="C617" s="3" t="s">
        <v>8456</v>
      </c>
      <c r="D617" s="3">
        <v>272</v>
      </c>
      <c r="E617" s="3" t="s">
        <v>4129</v>
      </c>
      <c r="F617" s="3" t="s">
        <v>4110</v>
      </c>
      <c r="G617" s="11" t="s">
        <v>8709</v>
      </c>
      <c r="H617" s="3" t="s">
        <v>8710</v>
      </c>
      <c r="I617" s="3" t="s">
        <v>3996</v>
      </c>
      <c r="J617" s="3" t="s">
        <v>8711</v>
      </c>
      <c r="K617" s="3" t="s">
        <v>4028</v>
      </c>
      <c r="L617" s="3" t="s">
        <v>650</v>
      </c>
      <c r="M617" s="3" t="s">
        <v>4010</v>
      </c>
      <c r="N617" s="3" t="s">
        <v>3419</v>
      </c>
      <c r="O617" s="3" t="s">
        <v>5525</v>
      </c>
      <c r="P617" s="3">
        <v>1</v>
      </c>
      <c r="Q617" s="3" t="s">
        <v>5525</v>
      </c>
      <c r="R617" s="3" t="s">
        <v>8712</v>
      </c>
      <c r="S617" s="3" t="s">
        <v>650</v>
      </c>
      <c r="T617" s="3" t="s">
        <v>650</v>
      </c>
      <c r="U617" s="3" t="s">
        <v>1380</v>
      </c>
      <c r="V617" s="3" t="s">
        <v>700</v>
      </c>
      <c r="W617" s="3"/>
      <c r="X617" s="3"/>
      <c r="Y617" s="3" t="s">
        <v>2001</v>
      </c>
    </row>
    <row r="618" spans="1:25" ht="60" customHeight="1" x14ac:dyDescent="0.2">
      <c r="A618" s="3" t="s">
        <v>8713</v>
      </c>
      <c r="B618" s="3" t="s">
        <v>8714</v>
      </c>
      <c r="C618" s="3" t="s">
        <v>8536</v>
      </c>
      <c r="D618" s="3">
        <v>93</v>
      </c>
      <c r="E618" s="3" t="s">
        <v>7462</v>
      </c>
      <c r="F618" s="3" t="s">
        <v>4110</v>
      </c>
      <c r="G618" s="11" t="s">
        <v>8715</v>
      </c>
      <c r="H618" s="3" t="s">
        <v>8716</v>
      </c>
      <c r="I618" s="3" t="s">
        <v>3996</v>
      </c>
      <c r="J618" s="3" t="s">
        <v>8717</v>
      </c>
      <c r="K618" s="3" t="s">
        <v>8718</v>
      </c>
      <c r="L618" s="3" t="s">
        <v>650</v>
      </c>
      <c r="M618" s="3" t="s">
        <v>4010</v>
      </c>
      <c r="N618" s="3" t="s">
        <v>3419</v>
      </c>
      <c r="O618" s="3" t="s">
        <v>8719</v>
      </c>
      <c r="P618" s="3">
        <v>3</v>
      </c>
      <c r="Q618" s="3" t="s">
        <v>8719</v>
      </c>
      <c r="R618" s="3" t="s">
        <v>8720</v>
      </c>
      <c r="S618" s="3" t="s">
        <v>650</v>
      </c>
      <c r="T618" s="3" t="s">
        <v>650</v>
      </c>
      <c r="U618" s="3" t="s">
        <v>1380</v>
      </c>
      <c r="V618" s="3" t="s">
        <v>700</v>
      </c>
      <c r="W618" s="3"/>
      <c r="X618" s="3"/>
      <c r="Y618" s="3" t="s">
        <v>2001</v>
      </c>
    </row>
    <row r="619" spans="1:25" ht="60" customHeight="1" x14ac:dyDescent="0.2">
      <c r="A619" s="3" t="s">
        <v>8721</v>
      </c>
      <c r="B619" s="3" t="s">
        <v>8722</v>
      </c>
      <c r="C619" s="3" t="s">
        <v>8552</v>
      </c>
      <c r="D619" s="3">
        <v>73</v>
      </c>
      <c r="E619" s="3" t="s">
        <v>3992</v>
      </c>
      <c r="F619" s="3" t="s">
        <v>8723</v>
      </c>
      <c r="G619" s="11" t="s">
        <v>8724</v>
      </c>
      <c r="H619" s="3" t="s">
        <v>8725</v>
      </c>
      <c r="I619" s="3" t="s">
        <v>3996</v>
      </c>
      <c r="J619" s="3" t="s">
        <v>8726</v>
      </c>
      <c r="K619" s="3" t="s">
        <v>4028</v>
      </c>
      <c r="L619" s="3" t="s">
        <v>650</v>
      </c>
      <c r="M619" s="3" t="s">
        <v>4010</v>
      </c>
      <c r="N619" s="3" t="s">
        <v>3535</v>
      </c>
      <c r="O619" s="3" t="s">
        <v>650</v>
      </c>
      <c r="P619" s="3">
        <v>0</v>
      </c>
      <c r="Q619" s="3" t="s">
        <v>4052</v>
      </c>
      <c r="R619" s="3" t="s">
        <v>1499</v>
      </c>
      <c r="S619" s="3" t="s">
        <v>650</v>
      </c>
      <c r="T619" s="3" t="s">
        <v>650</v>
      </c>
      <c r="U619" s="3" t="s">
        <v>1380</v>
      </c>
      <c r="V619" s="3" t="s">
        <v>700</v>
      </c>
      <c r="W619" s="3"/>
      <c r="X619" s="3"/>
      <c r="Y619" s="3" t="s">
        <v>2001</v>
      </c>
    </row>
    <row r="620" spans="1:25" ht="60" customHeight="1" x14ac:dyDescent="0.2">
      <c r="A620" s="3" t="s">
        <v>8727</v>
      </c>
      <c r="B620" s="3" t="s">
        <v>8728</v>
      </c>
      <c r="C620" s="3" t="s">
        <v>8552</v>
      </c>
      <c r="D620" s="3">
        <v>102</v>
      </c>
      <c r="E620" s="3" t="s">
        <v>3992</v>
      </c>
      <c r="F620" s="3" t="s">
        <v>4110</v>
      </c>
      <c r="G620" s="11" t="s">
        <v>5115</v>
      </c>
      <c r="H620" s="3" t="s">
        <v>5116</v>
      </c>
      <c r="I620" s="3" t="s">
        <v>4018</v>
      </c>
      <c r="J620" s="3" t="s">
        <v>8729</v>
      </c>
      <c r="K620" s="3" t="s">
        <v>8730</v>
      </c>
      <c r="L620" s="3" t="s">
        <v>650</v>
      </c>
      <c r="M620" s="3" t="s">
        <v>8731</v>
      </c>
      <c r="N620" s="3" t="s">
        <v>3535</v>
      </c>
      <c r="O620" s="3" t="s">
        <v>8732</v>
      </c>
      <c r="P620" s="3">
        <v>2</v>
      </c>
      <c r="Q620" s="3" t="s">
        <v>8732</v>
      </c>
      <c r="R620" s="3" t="s">
        <v>8733</v>
      </c>
      <c r="S620" s="3" t="s">
        <v>650</v>
      </c>
      <c r="T620" s="3" t="s">
        <v>650</v>
      </c>
      <c r="U620" s="3" t="s">
        <v>1380</v>
      </c>
      <c r="V620" s="3" t="s">
        <v>700</v>
      </c>
      <c r="W620" s="3"/>
      <c r="X620" s="3"/>
      <c r="Y620" s="3" t="s">
        <v>2001</v>
      </c>
    </row>
    <row r="621" spans="1:25" ht="60" customHeight="1" x14ac:dyDescent="0.2">
      <c r="A621" s="3" t="s">
        <v>8734</v>
      </c>
      <c r="B621" s="3" t="s">
        <v>8735</v>
      </c>
      <c r="C621" s="3" t="s">
        <v>7703</v>
      </c>
      <c r="D621" s="3">
        <v>56</v>
      </c>
      <c r="E621" s="3" t="s">
        <v>3992</v>
      </c>
      <c r="F621" s="3" t="s">
        <v>4110</v>
      </c>
      <c r="G621" s="11" t="s">
        <v>8736</v>
      </c>
      <c r="H621" s="3" t="s">
        <v>8737</v>
      </c>
      <c r="I621" s="3" t="s">
        <v>3996</v>
      </c>
      <c r="J621" s="3" t="s">
        <v>8738</v>
      </c>
      <c r="K621" s="3" t="s">
        <v>4257</v>
      </c>
      <c r="L621" s="3" t="s">
        <v>650</v>
      </c>
      <c r="M621" s="3" t="s">
        <v>4010</v>
      </c>
      <c r="N621" s="3" t="s">
        <v>3535</v>
      </c>
      <c r="O621" s="3" t="s">
        <v>650</v>
      </c>
      <c r="P621" s="3">
        <v>0</v>
      </c>
      <c r="Q621" s="3" t="s">
        <v>4052</v>
      </c>
      <c r="R621" s="3" t="s">
        <v>1499</v>
      </c>
      <c r="S621" s="3" t="s">
        <v>650</v>
      </c>
      <c r="T621" s="3" t="s">
        <v>650</v>
      </c>
      <c r="U621" s="3" t="s">
        <v>1380</v>
      </c>
      <c r="V621" s="3" t="s">
        <v>700</v>
      </c>
      <c r="W621" s="3"/>
      <c r="X621" s="3"/>
      <c r="Y621" s="3" t="s">
        <v>2001</v>
      </c>
    </row>
    <row r="622" spans="1:25" ht="60" customHeight="1" x14ac:dyDescent="0.2">
      <c r="A622" s="3" t="s">
        <v>8739</v>
      </c>
      <c r="B622" s="3" t="s">
        <v>8740</v>
      </c>
      <c r="C622" s="3" t="s">
        <v>7789</v>
      </c>
      <c r="D622" s="3">
        <v>233</v>
      </c>
      <c r="E622" s="3" t="s">
        <v>3992</v>
      </c>
      <c r="F622" s="3" t="s">
        <v>4110</v>
      </c>
      <c r="G622" s="11" t="s">
        <v>8741</v>
      </c>
      <c r="H622" s="3" t="s">
        <v>8742</v>
      </c>
      <c r="I622" s="3" t="s">
        <v>3996</v>
      </c>
      <c r="J622" s="3" t="s">
        <v>8616</v>
      </c>
      <c r="K622" s="3" t="s">
        <v>4008</v>
      </c>
      <c r="L622" s="3" t="s">
        <v>650</v>
      </c>
      <c r="M622" s="3" t="s">
        <v>4010</v>
      </c>
      <c r="N622" s="3" t="s">
        <v>3535</v>
      </c>
      <c r="O622" s="3" t="s">
        <v>4249</v>
      </c>
      <c r="P622" s="3">
        <v>1</v>
      </c>
      <c r="Q622" s="3" t="s">
        <v>4249</v>
      </c>
      <c r="R622" s="3" t="s">
        <v>8743</v>
      </c>
      <c r="S622" s="3" t="s">
        <v>650</v>
      </c>
      <c r="T622" s="3" t="s">
        <v>650</v>
      </c>
      <c r="U622" s="3" t="s">
        <v>1380</v>
      </c>
      <c r="V622" s="3" t="s">
        <v>700</v>
      </c>
      <c r="W622" s="3"/>
      <c r="X622" s="3"/>
      <c r="Y622" s="3" t="s">
        <v>2001</v>
      </c>
    </row>
    <row r="623" spans="1:25" ht="60" customHeight="1" x14ac:dyDescent="0.2">
      <c r="A623" s="3" t="s">
        <v>8744</v>
      </c>
      <c r="B623" s="3" t="s">
        <v>8745</v>
      </c>
      <c r="C623" s="3" t="s">
        <v>7789</v>
      </c>
      <c r="D623" s="3">
        <v>352</v>
      </c>
      <c r="E623" s="3" t="s">
        <v>3992</v>
      </c>
      <c r="F623" s="3" t="s">
        <v>8746</v>
      </c>
      <c r="G623" s="11" t="s">
        <v>8747</v>
      </c>
      <c r="H623" s="3" t="s">
        <v>8748</v>
      </c>
      <c r="I623" s="3" t="s">
        <v>3996</v>
      </c>
      <c r="J623" s="3" t="s">
        <v>8749</v>
      </c>
      <c r="K623" s="3" t="s">
        <v>5648</v>
      </c>
      <c r="L623" s="3" t="s">
        <v>650</v>
      </c>
      <c r="M623" s="3" t="s">
        <v>4010</v>
      </c>
      <c r="N623" s="3" t="s">
        <v>3535</v>
      </c>
      <c r="O623" s="3" t="s">
        <v>8750</v>
      </c>
      <c r="P623" s="3">
        <v>8</v>
      </c>
      <c r="Q623" s="3" t="s">
        <v>8751</v>
      </c>
      <c r="R623" s="3" t="s">
        <v>8752</v>
      </c>
      <c r="S623" s="3" t="s">
        <v>650</v>
      </c>
      <c r="T623" s="3" t="s">
        <v>650</v>
      </c>
      <c r="U623" s="3" t="s">
        <v>1380</v>
      </c>
      <c r="V623" s="3" t="s">
        <v>700</v>
      </c>
      <c r="W623" s="3"/>
      <c r="X623" s="3"/>
      <c r="Y623" s="3" t="s">
        <v>2001</v>
      </c>
    </row>
    <row r="624" spans="1:25" ht="60" customHeight="1" x14ac:dyDescent="0.2">
      <c r="A624" s="3" t="s">
        <v>8753</v>
      </c>
      <c r="B624" s="3" t="s">
        <v>8754</v>
      </c>
      <c r="C624" s="3" t="s">
        <v>8755</v>
      </c>
      <c r="D624" s="3">
        <v>47</v>
      </c>
      <c r="E624" s="3" t="s">
        <v>7462</v>
      </c>
      <c r="F624" s="3" t="s">
        <v>4110</v>
      </c>
      <c r="G624" s="11" t="s">
        <v>8756</v>
      </c>
      <c r="H624" s="3" t="s">
        <v>8757</v>
      </c>
      <c r="I624" s="3" t="s">
        <v>3996</v>
      </c>
      <c r="J624" s="3" t="s">
        <v>4164</v>
      </c>
      <c r="K624" s="3" t="s">
        <v>8163</v>
      </c>
      <c r="L624" s="3" t="s">
        <v>650</v>
      </c>
      <c r="M624" s="3" t="s">
        <v>4010</v>
      </c>
      <c r="N624" s="3" t="s">
        <v>3419</v>
      </c>
      <c r="O624" s="3" t="s">
        <v>8758</v>
      </c>
      <c r="P624" s="3">
        <v>2</v>
      </c>
      <c r="Q624" s="3" t="s">
        <v>8758</v>
      </c>
      <c r="R624" s="3" t="s">
        <v>8759</v>
      </c>
      <c r="S624" s="3" t="s">
        <v>650</v>
      </c>
      <c r="T624" s="3" t="s">
        <v>650</v>
      </c>
      <c r="U624" s="3" t="s">
        <v>1380</v>
      </c>
      <c r="V624" s="3" t="s">
        <v>539</v>
      </c>
      <c r="W624" s="3"/>
      <c r="X624" s="3"/>
      <c r="Y624" s="3" t="s">
        <v>2001</v>
      </c>
    </row>
    <row r="625" spans="1:25" ht="60" customHeight="1" x14ac:dyDescent="0.2">
      <c r="A625" s="3" t="s">
        <v>8760</v>
      </c>
      <c r="B625" s="3" t="s">
        <v>8761</v>
      </c>
      <c r="C625" s="3" t="s">
        <v>8762</v>
      </c>
      <c r="D625" s="3">
        <v>60</v>
      </c>
      <c r="E625" s="3" t="s">
        <v>3992</v>
      </c>
      <c r="F625" s="3" t="s">
        <v>8763</v>
      </c>
      <c r="G625" s="11" t="s">
        <v>8764</v>
      </c>
      <c r="H625" s="3" t="s">
        <v>8765</v>
      </c>
      <c r="I625" s="3" t="s">
        <v>3996</v>
      </c>
      <c r="J625" s="3" t="s">
        <v>8766</v>
      </c>
      <c r="K625" s="3" t="s">
        <v>4853</v>
      </c>
      <c r="L625" s="3" t="s">
        <v>650</v>
      </c>
      <c r="M625" s="3" t="s">
        <v>4996</v>
      </c>
      <c r="N625" s="3" t="s">
        <v>3535</v>
      </c>
      <c r="O625" s="3" t="s">
        <v>8767</v>
      </c>
      <c r="P625" s="3">
        <v>79</v>
      </c>
      <c r="Q625" s="3" t="s">
        <v>8768</v>
      </c>
      <c r="R625" s="3" t="s">
        <v>8769</v>
      </c>
      <c r="S625" s="3" t="s">
        <v>650</v>
      </c>
      <c r="T625" s="3" t="s">
        <v>650</v>
      </c>
      <c r="U625" s="3" t="s">
        <v>1380</v>
      </c>
      <c r="V625" s="3" t="s">
        <v>539</v>
      </c>
      <c r="W625" s="3"/>
      <c r="X625" s="3"/>
      <c r="Y625" s="3" t="s">
        <v>2001</v>
      </c>
    </row>
    <row r="626" spans="1:25" ht="60" customHeight="1" x14ac:dyDescent="0.2">
      <c r="A626" s="3" t="s">
        <v>8770</v>
      </c>
      <c r="B626" s="3" t="s">
        <v>8771</v>
      </c>
      <c r="C626" s="3" t="s">
        <v>8762</v>
      </c>
      <c r="D626" s="3">
        <v>581</v>
      </c>
      <c r="E626" s="3" t="s">
        <v>4003</v>
      </c>
      <c r="F626" s="3" t="s">
        <v>4110</v>
      </c>
      <c r="G626" s="11" t="s">
        <v>8772</v>
      </c>
      <c r="H626" s="3" t="s">
        <v>8773</v>
      </c>
      <c r="I626" s="3" t="s">
        <v>4065</v>
      </c>
      <c r="J626" s="3" t="s">
        <v>8774</v>
      </c>
      <c r="K626" s="3" t="s">
        <v>4028</v>
      </c>
      <c r="L626" s="3" t="s">
        <v>4020</v>
      </c>
      <c r="M626" s="3" t="s">
        <v>8775</v>
      </c>
      <c r="N626" s="3" t="s">
        <v>3535</v>
      </c>
      <c r="O626" s="3" t="s">
        <v>8776</v>
      </c>
      <c r="P626" s="3">
        <v>79</v>
      </c>
      <c r="Q626" s="3" t="s">
        <v>8777</v>
      </c>
      <c r="R626" s="3" t="s">
        <v>8778</v>
      </c>
      <c r="S626" s="3" t="s">
        <v>650</v>
      </c>
      <c r="T626" s="3" t="s">
        <v>650</v>
      </c>
      <c r="U626" s="3" t="s">
        <v>1380</v>
      </c>
      <c r="V626" s="3" t="s">
        <v>1069</v>
      </c>
      <c r="W626" s="3"/>
      <c r="X626" s="3"/>
      <c r="Y626" s="3" t="s">
        <v>2001</v>
      </c>
    </row>
    <row r="627" spans="1:25" ht="60" customHeight="1" x14ac:dyDescent="0.2">
      <c r="A627" s="3" t="s">
        <v>8779</v>
      </c>
      <c r="B627" s="3" t="s">
        <v>8780</v>
      </c>
      <c r="C627" s="3" t="s">
        <v>8762</v>
      </c>
      <c r="D627" s="3">
        <v>1286</v>
      </c>
      <c r="E627" s="3" t="s">
        <v>4003</v>
      </c>
      <c r="F627" s="3" t="s">
        <v>8781</v>
      </c>
      <c r="G627" s="11" t="s">
        <v>8782</v>
      </c>
      <c r="H627" s="3" t="s">
        <v>8783</v>
      </c>
      <c r="I627" s="3" t="s">
        <v>3996</v>
      </c>
      <c r="J627" s="3" t="s">
        <v>8774</v>
      </c>
      <c r="K627" s="3" t="s">
        <v>4028</v>
      </c>
      <c r="L627" s="3" t="s">
        <v>4020</v>
      </c>
      <c r="M627" s="3" t="s">
        <v>4124</v>
      </c>
      <c r="N627" s="3" t="s">
        <v>3535</v>
      </c>
      <c r="O627" s="3" t="s">
        <v>650</v>
      </c>
      <c r="P627" s="3">
        <v>0</v>
      </c>
      <c r="Q627" s="3" t="s">
        <v>4052</v>
      </c>
      <c r="R627" s="3" t="s">
        <v>1499</v>
      </c>
      <c r="S627" s="3" t="s">
        <v>650</v>
      </c>
      <c r="T627" s="3" t="s">
        <v>650</v>
      </c>
      <c r="U627" s="3" t="s">
        <v>1380</v>
      </c>
      <c r="V627" s="3" t="s">
        <v>539</v>
      </c>
      <c r="W627" s="3"/>
      <c r="X627" s="3"/>
      <c r="Y627" s="3" t="s">
        <v>2001</v>
      </c>
    </row>
    <row r="628" spans="1:25" ht="60" customHeight="1" x14ac:dyDescent="0.2">
      <c r="A628" s="3" t="s">
        <v>8784</v>
      </c>
      <c r="B628" s="3" t="s">
        <v>8785</v>
      </c>
      <c r="C628" s="3" t="s">
        <v>8762</v>
      </c>
      <c r="D628" s="3">
        <v>1343</v>
      </c>
      <c r="E628" s="3" t="s">
        <v>4003</v>
      </c>
      <c r="F628" s="3" t="s">
        <v>4110</v>
      </c>
      <c r="G628" s="11" t="s">
        <v>8786</v>
      </c>
      <c r="H628" s="3" t="s">
        <v>8787</v>
      </c>
      <c r="I628" s="3" t="s">
        <v>3996</v>
      </c>
      <c r="J628" s="3" t="s">
        <v>8774</v>
      </c>
      <c r="K628" s="3" t="s">
        <v>4028</v>
      </c>
      <c r="L628" s="3" t="s">
        <v>4020</v>
      </c>
      <c r="M628" s="3" t="s">
        <v>8788</v>
      </c>
      <c r="N628" s="3" t="s">
        <v>3535</v>
      </c>
      <c r="O628" s="3" t="s">
        <v>5525</v>
      </c>
      <c r="P628" s="3">
        <v>1</v>
      </c>
      <c r="Q628" s="3" t="s">
        <v>5525</v>
      </c>
      <c r="R628" s="3" t="s">
        <v>8789</v>
      </c>
      <c r="S628" s="3" t="s">
        <v>650</v>
      </c>
      <c r="T628" s="3" t="s">
        <v>650</v>
      </c>
      <c r="U628" s="3" t="s">
        <v>1380</v>
      </c>
      <c r="V628" s="3" t="s">
        <v>539</v>
      </c>
      <c r="W628" s="3"/>
      <c r="X628" s="3"/>
      <c r="Y628" s="3" t="s">
        <v>2001</v>
      </c>
    </row>
    <row r="629" spans="1:25" ht="60" customHeight="1" x14ac:dyDescent="0.2">
      <c r="A629" s="3" t="s">
        <v>8790</v>
      </c>
      <c r="B629" s="3" t="s">
        <v>8791</v>
      </c>
      <c r="C629" s="3" t="s">
        <v>8762</v>
      </c>
      <c r="D629" s="3">
        <v>1376</v>
      </c>
      <c r="E629" s="3" t="s">
        <v>4003</v>
      </c>
      <c r="F629" s="3" t="s">
        <v>4110</v>
      </c>
      <c r="G629" s="11" t="s">
        <v>8792</v>
      </c>
      <c r="H629" s="3" t="s">
        <v>8793</v>
      </c>
      <c r="I629" s="3" t="s">
        <v>3996</v>
      </c>
      <c r="J629" s="3" t="s">
        <v>8774</v>
      </c>
      <c r="K629" s="3" t="s">
        <v>4028</v>
      </c>
      <c r="L629" s="3" t="s">
        <v>4020</v>
      </c>
      <c r="M629" s="3" t="s">
        <v>4010</v>
      </c>
      <c r="N629" s="3" t="s">
        <v>3535</v>
      </c>
      <c r="O629" s="3" t="s">
        <v>650</v>
      </c>
      <c r="P629" s="3">
        <v>0</v>
      </c>
      <c r="Q629" s="3" t="s">
        <v>4052</v>
      </c>
      <c r="R629" s="3" t="s">
        <v>1499</v>
      </c>
      <c r="S629" s="3" t="s">
        <v>650</v>
      </c>
      <c r="T629" s="3" t="s">
        <v>650</v>
      </c>
      <c r="U629" s="3" t="s">
        <v>1380</v>
      </c>
      <c r="V629" s="3" t="s">
        <v>539</v>
      </c>
      <c r="W629" s="3"/>
      <c r="X629" s="3"/>
      <c r="Y629" s="3" t="s">
        <v>2001</v>
      </c>
    </row>
    <row r="630" spans="1:25" ht="60" customHeight="1" x14ac:dyDescent="0.2">
      <c r="A630" s="3" t="s">
        <v>8794</v>
      </c>
      <c r="B630" s="3" t="s">
        <v>8795</v>
      </c>
      <c r="C630" s="3" t="s">
        <v>7839</v>
      </c>
      <c r="D630" s="3">
        <v>78</v>
      </c>
      <c r="E630" s="3" t="s">
        <v>4003</v>
      </c>
      <c r="F630" s="3" t="s">
        <v>8796</v>
      </c>
      <c r="G630" s="11" t="s">
        <v>8797</v>
      </c>
      <c r="H630" s="3" t="s">
        <v>8798</v>
      </c>
      <c r="I630" s="3" t="s">
        <v>3996</v>
      </c>
      <c r="J630" s="3" t="s">
        <v>8799</v>
      </c>
      <c r="K630" s="3" t="s">
        <v>4257</v>
      </c>
      <c r="L630" s="3" t="s">
        <v>4020</v>
      </c>
      <c r="M630" s="3" t="s">
        <v>8800</v>
      </c>
      <c r="N630" s="3" t="s">
        <v>3535</v>
      </c>
      <c r="O630" s="3" t="s">
        <v>8801</v>
      </c>
      <c r="P630" s="3">
        <v>1</v>
      </c>
      <c r="Q630" s="3" t="s">
        <v>8801</v>
      </c>
      <c r="R630" s="3" t="s">
        <v>8802</v>
      </c>
      <c r="S630" s="3" t="s">
        <v>650</v>
      </c>
      <c r="T630" s="3" t="s">
        <v>650</v>
      </c>
      <c r="U630" s="3" t="s">
        <v>1380</v>
      </c>
      <c r="V630" s="3" t="s">
        <v>539</v>
      </c>
      <c r="W630" s="3"/>
      <c r="X630" s="3"/>
      <c r="Y630" s="3" t="s">
        <v>2001</v>
      </c>
    </row>
    <row r="631" spans="1:25" ht="60" customHeight="1" x14ac:dyDescent="0.2">
      <c r="A631" s="3" t="s">
        <v>8803</v>
      </c>
      <c r="B631" s="3" t="s">
        <v>8804</v>
      </c>
      <c r="C631" s="3" t="s">
        <v>8805</v>
      </c>
      <c r="D631" s="3">
        <v>91</v>
      </c>
      <c r="E631" s="3" t="s">
        <v>3992</v>
      </c>
      <c r="F631" s="3" t="s">
        <v>8806</v>
      </c>
      <c r="G631" s="11" t="s">
        <v>6148</v>
      </c>
      <c r="H631" s="3" t="s">
        <v>6148</v>
      </c>
      <c r="I631" s="3" t="s">
        <v>6149</v>
      </c>
      <c r="J631" s="3" t="s">
        <v>8807</v>
      </c>
      <c r="K631" s="3" t="s">
        <v>5381</v>
      </c>
      <c r="L631" s="3" t="s">
        <v>650</v>
      </c>
      <c r="M631" s="3" t="s">
        <v>4010</v>
      </c>
      <c r="N631" s="3" t="s">
        <v>3535</v>
      </c>
      <c r="O631" s="3" t="s">
        <v>650</v>
      </c>
      <c r="P631" s="3">
        <v>0</v>
      </c>
      <c r="Q631" s="3" t="s">
        <v>4052</v>
      </c>
      <c r="R631" s="3" t="s">
        <v>1499</v>
      </c>
      <c r="S631" s="3" t="s">
        <v>650</v>
      </c>
      <c r="T631" s="3" t="s">
        <v>650</v>
      </c>
      <c r="U631" s="3" t="s">
        <v>1380</v>
      </c>
      <c r="V631" s="3" t="s">
        <v>984</v>
      </c>
      <c r="W631" s="3"/>
      <c r="X631" s="3"/>
      <c r="Y631" s="3" t="s">
        <v>2001</v>
      </c>
    </row>
    <row r="632" spans="1:25" ht="60" customHeight="1" x14ac:dyDescent="0.2">
      <c r="A632" s="3" t="s">
        <v>8808</v>
      </c>
      <c r="B632" s="3" t="s">
        <v>8809</v>
      </c>
      <c r="C632" s="3" t="s">
        <v>8810</v>
      </c>
      <c r="D632" s="3">
        <v>55</v>
      </c>
      <c r="E632" s="3" t="s">
        <v>4129</v>
      </c>
      <c r="F632" s="3" t="s">
        <v>4110</v>
      </c>
      <c r="G632" s="11" t="s">
        <v>8811</v>
      </c>
      <c r="H632" s="3" t="s">
        <v>8812</v>
      </c>
      <c r="I632" s="3" t="s">
        <v>4018</v>
      </c>
      <c r="J632" s="3" t="s">
        <v>4164</v>
      </c>
      <c r="K632" s="3" t="s">
        <v>8813</v>
      </c>
      <c r="L632" s="3" t="s">
        <v>650</v>
      </c>
      <c r="M632" s="3" t="s">
        <v>4010</v>
      </c>
      <c r="N632" s="3" t="s">
        <v>3419</v>
      </c>
      <c r="O632" s="3" t="s">
        <v>5525</v>
      </c>
      <c r="P632" s="3">
        <v>1</v>
      </c>
      <c r="Q632" s="3" t="s">
        <v>5525</v>
      </c>
      <c r="R632" s="3" t="s">
        <v>8814</v>
      </c>
      <c r="S632" s="3" t="s">
        <v>650</v>
      </c>
      <c r="T632" s="3" t="s">
        <v>650</v>
      </c>
      <c r="U632" s="3" t="s">
        <v>1380</v>
      </c>
      <c r="V632" s="3" t="s">
        <v>984</v>
      </c>
      <c r="W632" s="3"/>
      <c r="X632" s="3"/>
      <c r="Y632" s="3" t="s">
        <v>2001</v>
      </c>
    </row>
    <row r="633" spans="1:25" ht="45" customHeight="1" x14ac:dyDescent="0.2">
      <c r="A633" s="3" t="s">
        <v>8815</v>
      </c>
      <c r="B633" s="3" t="s">
        <v>8816</v>
      </c>
      <c r="C633" s="3" t="s">
        <v>8810</v>
      </c>
      <c r="D633" s="3">
        <v>89</v>
      </c>
      <c r="E633" s="3" t="s">
        <v>4003</v>
      </c>
      <c r="F633" s="3" t="s">
        <v>8817</v>
      </c>
      <c r="G633" s="11" t="s">
        <v>8818</v>
      </c>
      <c r="H633" s="3" t="s">
        <v>8819</v>
      </c>
      <c r="I633" s="3" t="s">
        <v>4018</v>
      </c>
      <c r="J633" s="3" t="s">
        <v>8820</v>
      </c>
      <c r="K633" s="3" t="s">
        <v>8821</v>
      </c>
      <c r="L633" s="3" t="s">
        <v>4020</v>
      </c>
      <c r="M633" s="3" t="s">
        <v>4010</v>
      </c>
      <c r="N633" s="3" t="s">
        <v>3535</v>
      </c>
      <c r="O633" s="3" t="s">
        <v>650</v>
      </c>
      <c r="P633" s="3">
        <v>0</v>
      </c>
      <c r="Q633" s="3" t="s">
        <v>4052</v>
      </c>
      <c r="R633" s="3" t="s">
        <v>1499</v>
      </c>
      <c r="S633" s="3" t="s">
        <v>650</v>
      </c>
      <c r="T633" s="3" t="s">
        <v>650</v>
      </c>
      <c r="U633" s="3" t="s">
        <v>1380</v>
      </c>
      <c r="V633" s="3" t="s">
        <v>984</v>
      </c>
      <c r="W633" s="3"/>
      <c r="X633" s="3"/>
      <c r="Y633" s="3" t="s">
        <v>2001</v>
      </c>
    </row>
  </sheetData>
  <autoFilter ref="A1:Y633"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9"/>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12" customWidth="1"/>
    <col min="3" max="3" width="40" customWidth="1"/>
    <col min="4" max="4" width="38" customWidth="1"/>
    <col min="5" max="6" width="34" customWidth="1"/>
  </cols>
  <sheetData>
    <row r="1" spans="1:6" ht="30" customHeight="1" x14ac:dyDescent="0.2">
      <c r="A1" s="1" t="s">
        <v>3973</v>
      </c>
      <c r="B1" s="1" t="s">
        <v>8822</v>
      </c>
      <c r="C1" s="1" t="s">
        <v>8823</v>
      </c>
      <c r="D1" s="1" t="s">
        <v>8824</v>
      </c>
      <c r="E1" s="1" t="s">
        <v>8825</v>
      </c>
      <c r="F1" s="1" t="s">
        <v>8826</v>
      </c>
    </row>
    <row r="2" spans="1:6" ht="60" customHeight="1" x14ac:dyDescent="0.2">
      <c r="A2" s="5" t="s">
        <v>8827</v>
      </c>
      <c r="B2" s="3"/>
      <c r="C2" s="3"/>
      <c r="D2" s="3"/>
      <c r="E2" s="3"/>
      <c r="F2" s="3"/>
    </row>
    <row r="3" spans="1:6" ht="15" customHeight="1" x14ac:dyDescent="0.2">
      <c r="A3" s="3" t="s">
        <v>4136</v>
      </c>
      <c r="B3" s="3">
        <v>78</v>
      </c>
      <c r="C3" s="3">
        <v>10</v>
      </c>
      <c r="D3" s="3">
        <v>0</v>
      </c>
      <c r="E3" s="3">
        <v>40</v>
      </c>
      <c r="F3" s="3">
        <v>7</v>
      </c>
    </row>
    <row r="4" spans="1:6" ht="15" customHeight="1" x14ac:dyDescent="0.2">
      <c r="A4" s="3" t="s">
        <v>4003</v>
      </c>
      <c r="B4" s="3">
        <v>252</v>
      </c>
      <c r="C4" s="3">
        <v>33</v>
      </c>
      <c r="D4" s="3">
        <v>4</v>
      </c>
      <c r="E4" s="3">
        <v>55</v>
      </c>
      <c r="F4" s="3">
        <v>28</v>
      </c>
    </row>
    <row r="5" spans="1:6" ht="15" customHeight="1" x14ac:dyDescent="0.2">
      <c r="A5" s="3" t="s">
        <v>7714</v>
      </c>
      <c r="B5" s="3">
        <v>3</v>
      </c>
      <c r="C5" s="3">
        <v>0</v>
      </c>
      <c r="D5" s="3">
        <v>0</v>
      </c>
      <c r="E5" s="3">
        <v>0</v>
      </c>
      <c r="F5" s="3">
        <v>0</v>
      </c>
    </row>
    <row r="6" spans="1:6" ht="15" customHeight="1" x14ac:dyDescent="0.2">
      <c r="A6" s="3" t="s">
        <v>3992</v>
      </c>
      <c r="B6" s="3">
        <v>191</v>
      </c>
      <c r="C6" s="3">
        <v>16</v>
      </c>
      <c r="D6" s="3">
        <v>0</v>
      </c>
      <c r="E6" s="3">
        <v>18</v>
      </c>
      <c r="F6" s="3">
        <v>7</v>
      </c>
    </row>
    <row r="7" spans="1:6" ht="15" customHeight="1" x14ac:dyDescent="0.2">
      <c r="A7" s="3" t="s">
        <v>4129</v>
      </c>
      <c r="B7" s="3">
        <v>91</v>
      </c>
      <c r="C7" s="3">
        <v>16</v>
      </c>
      <c r="D7" s="3">
        <v>0</v>
      </c>
      <c r="E7" s="3">
        <v>23</v>
      </c>
      <c r="F7" s="3">
        <v>11</v>
      </c>
    </row>
    <row r="8" spans="1:6" ht="15" customHeight="1" x14ac:dyDescent="0.2">
      <c r="A8" s="3" t="s">
        <v>7462</v>
      </c>
      <c r="B8" s="3">
        <v>16</v>
      </c>
      <c r="C8" s="3">
        <v>5</v>
      </c>
      <c r="D8" s="3">
        <v>0</v>
      </c>
      <c r="E8" s="3">
        <v>1</v>
      </c>
      <c r="F8" s="3">
        <v>1</v>
      </c>
    </row>
    <row r="9" spans="1:6" ht="15" customHeight="1" x14ac:dyDescent="0.2">
      <c r="A9" s="4" t="s">
        <v>8828</v>
      </c>
      <c r="B9" s="3">
        <v>631</v>
      </c>
      <c r="C9" s="3">
        <v>80</v>
      </c>
      <c r="D9" s="3">
        <v>4</v>
      </c>
      <c r="E9" s="3">
        <v>137</v>
      </c>
      <c r="F9" s="3">
        <v>54</v>
      </c>
    </row>
  </sheetData>
  <autoFilter ref="A1:F9"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0"/>
  <sheetViews>
    <sheetView workbookViewId="0">
      <pane ySplit="1" topLeftCell="A2" activePane="bottomLeft" state="frozen"/>
      <selection pane="bottomLeft"/>
    </sheetView>
  </sheetViews>
  <sheetFormatPr baseColWidth="10" defaultColWidth="8.83203125" defaultRowHeight="15" x14ac:dyDescent="0.2"/>
  <cols>
    <col min="1" max="1" width="34" customWidth="1"/>
    <col min="2" max="2" width="10" customWidth="1"/>
    <col min="3" max="4" width="26" customWidth="1"/>
    <col min="5" max="5" width="30" customWidth="1"/>
    <col min="6" max="6" width="24" customWidth="1"/>
  </cols>
  <sheetData>
    <row r="1" spans="1:6" ht="15" customHeight="1" x14ac:dyDescent="0.2">
      <c r="A1" s="1" t="s">
        <v>3529</v>
      </c>
      <c r="B1" s="1" t="s">
        <v>8829</v>
      </c>
      <c r="C1" s="1" t="s">
        <v>8830</v>
      </c>
      <c r="D1" s="1" t="s">
        <v>8831</v>
      </c>
      <c r="E1" s="1" t="s">
        <v>8832</v>
      </c>
      <c r="F1" s="1" t="s">
        <v>8833</v>
      </c>
    </row>
    <row r="2" spans="1:6" ht="60" customHeight="1" x14ac:dyDescent="0.2">
      <c r="A2" s="5" t="s">
        <v>8834</v>
      </c>
      <c r="B2" s="3"/>
      <c r="C2" s="3"/>
      <c r="D2" s="3"/>
      <c r="E2" s="3"/>
      <c r="F2" s="3"/>
    </row>
    <row r="3" spans="1:6" ht="15" customHeight="1" x14ac:dyDescent="0.2">
      <c r="A3" s="3" t="s">
        <v>2409</v>
      </c>
      <c r="B3" s="3">
        <v>54</v>
      </c>
      <c r="C3" s="3">
        <v>1</v>
      </c>
      <c r="D3" s="3">
        <v>4</v>
      </c>
      <c r="E3" s="3">
        <v>36</v>
      </c>
      <c r="F3" s="3">
        <v>13</v>
      </c>
    </row>
    <row r="4" spans="1:6" ht="15" customHeight="1" x14ac:dyDescent="0.2">
      <c r="A4" s="3" t="s">
        <v>1488</v>
      </c>
      <c r="B4" s="3">
        <v>4</v>
      </c>
      <c r="C4" s="3">
        <v>1</v>
      </c>
      <c r="D4" s="3">
        <v>1</v>
      </c>
      <c r="E4" s="3">
        <v>0</v>
      </c>
      <c r="F4" s="3">
        <v>2</v>
      </c>
    </row>
    <row r="5" spans="1:6" ht="15" customHeight="1" x14ac:dyDescent="0.2">
      <c r="A5" s="3" t="s">
        <v>2814</v>
      </c>
      <c r="B5" s="3">
        <v>30</v>
      </c>
      <c r="C5" s="3">
        <v>0</v>
      </c>
      <c r="D5" s="3">
        <v>8</v>
      </c>
      <c r="E5" s="3">
        <v>13</v>
      </c>
      <c r="F5" s="3">
        <v>9</v>
      </c>
    </row>
    <row r="6" spans="1:6" ht="15" customHeight="1" x14ac:dyDescent="0.2">
      <c r="A6" s="3" t="s">
        <v>1546</v>
      </c>
      <c r="B6" s="3">
        <v>48</v>
      </c>
      <c r="C6" s="3">
        <v>3</v>
      </c>
      <c r="D6" s="3">
        <v>2</v>
      </c>
      <c r="E6" s="3">
        <v>39</v>
      </c>
      <c r="F6" s="3">
        <v>4</v>
      </c>
    </row>
    <row r="7" spans="1:6" ht="15" customHeight="1" x14ac:dyDescent="0.2">
      <c r="A7" s="3" t="s">
        <v>2015</v>
      </c>
      <c r="B7" s="3">
        <v>12</v>
      </c>
      <c r="C7" s="3">
        <v>6</v>
      </c>
      <c r="D7" s="3">
        <v>1</v>
      </c>
      <c r="E7" s="3">
        <v>4</v>
      </c>
      <c r="F7" s="3">
        <v>1</v>
      </c>
    </row>
    <row r="8" spans="1:6" ht="15" customHeight="1" x14ac:dyDescent="0.2">
      <c r="A8" s="3" t="s">
        <v>2119</v>
      </c>
      <c r="B8" s="3">
        <v>37</v>
      </c>
      <c r="C8" s="3">
        <v>0</v>
      </c>
      <c r="D8" s="3">
        <v>8</v>
      </c>
      <c r="E8" s="3">
        <v>9</v>
      </c>
      <c r="F8" s="3">
        <v>20</v>
      </c>
    </row>
    <row r="9" spans="1:6" ht="15" customHeight="1" x14ac:dyDescent="0.2">
      <c r="A9" s="3" t="s">
        <v>8835</v>
      </c>
      <c r="B9" s="3">
        <v>7</v>
      </c>
      <c r="C9" s="3">
        <v>0</v>
      </c>
      <c r="D9" s="3">
        <v>1</v>
      </c>
      <c r="E9" s="3">
        <v>5</v>
      </c>
      <c r="F9" s="3">
        <v>1</v>
      </c>
    </row>
    <row r="10" spans="1:6" ht="15" customHeight="1" x14ac:dyDescent="0.2">
      <c r="A10" s="4" t="s">
        <v>8828</v>
      </c>
      <c r="B10" s="3">
        <v>192</v>
      </c>
      <c r="C10" s="3">
        <v>11</v>
      </c>
      <c r="D10" s="3">
        <v>25</v>
      </c>
      <c r="E10" s="3">
        <v>106</v>
      </c>
      <c r="F10" s="3">
        <v>50</v>
      </c>
    </row>
  </sheetData>
  <autoFilter ref="A1:F10" xr:uid="{00000000-0009-0000-0000-00001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Reference</vt:lpstr>
      <vt:lpstr>Specification</vt:lpstr>
      <vt:lpstr>rulings</vt:lpstr>
      <vt:lpstr>capture-list</vt:lpstr>
      <vt:lpstr>multiple_screens</vt:lpstr>
      <vt:lpstr>home</vt:lpstr>
      <vt:lpstr>networth</vt:lpstr>
      <vt:lpstr>performance</vt:lpstr>
      <vt:lpstr>plan</vt:lpstr>
      <vt:lpstr>cashflow</vt:lpstr>
      <vt:lpstr>menu</vt:lpstr>
      <vt:lpstr>inputs</vt:lpstr>
      <vt:lpstr>database</vt:lpstr>
      <vt:lpstr>core_screens</vt:lpstr>
      <vt:lpstr>reconciliation</vt:lpstr>
      <vt:lpstr>engines-old-tab</vt:lpstr>
      <vt:lpstr>functions_from_code</vt:lpstr>
      <vt:lpstr>functions_summary</vt:lpstr>
      <vt:lpstr>functions_per_metric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2026-09-28T16:37:58Z</dcterms:created>
  <dcterms:modified xsi:type="dcterms:W3CDTF">2026-09-28T16:41:10Z</dcterms:modified>
</cp:coreProperties>
</file>