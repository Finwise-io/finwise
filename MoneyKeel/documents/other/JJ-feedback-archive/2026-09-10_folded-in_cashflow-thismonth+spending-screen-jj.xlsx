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lakjain/Vibe_Coding/finwise/MoneyKeel/documents/other/"/>
    </mc:Choice>
  </mc:AlternateContent>
  <xr:revisionPtr revIDLastSave="0" documentId="8_{4C7CA772-CBF7-B649-854D-8E76DB8195C4}" xr6:coauthVersionLast="47" xr6:coauthVersionMax="47" xr10:uidLastSave="{00000000-0000-0000-0000-000000000000}"/>
  <bookViews>
    <workbookView xWindow="0" yWindow="600" windowWidth="33600" windowHeight="20400" xr2:uid="{3E76202F-5CB2-BD45-8740-376159F924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0" i="1" l="1"/>
  <c r="B18" i="1"/>
  <c r="B9" i="1"/>
</calcChain>
</file>

<file path=xl/sharedStrings.xml><?xml version="1.0" encoding="utf-8"?>
<sst xmlns="http://schemas.openxmlformats.org/spreadsheetml/2006/main" count="32" uniqueCount="26">
  <si>
    <t>In (Take-Home)</t>
  </si>
  <si>
    <t>Planned</t>
  </si>
  <si>
    <t>Mortgage Payment</t>
  </si>
  <si>
    <t>Car Payment</t>
  </si>
  <si>
    <t>Expenses</t>
  </si>
  <si>
    <t>Actual</t>
  </si>
  <si>
    <t>This Month Screen</t>
  </si>
  <si>
    <t xml:space="preserve">Surplus </t>
  </si>
  <si>
    <t>Mortgage Paid</t>
  </si>
  <si>
    <t>Car Paid</t>
  </si>
  <si>
    <t>Manually Entered Expenses</t>
  </si>
  <si>
    <t>Expenses Imported from Credit Card</t>
  </si>
  <si>
    <t xml:space="preserve">Spending </t>
  </si>
  <si>
    <t>Monthly Recurring Expenses</t>
  </si>
  <si>
    <t>Planned Expenses</t>
  </si>
  <si>
    <t>Gas</t>
  </si>
  <si>
    <t xml:space="preserve">Grocery </t>
  </si>
  <si>
    <t>Utilities</t>
  </si>
  <si>
    <t>Other</t>
  </si>
  <si>
    <t>Total</t>
  </si>
  <si>
    <t xml:space="preserve">Big Radar Expenses </t>
  </si>
  <si>
    <t>Credit Card Payment (Not counded as expense)</t>
  </si>
  <si>
    <t>Credit Card Payment Manually Entered (Counted as expense)</t>
  </si>
  <si>
    <t>HELOC (counted as expense)</t>
  </si>
  <si>
    <t>HELOC from Big Ticket Radar</t>
  </si>
  <si>
    <t>Credit Card Payment Mannuall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</si>
</sst>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507C-1EC7-A149-93A4-2E74BB5DE4F4}">
  <dimension ref="A1:B35"/>
  <sheetViews>
    <sheetView tabSelected="1" workbookViewId="0">
      <selection activeCell="B23" sqref="B23"/>
    </sheetView>
  </sheetViews>
  <sheetFormatPr baseColWidth="10" defaultColWidth="24.83203125" defaultRowHeight="16" x14ac:dyDescent="0.2"/>
  <cols>
    <col min="1" max="1" width="39.6640625" style="1" customWidth="1"/>
    <col min="2" max="16384" width="24.83203125" style="1"/>
  </cols>
  <sheetData>
    <row r="1" spans="1:2" x14ac:dyDescent="0.2">
      <c r="A1" s="2" t="s">
        <v>6</v>
      </c>
    </row>
    <row r="2" spans="1:2" x14ac:dyDescent="0.2">
      <c r="A2" s="2" t="s">
        <v>1</v>
      </c>
    </row>
    <row r="3" spans="1:2" x14ac:dyDescent="0.2">
      <c r="A3" s="1" t="s">
        <v>0</v>
      </c>
      <c r="B3" s="1">
        <v>5000</v>
      </c>
    </row>
    <row r="4" spans="1:2" x14ac:dyDescent="0.2">
      <c r="A4" s="1" t="s">
        <v>2</v>
      </c>
      <c r="B4" s="1">
        <v>2000</v>
      </c>
    </row>
    <row r="5" spans="1:2" x14ac:dyDescent="0.2">
      <c r="A5" s="1" t="s">
        <v>3</v>
      </c>
      <c r="B5" s="1">
        <v>250</v>
      </c>
    </row>
    <row r="6" spans="1:2" x14ac:dyDescent="0.2">
      <c r="A6" s="1" t="s">
        <v>4</v>
      </c>
      <c r="B6" s="1">
        <v>2000</v>
      </c>
    </row>
    <row r="7" spans="1:2" x14ac:dyDescent="0.2">
      <c r="A7" s="1" t="s">
        <v>24</v>
      </c>
      <c r="B7" s="1">
        <v>200</v>
      </c>
    </row>
    <row r="8" spans="1:2" x14ac:dyDescent="0.2">
      <c r="A8" s="1" t="s">
        <v>25</v>
      </c>
      <c r="B8" s="1">
        <v>200</v>
      </c>
    </row>
    <row r="9" spans="1:2" ht="17" thickBot="1" x14ac:dyDescent="0.25">
      <c r="A9" s="3" t="s">
        <v>7</v>
      </c>
      <c r="B9" s="3">
        <f>B3-B4-B5-B6</f>
        <v>750</v>
      </c>
    </row>
    <row r="10" spans="1:2" x14ac:dyDescent="0.2">
      <c r="A10" s="2" t="s">
        <v>5</v>
      </c>
    </row>
    <row r="11" spans="1:2" x14ac:dyDescent="0.2">
      <c r="A11" s="1" t="s">
        <v>0</v>
      </c>
      <c r="B11" s="1">
        <v>5000</v>
      </c>
    </row>
    <row r="12" spans="1:2" x14ac:dyDescent="0.2">
      <c r="A12" s="1" t="s">
        <v>8</v>
      </c>
      <c r="B12" s="1">
        <v>2000</v>
      </c>
    </row>
    <row r="13" spans="1:2" x14ac:dyDescent="0.2">
      <c r="A13" s="1" t="s">
        <v>9</v>
      </c>
      <c r="B13" s="1">
        <v>0</v>
      </c>
    </row>
    <row r="14" spans="1:2" x14ac:dyDescent="0.2">
      <c r="A14" s="1" t="s">
        <v>10</v>
      </c>
      <c r="B14" s="1">
        <v>500</v>
      </c>
    </row>
    <row r="15" spans="1:2" x14ac:dyDescent="0.2">
      <c r="A15" s="1" t="s">
        <v>11</v>
      </c>
      <c r="B15" s="1">
        <v>1200</v>
      </c>
    </row>
    <row r="16" spans="1:2" x14ac:dyDescent="0.2">
      <c r="A16" s="1" t="s">
        <v>24</v>
      </c>
      <c r="B16" s="1">
        <v>200</v>
      </c>
    </row>
    <row r="17" spans="1:2" x14ac:dyDescent="0.2">
      <c r="A17" s="1" t="s">
        <v>25</v>
      </c>
      <c r="B17" s="1">
        <v>200</v>
      </c>
    </row>
    <row r="18" spans="1:2" ht="17" thickBot="1" x14ac:dyDescent="0.25">
      <c r="A18" s="3" t="s">
        <v>7</v>
      </c>
      <c r="B18" s="3">
        <f>B11-B12-B13-B14-B15</f>
        <v>1300</v>
      </c>
    </row>
    <row r="20" spans="1:2" x14ac:dyDescent="0.2">
      <c r="A20" s="2" t="s">
        <v>12</v>
      </c>
    </row>
    <row r="21" spans="1:2" x14ac:dyDescent="0.2">
      <c r="A21" s="2" t="s">
        <v>13</v>
      </c>
    </row>
    <row r="22" spans="1:2" x14ac:dyDescent="0.2">
      <c r="A22" s="1" t="s">
        <v>2</v>
      </c>
      <c r="B22" s="1">
        <v>2000</v>
      </c>
    </row>
    <row r="23" spans="1:2" x14ac:dyDescent="0.2">
      <c r="A23" s="1" t="s">
        <v>3</v>
      </c>
      <c r="B23" s="1">
        <v>250</v>
      </c>
    </row>
    <row r="25" spans="1:2" x14ac:dyDescent="0.2">
      <c r="A25" s="2" t="s">
        <v>14</v>
      </c>
    </row>
    <row r="26" spans="1:2" x14ac:dyDescent="0.2">
      <c r="A26" s="1" t="s">
        <v>15</v>
      </c>
      <c r="B26" s="1">
        <v>200</v>
      </c>
    </row>
    <row r="27" spans="1:2" x14ac:dyDescent="0.2">
      <c r="A27" s="1" t="s">
        <v>16</v>
      </c>
      <c r="B27" s="1">
        <v>900</v>
      </c>
    </row>
    <row r="28" spans="1:2" x14ac:dyDescent="0.2">
      <c r="A28" s="1" t="s">
        <v>17</v>
      </c>
      <c r="B28" s="1">
        <v>200</v>
      </c>
    </row>
    <row r="29" spans="1:2" x14ac:dyDescent="0.2">
      <c r="A29" s="1" t="s">
        <v>18</v>
      </c>
      <c r="B29" s="1">
        <v>700</v>
      </c>
    </row>
    <row r="30" spans="1:2" ht="17" thickBot="1" x14ac:dyDescent="0.25">
      <c r="A30" s="4" t="s">
        <v>19</v>
      </c>
      <c r="B30" s="4">
        <f>SUM(B26:B29)</f>
        <v>2000</v>
      </c>
    </row>
    <row r="32" spans="1:2" x14ac:dyDescent="0.2">
      <c r="A32" s="2" t="s">
        <v>20</v>
      </c>
      <c r="B32" s="2"/>
    </row>
    <row r="33" spans="1:2" x14ac:dyDescent="0.2">
      <c r="A33" s="1" t="s">
        <v>21</v>
      </c>
      <c r="B33" s="1">
        <v>1200</v>
      </c>
    </row>
    <row r="34" spans="1:2" x14ac:dyDescent="0.2">
      <c r="A34" s="1" t="s">
        <v>23</v>
      </c>
      <c r="B34" s="1">
        <v>200</v>
      </c>
    </row>
    <row r="35" spans="1:2" x14ac:dyDescent="0.2">
      <c r="A35" s="1" t="s">
        <v>22</v>
      </c>
      <c r="B35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2026-08-27T00:04:09Z</dcterms:created>
  <dcterms:modified xsi:type="dcterms:W3CDTF">2026-08-27T00:14:17Z</dcterms:modified>
</cp:coreProperties>
</file>